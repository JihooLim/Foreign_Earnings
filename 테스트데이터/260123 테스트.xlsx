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F94BD2F4-1FC9-43FC-A9E2-E8CFE976B8BE}" xr6:coauthVersionLast="47" xr6:coauthVersionMax="47" xr10:uidLastSave="{00000000-0000-0000-0000-000000000000}"/>
  <bookViews>
    <workbookView xWindow="28680" yWindow="465" windowWidth="29040" windowHeight="15720" xr2:uid="{00000000-000D-0000-FFFF-FFFF00000000}"/>
  </bookViews>
  <sheets>
    <sheet name="영업이익" sheetId="1" r:id="rId1"/>
    <sheet name="빨간줄" sheetId="2" r:id="rId2"/>
  </sheets>
  <definedNames>
    <definedName name="_xlnm._FilterDatabase" localSheetId="0" hidden="1">영업이익!$A$2:$U$59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E11" i="2" s="1"/>
  <c r="E9" i="2"/>
  <c r="F9" i="2"/>
  <c r="G9" i="2"/>
  <c r="H9" i="2"/>
  <c r="I9" i="2"/>
  <c r="J9" i="2"/>
  <c r="K9" i="2"/>
  <c r="L9" i="2"/>
  <c r="L13" i="2" s="1"/>
  <c r="M9" i="2"/>
  <c r="N9" i="2"/>
  <c r="O9" i="2"/>
  <c r="P9" i="2"/>
  <c r="P13" i="2" s="1"/>
  <c r="Q9" i="2"/>
  <c r="S9" i="2"/>
  <c r="R9" i="2"/>
  <c r="H13" i="2"/>
  <c r="D10" i="2"/>
  <c r="G14" i="2"/>
  <c r="I11" i="2"/>
  <c r="H11" i="2"/>
  <c r="G11" i="2"/>
  <c r="D13" i="2" l="1"/>
  <c r="N14" i="2"/>
  <c r="P10" i="2"/>
  <c r="S14" i="2"/>
  <c r="N10" i="2"/>
  <c r="Q14" i="2"/>
  <c r="K10" i="2"/>
  <c r="N13" i="2"/>
  <c r="L10" i="2"/>
  <c r="L12" i="2" s="1"/>
  <c r="M10" i="2"/>
  <c r="N12" i="2" s="1"/>
  <c r="R14" i="2"/>
  <c r="P11" i="2"/>
  <c r="S11" i="2"/>
  <c r="R11" i="2"/>
  <c r="O14" i="2"/>
  <c r="C10" i="2"/>
  <c r="D12" i="2" s="1"/>
  <c r="O10" i="2"/>
  <c r="J11" i="2"/>
  <c r="M13" i="2"/>
  <c r="H14" i="2"/>
  <c r="E10" i="2"/>
  <c r="E12" i="2" s="1"/>
  <c r="Q10" i="2"/>
  <c r="Q12" i="2" s="1"/>
  <c r="L11" i="2"/>
  <c r="C13" i="2"/>
  <c r="O13" i="2"/>
  <c r="J14" i="2"/>
  <c r="R10" i="2"/>
  <c r="M11" i="2"/>
  <c r="G10" i="2"/>
  <c r="S10" i="2"/>
  <c r="N11" i="2"/>
  <c r="E13" i="2"/>
  <c r="Q13" i="2"/>
  <c r="L14" i="2"/>
  <c r="H10" i="2"/>
  <c r="C11" i="2"/>
  <c r="O11" i="2"/>
  <c r="F13" i="2"/>
  <c r="R13" i="2"/>
  <c r="M14" i="2"/>
  <c r="K14" i="2"/>
  <c r="I10" i="2"/>
  <c r="D11" i="2"/>
  <c r="G13" i="2"/>
  <c r="S13" i="2"/>
  <c r="Q11" i="2"/>
  <c r="F11" i="2"/>
  <c r="I13" i="2"/>
  <c r="D14" i="2"/>
  <c r="P14" i="2"/>
  <c r="K11" i="2"/>
  <c r="I14" i="2"/>
  <c r="F10" i="2"/>
  <c r="J10" i="2"/>
  <c r="C14" i="2"/>
  <c r="J13" i="2"/>
  <c r="E14" i="2"/>
  <c r="K13" i="2"/>
  <c r="F14" i="2"/>
  <c r="O12" i="2" l="1"/>
  <c r="J12" i="2"/>
  <c r="M12" i="2"/>
  <c r="F12" i="2"/>
  <c r="R12" i="2"/>
  <c r="I12" i="2"/>
  <c r="G12" i="2"/>
  <c r="S12" i="2"/>
  <c r="P12" i="2"/>
  <c r="H12" i="2"/>
  <c r="K12" i="2"/>
</calcChain>
</file>

<file path=xl/sharedStrings.xml><?xml version="1.0" encoding="utf-8"?>
<sst xmlns="http://schemas.openxmlformats.org/spreadsheetml/2006/main" count="226" uniqueCount="142">
  <si>
    <t>Ticker</t>
  </si>
  <si>
    <t>Latest_Date</t>
  </si>
  <si>
    <t>Growth_Rate</t>
  </si>
  <si>
    <t>Recent_Avg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</si>
  <si>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</si>
  <si>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</si>
  <si>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</si>
  <si>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</si>
  <si>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</si>
  <si>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</si>
  <si>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</si>
  <si>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</si>
  <si>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</si>
  <si>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</si>
  <si>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</si>
  <si>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</si>
  <si>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</si>
  <si>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</si>
  <si>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</si>
  <si>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</si>
  <si>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</si>
  <si>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Highlight_Quarters</t>
  </si>
  <si>
    <t>PG</t>
  </si>
  <si>
    <t>('Q2 2026', "Dec '25 Dec 31, 2025")</t>
  </si>
  <si>
    <t>set()</t>
  </si>
  <si>
    <t>CNS</t>
  </si>
  <si>
    <t>('Q4 2025', "Dec '25 Dec 31, 2025")</t>
  </si>
  <si>
    <t>CADE</t>
  </si>
  <si>
    <t>{'4Q22', '3Q24', '1Q24', '4Q24', '2Q24'}</t>
  </si>
  <si>
    <t>COLB</t>
  </si>
  <si>
    <t>{'4Q25', '2Q23', '1Q24', '3Q23'}</t>
  </si>
  <si>
    <t>CUBI</t>
  </si>
  <si>
    <t>{'3Q25', '4Q25', '4Q23', '3Q23'}</t>
  </si>
  <si>
    <t>ACMR</t>
  </si>
  <si>
    <t>('Q3 2025', "Sep '25 Sep 30, 2025")</t>
  </si>
  <si>
    <t>{'4Q22', '2Q23', '1Q25', '2Q24', '3Q23'}</t>
  </si>
  <si>
    <t>OFG</t>
  </si>
  <si>
    <t>CASH</t>
  </si>
  <si>
    <t>('Q1 2026', "Dec '25 Dec 31, 2025")</t>
  </si>
  <si>
    <t>{'2Q23', '1Q24'}</t>
  </si>
  <si>
    <t>SRCE</t>
  </si>
  <si>
    <t>TCBK</t>
  </si>
  <si>
    <t>{'1Q23'}</t>
  </si>
  <si>
    <t>STBA</t>
  </si>
  <si>
    <t>{'4Q22'}</t>
  </si>
  <si>
    <t>BY</t>
  </si>
  <si>
    <t>PFBC</t>
  </si>
  <si>
    <t>OCFC</t>
  </si>
  <si>
    <t>AMAL</t>
  </si>
  <si>
    <t>FMBH</t>
  </si>
  <si>
    <t>ESQ</t>
  </si>
  <si>
    <t>{'1Q23', '4Q22'}</t>
  </si>
  <si>
    <t>HFWA</t>
  </si>
  <si>
    <t>{'3Q25', '4Q25', '4Q24', '1Q25'}</t>
  </si>
  <si>
    <t>MOFG</t>
  </si>
  <si>
    <t>{'3Q25', '3Q24'}</t>
  </si>
  <si>
    <t>AMTB</t>
  </si>
  <si>
    <t>{'3Q25'}</t>
  </si>
  <si>
    <t>BFST</t>
  </si>
  <si>
    <t>{'4Q22', '1Q23', '2Q23', '1Q25', '3Q23'}</t>
  </si>
  <si>
    <t>HTB</t>
  </si>
  <si>
    <t>{'4Q23', '2Q23', '1Q24', '3Q23'}</t>
  </si>
  <si>
    <t>HTBK</t>
  </si>
  <si>
    <t>{'3Q25', '4Q25', '4Q22'}</t>
  </si>
  <si>
    <t>IBCP</t>
  </si>
  <si>
    <t>CASS</t>
  </si>
  <si>
    <t>{'4Q25', '4Q22'}</t>
  </si>
  <si>
    <t>LYTS</t>
  </si>
  <si>
    <t>CATY</t>
  </si>
  <si>
    <t>BHB</t>
  </si>
  <si>
    <t>BANF</t>
  </si>
  <si>
    <t>NG</t>
  </si>
  <si>
    <t>('Q4 2025', "Nov '25 Nov 30, 2025")</t>
  </si>
  <si>
    <t>{'4Q25'}</t>
  </si>
  <si>
    <t>INTC</t>
  </si>
  <si>
    <t>('Q4 2025', "Dec '25 Dec 27, 2025")</t>
  </si>
  <si>
    <t>{'4Q24', '2Q23', '1Q24'}</t>
  </si>
  <si>
    <t>ABT</t>
  </si>
  <si>
    <t>ISRG</t>
  </si>
  <si>
    <t>{'4Q24'}</t>
  </si>
  <si>
    <t>COF</t>
  </si>
  <si>
    <t>FCX</t>
  </si>
  <si>
    <t>{'2Q24'}</t>
  </si>
  <si>
    <t>CSX</t>
  </si>
  <si>
    <t>EQT</t>
  </si>
  <si>
    <t>{'3Q25', '4Q25', '2Q23', '2Q25'}</t>
  </si>
  <si>
    <t>HBAN</t>
  </si>
  <si>
    <t>{'4Q24', '4Q22'}</t>
  </si>
  <si>
    <t>NTRS</t>
  </si>
  <si>
    <t>{'4Q24', '2Q24'}</t>
  </si>
  <si>
    <t>MKC</t>
  </si>
  <si>
    <t>EWBC</t>
  </si>
  <si>
    <t>BKT</t>
  </si>
  <si>
    <t>('Q2 2025', "Jun '25 Jun 30, 2025")</t>
  </si>
  <si>
    <t>ORI</t>
  </si>
  <si>
    <t>{'3Q24', '2Q25', '2Q23', '1Q24', '4Q25', '3Q23'}</t>
  </si>
  <si>
    <t>MBLY</t>
  </si>
  <si>
    <t>{'3Q24', '1Q23', '2Q23', '1Q24', '4Q25', '4Q24', '2Q24'}</t>
  </si>
  <si>
    <t>SSB</t>
  </si>
  <si>
    <t>{'3Q25', '4Q25', '2Q25'}</t>
  </si>
  <si>
    <t>AA</t>
  </si>
  <si>
    <t>{'3Q24', '1Q25', '1Q24', '4Q24', '3Q23'}</t>
  </si>
  <si>
    <t>GBCI</t>
  </si>
  <si>
    <t>{'1Q25', '4Q22'}</t>
  </si>
  <si>
    <t>SLM</t>
  </si>
  <si>
    <t>{'3Q25', '4Q25', '4Q23', '1Q24'}</t>
  </si>
  <si>
    <t>ALK</t>
  </si>
  <si>
    <t>{'1Q23', '4Q24', '2Q23', '3Q24'}</t>
  </si>
  <si>
    <t>FFIN</t>
  </si>
  <si>
    <t>EBC</t>
  </si>
  <si>
    <t>{'4Q22', '4Q23', '4Q25', '4Q24', '3Q23'}</t>
  </si>
  <si>
    <t>AUB</t>
  </si>
  <si>
    <t>{'3Q25', '4Q25', '4Q22', '3Q24'}</t>
  </si>
  <si>
    <t>ASB</t>
  </si>
  <si>
    <t>{'4Q22', '3Q25', '2Q25', '1Q25', '4Q25'}</t>
  </si>
  <si>
    <t>TCBI</t>
  </si>
  <si>
    <t>{'4Q22', '3Q25', '2Q25', '2Q23', '1Q25', '4Q24'}</t>
  </si>
  <si>
    <t>INDB</t>
  </si>
  <si>
    <t>ACNB</t>
  </si>
  <si>
    <t>4Q21</t>
    <phoneticPr fontId="7" type="noConversion"/>
  </si>
  <si>
    <t>1Q22</t>
    <phoneticPr fontId="7" type="noConversion"/>
  </si>
  <si>
    <t>2Q22</t>
    <phoneticPr fontId="7" type="noConversion"/>
  </si>
  <si>
    <t>3Q22</t>
    <phoneticPr fontId="7" type="noConversion"/>
  </si>
  <si>
    <t>4Q22</t>
    <phoneticPr fontId="7" type="noConversion"/>
  </si>
  <si>
    <t>2Q23</t>
    <phoneticPr fontId="7" type="noConversion"/>
  </si>
  <si>
    <t>3Q23</t>
    <phoneticPr fontId="7" type="noConversion"/>
  </si>
  <si>
    <t>4Q23</t>
    <phoneticPr fontId="7" type="noConversion"/>
  </si>
  <si>
    <t>1Q26</t>
    <phoneticPr fontId="7" type="noConversion"/>
  </si>
  <si>
    <t>2Q26</t>
    <phoneticPr fontId="7" type="noConversion"/>
  </si>
  <si>
    <t>3Q26</t>
    <phoneticPr fontId="7" type="noConversion"/>
  </si>
  <si>
    <t>4Q26</t>
    <phoneticPr fontId="7" type="noConversion"/>
  </si>
  <si>
    <t>Revenue</t>
    <phoneticPr fontId="7" type="noConversion"/>
  </si>
  <si>
    <t>OP</t>
    <phoneticPr fontId="7" type="noConversion"/>
  </si>
  <si>
    <t>Trailing 4Q OP avg.</t>
    <phoneticPr fontId="7" type="noConversion"/>
  </si>
  <si>
    <t>Trailing 4Q OP sum.</t>
    <phoneticPr fontId="7" type="noConversion"/>
  </si>
  <si>
    <t>Trailing OP Delta</t>
    <phoneticPr fontId="7" type="noConversion"/>
  </si>
  <si>
    <t>opm</t>
  </si>
  <si>
    <t>op yoy</t>
    <phoneticPr fontId="7" type="noConversion"/>
  </si>
  <si>
    <t>O</t>
    <phoneticPr fontId="3" type="noConversion"/>
  </si>
  <si>
    <t>aub</t>
    <phoneticPr fontId="7" type="noConversion"/>
  </si>
  <si>
    <t>금융주</t>
    <phoneticPr fontId="3" type="noConversion"/>
  </si>
  <si>
    <t>Income Before Provision for Income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</si>
</sst>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0.00&quot;%&quot;"/>
    <numFmt numFmtId="180" formatCode="#,##0_);[Red]\(#,##0\)"/>
    <numFmt numFmtId="181" formatCode="#,##0.0_);[Red]\(#,##0.0\)"/>
    <numFmt numFmtId="182" formatCode="0.0%"/>
  </numFmts>
  <fonts count="12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Pretendard"/>
      <family val="3"/>
      <charset val="129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79" fontId="5" fillId="0" borderId="0" xfId="0" applyNumberFormat="1" applyFont="1"/>
    <xf numFmtId="0" fontId="5" fillId="2" borderId="0" xfId="0" applyFont="1" applyFill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9" fillId="3" borderId="2" xfId="0" applyFont="1" applyFill="1" applyBorder="1" applyAlignment="1">
      <alignment horizontal="right" vertical="center"/>
    </xf>
    <xf numFmtId="180" fontId="0" fillId="0" borderId="0" xfId="0" applyNumberFormat="1" applyAlignment="1">
      <alignment vertical="center"/>
    </xf>
    <xf numFmtId="180" fontId="0" fillId="0" borderId="2" xfId="0" applyNumberFormat="1" applyBorder="1" applyAlignment="1">
      <alignment vertical="center"/>
    </xf>
    <xf numFmtId="9" fontId="0" fillId="0" borderId="0" xfId="1" applyFont="1" applyFill="1">
      <alignment vertical="center"/>
    </xf>
    <xf numFmtId="9" fontId="0" fillId="0" borderId="0" xfId="1" applyFont="1" applyAlignment="1">
      <alignment horizontal="right" vertical="center"/>
    </xf>
    <xf numFmtId="9" fontId="0" fillId="0" borderId="2" xfId="1" applyFont="1" applyBorder="1" applyAlignment="1">
      <alignment horizontal="right" vertical="center"/>
    </xf>
    <xf numFmtId="9" fontId="0" fillId="0" borderId="0" xfId="1" applyFont="1">
      <alignment vertical="center"/>
    </xf>
    <xf numFmtId="9" fontId="0" fillId="0" borderId="0" xfId="1" applyFont="1" applyBorder="1">
      <alignment vertical="center"/>
    </xf>
    <xf numFmtId="9" fontId="0" fillId="0" borderId="2" xfId="1" applyFont="1" applyBorder="1">
      <alignment vertical="center"/>
    </xf>
    <xf numFmtId="0" fontId="0" fillId="0" borderId="2" xfId="0" applyBorder="1"/>
    <xf numFmtId="181" fontId="0" fillId="0" borderId="0" xfId="0" applyNumberFormat="1" applyAlignment="1">
      <alignment vertical="center"/>
    </xf>
    <xf numFmtId="181" fontId="0" fillId="0" borderId="2" xfId="0" applyNumberFormat="1" applyBorder="1" applyAlignment="1">
      <alignment vertical="center"/>
    </xf>
    <xf numFmtId="0" fontId="10" fillId="0" borderId="0" xfId="0" applyFont="1"/>
    <xf numFmtId="182" fontId="0" fillId="0" borderId="0" xfId="1" applyNumberFormat="1" applyFont="1" applyFill="1">
      <alignment vertical="center"/>
    </xf>
    <xf numFmtId="182" fontId="0" fillId="0" borderId="0" xfId="1" applyNumberFormat="1" applyFont="1" applyFill="1" applyBorder="1">
      <alignment vertical="center"/>
    </xf>
    <xf numFmtId="182" fontId="0" fillId="0" borderId="2" xfId="1" applyNumberFormat="1" applyFont="1" applyFill="1" applyBorder="1">
      <alignment vertical="center"/>
    </xf>
    <xf numFmtId="0" fontId="11" fillId="0" borderId="0" xfId="0" applyFont="1"/>
  </cellXfs>
  <cellStyles count="2">
    <cellStyle name="백분율" xfId="1" builtinId="5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59"/>
  <sheetViews>
    <sheetView tabSelected="1" workbookViewId="0">
      <selection activeCell="U8" sqref="A8:U8"/>
    </sheetView>
  </sheetViews>
  <sheetFormatPr defaultRowHeight="16.5" x14ac:dyDescent="0.3"/>
  <cols>
    <col min="1" max="1" width="12" style="4" customWidth="1"/>
    <col min="2" max="2" width="9" hidden="1" customWidth="1"/>
    <col min="3" max="3" width="13.625" style="4" customWidth="1"/>
    <col min="4" max="4" width="0" hidden="1" customWidth="1"/>
    <col min="5" max="21" width="9.75" style="4" customWidth="1"/>
    <col min="22" max="22" width="0" hidden="1" customWidth="1"/>
    <col min="23" max="16384" width="9" style="4"/>
  </cols>
  <sheetData>
    <row r="1" spans="1:23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3" x14ac:dyDescent="0.25">
      <c r="A2" s="3" t="s">
        <v>0</v>
      </c>
      <c r="B2" s="1" t="s">
        <v>1</v>
      </c>
      <c r="C2" s="3" t="s">
        <v>2</v>
      </c>
      <c r="D2" s="1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1" t="s">
        <v>21</v>
      </c>
    </row>
    <row r="3" spans="1:23" x14ac:dyDescent="0.3">
      <c r="A3" s="23" t="s">
        <v>113</v>
      </c>
      <c r="B3" t="s">
        <v>26</v>
      </c>
      <c r="C3" s="5">
        <v>143.57061575420411</v>
      </c>
      <c r="D3">
        <v>144.47999999999999</v>
      </c>
      <c r="E3" s="4">
        <v>92.05</v>
      </c>
      <c r="F3" s="4">
        <v>92.91</v>
      </c>
      <c r="G3" s="4">
        <v>110.19</v>
      </c>
      <c r="H3" s="4">
        <v>122.44</v>
      </c>
      <c r="I3" s="6">
        <v>134.09</v>
      </c>
      <c r="J3" s="4">
        <v>130.69999999999999</v>
      </c>
      <c r="K3" s="4">
        <v>110.69</v>
      </c>
      <c r="L3" s="4">
        <v>102.67</v>
      </c>
      <c r="M3" s="4">
        <v>-138.01</v>
      </c>
      <c r="N3" s="4">
        <v>101.19</v>
      </c>
      <c r="O3" s="4">
        <v>102.88</v>
      </c>
      <c r="P3" s="4">
        <v>108.14</v>
      </c>
      <c r="Q3" s="4">
        <v>-177.75</v>
      </c>
      <c r="R3" s="6">
        <v>121.1</v>
      </c>
      <c r="S3" s="6">
        <v>139.63</v>
      </c>
      <c r="T3" s="6">
        <v>154.29</v>
      </c>
      <c r="U3" s="6">
        <v>162.9</v>
      </c>
      <c r="V3" t="s">
        <v>114</v>
      </c>
      <c r="W3" s="4" t="s">
        <v>138</v>
      </c>
    </row>
    <row r="4" spans="1:23" x14ac:dyDescent="0.3">
      <c r="A4" s="23" t="s">
        <v>65</v>
      </c>
      <c r="B4" t="s">
        <v>26</v>
      </c>
      <c r="C4" s="5">
        <v>31.991373112868441</v>
      </c>
      <c r="D4">
        <v>13.77</v>
      </c>
      <c r="E4" s="4">
        <v>8.9</v>
      </c>
      <c r="F4" s="4">
        <v>10.5</v>
      </c>
      <c r="G4" s="4">
        <v>10.92</v>
      </c>
      <c r="H4" s="4">
        <v>11.67</v>
      </c>
      <c r="I4" s="6">
        <v>13.3</v>
      </c>
      <c r="J4" s="4">
        <v>12.22</v>
      </c>
      <c r="K4" s="4">
        <v>12.56</v>
      </c>
      <c r="L4" s="4">
        <v>13.8</v>
      </c>
      <c r="M4" s="4">
        <v>15.04</v>
      </c>
      <c r="N4" s="4">
        <v>14.08</v>
      </c>
      <c r="O4" s="4">
        <v>10.88</v>
      </c>
      <c r="P4" s="4">
        <v>15.48</v>
      </c>
      <c r="Q4" s="4">
        <v>2.5299999999999998</v>
      </c>
      <c r="R4" s="4">
        <v>12.99</v>
      </c>
      <c r="S4" s="4">
        <v>10.44</v>
      </c>
      <c r="T4" s="4">
        <v>15.77</v>
      </c>
      <c r="U4" s="6">
        <v>15.88</v>
      </c>
      <c r="V4" t="s">
        <v>66</v>
      </c>
    </row>
    <row r="5" spans="1:23" hidden="1" x14ac:dyDescent="0.3">
      <c r="A5" t="s">
        <v>84</v>
      </c>
      <c r="B5" t="s">
        <v>34</v>
      </c>
      <c r="C5">
        <v>29.635545655710072</v>
      </c>
      <c r="D5">
        <v>663.46500000000003</v>
      </c>
      <c r="E5">
        <v>-2569</v>
      </c>
      <c r="F5">
        <v>2748</v>
      </c>
      <c r="G5">
        <v>-1859</v>
      </c>
      <c r="H5">
        <v>1408</v>
      </c>
      <c r="I5">
        <v>944.82</v>
      </c>
      <c r="J5">
        <v>2449</v>
      </c>
      <c r="K5" s="2">
        <v>1638</v>
      </c>
      <c r="L5">
        <v>-29.89</v>
      </c>
      <c r="M5">
        <v>23.74</v>
      </c>
      <c r="N5">
        <v>875.08</v>
      </c>
      <c r="O5">
        <v>192.08</v>
      </c>
      <c r="P5">
        <v>-279.5</v>
      </c>
      <c r="Q5">
        <v>15.37</v>
      </c>
      <c r="R5">
        <v>392.66</v>
      </c>
      <c r="S5" s="2">
        <v>499.14</v>
      </c>
      <c r="T5" s="2">
        <v>1140</v>
      </c>
      <c r="U5" s="2">
        <v>622.05999999999995</v>
      </c>
      <c r="V5" t="s">
        <v>32</v>
      </c>
    </row>
    <row r="6" spans="1:23" x14ac:dyDescent="0.3">
      <c r="A6" s="23" t="s">
        <v>31</v>
      </c>
      <c r="B6" t="s">
        <v>26</v>
      </c>
      <c r="C6" s="5">
        <v>27.06727168597736</v>
      </c>
      <c r="D6">
        <v>72.107500000000002</v>
      </c>
      <c r="E6" s="4">
        <v>115.25</v>
      </c>
      <c r="F6" s="4">
        <v>96.09</v>
      </c>
      <c r="G6" s="4">
        <v>77.55</v>
      </c>
      <c r="H6" s="4">
        <v>81.81</v>
      </c>
      <c r="I6" s="4">
        <v>35.85</v>
      </c>
      <c r="J6" s="4">
        <v>68.28</v>
      </c>
      <c r="K6" s="4">
        <v>68.34</v>
      </c>
      <c r="L6" s="6">
        <v>110.23</v>
      </c>
      <c r="M6" s="6">
        <v>83.89</v>
      </c>
      <c r="N6" s="4">
        <v>65.38</v>
      </c>
      <c r="O6" s="4">
        <v>77.12</v>
      </c>
      <c r="P6" s="4">
        <v>46.02</v>
      </c>
      <c r="Q6" s="4">
        <v>35.86</v>
      </c>
      <c r="R6" s="4">
        <v>11.89</v>
      </c>
      <c r="S6" s="4">
        <v>78.900000000000006</v>
      </c>
      <c r="T6" s="6">
        <v>100.34</v>
      </c>
      <c r="U6" s="6">
        <v>97.3</v>
      </c>
      <c r="V6" t="s">
        <v>112</v>
      </c>
      <c r="W6" s="4" t="s">
        <v>138</v>
      </c>
    </row>
    <row r="7" spans="1:23" x14ac:dyDescent="0.3">
      <c r="A7" s="23" t="s">
        <v>111</v>
      </c>
      <c r="B7" t="s">
        <v>26</v>
      </c>
      <c r="C7" s="5">
        <v>26.416085227699</v>
      </c>
      <c r="D7">
        <v>84.25</v>
      </c>
      <c r="E7" s="4">
        <v>55.8</v>
      </c>
      <c r="F7" s="4">
        <v>52.96</v>
      </c>
      <c r="G7" s="4">
        <v>74.73</v>
      </c>
      <c r="H7" s="4">
        <v>69.959999999999994</v>
      </c>
      <c r="I7" s="6">
        <v>82.3</v>
      </c>
      <c r="J7" s="4">
        <v>42.95</v>
      </c>
      <c r="K7" s="4">
        <v>64.55</v>
      </c>
      <c r="L7" s="4">
        <v>65.540000000000006</v>
      </c>
      <c r="M7" s="4">
        <v>66.87</v>
      </c>
      <c r="N7" s="4">
        <v>59.87</v>
      </c>
      <c r="O7" s="4">
        <v>36.590000000000003</v>
      </c>
      <c r="P7" s="6">
        <v>92.03</v>
      </c>
      <c r="Q7" s="4">
        <v>71.3</v>
      </c>
      <c r="R7" s="4">
        <v>61.51</v>
      </c>
      <c r="S7" s="4">
        <v>17.489999999999998</v>
      </c>
      <c r="T7" s="6">
        <v>116.28</v>
      </c>
      <c r="U7" s="6">
        <v>141.72</v>
      </c>
      <c r="V7" t="s">
        <v>105</v>
      </c>
    </row>
    <row r="8" spans="1:23" customFormat="1" x14ac:dyDescent="0.3">
      <c r="A8" s="23" t="s">
        <v>104</v>
      </c>
      <c r="B8" t="s">
        <v>26</v>
      </c>
      <c r="C8" s="5">
        <v>22.73070122290504</v>
      </c>
      <c r="D8">
        <v>248.14</v>
      </c>
      <c r="E8" s="4">
        <v>398.93</v>
      </c>
      <c r="F8" s="4">
        <v>166.17</v>
      </c>
      <c r="G8" s="4">
        <v>456.37</v>
      </c>
      <c r="H8" s="4">
        <v>104.72</v>
      </c>
      <c r="I8" s="4">
        <v>-93.93</v>
      </c>
      <c r="J8" s="4">
        <v>155.86000000000001</v>
      </c>
      <c r="K8" s="4">
        <v>356.55</v>
      </c>
      <c r="L8" s="4">
        <v>40.61</v>
      </c>
      <c r="M8" s="6">
        <v>226.24</v>
      </c>
      <c r="N8" s="6">
        <v>387.49</v>
      </c>
      <c r="O8" s="4">
        <v>338.55</v>
      </c>
      <c r="P8" s="4">
        <v>-59.56</v>
      </c>
      <c r="Q8" s="4">
        <v>132.16999999999999</v>
      </c>
      <c r="R8" s="4">
        <v>403.12</v>
      </c>
      <c r="S8" s="4">
        <v>87.63</v>
      </c>
      <c r="T8" s="6">
        <v>185.81</v>
      </c>
      <c r="U8" s="6">
        <v>316</v>
      </c>
      <c r="V8" t="s">
        <v>35</v>
      </c>
    </row>
    <row r="9" spans="1:23" x14ac:dyDescent="0.3">
      <c r="A9" s="23" t="s">
        <v>109</v>
      </c>
      <c r="B9" t="s">
        <v>26</v>
      </c>
      <c r="C9" s="5">
        <v>20.501635768811319</v>
      </c>
      <c r="D9">
        <v>24.862500000000001</v>
      </c>
      <c r="E9" s="4">
        <v>32.15</v>
      </c>
      <c r="F9" s="4">
        <v>66.16</v>
      </c>
      <c r="G9" s="4">
        <v>0</v>
      </c>
      <c r="H9" s="4">
        <v>69.459999999999994</v>
      </c>
      <c r="I9" s="6">
        <v>48.96</v>
      </c>
      <c r="J9" s="4">
        <v>-267.45999999999998</v>
      </c>
      <c r="K9" s="4">
        <v>60.36</v>
      </c>
      <c r="L9" s="6">
        <v>47.29</v>
      </c>
      <c r="M9" s="6">
        <v>33.82</v>
      </c>
      <c r="N9" s="4">
        <v>48.94</v>
      </c>
      <c r="O9" s="4">
        <v>38</v>
      </c>
      <c r="P9" s="4">
        <v>-3.35</v>
      </c>
      <c r="Q9" s="6">
        <v>72.180000000000007</v>
      </c>
      <c r="R9" s="4">
        <v>-183.94</v>
      </c>
      <c r="S9" s="4">
        <v>100.32</v>
      </c>
      <c r="T9" s="4">
        <v>93.97</v>
      </c>
      <c r="U9" s="6">
        <v>89.1</v>
      </c>
      <c r="V9" t="s">
        <v>110</v>
      </c>
    </row>
    <row r="10" spans="1:23" x14ac:dyDescent="0.3">
      <c r="A10" s="23" t="s">
        <v>96</v>
      </c>
      <c r="B10" t="s">
        <v>75</v>
      </c>
      <c r="C10" s="5">
        <v>15.36444677503934</v>
      </c>
      <c r="D10">
        <v>-110</v>
      </c>
      <c r="E10" s="4">
        <v>-44</v>
      </c>
      <c r="F10" s="4">
        <v>-46</v>
      </c>
      <c r="G10" s="4">
        <v>10</v>
      </c>
      <c r="H10" s="4">
        <v>-25</v>
      </c>
      <c r="I10" s="4">
        <v>24</v>
      </c>
      <c r="J10" s="6">
        <v>-81</v>
      </c>
      <c r="K10" s="6">
        <v>-33</v>
      </c>
      <c r="L10" s="4">
        <v>8</v>
      </c>
      <c r="M10" s="4">
        <v>73</v>
      </c>
      <c r="N10" s="6">
        <v>-238</v>
      </c>
      <c r="O10" s="6">
        <v>-94</v>
      </c>
      <c r="P10" s="6">
        <v>-112</v>
      </c>
      <c r="Q10" s="6">
        <v>-81.400000000000006</v>
      </c>
      <c r="R10" s="4">
        <v>-117</v>
      </c>
      <c r="S10" s="4">
        <v>-74</v>
      </c>
      <c r="T10" s="4">
        <v>-109</v>
      </c>
      <c r="U10" s="6">
        <v>-140</v>
      </c>
      <c r="V10" t="s">
        <v>97</v>
      </c>
    </row>
    <row r="11" spans="1:23" x14ac:dyDescent="0.3">
      <c r="A11" s="23" t="s">
        <v>98</v>
      </c>
      <c r="B11" t="s">
        <v>26</v>
      </c>
      <c r="C11" s="5">
        <v>14.040453872718309</v>
      </c>
      <c r="D11">
        <v>260.05500000000001</v>
      </c>
      <c r="E11" s="4">
        <v>135.12</v>
      </c>
      <c r="F11" s="4">
        <v>127.41</v>
      </c>
      <c r="G11" s="4">
        <v>152.12</v>
      </c>
      <c r="H11" s="4">
        <v>171.08</v>
      </c>
      <c r="I11" s="4">
        <v>182.76</v>
      </c>
      <c r="J11" s="4">
        <v>179.02</v>
      </c>
      <c r="K11" s="4">
        <v>157.94</v>
      </c>
      <c r="L11" s="4">
        <v>157.30000000000001</v>
      </c>
      <c r="M11" s="4">
        <v>136.58000000000001</v>
      </c>
      <c r="N11" s="4">
        <v>153.52000000000001</v>
      </c>
      <c r="O11" s="4">
        <v>172.85</v>
      </c>
      <c r="P11" s="4">
        <v>186.54</v>
      </c>
      <c r="Q11" s="4">
        <v>187.34</v>
      </c>
      <c r="R11" s="4">
        <v>121.25</v>
      </c>
      <c r="S11" s="6">
        <v>282.2</v>
      </c>
      <c r="T11" s="6">
        <v>321.36</v>
      </c>
      <c r="U11" s="6">
        <v>315.41000000000003</v>
      </c>
      <c r="V11" t="s">
        <v>99</v>
      </c>
    </row>
    <row r="12" spans="1:23" x14ac:dyDescent="0.3">
      <c r="A12" s="23" t="s">
        <v>29</v>
      </c>
      <c r="B12" t="s">
        <v>26</v>
      </c>
      <c r="C12" s="5">
        <v>14.037202893558391</v>
      </c>
      <c r="D12">
        <v>182.07749999999999</v>
      </c>
      <c r="E12" s="4">
        <v>117.14</v>
      </c>
      <c r="F12" s="4">
        <v>121.5</v>
      </c>
      <c r="G12" s="4">
        <v>105.14</v>
      </c>
      <c r="H12" s="4">
        <v>111.51</v>
      </c>
      <c r="I12" s="4">
        <v>112.43</v>
      </c>
      <c r="J12" s="4">
        <v>-18.920000000000002</v>
      </c>
      <c r="K12" s="6">
        <v>179.08</v>
      </c>
      <c r="L12" s="6">
        <v>183.97</v>
      </c>
      <c r="M12" s="4">
        <v>127.07</v>
      </c>
      <c r="N12" s="6">
        <v>169.07</v>
      </c>
      <c r="O12" s="4">
        <v>161.09</v>
      </c>
      <c r="P12" s="4">
        <v>196</v>
      </c>
      <c r="Q12" s="4">
        <v>192.35</v>
      </c>
      <c r="R12" s="4">
        <v>123.85</v>
      </c>
      <c r="S12" s="4">
        <v>203.46</v>
      </c>
      <c r="T12" s="4">
        <v>119</v>
      </c>
      <c r="U12" s="6">
        <v>282</v>
      </c>
      <c r="V12" t="s">
        <v>30</v>
      </c>
    </row>
    <row r="13" spans="1:23" x14ac:dyDescent="0.3">
      <c r="A13" s="23" t="s">
        <v>117</v>
      </c>
      <c r="B13" t="s">
        <v>26</v>
      </c>
      <c r="C13" s="5">
        <v>13.842813721233171</v>
      </c>
      <c r="D13">
        <v>65.545000000000002</v>
      </c>
      <c r="E13" s="4">
        <v>-1.1200000000000001</v>
      </c>
      <c r="F13" s="4">
        <v>70.2</v>
      </c>
      <c r="G13" s="4">
        <v>82.2</v>
      </c>
      <c r="H13" s="4">
        <v>95.07</v>
      </c>
      <c r="I13" s="6">
        <v>100.29</v>
      </c>
      <c r="J13" s="4">
        <v>81.33</v>
      </c>
      <c r="K13" s="4">
        <v>82.75</v>
      </c>
      <c r="L13" s="4">
        <v>80.14</v>
      </c>
      <c r="M13" s="4">
        <v>70.92</v>
      </c>
      <c r="N13" s="4">
        <v>62.5</v>
      </c>
      <c r="O13" s="4">
        <v>66.39</v>
      </c>
      <c r="P13" s="4">
        <v>55.31</v>
      </c>
      <c r="Q13" s="4">
        <v>62.93</v>
      </c>
      <c r="R13" s="4">
        <v>57.17</v>
      </c>
      <c r="S13" s="4">
        <v>65.81</v>
      </c>
      <c r="T13" s="4">
        <v>44.39</v>
      </c>
      <c r="U13" s="6">
        <v>94.81</v>
      </c>
      <c r="V13" t="s">
        <v>66</v>
      </c>
    </row>
    <row r="14" spans="1:23" x14ac:dyDescent="0.3">
      <c r="A14" s="23" t="s">
        <v>52</v>
      </c>
      <c r="B14" t="s">
        <v>26</v>
      </c>
      <c r="C14" s="5">
        <v>13.499855616517481</v>
      </c>
      <c r="D14">
        <v>19.6525</v>
      </c>
      <c r="E14" s="4">
        <v>24.32</v>
      </c>
      <c r="F14" s="4">
        <v>23.34</v>
      </c>
      <c r="G14" s="4">
        <v>22.56</v>
      </c>
      <c r="H14" s="4">
        <v>25.65</v>
      </c>
      <c r="I14" s="4">
        <v>27.89</v>
      </c>
      <c r="J14" s="4">
        <v>24.67</v>
      </c>
      <c r="K14" s="4">
        <v>19.87</v>
      </c>
      <c r="L14" s="4">
        <v>21.8</v>
      </c>
      <c r="M14" s="4">
        <v>6.58</v>
      </c>
      <c r="N14" s="4">
        <v>6.87</v>
      </c>
      <c r="O14" s="4">
        <v>16</v>
      </c>
      <c r="P14" s="4">
        <v>13.07</v>
      </c>
      <c r="Q14" s="6">
        <v>16.329999999999998</v>
      </c>
      <c r="R14" s="6">
        <v>16.16</v>
      </c>
      <c r="S14" s="4">
        <v>14.46</v>
      </c>
      <c r="T14" s="6">
        <v>22.31</v>
      </c>
      <c r="U14" s="6">
        <v>25.68</v>
      </c>
      <c r="V14" t="s">
        <v>53</v>
      </c>
    </row>
    <row r="15" spans="1:23" x14ac:dyDescent="0.3">
      <c r="A15" s="23" t="s">
        <v>62</v>
      </c>
      <c r="B15" t="s">
        <v>26</v>
      </c>
      <c r="C15" s="5">
        <v>11.93857331571995</v>
      </c>
      <c r="D15">
        <v>16.947500000000002</v>
      </c>
      <c r="E15" s="4">
        <v>19.309999999999999</v>
      </c>
      <c r="F15" s="4">
        <v>18</v>
      </c>
      <c r="G15" s="4">
        <v>20.97</v>
      </c>
      <c r="H15" s="4">
        <v>25.92</v>
      </c>
      <c r="I15" s="6">
        <v>29.49</v>
      </c>
      <c r="J15" s="4">
        <v>26.59</v>
      </c>
      <c r="K15" s="4">
        <v>23.12</v>
      </c>
      <c r="L15" s="4">
        <v>22.25</v>
      </c>
      <c r="M15" s="4">
        <v>18.46</v>
      </c>
      <c r="N15" s="4">
        <v>14.42</v>
      </c>
      <c r="O15" s="4">
        <v>13.07</v>
      </c>
      <c r="P15" s="4">
        <v>14.45</v>
      </c>
      <c r="Q15" s="4">
        <v>14.74</v>
      </c>
      <c r="R15" s="4">
        <v>16.329999999999998</v>
      </c>
      <c r="S15" s="4">
        <v>8.93</v>
      </c>
      <c r="T15" s="6">
        <v>20.56</v>
      </c>
      <c r="U15" s="6">
        <v>21.97</v>
      </c>
      <c r="V15" t="s">
        <v>63</v>
      </c>
    </row>
    <row r="16" spans="1:23" x14ac:dyDescent="0.3">
      <c r="A16" s="23" t="s">
        <v>118</v>
      </c>
      <c r="B16" t="s">
        <v>26</v>
      </c>
      <c r="C16" s="5">
        <v>11.924837388581061</v>
      </c>
      <c r="D16">
        <v>11.615</v>
      </c>
      <c r="E16" s="4">
        <v>5.53</v>
      </c>
      <c r="F16" s="4">
        <v>8.23</v>
      </c>
      <c r="G16" s="4">
        <v>10.87</v>
      </c>
      <c r="H16" s="4">
        <v>13.05</v>
      </c>
      <c r="I16" s="6">
        <v>12.8</v>
      </c>
      <c r="J16" s="4">
        <v>11.42</v>
      </c>
      <c r="K16" s="4">
        <v>12.06</v>
      </c>
      <c r="L16" s="4">
        <v>11.63</v>
      </c>
      <c r="M16" s="4">
        <v>4.75</v>
      </c>
      <c r="N16" s="4">
        <v>8.5299999999999994</v>
      </c>
      <c r="O16" s="4">
        <v>14.25</v>
      </c>
      <c r="P16" s="4">
        <v>9.41</v>
      </c>
      <c r="Q16" s="4">
        <v>8.23</v>
      </c>
      <c r="R16" s="4">
        <v>-0.55000000000000004</v>
      </c>
      <c r="S16" s="4">
        <v>14.91</v>
      </c>
      <c r="T16" s="6">
        <v>18.920000000000002</v>
      </c>
      <c r="U16" s="6">
        <v>13.18</v>
      </c>
      <c r="V16" t="s">
        <v>63</v>
      </c>
    </row>
    <row r="17" spans="1:22" x14ac:dyDescent="0.3">
      <c r="A17" s="23" t="s">
        <v>94</v>
      </c>
      <c r="B17" t="s">
        <v>26</v>
      </c>
      <c r="C17" s="5">
        <v>11.796151104775481</v>
      </c>
      <c r="D17">
        <v>313.7</v>
      </c>
      <c r="E17" s="4">
        <v>806</v>
      </c>
      <c r="F17" s="4">
        <v>399.5</v>
      </c>
      <c r="G17" s="4">
        <v>-37.9</v>
      </c>
      <c r="H17" s="4">
        <v>-103.3</v>
      </c>
      <c r="I17" s="4">
        <v>665.8</v>
      </c>
      <c r="J17" s="4">
        <v>266.10000000000002</v>
      </c>
      <c r="K17" s="6">
        <v>217.5</v>
      </c>
      <c r="L17" s="6">
        <v>80.5</v>
      </c>
      <c r="M17" s="4">
        <v>264.7</v>
      </c>
      <c r="N17" s="6">
        <v>415.2</v>
      </c>
      <c r="O17" s="4">
        <v>135.69999999999999</v>
      </c>
      <c r="P17" s="6">
        <v>448.2</v>
      </c>
      <c r="Q17" s="4">
        <v>148.19999999999999</v>
      </c>
      <c r="R17" s="4">
        <v>325.7</v>
      </c>
      <c r="S17" s="6">
        <v>278</v>
      </c>
      <c r="T17" s="4">
        <v>370.5</v>
      </c>
      <c r="U17" s="6">
        <v>280.60000000000002</v>
      </c>
      <c r="V17" t="s">
        <v>95</v>
      </c>
    </row>
    <row r="18" spans="1:22" customFormat="1" x14ac:dyDescent="0.3">
      <c r="A18" s="23" t="s">
        <v>71</v>
      </c>
      <c r="B18" t="s">
        <v>72</v>
      </c>
      <c r="C18" s="5">
        <v>11.072210065645519</v>
      </c>
      <c r="D18">
        <v>-6.3450000000000006</v>
      </c>
      <c r="E18" s="4">
        <v>-5.01</v>
      </c>
      <c r="F18" s="4">
        <v>-5.18</v>
      </c>
      <c r="G18" s="4">
        <v>-5.37</v>
      </c>
      <c r="H18" s="4">
        <v>-4.87</v>
      </c>
      <c r="I18" s="4">
        <v>-4.6900000000000004</v>
      </c>
      <c r="J18" s="4">
        <v>-5.61</v>
      </c>
      <c r="K18" s="4">
        <v>-5.54</v>
      </c>
      <c r="L18" s="4">
        <v>-5.24</v>
      </c>
      <c r="M18" s="4">
        <v>-5.4</v>
      </c>
      <c r="N18" s="4">
        <v>-6.26</v>
      </c>
      <c r="O18" s="4">
        <v>-7.6</v>
      </c>
      <c r="P18" s="4">
        <v>-5.12</v>
      </c>
      <c r="Q18" s="4">
        <v>-5.95</v>
      </c>
      <c r="R18" s="4">
        <v>-4.8</v>
      </c>
      <c r="S18" s="4">
        <v>-5.82</v>
      </c>
      <c r="T18" s="4">
        <v>-6.28</v>
      </c>
      <c r="U18" s="6">
        <v>-8.48</v>
      </c>
      <c r="V18" t="s">
        <v>24</v>
      </c>
    </row>
    <row r="19" spans="1:22" x14ac:dyDescent="0.3">
      <c r="A19" s="4" t="s">
        <v>115</v>
      </c>
      <c r="B19" t="s">
        <v>26</v>
      </c>
      <c r="C19" s="5">
        <v>9.8413504251808614</v>
      </c>
      <c r="D19">
        <v>108.18</v>
      </c>
      <c r="E19" s="4">
        <v>88.84</v>
      </c>
      <c r="F19" s="4">
        <v>52.74</v>
      </c>
      <c r="G19" s="4">
        <v>45.47</v>
      </c>
      <c r="H19" s="4">
        <v>55.37</v>
      </c>
      <c r="I19" s="6">
        <v>278.18</v>
      </c>
      <c r="J19" s="4">
        <v>50.72</v>
      </c>
      <c r="K19" s="6">
        <v>89.36</v>
      </c>
      <c r="L19" s="4">
        <v>81.05</v>
      </c>
      <c r="M19" s="4">
        <v>25.47</v>
      </c>
      <c r="N19" s="4">
        <v>34.94</v>
      </c>
      <c r="O19" s="4">
        <v>58.6</v>
      </c>
      <c r="P19" s="4">
        <v>-79.989999999999995</v>
      </c>
      <c r="Q19" s="6">
        <v>93.52</v>
      </c>
      <c r="R19" s="6">
        <v>60.46</v>
      </c>
      <c r="S19" s="6">
        <v>102.19</v>
      </c>
      <c r="T19" s="6">
        <v>137.78</v>
      </c>
      <c r="U19" s="4">
        <v>132.29</v>
      </c>
      <c r="V19" t="s">
        <v>73</v>
      </c>
    </row>
    <row r="20" spans="1:22" x14ac:dyDescent="0.3">
      <c r="A20" s="4" t="s">
        <v>80</v>
      </c>
      <c r="B20" t="s">
        <v>26</v>
      </c>
      <c r="C20" s="5">
        <v>8.4544253632760977</v>
      </c>
      <c r="D20">
        <v>2052.5</v>
      </c>
      <c r="E20" s="4">
        <v>3059</v>
      </c>
      <c r="F20" s="4">
        <v>2945</v>
      </c>
      <c r="G20" s="4">
        <v>2564</v>
      </c>
      <c r="H20" s="4">
        <v>2187</v>
      </c>
      <c r="I20" s="4">
        <v>1544</v>
      </c>
      <c r="J20" s="4">
        <v>1163</v>
      </c>
      <c r="K20" s="4">
        <v>1728</v>
      </c>
      <c r="L20" s="4">
        <v>2222</v>
      </c>
      <c r="M20" s="4">
        <v>932</v>
      </c>
      <c r="N20" s="4">
        <v>1582</v>
      </c>
      <c r="O20" s="4">
        <v>651</v>
      </c>
      <c r="P20" s="4">
        <v>2218</v>
      </c>
      <c r="Q20" s="4">
        <v>1459</v>
      </c>
      <c r="R20" s="4">
        <v>1729</v>
      </c>
      <c r="S20" s="4">
        <v>0</v>
      </c>
      <c r="T20" s="6">
        <v>4382</v>
      </c>
      <c r="U20" s="4">
        <v>2099</v>
      </c>
      <c r="V20" t="s">
        <v>116</v>
      </c>
    </row>
    <row r="21" spans="1:22" customFormat="1" x14ac:dyDescent="0.3">
      <c r="A21" s="4" t="s">
        <v>68</v>
      </c>
      <c r="B21" t="s">
        <v>26</v>
      </c>
      <c r="C21" s="5">
        <v>7.3452544704263989</v>
      </c>
      <c r="D21">
        <v>97.55</v>
      </c>
      <c r="E21" s="4">
        <v>98.56</v>
      </c>
      <c r="F21" s="4">
        <v>98.08</v>
      </c>
      <c r="G21" s="4">
        <v>113.16</v>
      </c>
      <c r="H21" s="4">
        <v>130.02000000000001</v>
      </c>
      <c r="I21" s="4">
        <v>131.28</v>
      </c>
      <c r="J21" s="4">
        <v>115.39</v>
      </c>
      <c r="K21" s="4">
        <v>102.67</v>
      </c>
      <c r="L21" s="4">
        <v>92.5</v>
      </c>
      <c r="M21" s="4">
        <v>93.02</v>
      </c>
      <c r="N21" s="4">
        <v>80.040000000000006</v>
      </c>
      <c r="O21" s="4">
        <v>72.58</v>
      </c>
      <c r="P21" s="4">
        <v>78.150000000000006</v>
      </c>
      <c r="Q21" s="4">
        <v>86.77</v>
      </c>
      <c r="R21" s="4">
        <v>86.69</v>
      </c>
      <c r="S21" s="4">
        <v>96.28</v>
      </c>
      <c r="T21" s="4">
        <v>93.76</v>
      </c>
      <c r="U21" s="4">
        <v>113.47</v>
      </c>
      <c r="V21" t="s">
        <v>55</v>
      </c>
    </row>
    <row r="22" spans="1:22" x14ac:dyDescent="0.3">
      <c r="A22" s="4" t="s">
        <v>40</v>
      </c>
      <c r="B22" t="s">
        <v>26</v>
      </c>
      <c r="C22" s="5">
        <v>7.0728768271598463</v>
      </c>
      <c r="D22">
        <v>51.092500000000001</v>
      </c>
      <c r="E22" s="4">
        <v>36.270000000000003</v>
      </c>
      <c r="F22" s="4">
        <v>35.19</v>
      </c>
      <c r="G22" s="4">
        <v>38.130000000000003</v>
      </c>
      <c r="H22" s="4">
        <v>42.44</v>
      </c>
      <c r="I22" s="4">
        <v>41.02</v>
      </c>
      <c r="J22" s="4">
        <v>40.42</v>
      </c>
      <c r="K22" s="4">
        <v>42.07</v>
      </c>
      <c r="L22" s="4">
        <v>42.67</v>
      </c>
      <c r="M22" s="4">
        <v>36.520000000000003</v>
      </c>
      <c r="N22" s="4">
        <v>37.89</v>
      </c>
      <c r="O22" s="4">
        <v>47.72</v>
      </c>
      <c r="P22" s="4">
        <v>45.38</v>
      </c>
      <c r="Q22" s="4">
        <v>40.06</v>
      </c>
      <c r="R22" s="4">
        <v>47.7</v>
      </c>
      <c r="S22" s="4">
        <v>48.13</v>
      </c>
      <c r="T22" s="4">
        <v>54.98</v>
      </c>
      <c r="U22" s="4">
        <v>53.56</v>
      </c>
      <c r="V22" t="s">
        <v>57</v>
      </c>
    </row>
    <row r="23" spans="1:22" x14ac:dyDescent="0.3">
      <c r="A23" s="4" t="s">
        <v>91</v>
      </c>
      <c r="B23" t="s">
        <v>26</v>
      </c>
      <c r="C23" s="5">
        <v>6.8839704397489987</v>
      </c>
      <c r="D23">
        <v>431.36500000000001</v>
      </c>
      <c r="E23" s="4">
        <v>277.08</v>
      </c>
      <c r="F23" s="4">
        <v>297.91000000000003</v>
      </c>
      <c r="G23" s="4">
        <v>341.04</v>
      </c>
      <c r="H23" s="4">
        <v>384.39</v>
      </c>
      <c r="I23" s="4">
        <v>388.32</v>
      </c>
      <c r="J23" s="4">
        <v>421.39</v>
      </c>
      <c r="K23" s="4">
        <v>357.59</v>
      </c>
      <c r="L23" s="4">
        <v>353.55</v>
      </c>
      <c r="M23" s="4">
        <v>327.24</v>
      </c>
      <c r="N23" s="4">
        <v>372.25</v>
      </c>
      <c r="O23" s="4">
        <v>364.47</v>
      </c>
      <c r="P23" s="4">
        <v>389.32</v>
      </c>
      <c r="Q23" s="4">
        <v>355.82</v>
      </c>
      <c r="R23" s="4">
        <v>391.16</v>
      </c>
      <c r="S23" s="4">
        <v>402.23</v>
      </c>
      <c r="T23" s="4">
        <v>465.12</v>
      </c>
      <c r="U23" s="4">
        <v>466.95</v>
      </c>
      <c r="V23" t="s">
        <v>24</v>
      </c>
    </row>
    <row r="24" spans="1:22" x14ac:dyDescent="0.3">
      <c r="A24" s="4" t="s">
        <v>58</v>
      </c>
      <c r="B24" t="s">
        <v>26</v>
      </c>
      <c r="C24" s="5">
        <v>6.036720176872068</v>
      </c>
      <c r="D24">
        <v>27.577500000000001</v>
      </c>
      <c r="E24" s="4">
        <v>14.6</v>
      </c>
      <c r="F24" s="4">
        <v>11.03</v>
      </c>
      <c r="G24" s="4">
        <v>17.239999999999998</v>
      </c>
      <c r="H24" s="4">
        <v>17.38</v>
      </c>
      <c r="I24" s="6">
        <v>22.94</v>
      </c>
      <c r="J24" s="6">
        <v>19.239999999999998</v>
      </c>
      <c r="K24" s="6">
        <v>25.04</v>
      </c>
      <c r="L24" s="6">
        <v>25.97</v>
      </c>
      <c r="M24" s="4">
        <v>20.34</v>
      </c>
      <c r="N24" s="4">
        <v>17.21</v>
      </c>
      <c r="O24" s="4">
        <v>21.77</v>
      </c>
      <c r="P24" s="4">
        <v>22.77</v>
      </c>
      <c r="Q24" s="4">
        <v>21.3</v>
      </c>
      <c r="R24" s="6">
        <v>25.82</v>
      </c>
      <c r="S24" s="4">
        <v>28.03</v>
      </c>
      <c r="T24" s="4">
        <v>28.88</v>
      </c>
      <c r="U24" s="4">
        <v>27.58</v>
      </c>
      <c r="V24" t="s">
        <v>24</v>
      </c>
    </row>
    <row r="25" spans="1:22" x14ac:dyDescent="0.3">
      <c r="A25" s="4" t="s">
        <v>77</v>
      </c>
      <c r="B25" t="s">
        <v>26</v>
      </c>
      <c r="C25" s="5">
        <v>5.8194060358302213</v>
      </c>
      <c r="D25">
        <v>2200.25</v>
      </c>
      <c r="E25" s="4">
        <v>2954</v>
      </c>
      <c r="F25" s="4">
        <v>3011</v>
      </c>
      <c r="G25" s="4">
        <v>2482</v>
      </c>
      <c r="H25" s="4">
        <v>1872</v>
      </c>
      <c r="I25" s="4">
        <v>1748</v>
      </c>
      <c r="J25" s="4">
        <v>1629</v>
      </c>
      <c r="K25" s="4">
        <v>1677</v>
      </c>
      <c r="L25" s="4">
        <v>1769</v>
      </c>
      <c r="M25" s="4">
        <v>2145</v>
      </c>
      <c r="N25" s="4">
        <v>1518</v>
      </c>
      <c r="O25" s="4">
        <v>1808</v>
      </c>
      <c r="P25" s="4">
        <v>1994</v>
      </c>
      <c r="Q25" s="4">
        <v>2040</v>
      </c>
      <c r="R25" s="4">
        <v>1874</v>
      </c>
      <c r="S25" s="4">
        <v>2198</v>
      </c>
      <c r="T25" s="4">
        <v>2205</v>
      </c>
      <c r="U25" s="4">
        <v>2524</v>
      </c>
      <c r="V25" t="s">
        <v>24</v>
      </c>
    </row>
    <row r="26" spans="1:22" x14ac:dyDescent="0.3">
      <c r="A26" s="4" t="s">
        <v>41</v>
      </c>
      <c r="B26" t="s">
        <v>26</v>
      </c>
      <c r="C26" s="5">
        <v>4.8526534990849912</v>
      </c>
      <c r="D26">
        <v>41.54</v>
      </c>
      <c r="E26" s="4">
        <v>38.630000000000003</v>
      </c>
      <c r="F26" s="4">
        <v>28.24</v>
      </c>
      <c r="G26" s="4">
        <v>43.11</v>
      </c>
      <c r="H26" s="4">
        <v>51.49</v>
      </c>
      <c r="I26" s="4">
        <v>51.07</v>
      </c>
      <c r="J26" s="6">
        <v>48.98</v>
      </c>
      <c r="K26" s="4">
        <v>33.450000000000003</v>
      </c>
      <c r="L26" s="4">
        <v>42.07</v>
      </c>
      <c r="M26" s="4">
        <v>36.4</v>
      </c>
      <c r="N26" s="4">
        <v>37.700000000000003</v>
      </c>
      <c r="O26" s="4">
        <v>39.119999999999997</v>
      </c>
      <c r="P26" s="4">
        <v>39.4</v>
      </c>
      <c r="Q26" s="4">
        <v>38.89</v>
      </c>
      <c r="R26" s="4">
        <v>35.299999999999997</v>
      </c>
      <c r="S26" s="4">
        <v>37.81</v>
      </c>
      <c r="T26" s="4">
        <v>46.47</v>
      </c>
      <c r="U26" s="4">
        <v>46.58</v>
      </c>
      <c r="V26" t="s">
        <v>59</v>
      </c>
    </row>
    <row r="27" spans="1:22" x14ac:dyDescent="0.3">
      <c r="A27" s="4" t="s">
        <v>108</v>
      </c>
      <c r="B27" t="s">
        <v>26</v>
      </c>
      <c r="C27" s="5">
        <v>4.5803073805100736</v>
      </c>
      <c r="D27">
        <v>77.402500000000003</v>
      </c>
      <c r="E27" s="4">
        <v>65.98</v>
      </c>
      <c r="F27" s="4">
        <v>66.31</v>
      </c>
      <c r="G27" s="4">
        <v>72.42</v>
      </c>
      <c r="H27" s="4">
        <v>71.44</v>
      </c>
      <c r="I27" s="4">
        <v>70.709999999999994</v>
      </c>
      <c r="J27" s="4">
        <v>64.260000000000005</v>
      </c>
      <c r="K27" s="4">
        <v>62.63</v>
      </c>
      <c r="L27" s="4">
        <v>60.4</v>
      </c>
      <c r="M27" s="4">
        <v>56.01</v>
      </c>
      <c r="N27" s="4">
        <v>64.88</v>
      </c>
      <c r="O27" s="4">
        <v>63.64</v>
      </c>
      <c r="P27" s="4">
        <v>67.34</v>
      </c>
      <c r="Q27" s="4">
        <v>75.989999999999995</v>
      </c>
      <c r="R27" s="4">
        <v>75.16</v>
      </c>
      <c r="S27" s="4">
        <v>81.739999999999995</v>
      </c>
      <c r="T27" s="4">
        <v>63.16</v>
      </c>
      <c r="U27" s="4">
        <v>89.55</v>
      </c>
      <c r="V27" t="s">
        <v>24</v>
      </c>
    </row>
    <row r="28" spans="1:22" x14ac:dyDescent="0.3">
      <c r="A28" s="4" t="s">
        <v>45</v>
      </c>
      <c r="B28" t="s">
        <v>26</v>
      </c>
      <c r="C28" s="5">
        <v>3.941684665226775</v>
      </c>
      <c r="D28">
        <v>43.3125</v>
      </c>
      <c r="E28" s="4">
        <v>23.07</v>
      </c>
      <c r="F28" s="4">
        <v>28.61</v>
      </c>
      <c r="G28" s="4">
        <v>26.11</v>
      </c>
      <c r="H28" s="4">
        <v>30.51</v>
      </c>
      <c r="I28" s="4">
        <v>29.45</v>
      </c>
      <c r="J28" s="4">
        <v>32.24</v>
      </c>
      <c r="K28" s="4">
        <v>35.340000000000003</v>
      </c>
      <c r="L28" s="4">
        <v>38.130000000000003</v>
      </c>
      <c r="M28" s="4">
        <v>39.97</v>
      </c>
      <c r="N28" s="4">
        <v>40.56</v>
      </c>
      <c r="O28" s="4">
        <v>40.119999999999997</v>
      </c>
      <c r="P28" s="4">
        <v>40.04</v>
      </c>
      <c r="Q28" s="4">
        <v>40.36</v>
      </c>
      <c r="R28" s="4">
        <v>37.47</v>
      </c>
      <c r="S28" s="4">
        <v>38.93</v>
      </c>
      <c r="T28" s="4">
        <v>49.92</v>
      </c>
      <c r="U28" s="4">
        <v>46.93</v>
      </c>
      <c r="V28" t="s">
        <v>42</v>
      </c>
    </row>
    <row r="29" spans="1:22" x14ac:dyDescent="0.3">
      <c r="A29" s="4" t="s">
        <v>78</v>
      </c>
      <c r="B29" t="s">
        <v>26</v>
      </c>
      <c r="C29" s="5">
        <v>3.8134846509005</v>
      </c>
      <c r="D29">
        <v>736.375</v>
      </c>
      <c r="E29" s="4">
        <v>450.4</v>
      </c>
      <c r="F29" s="4">
        <v>408.1</v>
      </c>
      <c r="G29" s="4">
        <v>397.6</v>
      </c>
      <c r="H29" s="4">
        <v>398.9</v>
      </c>
      <c r="I29" s="4">
        <v>400.6</v>
      </c>
      <c r="J29" s="4">
        <v>387.6</v>
      </c>
      <c r="K29" s="4">
        <v>463.2</v>
      </c>
      <c r="L29" s="4">
        <v>465.8</v>
      </c>
      <c r="M29" s="4">
        <v>450.2</v>
      </c>
      <c r="N29" s="4">
        <v>469.4</v>
      </c>
      <c r="O29" s="4">
        <v>567.29999999999995</v>
      </c>
      <c r="P29" s="4">
        <v>577.29999999999995</v>
      </c>
      <c r="Q29" s="6">
        <v>756.1</v>
      </c>
      <c r="R29" s="4">
        <v>578.1</v>
      </c>
      <c r="S29" s="4">
        <v>743.4</v>
      </c>
      <c r="T29" s="4">
        <v>759.7</v>
      </c>
      <c r="U29" s="4">
        <v>864.3</v>
      </c>
      <c r="V29" t="s">
        <v>24</v>
      </c>
    </row>
    <row r="30" spans="1:22" x14ac:dyDescent="0.3">
      <c r="A30" s="4" t="s">
        <v>46</v>
      </c>
      <c r="B30" t="s">
        <v>26</v>
      </c>
      <c r="C30" s="5">
        <v>3.7379597197898522</v>
      </c>
      <c r="D30">
        <v>47.387500000000003</v>
      </c>
      <c r="E30" s="4">
        <v>37.479999999999997</v>
      </c>
      <c r="F30" s="4">
        <v>36.39</v>
      </c>
      <c r="G30" s="4">
        <v>38.99</v>
      </c>
      <c r="H30" s="4">
        <v>48.88</v>
      </c>
      <c r="I30" s="6">
        <v>54.94</v>
      </c>
      <c r="J30" s="4">
        <v>53.25</v>
      </c>
      <c r="K30" s="4">
        <v>53.06</v>
      </c>
      <c r="L30" s="4">
        <v>53.42</v>
      </c>
      <c r="M30" s="4">
        <v>50.13</v>
      </c>
      <c r="N30" s="4">
        <v>47.14</v>
      </c>
      <c r="O30" s="4">
        <v>47.31</v>
      </c>
      <c r="P30" s="4">
        <v>47.02</v>
      </c>
      <c r="Q30" s="4">
        <v>42.56</v>
      </c>
      <c r="R30" s="4">
        <v>42.59</v>
      </c>
      <c r="S30" s="4">
        <v>46.59</v>
      </c>
      <c r="T30" s="4">
        <v>50.98</v>
      </c>
      <c r="U30" s="4">
        <v>49.39</v>
      </c>
      <c r="V30" t="s">
        <v>24</v>
      </c>
    </row>
    <row r="31" spans="1:22" hidden="1" x14ac:dyDescent="0.3">
      <c r="A31" t="s">
        <v>49</v>
      </c>
      <c r="B31" t="s">
        <v>34</v>
      </c>
      <c r="C31">
        <v>3.1186938176481331</v>
      </c>
      <c r="D31">
        <v>28.105</v>
      </c>
      <c r="E31">
        <v>24.43</v>
      </c>
      <c r="F31">
        <v>22</v>
      </c>
      <c r="G31">
        <v>21.27</v>
      </c>
      <c r="H31">
        <v>22.96</v>
      </c>
      <c r="I31">
        <v>23.36</v>
      </c>
      <c r="J31">
        <v>23.7</v>
      </c>
      <c r="K31">
        <v>24.91</v>
      </c>
      <c r="L31">
        <v>21.35</v>
      </c>
      <c r="M31">
        <v>20.49</v>
      </c>
      <c r="N31">
        <v>21.65</v>
      </c>
      <c r="O31">
        <v>26.94</v>
      </c>
      <c r="P31">
        <v>26.71</v>
      </c>
      <c r="Q31">
        <v>25.37</v>
      </c>
      <c r="R31">
        <v>25.37</v>
      </c>
      <c r="S31">
        <v>28.15</v>
      </c>
      <c r="T31">
        <v>30.13</v>
      </c>
      <c r="U31">
        <v>28.77</v>
      </c>
      <c r="V31" t="s">
        <v>79</v>
      </c>
    </row>
    <row r="32" spans="1:22" x14ac:dyDescent="0.3">
      <c r="A32" s="4" t="s">
        <v>37</v>
      </c>
      <c r="B32" t="s">
        <v>38</v>
      </c>
      <c r="C32" s="5">
        <v>2.9095310678741049</v>
      </c>
      <c r="D32">
        <v>57.387500000000003</v>
      </c>
      <c r="E32" s="4">
        <v>75.58</v>
      </c>
      <c r="F32" s="4">
        <v>58.1</v>
      </c>
      <c r="G32" s="4">
        <v>30.8</v>
      </c>
      <c r="H32" s="4">
        <v>22.84</v>
      </c>
      <c r="I32" s="4">
        <v>35</v>
      </c>
      <c r="J32" s="4">
        <v>64.540000000000006</v>
      </c>
      <c r="K32" s="6">
        <v>48.85</v>
      </c>
      <c r="L32" s="4">
        <v>33.74</v>
      </c>
      <c r="M32" s="4">
        <v>42.85</v>
      </c>
      <c r="N32" s="6">
        <v>87.09</v>
      </c>
      <c r="O32" s="4">
        <v>51.18</v>
      </c>
      <c r="P32" s="4">
        <v>37.49</v>
      </c>
      <c r="Q32" s="4">
        <v>36.17</v>
      </c>
      <c r="R32" s="4">
        <v>91.36</v>
      </c>
      <c r="S32" s="4">
        <v>47.16</v>
      </c>
      <c r="T32" s="4">
        <v>48.37</v>
      </c>
      <c r="U32" s="4">
        <v>42.66</v>
      </c>
      <c r="V32" t="s">
        <v>44</v>
      </c>
    </row>
    <row r="33" spans="1:22" x14ac:dyDescent="0.3">
      <c r="A33" s="4" t="s">
        <v>27</v>
      </c>
      <c r="B33" t="s">
        <v>26</v>
      </c>
      <c r="C33" s="5">
        <v>2.8974146601195021</v>
      </c>
      <c r="D33">
        <v>173.92750000000001</v>
      </c>
      <c r="E33" s="4">
        <v>-47.69</v>
      </c>
      <c r="F33" s="4">
        <v>148.59</v>
      </c>
      <c r="G33" s="4">
        <v>163.11000000000001</v>
      </c>
      <c r="H33" s="4">
        <v>160.11000000000001</v>
      </c>
      <c r="I33" s="6">
        <v>0</v>
      </c>
      <c r="J33" s="4">
        <v>94.08</v>
      </c>
      <c r="K33" s="4">
        <v>137.72999999999999</v>
      </c>
      <c r="L33" s="4">
        <v>111.51</v>
      </c>
      <c r="M33" s="4">
        <v>0</v>
      </c>
      <c r="N33" s="6">
        <v>152.49</v>
      </c>
      <c r="O33" s="6">
        <v>178.28</v>
      </c>
      <c r="P33" s="6">
        <v>175.92</v>
      </c>
      <c r="Q33" s="6">
        <v>169.51</v>
      </c>
      <c r="R33" s="4">
        <v>169.19</v>
      </c>
      <c r="S33" s="4">
        <v>172.46</v>
      </c>
      <c r="T33" s="4">
        <v>164.96</v>
      </c>
      <c r="U33" s="4">
        <v>189.1</v>
      </c>
      <c r="V33" t="s">
        <v>39</v>
      </c>
    </row>
    <row r="34" spans="1:22" x14ac:dyDescent="0.3">
      <c r="A34" s="4" t="s">
        <v>27</v>
      </c>
      <c r="B34" t="s">
        <v>26</v>
      </c>
      <c r="C34" s="5">
        <v>2.8974146601195021</v>
      </c>
      <c r="D34">
        <v>173.92750000000001</v>
      </c>
      <c r="E34" s="4">
        <v>-47.69</v>
      </c>
      <c r="F34" s="4">
        <v>148.59</v>
      </c>
      <c r="G34" s="4">
        <v>163.11000000000001</v>
      </c>
      <c r="H34" s="4">
        <v>160.11000000000001</v>
      </c>
      <c r="I34" s="6">
        <v>0</v>
      </c>
      <c r="J34" s="4">
        <v>94.08</v>
      </c>
      <c r="K34" s="4">
        <v>137.72999999999999</v>
      </c>
      <c r="L34" s="4">
        <v>111.51</v>
      </c>
      <c r="M34" s="4">
        <v>0</v>
      </c>
      <c r="N34" s="6">
        <v>152.49</v>
      </c>
      <c r="O34" s="6">
        <v>178.28</v>
      </c>
      <c r="P34" s="6">
        <v>175.92</v>
      </c>
      <c r="Q34" s="6">
        <v>169.51</v>
      </c>
      <c r="R34" s="4">
        <v>169.19</v>
      </c>
      <c r="S34" s="4">
        <v>172.46</v>
      </c>
      <c r="T34" s="4">
        <v>164.96</v>
      </c>
      <c r="U34" s="4">
        <v>189.1</v>
      </c>
      <c r="V34" t="s">
        <v>28</v>
      </c>
    </row>
    <row r="35" spans="1:22" x14ac:dyDescent="0.3">
      <c r="A35" s="4" t="s">
        <v>50</v>
      </c>
      <c r="B35" t="s">
        <v>26</v>
      </c>
      <c r="C35" s="5">
        <v>2.7551659361302332</v>
      </c>
      <c r="D35">
        <v>16.41</v>
      </c>
      <c r="E35" s="4">
        <v>7.56</v>
      </c>
      <c r="F35" s="4">
        <v>7.27</v>
      </c>
      <c r="G35" s="4">
        <v>8.64</v>
      </c>
      <c r="H35" s="4">
        <v>10.49</v>
      </c>
      <c r="I35" s="6">
        <v>12.4</v>
      </c>
      <c r="J35" s="6">
        <v>16.57</v>
      </c>
      <c r="K35" s="4">
        <v>12.48</v>
      </c>
      <c r="L35" s="4">
        <v>13.29</v>
      </c>
      <c r="M35" s="4">
        <v>13.54</v>
      </c>
      <c r="N35" s="4">
        <v>13.68</v>
      </c>
      <c r="O35" s="4">
        <v>14.37</v>
      </c>
      <c r="P35" s="4">
        <v>15.56</v>
      </c>
      <c r="Q35" s="4">
        <v>15.67</v>
      </c>
      <c r="R35" s="4">
        <v>15.51</v>
      </c>
      <c r="S35" s="4">
        <v>15.24</v>
      </c>
      <c r="T35" s="4">
        <v>17.46</v>
      </c>
      <c r="U35" s="4">
        <v>17.43</v>
      </c>
      <c r="V35" t="s">
        <v>28</v>
      </c>
    </row>
    <row r="36" spans="1:22" x14ac:dyDescent="0.3">
      <c r="A36" s="4" t="s">
        <v>69</v>
      </c>
      <c r="B36" t="s">
        <v>26</v>
      </c>
      <c r="C36" s="5">
        <v>2.6356935447844791</v>
      </c>
      <c r="D36">
        <v>11.487500000000001</v>
      </c>
      <c r="E36" s="4">
        <v>11.93</v>
      </c>
      <c r="F36" s="4">
        <v>11.34</v>
      </c>
      <c r="G36" s="4">
        <v>13.25</v>
      </c>
      <c r="H36" s="4">
        <v>14.4</v>
      </c>
      <c r="I36" s="4">
        <v>15.86</v>
      </c>
      <c r="J36" s="4">
        <v>16.59</v>
      </c>
      <c r="K36" s="4">
        <v>13.63</v>
      </c>
      <c r="L36" s="4">
        <v>14.31</v>
      </c>
      <c r="M36" s="4">
        <v>12.59</v>
      </c>
      <c r="N36" s="4">
        <v>12.66</v>
      </c>
      <c r="O36" s="4">
        <v>12.79</v>
      </c>
      <c r="P36" s="4">
        <v>13.61</v>
      </c>
      <c r="Q36" s="4">
        <v>13.55</v>
      </c>
      <c r="R36" s="4">
        <v>12.7</v>
      </c>
      <c r="S36" s="4">
        <v>7.48</v>
      </c>
      <c r="T36" s="4">
        <v>11.04</v>
      </c>
      <c r="U36" s="4">
        <v>14.73</v>
      </c>
      <c r="V36" t="s">
        <v>51</v>
      </c>
    </row>
    <row r="37" spans="1:22" x14ac:dyDescent="0.3">
      <c r="A37" s="4" t="s">
        <v>60</v>
      </c>
      <c r="B37" t="s">
        <v>26</v>
      </c>
      <c r="C37" s="5">
        <v>1.9518952273013479</v>
      </c>
      <c r="D37">
        <v>20.239999999999998</v>
      </c>
      <c r="E37" s="4">
        <v>13.94</v>
      </c>
      <c r="F37" s="4">
        <v>10.23</v>
      </c>
      <c r="G37" s="4">
        <v>7.7</v>
      </c>
      <c r="H37" s="4">
        <v>11.84</v>
      </c>
      <c r="I37" s="4">
        <v>17.68</v>
      </c>
      <c r="J37" s="4">
        <v>8.17</v>
      </c>
      <c r="K37" s="6">
        <v>19.47</v>
      </c>
      <c r="L37" s="6">
        <v>18.649999999999999</v>
      </c>
      <c r="M37" s="6">
        <v>25.07</v>
      </c>
      <c r="N37" s="6">
        <v>19.010000000000002</v>
      </c>
      <c r="O37" s="4">
        <v>15.81</v>
      </c>
      <c r="P37" s="4">
        <v>16.8</v>
      </c>
      <c r="Q37" s="4">
        <v>18.29</v>
      </c>
      <c r="R37" s="4">
        <v>18.43</v>
      </c>
      <c r="S37" s="4">
        <v>21.83</v>
      </c>
      <c r="T37" s="4">
        <v>20.86</v>
      </c>
      <c r="U37" s="4">
        <v>19.84</v>
      </c>
      <c r="V37" t="s">
        <v>24</v>
      </c>
    </row>
    <row r="38" spans="1:22" x14ac:dyDescent="0.3">
      <c r="A38" s="4" t="s">
        <v>88</v>
      </c>
      <c r="B38" t="s">
        <v>26</v>
      </c>
      <c r="C38" s="5">
        <v>1.7218139919126909</v>
      </c>
      <c r="D38">
        <v>584.875</v>
      </c>
      <c r="E38" s="4">
        <v>509.6</v>
      </c>
      <c r="F38" s="4">
        <v>510.8</v>
      </c>
      <c r="G38" s="4">
        <v>540.6</v>
      </c>
      <c r="H38" s="4">
        <v>524.5</v>
      </c>
      <c r="I38" s="4">
        <v>190.4</v>
      </c>
      <c r="J38" s="4">
        <v>444</v>
      </c>
      <c r="K38" s="4">
        <v>440.7</v>
      </c>
      <c r="L38" s="4">
        <v>434.3</v>
      </c>
      <c r="M38" s="4">
        <v>145.80000000000001</v>
      </c>
      <c r="N38" s="4">
        <v>290.60000000000002</v>
      </c>
      <c r="O38" s="6">
        <v>1174</v>
      </c>
      <c r="P38" s="4">
        <v>601.1</v>
      </c>
      <c r="Q38" s="6">
        <v>594.20000000000005</v>
      </c>
      <c r="R38" s="4">
        <v>521.4</v>
      </c>
      <c r="S38" s="4">
        <v>564.79999999999995</v>
      </c>
      <c r="T38" s="4">
        <v>619.5</v>
      </c>
      <c r="U38" s="4">
        <v>633.79999999999995</v>
      </c>
      <c r="V38" t="s">
        <v>61</v>
      </c>
    </row>
    <row r="39" spans="1:22" customFormat="1" x14ac:dyDescent="0.3">
      <c r="A39" s="4" t="s">
        <v>67</v>
      </c>
      <c r="B39" t="s">
        <v>23</v>
      </c>
      <c r="C39" s="5">
        <v>1.7197125256673611</v>
      </c>
      <c r="D39">
        <v>9.9075000000000006</v>
      </c>
      <c r="E39" s="4">
        <v>4.42</v>
      </c>
      <c r="F39" s="4">
        <v>5.17</v>
      </c>
      <c r="G39" s="4">
        <v>7.65</v>
      </c>
      <c r="H39" s="4">
        <v>10.029999999999999</v>
      </c>
      <c r="I39" s="6">
        <v>9.07</v>
      </c>
      <c r="J39" s="4">
        <v>7.73</v>
      </c>
      <c r="K39" s="4">
        <v>10.27</v>
      </c>
      <c r="L39" s="4">
        <v>11.03</v>
      </c>
      <c r="M39" s="4">
        <v>7.82</v>
      </c>
      <c r="N39" s="4">
        <v>7.66</v>
      </c>
      <c r="O39" s="4">
        <v>10.55</v>
      </c>
      <c r="P39" s="4">
        <v>9.1300000000000008</v>
      </c>
      <c r="Q39" s="4">
        <v>8.4600000000000009</v>
      </c>
      <c r="R39" s="4">
        <v>6.24</v>
      </c>
      <c r="S39" s="4">
        <v>13.29</v>
      </c>
      <c r="T39" s="4">
        <v>10.97</v>
      </c>
      <c r="U39" s="4">
        <v>9.1300000000000008</v>
      </c>
      <c r="V39" t="s">
        <v>85</v>
      </c>
    </row>
    <row r="40" spans="1:22" x14ac:dyDescent="0.3">
      <c r="A40" s="4" t="s">
        <v>70</v>
      </c>
      <c r="B40" t="s">
        <v>26</v>
      </c>
      <c r="C40" s="5">
        <v>1.110116976505293</v>
      </c>
      <c r="D40">
        <v>76.28</v>
      </c>
      <c r="E40" s="4">
        <v>45.03</v>
      </c>
      <c r="F40" s="4">
        <v>43.71</v>
      </c>
      <c r="G40" s="4">
        <v>55.25</v>
      </c>
      <c r="H40" s="4">
        <v>68.34</v>
      </c>
      <c r="I40" s="6">
        <v>70.14</v>
      </c>
      <c r="J40" s="6">
        <v>74.349999999999994</v>
      </c>
      <c r="K40" s="4">
        <v>69.97</v>
      </c>
      <c r="L40" s="4">
        <v>65.23</v>
      </c>
      <c r="M40" s="4">
        <v>60.41</v>
      </c>
      <c r="N40" s="4">
        <v>64.209999999999994</v>
      </c>
      <c r="O40" s="4">
        <v>65.17</v>
      </c>
      <c r="P40" s="4">
        <v>73.900000000000006</v>
      </c>
      <c r="Q40" s="4">
        <v>72</v>
      </c>
      <c r="R40" s="4">
        <v>71.08</v>
      </c>
      <c r="S40" s="4">
        <v>79.72</v>
      </c>
      <c r="T40" s="4">
        <v>78.97</v>
      </c>
      <c r="U40" s="4">
        <v>75.349999999999994</v>
      </c>
      <c r="V40" t="s">
        <v>89</v>
      </c>
    </row>
    <row r="41" spans="1:22" x14ac:dyDescent="0.3">
      <c r="A41" s="4" t="s">
        <v>102</v>
      </c>
      <c r="B41" t="s">
        <v>26</v>
      </c>
      <c r="C41" s="5">
        <v>0.97411633732258363</v>
      </c>
      <c r="D41">
        <v>72.56</v>
      </c>
      <c r="E41" s="4">
        <v>59.98</v>
      </c>
      <c r="F41" s="4">
        <v>81.78</v>
      </c>
      <c r="G41" s="4">
        <v>93.73</v>
      </c>
      <c r="H41" s="4">
        <v>97.33</v>
      </c>
      <c r="I41" s="6">
        <v>97.44</v>
      </c>
      <c r="J41" s="4">
        <v>73.64</v>
      </c>
      <c r="K41" s="4">
        <v>67.680000000000007</v>
      </c>
      <c r="L41" s="4">
        <v>64.180000000000007</v>
      </c>
      <c r="M41" s="4">
        <v>62.11</v>
      </c>
      <c r="N41" s="4">
        <v>36.380000000000003</v>
      </c>
      <c r="O41" s="4">
        <v>54.21</v>
      </c>
      <c r="P41" s="4">
        <v>62.22</v>
      </c>
      <c r="Q41" s="4">
        <v>73.489999999999995</v>
      </c>
      <c r="R41" s="6">
        <v>63.49</v>
      </c>
      <c r="S41" s="4">
        <v>65.17</v>
      </c>
      <c r="T41" s="4">
        <v>85.29</v>
      </c>
      <c r="U41" s="4">
        <v>76.290000000000006</v>
      </c>
      <c r="V41" t="s">
        <v>44</v>
      </c>
    </row>
    <row r="42" spans="1:22" x14ac:dyDescent="0.3">
      <c r="A42" s="4" t="s">
        <v>90</v>
      </c>
      <c r="B42" t="s">
        <v>72</v>
      </c>
      <c r="C42" s="5">
        <v>0.72370831806523039</v>
      </c>
      <c r="D42">
        <v>274.875</v>
      </c>
      <c r="E42" s="4">
        <v>310.39999999999998</v>
      </c>
      <c r="F42" s="4">
        <v>229.6</v>
      </c>
      <c r="G42" s="4">
        <v>176.4</v>
      </c>
      <c r="H42" s="4">
        <v>241</v>
      </c>
      <c r="I42" s="4">
        <v>280</v>
      </c>
      <c r="J42" s="4">
        <v>229.4</v>
      </c>
      <c r="K42" s="4">
        <v>237.8</v>
      </c>
      <c r="L42" s="4">
        <v>253.8</v>
      </c>
      <c r="M42" s="4">
        <v>313.89999999999998</v>
      </c>
      <c r="N42" s="4">
        <v>239.7</v>
      </c>
      <c r="O42" s="4">
        <v>238.2</v>
      </c>
      <c r="P42" s="4">
        <v>290.3</v>
      </c>
      <c r="Q42" s="4">
        <v>310</v>
      </c>
      <c r="R42" s="4">
        <v>227.1</v>
      </c>
      <c r="S42" s="4">
        <v>259.7</v>
      </c>
      <c r="T42" s="4">
        <v>294.8</v>
      </c>
      <c r="U42" s="4">
        <v>317.89999999999998</v>
      </c>
      <c r="V42" t="s">
        <v>51</v>
      </c>
    </row>
    <row r="43" spans="1:22" x14ac:dyDescent="0.3">
      <c r="A43" s="4" t="s">
        <v>43</v>
      </c>
      <c r="B43" t="s">
        <v>26</v>
      </c>
      <c r="C43" s="5">
        <v>0.64121771438843123</v>
      </c>
      <c r="D43">
        <v>41.984999999999999</v>
      </c>
      <c r="E43" s="4">
        <v>27.22</v>
      </c>
      <c r="F43" s="4">
        <v>36.06</v>
      </c>
      <c r="G43" s="4">
        <v>36.200000000000003</v>
      </c>
      <c r="H43" s="4">
        <v>46.43</v>
      </c>
      <c r="I43" s="6">
        <v>50.25</v>
      </c>
      <c r="J43" s="4">
        <v>49.36</v>
      </c>
      <c r="K43" s="4">
        <v>42.15</v>
      </c>
      <c r="L43" s="4">
        <v>41.27</v>
      </c>
      <c r="M43" s="4">
        <v>46.02</v>
      </c>
      <c r="N43" s="4">
        <v>39.159999999999997</v>
      </c>
      <c r="O43" s="4">
        <v>42.87</v>
      </c>
      <c r="P43" s="4">
        <v>41.44</v>
      </c>
      <c r="Q43" s="4">
        <v>41.35</v>
      </c>
      <c r="R43" s="4">
        <v>41.7</v>
      </c>
      <c r="S43" s="4">
        <v>39.979999999999997</v>
      </c>
      <c r="T43" s="4">
        <v>43.84</v>
      </c>
      <c r="U43" s="4">
        <v>42.42</v>
      </c>
      <c r="V43" t="s">
        <v>103</v>
      </c>
    </row>
    <row r="44" spans="1:22" customFormat="1" x14ac:dyDescent="0.3">
      <c r="A44" s="4" t="s">
        <v>48</v>
      </c>
      <c r="B44" t="s">
        <v>26</v>
      </c>
      <c r="C44" s="5">
        <v>0.15721023295698361</v>
      </c>
      <c r="D44">
        <v>35.04</v>
      </c>
      <c r="E44" s="4">
        <v>20.84</v>
      </c>
      <c r="F44" s="4">
        <v>19.100000000000001</v>
      </c>
      <c r="G44" s="4">
        <v>26.49</v>
      </c>
      <c r="H44" s="4">
        <v>31.01</v>
      </c>
      <c r="I44" s="6">
        <v>31.57</v>
      </c>
      <c r="J44" s="4">
        <v>28.9</v>
      </c>
      <c r="K44" s="4">
        <v>29.46</v>
      </c>
      <c r="L44" s="4">
        <v>31.16</v>
      </c>
      <c r="M44" s="4">
        <v>35.22</v>
      </c>
      <c r="N44" s="4">
        <v>38.53</v>
      </c>
      <c r="O44" s="4">
        <v>35.78</v>
      </c>
      <c r="P44" s="4">
        <v>38.229999999999997</v>
      </c>
      <c r="Q44" s="4">
        <v>33.049999999999997</v>
      </c>
      <c r="R44" s="4">
        <v>34.74</v>
      </c>
      <c r="S44" s="4">
        <v>35.46</v>
      </c>
      <c r="T44" s="4">
        <v>36.69</v>
      </c>
      <c r="U44" s="4">
        <v>33.270000000000003</v>
      </c>
      <c r="V44" t="s">
        <v>24</v>
      </c>
    </row>
    <row r="45" spans="1:22" x14ac:dyDescent="0.3">
      <c r="A45" s="4" t="s">
        <v>22</v>
      </c>
      <c r="B45" t="s">
        <v>23</v>
      </c>
      <c r="C45" s="5">
        <v>-0.25080943043458431</v>
      </c>
      <c r="D45">
        <v>5468.5</v>
      </c>
      <c r="E45" s="4">
        <v>5240</v>
      </c>
      <c r="F45" s="4">
        <v>4103</v>
      </c>
      <c r="G45" s="4">
        <v>4274</v>
      </c>
      <c r="H45" s="4">
        <v>4939</v>
      </c>
      <c r="I45" s="4">
        <v>4873</v>
      </c>
      <c r="J45" s="4">
        <v>4334</v>
      </c>
      <c r="K45" s="4">
        <v>4822</v>
      </c>
      <c r="L45" s="4">
        <v>5865</v>
      </c>
      <c r="M45" s="4">
        <v>5879</v>
      </c>
      <c r="N45" s="4">
        <v>4460</v>
      </c>
      <c r="O45" s="4">
        <v>4947</v>
      </c>
      <c r="P45" s="4">
        <v>5940</v>
      </c>
      <c r="Q45" s="4">
        <v>5895</v>
      </c>
      <c r="R45" s="4">
        <v>4607</v>
      </c>
      <c r="S45" s="4">
        <v>5253</v>
      </c>
      <c r="T45" s="4">
        <v>6174</v>
      </c>
      <c r="U45" s="4">
        <v>5840</v>
      </c>
      <c r="V45" t="s">
        <v>24</v>
      </c>
    </row>
    <row r="46" spans="1:22" x14ac:dyDescent="0.3">
      <c r="A46" s="4" t="s">
        <v>86</v>
      </c>
      <c r="B46" t="s">
        <v>26</v>
      </c>
      <c r="C46" s="5">
        <v>-1.3939838591342619</v>
      </c>
      <c r="D46">
        <v>672</v>
      </c>
      <c r="E46" s="4">
        <v>490</v>
      </c>
      <c r="F46" s="4">
        <v>567</v>
      </c>
      <c r="G46" s="4">
        <v>661</v>
      </c>
      <c r="H46" s="4">
        <v>743</v>
      </c>
      <c r="I46" s="6">
        <v>793</v>
      </c>
      <c r="J46" s="4">
        <v>750</v>
      </c>
      <c r="K46" s="4">
        <v>699</v>
      </c>
      <c r="L46" s="4">
        <v>688</v>
      </c>
      <c r="M46" s="4">
        <v>247</v>
      </c>
      <c r="N46" s="4">
        <v>510</v>
      </c>
      <c r="O46" s="4">
        <v>586</v>
      </c>
      <c r="P46" s="4">
        <v>638</v>
      </c>
      <c r="Q46" s="6">
        <v>669</v>
      </c>
      <c r="R46" s="4">
        <v>653</v>
      </c>
      <c r="S46" s="4">
        <v>638</v>
      </c>
      <c r="T46" s="4">
        <v>766</v>
      </c>
      <c r="U46" s="4">
        <v>631</v>
      </c>
      <c r="V46" t="s">
        <v>44</v>
      </c>
    </row>
    <row r="47" spans="1:22" hidden="1" x14ac:dyDescent="0.3">
      <c r="A47" t="s">
        <v>92</v>
      </c>
      <c r="B47" t="s">
        <v>93</v>
      </c>
      <c r="C47">
        <v>-1.545972335231893</v>
      </c>
      <c r="D47">
        <v>3.0249999999999999</v>
      </c>
      <c r="E47">
        <v>4.28</v>
      </c>
      <c r="F47">
        <v>3.29</v>
      </c>
      <c r="G47">
        <v>3.29</v>
      </c>
      <c r="H47">
        <v>2.41</v>
      </c>
      <c r="I47">
        <v>2.41</v>
      </c>
      <c r="J47">
        <v>3.28</v>
      </c>
      <c r="K47">
        <v>3.28</v>
      </c>
      <c r="L47">
        <v>3.33</v>
      </c>
      <c r="M47">
        <v>3.33</v>
      </c>
      <c r="N47">
        <v>3.18</v>
      </c>
      <c r="O47">
        <v>3.18</v>
      </c>
      <c r="P47">
        <v>3.34</v>
      </c>
      <c r="Q47">
        <v>3.34</v>
      </c>
      <c r="R47">
        <v>2.9</v>
      </c>
      <c r="S47">
        <v>2.9</v>
      </c>
      <c r="T47">
        <v>3.15</v>
      </c>
      <c r="U47">
        <v>3.15</v>
      </c>
      <c r="V47" t="s">
        <v>44</v>
      </c>
    </row>
    <row r="48" spans="1:22" x14ac:dyDescent="0.3">
      <c r="A48" s="4" t="s">
        <v>74</v>
      </c>
      <c r="B48" t="s">
        <v>75</v>
      </c>
      <c r="C48" s="5">
        <v>-1.977401129943501</v>
      </c>
      <c r="D48">
        <v>260.25</v>
      </c>
      <c r="E48" s="4">
        <v>5018</v>
      </c>
      <c r="F48" s="4">
        <v>3130</v>
      </c>
      <c r="G48" s="4">
        <v>-613</v>
      </c>
      <c r="H48" s="4">
        <v>489</v>
      </c>
      <c r="I48" s="4">
        <v>-431</v>
      </c>
      <c r="J48" s="4">
        <v>-1404</v>
      </c>
      <c r="K48" s="6">
        <v>-816</v>
      </c>
      <c r="L48" s="4">
        <v>1152</v>
      </c>
      <c r="M48" s="4">
        <v>1613</v>
      </c>
      <c r="N48" s="6">
        <v>-497</v>
      </c>
      <c r="O48" s="4">
        <v>-1021</v>
      </c>
      <c r="P48" s="4">
        <v>-390</v>
      </c>
      <c r="Q48" s="6">
        <v>724</v>
      </c>
      <c r="R48" s="4">
        <v>-31</v>
      </c>
      <c r="S48" s="4">
        <v>-489</v>
      </c>
      <c r="T48" s="4">
        <v>858</v>
      </c>
      <c r="U48" s="4">
        <v>703</v>
      </c>
      <c r="V48" t="s">
        <v>24</v>
      </c>
    </row>
    <row r="49" spans="1:22" x14ac:dyDescent="0.3">
      <c r="A49" s="4" t="s">
        <v>36</v>
      </c>
      <c r="B49" t="s">
        <v>26</v>
      </c>
      <c r="C49" s="5">
        <v>-2.2422648127270461</v>
      </c>
      <c r="D49">
        <v>58.53</v>
      </c>
      <c r="E49" s="4">
        <v>48.61</v>
      </c>
      <c r="F49" s="4">
        <v>54.09</v>
      </c>
      <c r="G49" s="4">
        <v>59.36</v>
      </c>
      <c r="H49" s="4">
        <v>62.52</v>
      </c>
      <c r="I49" s="4">
        <v>68.14</v>
      </c>
      <c r="J49" s="4">
        <v>65.13</v>
      </c>
      <c r="K49" s="4">
        <v>65.790000000000006</v>
      </c>
      <c r="L49" s="4">
        <v>65.900000000000006</v>
      </c>
      <c r="M49" s="4">
        <v>68.430000000000007</v>
      </c>
      <c r="N49" s="4">
        <v>67.92</v>
      </c>
      <c r="O49" s="4">
        <v>71.260000000000005</v>
      </c>
      <c r="P49" s="4">
        <v>61.78</v>
      </c>
      <c r="Q49" s="4">
        <v>52.79</v>
      </c>
      <c r="R49" s="4">
        <v>59.45</v>
      </c>
      <c r="S49" s="4">
        <v>65.88</v>
      </c>
      <c r="T49" s="4">
        <v>61.37</v>
      </c>
      <c r="U49" s="4">
        <v>47.42</v>
      </c>
      <c r="V49" t="s">
        <v>87</v>
      </c>
    </row>
    <row r="50" spans="1:22" x14ac:dyDescent="0.3">
      <c r="A50" s="4" t="s">
        <v>83</v>
      </c>
      <c r="B50" t="s">
        <v>26</v>
      </c>
      <c r="C50" s="5">
        <v>-2.9290429042904238</v>
      </c>
      <c r="D50">
        <v>1176.5</v>
      </c>
      <c r="E50" s="4">
        <v>1386</v>
      </c>
      <c r="F50" s="4">
        <v>1274</v>
      </c>
      <c r="G50" s="4">
        <v>1610</v>
      </c>
      <c r="H50" s="4">
        <v>1571</v>
      </c>
      <c r="I50" s="4">
        <v>1453</v>
      </c>
      <c r="J50" s="4">
        <v>1445</v>
      </c>
      <c r="K50" s="4">
        <v>1460</v>
      </c>
      <c r="L50" s="4">
        <v>1271</v>
      </c>
      <c r="M50" s="4">
        <v>1320</v>
      </c>
      <c r="N50" s="4">
        <v>1348</v>
      </c>
      <c r="O50" s="4">
        <v>1460</v>
      </c>
      <c r="P50" s="4">
        <v>1364</v>
      </c>
      <c r="Q50" s="4">
        <v>1252</v>
      </c>
      <c r="R50" s="4">
        <v>1048</v>
      </c>
      <c r="S50" s="4">
        <v>1290</v>
      </c>
      <c r="T50" s="4">
        <v>1258</v>
      </c>
      <c r="U50" s="4">
        <v>1110</v>
      </c>
      <c r="V50" t="s">
        <v>76</v>
      </c>
    </row>
    <row r="51" spans="1:22" x14ac:dyDescent="0.3">
      <c r="A51" s="4" t="s">
        <v>64</v>
      </c>
      <c r="B51" t="s">
        <v>26</v>
      </c>
      <c r="C51" s="5">
        <v>-2.936962750716321</v>
      </c>
      <c r="D51">
        <v>20.324999999999999</v>
      </c>
      <c r="E51" s="4">
        <v>15.47</v>
      </c>
      <c r="F51" s="4">
        <v>22.07</v>
      </c>
      <c r="G51" s="4">
        <v>15.88</v>
      </c>
      <c r="H51" s="4">
        <v>21.25</v>
      </c>
      <c r="I51" s="4">
        <v>18.59</v>
      </c>
      <c r="J51" s="4">
        <v>15.88</v>
      </c>
      <c r="K51" s="4">
        <v>18.2</v>
      </c>
      <c r="L51" s="4">
        <v>21.65</v>
      </c>
      <c r="M51" s="4">
        <v>17.95</v>
      </c>
      <c r="N51" s="4">
        <v>19.82</v>
      </c>
      <c r="O51" s="4">
        <v>23.17</v>
      </c>
      <c r="P51" s="4">
        <v>17.29</v>
      </c>
      <c r="Q51" s="4">
        <v>22.77</v>
      </c>
      <c r="R51" s="4">
        <v>19.13</v>
      </c>
      <c r="S51" s="4">
        <v>20.68</v>
      </c>
      <c r="T51" s="4">
        <v>21.18</v>
      </c>
      <c r="U51" s="4">
        <v>20.309999999999999</v>
      </c>
      <c r="V51" t="s">
        <v>24</v>
      </c>
    </row>
    <row r="52" spans="1:22" x14ac:dyDescent="0.3">
      <c r="A52" s="4" t="s">
        <v>25</v>
      </c>
      <c r="B52" t="s">
        <v>26</v>
      </c>
      <c r="C52" s="5">
        <v>-4.8190842138968959</v>
      </c>
      <c r="D52">
        <v>44.587499999999999</v>
      </c>
      <c r="E52" s="4">
        <v>80.510000000000005</v>
      </c>
      <c r="F52" s="4">
        <v>50.99</v>
      </c>
      <c r="G52" s="4">
        <v>60.99</v>
      </c>
      <c r="H52" s="4">
        <v>57.18</v>
      </c>
      <c r="I52" s="4">
        <v>46.77</v>
      </c>
      <c r="J52" s="4">
        <v>44.9</v>
      </c>
      <c r="K52" s="4">
        <v>40.840000000000003</v>
      </c>
      <c r="L52" s="4">
        <v>40.869999999999997</v>
      </c>
      <c r="M52" s="4">
        <v>37.869999999999997</v>
      </c>
      <c r="N52" s="4">
        <v>40.270000000000003</v>
      </c>
      <c r="O52" s="4">
        <v>38.4</v>
      </c>
      <c r="P52" s="4">
        <v>44.87</v>
      </c>
      <c r="Q52" s="4">
        <v>49.34</v>
      </c>
      <c r="R52" s="4">
        <v>45.81</v>
      </c>
      <c r="S52" s="4">
        <v>43.33</v>
      </c>
      <c r="T52" s="4">
        <v>48.9</v>
      </c>
      <c r="U52" s="4">
        <v>40.31</v>
      </c>
      <c r="V52" t="s">
        <v>24</v>
      </c>
    </row>
    <row r="53" spans="1:22" x14ac:dyDescent="0.3">
      <c r="A53" s="4" t="s">
        <v>81</v>
      </c>
      <c r="B53" t="s">
        <v>26</v>
      </c>
      <c r="C53" s="5">
        <v>-5.9317129629629646</v>
      </c>
      <c r="D53">
        <v>1625.5</v>
      </c>
      <c r="E53" s="4">
        <v>2313</v>
      </c>
      <c r="F53" s="4">
        <v>2809</v>
      </c>
      <c r="G53" s="4">
        <v>1734</v>
      </c>
      <c r="H53" s="4">
        <v>962</v>
      </c>
      <c r="I53" s="4">
        <v>1550</v>
      </c>
      <c r="J53" s="4">
        <v>1601</v>
      </c>
      <c r="K53" s="4">
        <v>1410</v>
      </c>
      <c r="L53" s="4">
        <v>1492</v>
      </c>
      <c r="M53" s="4">
        <v>1746</v>
      </c>
      <c r="N53" s="4">
        <v>1634</v>
      </c>
      <c r="O53" s="6">
        <v>2114</v>
      </c>
      <c r="P53" s="4">
        <v>1972</v>
      </c>
      <c r="Q53" s="4">
        <v>1221</v>
      </c>
      <c r="R53" s="4">
        <v>1303</v>
      </c>
      <c r="S53" s="4">
        <v>2432</v>
      </c>
      <c r="T53" s="4">
        <v>1956</v>
      </c>
      <c r="U53" s="4">
        <v>811</v>
      </c>
      <c r="V53" t="s">
        <v>24</v>
      </c>
    </row>
    <row r="54" spans="1:22" x14ac:dyDescent="0.3">
      <c r="A54" s="4" t="s">
        <v>106</v>
      </c>
      <c r="B54" t="s">
        <v>26</v>
      </c>
      <c r="C54" s="5">
        <v>-7.3949579831932732</v>
      </c>
      <c r="D54">
        <v>137.75</v>
      </c>
      <c r="E54" s="4">
        <v>64</v>
      </c>
      <c r="F54" s="4">
        <v>-220</v>
      </c>
      <c r="G54" s="4">
        <v>387</v>
      </c>
      <c r="H54" s="4">
        <v>480</v>
      </c>
      <c r="I54" s="4">
        <v>135</v>
      </c>
      <c r="J54" s="6">
        <v>-107</v>
      </c>
      <c r="K54" s="6">
        <v>520</v>
      </c>
      <c r="L54" s="4">
        <v>328</v>
      </c>
      <c r="M54" s="4">
        <v>77</v>
      </c>
      <c r="N54" s="4">
        <v>-145</v>
      </c>
      <c r="O54" s="4">
        <v>464</v>
      </c>
      <c r="P54" s="6">
        <v>412</v>
      </c>
      <c r="Q54" s="6">
        <v>158</v>
      </c>
      <c r="R54" s="4">
        <v>-110</v>
      </c>
      <c r="S54" s="4">
        <v>334</v>
      </c>
      <c r="T54" s="4">
        <v>213</v>
      </c>
      <c r="U54" s="4">
        <v>114</v>
      </c>
      <c r="V54" t="s">
        <v>24</v>
      </c>
    </row>
    <row r="55" spans="1:22" x14ac:dyDescent="0.3">
      <c r="A55" s="4" t="s">
        <v>47</v>
      </c>
      <c r="B55" t="s">
        <v>26</v>
      </c>
      <c r="C55" s="5">
        <v>-10.104935872522359</v>
      </c>
      <c r="D55">
        <v>23.13</v>
      </c>
      <c r="E55" s="4">
        <v>26.74</v>
      </c>
      <c r="F55" s="4">
        <v>33.729999999999997</v>
      </c>
      <c r="G55" s="4">
        <v>38.42</v>
      </c>
      <c r="H55" s="4">
        <v>51.1</v>
      </c>
      <c r="I55" s="6">
        <v>70.66</v>
      </c>
      <c r="J55" s="4">
        <v>36.549999999999997</v>
      </c>
      <c r="K55" s="4">
        <v>36.880000000000003</v>
      </c>
      <c r="L55" s="4">
        <v>26.99</v>
      </c>
      <c r="M55" s="4">
        <v>36.340000000000003</v>
      </c>
      <c r="N55" s="4">
        <v>39.25</v>
      </c>
      <c r="O55" s="4">
        <v>31.51</v>
      </c>
      <c r="P55" s="4">
        <v>32.65</v>
      </c>
      <c r="Q55" s="4">
        <v>27.25</v>
      </c>
      <c r="R55" s="4">
        <v>28.27</v>
      </c>
      <c r="S55" s="4">
        <v>24.86</v>
      </c>
      <c r="T55" s="4">
        <v>22.54</v>
      </c>
      <c r="U55" s="4">
        <v>16.850000000000001</v>
      </c>
      <c r="V55" t="s">
        <v>82</v>
      </c>
    </row>
    <row r="56" spans="1:22" hidden="1" x14ac:dyDescent="0.3">
      <c r="A56" t="s">
        <v>33</v>
      </c>
      <c r="B56" t="s">
        <v>34</v>
      </c>
      <c r="C56">
        <v>-10.47789068937106</v>
      </c>
      <c r="D56">
        <v>32.594999999999999</v>
      </c>
      <c r="E56">
        <v>11.8</v>
      </c>
      <c r="F56">
        <v>19.13</v>
      </c>
      <c r="G56">
        <v>-9.31</v>
      </c>
      <c r="H56">
        <v>20.04</v>
      </c>
      <c r="I56" s="2">
        <v>31.64</v>
      </c>
      <c r="J56">
        <v>16.670000000000002</v>
      </c>
      <c r="K56" s="2">
        <v>8.86</v>
      </c>
      <c r="L56" s="2">
        <v>30.43</v>
      </c>
      <c r="M56">
        <v>33.17</v>
      </c>
      <c r="N56">
        <v>23.37</v>
      </c>
      <c r="O56" s="2">
        <v>25.23</v>
      </c>
      <c r="P56">
        <v>37.590000000000003</v>
      </c>
      <c r="Q56">
        <v>44.18</v>
      </c>
      <c r="R56" s="2">
        <v>43.99</v>
      </c>
      <c r="S56">
        <v>25.78</v>
      </c>
      <c r="T56">
        <v>31.69</v>
      </c>
      <c r="U56">
        <v>28.92</v>
      </c>
      <c r="V56" t="s">
        <v>107</v>
      </c>
    </row>
    <row r="57" spans="1:22" x14ac:dyDescent="0.3">
      <c r="A57" s="4" t="s">
        <v>100</v>
      </c>
      <c r="B57" t="s">
        <v>26</v>
      </c>
      <c r="C57" s="5">
        <v>-14.210178453403829</v>
      </c>
      <c r="D57">
        <v>324.5</v>
      </c>
      <c r="E57" s="4">
        <v>734</v>
      </c>
      <c r="F57" s="4">
        <v>898</v>
      </c>
      <c r="G57" s="4">
        <v>736</v>
      </c>
      <c r="H57" s="4">
        <v>-24</v>
      </c>
      <c r="I57" s="4">
        <v>-104</v>
      </c>
      <c r="J57" s="4">
        <v>6</v>
      </c>
      <c r="K57" s="4">
        <v>-52</v>
      </c>
      <c r="L57" s="6">
        <v>-99</v>
      </c>
      <c r="M57" s="4">
        <v>54</v>
      </c>
      <c r="N57" s="6">
        <v>-32</v>
      </c>
      <c r="O57" s="4">
        <v>140</v>
      </c>
      <c r="P57" s="6">
        <v>266</v>
      </c>
      <c r="Q57" s="6">
        <v>591</v>
      </c>
      <c r="R57" s="6">
        <v>706</v>
      </c>
      <c r="S57" s="4">
        <v>133</v>
      </c>
      <c r="T57" s="4">
        <v>83</v>
      </c>
      <c r="U57" s="4">
        <v>376</v>
      </c>
      <c r="V57" t="s">
        <v>44</v>
      </c>
    </row>
    <row r="58" spans="1:22" x14ac:dyDescent="0.3">
      <c r="A58" s="4" t="s">
        <v>56</v>
      </c>
      <c r="B58" t="s">
        <v>26</v>
      </c>
      <c r="C58" s="5">
        <v>-19.584245076586431</v>
      </c>
      <c r="D58">
        <v>16.537500000000001</v>
      </c>
      <c r="E58" s="4">
        <v>84.48</v>
      </c>
      <c r="F58" s="4">
        <v>18.13</v>
      </c>
      <c r="G58" s="4">
        <v>10.59</v>
      </c>
      <c r="H58" s="4">
        <v>22.43</v>
      </c>
      <c r="I58" s="4">
        <v>27.45</v>
      </c>
      <c r="J58" s="4">
        <v>25.24</v>
      </c>
      <c r="K58" s="4">
        <v>8.92</v>
      </c>
      <c r="L58" s="4">
        <v>28.08</v>
      </c>
      <c r="M58" s="4">
        <v>-20.91</v>
      </c>
      <c r="N58" s="4">
        <v>13.46</v>
      </c>
      <c r="O58" s="4">
        <v>6.32</v>
      </c>
      <c r="P58" s="4">
        <v>-61.89</v>
      </c>
      <c r="Q58" s="4">
        <v>18.02</v>
      </c>
      <c r="R58" s="4">
        <v>15.43</v>
      </c>
      <c r="S58" s="4">
        <v>29.8</v>
      </c>
      <c r="T58" s="6">
        <v>19.010000000000002</v>
      </c>
      <c r="U58" s="4">
        <v>1.91</v>
      </c>
      <c r="V58" t="s">
        <v>101</v>
      </c>
    </row>
    <row r="59" spans="1:22" hidden="1" x14ac:dyDescent="0.3">
      <c r="A59" t="s">
        <v>54</v>
      </c>
      <c r="B59" t="s">
        <v>34</v>
      </c>
      <c r="C59">
        <v>-197.23052918996231</v>
      </c>
      <c r="D59">
        <v>18.695</v>
      </c>
      <c r="E59">
        <v>20.82</v>
      </c>
      <c r="F59">
        <v>18.98</v>
      </c>
      <c r="G59">
        <v>17.34</v>
      </c>
      <c r="H59">
        <v>16.71</v>
      </c>
      <c r="I59">
        <v>23.06</v>
      </c>
      <c r="J59">
        <v>19.489999999999998</v>
      </c>
      <c r="K59">
        <v>1.78</v>
      </c>
      <c r="L59">
        <v>9.19</v>
      </c>
      <c r="M59">
        <v>11.34</v>
      </c>
      <c r="N59">
        <v>2.52</v>
      </c>
      <c r="O59">
        <v>4.2300000000000004</v>
      </c>
      <c r="P59" s="2">
        <v>20.87</v>
      </c>
      <c r="Q59">
        <v>-130.19999999999999</v>
      </c>
      <c r="R59">
        <v>21.11</v>
      </c>
      <c r="S59">
        <v>19.600000000000001</v>
      </c>
      <c r="T59" s="2">
        <v>12.58</v>
      </c>
      <c r="U59">
        <v>21.49</v>
      </c>
      <c r="V59" t="s">
        <v>57</v>
      </c>
    </row>
  </sheetData>
  <autoFilter ref="A2:U59" xr:uid="{00000000-0001-0000-0000-000000000000}">
    <filterColumn colId="1">
      <filters>
        <filter val="('Q1 2026', &quot;Dec '25 Dec 31, 2025&quot;)"/>
        <filter val="('Q2 2026', &quot;Dec '25 Dec 31, 2025&quot;)"/>
        <filter val="('Q4 2025', &quot;Dec '25 Dec 27, 2025&quot;)"/>
        <filter val="('Q4 2025', &quot;Dec '25 Dec 31, 2025&quot;)"/>
        <filter val="('Q4 2025', &quot;Nov '25 Nov 30, 2025&quot;)"/>
      </filters>
    </filterColumn>
    <sortState xmlns:xlrd2="http://schemas.microsoft.com/office/spreadsheetml/2017/richdata2" ref="A3:U59">
      <sortCondition descending="1" ref="C2"/>
    </sortState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7AB6-DB27-469A-8B7C-89C1FA6DF95B}">
  <dimension ref="B4:Y15"/>
  <sheetViews>
    <sheetView workbookViewId="0">
      <selection activeCell="V17" sqref="V17:V18"/>
    </sheetView>
  </sheetViews>
  <sheetFormatPr defaultRowHeight="16.5" x14ac:dyDescent="0.3"/>
  <cols>
    <col min="2" max="2" width="18.125" customWidth="1"/>
    <col min="3" max="6" width="0" hidden="1" customWidth="1"/>
  </cols>
  <sheetData>
    <row r="4" spans="2:25" x14ac:dyDescent="0.3">
      <c r="B4" s="7" t="s">
        <v>139</v>
      </c>
      <c r="C4">
        <v>5</v>
      </c>
      <c r="D4">
        <v>6</v>
      </c>
      <c r="E4">
        <v>7</v>
      </c>
      <c r="F4">
        <v>8</v>
      </c>
      <c r="G4">
        <v>9</v>
      </c>
      <c r="H4">
        <v>10</v>
      </c>
      <c r="I4">
        <v>11</v>
      </c>
      <c r="J4">
        <v>12</v>
      </c>
      <c r="K4">
        <v>13</v>
      </c>
      <c r="L4">
        <v>14</v>
      </c>
      <c r="M4">
        <v>15</v>
      </c>
      <c r="N4">
        <v>16</v>
      </c>
      <c r="O4">
        <v>17</v>
      </c>
      <c r="P4">
        <v>18</v>
      </c>
      <c r="Q4">
        <v>19</v>
      </c>
      <c r="R4">
        <v>20</v>
      </c>
      <c r="S4">
        <v>21</v>
      </c>
      <c r="T4" s="8"/>
      <c r="U4" s="8"/>
      <c r="V4" s="8"/>
      <c r="W4" s="8"/>
      <c r="Y4" t="s">
        <v>140</v>
      </c>
    </row>
    <row r="5" spans="2:25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Y5" s="27" t="s">
        <v>141</v>
      </c>
    </row>
    <row r="6" spans="2:25" x14ac:dyDescent="0.3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2:25" x14ac:dyDescent="0.3">
      <c r="B7" s="9"/>
      <c r="C7" s="10" t="s">
        <v>119</v>
      </c>
      <c r="D7" s="10" t="s">
        <v>120</v>
      </c>
      <c r="E7" s="10" t="s">
        <v>121</v>
      </c>
      <c r="F7" s="10" t="s">
        <v>122</v>
      </c>
      <c r="G7" s="10" t="s">
        <v>123</v>
      </c>
      <c r="H7" s="10" t="s">
        <v>9</v>
      </c>
      <c r="I7" s="10" t="s">
        <v>124</v>
      </c>
      <c r="J7" s="10" t="s">
        <v>125</v>
      </c>
      <c r="K7" s="10" t="s">
        <v>126</v>
      </c>
      <c r="L7" s="10" t="s">
        <v>13</v>
      </c>
      <c r="M7" s="10" t="s">
        <v>14</v>
      </c>
      <c r="N7" s="10" t="s">
        <v>15</v>
      </c>
      <c r="O7" s="10" t="s">
        <v>16</v>
      </c>
      <c r="P7" s="10" t="s">
        <v>17</v>
      </c>
      <c r="Q7" s="10" t="s">
        <v>18</v>
      </c>
      <c r="R7" s="10" t="s">
        <v>19</v>
      </c>
      <c r="S7" s="11" t="s">
        <v>20</v>
      </c>
      <c r="T7" s="10" t="s">
        <v>127</v>
      </c>
      <c r="U7" s="10" t="s">
        <v>128</v>
      </c>
      <c r="V7" s="10" t="s">
        <v>129</v>
      </c>
      <c r="W7" s="10" t="s">
        <v>130</v>
      </c>
    </row>
    <row r="8" spans="2:25" x14ac:dyDescent="0.3">
      <c r="B8" s="8" t="s">
        <v>131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3"/>
      <c r="T8" s="12"/>
      <c r="U8" s="12"/>
      <c r="V8" s="12"/>
      <c r="W8" s="12"/>
    </row>
    <row r="9" spans="2:25" x14ac:dyDescent="0.3">
      <c r="B9" s="8" t="s">
        <v>132</v>
      </c>
      <c r="C9" s="21">
        <f>VLOOKUP($B$4,영업이익!$A$1:$U$58,C4,FALSE)</f>
        <v>55.8</v>
      </c>
      <c r="D9" s="21">
        <f>VLOOKUP($B$4,영업이익!$A$1:$U$58,D4,FALSE)</f>
        <v>52.96</v>
      </c>
      <c r="E9" s="21">
        <f>VLOOKUP($B$4,영업이익!$A$1:$U$58,E4,FALSE)</f>
        <v>74.73</v>
      </c>
      <c r="F9" s="21">
        <f>VLOOKUP($B$4,영업이익!$A$1:$U$58,F4,FALSE)</f>
        <v>69.959999999999994</v>
      </c>
      <c r="G9" s="21">
        <f>VLOOKUP($B$4,영업이익!$A$1:$U$58,G4,FALSE)</f>
        <v>82.3</v>
      </c>
      <c r="H9" s="21">
        <f>VLOOKUP($B$4,영업이익!$A$1:$U$58,H4,FALSE)</f>
        <v>42.95</v>
      </c>
      <c r="I9" s="21">
        <f>VLOOKUP($B$4,영업이익!$A$1:$U$58,I4,FALSE)</f>
        <v>64.55</v>
      </c>
      <c r="J9" s="21">
        <f>VLOOKUP($B$4,영업이익!$A$1:$U$58,J4,FALSE)</f>
        <v>65.540000000000006</v>
      </c>
      <c r="K9" s="21">
        <f>VLOOKUP($B$4,영업이익!$A$1:$U$58,K4,FALSE)</f>
        <v>66.87</v>
      </c>
      <c r="L9" s="21">
        <f>VLOOKUP($B$4,영업이익!$A$1:$U$58,L4,FALSE)</f>
        <v>59.87</v>
      </c>
      <c r="M9" s="21">
        <f>VLOOKUP($B$4,영업이익!$A$1:$U$58,M4,FALSE)</f>
        <v>36.590000000000003</v>
      </c>
      <c r="N9" s="21">
        <f>VLOOKUP($B$4,영업이익!$A$1:$U$58,N4,FALSE)</f>
        <v>92.03</v>
      </c>
      <c r="O9" s="21">
        <f>VLOOKUP($B$4,영업이익!$A$1:$U$58,O4,FALSE)</f>
        <v>71.3</v>
      </c>
      <c r="P9" s="21">
        <f>VLOOKUP($B$4,영업이익!$A$1:$U$58,P4,FALSE)</f>
        <v>61.51</v>
      </c>
      <c r="Q9" s="21">
        <f>VLOOKUP($B$4,영업이익!$A$1:$U$58,Q4,FALSE)</f>
        <v>17.489999999999998</v>
      </c>
      <c r="R9" s="21">
        <f>VLOOKUP($B$4,영업이익!$A$1:$U$58,R4,FALSE)</f>
        <v>116.28</v>
      </c>
      <c r="S9" s="21">
        <f>VLOOKUP($B$4,영업이익!$A$1:$U$58,S4,FALSE)</f>
        <v>141.72</v>
      </c>
      <c r="T9" s="12"/>
      <c r="U9" s="12"/>
      <c r="V9" s="12"/>
      <c r="W9" s="12"/>
    </row>
    <row r="10" spans="2:25" x14ac:dyDescent="0.3">
      <c r="B10" s="8" t="s">
        <v>133</v>
      </c>
      <c r="C10" s="21">
        <f>AVERAGE(C9:C9)</f>
        <v>55.8</v>
      </c>
      <c r="D10" s="21">
        <f>AVERAGE(C9:D9)</f>
        <v>54.379999999999995</v>
      </c>
      <c r="E10" s="21">
        <f>AVERAGE(C9:E9)</f>
        <v>61.163333333333334</v>
      </c>
      <c r="F10" s="21">
        <f t="shared" ref="F10:R10" si="0">AVERAGE(C9:F9)</f>
        <v>63.362499999999997</v>
      </c>
      <c r="G10" s="21">
        <f t="shared" si="0"/>
        <v>69.987499999999997</v>
      </c>
      <c r="H10" s="21">
        <f t="shared" si="0"/>
        <v>67.484999999999999</v>
      </c>
      <c r="I10" s="21">
        <f t="shared" si="0"/>
        <v>64.94</v>
      </c>
      <c r="J10" s="21">
        <f t="shared" si="0"/>
        <v>63.835000000000008</v>
      </c>
      <c r="K10" s="21">
        <f t="shared" si="0"/>
        <v>59.977500000000006</v>
      </c>
      <c r="L10" s="21">
        <f t="shared" si="0"/>
        <v>64.207499999999996</v>
      </c>
      <c r="M10" s="21">
        <f t="shared" si="0"/>
        <v>57.217500000000008</v>
      </c>
      <c r="N10" s="21">
        <f t="shared" si="0"/>
        <v>63.84</v>
      </c>
      <c r="O10" s="21">
        <f t="shared" si="0"/>
        <v>64.947500000000005</v>
      </c>
      <c r="P10" s="21">
        <f t="shared" si="0"/>
        <v>65.357500000000002</v>
      </c>
      <c r="Q10" s="21">
        <f t="shared" si="0"/>
        <v>60.582499999999996</v>
      </c>
      <c r="R10" s="21">
        <f t="shared" si="0"/>
        <v>66.64500000000001</v>
      </c>
      <c r="S10" s="22">
        <f>AVERAGE(P9:S9)</f>
        <v>84.25</v>
      </c>
      <c r="T10" s="12"/>
      <c r="U10" s="12"/>
      <c r="V10" s="12"/>
      <c r="W10" s="12"/>
    </row>
    <row r="11" spans="2:25" x14ac:dyDescent="0.3">
      <c r="B11" s="8" t="s">
        <v>134</v>
      </c>
      <c r="C11" s="21">
        <f>SUM(C9:C9)</f>
        <v>55.8</v>
      </c>
      <c r="D11" s="21">
        <f>SUM(C9:D9)</f>
        <v>108.75999999999999</v>
      </c>
      <c r="E11" s="21">
        <f>SUM(C9:E9)</f>
        <v>183.49</v>
      </c>
      <c r="F11" s="21">
        <f t="shared" ref="F11:S11" si="1">SUM(C9:F9)</f>
        <v>253.45</v>
      </c>
      <c r="G11" s="21">
        <f t="shared" si="1"/>
        <v>279.95</v>
      </c>
      <c r="H11" s="21">
        <f t="shared" si="1"/>
        <v>269.94</v>
      </c>
      <c r="I11" s="21">
        <f t="shared" si="1"/>
        <v>259.76</v>
      </c>
      <c r="J11" s="21">
        <f t="shared" si="1"/>
        <v>255.34000000000003</v>
      </c>
      <c r="K11" s="21">
        <f t="shared" si="1"/>
        <v>239.91000000000003</v>
      </c>
      <c r="L11" s="21">
        <f t="shared" si="1"/>
        <v>256.83</v>
      </c>
      <c r="M11" s="21">
        <f t="shared" si="1"/>
        <v>228.87000000000003</v>
      </c>
      <c r="N11" s="21">
        <f t="shared" si="1"/>
        <v>255.36</v>
      </c>
      <c r="O11" s="21">
        <f t="shared" si="1"/>
        <v>259.79000000000002</v>
      </c>
      <c r="P11" s="21">
        <f t="shared" si="1"/>
        <v>261.43</v>
      </c>
      <c r="Q11" s="21">
        <f t="shared" si="1"/>
        <v>242.32999999999998</v>
      </c>
      <c r="R11" s="21">
        <f t="shared" si="1"/>
        <v>266.58000000000004</v>
      </c>
      <c r="S11" s="22">
        <f t="shared" si="1"/>
        <v>337</v>
      </c>
      <c r="T11" s="12"/>
      <c r="U11" s="12"/>
      <c r="V11" s="12"/>
      <c r="W11" s="12"/>
    </row>
    <row r="12" spans="2:25" x14ac:dyDescent="0.3">
      <c r="B12" s="8" t="s">
        <v>135</v>
      </c>
      <c r="C12" s="24"/>
      <c r="D12" s="24">
        <f>D10/C10-1</f>
        <v>-2.544802867383511E-2</v>
      </c>
      <c r="E12" s="24">
        <f>E10/D10-1</f>
        <v>0.12473948755669984</v>
      </c>
      <c r="F12" s="24">
        <f>F10/E10-1</f>
        <v>3.59556379094228E-2</v>
      </c>
      <c r="G12" s="24">
        <f>G10/F10-1</f>
        <v>0.10455711185638195</v>
      </c>
      <c r="H12" s="24">
        <f>H10/G10-1</f>
        <v>-3.575638506876222E-2</v>
      </c>
      <c r="I12" s="24">
        <f>I10/H10-1</f>
        <v>-3.77120841668519E-2</v>
      </c>
      <c r="J12" s="24">
        <f>J10/I10-1</f>
        <v>-1.7015706806282616E-2</v>
      </c>
      <c r="K12" s="24">
        <f>K10/J10-1</f>
        <v>-6.0429231612751599E-2</v>
      </c>
      <c r="L12" s="24">
        <f>L10/K10-1</f>
        <v>7.0526447417781579E-2</v>
      </c>
      <c r="M12" s="24">
        <f>M10/L10-1</f>
        <v>-0.10886578670716018</v>
      </c>
      <c r="N12" s="24">
        <f>N10/M10-1</f>
        <v>0.1157425612793288</v>
      </c>
      <c r="O12" s="24">
        <f>O10/N10-1</f>
        <v>1.7348057644110293E-2</v>
      </c>
      <c r="P12" s="25">
        <f>P10/O10-1</f>
        <v>6.3127911005043114E-3</v>
      </c>
      <c r="Q12" s="25">
        <f>Q10/P10-1</f>
        <v>-7.3059710056229243E-2</v>
      </c>
      <c r="R12" s="25">
        <f>R10/Q10-1</f>
        <v>0.1000701522716958</v>
      </c>
      <c r="S12" s="26">
        <f>S10/R10-1</f>
        <v>0.26416085227698982</v>
      </c>
      <c r="T12" s="14"/>
      <c r="U12" s="14"/>
      <c r="V12" s="14"/>
      <c r="W12" s="14"/>
    </row>
    <row r="13" spans="2:25" x14ac:dyDescent="0.3">
      <c r="B13" s="8" t="s">
        <v>136</v>
      </c>
      <c r="C13" s="15" t="str">
        <f t="shared" ref="C13:F13" si="2">IFERROR(C9/C8,"-")</f>
        <v>-</v>
      </c>
      <c r="D13" s="15" t="str">
        <f t="shared" si="2"/>
        <v>-</v>
      </c>
      <c r="E13" s="15" t="str">
        <f t="shared" si="2"/>
        <v>-</v>
      </c>
      <c r="F13" s="15" t="str">
        <f t="shared" si="2"/>
        <v>-</v>
      </c>
      <c r="G13" s="15" t="str">
        <f>IFERROR(G9/G8,"-")</f>
        <v>-</v>
      </c>
      <c r="H13" s="15" t="str">
        <f t="shared" ref="H13:S13" si="3">IFERROR(H9/H8,"-")</f>
        <v>-</v>
      </c>
      <c r="I13" s="15" t="str">
        <f t="shared" si="3"/>
        <v>-</v>
      </c>
      <c r="J13" s="15" t="str">
        <f t="shared" si="3"/>
        <v>-</v>
      </c>
      <c r="K13" s="15" t="str">
        <f t="shared" si="3"/>
        <v>-</v>
      </c>
      <c r="L13" s="15" t="str">
        <f t="shared" si="3"/>
        <v>-</v>
      </c>
      <c r="M13" s="15" t="str">
        <f t="shared" si="3"/>
        <v>-</v>
      </c>
      <c r="N13" s="15" t="str">
        <f t="shared" si="3"/>
        <v>-</v>
      </c>
      <c r="O13" s="15" t="str">
        <f t="shared" si="3"/>
        <v>-</v>
      </c>
      <c r="P13" s="15" t="str">
        <f t="shared" si="3"/>
        <v>-</v>
      </c>
      <c r="Q13" s="15" t="str">
        <f t="shared" si="3"/>
        <v>-</v>
      </c>
      <c r="R13" s="15" t="str">
        <f t="shared" si="3"/>
        <v>-</v>
      </c>
      <c r="S13" s="16" t="str">
        <f t="shared" si="3"/>
        <v>-</v>
      </c>
      <c r="T13" s="17"/>
      <c r="U13" s="17"/>
      <c r="V13" s="17"/>
      <c r="W13" s="17"/>
    </row>
    <row r="14" spans="2:25" x14ac:dyDescent="0.3">
      <c r="B14" s="8" t="s">
        <v>137</v>
      </c>
      <c r="C14" s="17" t="e">
        <f>C9/#REF!-1</f>
        <v>#REF!</v>
      </c>
      <c r="D14" s="17" t="e">
        <f>D9/#REF!-1</f>
        <v>#REF!</v>
      </c>
      <c r="E14" s="17" t="e">
        <f>E9/#REF!-1</f>
        <v>#REF!</v>
      </c>
      <c r="F14" s="17" t="e">
        <f>F9/#REF!-1</f>
        <v>#REF!</v>
      </c>
      <c r="G14" s="17">
        <f>G9/C9-1</f>
        <v>0.47491039426523307</v>
      </c>
      <c r="H14" s="17">
        <f>H9/D9-1</f>
        <v>-0.18901057401812682</v>
      </c>
      <c r="I14" s="17">
        <f>I9/E9-1</f>
        <v>-0.13622373879298821</v>
      </c>
      <c r="J14" s="17">
        <f>J9/F9-1</f>
        <v>-6.3178959405374324E-2</v>
      </c>
      <c r="K14" s="17">
        <f>K9/G9-1</f>
        <v>-0.18748481166464148</v>
      </c>
      <c r="L14" s="17">
        <f>L9/H9-1</f>
        <v>0.39394644935972045</v>
      </c>
      <c r="M14" s="17">
        <f>M9/I9-1</f>
        <v>-0.43315259488768387</v>
      </c>
      <c r="N14" s="17">
        <f>N9/J9-1</f>
        <v>0.40418065303631368</v>
      </c>
      <c r="O14" s="17">
        <f>O9/K9-1</f>
        <v>6.6247943771496898E-2</v>
      </c>
      <c r="P14" s="18">
        <f>P9/L9-1</f>
        <v>2.7392684148989543E-2</v>
      </c>
      <c r="Q14" s="18">
        <f>Q9/M9-1</f>
        <v>-0.52200054659743111</v>
      </c>
      <c r="R14" s="18">
        <f>R9/N9-1</f>
        <v>0.26350103227208521</v>
      </c>
      <c r="S14" s="19">
        <f>S9/O9-1</f>
        <v>0.98765778401122017</v>
      </c>
      <c r="T14" s="17"/>
      <c r="U14" s="17"/>
      <c r="V14" s="17"/>
      <c r="W14" s="17"/>
    </row>
    <row r="15" spans="2:25" x14ac:dyDescent="0.3">
      <c r="S15" s="20"/>
    </row>
  </sheetData>
  <phoneticPr fontId="3" type="noConversion"/>
  <conditionalFormatting sqref="B12:W12">
    <cfRule type="cellIs" dxfId="2" priority="11" operator="greaterThan">
      <formula>0.1</formula>
    </cfRule>
  </conditionalFormatting>
  <conditionalFormatting sqref="P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P13:W13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Q14">
    <cfRule type="iconSet" priority="7">
      <iconSet iconSet="3Arrows">
        <cfvo type="percent" val="0"/>
        <cfvo type="percent" val="33"/>
        <cfvo type="percent" val="67"/>
      </iconSet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R14">
    <cfRule type="iconSet" priority="5">
      <iconSet iconSet="3Arrows">
        <cfvo type="percent" val="0"/>
        <cfvo type="percent" val="33"/>
        <cfvo type="percent" val="67"/>
      </iconSe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S14"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T14:W14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11:P11">
    <cfRule type="top10" dxfId="1" priority="12" percent="1" rank="5"/>
  </conditionalFormatting>
  <conditionalFormatting sqref="B9:W9">
    <cfRule type="top10" dxfId="0" priority="13" percent="1" rank="10"/>
  </conditionalFormatting>
  <conditionalFormatting sqref="B11:W11">
    <cfRule type="top10" priority="14" rank="10"/>
  </conditionalFormatting>
  <conditionalFormatting sqref="H13:S13 H14:O14 C13:G14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C14:P14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C13:W13">
    <cfRule type="iconSet" priority="17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영업이익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2026-01-26T06:00:35Z</dcterms:created>
  <dcterms:modified xsi:type="dcterms:W3CDTF">2026-01-26T06:23:36Z</dcterms:modified>
</cp:coreProperties>
</file>