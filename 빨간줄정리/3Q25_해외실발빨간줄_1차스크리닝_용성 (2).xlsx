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f0858c7a0235c7be/페어웨이/OneDrive_2025-01-07/페어웨이자료/데일리/"/>
    </mc:Choice>
  </mc:AlternateContent>
  <xr:revisionPtr revIDLastSave="1516" documentId="8_{780F6063-5D94-493C-9250-756412EF6B56}" xr6:coauthVersionLast="47" xr6:coauthVersionMax="47" xr10:uidLastSave="{153947E3-9179-4750-855F-277080B4D748}"/>
  <bookViews>
    <workbookView xWindow="-120" yWindow="-120" windowWidth="38640" windowHeight="15840" activeTab="1" xr2:uid="{52DF6FC2-D111-4C63-B4E0-1EE4EE5C46F6}"/>
  </bookViews>
  <sheets>
    <sheet name="3Q25" sheetId="1" r:id="rId1"/>
    <sheet name="빨간줄" sheetId="2" r:id="rId2"/>
  </sheets>
  <definedNames>
    <definedName name="_xlnm._FilterDatabase" localSheetId="0" hidden="1">'3Q25'!$A$1:$S$119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557" i="2" l="1" a="1"/>
  <c r="AD557" i="2" s="1"/>
  <c r="AC559" i="2"/>
  <c r="AC554" i="2"/>
  <c r="AC565" i="2" s="1"/>
  <c r="AC566" i="2"/>
  <c r="AC557" i="2"/>
  <c r="AC567" i="2" s="1"/>
  <c r="AC558" i="2"/>
  <c r="AB566" i="2"/>
  <c r="AB565" i="2"/>
  <c r="AA566" i="2"/>
  <c r="AA565" i="2"/>
  <c r="AA554" i="2"/>
  <c r="AA567" i="2" s="1"/>
  <c r="AA558" i="2"/>
  <c r="AA557" i="2"/>
  <c r="Z566" i="2"/>
  <c r="Z565" i="2"/>
  <c r="Y566" i="2"/>
  <c r="Y565" i="2"/>
  <c r="X566" i="2"/>
  <c r="X565" i="2"/>
  <c r="Z554" i="2"/>
  <c r="Z558" i="2"/>
  <c r="Z557" i="2"/>
  <c r="Y554" i="2"/>
  <c r="Y567" i="2" s="1"/>
  <c r="AB567" i="2"/>
  <c r="X567" i="2"/>
  <c r="Y558" i="2"/>
  <c r="Y557" i="2"/>
  <c r="K473" i="2"/>
  <c r="L473" i="2"/>
  <c r="M473" i="2"/>
  <c r="N473" i="2"/>
  <c r="O473" i="2"/>
  <c r="P473" i="2"/>
  <c r="Q473" i="2"/>
  <c r="R473" i="2"/>
  <c r="S473" i="2"/>
  <c r="T473" i="2"/>
  <c r="U473" i="2"/>
  <c r="L474" i="2"/>
  <c r="M474" i="2"/>
  <c r="N474" i="2"/>
  <c r="O474" i="2"/>
  <c r="P474" i="2"/>
  <c r="Q474" i="2"/>
  <c r="R474" i="2"/>
  <c r="S474" i="2"/>
  <c r="T474" i="2"/>
  <c r="U474" i="2"/>
  <c r="K476" i="2"/>
  <c r="L476" i="2"/>
  <c r="M476" i="2"/>
  <c r="N476" i="2"/>
  <c r="O476" i="2"/>
  <c r="P476" i="2"/>
  <c r="Q476" i="2"/>
  <c r="R476" i="2"/>
  <c r="S476" i="2"/>
  <c r="T476" i="2"/>
  <c r="U476" i="2"/>
  <c r="L477" i="2"/>
  <c r="M477" i="2"/>
  <c r="N477" i="2"/>
  <c r="O477" i="2"/>
  <c r="P477" i="2"/>
  <c r="Q477" i="2"/>
  <c r="R477" i="2"/>
  <c r="S477" i="2"/>
  <c r="T477" i="2"/>
  <c r="U477" i="2"/>
  <c r="K478" i="2"/>
  <c r="L478" i="2"/>
  <c r="M478" i="2"/>
  <c r="N478" i="2"/>
  <c r="O478" i="2"/>
  <c r="P478" i="2"/>
  <c r="Q478" i="2"/>
  <c r="R478" i="2"/>
  <c r="S478" i="2"/>
  <c r="T478" i="2"/>
  <c r="U478" i="2"/>
  <c r="K482" i="2"/>
  <c r="L482" i="2"/>
  <c r="M482" i="2"/>
  <c r="N482" i="2"/>
  <c r="O482" i="2"/>
  <c r="P482" i="2"/>
  <c r="Q482" i="2"/>
  <c r="R482" i="2"/>
  <c r="S482" i="2"/>
  <c r="T482" i="2"/>
  <c r="U482" i="2"/>
  <c r="L483" i="2"/>
  <c r="M483" i="2"/>
  <c r="N483" i="2"/>
  <c r="O483" i="2"/>
  <c r="P483" i="2"/>
  <c r="Q483" i="2"/>
  <c r="R483" i="2"/>
  <c r="S483" i="2"/>
  <c r="T483" i="2"/>
  <c r="U483" i="2"/>
  <c r="K485" i="2"/>
  <c r="L485" i="2"/>
  <c r="M485" i="2"/>
  <c r="N485" i="2"/>
  <c r="O485" i="2"/>
  <c r="P485" i="2"/>
  <c r="Q485" i="2"/>
  <c r="R485" i="2"/>
  <c r="S485" i="2"/>
  <c r="T485" i="2"/>
  <c r="U485" i="2"/>
  <c r="L486" i="2"/>
  <c r="M486" i="2"/>
  <c r="N486" i="2"/>
  <c r="O486" i="2"/>
  <c r="P486" i="2"/>
  <c r="Q486" i="2"/>
  <c r="R486" i="2"/>
  <c r="S486" i="2"/>
  <c r="T486" i="2"/>
  <c r="U486" i="2"/>
  <c r="K487" i="2"/>
  <c r="L487" i="2"/>
  <c r="M487" i="2"/>
  <c r="N487" i="2"/>
  <c r="O487" i="2"/>
  <c r="P487" i="2"/>
  <c r="Q487" i="2"/>
  <c r="R487" i="2"/>
  <c r="S487" i="2"/>
  <c r="T487" i="2"/>
  <c r="U487" i="2"/>
  <c r="K491" i="2"/>
  <c r="L491" i="2"/>
  <c r="M491" i="2"/>
  <c r="N491" i="2"/>
  <c r="O491" i="2"/>
  <c r="P491" i="2"/>
  <c r="Q491" i="2"/>
  <c r="R491" i="2"/>
  <c r="S491" i="2"/>
  <c r="T491" i="2"/>
  <c r="U491" i="2"/>
  <c r="L492" i="2"/>
  <c r="M492" i="2"/>
  <c r="N492" i="2"/>
  <c r="O492" i="2"/>
  <c r="P492" i="2"/>
  <c r="Q492" i="2"/>
  <c r="R492" i="2"/>
  <c r="S492" i="2"/>
  <c r="T492" i="2"/>
  <c r="U492" i="2"/>
  <c r="K494" i="2"/>
  <c r="L494" i="2"/>
  <c r="M494" i="2"/>
  <c r="N494" i="2"/>
  <c r="O494" i="2"/>
  <c r="P494" i="2"/>
  <c r="Q494" i="2"/>
  <c r="R494" i="2"/>
  <c r="S494" i="2"/>
  <c r="T494" i="2"/>
  <c r="U494" i="2"/>
  <c r="L495" i="2"/>
  <c r="M495" i="2"/>
  <c r="N495" i="2"/>
  <c r="O495" i="2"/>
  <c r="P495" i="2"/>
  <c r="Q495" i="2"/>
  <c r="R495" i="2"/>
  <c r="S495" i="2"/>
  <c r="T495" i="2"/>
  <c r="U495" i="2"/>
  <c r="K496" i="2"/>
  <c r="L496" i="2"/>
  <c r="M496" i="2"/>
  <c r="N496" i="2"/>
  <c r="O496" i="2"/>
  <c r="P496" i="2"/>
  <c r="Q496" i="2"/>
  <c r="R496" i="2"/>
  <c r="S496" i="2"/>
  <c r="T496" i="2"/>
  <c r="U496" i="2"/>
  <c r="K500" i="2"/>
  <c r="L500" i="2"/>
  <c r="M500" i="2"/>
  <c r="N500" i="2"/>
  <c r="O500" i="2"/>
  <c r="P500" i="2"/>
  <c r="Q500" i="2"/>
  <c r="R500" i="2"/>
  <c r="S500" i="2"/>
  <c r="T500" i="2"/>
  <c r="U500" i="2"/>
  <c r="L501" i="2"/>
  <c r="M501" i="2"/>
  <c r="N501" i="2"/>
  <c r="O501" i="2"/>
  <c r="P501" i="2"/>
  <c r="Q501" i="2"/>
  <c r="R501" i="2"/>
  <c r="S501" i="2"/>
  <c r="T501" i="2"/>
  <c r="U501" i="2"/>
  <c r="K503" i="2"/>
  <c r="L503" i="2"/>
  <c r="M503" i="2"/>
  <c r="N503" i="2"/>
  <c r="O503" i="2"/>
  <c r="P503" i="2"/>
  <c r="Q503" i="2"/>
  <c r="R503" i="2"/>
  <c r="S503" i="2"/>
  <c r="T503" i="2"/>
  <c r="U503" i="2"/>
  <c r="L504" i="2"/>
  <c r="M504" i="2"/>
  <c r="N504" i="2"/>
  <c r="O504" i="2"/>
  <c r="P504" i="2"/>
  <c r="Q504" i="2"/>
  <c r="R504" i="2"/>
  <c r="S504" i="2"/>
  <c r="T504" i="2"/>
  <c r="U504" i="2"/>
  <c r="K505" i="2"/>
  <c r="L505" i="2"/>
  <c r="M505" i="2"/>
  <c r="N505" i="2"/>
  <c r="O505" i="2"/>
  <c r="P505" i="2"/>
  <c r="Q505" i="2"/>
  <c r="R505" i="2"/>
  <c r="S505" i="2"/>
  <c r="T505" i="2"/>
  <c r="U505" i="2"/>
  <c r="K509" i="2"/>
  <c r="L509" i="2"/>
  <c r="M509" i="2"/>
  <c r="N509" i="2"/>
  <c r="O509" i="2"/>
  <c r="P509" i="2"/>
  <c r="Q509" i="2"/>
  <c r="R509" i="2"/>
  <c r="S509" i="2"/>
  <c r="T509" i="2"/>
  <c r="U509" i="2"/>
  <c r="L510" i="2"/>
  <c r="M510" i="2"/>
  <c r="N510" i="2"/>
  <c r="O510" i="2"/>
  <c r="P510" i="2"/>
  <c r="Q510" i="2"/>
  <c r="R510" i="2"/>
  <c r="S510" i="2"/>
  <c r="T510" i="2"/>
  <c r="U510" i="2"/>
  <c r="K512" i="2"/>
  <c r="L512" i="2"/>
  <c r="M512" i="2"/>
  <c r="N512" i="2"/>
  <c r="O512" i="2"/>
  <c r="P512" i="2"/>
  <c r="Q512" i="2"/>
  <c r="R512" i="2"/>
  <c r="S512" i="2"/>
  <c r="T512" i="2"/>
  <c r="U512" i="2"/>
  <c r="L513" i="2"/>
  <c r="M513" i="2"/>
  <c r="N513" i="2"/>
  <c r="O513" i="2"/>
  <c r="P513" i="2"/>
  <c r="Q513" i="2"/>
  <c r="R513" i="2"/>
  <c r="S513" i="2"/>
  <c r="T513" i="2"/>
  <c r="U513" i="2"/>
  <c r="K514" i="2"/>
  <c r="L514" i="2"/>
  <c r="M514" i="2"/>
  <c r="N514" i="2"/>
  <c r="O514" i="2"/>
  <c r="P514" i="2"/>
  <c r="Q514" i="2"/>
  <c r="R514" i="2"/>
  <c r="S514" i="2"/>
  <c r="T514" i="2"/>
  <c r="U514" i="2"/>
  <c r="K518" i="2"/>
  <c r="L518" i="2"/>
  <c r="M518" i="2"/>
  <c r="N518" i="2"/>
  <c r="O518" i="2"/>
  <c r="P518" i="2"/>
  <c r="Q518" i="2"/>
  <c r="R518" i="2"/>
  <c r="S518" i="2"/>
  <c r="T518" i="2"/>
  <c r="U518" i="2"/>
  <c r="L519" i="2"/>
  <c r="M519" i="2"/>
  <c r="N519" i="2"/>
  <c r="O519" i="2"/>
  <c r="P519" i="2"/>
  <c r="Q519" i="2"/>
  <c r="R519" i="2"/>
  <c r="S519" i="2"/>
  <c r="T519" i="2"/>
  <c r="U519" i="2"/>
  <c r="K521" i="2"/>
  <c r="L521" i="2"/>
  <c r="M521" i="2"/>
  <c r="N521" i="2"/>
  <c r="O521" i="2"/>
  <c r="P521" i="2"/>
  <c r="Q521" i="2"/>
  <c r="R521" i="2"/>
  <c r="S521" i="2"/>
  <c r="T521" i="2"/>
  <c r="U521" i="2"/>
  <c r="L522" i="2"/>
  <c r="M522" i="2"/>
  <c r="N522" i="2"/>
  <c r="O522" i="2"/>
  <c r="P522" i="2"/>
  <c r="Q522" i="2"/>
  <c r="R522" i="2"/>
  <c r="S522" i="2"/>
  <c r="T522" i="2"/>
  <c r="U522" i="2"/>
  <c r="K523" i="2"/>
  <c r="L523" i="2"/>
  <c r="M523" i="2"/>
  <c r="N523" i="2"/>
  <c r="O523" i="2"/>
  <c r="P523" i="2"/>
  <c r="Q523" i="2"/>
  <c r="R523" i="2"/>
  <c r="S523" i="2"/>
  <c r="T523" i="2"/>
  <c r="U523" i="2"/>
  <c r="K527" i="2"/>
  <c r="L527" i="2"/>
  <c r="M527" i="2"/>
  <c r="N527" i="2"/>
  <c r="O527" i="2"/>
  <c r="P527" i="2"/>
  <c r="Q527" i="2"/>
  <c r="R527" i="2"/>
  <c r="S527" i="2"/>
  <c r="T527" i="2"/>
  <c r="U527" i="2"/>
  <c r="L528" i="2"/>
  <c r="M528" i="2"/>
  <c r="N528" i="2"/>
  <c r="O528" i="2"/>
  <c r="P528" i="2"/>
  <c r="Q528" i="2"/>
  <c r="R528" i="2"/>
  <c r="S528" i="2"/>
  <c r="T528" i="2"/>
  <c r="U528" i="2"/>
  <c r="K530" i="2"/>
  <c r="L530" i="2"/>
  <c r="M530" i="2"/>
  <c r="N530" i="2"/>
  <c r="O530" i="2"/>
  <c r="P530" i="2"/>
  <c r="Q530" i="2"/>
  <c r="R530" i="2"/>
  <c r="S530" i="2"/>
  <c r="T530" i="2"/>
  <c r="U530" i="2"/>
  <c r="L531" i="2"/>
  <c r="M531" i="2"/>
  <c r="N531" i="2"/>
  <c r="O531" i="2"/>
  <c r="P531" i="2"/>
  <c r="Q531" i="2"/>
  <c r="R531" i="2"/>
  <c r="S531" i="2"/>
  <c r="T531" i="2"/>
  <c r="U531" i="2"/>
  <c r="K532" i="2"/>
  <c r="L532" i="2"/>
  <c r="M532" i="2"/>
  <c r="N532" i="2"/>
  <c r="O532" i="2"/>
  <c r="P532" i="2"/>
  <c r="Q532" i="2"/>
  <c r="R532" i="2"/>
  <c r="S532" i="2"/>
  <c r="T532" i="2"/>
  <c r="U532" i="2"/>
  <c r="K536" i="2"/>
  <c r="L536" i="2"/>
  <c r="M536" i="2"/>
  <c r="N536" i="2"/>
  <c r="O536" i="2"/>
  <c r="P536" i="2"/>
  <c r="Q536" i="2"/>
  <c r="R536" i="2"/>
  <c r="S536" i="2"/>
  <c r="T536" i="2"/>
  <c r="U536" i="2"/>
  <c r="L537" i="2"/>
  <c r="M537" i="2"/>
  <c r="N537" i="2"/>
  <c r="O537" i="2"/>
  <c r="P537" i="2"/>
  <c r="Q537" i="2"/>
  <c r="R537" i="2"/>
  <c r="S537" i="2"/>
  <c r="T537" i="2"/>
  <c r="U537" i="2"/>
  <c r="K539" i="2"/>
  <c r="L539" i="2"/>
  <c r="M539" i="2"/>
  <c r="N539" i="2"/>
  <c r="O539" i="2"/>
  <c r="P539" i="2"/>
  <c r="Q539" i="2"/>
  <c r="R539" i="2"/>
  <c r="S539" i="2"/>
  <c r="T539" i="2"/>
  <c r="U539" i="2"/>
  <c r="L540" i="2"/>
  <c r="M540" i="2"/>
  <c r="N540" i="2"/>
  <c r="O540" i="2"/>
  <c r="P540" i="2"/>
  <c r="Q540" i="2"/>
  <c r="R540" i="2"/>
  <c r="S540" i="2"/>
  <c r="T540" i="2"/>
  <c r="U540" i="2"/>
  <c r="K541" i="2"/>
  <c r="L541" i="2"/>
  <c r="M541" i="2"/>
  <c r="N541" i="2"/>
  <c r="O541" i="2"/>
  <c r="P541" i="2"/>
  <c r="Q541" i="2"/>
  <c r="R541" i="2"/>
  <c r="S541" i="2"/>
  <c r="T541" i="2"/>
  <c r="U541" i="2"/>
  <c r="K545" i="2"/>
  <c r="L545" i="2"/>
  <c r="M545" i="2"/>
  <c r="N545" i="2"/>
  <c r="O545" i="2"/>
  <c r="P545" i="2"/>
  <c r="Q545" i="2"/>
  <c r="R545" i="2"/>
  <c r="S545" i="2"/>
  <c r="T545" i="2"/>
  <c r="U545" i="2"/>
  <c r="L546" i="2"/>
  <c r="M546" i="2"/>
  <c r="N546" i="2"/>
  <c r="O546" i="2"/>
  <c r="P546" i="2"/>
  <c r="Q546" i="2"/>
  <c r="R546" i="2"/>
  <c r="S546" i="2"/>
  <c r="T546" i="2"/>
  <c r="U546" i="2"/>
  <c r="K548" i="2"/>
  <c r="L548" i="2"/>
  <c r="M548" i="2"/>
  <c r="N548" i="2"/>
  <c r="O548" i="2"/>
  <c r="P548" i="2"/>
  <c r="Q548" i="2"/>
  <c r="R548" i="2"/>
  <c r="S548" i="2"/>
  <c r="T548" i="2"/>
  <c r="U548" i="2"/>
  <c r="L549" i="2"/>
  <c r="M549" i="2"/>
  <c r="N549" i="2"/>
  <c r="O549" i="2"/>
  <c r="P549" i="2"/>
  <c r="Q549" i="2"/>
  <c r="R549" i="2"/>
  <c r="S549" i="2"/>
  <c r="T549" i="2"/>
  <c r="U549" i="2"/>
  <c r="K550" i="2"/>
  <c r="L550" i="2"/>
  <c r="M550" i="2"/>
  <c r="N550" i="2"/>
  <c r="O550" i="2"/>
  <c r="P550" i="2"/>
  <c r="Q550" i="2"/>
  <c r="R550" i="2"/>
  <c r="S550" i="2"/>
  <c r="T550" i="2"/>
  <c r="U550" i="2"/>
  <c r="K554" i="2"/>
  <c r="L554" i="2"/>
  <c r="M554" i="2"/>
  <c r="N554" i="2"/>
  <c r="O554" i="2"/>
  <c r="P554" i="2"/>
  <c r="Q554" i="2"/>
  <c r="R554" i="2"/>
  <c r="S554" i="2"/>
  <c r="T554" i="2"/>
  <c r="U554" i="2"/>
  <c r="L555" i="2"/>
  <c r="M555" i="2"/>
  <c r="N555" i="2"/>
  <c r="O555" i="2"/>
  <c r="P555" i="2"/>
  <c r="Q555" i="2"/>
  <c r="R555" i="2"/>
  <c r="S555" i="2"/>
  <c r="T555" i="2"/>
  <c r="U555" i="2"/>
  <c r="K557" i="2"/>
  <c r="L557" i="2"/>
  <c r="M557" i="2"/>
  <c r="N557" i="2"/>
  <c r="O557" i="2"/>
  <c r="P557" i="2"/>
  <c r="Q557" i="2"/>
  <c r="R557" i="2"/>
  <c r="S557" i="2"/>
  <c r="T557" i="2"/>
  <c r="U557" i="2"/>
  <c r="L558" i="2"/>
  <c r="M558" i="2"/>
  <c r="N558" i="2"/>
  <c r="O558" i="2"/>
  <c r="P558" i="2"/>
  <c r="Q558" i="2"/>
  <c r="R558" i="2"/>
  <c r="S558" i="2"/>
  <c r="T558" i="2"/>
  <c r="U558" i="2"/>
  <c r="K559" i="2"/>
  <c r="L559" i="2"/>
  <c r="M559" i="2"/>
  <c r="N559" i="2"/>
  <c r="O559" i="2"/>
  <c r="P559" i="2"/>
  <c r="Q559" i="2"/>
  <c r="R559" i="2"/>
  <c r="S559" i="2"/>
  <c r="T559" i="2"/>
  <c r="U559" i="2"/>
  <c r="K563" i="2"/>
  <c r="L563" i="2"/>
  <c r="M563" i="2"/>
  <c r="N563" i="2"/>
  <c r="O563" i="2"/>
  <c r="P563" i="2"/>
  <c r="Q563" i="2"/>
  <c r="R563" i="2"/>
  <c r="S563" i="2"/>
  <c r="T563" i="2"/>
  <c r="U563" i="2"/>
  <c r="L564" i="2"/>
  <c r="M564" i="2"/>
  <c r="N564" i="2"/>
  <c r="O564" i="2"/>
  <c r="P564" i="2"/>
  <c r="Q564" i="2"/>
  <c r="R564" i="2"/>
  <c r="S564" i="2"/>
  <c r="T564" i="2"/>
  <c r="U564" i="2"/>
  <c r="K566" i="2"/>
  <c r="L566" i="2"/>
  <c r="M566" i="2"/>
  <c r="N566" i="2"/>
  <c r="O566" i="2"/>
  <c r="P566" i="2"/>
  <c r="Q566" i="2"/>
  <c r="R566" i="2"/>
  <c r="S566" i="2"/>
  <c r="T566" i="2"/>
  <c r="U566" i="2"/>
  <c r="L567" i="2"/>
  <c r="M567" i="2"/>
  <c r="N567" i="2"/>
  <c r="O567" i="2"/>
  <c r="P567" i="2"/>
  <c r="Q567" i="2"/>
  <c r="R567" i="2"/>
  <c r="S567" i="2"/>
  <c r="T567" i="2"/>
  <c r="U567" i="2"/>
  <c r="K568" i="2"/>
  <c r="L568" i="2"/>
  <c r="M568" i="2"/>
  <c r="N568" i="2"/>
  <c r="O568" i="2"/>
  <c r="P568" i="2"/>
  <c r="Q568" i="2"/>
  <c r="R568" i="2"/>
  <c r="S568" i="2"/>
  <c r="T568" i="2"/>
  <c r="U568" i="2"/>
  <c r="J59" i="1"/>
  <c r="L59" i="1"/>
  <c r="M59" i="1"/>
  <c r="J60" i="1"/>
  <c r="L60" i="1"/>
  <c r="M60" i="1"/>
  <c r="J61" i="1"/>
  <c r="L61" i="1"/>
  <c r="M61" i="1"/>
  <c r="J62" i="1"/>
  <c r="L62" i="1"/>
  <c r="M62" i="1"/>
  <c r="J63" i="1"/>
  <c r="L63" i="1"/>
  <c r="M63" i="1"/>
  <c r="J64" i="1"/>
  <c r="L64" i="1"/>
  <c r="M64" i="1"/>
  <c r="J65" i="1"/>
  <c r="L65" i="1"/>
  <c r="M65" i="1"/>
  <c r="J66" i="1"/>
  <c r="L66" i="1"/>
  <c r="M66" i="1"/>
  <c r="J67" i="1"/>
  <c r="L67" i="1"/>
  <c r="M67" i="1"/>
  <c r="H58" i="1"/>
  <c r="H57" i="1"/>
  <c r="J51" i="1"/>
  <c r="L51" i="1"/>
  <c r="M51" i="1"/>
  <c r="J52" i="1"/>
  <c r="L52" i="1"/>
  <c r="M52" i="1"/>
  <c r="J53" i="1"/>
  <c r="L53" i="1"/>
  <c r="M53" i="1"/>
  <c r="J54" i="1"/>
  <c r="L54" i="1"/>
  <c r="M54" i="1"/>
  <c r="J55" i="1"/>
  <c r="L55" i="1"/>
  <c r="M55" i="1"/>
  <c r="J56" i="1"/>
  <c r="L56" i="1"/>
  <c r="M56" i="1"/>
  <c r="Z567" i="2" l="1"/>
  <c r="H50" i="1"/>
  <c r="H49" i="1"/>
  <c r="Q451" i="2"/>
  <c r="R451" i="2"/>
  <c r="N442" i="2"/>
  <c r="U730" i="2"/>
  <c r="T730" i="2"/>
  <c r="S730" i="2"/>
  <c r="R730" i="2"/>
  <c r="Q730" i="2"/>
  <c r="P730" i="2"/>
  <c r="O730" i="2"/>
  <c r="N730" i="2"/>
  <c r="M730" i="2"/>
  <c r="L730" i="2"/>
  <c r="K730" i="2"/>
  <c r="U729" i="2"/>
  <c r="T729" i="2"/>
  <c r="S729" i="2"/>
  <c r="R729" i="2"/>
  <c r="Q729" i="2"/>
  <c r="P729" i="2"/>
  <c r="O729" i="2"/>
  <c r="N729" i="2"/>
  <c r="M729" i="2"/>
  <c r="L729" i="2"/>
  <c r="U728" i="2"/>
  <c r="T728" i="2"/>
  <c r="S728" i="2"/>
  <c r="R728" i="2"/>
  <c r="Q728" i="2"/>
  <c r="P728" i="2"/>
  <c r="O728" i="2"/>
  <c r="N728" i="2"/>
  <c r="M728" i="2"/>
  <c r="L728" i="2"/>
  <c r="K728" i="2"/>
  <c r="U726" i="2"/>
  <c r="T726" i="2"/>
  <c r="S726" i="2"/>
  <c r="R726" i="2"/>
  <c r="Q726" i="2"/>
  <c r="P726" i="2"/>
  <c r="O726" i="2"/>
  <c r="N726" i="2"/>
  <c r="M726" i="2"/>
  <c r="L726" i="2"/>
  <c r="U725" i="2"/>
  <c r="T725" i="2"/>
  <c r="S725" i="2"/>
  <c r="R725" i="2"/>
  <c r="Q725" i="2"/>
  <c r="P725" i="2"/>
  <c r="O725" i="2"/>
  <c r="N725" i="2"/>
  <c r="M725" i="2"/>
  <c r="L725" i="2"/>
  <c r="K725" i="2"/>
  <c r="U721" i="2"/>
  <c r="T721" i="2"/>
  <c r="S721" i="2"/>
  <c r="R721" i="2"/>
  <c r="Q721" i="2"/>
  <c r="P721" i="2"/>
  <c r="O721" i="2"/>
  <c r="N721" i="2"/>
  <c r="M721" i="2"/>
  <c r="L721" i="2"/>
  <c r="K721" i="2"/>
  <c r="U720" i="2"/>
  <c r="T720" i="2"/>
  <c r="S720" i="2"/>
  <c r="R720" i="2"/>
  <c r="Q720" i="2"/>
  <c r="P720" i="2"/>
  <c r="O720" i="2"/>
  <c r="N720" i="2"/>
  <c r="M720" i="2"/>
  <c r="L720" i="2"/>
  <c r="U719" i="2"/>
  <c r="T719" i="2"/>
  <c r="S719" i="2"/>
  <c r="R719" i="2"/>
  <c r="Q719" i="2"/>
  <c r="P719" i="2"/>
  <c r="O719" i="2"/>
  <c r="N719" i="2"/>
  <c r="M719" i="2"/>
  <c r="L719" i="2"/>
  <c r="K719" i="2"/>
  <c r="U717" i="2"/>
  <c r="T717" i="2"/>
  <c r="S717" i="2"/>
  <c r="R717" i="2"/>
  <c r="Q717" i="2"/>
  <c r="P717" i="2"/>
  <c r="O717" i="2"/>
  <c r="N717" i="2"/>
  <c r="M717" i="2"/>
  <c r="L717" i="2"/>
  <c r="U716" i="2"/>
  <c r="T716" i="2"/>
  <c r="S716" i="2"/>
  <c r="R716" i="2"/>
  <c r="Q716" i="2"/>
  <c r="P716" i="2"/>
  <c r="O716" i="2"/>
  <c r="N716" i="2"/>
  <c r="M716" i="2"/>
  <c r="L716" i="2"/>
  <c r="K716" i="2"/>
  <c r="U712" i="2"/>
  <c r="T712" i="2"/>
  <c r="S712" i="2"/>
  <c r="R712" i="2"/>
  <c r="Q712" i="2"/>
  <c r="P712" i="2"/>
  <c r="O712" i="2"/>
  <c r="N712" i="2"/>
  <c r="M712" i="2"/>
  <c r="L712" i="2"/>
  <c r="K712" i="2"/>
  <c r="U711" i="2"/>
  <c r="T711" i="2"/>
  <c r="S711" i="2"/>
  <c r="R711" i="2"/>
  <c r="Q711" i="2"/>
  <c r="P711" i="2"/>
  <c r="O711" i="2"/>
  <c r="N711" i="2"/>
  <c r="M711" i="2"/>
  <c r="L711" i="2"/>
  <c r="U710" i="2"/>
  <c r="T710" i="2"/>
  <c r="S710" i="2"/>
  <c r="R710" i="2"/>
  <c r="Q710" i="2"/>
  <c r="P710" i="2"/>
  <c r="O710" i="2"/>
  <c r="N710" i="2"/>
  <c r="M710" i="2"/>
  <c r="L710" i="2"/>
  <c r="K710" i="2"/>
  <c r="U708" i="2"/>
  <c r="T708" i="2"/>
  <c r="S708" i="2"/>
  <c r="R708" i="2"/>
  <c r="Q708" i="2"/>
  <c r="P708" i="2"/>
  <c r="O708" i="2"/>
  <c r="N708" i="2"/>
  <c r="M708" i="2"/>
  <c r="L708" i="2"/>
  <c r="U707" i="2"/>
  <c r="T707" i="2"/>
  <c r="S707" i="2"/>
  <c r="R707" i="2"/>
  <c r="Q707" i="2"/>
  <c r="P707" i="2"/>
  <c r="O707" i="2"/>
  <c r="N707" i="2"/>
  <c r="M707" i="2"/>
  <c r="L707" i="2"/>
  <c r="K707" i="2"/>
  <c r="U703" i="2"/>
  <c r="T703" i="2"/>
  <c r="S703" i="2"/>
  <c r="R703" i="2"/>
  <c r="Q703" i="2"/>
  <c r="P703" i="2"/>
  <c r="O703" i="2"/>
  <c r="N703" i="2"/>
  <c r="M703" i="2"/>
  <c r="L703" i="2"/>
  <c r="K703" i="2"/>
  <c r="U702" i="2"/>
  <c r="T702" i="2"/>
  <c r="S702" i="2"/>
  <c r="R702" i="2"/>
  <c r="Q702" i="2"/>
  <c r="P702" i="2"/>
  <c r="O702" i="2"/>
  <c r="N702" i="2"/>
  <c r="M702" i="2"/>
  <c r="L702" i="2"/>
  <c r="U701" i="2"/>
  <c r="T701" i="2"/>
  <c r="S701" i="2"/>
  <c r="R701" i="2"/>
  <c r="Q701" i="2"/>
  <c r="P701" i="2"/>
  <c r="O701" i="2"/>
  <c r="N701" i="2"/>
  <c r="M701" i="2"/>
  <c r="L701" i="2"/>
  <c r="K701" i="2"/>
  <c r="U699" i="2"/>
  <c r="T699" i="2"/>
  <c r="S699" i="2"/>
  <c r="R699" i="2"/>
  <c r="Q699" i="2"/>
  <c r="P699" i="2"/>
  <c r="O699" i="2"/>
  <c r="N699" i="2"/>
  <c r="M699" i="2"/>
  <c r="L699" i="2"/>
  <c r="U698" i="2"/>
  <c r="T698" i="2"/>
  <c r="S698" i="2"/>
  <c r="R698" i="2"/>
  <c r="Q698" i="2"/>
  <c r="P698" i="2"/>
  <c r="O698" i="2"/>
  <c r="N698" i="2"/>
  <c r="M698" i="2"/>
  <c r="L698" i="2"/>
  <c r="K698" i="2"/>
  <c r="U694" i="2"/>
  <c r="T694" i="2"/>
  <c r="S694" i="2"/>
  <c r="R694" i="2"/>
  <c r="Q694" i="2"/>
  <c r="P694" i="2"/>
  <c r="O694" i="2"/>
  <c r="N694" i="2"/>
  <c r="M694" i="2"/>
  <c r="L694" i="2"/>
  <c r="K694" i="2"/>
  <c r="U693" i="2"/>
  <c r="T693" i="2"/>
  <c r="S693" i="2"/>
  <c r="R693" i="2"/>
  <c r="Q693" i="2"/>
  <c r="P693" i="2"/>
  <c r="O693" i="2"/>
  <c r="N693" i="2"/>
  <c r="M693" i="2"/>
  <c r="L693" i="2"/>
  <c r="U692" i="2"/>
  <c r="T692" i="2"/>
  <c r="S692" i="2"/>
  <c r="R692" i="2"/>
  <c r="Q692" i="2"/>
  <c r="P692" i="2"/>
  <c r="O692" i="2"/>
  <c r="N692" i="2"/>
  <c r="M692" i="2"/>
  <c r="L692" i="2"/>
  <c r="K692" i="2"/>
  <c r="U690" i="2"/>
  <c r="T690" i="2"/>
  <c r="S690" i="2"/>
  <c r="R690" i="2"/>
  <c r="Q690" i="2"/>
  <c r="P690" i="2"/>
  <c r="O690" i="2"/>
  <c r="N690" i="2"/>
  <c r="M690" i="2"/>
  <c r="L690" i="2"/>
  <c r="U689" i="2"/>
  <c r="T689" i="2"/>
  <c r="S689" i="2"/>
  <c r="R689" i="2"/>
  <c r="Q689" i="2"/>
  <c r="P689" i="2"/>
  <c r="O689" i="2"/>
  <c r="N689" i="2"/>
  <c r="M689" i="2"/>
  <c r="L689" i="2"/>
  <c r="K689" i="2"/>
  <c r="U685" i="2"/>
  <c r="T685" i="2"/>
  <c r="S685" i="2"/>
  <c r="R685" i="2"/>
  <c r="Q685" i="2"/>
  <c r="P685" i="2"/>
  <c r="O685" i="2"/>
  <c r="N685" i="2"/>
  <c r="M685" i="2"/>
  <c r="L685" i="2"/>
  <c r="K685" i="2"/>
  <c r="U684" i="2"/>
  <c r="T684" i="2"/>
  <c r="S684" i="2"/>
  <c r="R684" i="2"/>
  <c r="Q684" i="2"/>
  <c r="P684" i="2"/>
  <c r="O684" i="2"/>
  <c r="N684" i="2"/>
  <c r="M684" i="2"/>
  <c r="L684" i="2"/>
  <c r="U683" i="2"/>
  <c r="T683" i="2"/>
  <c r="S683" i="2"/>
  <c r="R683" i="2"/>
  <c r="Q683" i="2"/>
  <c r="P683" i="2"/>
  <c r="O683" i="2"/>
  <c r="N683" i="2"/>
  <c r="M683" i="2"/>
  <c r="L683" i="2"/>
  <c r="K683" i="2"/>
  <c r="U681" i="2"/>
  <c r="T681" i="2"/>
  <c r="S681" i="2"/>
  <c r="R681" i="2"/>
  <c r="Q681" i="2"/>
  <c r="P681" i="2"/>
  <c r="O681" i="2"/>
  <c r="N681" i="2"/>
  <c r="M681" i="2"/>
  <c r="L681" i="2"/>
  <c r="U680" i="2"/>
  <c r="T680" i="2"/>
  <c r="S680" i="2"/>
  <c r="R680" i="2"/>
  <c r="Q680" i="2"/>
  <c r="P680" i="2"/>
  <c r="O680" i="2"/>
  <c r="N680" i="2"/>
  <c r="M680" i="2"/>
  <c r="L680" i="2"/>
  <c r="K680" i="2"/>
  <c r="U676" i="2"/>
  <c r="T676" i="2"/>
  <c r="S676" i="2"/>
  <c r="R676" i="2"/>
  <c r="Q676" i="2"/>
  <c r="P676" i="2"/>
  <c r="O676" i="2"/>
  <c r="N676" i="2"/>
  <c r="M676" i="2"/>
  <c r="L676" i="2"/>
  <c r="K676" i="2"/>
  <c r="U675" i="2"/>
  <c r="T675" i="2"/>
  <c r="S675" i="2"/>
  <c r="R675" i="2"/>
  <c r="Q675" i="2"/>
  <c r="P675" i="2"/>
  <c r="O675" i="2"/>
  <c r="N675" i="2"/>
  <c r="M675" i="2"/>
  <c r="L675" i="2"/>
  <c r="U674" i="2"/>
  <c r="T674" i="2"/>
  <c r="S674" i="2"/>
  <c r="R674" i="2"/>
  <c r="Q674" i="2"/>
  <c r="P674" i="2"/>
  <c r="O674" i="2"/>
  <c r="N674" i="2"/>
  <c r="M674" i="2"/>
  <c r="L674" i="2"/>
  <c r="K674" i="2"/>
  <c r="U672" i="2"/>
  <c r="T672" i="2"/>
  <c r="S672" i="2"/>
  <c r="R672" i="2"/>
  <c r="Q672" i="2"/>
  <c r="P672" i="2"/>
  <c r="O672" i="2"/>
  <c r="N672" i="2"/>
  <c r="M672" i="2"/>
  <c r="L672" i="2"/>
  <c r="U671" i="2"/>
  <c r="T671" i="2"/>
  <c r="S671" i="2"/>
  <c r="R671" i="2"/>
  <c r="Q671" i="2"/>
  <c r="P671" i="2"/>
  <c r="O671" i="2"/>
  <c r="N671" i="2"/>
  <c r="M671" i="2"/>
  <c r="L671" i="2"/>
  <c r="K671" i="2"/>
  <c r="U667" i="2"/>
  <c r="T667" i="2"/>
  <c r="S667" i="2"/>
  <c r="R667" i="2"/>
  <c r="Q667" i="2"/>
  <c r="P667" i="2"/>
  <c r="O667" i="2"/>
  <c r="N667" i="2"/>
  <c r="M667" i="2"/>
  <c r="L667" i="2"/>
  <c r="K667" i="2"/>
  <c r="U666" i="2"/>
  <c r="T666" i="2"/>
  <c r="S666" i="2"/>
  <c r="R666" i="2"/>
  <c r="Q666" i="2"/>
  <c r="P666" i="2"/>
  <c r="O666" i="2"/>
  <c r="N666" i="2"/>
  <c r="M666" i="2"/>
  <c r="L666" i="2"/>
  <c r="U665" i="2"/>
  <c r="T665" i="2"/>
  <c r="S665" i="2"/>
  <c r="R665" i="2"/>
  <c r="Q665" i="2"/>
  <c r="P665" i="2"/>
  <c r="O665" i="2"/>
  <c r="N665" i="2"/>
  <c r="M665" i="2"/>
  <c r="L665" i="2"/>
  <c r="K665" i="2"/>
  <c r="U663" i="2"/>
  <c r="T663" i="2"/>
  <c r="S663" i="2"/>
  <c r="R663" i="2"/>
  <c r="Q663" i="2"/>
  <c r="P663" i="2"/>
  <c r="O663" i="2"/>
  <c r="N663" i="2"/>
  <c r="M663" i="2"/>
  <c r="L663" i="2"/>
  <c r="U662" i="2"/>
  <c r="T662" i="2"/>
  <c r="S662" i="2"/>
  <c r="R662" i="2"/>
  <c r="Q662" i="2"/>
  <c r="P662" i="2"/>
  <c r="O662" i="2"/>
  <c r="N662" i="2"/>
  <c r="M662" i="2"/>
  <c r="L662" i="2"/>
  <c r="K662" i="2"/>
  <c r="U658" i="2"/>
  <c r="T658" i="2"/>
  <c r="S658" i="2"/>
  <c r="R658" i="2"/>
  <c r="Q658" i="2"/>
  <c r="P658" i="2"/>
  <c r="O658" i="2"/>
  <c r="N658" i="2"/>
  <c r="M658" i="2"/>
  <c r="L658" i="2"/>
  <c r="K658" i="2"/>
  <c r="U657" i="2"/>
  <c r="T657" i="2"/>
  <c r="S657" i="2"/>
  <c r="R657" i="2"/>
  <c r="Q657" i="2"/>
  <c r="P657" i="2"/>
  <c r="O657" i="2"/>
  <c r="N657" i="2"/>
  <c r="M657" i="2"/>
  <c r="L657" i="2"/>
  <c r="U656" i="2"/>
  <c r="T656" i="2"/>
  <c r="S656" i="2"/>
  <c r="R656" i="2"/>
  <c r="Q656" i="2"/>
  <c r="P656" i="2"/>
  <c r="O656" i="2"/>
  <c r="N656" i="2"/>
  <c r="M656" i="2"/>
  <c r="L656" i="2"/>
  <c r="K656" i="2"/>
  <c r="U654" i="2"/>
  <c r="T654" i="2"/>
  <c r="S654" i="2"/>
  <c r="R654" i="2"/>
  <c r="Q654" i="2"/>
  <c r="P654" i="2"/>
  <c r="O654" i="2"/>
  <c r="N654" i="2"/>
  <c r="M654" i="2"/>
  <c r="L654" i="2"/>
  <c r="U653" i="2"/>
  <c r="T653" i="2"/>
  <c r="S653" i="2"/>
  <c r="R653" i="2"/>
  <c r="Q653" i="2"/>
  <c r="P653" i="2"/>
  <c r="O653" i="2"/>
  <c r="N653" i="2"/>
  <c r="M653" i="2"/>
  <c r="L653" i="2"/>
  <c r="K653" i="2"/>
  <c r="U649" i="2"/>
  <c r="T649" i="2"/>
  <c r="S649" i="2"/>
  <c r="R649" i="2"/>
  <c r="Q649" i="2"/>
  <c r="P649" i="2"/>
  <c r="O649" i="2"/>
  <c r="N649" i="2"/>
  <c r="M649" i="2"/>
  <c r="L649" i="2"/>
  <c r="K649" i="2"/>
  <c r="U648" i="2"/>
  <c r="T648" i="2"/>
  <c r="S648" i="2"/>
  <c r="R648" i="2"/>
  <c r="Q648" i="2"/>
  <c r="P648" i="2"/>
  <c r="O648" i="2"/>
  <c r="N648" i="2"/>
  <c r="M648" i="2"/>
  <c r="L648" i="2"/>
  <c r="U647" i="2"/>
  <c r="T647" i="2"/>
  <c r="S647" i="2"/>
  <c r="R647" i="2"/>
  <c r="Q647" i="2"/>
  <c r="P647" i="2"/>
  <c r="O647" i="2"/>
  <c r="N647" i="2"/>
  <c r="M647" i="2"/>
  <c r="L647" i="2"/>
  <c r="K647" i="2"/>
  <c r="U645" i="2"/>
  <c r="T645" i="2"/>
  <c r="S645" i="2"/>
  <c r="R645" i="2"/>
  <c r="Q645" i="2"/>
  <c r="P645" i="2"/>
  <c r="O645" i="2"/>
  <c r="N645" i="2"/>
  <c r="M645" i="2"/>
  <c r="L645" i="2"/>
  <c r="U644" i="2"/>
  <c r="T644" i="2"/>
  <c r="S644" i="2"/>
  <c r="R644" i="2"/>
  <c r="Q644" i="2"/>
  <c r="P644" i="2"/>
  <c r="O644" i="2"/>
  <c r="N644" i="2"/>
  <c r="M644" i="2"/>
  <c r="L644" i="2"/>
  <c r="K644" i="2"/>
  <c r="U640" i="2"/>
  <c r="T640" i="2"/>
  <c r="S640" i="2"/>
  <c r="R640" i="2"/>
  <c r="Q640" i="2"/>
  <c r="P640" i="2"/>
  <c r="O640" i="2"/>
  <c r="N640" i="2"/>
  <c r="M640" i="2"/>
  <c r="L640" i="2"/>
  <c r="K640" i="2"/>
  <c r="U639" i="2"/>
  <c r="T639" i="2"/>
  <c r="S639" i="2"/>
  <c r="R639" i="2"/>
  <c r="Q639" i="2"/>
  <c r="P639" i="2"/>
  <c r="O639" i="2"/>
  <c r="N639" i="2"/>
  <c r="M639" i="2"/>
  <c r="L639" i="2"/>
  <c r="U638" i="2"/>
  <c r="T638" i="2"/>
  <c r="S638" i="2"/>
  <c r="R638" i="2"/>
  <c r="Q638" i="2"/>
  <c r="P638" i="2"/>
  <c r="O638" i="2"/>
  <c r="N638" i="2"/>
  <c r="M638" i="2"/>
  <c r="L638" i="2"/>
  <c r="K638" i="2"/>
  <c r="U636" i="2"/>
  <c r="T636" i="2"/>
  <c r="S636" i="2"/>
  <c r="R636" i="2"/>
  <c r="Q636" i="2"/>
  <c r="P636" i="2"/>
  <c r="O636" i="2"/>
  <c r="N636" i="2"/>
  <c r="M636" i="2"/>
  <c r="L636" i="2"/>
  <c r="U635" i="2"/>
  <c r="T635" i="2"/>
  <c r="S635" i="2"/>
  <c r="R635" i="2"/>
  <c r="Q635" i="2"/>
  <c r="P635" i="2"/>
  <c r="O635" i="2"/>
  <c r="N635" i="2"/>
  <c r="M635" i="2"/>
  <c r="L635" i="2"/>
  <c r="K635" i="2"/>
  <c r="U631" i="2"/>
  <c r="T631" i="2"/>
  <c r="S631" i="2"/>
  <c r="R631" i="2"/>
  <c r="Q631" i="2"/>
  <c r="P631" i="2"/>
  <c r="O631" i="2"/>
  <c r="N631" i="2"/>
  <c r="M631" i="2"/>
  <c r="L631" i="2"/>
  <c r="K631" i="2"/>
  <c r="U630" i="2"/>
  <c r="T630" i="2"/>
  <c r="S630" i="2"/>
  <c r="R630" i="2"/>
  <c r="Q630" i="2"/>
  <c r="P630" i="2"/>
  <c r="O630" i="2"/>
  <c r="N630" i="2"/>
  <c r="M630" i="2"/>
  <c r="L630" i="2"/>
  <c r="U629" i="2"/>
  <c r="T629" i="2"/>
  <c r="S629" i="2"/>
  <c r="R629" i="2"/>
  <c r="Q629" i="2"/>
  <c r="P629" i="2"/>
  <c r="O629" i="2"/>
  <c r="N629" i="2"/>
  <c r="M629" i="2"/>
  <c r="L629" i="2"/>
  <c r="K629" i="2"/>
  <c r="U627" i="2"/>
  <c r="T627" i="2"/>
  <c r="S627" i="2"/>
  <c r="R627" i="2"/>
  <c r="Q627" i="2"/>
  <c r="P627" i="2"/>
  <c r="O627" i="2"/>
  <c r="N627" i="2"/>
  <c r="M627" i="2"/>
  <c r="L627" i="2"/>
  <c r="U626" i="2"/>
  <c r="T626" i="2"/>
  <c r="S626" i="2"/>
  <c r="R626" i="2"/>
  <c r="Q626" i="2"/>
  <c r="P626" i="2"/>
  <c r="O626" i="2"/>
  <c r="N626" i="2"/>
  <c r="M626" i="2"/>
  <c r="L626" i="2"/>
  <c r="K626" i="2"/>
  <c r="U622" i="2"/>
  <c r="T622" i="2"/>
  <c r="S622" i="2"/>
  <c r="R622" i="2"/>
  <c r="Q622" i="2"/>
  <c r="P622" i="2"/>
  <c r="O622" i="2"/>
  <c r="N622" i="2"/>
  <c r="M622" i="2"/>
  <c r="L622" i="2"/>
  <c r="K622" i="2"/>
  <c r="U621" i="2"/>
  <c r="T621" i="2"/>
  <c r="S621" i="2"/>
  <c r="R621" i="2"/>
  <c r="Q621" i="2"/>
  <c r="P621" i="2"/>
  <c r="O621" i="2"/>
  <c r="N621" i="2"/>
  <c r="M621" i="2"/>
  <c r="L621" i="2"/>
  <c r="U620" i="2"/>
  <c r="T620" i="2"/>
  <c r="S620" i="2"/>
  <c r="R620" i="2"/>
  <c r="Q620" i="2"/>
  <c r="P620" i="2"/>
  <c r="O620" i="2"/>
  <c r="N620" i="2"/>
  <c r="M620" i="2"/>
  <c r="L620" i="2"/>
  <c r="K620" i="2"/>
  <c r="U618" i="2"/>
  <c r="T618" i="2"/>
  <c r="S618" i="2"/>
  <c r="R618" i="2"/>
  <c r="Q618" i="2"/>
  <c r="P618" i="2"/>
  <c r="O618" i="2"/>
  <c r="N618" i="2"/>
  <c r="M618" i="2"/>
  <c r="L618" i="2"/>
  <c r="U617" i="2"/>
  <c r="T617" i="2"/>
  <c r="S617" i="2"/>
  <c r="R617" i="2"/>
  <c r="Q617" i="2"/>
  <c r="P617" i="2"/>
  <c r="O617" i="2"/>
  <c r="N617" i="2"/>
  <c r="M617" i="2"/>
  <c r="L617" i="2"/>
  <c r="K617" i="2"/>
  <c r="U613" i="2"/>
  <c r="T613" i="2"/>
  <c r="S613" i="2"/>
  <c r="R613" i="2"/>
  <c r="Q613" i="2"/>
  <c r="P613" i="2"/>
  <c r="O613" i="2"/>
  <c r="N613" i="2"/>
  <c r="M613" i="2"/>
  <c r="L613" i="2"/>
  <c r="K613" i="2"/>
  <c r="U612" i="2"/>
  <c r="T612" i="2"/>
  <c r="S612" i="2"/>
  <c r="R612" i="2"/>
  <c r="Q612" i="2"/>
  <c r="P612" i="2"/>
  <c r="O612" i="2"/>
  <c r="N612" i="2"/>
  <c r="M612" i="2"/>
  <c r="L612" i="2"/>
  <c r="U611" i="2"/>
  <c r="T611" i="2"/>
  <c r="S611" i="2"/>
  <c r="R611" i="2"/>
  <c r="Q611" i="2"/>
  <c r="P611" i="2"/>
  <c r="O611" i="2"/>
  <c r="N611" i="2"/>
  <c r="M611" i="2"/>
  <c r="L611" i="2"/>
  <c r="K611" i="2"/>
  <c r="U609" i="2"/>
  <c r="T609" i="2"/>
  <c r="S609" i="2"/>
  <c r="R609" i="2"/>
  <c r="Q609" i="2"/>
  <c r="P609" i="2"/>
  <c r="O609" i="2"/>
  <c r="N609" i="2"/>
  <c r="M609" i="2"/>
  <c r="L609" i="2"/>
  <c r="U608" i="2"/>
  <c r="T608" i="2"/>
  <c r="S608" i="2"/>
  <c r="R608" i="2"/>
  <c r="Q608" i="2"/>
  <c r="P608" i="2"/>
  <c r="O608" i="2"/>
  <c r="N608" i="2"/>
  <c r="M608" i="2"/>
  <c r="L608" i="2"/>
  <c r="K608" i="2"/>
  <c r="U604" i="2"/>
  <c r="T604" i="2"/>
  <c r="S604" i="2"/>
  <c r="R604" i="2"/>
  <c r="Q604" i="2"/>
  <c r="P604" i="2"/>
  <c r="O604" i="2"/>
  <c r="N604" i="2"/>
  <c r="M604" i="2"/>
  <c r="L604" i="2"/>
  <c r="K604" i="2"/>
  <c r="U603" i="2"/>
  <c r="T603" i="2"/>
  <c r="S603" i="2"/>
  <c r="R603" i="2"/>
  <c r="Q603" i="2"/>
  <c r="P603" i="2"/>
  <c r="O603" i="2"/>
  <c r="N603" i="2"/>
  <c r="M603" i="2"/>
  <c r="L603" i="2"/>
  <c r="U602" i="2"/>
  <c r="T602" i="2"/>
  <c r="S602" i="2"/>
  <c r="R602" i="2"/>
  <c r="Q602" i="2"/>
  <c r="P602" i="2"/>
  <c r="O602" i="2"/>
  <c r="N602" i="2"/>
  <c r="M602" i="2"/>
  <c r="L602" i="2"/>
  <c r="K602" i="2"/>
  <c r="U600" i="2"/>
  <c r="T600" i="2"/>
  <c r="S600" i="2"/>
  <c r="R600" i="2"/>
  <c r="Q600" i="2"/>
  <c r="P600" i="2"/>
  <c r="O600" i="2"/>
  <c r="N600" i="2"/>
  <c r="M600" i="2"/>
  <c r="L600" i="2"/>
  <c r="U599" i="2"/>
  <c r="T599" i="2"/>
  <c r="S599" i="2"/>
  <c r="R599" i="2"/>
  <c r="Q599" i="2"/>
  <c r="P599" i="2"/>
  <c r="O599" i="2"/>
  <c r="N599" i="2"/>
  <c r="M599" i="2"/>
  <c r="L599" i="2"/>
  <c r="K599" i="2"/>
  <c r="U595" i="2"/>
  <c r="T595" i="2"/>
  <c r="S595" i="2"/>
  <c r="R595" i="2"/>
  <c r="Q595" i="2"/>
  <c r="P595" i="2"/>
  <c r="O595" i="2"/>
  <c r="N595" i="2"/>
  <c r="M595" i="2"/>
  <c r="L595" i="2"/>
  <c r="K595" i="2"/>
  <c r="U594" i="2"/>
  <c r="T594" i="2"/>
  <c r="S594" i="2"/>
  <c r="R594" i="2"/>
  <c r="Q594" i="2"/>
  <c r="P594" i="2"/>
  <c r="O594" i="2"/>
  <c r="N594" i="2"/>
  <c r="M594" i="2"/>
  <c r="L594" i="2"/>
  <c r="U593" i="2"/>
  <c r="T593" i="2"/>
  <c r="S593" i="2"/>
  <c r="R593" i="2"/>
  <c r="Q593" i="2"/>
  <c r="P593" i="2"/>
  <c r="O593" i="2"/>
  <c r="N593" i="2"/>
  <c r="M593" i="2"/>
  <c r="L593" i="2"/>
  <c r="K593" i="2"/>
  <c r="U591" i="2"/>
  <c r="T591" i="2"/>
  <c r="S591" i="2"/>
  <c r="R591" i="2"/>
  <c r="Q591" i="2"/>
  <c r="P591" i="2"/>
  <c r="O591" i="2"/>
  <c r="N591" i="2"/>
  <c r="M591" i="2"/>
  <c r="L591" i="2"/>
  <c r="U590" i="2"/>
  <c r="T590" i="2"/>
  <c r="S590" i="2"/>
  <c r="R590" i="2"/>
  <c r="Q590" i="2"/>
  <c r="P590" i="2"/>
  <c r="O590" i="2"/>
  <c r="N590" i="2"/>
  <c r="M590" i="2"/>
  <c r="L590" i="2"/>
  <c r="K590" i="2"/>
  <c r="U586" i="2"/>
  <c r="T586" i="2"/>
  <c r="S586" i="2"/>
  <c r="R586" i="2"/>
  <c r="Q586" i="2"/>
  <c r="P586" i="2"/>
  <c r="O586" i="2"/>
  <c r="N586" i="2"/>
  <c r="M586" i="2"/>
  <c r="L586" i="2"/>
  <c r="K586" i="2"/>
  <c r="U585" i="2"/>
  <c r="T585" i="2"/>
  <c r="S585" i="2"/>
  <c r="R585" i="2"/>
  <c r="Q585" i="2"/>
  <c r="P585" i="2"/>
  <c r="O585" i="2"/>
  <c r="N585" i="2"/>
  <c r="M585" i="2"/>
  <c r="L585" i="2"/>
  <c r="U584" i="2"/>
  <c r="T584" i="2"/>
  <c r="S584" i="2"/>
  <c r="R584" i="2"/>
  <c r="Q584" i="2"/>
  <c r="P584" i="2"/>
  <c r="O584" i="2"/>
  <c r="N584" i="2"/>
  <c r="M584" i="2"/>
  <c r="L584" i="2"/>
  <c r="K584" i="2"/>
  <c r="U582" i="2"/>
  <c r="T582" i="2"/>
  <c r="S582" i="2"/>
  <c r="R582" i="2"/>
  <c r="Q582" i="2"/>
  <c r="P582" i="2"/>
  <c r="O582" i="2"/>
  <c r="N582" i="2"/>
  <c r="M582" i="2"/>
  <c r="L582" i="2"/>
  <c r="U581" i="2"/>
  <c r="T581" i="2"/>
  <c r="S581" i="2"/>
  <c r="R581" i="2"/>
  <c r="Q581" i="2"/>
  <c r="P581" i="2"/>
  <c r="O581" i="2"/>
  <c r="N581" i="2"/>
  <c r="M581" i="2"/>
  <c r="L581" i="2"/>
  <c r="K581" i="2"/>
  <c r="U577" i="2"/>
  <c r="T577" i="2"/>
  <c r="S577" i="2"/>
  <c r="R577" i="2"/>
  <c r="Q577" i="2"/>
  <c r="P577" i="2"/>
  <c r="O577" i="2"/>
  <c r="N577" i="2"/>
  <c r="M577" i="2"/>
  <c r="L577" i="2"/>
  <c r="K577" i="2"/>
  <c r="U576" i="2"/>
  <c r="T576" i="2"/>
  <c r="S576" i="2"/>
  <c r="R576" i="2"/>
  <c r="Q576" i="2"/>
  <c r="P576" i="2"/>
  <c r="O576" i="2"/>
  <c r="N576" i="2"/>
  <c r="M576" i="2"/>
  <c r="L576" i="2"/>
  <c r="U575" i="2"/>
  <c r="T575" i="2"/>
  <c r="S575" i="2"/>
  <c r="R575" i="2"/>
  <c r="Q575" i="2"/>
  <c r="P575" i="2"/>
  <c r="O575" i="2"/>
  <c r="N575" i="2"/>
  <c r="M575" i="2"/>
  <c r="L575" i="2"/>
  <c r="K575" i="2"/>
  <c r="U573" i="2"/>
  <c r="T573" i="2"/>
  <c r="S573" i="2"/>
  <c r="R573" i="2"/>
  <c r="Q573" i="2"/>
  <c r="P573" i="2"/>
  <c r="O573" i="2"/>
  <c r="N573" i="2"/>
  <c r="M573" i="2"/>
  <c r="L573" i="2"/>
  <c r="U572" i="2"/>
  <c r="T572" i="2"/>
  <c r="S572" i="2"/>
  <c r="R572" i="2"/>
  <c r="Q572" i="2"/>
  <c r="P572" i="2"/>
  <c r="O572" i="2"/>
  <c r="N572" i="2"/>
  <c r="M572" i="2"/>
  <c r="L572" i="2"/>
  <c r="K572" i="2"/>
  <c r="J45" i="1"/>
  <c r="L45" i="1"/>
  <c r="M45" i="1"/>
  <c r="J46" i="1"/>
  <c r="L46" i="1"/>
  <c r="M46" i="1"/>
  <c r="J47" i="1"/>
  <c r="L47" i="1"/>
  <c r="M47" i="1"/>
  <c r="J48" i="1"/>
  <c r="L48" i="1"/>
  <c r="M48" i="1"/>
  <c r="H42" i="1" l="1"/>
  <c r="H41" i="1"/>
  <c r="H44" i="1"/>
  <c r="M424" i="2"/>
  <c r="N424" i="2"/>
  <c r="Q415" i="2"/>
  <c r="R415" i="2"/>
  <c r="O406" i="2"/>
  <c r="O397" i="2"/>
  <c r="U469" i="2"/>
  <c r="T469" i="2"/>
  <c r="S469" i="2"/>
  <c r="R469" i="2"/>
  <c r="Q469" i="2"/>
  <c r="P469" i="2"/>
  <c r="O469" i="2"/>
  <c r="N469" i="2"/>
  <c r="M469" i="2"/>
  <c r="L469" i="2"/>
  <c r="K469" i="2"/>
  <c r="U468" i="2"/>
  <c r="T468" i="2"/>
  <c r="S468" i="2"/>
  <c r="R468" i="2"/>
  <c r="Q468" i="2"/>
  <c r="P468" i="2"/>
  <c r="O468" i="2"/>
  <c r="N468" i="2"/>
  <c r="M468" i="2"/>
  <c r="L468" i="2"/>
  <c r="U467" i="2"/>
  <c r="T467" i="2"/>
  <c r="S467" i="2"/>
  <c r="R467" i="2"/>
  <c r="Q467" i="2"/>
  <c r="P467" i="2"/>
  <c r="O467" i="2"/>
  <c r="N467" i="2"/>
  <c r="M467" i="2"/>
  <c r="L467" i="2"/>
  <c r="K467" i="2"/>
  <c r="U465" i="2"/>
  <c r="T465" i="2"/>
  <c r="S465" i="2"/>
  <c r="R465" i="2"/>
  <c r="Q465" i="2"/>
  <c r="P465" i="2"/>
  <c r="O465" i="2"/>
  <c r="N465" i="2"/>
  <c r="M465" i="2"/>
  <c r="L465" i="2"/>
  <c r="U464" i="2"/>
  <c r="T464" i="2"/>
  <c r="S464" i="2"/>
  <c r="R464" i="2"/>
  <c r="Q464" i="2"/>
  <c r="P464" i="2"/>
  <c r="O464" i="2"/>
  <c r="N464" i="2"/>
  <c r="M464" i="2"/>
  <c r="L464" i="2"/>
  <c r="K464" i="2"/>
  <c r="U460" i="2"/>
  <c r="T460" i="2"/>
  <c r="S460" i="2"/>
  <c r="R460" i="2"/>
  <c r="Q460" i="2"/>
  <c r="P460" i="2"/>
  <c r="O460" i="2"/>
  <c r="N460" i="2"/>
  <c r="M460" i="2"/>
  <c r="L460" i="2"/>
  <c r="K460" i="2"/>
  <c r="U459" i="2"/>
  <c r="T459" i="2"/>
  <c r="S459" i="2"/>
  <c r="R459" i="2"/>
  <c r="Q459" i="2"/>
  <c r="P459" i="2"/>
  <c r="O459" i="2"/>
  <c r="N459" i="2"/>
  <c r="M459" i="2"/>
  <c r="L459" i="2"/>
  <c r="U458" i="2"/>
  <c r="T458" i="2"/>
  <c r="S458" i="2"/>
  <c r="R458" i="2"/>
  <c r="Q458" i="2"/>
  <c r="P458" i="2"/>
  <c r="O458" i="2"/>
  <c r="N458" i="2"/>
  <c r="M458" i="2"/>
  <c r="L458" i="2"/>
  <c r="K458" i="2"/>
  <c r="U456" i="2"/>
  <c r="T456" i="2"/>
  <c r="S456" i="2"/>
  <c r="R456" i="2"/>
  <c r="Q456" i="2"/>
  <c r="P456" i="2"/>
  <c r="O456" i="2"/>
  <c r="N456" i="2"/>
  <c r="M456" i="2"/>
  <c r="L456" i="2"/>
  <c r="U455" i="2"/>
  <c r="T455" i="2"/>
  <c r="S455" i="2"/>
  <c r="R455" i="2"/>
  <c r="Q455" i="2"/>
  <c r="P455" i="2"/>
  <c r="O455" i="2"/>
  <c r="N455" i="2"/>
  <c r="M455" i="2"/>
  <c r="L455" i="2"/>
  <c r="K455" i="2"/>
  <c r="U451" i="2"/>
  <c r="T451" i="2"/>
  <c r="S451" i="2"/>
  <c r="P451" i="2"/>
  <c r="O451" i="2"/>
  <c r="N451" i="2"/>
  <c r="M451" i="2"/>
  <c r="L451" i="2"/>
  <c r="K451" i="2"/>
  <c r="U450" i="2"/>
  <c r="T450" i="2"/>
  <c r="S450" i="2"/>
  <c r="R450" i="2"/>
  <c r="Q450" i="2"/>
  <c r="P450" i="2"/>
  <c r="O450" i="2"/>
  <c r="N450" i="2"/>
  <c r="M450" i="2"/>
  <c r="L450" i="2"/>
  <c r="U449" i="2"/>
  <c r="T449" i="2"/>
  <c r="S449" i="2"/>
  <c r="R449" i="2"/>
  <c r="Q449" i="2"/>
  <c r="P449" i="2"/>
  <c r="O449" i="2"/>
  <c r="N449" i="2"/>
  <c r="M449" i="2"/>
  <c r="L449" i="2"/>
  <c r="K449" i="2"/>
  <c r="U447" i="2"/>
  <c r="T447" i="2"/>
  <c r="S447" i="2"/>
  <c r="R447" i="2"/>
  <c r="Q447" i="2"/>
  <c r="P447" i="2"/>
  <c r="O447" i="2"/>
  <c r="N447" i="2"/>
  <c r="M447" i="2"/>
  <c r="L447" i="2"/>
  <c r="U446" i="2"/>
  <c r="T446" i="2"/>
  <c r="S446" i="2"/>
  <c r="R446" i="2"/>
  <c r="Q446" i="2"/>
  <c r="P446" i="2"/>
  <c r="O446" i="2"/>
  <c r="N446" i="2"/>
  <c r="M446" i="2"/>
  <c r="L446" i="2"/>
  <c r="K446" i="2"/>
  <c r="U442" i="2"/>
  <c r="T442" i="2"/>
  <c r="S442" i="2"/>
  <c r="R442" i="2"/>
  <c r="Q442" i="2"/>
  <c r="P442" i="2"/>
  <c r="O442" i="2"/>
  <c r="M442" i="2"/>
  <c r="L442" i="2"/>
  <c r="K442" i="2"/>
  <c r="U441" i="2"/>
  <c r="T441" i="2"/>
  <c r="S441" i="2"/>
  <c r="R441" i="2"/>
  <c r="Q441" i="2"/>
  <c r="P441" i="2"/>
  <c r="O441" i="2"/>
  <c r="N441" i="2"/>
  <c r="M441" i="2"/>
  <c r="L441" i="2"/>
  <c r="U440" i="2"/>
  <c r="T440" i="2"/>
  <c r="S440" i="2"/>
  <c r="R440" i="2"/>
  <c r="Q440" i="2"/>
  <c r="P440" i="2"/>
  <c r="O440" i="2"/>
  <c r="N440" i="2"/>
  <c r="M440" i="2"/>
  <c r="L440" i="2"/>
  <c r="K440" i="2"/>
  <c r="U438" i="2"/>
  <c r="T438" i="2"/>
  <c r="S438" i="2"/>
  <c r="R438" i="2"/>
  <c r="Q438" i="2"/>
  <c r="P438" i="2"/>
  <c r="O438" i="2"/>
  <c r="N438" i="2"/>
  <c r="M438" i="2"/>
  <c r="L438" i="2"/>
  <c r="U437" i="2"/>
  <c r="T437" i="2"/>
  <c r="S437" i="2"/>
  <c r="R437" i="2"/>
  <c r="Q437" i="2"/>
  <c r="P437" i="2"/>
  <c r="O437" i="2"/>
  <c r="N437" i="2"/>
  <c r="M437" i="2"/>
  <c r="L437" i="2"/>
  <c r="K437" i="2"/>
  <c r="U433" i="2"/>
  <c r="T433" i="2"/>
  <c r="S433" i="2"/>
  <c r="R433" i="2"/>
  <c r="Q433" i="2"/>
  <c r="P433" i="2"/>
  <c r="O433" i="2"/>
  <c r="N433" i="2"/>
  <c r="M433" i="2"/>
  <c r="L433" i="2"/>
  <c r="K433" i="2"/>
  <c r="U432" i="2"/>
  <c r="T432" i="2"/>
  <c r="S432" i="2"/>
  <c r="R432" i="2"/>
  <c r="Q432" i="2"/>
  <c r="P432" i="2"/>
  <c r="O432" i="2"/>
  <c r="N432" i="2"/>
  <c r="M432" i="2"/>
  <c r="L432" i="2"/>
  <c r="U431" i="2"/>
  <c r="T431" i="2"/>
  <c r="S431" i="2"/>
  <c r="R431" i="2"/>
  <c r="Q431" i="2"/>
  <c r="P431" i="2"/>
  <c r="O431" i="2"/>
  <c r="N431" i="2"/>
  <c r="M431" i="2"/>
  <c r="L431" i="2"/>
  <c r="K431" i="2"/>
  <c r="U429" i="2"/>
  <c r="T429" i="2"/>
  <c r="S429" i="2"/>
  <c r="R429" i="2"/>
  <c r="Q429" i="2"/>
  <c r="P429" i="2"/>
  <c r="O429" i="2"/>
  <c r="N429" i="2"/>
  <c r="M429" i="2"/>
  <c r="L429" i="2"/>
  <c r="U428" i="2"/>
  <c r="T428" i="2"/>
  <c r="S428" i="2"/>
  <c r="R428" i="2"/>
  <c r="Q428" i="2"/>
  <c r="P428" i="2"/>
  <c r="O428" i="2"/>
  <c r="N428" i="2"/>
  <c r="M428" i="2"/>
  <c r="L428" i="2"/>
  <c r="K428" i="2"/>
  <c r="U424" i="2"/>
  <c r="T424" i="2"/>
  <c r="S424" i="2"/>
  <c r="R424" i="2"/>
  <c r="Q424" i="2"/>
  <c r="P424" i="2"/>
  <c r="O424" i="2"/>
  <c r="L424" i="2"/>
  <c r="K424" i="2"/>
  <c r="U423" i="2"/>
  <c r="T423" i="2"/>
  <c r="S423" i="2"/>
  <c r="R423" i="2"/>
  <c r="Q423" i="2"/>
  <c r="P423" i="2"/>
  <c r="O423" i="2"/>
  <c r="N423" i="2"/>
  <c r="M423" i="2"/>
  <c r="L423" i="2"/>
  <c r="U422" i="2"/>
  <c r="T422" i="2"/>
  <c r="S422" i="2"/>
  <c r="R422" i="2"/>
  <c r="Q422" i="2"/>
  <c r="P422" i="2"/>
  <c r="O422" i="2"/>
  <c r="N422" i="2"/>
  <c r="M422" i="2"/>
  <c r="L422" i="2"/>
  <c r="K422" i="2"/>
  <c r="U420" i="2"/>
  <c r="T420" i="2"/>
  <c r="S420" i="2"/>
  <c r="R420" i="2"/>
  <c r="Q420" i="2"/>
  <c r="P420" i="2"/>
  <c r="O420" i="2"/>
  <c r="N420" i="2"/>
  <c r="M420" i="2"/>
  <c r="L420" i="2"/>
  <c r="U419" i="2"/>
  <c r="T419" i="2"/>
  <c r="S419" i="2"/>
  <c r="R419" i="2"/>
  <c r="Q419" i="2"/>
  <c r="P419" i="2"/>
  <c r="O419" i="2"/>
  <c r="N419" i="2"/>
  <c r="M419" i="2"/>
  <c r="L419" i="2"/>
  <c r="K419" i="2"/>
  <c r="U415" i="2"/>
  <c r="T415" i="2"/>
  <c r="S415" i="2"/>
  <c r="P415" i="2"/>
  <c r="O415" i="2"/>
  <c r="N415" i="2"/>
  <c r="M415" i="2"/>
  <c r="L415" i="2"/>
  <c r="K415" i="2"/>
  <c r="U414" i="2"/>
  <c r="T414" i="2"/>
  <c r="S414" i="2"/>
  <c r="R414" i="2"/>
  <c r="Q414" i="2"/>
  <c r="P414" i="2"/>
  <c r="O414" i="2"/>
  <c r="N414" i="2"/>
  <c r="M414" i="2"/>
  <c r="L414" i="2"/>
  <c r="U413" i="2"/>
  <c r="T413" i="2"/>
  <c r="S413" i="2"/>
  <c r="R413" i="2"/>
  <c r="Q413" i="2"/>
  <c r="P413" i="2"/>
  <c r="O413" i="2"/>
  <c r="N413" i="2"/>
  <c r="M413" i="2"/>
  <c r="L413" i="2"/>
  <c r="K413" i="2"/>
  <c r="U411" i="2"/>
  <c r="T411" i="2"/>
  <c r="S411" i="2"/>
  <c r="R411" i="2"/>
  <c r="Q411" i="2"/>
  <c r="P411" i="2"/>
  <c r="O411" i="2"/>
  <c r="N411" i="2"/>
  <c r="M411" i="2"/>
  <c r="L411" i="2"/>
  <c r="U410" i="2"/>
  <c r="T410" i="2"/>
  <c r="S410" i="2"/>
  <c r="R410" i="2"/>
  <c r="Q410" i="2"/>
  <c r="P410" i="2"/>
  <c r="O410" i="2"/>
  <c r="N410" i="2"/>
  <c r="M410" i="2"/>
  <c r="L410" i="2"/>
  <c r="K410" i="2"/>
  <c r="U406" i="2"/>
  <c r="T406" i="2"/>
  <c r="S406" i="2"/>
  <c r="R406" i="2"/>
  <c r="Q406" i="2"/>
  <c r="P406" i="2"/>
  <c r="U405" i="2"/>
  <c r="T405" i="2"/>
  <c r="S405" i="2"/>
  <c r="R405" i="2"/>
  <c r="Q405" i="2"/>
  <c r="P405" i="2"/>
  <c r="O405" i="2"/>
  <c r="N405" i="2"/>
  <c r="M405" i="2"/>
  <c r="L405" i="2"/>
  <c r="U404" i="2"/>
  <c r="T404" i="2"/>
  <c r="S404" i="2"/>
  <c r="R404" i="2"/>
  <c r="Q404" i="2"/>
  <c r="P404" i="2"/>
  <c r="O404" i="2"/>
  <c r="N404" i="2"/>
  <c r="M404" i="2"/>
  <c r="L404" i="2"/>
  <c r="K404" i="2"/>
  <c r="U402" i="2"/>
  <c r="T402" i="2"/>
  <c r="S402" i="2"/>
  <c r="R402" i="2"/>
  <c r="Q402" i="2"/>
  <c r="P402" i="2"/>
  <c r="O402" i="2"/>
  <c r="N402" i="2"/>
  <c r="M402" i="2"/>
  <c r="L402" i="2"/>
  <c r="U401" i="2"/>
  <c r="T401" i="2"/>
  <c r="S401" i="2"/>
  <c r="R401" i="2"/>
  <c r="Q401" i="2"/>
  <c r="P401" i="2"/>
  <c r="O401" i="2"/>
  <c r="N401" i="2"/>
  <c r="M401" i="2"/>
  <c r="L401" i="2"/>
  <c r="K401" i="2"/>
  <c r="U397" i="2"/>
  <c r="T397" i="2"/>
  <c r="S397" i="2"/>
  <c r="R397" i="2"/>
  <c r="Q397" i="2"/>
  <c r="P397" i="2"/>
  <c r="U396" i="2"/>
  <c r="T396" i="2"/>
  <c r="S396" i="2"/>
  <c r="R396" i="2"/>
  <c r="Q396" i="2"/>
  <c r="P396" i="2"/>
  <c r="O396" i="2"/>
  <c r="N396" i="2"/>
  <c r="M396" i="2"/>
  <c r="L396" i="2"/>
  <c r="U395" i="2"/>
  <c r="T395" i="2"/>
  <c r="S395" i="2"/>
  <c r="R395" i="2"/>
  <c r="Q395" i="2"/>
  <c r="P395" i="2"/>
  <c r="O395" i="2"/>
  <c r="N395" i="2"/>
  <c r="M395" i="2"/>
  <c r="L395" i="2"/>
  <c r="K395" i="2"/>
  <c r="U393" i="2"/>
  <c r="T393" i="2"/>
  <c r="S393" i="2"/>
  <c r="R393" i="2"/>
  <c r="Q393" i="2"/>
  <c r="P393" i="2"/>
  <c r="O393" i="2"/>
  <c r="N393" i="2"/>
  <c r="M393" i="2"/>
  <c r="L393" i="2"/>
  <c r="U392" i="2"/>
  <c r="T392" i="2"/>
  <c r="S392" i="2"/>
  <c r="R392" i="2"/>
  <c r="Q392" i="2"/>
  <c r="P392" i="2"/>
  <c r="O392" i="2"/>
  <c r="N392" i="2"/>
  <c r="M392" i="2"/>
  <c r="L392" i="2"/>
  <c r="K392" i="2"/>
  <c r="K220" i="2"/>
  <c r="L220" i="2"/>
  <c r="M220" i="2"/>
  <c r="N220" i="2"/>
  <c r="O220" i="2"/>
  <c r="P220" i="2"/>
  <c r="Q220" i="2"/>
  <c r="R220" i="2"/>
  <c r="S220" i="2"/>
  <c r="T220" i="2"/>
  <c r="U220" i="2"/>
  <c r="L221" i="2"/>
  <c r="M221" i="2"/>
  <c r="N221" i="2"/>
  <c r="O221" i="2"/>
  <c r="P221" i="2"/>
  <c r="Q221" i="2"/>
  <c r="R221" i="2"/>
  <c r="S221" i="2"/>
  <c r="T221" i="2"/>
  <c r="U221" i="2"/>
  <c r="K223" i="2"/>
  <c r="L223" i="2"/>
  <c r="M223" i="2"/>
  <c r="N223" i="2"/>
  <c r="O223" i="2"/>
  <c r="P223" i="2"/>
  <c r="Q223" i="2"/>
  <c r="R223" i="2"/>
  <c r="S223" i="2"/>
  <c r="T223" i="2"/>
  <c r="U223" i="2"/>
  <c r="L224" i="2"/>
  <c r="M224" i="2"/>
  <c r="N224" i="2"/>
  <c r="O224" i="2"/>
  <c r="P224" i="2"/>
  <c r="Q224" i="2"/>
  <c r="R224" i="2"/>
  <c r="S224" i="2"/>
  <c r="T224" i="2"/>
  <c r="U224" i="2"/>
  <c r="K225" i="2"/>
  <c r="L225" i="2"/>
  <c r="M225" i="2"/>
  <c r="N225" i="2"/>
  <c r="O225" i="2"/>
  <c r="P225" i="2"/>
  <c r="Q225" i="2"/>
  <c r="R225" i="2"/>
  <c r="S225" i="2"/>
  <c r="T225" i="2"/>
  <c r="U225" i="2"/>
  <c r="K229" i="2"/>
  <c r="L229" i="2"/>
  <c r="M229" i="2"/>
  <c r="N229" i="2"/>
  <c r="O229" i="2"/>
  <c r="P229" i="2"/>
  <c r="Q229" i="2"/>
  <c r="R229" i="2"/>
  <c r="S229" i="2"/>
  <c r="T229" i="2"/>
  <c r="U229" i="2"/>
  <c r="L230" i="2"/>
  <c r="M230" i="2"/>
  <c r="N230" i="2"/>
  <c r="O230" i="2"/>
  <c r="P230" i="2"/>
  <c r="Q230" i="2"/>
  <c r="R230" i="2"/>
  <c r="S230" i="2"/>
  <c r="T230" i="2"/>
  <c r="U230" i="2"/>
  <c r="K232" i="2"/>
  <c r="L232" i="2"/>
  <c r="M232" i="2"/>
  <c r="N232" i="2"/>
  <c r="O232" i="2"/>
  <c r="P232" i="2"/>
  <c r="Q232" i="2"/>
  <c r="R232" i="2"/>
  <c r="S232" i="2"/>
  <c r="T232" i="2"/>
  <c r="U232" i="2"/>
  <c r="L233" i="2"/>
  <c r="M233" i="2"/>
  <c r="N233" i="2"/>
  <c r="O233" i="2"/>
  <c r="P233" i="2"/>
  <c r="Q233" i="2"/>
  <c r="R233" i="2"/>
  <c r="S233" i="2"/>
  <c r="T233" i="2"/>
  <c r="U233" i="2"/>
  <c r="K234" i="2"/>
  <c r="L234" i="2"/>
  <c r="M234" i="2"/>
  <c r="N234" i="2"/>
  <c r="O234" i="2"/>
  <c r="P234" i="2"/>
  <c r="Q234" i="2"/>
  <c r="R234" i="2"/>
  <c r="S234" i="2"/>
  <c r="T234" i="2"/>
  <c r="U234" i="2"/>
  <c r="K238" i="2"/>
  <c r="L238" i="2"/>
  <c r="M238" i="2"/>
  <c r="N238" i="2"/>
  <c r="O238" i="2"/>
  <c r="P238" i="2"/>
  <c r="Q238" i="2"/>
  <c r="R238" i="2"/>
  <c r="S238" i="2"/>
  <c r="T238" i="2"/>
  <c r="U238" i="2"/>
  <c r="L239" i="2"/>
  <c r="M239" i="2"/>
  <c r="N239" i="2"/>
  <c r="O239" i="2"/>
  <c r="P239" i="2"/>
  <c r="Q239" i="2"/>
  <c r="R239" i="2"/>
  <c r="S239" i="2"/>
  <c r="T239" i="2"/>
  <c r="U239" i="2"/>
  <c r="K241" i="2"/>
  <c r="L241" i="2"/>
  <c r="M241" i="2"/>
  <c r="N241" i="2"/>
  <c r="O241" i="2"/>
  <c r="P241" i="2"/>
  <c r="Q241" i="2"/>
  <c r="R241" i="2"/>
  <c r="S241" i="2"/>
  <c r="T241" i="2"/>
  <c r="U241" i="2"/>
  <c r="L242" i="2"/>
  <c r="M242" i="2"/>
  <c r="N242" i="2"/>
  <c r="O242" i="2"/>
  <c r="P242" i="2"/>
  <c r="Q242" i="2"/>
  <c r="R242" i="2"/>
  <c r="S242" i="2"/>
  <c r="T242" i="2"/>
  <c r="U242" i="2"/>
  <c r="K243" i="2"/>
  <c r="L243" i="2"/>
  <c r="M243" i="2"/>
  <c r="N243" i="2"/>
  <c r="O243" i="2"/>
  <c r="P243" i="2"/>
  <c r="Q243" i="2"/>
  <c r="R243" i="2"/>
  <c r="S243" i="2"/>
  <c r="T243" i="2"/>
  <c r="U243" i="2"/>
  <c r="K247" i="2"/>
  <c r="L247" i="2"/>
  <c r="M247" i="2"/>
  <c r="N247" i="2"/>
  <c r="O247" i="2"/>
  <c r="P247" i="2"/>
  <c r="Q247" i="2"/>
  <c r="R247" i="2"/>
  <c r="S247" i="2"/>
  <c r="T247" i="2"/>
  <c r="U247" i="2"/>
  <c r="L248" i="2"/>
  <c r="M248" i="2"/>
  <c r="N248" i="2"/>
  <c r="O248" i="2"/>
  <c r="P248" i="2"/>
  <c r="Q248" i="2"/>
  <c r="R248" i="2"/>
  <c r="S248" i="2"/>
  <c r="T248" i="2"/>
  <c r="U248" i="2"/>
  <c r="K250" i="2"/>
  <c r="L250" i="2"/>
  <c r="M250" i="2"/>
  <c r="N250" i="2"/>
  <c r="O250" i="2"/>
  <c r="P250" i="2"/>
  <c r="Q250" i="2"/>
  <c r="R250" i="2"/>
  <c r="S250" i="2"/>
  <c r="T250" i="2"/>
  <c r="U250" i="2"/>
  <c r="L251" i="2"/>
  <c r="M251" i="2"/>
  <c r="N251" i="2"/>
  <c r="O251" i="2"/>
  <c r="P251" i="2"/>
  <c r="Q251" i="2"/>
  <c r="R251" i="2"/>
  <c r="S251" i="2"/>
  <c r="T251" i="2"/>
  <c r="U251" i="2"/>
  <c r="K252" i="2"/>
  <c r="L252" i="2"/>
  <c r="M252" i="2"/>
  <c r="N252" i="2"/>
  <c r="O252" i="2"/>
  <c r="P252" i="2"/>
  <c r="Q252" i="2"/>
  <c r="R252" i="2"/>
  <c r="S252" i="2"/>
  <c r="T252" i="2"/>
  <c r="U252" i="2"/>
  <c r="K256" i="2"/>
  <c r="L256" i="2"/>
  <c r="M256" i="2"/>
  <c r="N256" i="2"/>
  <c r="O256" i="2"/>
  <c r="P256" i="2"/>
  <c r="Q256" i="2"/>
  <c r="R256" i="2"/>
  <c r="S256" i="2"/>
  <c r="T256" i="2"/>
  <c r="U256" i="2"/>
  <c r="L257" i="2"/>
  <c r="M257" i="2"/>
  <c r="N257" i="2"/>
  <c r="O257" i="2"/>
  <c r="P257" i="2"/>
  <c r="Q257" i="2"/>
  <c r="R257" i="2"/>
  <c r="S257" i="2"/>
  <c r="T257" i="2"/>
  <c r="U257" i="2"/>
  <c r="K259" i="2"/>
  <c r="L259" i="2"/>
  <c r="M259" i="2"/>
  <c r="N259" i="2"/>
  <c r="O259" i="2"/>
  <c r="P259" i="2"/>
  <c r="Q259" i="2"/>
  <c r="R259" i="2"/>
  <c r="S259" i="2"/>
  <c r="T259" i="2"/>
  <c r="U259" i="2"/>
  <c r="L260" i="2"/>
  <c r="M260" i="2"/>
  <c r="N260" i="2"/>
  <c r="O260" i="2"/>
  <c r="P260" i="2"/>
  <c r="Q260" i="2"/>
  <c r="R260" i="2"/>
  <c r="S260" i="2"/>
  <c r="T260" i="2"/>
  <c r="U260" i="2"/>
  <c r="K261" i="2"/>
  <c r="L261" i="2"/>
  <c r="M261" i="2"/>
  <c r="N261" i="2"/>
  <c r="O261" i="2"/>
  <c r="P261" i="2"/>
  <c r="Q261" i="2"/>
  <c r="R261" i="2"/>
  <c r="S261" i="2"/>
  <c r="T261" i="2"/>
  <c r="U261" i="2"/>
  <c r="K265" i="2"/>
  <c r="L265" i="2"/>
  <c r="M265" i="2"/>
  <c r="N265" i="2"/>
  <c r="O265" i="2"/>
  <c r="P265" i="2"/>
  <c r="Q265" i="2"/>
  <c r="R265" i="2"/>
  <c r="S265" i="2"/>
  <c r="T265" i="2"/>
  <c r="U265" i="2"/>
  <c r="L266" i="2"/>
  <c r="M266" i="2"/>
  <c r="N266" i="2"/>
  <c r="O266" i="2"/>
  <c r="P266" i="2"/>
  <c r="Q266" i="2"/>
  <c r="R266" i="2"/>
  <c r="S266" i="2"/>
  <c r="T266" i="2"/>
  <c r="U266" i="2"/>
  <c r="K268" i="2"/>
  <c r="L268" i="2"/>
  <c r="M268" i="2"/>
  <c r="N268" i="2"/>
  <c r="O268" i="2"/>
  <c r="P268" i="2"/>
  <c r="Q268" i="2"/>
  <c r="R268" i="2"/>
  <c r="S268" i="2"/>
  <c r="T268" i="2"/>
  <c r="U268" i="2"/>
  <c r="L269" i="2"/>
  <c r="M269" i="2"/>
  <c r="N269" i="2"/>
  <c r="O269" i="2"/>
  <c r="P269" i="2"/>
  <c r="Q269" i="2"/>
  <c r="R269" i="2"/>
  <c r="S269" i="2"/>
  <c r="T269" i="2"/>
  <c r="U269" i="2"/>
  <c r="K270" i="2"/>
  <c r="L270" i="2"/>
  <c r="M270" i="2"/>
  <c r="N270" i="2"/>
  <c r="O270" i="2"/>
  <c r="P270" i="2"/>
  <c r="Q270" i="2"/>
  <c r="R270" i="2"/>
  <c r="S270" i="2"/>
  <c r="T270" i="2"/>
  <c r="U270" i="2"/>
  <c r="K274" i="2"/>
  <c r="L274" i="2"/>
  <c r="M274" i="2"/>
  <c r="N274" i="2"/>
  <c r="O274" i="2"/>
  <c r="P274" i="2"/>
  <c r="Q274" i="2"/>
  <c r="R274" i="2"/>
  <c r="S274" i="2"/>
  <c r="T274" i="2"/>
  <c r="U274" i="2"/>
  <c r="L275" i="2"/>
  <c r="M275" i="2"/>
  <c r="N275" i="2"/>
  <c r="O275" i="2"/>
  <c r="P275" i="2"/>
  <c r="Q275" i="2"/>
  <c r="R275" i="2"/>
  <c r="S275" i="2"/>
  <c r="T275" i="2"/>
  <c r="U275" i="2"/>
  <c r="K277" i="2"/>
  <c r="L277" i="2"/>
  <c r="M277" i="2"/>
  <c r="N277" i="2"/>
  <c r="O277" i="2"/>
  <c r="P277" i="2"/>
  <c r="Q277" i="2"/>
  <c r="R277" i="2"/>
  <c r="S277" i="2"/>
  <c r="T277" i="2"/>
  <c r="U277" i="2"/>
  <c r="L278" i="2"/>
  <c r="M278" i="2"/>
  <c r="N278" i="2"/>
  <c r="O278" i="2"/>
  <c r="P278" i="2"/>
  <c r="Q278" i="2"/>
  <c r="R278" i="2"/>
  <c r="S278" i="2"/>
  <c r="T278" i="2"/>
  <c r="U278" i="2"/>
  <c r="K279" i="2"/>
  <c r="L279" i="2"/>
  <c r="M279" i="2"/>
  <c r="N279" i="2"/>
  <c r="O279" i="2"/>
  <c r="P279" i="2"/>
  <c r="Q279" i="2"/>
  <c r="R279" i="2"/>
  <c r="S279" i="2"/>
  <c r="T279" i="2"/>
  <c r="U279" i="2"/>
  <c r="K283" i="2"/>
  <c r="L283" i="2"/>
  <c r="M283" i="2"/>
  <c r="N283" i="2"/>
  <c r="O283" i="2"/>
  <c r="P283" i="2"/>
  <c r="Q283" i="2"/>
  <c r="R283" i="2"/>
  <c r="S283" i="2"/>
  <c r="T283" i="2"/>
  <c r="U283" i="2"/>
  <c r="L284" i="2"/>
  <c r="M284" i="2"/>
  <c r="N284" i="2"/>
  <c r="O284" i="2"/>
  <c r="P284" i="2"/>
  <c r="Q284" i="2"/>
  <c r="R284" i="2"/>
  <c r="S284" i="2"/>
  <c r="T284" i="2"/>
  <c r="U284" i="2"/>
  <c r="K286" i="2"/>
  <c r="L286" i="2"/>
  <c r="M286" i="2"/>
  <c r="N286" i="2"/>
  <c r="O286" i="2"/>
  <c r="P286" i="2"/>
  <c r="Q286" i="2"/>
  <c r="R286" i="2"/>
  <c r="S286" i="2"/>
  <c r="T286" i="2"/>
  <c r="U286" i="2"/>
  <c r="L287" i="2"/>
  <c r="M287" i="2"/>
  <c r="N287" i="2"/>
  <c r="O287" i="2"/>
  <c r="P287" i="2"/>
  <c r="Q287" i="2"/>
  <c r="R287" i="2"/>
  <c r="S287" i="2"/>
  <c r="T287" i="2"/>
  <c r="U287" i="2"/>
  <c r="K288" i="2"/>
  <c r="L288" i="2"/>
  <c r="M288" i="2"/>
  <c r="N288" i="2"/>
  <c r="O288" i="2"/>
  <c r="P288" i="2"/>
  <c r="Q288" i="2"/>
  <c r="R288" i="2"/>
  <c r="S288" i="2"/>
  <c r="T288" i="2"/>
  <c r="U288" i="2"/>
  <c r="K292" i="2"/>
  <c r="L292" i="2"/>
  <c r="M292" i="2"/>
  <c r="N292" i="2"/>
  <c r="O292" i="2"/>
  <c r="P292" i="2"/>
  <c r="Q292" i="2"/>
  <c r="R292" i="2"/>
  <c r="S292" i="2"/>
  <c r="T292" i="2"/>
  <c r="U292" i="2"/>
  <c r="L293" i="2"/>
  <c r="M293" i="2"/>
  <c r="N293" i="2"/>
  <c r="O293" i="2"/>
  <c r="P293" i="2"/>
  <c r="Q293" i="2"/>
  <c r="R293" i="2"/>
  <c r="S293" i="2"/>
  <c r="T293" i="2"/>
  <c r="U293" i="2"/>
  <c r="K295" i="2"/>
  <c r="L295" i="2"/>
  <c r="M295" i="2"/>
  <c r="N295" i="2"/>
  <c r="O295" i="2"/>
  <c r="P295" i="2"/>
  <c r="Q295" i="2"/>
  <c r="R295" i="2"/>
  <c r="S295" i="2"/>
  <c r="T295" i="2"/>
  <c r="U295" i="2"/>
  <c r="L296" i="2"/>
  <c r="M296" i="2"/>
  <c r="N296" i="2"/>
  <c r="O296" i="2"/>
  <c r="P296" i="2"/>
  <c r="Q296" i="2"/>
  <c r="R296" i="2"/>
  <c r="S296" i="2"/>
  <c r="T296" i="2"/>
  <c r="U296" i="2"/>
  <c r="K297" i="2"/>
  <c r="L297" i="2"/>
  <c r="M297" i="2"/>
  <c r="N297" i="2"/>
  <c r="O297" i="2"/>
  <c r="P297" i="2"/>
  <c r="Q297" i="2"/>
  <c r="R297" i="2"/>
  <c r="S297" i="2"/>
  <c r="T297" i="2"/>
  <c r="U297" i="2"/>
  <c r="K301" i="2"/>
  <c r="L301" i="2"/>
  <c r="M301" i="2"/>
  <c r="N301" i="2"/>
  <c r="O301" i="2"/>
  <c r="P301" i="2"/>
  <c r="Q301" i="2"/>
  <c r="R301" i="2"/>
  <c r="S301" i="2"/>
  <c r="T301" i="2"/>
  <c r="U301" i="2"/>
  <c r="L302" i="2"/>
  <c r="M302" i="2"/>
  <c r="N302" i="2"/>
  <c r="O302" i="2"/>
  <c r="P302" i="2"/>
  <c r="Q302" i="2"/>
  <c r="R302" i="2"/>
  <c r="S302" i="2"/>
  <c r="T302" i="2"/>
  <c r="U302" i="2"/>
  <c r="K304" i="2"/>
  <c r="L304" i="2"/>
  <c r="M304" i="2"/>
  <c r="N304" i="2"/>
  <c r="O304" i="2"/>
  <c r="P304" i="2"/>
  <c r="Q304" i="2"/>
  <c r="R304" i="2"/>
  <c r="S304" i="2"/>
  <c r="T304" i="2"/>
  <c r="U304" i="2"/>
  <c r="L305" i="2"/>
  <c r="M305" i="2"/>
  <c r="N305" i="2"/>
  <c r="O305" i="2"/>
  <c r="P305" i="2"/>
  <c r="Q305" i="2"/>
  <c r="R305" i="2"/>
  <c r="S305" i="2"/>
  <c r="T305" i="2"/>
  <c r="U305" i="2"/>
  <c r="K306" i="2"/>
  <c r="L306" i="2"/>
  <c r="M306" i="2"/>
  <c r="N306" i="2"/>
  <c r="O306" i="2"/>
  <c r="P306" i="2"/>
  <c r="Q306" i="2"/>
  <c r="R306" i="2"/>
  <c r="S306" i="2"/>
  <c r="T306" i="2"/>
  <c r="U306" i="2"/>
  <c r="K310" i="2"/>
  <c r="L310" i="2"/>
  <c r="M310" i="2"/>
  <c r="N310" i="2"/>
  <c r="O310" i="2"/>
  <c r="P310" i="2"/>
  <c r="Q310" i="2"/>
  <c r="R310" i="2"/>
  <c r="S310" i="2"/>
  <c r="T310" i="2"/>
  <c r="U310" i="2"/>
  <c r="L311" i="2"/>
  <c r="M311" i="2"/>
  <c r="N311" i="2"/>
  <c r="O311" i="2"/>
  <c r="P311" i="2"/>
  <c r="Q311" i="2"/>
  <c r="R311" i="2"/>
  <c r="S311" i="2"/>
  <c r="T311" i="2"/>
  <c r="U311" i="2"/>
  <c r="K313" i="2"/>
  <c r="L313" i="2"/>
  <c r="M313" i="2"/>
  <c r="N313" i="2"/>
  <c r="O313" i="2"/>
  <c r="P313" i="2"/>
  <c r="Q313" i="2"/>
  <c r="R313" i="2"/>
  <c r="S313" i="2"/>
  <c r="T313" i="2"/>
  <c r="U313" i="2"/>
  <c r="L314" i="2"/>
  <c r="M314" i="2"/>
  <c r="N314" i="2"/>
  <c r="O314" i="2"/>
  <c r="P314" i="2"/>
  <c r="Q314" i="2"/>
  <c r="R314" i="2"/>
  <c r="S314" i="2"/>
  <c r="T314" i="2"/>
  <c r="U314" i="2"/>
  <c r="K315" i="2"/>
  <c r="L315" i="2"/>
  <c r="M315" i="2"/>
  <c r="N315" i="2"/>
  <c r="O315" i="2"/>
  <c r="P315" i="2"/>
  <c r="Q315" i="2"/>
  <c r="R315" i="2"/>
  <c r="S315" i="2"/>
  <c r="T315" i="2"/>
  <c r="U315" i="2"/>
  <c r="K319" i="2"/>
  <c r="L319" i="2"/>
  <c r="M319" i="2"/>
  <c r="N319" i="2"/>
  <c r="O319" i="2"/>
  <c r="P319" i="2"/>
  <c r="Q319" i="2"/>
  <c r="R319" i="2"/>
  <c r="S319" i="2"/>
  <c r="T319" i="2"/>
  <c r="U319" i="2"/>
  <c r="L320" i="2"/>
  <c r="M320" i="2"/>
  <c r="N320" i="2"/>
  <c r="O320" i="2"/>
  <c r="P320" i="2"/>
  <c r="Q320" i="2"/>
  <c r="R320" i="2"/>
  <c r="S320" i="2"/>
  <c r="T320" i="2"/>
  <c r="U320" i="2"/>
  <c r="K322" i="2"/>
  <c r="L322" i="2"/>
  <c r="M322" i="2"/>
  <c r="N322" i="2"/>
  <c r="O322" i="2"/>
  <c r="P322" i="2"/>
  <c r="Q322" i="2"/>
  <c r="R322" i="2"/>
  <c r="S322" i="2"/>
  <c r="T322" i="2"/>
  <c r="U322" i="2"/>
  <c r="L323" i="2"/>
  <c r="M323" i="2"/>
  <c r="N323" i="2"/>
  <c r="O323" i="2"/>
  <c r="P323" i="2"/>
  <c r="Q323" i="2"/>
  <c r="R323" i="2"/>
  <c r="S323" i="2"/>
  <c r="T323" i="2"/>
  <c r="U323" i="2"/>
  <c r="K324" i="2"/>
  <c r="L324" i="2"/>
  <c r="M324" i="2"/>
  <c r="N324" i="2"/>
  <c r="O324" i="2"/>
  <c r="P324" i="2"/>
  <c r="Q324" i="2"/>
  <c r="R324" i="2"/>
  <c r="S324" i="2"/>
  <c r="T324" i="2"/>
  <c r="U324" i="2"/>
  <c r="K328" i="2"/>
  <c r="L328" i="2"/>
  <c r="M328" i="2"/>
  <c r="N328" i="2"/>
  <c r="O328" i="2"/>
  <c r="P328" i="2"/>
  <c r="Q328" i="2"/>
  <c r="R328" i="2"/>
  <c r="S328" i="2"/>
  <c r="T328" i="2"/>
  <c r="U328" i="2"/>
  <c r="L329" i="2"/>
  <c r="M329" i="2"/>
  <c r="N329" i="2"/>
  <c r="O329" i="2"/>
  <c r="P329" i="2"/>
  <c r="Q329" i="2"/>
  <c r="R329" i="2"/>
  <c r="S329" i="2"/>
  <c r="T329" i="2"/>
  <c r="U329" i="2"/>
  <c r="K331" i="2"/>
  <c r="L331" i="2"/>
  <c r="M331" i="2"/>
  <c r="N331" i="2"/>
  <c r="O331" i="2"/>
  <c r="P331" i="2"/>
  <c r="Q331" i="2"/>
  <c r="R331" i="2"/>
  <c r="S331" i="2"/>
  <c r="T331" i="2"/>
  <c r="U331" i="2"/>
  <c r="L332" i="2"/>
  <c r="M332" i="2"/>
  <c r="N332" i="2"/>
  <c r="O332" i="2"/>
  <c r="P332" i="2"/>
  <c r="Q332" i="2"/>
  <c r="R332" i="2"/>
  <c r="S332" i="2"/>
  <c r="T332" i="2"/>
  <c r="U332" i="2"/>
  <c r="K333" i="2"/>
  <c r="L333" i="2"/>
  <c r="M333" i="2"/>
  <c r="N333" i="2"/>
  <c r="O333" i="2"/>
  <c r="P333" i="2"/>
  <c r="Q333" i="2"/>
  <c r="R333" i="2"/>
  <c r="S333" i="2"/>
  <c r="T333" i="2"/>
  <c r="U333" i="2"/>
  <c r="K337" i="2"/>
  <c r="L337" i="2"/>
  <c r="M337" i="2"/>
  <c r="N337" i="2"/>
  <c r="O337" i="2"/>
  <c r="P337" i="2"/>
  <c r="Q337" i="2"/>
  <c r="R337" i="2"/>
  <c r="S337" i="2"/>
  <c r="T337" i="2"/>
  <c r="U337" i="2"/>
  <c r="L338" i="2"/>
  <c r="M338" i="2"/>
  <c r="N338" i="2"/>
  <c r="O338" i="2"/>
  <c r="P338" i="2"/>
  <c r="Q338" i="2"/>
  <c r="R338" i="2"/>
  <c r="S338" i="2"/>
  <c r="T338" i="2"/>
  <c r="U338" i="2"/>
  <c r="K340" i="2"/>
  <c r="L340" i="2"/>
  <c r="M340" i="2"/>
  <c r="N340" i="2"/>
  <c r="O340" i="2"/>
  <c r="P340" i="2"/>
  <c r="Q340" i="2"/>
  <c r="R340" i="2"/>
  <c r="S340" i="2"/>
  <c r="T340" i="2"/>
  <c r="U340" i="2"/>
  <c r="L341" i="2"/>
  <c r="M341" i="2"/>
  <c r="N341" i="2"/>
  <c r="O341" i="2"/>
  <c r="P341" i="2"/>
  <c r="Q341" i="2"/>
  <c r="R341" i="2"/>
  <c r="S341" i="2"/>
  <c r="T341" i="2"/>
  <c r="U341" i="2"/>
  <c r="K342" i="2"/>
  <c r="L342" i="2"/>
  <c r="M342" i="2"/>
  <c r="N342" i="2"/>
  <c r="O342" i="2"/>
  <c r="P342" i="2"/>
  <c r="Q342" i="2"/>
  <c r="R342" i="2"/>
  <c r="S342" i="2"/>
  <c r="T342" i="2"/>
  <c r="U342" i="2"/>
  <c r="K346" i="2"/>
  <c r="L346" i="2"/>
  <c r="M346" i="2"/>
  <c r="N346" i="2"/>
  <c r="O346" i="2"/>
  <c r="P346" i="2"/>
  <c r="Q346" i="2"/>
  <c r="R346" i="2"/>
  <c r="S346" i="2"/>
  <c r="T346" i="2"/>
  <c r="U346" i="2"/>
  <c r="L347" i="2"/>
  <c r="M347" i="2"/>
  <c r="N347" i="2"/>
  <c r="O347" i="2"/>
  <c r="P347" i="2"/>
  <c r="Q347" i="2"/>
  <c r="R347" i="2"/>
  <c r="S347" i="2"/>
  <c r="T347" i="2"/>
  <c r="U347" i="2"/>
  <c r="K349" i="2"/>
  <c r="L349" i="2"/>
  <c r="M349" i="2"/>
  <c r="N349" i="2"/>
  <c r="O349" i="2"/>
  <c r="P349" i="2"/>
  <c r="Q349" i="2"/>
  <c r="R349" i="2"/>
  <c r="S349" i="2"/>
  <c r="T349" i="2"/>
  <c r="U349" i="2"/>
  <c r="L350" i="2"/>
  <c r="M350" i="2"/>
  <c r="N350" i="2"/>
  <c r="O350" i="2"/>
  <c r="P350" i="2"/>
  <c r="Q350" i="2"/>
  <c r="R350" i="2"/>
  <c r="S350" i="2"/>
  <c r="T350" i="2"/>
  <c r="U350" i="2"/>
  <c r="K351" i="2"/>
  <c r="L351" i="2"/>
  <c r="M351" i="2"/>
  <c r="N351" i="2"/>
  <c r="O351" i="2"/>
  <c r="P351" i="2"/>
  <c r="Q351" i="2"/>
  <c r="R351" i="2"/>
  <c r="S351" i="2"/>
  <c r="T351" i="2"/>
  <c r="U351" i="2"/>
  <c r="K355" i="2"/>
  <c r="L355" i="2"/>
  <c r="M355" i="2"/>
  <c r="N355" i="2"/>
  <c r="O355" i="2"/>
  <c r="P355" i="2"/>
  <c r="Q355" i="2"/>
  <c r="R355" i="2"/>
  <c r="S355" i="2"/>
  <c r="T355" i="2"/>
  <c r="U355" i="2"/>
  <c r="L356" i="2"/>
  <c r="M356" i="2"/>
  <c r="N356" i="2"/>
  <c r="O356" i="2"/>
  <c r="P356" i="2"/>
  <c r="Q356" i="2"/>
  <c r="R356" i="2"/>
  <c r="S356" i="2"/>
  <c r="T356" i="2"/>
  <c r="U356" i="2"/>
  <c r="K358" i="2"/>
  <c r="L358" i="2"/>
  <c r="M358" i="2"/>
  <c r="N358" i="2"/>
  <c r="O358" i="2"/>
  <c r="P358" i="2"/>
  <c r="Q358" i="2"/>
  <c r="R358" i="2"/>
  <c r="S358" i="2"/>
  <c r="T358" i="2"/>
  <c r="U358" i="2"/>
  <c r="L359" i="2"/>
  <c r="M359" i="2"/>
  <c r="N359" i="2"/>
  <c r="O359" i="2"/>
  <c r="P359" i="2"/>
  <c r="Q359" i="2"/>
  <c r="R359" i="2"/>
  <c r="S359" i="2"/>
  <c r="T359" i="2"/>
  <c r="U359" i="2"/>
  <c r="K360" i="2"/>
  <c r="L360" i="2"/>
  <c r="M360" i="2"/>
  <c r="N360" i="2"/>
  <c r="O360" i="2"/>
  <c r="P360" i="2"/>
  <c r="Q360" i="2"/>
  <c r="R360" i="2"/>
  <c r="S360" i="2"/>
  <c r="T360" i="2"/>
  <c r="U360" i="2"/>
  <c r="K364" i="2"/>
  <c r="L364" i="2"/>
  <c r="M364" i="2"/>
  <c r="N364" i="2"/>
  <c r="O364" i="2"/>
  <c r="P364" i="2"/>
  <c r="Q364" i="2"/>
  <c r="R364" i="2"/>
  <c r="S364" i="2"/>
  <c r="T364" i="2"/>
  <c r="U364" i="2"/>
  <c r="L365" i="2"/>
  <c r="M365" i="2"/>
  <c r="N365" i="2"/>
  <c r="O365" i="2"/>
  <c r="P365" i="2"/>
  <c r="Q365" i="2"/>
  <c r="R365" i="2"/>
  <c r="S365" i="2"/>
  <c r="T365" i="2"/>
  <c r="U365" i="2"/>
  <c r="K367" i="2"/>
  <c r="L367" i="2"/>
  <c r="M367" i="2"/>
  <c r="N367" i="2"/>
  <c r="O367" i="2"/>
  <c r="P367" i="2"/>
  <c r="Q367" i="2"/>
  <c r="R367" i="2"/>
  <c r="S367" i="2"/>
  <c r="T367" i="2"/>
  <c r="U367" i="2"/>
  <c r="L368" i="2"/>
  <c r="M368" i="2"/>
  <c r="N368" i="2"/>
  <c r="O368" i="2"/>
  <c r="P368" i="2"/>
  <c r="Q368" i="2"/>
  <c r="R368" i="2"/>
  <c r="S368" i="2"/>
  <c r="T368" i="2"/>
  <c r="U368" i="2"/>
  <c r="K369" i="2"/>
  <c r="L369" i="2"/>
  <c r="M369" i="2"/>
  <c r="N369" i="2"/>
  <c r="O369" i="2"/>
  <c r="P369" i="2"/>
  <c r="Q369" i="2"/>
  <c r="R369" i="2"/>
  <c r="S369" i="2"/>
  <c r="T369" i="2"/>
  <c r="U369" i="2"/>
  <c r="K373" i="2"/>
  <c r="L373" i="2"/>
  <c r="M373" i="2"/>
  <c r="N373" i="2"/>
  <c r="O373" i="2"/>
  <c r="P373" i="2"/>
  <c r="Q373" i="2"/>
  <c r="R373" i="2"/>
  <c r="S373" i="2"/>
  <c r="T373" i="2"/>
  <c r="U373" i="2"/>
  <c r="L374" i="2"/>
  <c r="M374" i="2"/>
  <c r="N374" i="2"/>
  <c r="O374" i="2"/>
  <c r="P374" i="2"/>
  <c r="Q374" i="2"/>
  <c r="R374" i="2"/>
  <c r="S374" i="2"/>
  <c r="T374" i="2"/>
  <c r="U374" i="2"/>
  <c r="K376" i="2"/>
  <c r="L376" i="2"/>
  <c r="M376" i="2"/>
  <c r="N376" i="2"/>
  <c r="O376" i="2"/>
  <c r="P376" i="2"/>
  <c r="Q376" i="2"/>
  <c r="R376" i="2"/>
  <c r="S376" i="2"/>
  <c r="T376" i="2"/>
  <c r="U376" i="2"/>
  <c r="L377" i="2"/>
  <c r="M377" i="2"/>
  <c r="N377" i="2"/>
  <c r="O377" i="2"/>
  <c r="P377" i="2"/>
  <c r="Q377" i="2"/>
  <c r="R377" i="2"/>
  <c r="S377" i="2"/>
  <c r="T377" i="2"/>
  <c r="U377" i="2"/>
  <c r="K378" i="2"/>
  <c r="L378" i="2"/>
  <c r="M378" i="2"/>
  <c r="N378" i="2"/>
  <c r="O378" i="2"/>
  <c r="P378" i="2"/>
  <c r="Q378" i="2"/>
  <c r="R378" i="2"/>
  <c r="S378" i="2"/>
  <c r="T378" i="2"/>
  <c r="U378" i="2"/>
  <c r="K382" i="2"/>
  <c r="L382" i="2"/>
  <c r="M382" i="2"/>
  <c r="N382" i="2"/>
  <c r="O382" i="2"/>
  <c r="P382" i="2"/>
  <c r="Q382" i="2"/>
  <c r="R382" i="2"/>
  <c r="S382" i="2"/>
  <c r="T382" i="2"/>
  <c r="U382" i="2"/>
  <c r="L383" i="2"/>
  <c r="M383" i="2"/>
  <c r="N383" i="2"/>
  <c r="O383" i="2"/>
  <c r="P383" i="2"/>
  <c r="Q383" i="2"/>
  <c r="R383" i="2"/>
  <c r="S383" i="2"/>
  <c r="T383" i="2"/>
  <c r="U383" i="2"/>
  <c r="K385" i="2"/>
  <c r="L385" i="2"/>
  <c r="M385" i="2"/>
  <c r="N385" i="2"/>
  <c r="O385" i="2"/>
  <c r="P385" i="2"/>
  <c r="Q385" i="2"/>
  <c r="R385" i="2"/>
  <c r="S385" i="2"/>
  <c r="T385" i="2"/>
  <c r="U385" i="2"/>
  <c r="L386" i="2"/>
  <c r="M386" i="2"/>
  <c r="N386" i="2"/>
  <c r="O386" i="2"/>
  <c r="P386" i="2"/>
  <c r="Q386" i="2"/>
  <c r="R386" i="2"/>
  <c r="S386" i="2"/>
  <c r="T386" i="2"/>
  <c r="U386" i="2"/>
  <c r="K387" i="2"/>
  <c r="L387" i="2"/>
  <c r="M387" i="2"/>
  <c r="N387" i="2"/>
  <c r="O387" i="2"/>
  <c r="P387" i="2"/>
  <c r="Q387" i="2"/>
  <c r="R387" i="2"/>
  <c r="S387" i="2"/>
  <c r="T387" i="2"/>
  <c r="U387" i="2"/>
  <c r="J24" i="1"/>
  <c r="L24" i="1"/>
  <c r="M24" i="1"/>
  <c r="J25" i="1"/>
  <c r="L25" i="1"/>
  <c r="M25" i="1"/>
  <c r="J26" i="1"/>
  <c r="L26" i="1"/>
  <c r="M26" i="1"/>
  <c r="J27" i="1"/>
  <c r="L27" i="1"/>
  <c r="M27" i="1"/>
  <c r="J28" i="1"/>
  <c r="L28" i="1"/>
  <c r="M28" i="1"/>
  <c r="J29" i="1"/>
  <c r="L29" i="1"/>
  <c r="M29" i="1"/>
  <c r="J30" i="1"/>
  <c r="L30" i="1"/>
  <c r="M30" i="1"/>
  <c r="J31" i="1"/>
  <c r="L31" i="1"/>
  <c r="M31" i="1"/>
  <c r="J32" i="1"/>
  <c r="L32" i="1"/>
  <c r="M32" i="1"/>
  <c r="J33" i="1"/>
  <c r="L33" i="1"/>
  <c r="M33" i="1"/>
  <c r="J34" i="1"/>
  <c r="L34" i="1"/>
  <c r="M34" i="1"/>
  <c r="J35" i="1"/>
  <c r="L35" i="1"/>
  <c r="M35" i="1"/>
  <c r="J36" i="1"/>
  <c r="L36" i="1"/>
  <c r="M36" i="1"/>
  <c r="J37" i="1"/>
  <c r="L37" i="1"/>
  <c r="M37" i="1"/>
  <c r="J38" i="1"/>
  <c r="L38" i="1"/>
  <c r="M38" i="1"/>
  <c r="J39" i="1"/>
  <c r="L39" i="1"/>
  <c r="M39" i="1"/>
  <c r="O207" i="2" l="1"/>
  <c r="U189" i="2" l="1"/>
  <c r="H19" i="1"/>
  <c r="U177" i="2"/>
  <c r="U180" i="2" s="1"/>
  <c r="U174" i="2"/>
  <c r="U176" i="2" s="1"/>
  <c r="J13" i="1"/>
  <c r="L13" i="1"/>
  <c r="M13" i="1"/>
  <c r="J14" i="1"/>
  <c r="L14" i="1"/>
  <c r="M14" i="1"/>
  <c r="J15" i="1"/>
  <c r="L15" i="1"/>
  <c r="M15" i="1"/>
  <c r="J16" i="1"/>
  <c r="L16" i="1"/>
  <c r="M16" i="1"/>
  <c r="J17" i="1"/>
  <c r="L17" i="1"/>
  <c r="M17" i="1"/>
  <c r="J18" i="1"/>
  <c r="L18" i="1"/>
  <c r="M18" i="1"/>
  <c r="U216" i="2"/>
  <c r="T216" i="2"/>
  <c r="S216" i="2"/>
  <c r="R216" i="2"/>
  <c r="Q216" i="2"/>
  <c r="P216" i="2"/>
  <c r="O216" i="2"/>
  <c r="U215" i="2"/>
  <c r="T215" i="2"/>
  <c r="S215" i="2"/>
  <c r="R215" i="2"/>
  <c r="Q215" i="2"/>
  <c r="P215" i="2"/>
  <c r="O215" i="2"/>
  <c r="N215" i="2"/>
  <c r="M215" i="2"/>
  <c r="L215" i="2"/>
  <c r="U214" i="2"/>
  <c r="T214" i="2"/>
  <c r="S214" i="2"/>
  <c r="R214" i="2"/>
  <c r="Q214" i="2"/>
  <c r="P214" i="2"/>
  <c r="O214" i="2"/>
  <c r="N214" i="2"/>
  <c r="M214" i="2"/>
  <c r="L214" i="2"/>
  <c r="K214" i="2"/>
  <c r="U212" i="2"/>
  <c r="T212" i="2"/>
  <c r="S212" i="2"/>
  <c r="R212" i="2"/>
  <c r="Q212" i="2"/>
  <c r="P212" i="2"/>
  <c r="O212" i="2"/>
  <c r="N212" i="2"/>
  <c r="M212" i="2"/>
  <c r="L212" i="2"/>
  <c r="U211" i="2"/>
  <c r="T211" i="2"/>
  <c r="S211" i="2"/>
  <c r="R211" i="2"/>
  <c r="Q211" i="2"/>
  <c r="P211" i="2"/>
  <c r="O211" i="2"/>
  <c r="N211" i="2"/>
  <c r="M211" i="2"/>
  <c r="L211" i="2"/>
  <c r="K211" i="2"/>
  <c r="U207" i="2"/>
  <c r="T207" i="2"/>
  <c r="S207" i="2"/>
  <c r="R207" i="2"/>
  <c r="Q207" i="2"/>
  <c r="P207" i="2"/>
  <c r="U206" i="2"/>
  <c r="T206" i="2"/>
  <c r="S206" i="2"/>
  <c r="R206" i="2"/>
  <c r="Q206" i="2"/>
  <c r="P206" i="2"/>
  <c r="O206" i="2"/>
  <c r="N206" i="2"/>
  <c r="M206" i="2"/>
  <c r="L206" i="2"/>
  <c r="U205" i="2"/>
  <c r="T205" i="2"/>
  <c r="S205" i="2"/>
  <c r="R205" i="2"/>
  <c r="Q205" i="2"/>
  <c r="P205" i="2"/>
  <c r="O205" i="2"/>
  <c r="N205" i="2"/>
  <c r="M205" i="2"/>
  <c r="L205" i="2"/>
  <c r="K205" i="2"/>
  <c r="U203" i="2"/>
  <c r="T203" i="2"/>
  <c r="S203" i="2"/>
  <c r="R203" i="2"/>
  <c r="Q203" i="2"/>
  <c r="P203" i="2"/>
  <c r="O203" i="2"/>
  <c r="N203" i="2"/>
  <c r="M203" i="2"/>
  <c r="L203" i="2"/>
  <c r="U202" i="2"/>
  <c r="T202" i="2"/>
  <c r="S202" i="2"/>
  <c r="R202" i="2"/>
  <c r="Q202" i="2"/>
  <c r="P202" i="2"/>
  <c r="O202" i="2"/>
  <c r="N202" i="2"/>
  <c r="M202" i="2"/>
  <c r="L202" i="2"/>
  <c r="K202" i="2"/>
  <c r="U198" i="2"/>
  <c r="T198" i="2"/>
  <c r="S198" i="2"/>
  <c r="R198" i="2"/>
  <c r="Q198" i="2"/>
  <c r="P198" i="2"/>
  <c r="O198" i="2"/>
  <c r="U197" i="2"/>
  <c r="T197" i="2"/>
  <c r="S197" i="2"/>
  <c r="R197" i="2"/>
  <c r="Q197" i="2"/>
  <c r="P197" i="2"/>
  <c r="O197" i="2"/>
  <c r="N197" i="2"/>
  <c r="M197" i="2"/>
  <c r="L197" i="2"/>
  <c r="U196" i="2"/>
  <c r="T196" i="2"/>
  <c r="S196" i="2"/>
  <c r="R196" i="2"/>
  <c r="Q196" i="2"/>
  <c r="P196" i="2"/>
  <c r="O196" i="2"/>
  <c r="N196" i="2"/>
  <c r="M196" i="2"/>
  <c r="L196" i="2"/>
  <c r="K196" i="2"/>
  <c r="U194" i="2"/>
  <c r="T194" i="2"/>
  <c r="S194" i="2"/>
  <c r="R194" i="2"/>
  <c r="Q194" i="2"/>
  <c r="P194" i="2"/>
  <c r="O194" i="2"/>
  <c r="N194" i="2"/>
  <c r="M194" i="2"/>
  <c r="L194" i="2"/>
  <c r="U193" i="2"/>
  <c r="T193" i="2"/>
  <c r="S193" i="2"/>
  <c r="R193" i="2"/>
  <c r="Q193" i="2"/>
  <c r="P193" i="2"/>
  <c r="O193" i="2"/>
  <c r="N193" i="2"/>
  <c r="M193" i="2"/>
  <c r="L193" i="2"/>
  <c r="K193" i="2"/>
  <c r="T189" i="2"/>
  <c r="S189" i="2"/>
  <c r="R189" i="2"/>
  <c r="Q189" i="2"/>
  <c r="P189" i="2"/>
  <c r="O189" i="2"/>
  <c r="U188" i="2"/>
  <c r="T188" i="2"/>
  <c r="S188" i="2"/>
  <c r="R188" i="2"/>
  <c r="Q188" i="2"/>
  <c r="P188" i="2"/>
  <c r="O188" i="2"/>
  <c r="N188" i="2"/>
  <c r="M188" i="2"/>
  <c r="L188" i="2"/>
  <c r="U187" i="2"/>
  <c r="T187" i="2"/>
  <c r="S187" i="2"/>
  <c r="R187" i="2"/>
  <c r="Q187" i="2"/>
  <c r="P187" i="2"/>
  <c r="O187" i="2"/>
  <c r="N187" i="2"/>
  <c r="M187" i="2"/>
  <c r="L187" i="2"/>
  <c r="K187" i="2"/>
  <c r="U185" i="2"/>
  <c r="T185" i="2"/>
  <c r="S185" i="2"/>
  <c r="R185" i="2"/>
  <c r="Q185" i="2"/>
  <c r="P185" i="2"/>
  <c r="O185" i="2"/>
  <c r="N185" i="2"/>
  <c r="M185" i="2"/>
  <c r="L185" i="2"/>
  <c r="U184" i="2"/>
  <c r="T184" i="2"/>
  <c r="S184" i="2"/>
  <c r="R184" i="2"/>
  <c r="Q184" i="2"/>
  <c r="P184" i="2"/>
  <c r="O184" i="2"/>
  <c r="N184" i="2"/>
  <c r="M184" i="2"/>
  <c r="L184" i="2"/>
  <c r="K184" i="2"/>
  <c r="T180" i="2"/>
  <c r="S180" i="2"/>
  <c r="R180" i="2"/>
  <c r="Q180" i="2"/>
  <c r="P180" i="2"/>
  <c r="O180" i="2"/>
  <c r="U179" i="2"/>
  <c r="T179" i="2"/>
  <c r="S179" i="2"/>
  <c r="R179" i="2"/>
  <c r="Q179" i="2"/>
  <c r="P179" i="2"/>
  <c r="O179" i="2"/>
  <c r="N179" i="2"/>
  <c r="M179" i="2"/>
  <c r="L179" i="2"/>
  <c r="T178" i="2"/>
  <c r="S178" i="2"/>
  <c r="R178" i="2"/>
  <c r="Q178" i="2"/>
  <c r="P178" i="2"/>
  <c r="O178" i="2"/>
  <c r="N178" i="2"/>
  <c r="M178" i="2"/>
  <c r="L178" i="2"/>
  <c r="K178" i="2"/>
  <c r="T176" i="2"/>
  <c r="S176" i="2"/>
  <c r="R176" i="2"/>
  <c r="Q176" i="2"/>
  <c r="P176" i="2"/>
  <c r="O176" i="2"/>
  <c r="N176" i="2"/>
  <c r="M176" i="2"/>
  <c r="L176" i="2"/>
  <c r="T175" i="2"/>
  <c r="S175" i="2"/>
  <c r="R175" i="2"/>
  <c r="Q175" i="2"/>
  <c r="P175" i="2"/>
  <c r="O175" i="2"/>
  <c r="N175" i="2"/>
  <c r="M175" i="2"/>
  <c r="L175" i="2"/>
  <c r="K175" i="2"/>
  <c r="U171" i="2"/>
  <c r="T171" i="2"/>
  <c r="S171" i="2"/>
  <c r="R171" i="2"/>
  <c r="Q171" i="2"/>
  <c r="P171" i="2"/>
  <c r="O171" i="2"/>
  <c r="U170" i="2"/>
  <c r="T170" i="2"/>
  <c r="S170" i="2"/>
  <c r="R170" i="2"/>
  <c r="Q170" i="2"/>
  <c r="P170" i="2"/>
  <c r="O170" i="2"/>
  <c r="N170" i="2"/>
  <c r="M170" i="2"/>
  <c r="L170" i="2"/>
  <c r="U169" i="2"/>
  <c r="T169" i="2"/>
  <c r="S169" i="2"/>
  <c r="R169" i="2"/>
  <c r="Q169" i="2"/>
  <c r="P169" i="2"/>
  <c r="O169" i="2"/>
  <c r="N169" i="2"/>
  <c r="M169" i="2"/>
  <c r="L169" i="2"/>
  <c r="K169" i="2"/>
  <c r="U167" i="2"/>
  <c r="T167" i="2"/>
  <c r="S167" i="2"/>
  <c r="R167" i="2"/>
  <c r="Q167" i="2"/>
  <c r="P167" i="2"/>
  <c r="O167" i="2"/>
  <c r="N167" i="2"/>
  <c r="M167" i="2"/>
  <c r="L167" i="2"/>
  <c r="U166" i="2"/>
  <c r="T166" i="2"/>
  <c r="S166" i="2"/>
  <c r="R166" i="2"/>
  <c r="Q166" i="2"/>
  <c r="P166" i="2"/>
  <c r="O166" i="2"/>
  <c r="N166" i="2"/>
  <c r="M166" i="2"/>
  <c r="L166" i="2"/>
  <c r="K166" i="2"/>
  <c r="U162" i="2"/>
  <c r="T162" i="2"/>
  <c r="S162" i="2"/>
  <c r="R162" i="2"/>
  <c r="Q162" i="2"/>
  <c r="P162" i="2"/>
  <c r="O162" i="2"/>
  <c r="U161" i="2"/>
  <c r="T161" i="2"/>
  <c r="S161" i="2"/>
  <c r="R161" i="2"/>
  <c r="Q161" i="2"/>
  <c r="P161" i="2"/>
  <c r="O161" i="2"/>
  <c r="N161" i="2"/>
  <c r="M161" i="2"/>
  <c r="L161" i="2"/>
  <c r="U160" i="2"/>
  <c r="T160" i="2"/>
  <c r="S160" i="2"/>
  <c r="R160" i="2"/>
  <c r="Q160" i="2"/>
  <c r="P160" i="2"/>
  <c r="O160" i="2"/>
  <c r="N160" i="2"/>
  <c r="M160" i="2"/>
  <c r="L160" i="2"/>
  <c r="K160" i="2"/>
  <c r="U158" i="2"/>
  <c r="T158" i="2"/>
  <c r="S158" i="2"/>
  <c r="R158" i="2"/>
  <c r="Q158" i="2"/>
  <c r="P158" i="2"/>
  <c r="O158" i="2"/>
  <c r="N158" i="2"/>
  <c r="M158" i="2"/>
  <c r="L158" i="2"/>
  <c r="U157" i="2"/>
  <c r="T157" i="2"/>
  <c r="S157" i="2"/>
  <c r="R157" i="2"/>
  <c r="Q157" i="2"/>
  <c r="P157" i="2"/>
  <c r="O157" i="2"/>
  <c r="N157" i="2"/>
  <c r="M157" i="2"/>
  <c r="L157" i="2"/>
  <c r="K157" i="2"/>
  <c r="U178" i="2" l="1"/>
  <c r="U175" i="2"/>
  <c r="K112" i="2"/>
  <c r="L112" i="2"/>
  <c r="M112" i="2"/>
  <c r="N112" i="2"/>
  <c r="O112" i="2"/>
  <c r="P112" i="2"/>
  <c r="Q112" i="2"/>
  <c r="R112" i="2"/>
  <c r="S112" i="2"/>
  <c r="T112" i="2"/>
  <c r="U112" i="2"/>
  <c r="L113" i="2"/>
  <c r="M113" i="2"/>
  <c r="N113" i="2"/>
  <c r="O113" i="2"/>
  <c r="P113" i="2"/>
  <c r="Q113" i="2"/>
  <c r="R113" i="2"/>
  <c r="S113" i="2"/>
  <c r="T113" i="2"/>
  <c r="U113" i="2"/>
  <c r="K115" i="2"/>
  <c r="L115" i="2"/>
  <c r="M115" i="2"/>
  <c r="N115" i="2"/>
  <c r="O115" i="2"/>
  <c r="P115" i="2"/>
  <c r="Q115" i="2"/>
  <c r="R115" i="2"/>
  <c r="S115" i="2"/>
  <c r="T115" i="2"/>
  <c r="U115" i="2"/>
  <c r="L116" i="2"/>
  <c r="M116" i="2"/>
  <c r="N116" i="2"/>
  <c r="O116" i="2"/>
  <c r="P116" i="2"/>
  <c r="Q116" i="2"/>
  <c r="R116" i="2"/>
  <c r="S116" i="2"/>
  <c r="T116" i="2"/>
  <c r="U116" i="2"/>
  <c r="K117" i="2"/>
  <c r="L117" i="2"/>
  <c r="M117" i="2"/>
  <c r="N117" i="2"/>
  <c r="O117" i="2"/>
  <c r="P117" i="2"/>
  <c r="Q117" i="2"/>
  <c r="R117" i="2"/>
  <c r="S117" i="2"/>
  <c r="T117" i="2"/>
  <c r="U117" i="2"/>
  <c r="K121" i="2"/>
  <c r="L121" i="2"/>
  <c r="M121" i="2"/>
  <c r="N121" i="2"/>
  <c r="O121" i="2"/>
  <c r="P121" i="2"/>
  <c r="Q121" i="2"/>
  <c r="R121" i="2"/>
  <c r="S121" i="2"/>
  <c r="T121" i="2"/>
  <c r="U121" i="2"/>
  <c r="L122" i="2"/>
  <c r="M122" i="2"/>
  <c r="N122" i="2"/>
  <c r="O122" i="2"/>
  <c r="P122" i="2"/>
  <c r="Q122" i="2"/>
  <c r="R122" i="2"/>
  <c r="S122" i="2"/>
  <c r="T122" i="2"/>
  <c r="U122" i="2"/>
  <c r="K124" i="2"/>
  <c r="L124" i="2"/>
  <c r="M124" i="2"/>
  <c r="N124" i="2"/>
  <c r="O124" i="2"/>
  <c r="P124" i="2"/>
  <c r="Q124" i="2"/>
  <c r="R124" i="2"/>
  <c r="S124" i="2"/>
  <c r="T124" i="2"/>
  <c r="U124" i="2"/>
  <c r="L125" i="2"/>
  <c r="M125" i="2"/>
  <c r="N125" i="2"/>
  <c r="O125" i="2"/>
  <c r="P125" i="2"/>
  <c r="Q125" i="2"/>
  <c r="R125" i="2"/>
  <c r="S125" i="2"/>
  <c r="T125" i="2"/>
  <c r="U125" i="2"/>
  <c r="K126" i="2"/>
  <c r="L126" i="2"/>
  <c r="M126" i="2"/>
  <c r="N126" i="2"/>
  <c r="O126" i="2"/>
  <c r="P126" i="2"/>
  <c r="Q126" i="2"/>
  <c r="R126" i="2"/>
  <c r="S126" i="2"/>
  <c r="T126" i="2"/>
  <c r="U126" i="2"/>
  <c r="K130" i="2"/>
  <c r="L130" i="2"/>
  <c r="M130" i="2"/>
  <c r="N130" i="2"/>
  <c r="O130" i="2"/>
  <c r="P130" i="2"/>
  <c r="Q130" i="2"/>
  <c r="R130" i="2"/>
  <c r="S130" i="2"/>
  <c r="T130" i="2"/>
  <c r="U130" i="2"/>
  <c r="L131" i="2"/>
  <c r="M131" i="2"/>
  <c r="N131" i="2"/>
  <c r="O131" i="2"/>
  <c r="P131" i="2"/>
  <c r="Q131" i="2"/>
  <c r="R131" i="2"/>
  <c r="S131" i="2"/>
  <c r="T131" i="2"/>
  <c r="U131" i="2"/>
  <c r="K133" i="2"/>
  <c r="L133" i="2"/>
  <c r="M133" i="2"/>
  <c r="N133" i="2"/>
  <c r="O133" i="2"/>
  <c r="P133" i="2"/>
  <c r="Q133" i="2"/>
  <c r="R133" i="2"/>
  <c r="S133" i="2"/>
  <c r="T133" i="2"/>
  <c r="U133" i="2"/>
  <c r="L134" i="2"/>
  <c r="M134" i="2"/>
  <c r="N134" i="2"/>
  <c r="O134" i="2"/>
  <c r="P134" i="2"/>
  <c r="Q134" i="2"/>
  <c r="R134" i="2"/>
  <c r="S134" i="2"/>
  <c r="T134" i="2"/>
  <c r="U134" i="2"/>
  <c r="K135" i="2"/>
  <c r="L135" i="2"/>
  <c r="M135" i="2"/>
  <c r="N135" i="2"/>
  <c r="O135" i="2"/>
  <c r="P135" i="2"/>
  <c r="Q135" i="2"/>
  <c r="R135" i="2"/>
  <c r="S135" i="2"/>
  <c r="T135" i="2"/>
  <c r="U135" i="2"/>
  <c r="K139" i="2"/>
  <c r="L139" i="2"/>
  <c r="M139" i="2"/>
  <c r="N139" i="2"/>
  <c r="O139" i="2"/>
  <c r="P139" i="2"/>
  <c r="Q139" i="2"/>
  <c r="R139" i="2"/>
  <c r="S139" i="2"/>
  <c r="T139" i="2"/>
  <c r="U139" i="2"/>
  <c r="L140" i="2"/>
  <c r="M140" i="2"/>
  <c r="N140" i="2"/>
  <c r="O140" i="2"/>
  <c r="P140" i="2"/>
  <c r="Q140" i="2"/>
  <c r="R140" i="2"/>
  <c r="S140" i="2"/>
  <c r="T140" i="2"/>
  <c r="U140" i="2"/>
  <c r="K142" i="2"/>
  <c r="L142" i="2"/>
  <c r="M142" i="2"/>
  <c r="N142" i="2"/>
  <c r="O142" i="2"/>
  <c r="P142" i="2"/>
  <c r="Q142" i="2"/>
  <c r="R142" i="2"/>
  <c r="S142" i="2"/>
  <c r="T142" i="2"/>
  <c r="U142" i="2"/>
  <c r="L143" i="2"/>
  <c r="M143" i="2"/>
  <c r="N143" i="2"/>
  <c r="O143" i="2"/>
  <c r="P143" i="2"/>
  <c r="Q143" i="2"/>
  <c r="R143" i="2"/>
  <c r="S143" i="2"/>
  <c r="T143" i="2"/>
  <c r="U143" i="2"/>
  <c r="K144" i="2"/>
  <c r="L144" i="2"/>
  <c r="M144" i="2"/>
  <c r="N144" i="2"/>
  <c r="O144" i="2"/>
  <c r="P144" i="2"/>
  <c r="Q144" i="2"/>
  <c r="R144" i="2"/>
  <c r="S144" i="2"/>
  <c r="T144" i="2"/>
  <c r="U144" i="2"/>
  <c r="K148" i="2"/>
  <c r="L148" i="2"/>
  <c r="M148" i="2"/>
  <c r="N148" i="2"/>
  <c r="O148" i="2"/>
  <c r="P148" i="2"/>
  <c r="Q148" i="2"/>
  <c r="R148" i="2"/>
  <c r="S148" i="2"/>
  <c r="T148" i="2"/>
  <c r="U148" i="2"/>
  <c r="L149" i="2"/>
  <c r="M149" i="2"/>
  <c r="N149" i="2"/>
  <c r="O149" i="2"/>
  <c r="P149" i="2"/>
  <c r="Q149" i="2"/>
  <c r="R149" i="2"/>
  <c r="S149" i="2"/>
  <c r="T149" i="2"/>
  <c r="U149" i="2"/>
  <c r="U150" i="2"/>
  <c r="U151" i="2" s="1"/>
  <c r="K151" i="2"/>
  <c r="L151" i="2"/>
  <c r="M151" i="2"/>
  <c r="N151" i="2"/>
  <c r="O151" i="2"/>
  <c r="P151" i="2"/>
  <c r="Q151" i="2"/>
  <c r="R151" i="2"/>
  <c r="S151" i="2"/>
  <c r="T151" i="2"/>
  <c r="L152" i="2"/>
  <c r="M152" i="2"/>
  <c r="N152" i="2"/>
  <c r="O152" i="2"/>
  <c r="P152" i="2"/>
  <c r="Q152" i="2"/>
  <c r="R152" i="2"/>
  <c r="S152" i="2"/>
  <c r="T152" i="2"/>
  <c r="U152" i="2"/>
  <c r="K153" i="2"/>
  <c r="L153" i="2"/>
  <c r="M153" i="2"/>
  <c r="N153" i="2"/>
  <c r="O153" i="2"/>
  <c r="P153" i="2"/>
  <c r="Q153" i="2"/>
  <c r="R153" i="2"/>
  <c r="S153" i="2"/>
  <c r="T153" i="2"/>
  <c r="J5" i="1"/>
  <c r="J6" i="1"/>
  <c r="J7" i="1"/>
  <c r="J8" i="1"/>
  <c r="J9" i="1"/>
  <c r="J10" i="1"/>
  <c r="J11" i="1"/>
  <c r="J12" i="1"/>
  <c r="L10" i="1"/>
  <c r="M10" i="1"/>
  <c r="L11" i="1"/>
  <c r="M11" i="1"/>
  <c r="L12" i="1"/>
  <c r="M12" i="1"/>
  <c r="U153" i="2" l="1"/>
  <c r="K31" i="2"/>
  <c r="L31" i="2"/>
  <c r="M31" i="2"/>
  <c r="N31" i="2"/>
  <c r="O31" i="2"/>
  <c r="P31" i="2"/>
  <c r="Q31" i="2"/>
  <c r="R31" i="2"/>
  <c r="S31" i="2"/>
  <c r="T31" i="2"/>
  <c r="U31" i="2"/>
  <c r="L32" i="2"/>
  <c r="M32" i="2"/>
  <c r="N32" i="2"/>
  <c r="O32" i="2"/>
  <c r="P32" i="2"/>
  <c r="Q32" i="2"/>
  <c r="R32" i="2"/>
  <c r="S32" i="2"/>
  <c r="T32" i="2"/>
  <c r="U32" i="2"/>
  <c r="K34" i="2"/>
  <c r="L34" i="2"/>
  <c r="M34" i="2"/>
  <c r="N34" i="2"/>
  <c r="O34" i="2"/>
  <c r="P34" i="2"/>
  <c r="Q34" i="2"/>
  <c r="R34" i="2"/>
  <c r="S34" i="2"/>
  <c r="T34" i="2"/>
  <c r="U34" i="2"/>
  <c r="L35" i="2"/>
  <c r="M35" i="2"/>
  <c r="N35" i="2"/>
  <c r="O35" i="2"/>
  <c r="P35" i="2"/>
  <c r="Q35" i="2"/>
  <c r="R35" i="2"/>
  <c r="S35" i="2"/>
  <c r="T35" i="2"/>
  <c r="U35" i="2"/>
  <c r="K36" i="2"/>
  <c r="L36" i="2"/>
  <c r="M36" i="2"/>
  <c r="N36" i="2"/>
  <c r="O36" i="2"/>
  <c r="P36" i="2"/>
  <c r="Q36" i="2"/>
  <c r="R36" i="2"/>
  <c r="S36" i="2"/>
  <c r="T36" i="2"/>
  <c r="U36" i="2"/>
  <c r="U39" i="2"/>
  <c r="U40" i="2" s="1"/>
  <c r="K40" i="2"/>
  <c r="L40" i="2"/>
  <c r="M40" i="2"/>
  <c r="N40" i="2"/>
  <c r="O40" i="2"/>
  <c r="P40" i="2"/>
  <c r="Q40" i="2"/>
  <c r="R40" i="2"/>
  <c r="S40" i="2"/>
  <c r="T40" i="2"/>
  <c r="L41" i="2"/>
  <c r="M41" i="2"/>
  <c r="N41" i="2"/>
  <c r="O41" i="2"/>
  <c r="P41" i="2"/>
  <c r="Q41" i="2"/>
  <c r="R41" i="2"/>
  <c r="S41" i="2"/>
  <c r="T41" i="2"/>
  <c r="U41" i="2"/>
  <c r="U42" i="2"/>
  <c r="U44" i="2" s="1"/>
  <c r="K43" i="2"/>
  <c r="L43" i="2"/>
  <c r="M43" i="2"/>
  <c r="N43" i="2"/>
  <c r="O43" i="2"/>
  <c r="P43" i="2"/>
  <c r="Q43" i="2"/>
  <c r="R43" i="2"/>
  <c r="S43" i="2"/>
  <c r="T43" i="2"/>
  <c r="L44" i="2"/>
  <c r="M44" i="2"/>
  <c r="N44" i="2"/>
  <c r="O44" i="2"/>
  <c r="P44" i="2"/>
  <c r="Q44" i="2"/>
  <c r="R44" i="2"/>
  <c r="S44" i="2"/>
  <c r="T44" i="2"/>
  <c r="K45" i="2"/>
  <c r="L45" i="2"/>
  <c r="M45" i="2"/>
  <c r="N45" i="2"/>
  <c r="O45" i="2"/>
  <c r="P45" i="2"/>
  <c r="Q45" i="2"/>
  <c r="R45" i="2"/>
  <c r="S45" i="2"/>
  <c r="T45" i="2"/>
  <c r="K49" i="2"/>
  <c r="L49" i="2"/>
  <c r="M49" i="2"/>
  <c r="N49" i="2"/>
  <c r="O49" i="2"/>
  <c r="P49" i="2"/>
  <c r="Q49" i="2"/>
  <c r="R49" i="2"/>
  <c r="S49" i="2"/>
  <c r="T49" i="2"/>
  <c r="U49" i="2"/>
  <c r="L50" i="2"/>
  <c r="M50" i="2"/>
  <c r="N50" i="2"/>
  <c r="O50" i="2"/>
  <c r="P50" i="2"/>
  <c r="Q50" i="2"/>
  <c r="R50" i="2"/>
  <c r="S50" i="2"/>
  <c r="T50" i="2"/>
  <c r="U50" i="2"/>
  <c r="K52" i="2"/>
  <c r="L52" i="2"/>
  <c r="M52" i="2"/>
  <c r="N52" i="2"/>
  <c r="O52" i="2"/>
  <c r="P52" i="2"/>
  <c r="Q52" i="2"/>
  <c r="R52" i="2"/>
  <c r="S52" i="2"/>
  <c r="T52" i="2"/>
  <c r="U52" i="2"/>
  <c r="L53" i="2"/>
  <c r="M53" i="2"/>
  <c r="N53" i="2"/>
  <c r="O53" i="2"/>
  <c r="P53" i="2"/>
  <c r="Q53" i="2"/>
  <c r="R53" i="2"/>
  <c r="S53" i="2"/>
  <c r="T53" i="2"/>
  <c r="U53" i="2"/>
  <c r="K54" i="2"/>
  <c r="L54" i="2"/>
  <c r="M54" i="2"/>
  <c r="N54" i="2"/>
  <c r="O54" i="2"/>
  <c r="P54" i="2"/>
  <c r="Q54" i="2"/>
  <c r="R54" i="2"/>
  <c r="S54" i="2"/>
  <c r="T54" i="2"/>
  <c r="U54" i="2"/>
  <c r="K58" i="2"/>
  <c r="L58" i="2"/>
  <c r="M58" i="2"/>
  <c r="N58" i="2"/>
  <c r="O58" i="2"/>
  <c r="P58" i="2"/>
  <c r="Q58" i="2"/>
  <c r="R58" i="2"/>
  <c r="S58" i="2"/>
  <c r="T58" i="2"/>
  <c r="U58" i="2"/>
  <c r="L59" i="2"/>
  <c r="M59" i="2"/>
  <c r="N59" i="2"/>
  <c r="O59" i="2"/>
  <c r="P59" i="2"/>
  <c r="Q59" i="2"/>
  <c r="R59" i="2"/>
  <c r="S59" i="2"/>
  <c r="T59" i="2"/>
  <c r="U59" i="2"/>
  <c r="K61" i="2"/>
  <c r="L61" i="2"/>
  <c r="M61" i="2"/>
  <c r="N61" i="2"/>
  <c r="O61" i="2"/>
  <c r="P61" i="2"/>
  <c r="Q61" i="2"/>
  <c r="R61" i="2"/>
  <c r="S61" i="2"/>
  <c r="T61" i="2"/>
  <c r="U61" i="2"/>
  <c r="L62" i="2"/>
  <c r="M62" i="2"/>
  <c r="N62" i="2"/>
  <c r="O62" i="2"/>
  <c r="P62" i="2"/>
  <c r="Q62" i="2"/>
  <c r="R62" i="2"/>
  <c r="S62" i="2"/>
  <c r="T62" i="2"/>
  <c r="U62" i="2"/>
  <c r="K63" i="2"/>
  <c r="L63" i="2"/>
  <c r="M63" i="2"/>
  <c r="N63" i="2"/>
  <c r="O63" i="2"/>
  <c r="P63" i="2"/>
  <c r="Q63" i="2"/>
  <c r="R63" i="2"/>
  <c r="S63" i="2"/>
  <c r="T63" i="2"/>
  <c r="U63" i="2"/>
  <c r="K67" i="2"/>
  <c r="L67" i="2"/>
  <c r="M67" i="2"/>
  <c r="N67" i="2"/>
  <c r="O67" i="2"/>
  <c r="P67" i="2"/>
  <c r="Q67" i="2"/>
  <c r="R67" i="2"/>
  <c r="S67" i="2"/>
  <c r="T67" i="2"/>
  <c r="U67" i="2"/>
  <c r="L68" i="2"/>
  <c r="M68" i="2"/>
  <c r="N68" i="2"/>
  <c r="O68" i="2"/>
  <c r="P68" i="2"/>
  <c r="Q68" i="2"/>
  <c r="R68" i="2"/>
  <c r="S68" i="2"/>
  <c r="T68" i="2"/>
  <c r="U68" i="2"/>
  <c r="K70" i="2"/>
  <c r="L70" i="2"/>
  <c r="M70" i="2"/>
  <c r="N70" i="2"/>
  <c r="O70" i="2"/>
  <c r="P70" i="2"/>
  <c r="Q70" i="2"/>
  <c r="R70" i="2"/>
  <c r="S70" i="2"/>
  <c r="T70" i="2"/>
  <c r="U70" i="2"/>
  <c r="L71" i="2"/>
  <c r="M71" i="2"/>
  <c r="N71" i="2"/>
  <c r="O71" i="2"/>
  <c r="P71" i="2"/>
  <c r="Q71" i="2"/>
  <c r="R71" i="2"/>
  <c r="S71" i="2"/>
  <c r="T71" i="2"/>
  <c r="U71" i="2"/>
  <c r="K72" i="2"/>
  <c r="L72" i="2"/>
  <c r="M72" i="2"/>
  <c r="N72" i="2"/>
  <c r="O72" i="2"/>
  <c r="P72" i="2"/>
  <c r="Q72" i="2"/>
  <c r="R72" i="2"/>
  <c r="S72" i="2"/>
  <c r="T72" i="2"/>
  <c r="U72" i="2"/>
  <c r="K76" i="2"/>
  <c r="L76" i="2"/>
  <c r="M76" i="2"/>
  <c r="N76" i="2"/>
  <c r="O76" i="2"/>
  <c r="P76" i="2"/>
  <c r="Q76" i="2"/>
  <c r="R76" i="2"/>
  <c r="S76" i="2"/>
  <c r="T76" i="2"/>
  <c r="U76" i="2"/>
  <c r="L77" i="2"/>
  <c r="M77" i="2"/>
  <c r="N77" i="2"/>
  <c r="O77" i="2"/>
  <c r="P77" i="2"/>
  <c r="Q77" i="2"/>
  <c r="R77" i="2"/>
  <c r="S77" i="2"/>
  <c r="T77" i="2"/>
  <c r="U77" i="2"/>
  <c r="K79" i="2"/>
  <c r="L79" i="2"/>
  <c r="M79" i="2"/>
  <c r="N79" i="2"/>
  <c r="O79" i="2"/>
  <c r="P79" i="2"/>
  <c r="Q79" i="2"/>
  <c r="R79" i="2"/>
  <c r="S79" i="2"/>
  <c r="T79" i="2"/>
  <c r="U79" i="2"/>
  <c r="L80" i="2"/>
  <c r="M80" i="2"/>
  <c r="N80" i="2"/>
  <c r="O80" i="2"/>
  <c r="P80" i="2"/>
  <c r="Q80" i="2"/>
  <c r="R80" i="2"/>
  <c r="S80" i="2"/>
  <c r="T80" i="2"/>
  <c r="U80" i="2"/>
  <c r="K81" i="2"/>
  <c r="L81" i="2"/>
  <c r="M81" i="2"/>
  <c r="N81" i="2"/>
  <c r="O81" i="2"/>
  <c r="P81" i="2"/>
  <c r="Q81" i="2"/>
  <c r="R81" i="2"/>
  <c r="S81" i="2"/>
  <c r="T81" i="2"/>
  <c r="U81" i="2"/>
  <c r="K85" i="2"/>
  <c r="L85" i="2"/>
  <c r="M85" i="2"/>
  <c r="N85" i="2"/>
  <c r="O85" i="2"/>
  <c r="P85" i="2"/>
  <c r="Q85" i="2"/>
  <c r="R85" i="2"/>
  <c r="S85" i="2"/>
  <c r="T85" i="2"/>
  <c r="U85" i="2"/>
  <c r="L86" i="2"/>
  <c r="M86" i="2"/>
  <c r="N86" i="2"/>
  <c r="O86" i="2"/>
  <c r="P86" i="2"/>
  <c r="Q86" i="2"/>
  <c r="R86" i="2"/>
  <c r="S86" i="2"/>
  <c r="T86" i="2"/>
  <c r="U86" i="2"/>
  <c r="K88" i="2"/>
  <c r="L88" i="2"/>
  <c r="M88" i="2"/>
  <c r="N88" i="2"/>
  <c r="O88" i="2"/>
  <c r="P88" i="2"/>
  <c r="Q88" i="2"/>
  <c r="R88" i="2"/>
  <c r="S88" i="2"/>
  <c r="T88" i="2"/>
  <c r="U88" i="2"/>
  <c r="L89" i="2"/>
  <c r="M89" i="2"/>
  <c r="N89" i="2"/>
  <c r="O89" i="2"/>
  <c r="P89" i="2"/>
  <c r="Q89" i="2"/>
  <c r="R89" i="2"/>
  <c r="S89" i="2"/>
  <c r="T89" i="2"/>
  <c r="U89" i="2"/>
  <c r="K90" i="2"/>
  <c r="L90" i="2"/>
  <c r="M90" i="2"/>
  <c r="N90" i="2"/>
  <c r="O90" i="2"/>
  <c r="P90" i="2"/>
  <c r="Q90" i="2"/>
  <c r="R90" i="2"/>
  <c r="S90" i="2"/>
  <c r="T90" i="2"/>
  <c r="U90" i="2"/>
  <c r="K94" i="2"/>
  <c r="L94" i="2"/>
  <c r="M94" i="2"/>
  <c r="N94" i="2"/>
  <c r="O94" i="2"/>
  <c r="P94" i="2"/>
  <c r="Q94" i="2"/>
  <c r="R94" i="2"/>
  <c r="S94" i="2"/>
  <c r="T94" i="2"/>
  <c r="U94" i="2"/>
  <c r="L95" i="2"/>
  <c r="M95" i="2"/>
  <c r="N95" i="2"/>
  <c r="O95" i="2"/>
  <c r="P95" i="2"/>
  <c r="Q95" i="2"/>
  <c r="R95" i="2"/>
  <c r="S95" i="2"/>
  <c r="T95" i="2"/>
  <c r="U95" i="2"/>
  <c r="K97" i="2"/>
  <c r="L97" i="2"/>
  <c r="M97" i="2"/>
  <c r="N97" i="2"/>
  <c r="O97" i="2"/>
  <c r="P97" i="2"/>
  <c r="Q97" i="2"/>
  <c r="R97" i="2"/>
  <c r="S97" i="2"/>
  <c r="T97" i="2"/>
  <c r="U97" i="2"/>
  <c r="L98" i="2"/>
  <c r="M98" i="2"/>
  <c r="N98" i="2"/>
  <c r="O98" i="2"/>
  <c r="P98" i="2"/>
  <c r="Q98" i="2"/>
  <c r="R98" i="2"/>
  <c r="S98" i="2"/>
  <c r="T98" i="2"/>
  <c r="U98" i="2"/>
  <c r="K99" i="2"/>
  <c r="L99" i="2"/>
  <c r="M99" i="2"/>
  <c r="N99" i="2"/>
  <c r="O99" i="2"/>
  <c r="P99" i="2"/>
  <c r="Q99" i="2"/>
  <c r="R99" i="2"/>
  <c r="S99" i="2"/>
  <c r="T99" i="2"/>
  <c r="U99" i="2"/>
  <c r="K103" i="2"/>
  <c r="L103" i="2"/>
  <c r="M103" i="2"/>
  <c r="N103" i="2"/>
  <c r="O103" i="2"/>
  <c r="P103" i="2"/>
  <c r="Q103" i="2"/>
  <c r="R103" i="2"/>
  <c r="S103" i="2"/>
  <c r="T103" i="2"/>
  <c r="U103" i="2"/>
  <c r="L104" i="2"/>
  <c r="M104" i="2"/>
  <c r="N104" i="2"/>
  <c r="O104" i="2"/>
  <c r="P104" i="2"/>
  <c r="Q104" i="2"/>
  <c r="R104" i="2"/>
  <c r="S104" i="2"/>
  <c r="T104" i="2"/>
  <c r="U104" i="2"/>
  <c r="K106" i="2"/>
  <c r="L106" i="2"/>
  <c r="M106" i="2"/>
  <c r="N106" i="2"/>
  <c r="O106" i="2"/>
  <c r="P106" i="2"/>
  <c r="Q106" i="2"/>
  <c r="R106" i="2"/>
  <c r="S106" i="2"/>
  <c r="T106" i="2"/>
  <c r="U106" i="2"/>
  <c r="L107" i="2"/>
  <c r="M107" i="2"/>
  <c r="N107" i="2"/>
  <c r="O107" i="2"/>
  <c r="P107" i="2"/>
  <c r="Q107" i="2"/>
  <c r="R107" i="2"/>
  <c r="S107" i="2"/>
  <c r="T107" i="2"/>
  <c r="U107" i="2"/>
  <c r="K108" i="2"/>
  <c r="L108" i="2"/>
  <c r="M108" i="2"/>
  <c r="N108" i="2"/>
  <c r="O108" i="2"/>
  <c r="P108" i="2"/>
  <c r="Q108" i="2"/>
  <c r="R108" i="2"/>
  <c r="S108" i="2"/>
  <c r="T108" i="2"/>
  <c r="U108" i="2"/>
  <c r="J4" i="1"/>
  <c r="L4" i="1"/>
  <c r="M4" i="1"/>
  <c r="L6" i="1"/>
  <c r="M6" i="1"/>
  <c r="L7" i="1"/>
  <c r="M7" i="1"/>
  <c r="L8" i="1"/>
  <c r="M8" i="1"/>
  <c r="L9" i="1"/>
  <c r="M9" i="1"/>
  <c r="U45" i="2" l="1"/>
  <c r="U43" i="2"/>
  <c r="O18" i="2" l="1"/>
  <c r="U27" i="2"/>
  <c r="AB19" i="2"/>
  <c r="AB20" i="2" s="1"/>
  <c r="S18" i="2" l="1"/>
  <c r="R18" i="2"/>
  <c r="R17" i="2"/>
  <c r="T27" i="2"/>
  <c r="S27" i="2"/>
  <c r="R27" i="2"/>
  <c r="Q27" i="2"/>
  <c r="P27" i="2"/>
  <c r="O27" i="2"/>
  <c r="N27" i="2"/>
  <c r="M27" i="2"/>
  <c r="L27" i="2"/>
  <c r="K27" i="2"/>
  <c r="U26" i="2"/>
  <c r="T26" i="2"/>
  <c r="S26" i="2"/>
  <c r="R26" i="2"/>
  <c r="Q26" i="2"/>
  <c r="P26" i="2"/>
  <c r="O26" i="2"/>
  <c r="N26" i="2"/>
  <c r="M26" i="2"/>
  <c r="L26" i="2"/>
  <c r="U25" i="2"/>
  <c r="T25" i="2"/>
  <c r="S25" i="2"/>
  <c r="R25" i="2"/>
  <c r="Q25" i="2"/>
  <c r="P25" i="2"/>
  <c r="O25" i="2"/>
  <c r="N25" i="2"/>
  <c r="M25" i="2"/>
  <c r="L25" i="2"/>
  <c r="K25" i="2"/>
  <c r="U23" i="2"/>
  <c r="T23" i="2"/>
  <c r="S23" i="2"/>
  <c r="R23" i="2"/>
  <c r="Q23" i="2"/>
  <c r="P23" i="2"/>
  <c r="O23" i="2"/>
  <c r="N23" i="2"/>
  <c r="M23" i="2"/>
  <c r="L23" i="2"/>
  <c r="U22" i="2"/>
  <c r="T22" i="2"/>
  <c r="S22" i="2"/>
  <c r="R22" i="2"/>
  <c r="Q22" i="2"/>
  <c r="P22" i="2"/>
  <c r="O22" i="2"/>
  <c r="N22" i="2"/>
  <c r="M22" i="2"/>
  <c r="L22" i="2"/>
  <c r="K22" i="2"/>
  <c r="U18" i="2"/>
  <c r="T18" i="2"/>
  <c r="Q18" i="2"/>
  <c r="P18" i="2"/>
  <c r="N18" i="2"/>
  <c r="M18" i="2"/>
  <c r="L18" i="2"/>
  <c r="K18" i="2"/>
  <c r="U17" i="2"/>
  <c r="T17" i="2"/>
  <c r="S17" i="2"/>
  <c r="Q17" i="2"/>
  <c r="P17" i="2"/>
  <c r="O17" i="2"/>
  <c r="N17" i="2"/>
  <c r="M17" i="2"/>
  <c r="L17" i="2"/>
  <c r="U16" i="2"/>
  <c r="T16" i="2"/>
  <c r="S16" i="2"/>
  <c r="R16" i="2"/>
  <c r="Q16" i="2"/>
  <c r="P16" i="2"/>
  <c r="O16" i="2"/>
  <c r="N16" i="2"/>
  <c r="M16" i="2"/>
  <c r="L16" i="2"/>
  <c r="K16" i="2"/>
  <c r="U14" i="2"/>
  <c r="T14" i="2"/>
  <c r="S14" i="2"/>
  <c r="R14" i="2"/>
  <c r="Q14" i="2"/>
  <c r="P14" i="2"/>
  <c r="O14" i="2"/>
  <c r="N14" i="2"/>
  <c r="M14" i="2"/>
  <c r="L14" i="2"/>
  <c r="U13" i="2"/>
  <c r="T13" i="2"/>
  <c r="S13" i="2"/>
  <c r="R13" i="2"/>
  <c r="Q13" i="2"/>
  <c r="P13" i="2"/>
  <c r="O13" i="2"/>
  <c r="N13" i="2"/>
  <c r="M13" i="2"/>
  <c r="L13" i="2"/>
  <c r="K13" i="2"/>
  <c r="U8" i="2"/>
  <c r="T8" i="2"/>
  <c r="S8" i="2"/>
  <c r="R8" i="2"/>
  <c r="Q8" i="2"/>
  <c r="P8" i="2"/>
  <c r="O8" i="2"/>
  <c r="N8" i="2"/>
  <c r="M8" i="2"/>
  <c r="L8" i="2"/>
  <c r="M5" i="2"/>
  <c r="N5" i="2"/>
  <c r="O5" i="2"/>
  <c r="P5" i="2"/>
  <c r="Q5" i="2"/>
  <c r="R5" i="2"/>
  <c r="S5" i="2"/>
  <c r="T5" i="2"/>
  <c r="U5" i="2"/>
  <c r="L5" i="2"/>
  <c r="K4" i="2" l="1"/>
  <c r="K7" i="2"/>
  <c r="K9" i="2"/>
  <c r="U4" i="2"/>
  <c r="U7" i="2"/>
  <c r="U9" i="2"/>
  <c r="L9" i="2"/>
  <c r="L7" i="2"/>
  <c r="T4" i="2"/>
  <c r="S4" i="2"/>
  <c r="R4" i="2"/>
  <c r="Q4" i="2"/>
  <c r="P4" i="2"/>
  <c r="O4" i="2"/>
  <c r="N4" i="2"/>
  <c r="M4" i="2"/>
  <c r="L4" i="2"/>
  <c r="T9" i="2"/>
  <c r="S9" i="2"/>
  <c r="R9" i="2"/>
  <c r="Q9" i="2"/>
  <c r="P9" i="2"/>
  <c r="O9" i="2"/>
  <c r="N9" i="2"/>
  <c r="M9" i="2"/>
  <c r="T7" i="2"/>
  <c r="S7" i="2"/>
  <c r="R7" i="2"/>
  <c r="Q7" i="2"/>
  <c r="P7" i="2"/>
  <c r="O7" i="2"/>
  <c r="N7" i="2"/>
  <c r="M7" i="2"/>
  <c r="M120" i="1" l="1"/>
  <c r="L120" i="1"/>
  <c r="J120" i="1"/>
  <c r="M119" i="1"/>
  <c r="L119" i="1"/>
  <c r="J119" i="1"/>
  <c r="M118" i="1"/>
  <c r="L118" i="1"/>
  <c r="J118" i="1"/>
  <c r="M117" i="1"/>
  <c r="L117" i="1"/>
  <c r="J117" i="1"/>
  <c r="M116" i="1"/>
  <c r="L116" i="1"/>
  <c r="J116" i="1"/>
  <c r="M115" i="1"/>
  <c r="L115" i="1"/>
  <c r="J115" i="1"/>
  <c r="M114" i="1"/>
  <c r="L114" i="1"/>
  <c r="J114" i="1"/>
  <c r="M113" i="1"/>
  <c r="L113" i="1"/>
  <c r="J113" i="1"/>
  <c r="M112" i="1"/>
  <c r="L112" i="1"/>
  <c r="J112" i="1"/>
  <c r="M111" i="1"/>
  <c r="L111" i="1"/>
  <c r="J111" i="1"/>
  <c r="M110" i="1"/>
  <c r="L110" i="1"/>
  <c r="J110" i="1"/>
  <c r="M109" i="1"/>
  <c r="L109" i="1"/>
  <c r="J109" i="1"/>
  <c r="M108" i="1"/>
  <c r="L108" i="1"/>
  <c r="J108" i="1"/>
  <c r="M107" i="1"/>
  <c r="L107" i="1"/>
  <c r="J107" i="1"/>
  <c r="M106" i="1"/>
  <c r="L106" i="1"/>
  <c r="J106" i="1"/>
  <c r="M105" i="1"/>
  <c r="L105" i="1"/>
  <c r="J105" i="1"/>
  <c r="M104" i="1"/>
  <c r="L104" i="1"/>
  <c r="J104" i="1"/>
  <c r="M103" i="1"/>
  <c r="L103" i="1"/>
  <c r="J103" i="1"/>
  <c r="M102" i="1"/>
  <c r="L102" i="1"/>
  <c r="J102" i="1"/>
  <c r="M101" i="1"/>
  <c r="L101" i="1"/>
  <c r="J101" i="1"/>
  <c r="M100" i="1"/>
  <c r="L100" i="1"/>
  <c r="J100" i="1"/>
  <c r="M99" i="1"/>
  <c r="L99" i="1"/>
  <c r="J99" i="1"/>
  <c r="M98" i="1"/>
  <c r="L98" i="1"/>
  <c r="J98" i="1"/>
  <c r="M97" i="1"/>
  <c r="L97" i="1"/>
  <c r="J97" i="1"/>
  <c r="M96" i="1"/>
  <c r="L96" i="1"/>
  <c r="J96" i="1"/>
  <c r="M95" i="1"/>
  <c r="L95" i="1"/>
  <c r="J95" i="1"/>
  <c r="M94" i="1"/>
  <c r="L94" i="1"/>
  <c r="J94" i="1"/>
  <c r="M93" i="1"/>
  <c r="L93" i="1"/>
  <c r="J93" i="1"/>
  <c r="M92" i="1"/>
  <c r="L92" i="1"/>
  <c r="J92" i="1"/>
  <c r="M91" i="1"/>
  <c r="L91" i="1"/>
  <c r="J91" i="1"/>
  <c r="M90" i="1"/>
  <c r="L90" i="1"/>
  <c r="J90" i="1"/>
  <c r="M89" i="1"/>
  <c r="L89" i="1"/>
  <c r="J89" i="1"/>
  <c r="M88" i="1"/>
  <c r="L88" i="1"/>
  <c r="J88" i="1"/>
  <c r="M87" i="1"/>
  <c r="L87" i="1"/>
  <c r="J87" i="1"/>
  <c r="M86" i="1"/>
  <c r="L86" i="1"/>
  <c r="J86" i="1"/>
  <c r="M85" i="1"/>
  <c r="L85" i="1"/>
  <c r="J85" i="1"/>
  <c r="M84" i="1"/>
  <c r="L84" i="1"/>
  <c r="J84" i="1"/>
  <c r="M83" i="1"/>
  <c r="L83" i="1"/>
  <c r="J83" i="1"/>
  <c r="M82" i="1"/>
  <c r="L82" i="1"/>
  <c r="J82" i="1"/>
  <c r="M81" i="1"/>
  <c r="L81" i="1"/>
  <c r="J81" i="1"/>
  <c r="M80" i="1"/>
  <c r="L80" i="1"/>
  <c r="J80" i="1"/>
  <c r="M79" i="1"/>
  <c r="L79" i="1"/>
  <c r="J79" i="1"/>
  <c r="M78" i="1"/>
  <c r="L78" i="1"/>
  <c r="J78" i="1"/>
  <c r="M77" i="1"/>
  <c r="L77" i="1"/>
  <c r="J77" i="1"/>
  <c r="M76" i="1"/>
  <c r="L76" i="1"/>
  <c r="J76" i="1"/>
  <c r="M75" i="1"/>
  <c r="L75" i="1"/>
  <c r="J75" i="1"/>
  <c r="M74" i="1"/>
  <c r="L74" i="1"/>
  <c r="J74" i="1"/>
  <c r="M73" i="1"/>
  <c r="L73" i="1"/>
  <c r="J73" i="1"/>
  <c r="M72" i="1"/>
  <c r="L72" i="1"/>
  <c r="J72" i="1"/>
  <c r="M71" i="1"/>
  <c r="L71" i="1"/>
  <c r="J71" i="1"/>
  <c r="M70" i="1"/>
  <c r="L70" i="1"/>
  <c r="J70" i="1"/>
  <c r="M69" i="1"/>
  <c r="L69" i="1"/>
  <c r="J69" i="1"/>
  <c r="M68" i="1"/>
  <c r="L68" i="1"/>
  <c r="J68" i="1"/>
  <c r="M58" i="1"/>
  <c r="L58" i="1"/>
  <c r="J58" i="1"/>
  <c r="M57" i="1"/>
  <c r="L57" i="1"/>
  <c r="J57" i="1"/>
  <c r="M50" i="1"/>
  <c r="L50" i="1"/>
  <c r="J50" i="1"/>
  <c r="M49" i="1"/>
  <c r="L49" i="1"/>
  <c r="J49" i="1"/>
  <c r="M44" i="1"/>
  <c r="L44" i="1"/>
  <c r="J44" i="1"/>
  <c r="M43" i="1"/>
  <c r="L43" i="1"/>
  <c r="J43" i="1"/>
  <c r="M42" i="1"/>
  <c r="L42" i="1"/>
  <c r="J42" i="1"/>
  <c r="M41" i="1"/>
  <c r="L41" i="1"/>
  <c r="J41" i="1"/>
  <c r="M40" i="1"/>
  <c r="L40" i="1"/>
  <c r="J40" i="1"/>
  <c r="M23" i="1"/>
  <c r="L23" i="1"/>
  <c r="J23" i="1"/>
  <c r="M22" i="1"/>
  <c r="L22" i="1"/>
  <c r="J22" i="1"/>
  <c r="M21" i="1"/>
  <c r="L21" i="1"/>
  <c r="J21" i="1"/>
  <c r="M20" i="1"/>
  <c r="L20" i="1"/>
  <c r="J20" i="1"/>
  <c r="M19" i="1"/>
  <c r="L19" i="1"/>
  <c r="J19" i="1"/>
  <c r="M5" i="1"/>
  <c r="L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tc={4174F16E-F0CC-4C48-93A7-72B1EB16CA89}</author>
  </authors>
  <commentList>
    <comment ref="AB555" authorId="0" shapeId="0" xr:uid="{4174F16E-F0CC-4C48-93A7-72B1EB16CA89}">
      <text>
        <t>[스레드 댓글]
사용 중인 버전의 Excel에서 이 스레드 댓글을 읽을 수 있지만 파일을 이후 버전의 Excel에서 열면 편집 내용이 모두 제거됩니다. 자세한 정보: https://go.microsoft.com/fwlink/?linkid=870924.
댓글:
    여기서 고객 1, 2가 바뀜.</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<sst xmlns="http://schemas.openxmlformats.org/spreadsheetml/2006/main" count="2712" uniqueCount="336">
  <si>
    <t>기업명</t>
    <phoneticPr fontId="3" type="noConversion"/>
  </si>
  <si>
    <t>티커</t>
    <phoneticPr fontId="3" type="noConversion"/>
  </si>
  <si>
    <t>국가</t>
    <phoneticPr fontId="3" type="noConversion"/>
  </si>
  <si>
    <t>시총(B$)</t>
    <phoneticPr fontId="3" type="noConversion"/>
  </si>
  <si>
    <t>담당자</t>
    <phoneticPr fontId="3" type="noConversion"/>
  </si>
  <si>
    <t>실발분기</t>
    <phoneticPr fontId="3" type="noConversion"/>
  </si>
  <si>
    <t>실발날짜</t>
    <phoneticPr fontId="3" type="noConversion"/>
  </si>
  <si>
    <t>실발전날 주가</t>
    <phoneticPr fontId="3" type="noConversion"/>
  </si>
  <si>
    <t>실발당일 주가</t>
    <phoneticPr fontId="3" type="noConversion"/>
  </si>
  <si>
    <t>상승률</t>
    <phoneticPr fontId="3" type="noConversion"/>
  </si>
  <si>
    <t>현재 주가(10/14)</t>
    <phoneticPr fontId="3" type="noConversion"/>
  </si>
  <si>
    <t>상승률(전날대비)</t>
    <phoneticPr fontId="3" type="noConversion"/>
  </si>
  <si>
    <t>상승률(당일대비)</t>
    <phoneticPr fontId="3" type="noConversion"/>
  </si>
  <si>
    <t>빨간줄</t>
    <phoneticPr fontId="3" type="noConversion"/>
  </si>
  <si>
    <t>흑전</t>
    <phoneticPr fontId="3" type="noConversion"/>
  </si>
  <si>
    <t>직전분기</t>
    <phoneticPr fontId="3" type="noConversion"/>
  </si>
  <si>
    <t>이번분기</t>
    <phoneticPr fontId="3" type="noConversion"/>
  </si>
  <si>
    <t>업종</t>
    <phoneticPr fontId="3" type="noConversion"/>
  </si>
  <si>
    <t>코멘트</t>
    <phoneticPr fontId="3" type="noConversion"/>
  </si>
  <si>
    <t>3Q25</t>
    <phoneticPr fontId="3" type="noConversion"/>
  </si>
  <si>
    <t>United Plantations Bhd</t>
    <phoneticPr fontId="3" type="noConversion"/>
  </si>
  <si>
    <t>UTDPLT</t>
    <phoneticPr fontId="3" type="noConversion"/>
  </si>
  <si>
    <t>말레이시아</t>
    <phoneticPr fontId="3" type="noConversion"/>
  </si>
  <si>
    <t>용성</t>
    <phoneticPr fontId="3" type="noConversion"/>
  </si>
  <si>
    <t>농업</t>
    <phoneticPr fontId="3" type="noConversion"/>
  </si>
  <si>
    <t>탑라인 YoY +34%, 팜유, 코코넛 및 기타 플랜테이션 작물의 재배 및 가공사업 영위</t>
    <phoneticPr fontId="3" type="noConversion"/>
  </si>
  <si>
    <t>Maharashtra Scooters Ltd</t>
    <phoneticPr fontId="3" type="noConversion"/>
  </si>
  <si>
    <t>MAHSCOOTER</t>
    <phoneticPr fontId="3" type="noConversion"/>
  </si>
  <si>
    <t>인도</t>
    <phoneticPr fontId="3" type="noConversion"/>
  </si>
  <si>
    <t>스쿠터 OEM</t>
    <phoneticPr fontId="3" type="noConversion"/>
  </si>
  <si>
    <t>1Q21</t>
    <phoneticPr fontId="3" type="noConversion"/>
  </si>
  <si>
    <t>2Q21</t>
    <phoneticPr fontId="3" type="noConversion"/>
  </si>
  <si>
    <t>3Q21</t>
    <phoneticPr fontId="3" type="noConversion"/>
  </si>
  <si>
    <t>4Q21</t>
    <phoneticPr fontId="3" type="noConversion"/>
  </si>
  <si>
    <t>1Q22</t>
    <phoneticPr fontId="3" type="noConversion"/>
  </si>
  <si>
    <t>2Q22</t>
    <phoneticPr fontId="3" type="noConversion"/>
  </si>
  <si>
    <t>3Q22</t>
    <phoneticPr fontId="3" type="noConversion"/>
  </si>
  <si>
    <t>4Q22</t>
    <phoneticPr fontId="3" type="noConversion"/>
  </si>
  <si>
    <t>1Q23</t>
    <phoneticPr fontId="3" type="noConversion"/>
  </si>
  <si>
    <t>2Q23</t>
    <phoneticPr fontId="3" type="noConversion"/>
  </si>
  <si>
    <t>3Q23</t>
    <phoneticPr fontId="3" type="noConversion"/>
  </si>
  <si>
    <t>4Q23</t>
    <phoneticPr fontId="3" type="noConversion"/>
  </si>
  <si>
    <t>1Q24</t>
    <phoneticPr fontId="3" type="noConversion"/>
  </si>
  <si>
    <t>2Q24</t>
    <phoneticPr fontId="3" type="noConversion"/>
  </si>
  <si>
    <t>3Q24</t>
    <phoneticPr fontId="3" type="noConversion"/>
  </si>
  <si>
    <t>4Q24</t>
    <phoneticPr fontId="3" type="noConversion"/>
  </si>
  <si>
    <t>1Q25</t>
    <phoneticPr fontId="3" type="noConversion"/>
  </si>
  <si>
    <t>2Q25</t>
    <phoneticPr fontId="3" type="noConversion"/>
  </si>
  <si>
    <t>op</t>
    <phoneticPr fontId="3" type="noConversion"/>
  </si>
  <si>
    <t>yoy</t>
    <phoneticPr fontId="3" type="noConversion"/>
  </si>
  <si>
    <t>delta</t>
    <phoneticPr fontId="3" type="noConversion"/>
  </si>
  <si>
    <t>revenue</t>
    <phoneticPr fontId="3" type="noConversion"/>
  </si>
  <si>
    <t>qoq</t>
    <phoneticPr fontId="3" type="noConversion"/>
  </si>
  <si>
    <t>SCHW</t>
    <phoneticPr fontId="3" type="noConversion"/>
  </si>
  <si>
    <t>KALU</t>
    <phoneticPr fontId="3" type="noConversion"/>
  </si>
  <si>
    <t>Kaiser Aluminum Corporation</t>
    <phoneticPr fontId="3" type="noConversion"/>
  </si>
  <si>
    <t>미국</t>
    <phoneticPr fontId="3" type="noConversion"/>
  </si>
  <si>
    <t>알루미늄</t>
    <phoneticPr fontId="3" type="noConversion"/>
  </si>
  <si>
    <t>용성</t>
    <phoneticPr fontId="3" type="noConversion"/>
  </si>
  <si>
    <t>인수 영향으로 최근 3개분기 매출성장률 1Q25 30.6% -&gt; 2Q25 49.4% -&gt; 3Q25 27.2%. 3Q25 곱4 기준 POR 5.2배. 인수한 회사 밸류를 인정 안해주는건지, 원래 포장재 업종 밸류가 박한건지 잘 모르겠음</t>
    <phoneticPr fontId="3" type="noConversion"/>
  </si>
  <si>
    <t>포장재</t>
    <phoneticPr fontId="3" type="noConversion"/>
  </si>
  <si>
    <t>효진</t>
    <phoneticPr fontId="3" type="noConversion"/>
  </si>
  <si>
    <t>미국</t>
    <phoneticPr fontId="3" type="noConversion"/>
  </si>
  <si>
    <t>SON</t>
    <phoneticPr fontId="3" type="noConversion"/>
  </si>
  <si>
    <t>Sonoco Products Company</t>
    <phoneticPr fontId="3" type="noConversion"/>
  </si>
  <si>
    <t>최근 3개분기 매출성장률 1Q25 20.9% -&gt; 2Q25 22.8% -&gt; 3Q25 20.3%로 20%대 꾸준히 유지하고 있음. 4Q25 매출성장률 가이던스 14.5%~16.5%. 3Q25 곱4 기준 POR 36.5배 수준</t>
    <phoneticPr fontId="3" type="noConversion"/>
  </si>
  <si>
    <t>제약</t>
    <phoneticPr fontId="3" type="noConversion"/>
  </si>
  <si>
    <t>BSX</t>
    <phoneticPr fontId="3" type="noConversion"/>
  </si>
  <si>
    <t>Boston Scientific Corporation</t>
    <phoneticPr fontId="3" type="noConversion"/>
  </si>
  <si>
    <r>
      <t xml:space="preserve">최근 3개분기 매출성장률 1Q25 47.7% -&gt; 2Q25 56.5% -&gt; 3Q25 53.4%. IT Data Comm 매출비중 37%(YoY+128%)이며 4Q25에 QoQ로 살짝 더 증가할 것. </t>
    </r>
    <r>
      <rPr>
        <b/>
        <sz val="10"/>
        <color rgb="FFFF0000"/>
        <rFont val="Pretendard"/>
        <family val="3"/>
        <charset val="129"/>
      </rPr>
      <t>GPT에 따르면 엔비디아가 언급한 400VAC -&gt; 800VDC로 바꾸는 경우 더 높은 절연등급과 접촉 설계가 요구되기 때문에 버스바와 커넥터의 사양과 가격대가 올라간다고 함(버스바, 커넥터는 암페놀의 핵심 카테고리). 이 전환으로 더 좋아지는 포인트가 될 수 있을 것</t>
    </r>
    <phoneticPr fontId="3" type="noConversion"/>
  </si>
  <si>
    <t>AI 네트워크</t>
    <phoneticPr fontId="3" type="noConversion"/>
  </si>
  <si>
    <t>APH</t>
    <phoneticPr fontId="3" type="noConversion"/>
  </si>
  <si>
    <t>Amphenol Corporation</t>
    <phoneticPr fontId="3" type="noConversion"/>
  </si>
  <si>
    <t xml:space="preserve">수주 플로우는 계속해서 좋았지만 26년까지 마무리되는 증설(Power, Electrification)이 현재 시점의 수요로는 피크라는 언급을 했음. 가스터빈 백로그 2Q25 55GW -&gt; 3Q25 62GW까지 올라왔고 연말까지 70GW 전망한다고 언급했음. 80~100GW까지 잔고가 올라가면 증설을 evaluate하겠다고 언급했음. </t>
    <phoneticPr fontId="3" type="noConversion"/>
  </si>
  <si>
    <t>가스터빈, 전력</t>
    <phoneticPr fontId="3" type="noConversion"/>
  </si>
  <si>
    <t>GEV</t>
    <phoneticPr fontId="3" type="noConversion"/>
  </si>
  <si>
    <t xml:space="preserve">GE Vernova </t>
    <phoneticPr fontId="3" type="noConversion"/>
  </si>
  <si>
    <t>중국 이우시장에 입점한 업체들에게 서비스 운영 수수료 및 임대료를 받는 회사. 글로벌 디지털무역센터가 6월 전면 개방되면서 3분기에 관련 매출이 많이 붙었고, 10월 14일 기준 입점률이 약 20% 수준임. 따라서 4Q25에도 신규 입점업체 실적이 붙으면서 매출이 좋을 것으로 예상됨. 이번 분기 첫줄이며 구글트렌드 "yiwu"도 좋은 상황임</t>
    <phoneticPr fontId="3" type="noConversion"/>
  </si>
  <si>
    <t>임대 및 운영서비스</t>
    <phoneticPr fontId="3" type="noConversion"/>
  </si>
  <si>
    <t>중국</t>
    <phoneticPr fontId="3" type="noConversion"/>
  </si>
  <si>
    <t>Zhejiang China Commodities City Group</t>
    <phoneticPr fontId="3" type="noConversion"/>
  </si>
  <si>
    <t>LVS</t>
    <phoneticPr fontId="3" type="noConversion"/>
  </si>
  <si>
    <t>VRT</t>
    <phoneticPr fontId="3" type="noConversion"/>
  </si>
  <si>
    <t>LRCX</t>
    <phoneticPr fontId="3" type="noConversion"/>
  </si>
  <si>
    <t>최근 3개분기 매출성장률 5.4% -&gt; 6.4% -&gt; 12.8%. 알루미늄 가격 상승과 포장부문 단가 개선(가격 인상), 제품 믹스 개선이 신규 설비의 초기비용 상쇄하며 이익률 증가. 연간 실적 전망 상향 하며 주가 강세.</t>
    <phoneticPr fontId="3" type="noConversion"/>
  </si>
  <si>
    <t>최근 3개분기 매출성장률 1Q25 19.4% -&gt; 2Q25 20.7% -&gt; 3Q25 16.1%. 일회성 이익 제외 시 3Q25 곱4기준 POR 92.3배. GPM은 60% 수준이고 고정비가 매우 lean한 구조라서 OP 레버가 나는 구간으로 판단됨. 호텔, 리조트, 크루즈, 카지노 등 호스피탈리티 쪽 기계 팔면서 소프트웨어 구독 매출로 15~20% 성장 보여주는 상황</t>
    <phoneticPr fontId="3" type="noConversion"/>
  </si>
  <si>
    <t>호스피탈리티 소프트웨어</t>
    <phoneticPr fontId="3" type="noConversion"/>
  </si>
  <si>
    <t>AGYS</t>
    <phoneticPr fontId="3" type="noConversion"/>
  </si>
  <si>
    <t>Agilysys</t>
    <phoneticPr fontId="3" type="noConversion"/>
  </si>
  <si>
    <t>최근 3개분기 매출성장률 1Q25 19.9% -&gt; 2Q25 21% -&gt; 3Q25 28%. 부문별로 CCS(AI쪽) YoY+43%, ATS(항공우주 및 방산) YoY-4%. 26년 매출 및 EPS 가이던스 각각 +31%/+39%. 컨콜은 오늘 밤에 진행할 예정임. 3Q25 OP 곱4하면 POR 26.7배. 400G -&gt; 800G 전환의 수혜를 받고 있으며 26~27년에는 1.6T로 전환할 것</t>
    <phoneticPr fontId="3" type="noConversion"/>
  </si>
  <si>
    <t>CLS</t>
    <phoneticPr fontId="3" type="noConversion"/>
  </si>
  <si>
    <t>Celestica</t>
    <phoneticPr fontId="3" type="noConversion"/>
  </si>
  <si>
    <t>최근 3개분기 매출성장률 1Q25 -3.8% -&gt; 2Q25 4.7% -&gt; 3Q25 14.5%. 4Q25 가이던스는 QQ로 감소한다고 언급했으며 이유는 전반적인 생산량 감소와 ASP 하락이 주요원인. 컨콜은 오늘 밤에 진행할 예정임. 3Q25 OP 곱4하면 POR 9.3배</t>
    <phoneticPr fontId="3" type="noConversion"/>
  </si>
  <si>
    <t>철강</t>
    <phoneticPr fontId="3" type="noConversion"/>
  </si>
  <si>
    <t>NUE</t>
    <phoneticPr fontId="3" type="noConversion"/>
  </si>
  <si>
    <t>Nucor Corporation</t>
    <phoneticPr fontId="3" type="noConversion"/>
  </si>
  <si>
    <t>WELL</t>
    <phoneticPr fontId="3" type="noConversion"/>
  </si>
  <si>
    <t>GLW</t>
    <phoneticPr fontId="3" type="noConversion"/>
  </si>
  <si>
    <t>STX</t>
    <phoneticPr fontId="3" type="noConversion"/>
  </si>
  <si>
    <t>PCB제조업체. 컨센이랑 가이던스 상회. 항공우주 및 국방부문의 지속적인 강세와 더불어 데이터 센터 컴퓨팅 부문 등 다른 분야에서도 견조한 수요를 바탕으로 기록적인 매출을 달성.</t>
    <phoneticPr fontId="3" type="noConversion"/>
  </si>
  <si>
    <t>전기전자</t>
    <phoneticPr fontId="3" type="noConversion"/>
  </si>
  <si>
    <t>수웅</t>
    <phoneticPr fontId="3" type="noConversion"/>
  </si>
  <si>
    <t>TTMI</t>
    <phoneticPr fontId="3" type="noConversion"/>
  </si>
  <si>
    <t>TTM Technologies, Inc.</t>
    <phoneticPr fontId="3" type="noConversion"/>
  </si>
  <si>
    <t>헬스케어 결제 소프트워어 전문 기업. 매출이랑 이익 모두 상회했고 연간 가이던스 상향조정. AI기반 플랫폼이 고객들에게 좋은 반응을 받고 있음. AI솔루션 수혜.</t>
    <phoneticPr fontId="3" type="noConversion"/>
  </si>
  <si>
    <t>서비스</t>
    <phoneticPr fontId="3" type="noConversion"/>
  </si>
  <si>
    <t>WAY</t>
    <phoneticPr fontId="3" type="noConversion"/>
  </si>
  <si>
    <t>Waystar Holding Corp.</t>
    <phoneticPr fontId="3" type="noConversion"/>
  </si>
  <si>
    <t xml:space="preserve">글로벌 종이 포장 및 패키징 기업. 매출 컨센 상회. 순이익 기준 흑자 성공했으나 전반적인 포장재 시장 수요 둔화로 수익성이 기대에 미치지 못했음. </t>
    <phoneticPr fontId="3" type="noConversion"/>
  </si>
  <si>
    <t>소재</t>
    <phoneticPr fontId="3" type="noConversion"/>
  </si>
  <si>
    <t>SW</t>
    <phoneticPr fontId="3" type="noConversion"/>
  </si>
  <si>
    <t>Smurfit Westrock Plc</t>
    <phoneticPr fontId="3" type="noConversion"/>
  </si>
  <si>
    <t xml:space="preserve">온라인 중고차 유통업체. 매출은 예상치 상회, 순이익은 하회. 매출이 yy 55% 증가로 크게 증가했고 분기 최대 차량 판매를 이어감. EBITDA 기준으로는 컨센보다 잘나옴. </t>
    <phoneticPr fontId="3" type="noConversion"/>
  </si>
  <si>
    <t>CVNA</t>
    <phoneticPr fontId="3" type="noConversion"/>
  </si>
  <si>
    <t>carvana</t>
    <phoneticPr fontId="3" type="noConversion"/>
  </si>
  <si>
    <t>캐나다 대표적인 금광채굴 업체. 1온스당 실현 금 가격이 회사가 제시했던 가이던스보다 더 잘나왔음. 금가격 수혜 업체.</t>
    <phoneticPr fontId="3" type="noConversion"/>
  </si>
  <si>
    <t>AEM</t>
    <phoneticPr fontId="3" type="noConversion"/>
  </si>
  <si>
    <t>Agnico Eagle Mines Limited</t>
    <phoneticPr fontId="3" type="noConversion"/>
  </si>
  <si>
    <t>업무 자동화 기업. 서프 기록 및 5:1 주식 분할도 결정. 탑라인 yy 22% 증가했으며 AI기반 워크플로우 자동화 도구에 대한 기업 수요가 강력했음. 연간 가이던스도 상향 조정.</t>
    <phoneticPr fontId="3" type="noConversion"/>
  </si>
  <si>
    <t>소프트웨어</t>
    <phoneticPr fontId="3" type="noConversion"/>
  </si>
  <si>
    <t>NOW</t>
    <phoneticPr fontId="3" type="noConversion"/>
  </si>
  <si>
    <t>service now</t>
    <phoneticPr fontId="3" type="noConversion"/>
  </si>
  <si>
    <t>Konami Group Corporation</t>
    <phoneticPr fontId="3" type="noConversion"/>
  </si>
  <si>
    <t>일본</t>
    <phoneticPr fontId="3" type="noConversion"/>
  </si>
  <si>
    <t>용성</t>
    <phoneticPr fontId="3" type="noConversion"/>
  </si>
  <si>
    <t>게임</t>
    <phoneticPr fontId="3" type="noConversion"/>
  </si>
  <si>
    <t>eFootball 출시 30주년에 따른 대규모 업데이트 및  새로운 게임 다수 출시로 Digital Entertainment 부문 매출 YoY +28.2% 증가하였고, 신규 게임기 다수 출시로 Amusement 부문 매출도 YoY +30% 증가하며 호실적 기록.</t>
    <phoneticPr fontId="3" type="noConversion"/>
  </si>
  <si>
    <t>Tsuburaya Fields Holdings Inc</t>
    <phoneticPr fontId="3" type="noConversion"/>
  </si>
  <si>
    <t>일본</t>
    <phoneticPr fontId="3" type="noConversion"/>
  </si>
  <si>
    <t>Kyoei Steel Ltd.</t>
    <phoneticPr fontId="3" type="noConversion"/>
  </si>
  <si>
    <t>Maxell, Ltd.</t>
    <phoneticPr fontId="3" type="noConversion"/>
  </si>
  <si>
    <t>Eslead Corporation</t>
    <phoneticPr fontId="3" type="noConversion"/>
  </si>
  <si>
    <t>애니 IP</t>
    <phoneticPr fontId="3" type="noConversion"/>
  </si>
  <si>
    <t xml:space="preserve"> 중국 매출 감소했지만 북미/아시아 지역 중심으로 Amusement Equipment 부문에서 파칭코, 파치슬롯 판매 증가(기타 지역 매출 YoY +38%)하며 수익성 개선.  MD 매출 새롭게 시작하며 추가적인 성장동력 확보.</t>
    <phoneticPr fontId="3" type="noConversion"/>
  </si>
  <si>
    <t>일차전지</t>
    <phoneticPr fontId="3" type="noConversion"/>
  </si>
  <si>
    <t>자동차용 1차 전지 분야의 강력한 실적과 의료 기기 시장의 수요 증가로 일차전지 부문 판매 호조 이어갔으며 광학시스템 부문에서 라이선스 수익 조기 인식되며 영업이익 일회적으로 크게 증가.</t>
    <phoneticPr fontId="3" type="noConversion"/>
  </si>
  <si>
    <t>부동산</t>
    <phoneticPr fontId="3" type="noConversion"/>
  </si>
  <si>
    <t>맨션 분양 사업의 인도 건수가 전년 동기 대비 +13.5% 증가한 1,029건을 기록하였으며 맨션의 호당 평균 가격 및 ㎡당 단가가 모두 상승하는 추세에 따라 수익성 개선으로 첫 빨간줄 기록. 향후 인도 예정 물량 또한 충분하며 고수익성 매물로 전환되는 시기.</t>
    <phoneticPr fontId="3" type="noConversion"/>
  </si>
  <si>
    <t>탑라인 감소에도 불구 원재료(철스크랩) 가격 하락에 따른 매출원가율 개선으로 높은 수익성 기록.</t>
    <phoneticPr fontId="3" type="noConversion"/>
  </si>
  <si>
    <t>철강</t>
    <phoneticPr fontId="3" type="noConversion"/>
  </si>
  <si>
    <t>빨간 줄은 아님. 최근 3개분기 매출성장률 1Q25 4.9% -&gt; 2Q25 5.3% -&gt; 3Q25 6.8%. 3Q25 곱4기준 POR 0.9배. 부채가 21B 수준이라 이자비용이 많아서 PER 기준으로는 3.63배. Salix 사업부가 전체 매출의 27%, 전체 EBIT의 80%를 벌고 있음. 여기서 파는 Rifaximin이라는 약이 여행자 설사, 과민성대장 증후군, 간성 뇌증 등에 쓰이는데 최근 들어 매출 더블디짓 성장을 보이면서 EBIT은 20-30%씩 YoY로 성장하는 상황</t>
    <phoneticPr fontId="3" type="noConversion"/>
  </si>
  <si>
    <t>제약, 의료기기</t>
    <phoneticPr fontId="3" type="noConversion"/>
  </si>
  <si>
    <t>BHC</t>
    <phoneticPr fontId="3" type="noConversion"/>
  </si>
  <si>
    <t xml:space="preserve">Bausch Health </t>
    <phoneticPr fontId="3" type="noConversion"/>
  </si>
  <si>
    <r>
      <t xml:space="preserve">최근 3개분기 매출성장률 1Q25 17.2% -&gt; 2Q25 17.1% -&gt; 3Q25 37.2%. 3Q25 곱4기준 POR 21배. 매출비중은 미주 83%, 해외 17%. 매출성장은 3Q25 기준 미주 YoY 35%, 해외 YoY 48%. GPM은 110bp 감소했고, OPM은 20bp 감소했음. </t>
    </r>
    <r>
      <rPr>
        <b/>
        <sz val="10"/>
        <color theme="1"/>
        <rFont val="Pretendard"/>
        <family val="3"/>
        <charset val="129"/>
      </rPr>
      <t>관세 영향은 상반기에 기존 재고를 사용함에 따라 덜했고 3Q에 6M, 4Q에 8-10M정도 반영될 것. 전체 원가의 60% 정도가 관세영향을 받게 됨.</t>
    </r>
    <r>
      <rPr>
        <sz val="10"/>
        <color theme="1"/>
        <rFont val="Pretendard"/>
        <family val="3"/>
        <charset val="129"/>
      </rPr>
      <t xml:space="preserve"> 4Q가 계절상 QoQ로 매출이 빠지기 때문에 관세영향 받으면 어닝이 깨질 수 있을 거 같음</t>
    </r>
    <phoneticPr fontId="3" type="noConversion"/>
  </si>
  <si>
    <t>코코넛워터</t>
    <phoneticPr fontId="3" type="noConversion"/>
  </si>
  <si>
    <t>COCO</t>
    <phoneticPr fontId="3" type="noConversion"/>
  </si>
  <si>
    <t>The Vita Coco Company</t>
    <phoneticPr fontId="3" type="noConversion"/>
  </si>
  <si>
    <t>최근 3개분기 매출성장률 1Q25 -14% -&gt; 2Q25 -5.5% -&gt; 3Q25 1.1%. 3Q25 곱4기준 POR 8.46배. 매출 성장보다는 마진 개선으로 레버리지가 나오는 상황이라 섹시하지 않은 것 같음. 섹터도 자동차 부품 쪽</t>
    <phoneticPr fontId="3" type="noConversion"/>
  </si>
  <si>
    <t>자동차 부품</t>
    <phoneticPr fontId="3" type="noConversion"/>
  </si>
  <si>
    <t>DAN</t>
    <phoneticPr fontId="3" type="noConversion"/>
  </si>
  <si>
    <t>Dana Incorporated</t>
    <phoneticPr fontId="3" type="noConversion"/>
  </si>
  <si>
    <r>
      <t xml:space="preserve">최근 3개분기 매출성장률 1Q25 2.2% -&gt; 2Q25 8.6% -&gt; 3Q25 7%. 3Q25 곱4기준 POR 18.25배. </t>
    </r>
    <r>
      <rPr>
        <b/>
        <sz val="10"/>
        <color theme="1"/>
        <rFont val="Pretendard"/>
        <family val="3"/>
        <charset val="129"/>
      </rPr>
      <t>26년 매출성장 10% 가이던스 제시</t>
    </r>
    <r>
      <rPr>
        <sz val="10"/>
        <color theme="1"/>
        <rFont val="Pretendard"/>
        <family val="3"/>
        <charset val="129"/>
      </rPr>
      <t xml:space="preserve">했음. T&amp;D부문(매출비중 52%)은 고압 송전선로, 변전소, 배전망 건설 및 개보수 사업. C&amp;I부문(매출비중 48%)은 데이터센터, 헬스케어, 교통, 교육, 수처리, 클린에너지 등 시설 전기공사. </t>
    </r>
    <r>
      <rPr>
        <b/>
        <sz val="10"/>
        <color theme="1"/>
        <rFont val="Pretendard"/>
        <family val="3"/>
        <charset val="129"/>
      </rPr>
      <t>대형 송전 프로젝트 실착공은 27~29년에 본격화될 것</t>
    </r>
    <phoneticPr fontId="3" type="noConversion"/>
  </si>
  <si>
    <t>전기 건설 서비스</t>
    <phoneticPr fontId="3" type="noConversion"/>
  </si>
  <si>
    <t>MYRG</t>
    <phoneticPr fontId="3" type="noConversion"/>
  </si>
  <si>
    <t>MYR Group</t>
    <phoneticPr fontId="3" type="noConversion"/>
  </si>
  <si>
    <t>최근 3개분기 매출성장률 1Q25 18.7% -&gt; 2Q25 14.8% -&gt; 3Q25 8.4%. 3Q25 곱4기준 POR 4.46배. 부채가 6B 수준이라 이자비용이 많아서 PER 기준으로는 11.13배. 25년은 FID 저점이었으나 26~28년에 탐사, 개발예산이 점증할 것으로 전망하고 있으며 26년 말 ~ 27년 초 가동률이 90% 이상일 것이라고 컨콜에서 언급. 업황은 좋은 듯 한데 재무구조가 좀 많이 안 좋음</t>
    <phoneticPr fontId="3" type="noConversion"/>
  </si>
  <si>
    <t xml:space="preserve">시추 </t>
    <phoneticPr fontId="3" type="noConversion"/>
  </si>
  <si>
    <t>RIG</t>
    <phoneticPr fontId="3" type="noConversion"/>
  </si>
  <si>
    <t>Transocean</t>
    <phoneticPr fontId="3" type="noConversion"/>
  </si>
  <si>
    <t>최근 3개분기 매출성장률 1Q25 -2.7% -&gt; 2Q25 22.1% -&gt; 3Q25 32.1%. 3Q25 곱4기준 POR 64.2배. 통신사업자에게 장비, 클라우드, 에이전틱 AI를 판매하는 회사. 고객사는 1200개 수준으로 다변화 되어있음. 클라우드 매출을 반복적으로 일으키고 에이전틱 AI를 통해 이를 가속화하는 느낌. 다만 정확히 어떤 서비스를 제공하는지 감이 잘 안옴</t>
    <phoneticPr fontId="3" type="noConversion"/>
  </si>
  <si>
    <t>통신관련 플랫폼</t>
    <phoneticPr fontId="3" type="noConversion"/>
  </si>
  <si>
    <t>CALX</t>
    <phoneticPr fontId="3" type="noConversion"/>
  </si>
  <si>
    <t>Calix</t>
    <phoneticPr fontId="3" type="noConversion"/>
  </si>
  <si>
    <t>최근 3개분기 매출성장률 1Q25 48.2% -&gt; 2Q25 37.7% -&gt; 3Q25 32.2%. 3Q25 곱4기준 POR 48.38배. 유럽 쪽 장기이송 확대가 추가적인 성장 룸으로 보임</t>
    <phoneticPr fontId="3" type="noConversion"/>
  </si>
  <si>
    <t xml:space="preserve">장기이송 </t>
    <phoneticPr fontId="3" type="noConversion"/>
  </si>
  <si>
    <t>TMDX</t>
    <phoneticPr fontId="3" type="noConversion"/>
  </si>
  <si>
    <t>TransMedics Group</t>
    <phoneticPr fontId="3" type="noConversion"/>
  </si>
  <si>
    <t>최근 3개분기 매출성장률 1Q25 3.6% -&gt; 2Q25 4.9% -&gt; 3Q25 7.1%. 3Q25 곱4기준 POR 11.91배. 일회용 렌즈 및 안과 처방약을 팔고있음. 매출이 늘어남에도 판관비는 거의 고정됨에 따라 레버리지가 나오는 구간. 매출성장 각도를 봤을 때 강력한 트렌드가 있는 것 같지는 않음</t>
    <phoneticPr fontId="3" type="noConversion"/>
  </si>
  <si>
    <t>렌즈 및 안과처방약</t>
    <phoneticPr fontId="3" type="noConversion"/>
  </si>
  <si>
    <t>BLCO</t>
    <phoneticPr fontId="3" type="noConversion"/>
  </si>
  <si>
    <t>Bausch + Lomb Corporation</t>
    <phoneticPr fontId="3" type="noConversion"/>
  </si>
  <si>
    <t>최근 3개분기 매출성장률 1Q25 27.2% -&gt; 2Q25 21% -&gt; 3Q25 18.5%. 3Q25 곱4기준 POR 10.25배. 델타값이 약해지면서 주가도 꾸준히 빠지고 있음. 구글트렌드가 더 이상 올라가지 않고 있고 SSG 가이던스가 미드싱글임(현재는 10% 초반 수준). 주가가 되려면 수요가 여기서 꾸준히 계속 우상향함을 보여줘야 될 것 같음</t>
    <phoneticPr fontId="3" type="noConversion"/>
  </si>
  <si>
    <t>프랜차이즈</t>
    <phoneticPr fontId="3" type="noConversion"/>
  </si>
  <si>
    <t>EAT</t>
    <phoneticPr fontId="3" type="noConversion"/>
  </si>
  <si>
    <t>Brinker International</t>
    <phoneticPr fontId="3" type="noConversion"/>
  </si>
  <si>
    <t>최근 3개분기 매출성장률 1Q25 29.3% -&gt; 2Q25 41.6% -&gt; 3Q25 30.9%. 3Q25 곱4기준 POR 7.88배. 현재 가동률이 96% 수준이며 CAT 가스엔진 신규 주문에는 약 5개월 정도가 소요됨. Capex 자체에 보수적인 느낌이며 IRR과 계약이 되었는지 여부를 철저히 따지며 증설하고 있음</t>
    <phoneticPr fontId="3" type="noConversion"/>
  </si>
  <si>
    <t>천연가스 압축</t>
    <phoneticPr fontId="3" type="noConversion"/>
  </si>
  <si>
    <t>AROC</t>
    <phoneticPr fontId="3" type="noConversion"/>
  </si>
  <si>
    <t>Archrock</t>
    <phoneticPr fontId="3" type="noConversion"/>
  </si>
  <si>
    <t>최근 3개분기 매출성장률 1Q25 4.9% -&gt; 2Q25 7.6% -&gt; 3Q25 7.9%. 3Q25 곱4기준 POR 251배. 방사선 감지, 측정, 분석 및 모니터링 솔루션 제공업체. 최근 SMR 및 대형원전 관련 뉴스 플로우가 좋아서 미래 밸류를 많이 땡겨온 느낌. 글로벌리 SMR 가속화되면 수주가 강해질 수 있음</t>
    <phoneticPr fontId="3" type="noConversion"/>
  </si>
  <si>
    <t>방사선 감지, 측정</t>
    <phoneticPr fontId="3" type="noConversion"/>
  </si>
  <si>
    <t>MIR</t>
    <phoneticPr fontId="3" type="noConversion"/>
  </si>
  <si>
    <t>Mirion Technologies</t>
    <phoneticPr fontId="3" type="noConversion"/>
  </si>
  <si>
    <r>
      <t xml:space="preserve">최근 3개분기 매출성장률 1Q25 -28.8% -&gt; 2Q25 -26.4% -&gt; 3Q25 20.9%. 태양광 유리 판매가 메인 비즈니스이며 유리 판가가 매출에 매우 중요하게 작용함. 3Q25에 처음으로 매출이 턴어라운드 했고 향후 중국 태양광 업체들이 어떻게 되냐가 중요할 것. 21년 주가 피크당시 350M정도를 벌었고 그 당시 시총은 12B까지 갔었음. </t>
    </r>
    <r>
      <rPr>
        <b/>
        <sz val="10"/>
        <color rgb="FFFF0000"/>
        <rFont val="Pretendard"/>
        <family val="3"/>
        <charset val="129"/>
      </rPr>
      <t>중국 업체들이 미국에서 선전할 수 있다면 자세히 봐야될 것</t>
    </r>
    <phoneticPr fontId="3" type="noConversion"/>
  </si>
  <si>
    <t>태양광 유리</t>
    <phoneticPr fontId="3" type="noConversion"/>
  </si>
  <si>
    <t xml:space="preserve"> 홍콩</t>
    <phoneticPr fontId="3" type="noConversion"/>
  </si>
  <si>
    <t>Flat Glass Group</t>
    <phoneticPr fontId="3" type="noConversion"/>
  </si>
  <si>
    <t>최근 3개분기 매출성장률 1Q25 8.8% -&gt; 2Q25 41.3% -&gt; 3Q25 83.5%. 3Q25 곱4기준 POR 6.26배. 금, 구리 광산 주식으로 금값과 매우 연동되는 주식. 금 가격이 앞으로도 우상향한다면 이 회사를 사봐도 될 것 같음</t>
    <phoneticPr fontId="3" type="noConversion"/>
  </si>
  <si>
    <t>금, 구리 광산</t>
    <phoneticPr fontId="3" type="noConversion"/>
  </si>
  <si>
    <t>NGD</t>
    <phoneticPr fontId="3" type="noConversion"/>
  </si>
  <si>
    <t>New Gold</t>
    <phoneticPr fontId="3" type="noConversion"/>
  </si>
  <si>
    <t>최근 3개분기 매출성장률 1Q25 5.7% -&gt; 2Q25 6.1% -&gt; 3Q25 9.2%. 3Q25 곱4기준 POR 12.5배. 건축물, 플랜트, 인프라에 대한 전기설비 시공을 중심으로 배전선로, 전기, 정보통신 네트워크, 환경설비, 발전/변전소 공사 등을 하는 회사. 전체 매출의 3.3% 비중을 차지하는 발전/변전소 쪽 수주가 YoY+90.3% 늘어나면서 좋아지고 있음. 실적 예측이 어려움</t>
    <phoneticPr fontId="3" type="noConversion"/>
  </si>
  <si>
    <t>종합 전기설비</t>
    <phoneticPr fontId="3" type="noConversion"/>
  </si>
  <si>
    <t>Kinden Corporation</t>
    <phoneticPr fontId="3" type="noConversion"/>
  </si>
  <si>
    <t>최근 3개분기 매출성장률 1Q25 10.4% -&gt; 2Q25 14.8% -&gt; 3Q25 21.9%. 3Q24, 4Q24 적자 폭이 커서 줄은 아니지만 최근 매출성장률 추이가 좋음. 바이오 분석관련 장비를 팔고 소모품 매출을 계속 일으키는 비즈니스를 하고 있음. 3Q25 곱4기준 POR 129배로 현재는 좀 비싼 감이 있음</t>
    <phoneticPr fontId="3" type="noConversion"/>
  </si>
  <si>
    <t>바이오 분석 플랫폼</t>
    <phoneticPr fontId="3" type="noConversion"/>
  </si>
  <si>
    <t>RGEN</t>
    <phoneticPr fontId="3" type="noConversion"/>
  </si>
  <si>
    <t>Repligen Corporation</t>
    <phoneticPr fontId="3" type="noConversion"/>
  </si>
  <si>
    <t>최근 3개분기 매출성장률 1Q25 0% -&gt; 2Q25 5% -&gt; 3Q25 8.1%. 3Q25 곱4기준 POR 91.6배. 턴어라운드 관점에서 주가를 올려주는 느낌. 3Q25 Active 유저는 yoy-2.3%, LTM Active 유저당 매출은 yoy+6.1%</t>
    <phoneticPr fontId="3" type="noConversion"/>
  </si>
  <si>
    <t>가구 플랫폼</t>
    <phoneticPr fontId="3" type="noConversion"/>
  </si>
  <si>
    <t>W</t>
    <phoneticPr fontId="3" type="noConversion"/>
  </si>
  <si>
    <t>Wayfair</t>
    <phoneticPr fontId="3" type="noConversion"/>
  </si>
  <si>
    <t>EXTR</t>
    <phoneticPr fontId="3" type="noConversion"/>
  </si>
  <si>
    <t>BOOT</t>
    <phoneticPr fontId="3" type="noConversion"/>
  </si>
  <si>
    <t>blco</t>
    <phoneticPr fontId="3" type="noConversion"/>
  </si>
  <si>
    <t>eat</t>
    <phoneticPr fontId="3" type="noConversion"/>
  </si>
  <si>
    <t>PLTR</t>
    <phoneticPr fontId="3" type="noConversion"/>
  </si>
  <si>
    <t>Palantir Technologies Inc</t>
    <phoneticPr fontId="3" type="noConversion"/>
  </si>
  <si>
    <t>미국</t>
    <phoneticPr fontId="3" type="noConversion"/>
  </si>
  <si>
    <t>용성</t>
    <phoneticPr fontId="3" type="noConversion"/>
  </si>
  <si>
    <t>3Q25</t>
    <phoneticPr fontId="3" type="noConversion"/>
  </si>
  <si>
    <t>미국 상업 부문 매출 YoY 121% 증가하며 총 매출 YoY 63% 증가. 수익성 또한 1Q25 19.9% -&gt; 2Q25 26.8% -&gt; 3Q25 33.3%로 빠른 레버리지 효과 보여주고 있음.</t>
    <phoneticPr fontId="3" type="noConversion"/>
  </si>
  <si>
    <t>소프트웨어 플랫폼</t>
    <phoneticPr fontId="3" type="noConversion"/>
  </si>
  <si>
    <t>STRL</t>
    <phoneticPr fontId="3" type="noConversion"/>
  </si>
  <si>
    <t>Sterling Infrastructure</t>
    <phoneticPr fontId="3" type="noConversion"/>
  </si>
  <si>
    <t>인프라</t>
    <phoneticPr fontId="3" type="noConversion"/>
  </si>
  <si>
    <t>데이터센터 및 대형상업시설 관련 수요 급증하며 고마진 사업부인 E-Infrastructure 부문 매출액 YoY +37% 증가하며 이익, 수익성 대폭 개선되며 호실적. 25년 연간 가이던스 상향 조정.</t>
    <phoneticPr fontId="3" type="noConversion"/>
  </si>
  <si>
    <t>KRYS</t>
    <phoneticPr fontId="3" type="noConversion"/>
  </si>
  <si>
    <t>Krystal Biotech, Inc</t>
    <phoneticPr fontId="3" type="noConversion"/>
  </si>
  <si>
    <t>희귀 피부 질환 치료제</t>
    <phoneticPr fontId="3" type="noConversion"/>
  </si>
  <si>
    <t>핵심 파이프라인인 VYJUVEK이 여름 휴가 영향에도 불구하고 3분기 진출한 유럽의 영향으로 견고한 성장 달성하였으며 추가적으로 이번분기 일본, 프랑스 지역 진출 예정. 다만 매출 성장률은 둔화돠며 줄 강도 약해지는 모습.</t>
    <phoneticPr fontId="3" type="noConversion"/>
  </si>
  <si>
    <t>PAY</t>
    <phoneticPr fontId="3" type="noConversion"/>
  </si>
  <si>
    <t>전자 청구 및 결제 솔루션</t>
    <phoneticPr fontId="3" type="noConversion"/>
  </si>
  <si>
    <t>Paymentus Holdings, Inc</t>
    <phoneticPr fontId="3" type="noConversion"/>
  </si>
  <si>
    <t>대규모 청구 기관들이 Paymentus 플랫폼으로 전환하는 속도가 빨라지고 있으며 컨콜에서 상당한 백로그가 있다고 언급(신규 계약이 사상 최고 수준이라고 언급)하며 26년까지 매출 가시성이 매우 높다고 언급. 프리마켓에서 16% 주가 상승 중.</t>
    <phoneticPr fontId="3" type="noConversion"/>
  </si>
  <si>
    <t>B2B SaaS 플랫폼</t>
    <phoneticPr fontId="3" type="noConversion"/>
  </si>
  <si>
    <t>ZoomInfo Technologies Inc</t>
    <phoneticPr fontId="3" type="noConversion"/>
  </si>
  <si>
    <t>GTM</t>
    <phoneticPr fontId="3" type="noConversion"/>
  </si>
  <si>
    <t>신규 기업 고객 꾸준히 유치하고 비용 효율화 하며 수익성 개선되는 흐름. 다만 탑라인 성장은 YoY +5% 정도로 제한적으로 주가는 크게 반응 없는 모습.</t>
    <phoneticPr fontId="3" type="noConversion"/>
  </si>
  <si>
    <t xml:space="preserve">미국의 온라인 보험 마켓플레이스를 운영. 매출 yy 20% 증가했으며 자동차 보험의 매출이 21% 증가하며 대부분의 성장을 견인. 4분기 가이던스로 예성치보다 높음. </t>
    <phoneticPr fontId="3" type="noConversion"/>
  </si>
  <si>
    <t>보험</t>
    <phoneticPr fontId="3" type="noConversion"/>
  </si>
  <si>
    <t>EVER</t>
    <phoneticPr fontId="3" type="noConversion"/>
  </si>
  <si>
    <t>EverQuote, Inc</t>
    <phoneticPr fontId="3" type="noConversion"/>
  </si>
  <si>
    <t xml:space="preserve">유/가스 산업 및 데이터 센터 등을 위한 이동형 전력 솔루션과 전문 물류 서비스 제공. 매출 39% 급증했으며 가동용량이 600mw에서 760mw로 증가. 전통 물류 사업 매출이 16% 감소했음에도 불구하고 놀라운 실적 기록. </t>
    <phoneticPr fontId="3" type="noConversion"/>
  </si>
  <si>
    <t>산업재</t>
    <phoneticPr fontId="3" type="noConversion"/>
  </si>
  <si>
    <t>SEI</t>
    <phoneticPr fontId="3" type="noConversion"/>
  </si>
  <si>
    <t>Solaris Energy Infrastructure, Inc</t>
    <phoneticPr fontId="3" type="noConversion"/>
  </si>
  <si>
    <t>클라우드 기반의 기업용 통합 커뮤니케이션(UCaaS) 솔루션을 제공. 탑라인 인라인했지만 이익 서프. 성장률보단 수익성 개선이 튀었던 실적. 가이던스는 탑라인 5% 성장 수준.</t>
    <phoneticPr fontId="3" type="noConversion"/>
  </si>
  <si>
    <t>RNG</t>
    <phoneticPr fontId="3" type="noConversion"/>
  </si>
  <si>
    <t>RingCentral, Inc</t>
    <phoneticPr fontId="3" type="noConversion"/>
  </si>
  <si>
    <t xml:space="preserve">냉장 반려동물 사료를 제조. 방뷰제 없는 사료로 유명함. 3분기 매출 yy 14% 증가했으며 구글 트렌드는 계속 우상향 중. 직전분기부터 이제 막 돈벌기 시작. 이익단에서 일회성 요인이 있긴함. </t>
    <phoneticPr fontId="3" type="noConversion"/>
  </si>
  <si>
    <t>소비재</t>
    <phoneticPr fontId="3" type="noConversion"/>
  </si>
  <si>
    <t>FRPT</t>
    <phoneticPr fontId="3" type="noConversion"/>
  </si>
  <si>
    <t>Freshpet, Inc.</t>
    <phoneticPr fontId="3" type="noConversion"/>
  </si>
  <si>
    <t>fin</t>
    <phoneticPr fontId="3" type="noConversion"/>
  </si>
  <si>
    <t>SEZL</t>
    <phoneticPr fontId="3" type="noConversion"/>
  </si>
  <si>
    <t>DOCN</t>
    <phoneticPr fontId="3" type="noConversion"/>
  </si>
  <si>
    <t>클라우드 인프라 서비스</t>
    <phoneticPr fontId="3" type="noConversion"/>
  </si>
  <si>
    <t>DigitalOcean Holdings, Inc</t>
    <phoneticPr fontId="3" type="noConversion"/>
  </si>
  <si>
    <t>미국</t>
    <phoneticPr fontId="3" type="noConversion"/>
  </si>
  <si>
    <t>용성</t>
    <phoneticPr fontId="3" type="noConversion"/>
  </si>
  <si>
    <t>3Q25</t>
    <phoneticPr fontId="3" type="noConversion"/>
  </si>
  <si>
    <t>매출이 전년 대비 16% 증가(역대 최고 성장률)했고 ARR 증가폭이 역대 최고를 기록하였으며 AI 관련 매출(전년 대비 2배 이상이라고 컨콜에서 언급)이 급증하면서 질적 성장으로의 전환이 가시화. 향후 연간 가이던스 상향하며 주가 크게 상승.</t>
    <phoneticPr fontId="3" type="noConversion"/>
  </si>
  <si>
    <t>Sezzle Inc.</t>
    <phoneticPr fontId="3" type="noConversion"/>
  </si>
  <si>
    <t>핀테크</t>
    <phoneticPr fontId="3" type="noConversion"/>
  </si>
  <si>
    <t>최근 3개분기 매출 성장률 1Q25 123% -&gt;2Q25  76% -&gt; 3Q25 67%. 건별 결제형에서 구독형 제품으로 마케팅 예산 편중하며 구독자 수 48.4만 명 - &gt; 56.8만명으로 QoQ 증가하였고 구독형 소비자 비중 늘며 수수료율 11.2%로 YoY 0.6%p 상승하며 마진 개선. 다만 QoQ 탑라인 그로쓰가 나오지 않아 주가는 조정 받는 중.</t>
    <phoneticPr fontId="3" type="noConversion"/>
  </si>
  <si>
    <t>매출 yy  32% 증가했으며 연간 가이던스 상향.</t>
    <phoneticPr fontId="3" type="noConversion"/>
  </si>
  <si>
    <t>Sanrio Company,</t>
    <phoneticPr fontId="3" type="noConversion"/>
  </si>
  <si>
    <t xml:space="preserve">매출 yy 41% 증가. DAU yy 36% 증가했으며 유로구독자도 많이 늘었지만 가이던스 미스로 주가 크게 하락. </t>
    <phoneticPr fontId="3" type="noConversion"/>
  </si>
  <si>
    <t>DUOL</t>
    <phoneticPr fontId="3" type="noConversion"/>
  </si>
  <si>
    <t>Duolingo, Inc.</t>
    <phoneticPr fontId="3" type="noConversion"/>
  </si>
  <si>
    <t>AI 및 머신러닝(ML) 데이터센터에 필요한 고속(800G, 1.6T) 광 트랜시버 시장의 핵심 공급업체. 가장 큰 비중(매출의 69%)을 차지하는  데센 통신 부문 매출이 전년 동기 대비 26% 급증한 10억 9,000만 달러 기록</t>
    <phoneticPr fontId="3" type="noConversion"/>
  </si>
  <si>
    <t>하드웨어</t>
    <phoneticPr fontId="3" type="noConversion"/>
  </si>
  <si>
    <t>COHR</t>
    <phoneticPr fontId="3" type="noConversion"/>
  </si>
  <si>
    <t>Coherent Corp.</t>
    <phoneticPr fontId="3" type="noConversion"/>
  </si>
  <si>
    <t>공정 및 산업 자동화에 중점을 둔 기업. 공장의 효율성, 생산성, 안전성을 높이는 데 필요한 핵심 장비와 소프트웨어를 제조하고 공급. 3분기 매출 yy 4% 증가로 하회했지만 수익성이 좋아짐.</t>
    <phoneticPr fontId="3" type="noConversion"/>
  </si>
  <si>
    <t>산업 솔루션</t>
    <phoneticPr fontId="3" type="noConversion"/>
  </si>
  <si>
    <t>EMR</t>
    <phoneticPr fontId="3" type="noConversion"/>
  </si>
  <si>
    <t>emerson electric</t>
    <phoneticPr fontId="3" type="noConversion"/>
  </si>
  <si>
    <t>수수료 없는 주식거래로 유명한 핀테크. 탑라인 100% 증가하면서 더욱 엑셀되는 분위기. 암호화폐 수익이 339% 폭증.</t>
    <phoneticPr fontId="3" type="noConversion"/>
  </si>
  <si>
    <t>HOOD</t>
    <phoneticPr fontId="3" type="noConversion"/>
  </si>
  <si>
    <t>robinhood</t>
    <phoneticPr fontId="3" type="noConversion"/>
  </si>
  <si>
    <t>모바일 앱 개발자를 위한 마케팅 및 수익화 플랫폼을 제공하는 기술 기업. 3분기 어닝 서프 했고 탑라인 yy 68% 증가. AppLovin의 AI 기반 광고 엔진인 'AXON' 기술이 고도화되면서 광고 효율이 극대화됨.</t>
    <phoneticPr fontId="3" type="noConversion"/>
  </si>
  <si>
    <t>APP</t>
    <phoneticPr fontId="3" type="noConversion"/>
  </si>
  <si>
    <t>applovin Corporation</t>
    <phoneticPr fontId="3" type="noConversion"/>
  </si>
  <si>
    <t>Mercari, Inc</t>
    <phoneticPr fontId="3" type="noConversion"/>
  </si>
  <si>
    <t>일본</t>
    <phoneticPr fontId="3" type="noConversion"/>
  </si>
  <si>
    <t>용성</t>
    <phoneticPr fontId="3" type="noConversion"/>
  </si>
  <si>
    <t>3Q25</t>
    <phoneticPr fontId="3" type="noConversion"/>
  </si>
  <si>
    <t>중고거래 플랫폼</t>
    <phoneticPr fontId="3" type="noConversion"/>
  </si>
  <si>
    <t>북미 일본 지역 GMV 성장 밑 비용 효율화에 따른 수익성 개선, 핀테크 부문에서는 이자율 인상효과, AI 활용해 수금률 유지하며 핀테크 부문도 고성장. 25년 9월 말 글로벌 Merci 앱 출시하며 추가적인 업사이드 생겼고 현재 트랜드 신고가 부근.</t>
    <phoneticPr fontId="3" type="noConversion"/>
  </si>
  <si>
    <t>mercari</t>
    <phoneticPr fontId="3" type="noConversion"/>
  </si>
  <si>
    <t>Penta-Ocean Construction Co., Ltd</t>
    <phoneticPr fontId="3" type="noConversion"/>
  </si>
  <si>
    <t>해양 인프라, 조선</t>
    <phoneticPr fontId="3" type="noConversion"/>
  </si>
  <si>
    <t>국내 건축은 둔화되었지만 해외 수주 매출 증가하며 매출 및 수익성 크게 개선 됨. 수주잔고 역시 해외 수주 크게 늘며 QoQ +17.6% 늘며(해외 비중 34% -&gt; 37%) 역대 최대 달성하였고 향후 수익성 꾸준히 개선될 전망. 이번분기 실적 곱4 기준 por 6.42배.</t>
    <phoneticPr fontId="3" type="noConversion"/>
  </si>
  <si>
    <t xml:space="preserve">최근 3개분기 매출성장률 1Q25 -5.5% -&gt; 2Q25 4.5% -&gt; 3Q25 4.1%. 3Q25 곱4기준 POR 9.69배. 매출성장은 별로인데 절대적 매출볼륨이 커서 레버리지가 나는 상황. 가격인상 효과가 있었고 실제 Q는 감소해서 애매한 것 같음 </t>
    <phoneticPr fontId="3" type="noConversion"/>
  </si>
  <si>
    <t>포장용기 제조</t>
    <phoneticPr fontId="3" type="noConversion"/>
  </si>
  <si>
    <t>Toyo Seikan Group</t>
    <phoneticPr fontId="3" type="noConversion"/>
  </si>
  <si>
    <t>최근 3개분기 매출성장률 1Q25 4.1% -&gt; 2Q25 4% -&gt; 3Q25 4.2%. 3Q25 곱4기준 POR 6.36배. 일본 내 리스(정보 통신장비, 사무 장비, 공작기계, 운송장비, 자동차 등), 선박/항공기/부동산/에너지 등을 리스해주는 회사. 현금성자산이 시총의 28% 정도 있음</t>
    <phoneticPr fontId="3" type="noConversion"/>
  </si>
  <si>
    <t>각종 자산 임대업</t>
    <phoneticPr fontId="3" type="noConversion"/>
  </si>
  <si>
    <t>Tokyo Century Corporation</t>
    <phoneticPr fontId="3" type="noConversion"/>
  </si>
  <si>
    <t>최근 3개분기 매출성장률 1Q25 34.7% -&gt; 2Q25 49.6% -&gt; 3Q25 33.3%. 3Q25 곱4기준 POR 34.4배. 과거 컨콜이 안 올라와서 정확한 비엠을 모르겠음. GPM, OPM이 YoY기준 390bp, 500bp 개선되었고 판관비도 고정비 성격이 강해서 레버리지가 나는 구조. 무선 인터넷 서비스, 기업 및 스마트홈 운영자를 위한 네트워킹 제품 및 솔루션 포트폴리오를 제공하는 회사</t>
    <phoneticPr fontId="3" type="noConversion"/>
  </si>
  <si>
    <t>네트워크 제품 및 플랫폼</t>
    <phoneticPr fontId="3" type="noConversion"/>
  </si>
  <si>
    <t>UI</t>
    <phoneticPr fontId="3" type="noConversion"/>
  </si>
  <si>
    <t>Ubiquiti</t>
    <phoneticPr fontId="3" type="noConversion"/>
  </si>
  <si>
    <t xml:space="preserve">최근 3개분기 매출성장률 1Q25 37.9% -&gt; 2Q25 23.8% -&gt; 3Q25 67.1%. 3Q25 곱4기준 POR 15.63배. 2Q25 실발 당시만 해도 시총이 3.9B에 불과했는데 3달만에 2.07배 올랐음. 원자재 가격이 계속 올라간다고 예상한다면 광산주식 아직 늦지 않은 것 같음 </t>
    <phoneticPr fontId="3" type="noConversion"/>
  </si>
  <si>
    <t>금,은 광산</t>
    <phoneticPr fontId="3" type="noConversion"/>
  </si>
  <si>
    <t>HL</t>
    <phoneticPr fontId="3" type="noConversion"/>
  </si>
  <si>
    <t>Hecla Mining Company</t>
    <phoneticPr fontId="3" type="noConversion"/>
  </si>
  <si>
    <t>최근 3개분기 매출성장률 1Q25 75.6% -&gt; 2Q25 77.6% -&gt; 3Q25 91.3%. 3Q25 곱4기준 POR 10.13배. 캐나다 기반의 광산 회사로 7개의 금광을 운영하고 있음. 이 회사보다는 NGD가 밸류상 좀 더 편한 것 같음</t>
    <phoneticPr fontId="3" type="noConversion"/>
  </si>
  <si>
    <t>금광</t>
    <phoneticPr fontId="3" type="noConversion"/>
  </si>
  <si>
    <t>EQX</t>
    <phoneticPr fontId="3" type="noConversion"/>
  </si>
  <si>
    <t>Equinox Gold</t>
    <phoneticPr fontId="3" type="noConversion"/>
  </si>
  <si>
    <t>최근 3개분기 매출성장률 1Q25 50% -&gt; 2Q25 81.3% -&gt; 3Q25 113%. 3Q25 곱4기준 POR 62.96배. 임상매출 YoY+121%(P+87%, Q+18.2%, 매출비중 95.8%). 4Q25 매출은 200~210M 예상(3Q25 216.8M). TAM 확장 시나리오(잔존 암 진단, 모니터링 시장까지 진입)가 추가로 발생할 때마다 주가는 퀀텀 점프할 것 같음. 다만 어떤 분기에 추가로 붙을지 타이밍을 알기가 어려움</t>
    <phoneticPr fontId="3" type="noConversion"/>
  </si>
  <si>
    <t>분자진단</t>
    <phoneticPr fontId="3" type="noConversion"/>
  </si>
  <si>
    <t>CAI</t>
    <phoneticPr fontId="3" type="noConversion"/>
  </si>
  <si>
    <t>Caris Life Sciences</t>
    <phoneticPr fontId="3" type="noConversion"/>
  </si>
  <si>
    <t>최근 3개분기 매출성장률 1Q25 13.5% -&gt; 2Q25 10.6% -&gt; 3Q25 10.7%. 3Q25 곱4기준 POR 88.31배. 3Q25 라이더 수 YoY+18%, 총 예약 YoY+16%. 4Q25 가이던스 라이더 수 10% 중후반 성장, 총 예약 17~20% 성장. 드디어 적자를 벗어나는 수준의 매출레벨까지 올라온 느낌. 우버는 처음으로 적자를 벗어난게 2Q23인데 그 뒤로 주가가 2.5~3배 올랐음</t>
    <phoneticPr fontId="3" type="noConversion"/>
  </si>
  <si>
    <t>차량 공유</t>
    <phoneticPr fontId="3" type="noConversion"/>
  </si>
  <si>
    <t>LYFT</t>
    <phoneticPr fontId="3" type="noConversion"/>
  </si>
  <si>
    <t>Lyft</t>
    <phoneticPr fontId="3" type="noConversion"/>
  </si>
  <si>
    <t>최근 3개분기 매출성장률 1Q25 -1% -&gt; 2Q25 4.8% -&gt; 3Q25 10.4%. 3Q25 곱4기준 POR 99.3배. 반려동물 +10%, 가축+12% 성장했음. "Zenrelia(동물 아토피 약)", "Credelio Quattro(동물 기생충 약)" 등은 구글트렌드 좋지만 전체 TAM이 분기 매출대비 작은 느낌임. 가축 쪽은 왜 잘되는지 잘 모르겠음</t>
    <phoneticPr fontId="3" type="noConversion"/>
  </si>
  <si>
    <t>동물 치료 제품 및 서비스</t>
    <phoneticPr fontId="3" type="noConversion"/>
  </si>
  <si>
    <t>ELAN</t>
    <phoneticPr fontId="3" type="noConversion"/>
  </si>
  <si>
    <t>Elanco Animal Health</t>
    <phoneticPr fontId="3" type="noConversion"/>
  </si>
  <si>
    <r>
      <t xml:space="preserve">최근 3개분기 매출성장률 1Q25 83% -&gt; 2Q25 33.7% -&gt; 3Q25 20.3%. 3Q25 곱4기준 POR 11.68배. 보험을 찾는 고의도 소비자 트래픽을 모아 캐리어/에이전트에 연결시켜주는 회사. 전체 TAM이 117B인데 디지털은 7B에 불과하며 디지털 TAM이 점점 커지고 있는 상황.  Ever의 점유율은 디지털 중 7%정도로 보고 있음. </t>
    </r>
    <r>
      <rPr>
        <b/>
        <sz val="10"/>
        <color theme="1"/>
        <rFont val="Pretendard"/>
        <family val="3"/>
        <charset val="129"/>
      </rPr>
      <t>회사는 향후 연간 평균 20% 성장으로 2-3년 내 1B 경로에 자신감을 갖고 있음. (3Q25 곱4시 연간 매출 696M)</t>
    </r>
    <phoneticPr fontId="3" type="noConversion"/>
  </si>
  <si>
    <t>보험 연결 광고회사</t>
    <phoneticPr fontId="3" type="noConversion"/>
  </si>
  <si>
    <t>EverQuote</t>
    <phoneticPr fontId="3" type="noConversion"/>
  </si>
  <si>
    <t>ATMU</t>
    <phoneticPr fontId="3" type="noConversion"/>
  </si>
  <si>
    <t>PRIM</t>
    <phoneticPr fontId="3" type="noConversion"/>
  </si>
  <si>
    <t>1Q24</t>
    <phoneticPr fontId="3" type="noConversion"/>
  </si>
  <si>
    <t>2Q24</t>
    <phoneticPr fontId="3" type="noConversion"/>
  </si>
  <si>
    <t>3Q24</t>
    <phoneticPr fontId="3" type="noConversion"/>
  </si>
  <si>
    <t>4Q24</t>
    <phoneticPr fontId="3" type="noConversion"/>
  </si>
  <si>
    <t>1Q25</t>
    <phoneticPr fontId="3" type="noConversion"/>
  </si>
  <si>
    <t>2Q25</t>
    <phoneticPr fontId="3" type="noConversion"/>
  </si>
  <si>
    <t>기타</t>
    <phoneticPr fontId="3" type="noConversion"/>
  </si>
  <si>
    <t>고객1비중</t>
    <phoneticPr fontId="3" type="noConversion"/>
  </si>
  <si>
    <t>고객2비중</t>
    <phoneticPr fontId="3" type="noConversion"/>
  </si>
  <si>
    <t>고객4</t>
    <phoneticPr fontId="3" type="noConversion"/>
  </si>
  <si>
    <t>고객3비중</t>
    <phoneticPr fontId="3" type="noConversion"/>
  </si>
  <si>
    <t>고객4비중</t>
    <phoneticPr fontId="3" type="noConversion"/>
  </si>
  <si>
    <t>고객1(메디힐 추정)</t>
    <phoneticPr fontId="3" type="noConversion"/>
  </si>
  <si>
    <t>고객2(중국 추정)</t>
    <phoneticPr fontId="3" type="noConversion"/>
  </si>
  <si>
    <t>고객3(엔코스 추정)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</si>
</sst>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76" formatCode="#,##0.00_);[Red]\(#,##0.00\)"/>
    <numFmt numFmtId="177" formatCode="#,##0_ "/>
    <numFmt numFmtId="178" formatCode="#,##0.0_ ;[Red]\-#,##0.0\ "/>
    <numFmt numFmtId="179" formatCode="mm&quot;월&quot;\ dd&quot;일&quot;"/>
    <numFmt numFmtId="180" formatCode="0.0%"/>
    <numFmt numFmtId="181" formatCode="#,##0_ ;[Red]\-#,##0\ "/>
    <numFmt numFmtId="182" formatCode="0.0_);[Red]\(0.0\)"/>
    <numFmt numFmtId="183" formatCode="#,##0.00_ "/>
  </numFmts>
  <fonts count="7" x14ac:knownFonts="1">
    <font>
      <sz val="10"/>
      <color theme="1"/>
      <name val="Pretendard"/>
      <family val="2"/>
      <charset val="129"/>
    </font>
    <font>
      <sz val="10"/>
      <color theme="1"/>
      <name val="Pretendard"/>
      <family val="2"/>
      <charset val="129"/>
    </font>
    <font>
      <b/>
      <sz val="10"/>
      <color theme="1"/>
      <name val="Pretendard"/>
      <family val="3"/>
      <charset val="129"/>
    </font>
    <font>
      <sz val="8"/>
      <name val="Pretendard"/>
      <family val="2"/>
      <charset val="129"/>
    </font>
    <font>
      <sz val="10"/>
      <color theme="1"/>
      <name val="Pretendard"/>
      <family val="3"/>
      <charset val="129"/>
    </font>
    <font>
      <b/>
      <sz val="10"/>
      <color rgb="FFFF0000"/>
      <name val="Pretendard"/>
      <family val="3"/>
      <charset val="129"/>
    </font>
    <font>
      <sz val="9"/>
      <color indexed="81"/>
      <name val="Tahoma"/>
      <family val="2"/>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52">
    <xf numFmtId="0" fontId="0" fillId="0" borderId="0" xfId="0">
      <alignment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176" fontId="2" fillId="2" borderId="0" xfId="0" applyNumberFormat="1" applyFont="1" applyFill="1" applyAlignment="1">
      <alignment horizontal="center" vertical="center"/>
    </xf>
    <xf numFmtId="9" fontId="2" fillId="2" borderId="0" xfId="0" applyNumberFormat="1" applyFont="1" applyFill="1" applyAlignment="1">
      <alignment horizontal="center" vertical="center"/>
    </xf>
    <xf numFmtId="0" fontId="2" fillId="2" borderId="0" xfId="0" applyFont="1" applyFill="1">
      <alignment vertical="center"/>
    </xf>
    <xf numFmtId="0" fontId="0" fillId="2" borderId="0" xfId="0" applyFill="1">
      <alignment vertical="center"/>
    </xf>
    <xf numFmtId="0" fontId="4" fillId="0" borderId="0" xfId="0" applyFont="1" applyAlignment="1">
      <alignment horizontal="center" vertical="center"/>
    </xf>
    <xf numFmtId="0" fontId="0" fillId="0" borderId="0" xfId="0" applyAlignment="1">
      <alignment horizontal="center" vertical="center"/>
    </xf>
    <xf numFmtId="177" fontId="0" fillId="0" borderId="0" xfId="0" applyNumberFormat="1" applyAlignment="1">
      <alignment horizontal="center" vertical="center"/>
    </xf>
    <xf numFmtId="14" fontId="0" fillId="0" borderId="0" xfId="0" applyNumberFormat="1" applyAlignment="1">
      <alignment horizontal="center" vertical="center"/>
    </xf>
    <xf numFmtId="176" fontId="0" fillId="3" borderId="0" xfId="0" applyNumberFormat="1" applyFill="1" applyAlignment="1">
      <alignment horizontal="center" vertical="center"/>
    </xf>
    <xf numFmtId="9" fontId="0" fillId="4" borderId="0" xfId="0" applyNumberFormat="1" applyFill="1" applyAlignment="1">
      <alignment horizontal="center" vertical="center"/>
    </xf>
    <xf numFmtId="9" fontId="0" fillId="5" borderId="0" xfId="0" applyNumberFormat="1" applyFill="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176" fontId="2" fillId="3" borderId="0" xfId="0" applyNumberFormat="1" applyFont="1" applyFill="1" applyAlignment="1">
      <alignment horizontal="center" vertical="center"/>
    </xf>
    <xf numFmtId="0" fontId="2" fillId="0" borderId="0" xfId="0" applyFont="1">
      <alignment vertical="center"/>
    </xf>
    <xf numFmtId="0" fontId="0" fillId="0" borderId="0" xfId="0" applyAlignment="1">
      <alignment vertical="center" wrapText="1"/>
    </xf>
    <xf numFmtId="9" fontId="0" fillId="0" borderId="0" xfId="0" applyNumberFormat="1" applyAlignment="1">
      <alignment horizontal="center" vertical="center"/>
    </xf>
    <xf numFmtId="179" fontId="0" fillId="0" borderId="0" xfId="0" applyNumberFormat="1" applyAlignment="1">
      <alignment horizontal="center" vertical="center"/>
    </xf>
    <xf numFmtId="0" fontId="4" fillId="0" borderId="0" xfId="0" applyFont="1" applyAlignment="1">
      <alignment horizontal="center" vertical="center" wrapText="1"/>
    </xf>
    <xf numFmtId="9" fontId="0" fillId="0" borderId="0" xfId="0" applyNumberFormat="1">
      <alignment vertical="center"/>
    </xf>
    <xf numFmtId="180" fontId="2" fillId="0" borderId="0" xfId="0" applyNumberFormat="1" applyFont="1">
      <alignment vertical="center"/>
    </xf>
    <xf numFmtId="0" fontId="2" fillId="3" borderId="0" xfId="0" applyFont="1" applyFill="1">
      <alignment vertical="center"/>
    </xf>
    <xf numFmtId="0" fontId="2" fillId="3" borderId="1" xfId="0" applyFont="1" applyFill="1" applyBorder="1" applyAlignment="1">
      <alignment horizontal="center" vertical="center"/>
    </xf>
    <xf numFmtId="180" fontId="2" fillId="6" borderId="0" xfId="0" applyNumberFormat="1" applyFont="1" applyFill="1">
      <alignment vertical="center"/>
    </xf>
    <xf numFmtId="180" fontId="2" fillId="5" borderId="0" xfId="0" applyNumberFormat="1" applyFont="1" applyFill="1">
      <alignment vertical="center"/>
    </xf>
    <xf numFmtId="180" fontId="2" fillId="7" borderId="0" xfId="0" applyNumberFormat="1" applyFont="1" applyFill="1">
      <alignment vertical="center"/>
    </xf>
    <xf numFmtId="179" fontId="0" fillId="0" borderId="0" xfId="0" applyNumberFormat="1">
      <alignment vertical="center"/>
    </xf>
    <xf numFmtId="9" fontId="2" fillId="0" borderId="0" xfId="0" applyNumberFormat="1" applyFont="1" applyAlignment="1">
      <alignment horizontal="center" vertical="center"/>
    </xf>
    <xf numFmtId="181" fontId="2" fillId="0" borderId="0" xfId="0" applyNumberFormat="1" applyFont="1">
      <alignment vertical="center"/>
    </xf>
    <xf numFmtId="0" fontId="4" fillId="0" borderId="0" xfId="0" applyFont="1">
      <alignment vertical="center"/>
    </xf>
    <xf numFmtId="14" fontId="4" fillId="0" borderId="0" xfId="0" applyNumberFormat="1" applyFont="1" applyAlignment="1">
      <alignment horizontal="center" vertical="center"/>
    </xf>
    <xf numFmtId="9" fontId="4" fillId="0" borderId="0" xfId="0" applyNumberFormat="1" applyFont="1" applyAlignment="1">
      <alignment horizontal="center" vertical="center"/>
    </xf>
    <xf numFmtId="176" fontId="4" fillId="3" borderId="0" xfId="0" applyNumberFormat="1" applyFont="1" applyFill="1" applyAlignment="1">
      <alignment horizontal="center" vertical="center"/>
    </xf>
    <xf numFmtId="9" fontId="4" fillId="4" borderId="0" xfId="0" applyNumberFormat="1" applyFont="1" applyFill="1" applyAlignment="1">
      <alignment horizontal="center" vertical="center"/>
    </xf>
    <xf numFmtId="0" fontId="4" fillId="5" borderId="0" xfId="0" applyFont="1" applyFill="1" applyAlignment="1">
      <alignment horizontal="center" vertical="center"/>
    </xf>
    <xf numFmtId="182" fontId="2" fillId="3" borderId="0" xfId="1" applyNumberFormat="1" applyFont="1" applyFill="1" applyAlignment="1">
      <alignment horizontal="center" vertical="center"/>
    </xf>
    <xf numFmtId="182" fontId="0" fillId="0" borderId="0" xfId="1" applyNumberFormat="1" applyFont="1" applyAlignment="1">
      <alignment horizontal="center" vertical="center"/>
    </xf>
    <xf numFmtId="182" fontId="4" fillId="0" borderId="0" xfId="1" applyNumberFormat="1" applyFont="1" applyAlignment="1">
      <alignment horizontal="center" vertical="center"/>
    </xf>
    <xf numFmtId="182" fontId="2" fillId="0" borderId="0" xfId="1" applyNumberFormat="1" applyFont="1" applyAlignment="1">
      <alignment horizontal="center" vertical="center"/>
    </xf>
    <xf numFmtId="178" fontId="4" fillId="0" borderId="0" xfId="0" applyNumberFormat="1" applyFont="1" applyAlignment="1">
      <alignment horizontal="center" vertical="center"/>
    </xf>
    <xf numFmtId="0" fontId="0" fillId="5" borderId="0" xfId="0" applyFill="1">
      <alignment vertical="center"/>
    </xf>
    <xf numFmtId="9" fontId="0" fillId="5" borderId="0" xfId="0" applyNumberFormat="1" applyFill="1">
      <alignment vertical="center"/>
    </xf>
    <xf numFmtId="183" fontId="0" fillId="0" borderId="0" xfId="0" applyNumberFormat="1" applyAlignment="1">
      <alignment horizontal="center" vertical="center"/>
    </xf>
    <xf numFmtId="0" fontId="0" fillId="6" borderId="0" xfId="0" applyFill="1">
      <alignment vertical="center"/>
    </xf>
    <xf numFmtId="183" fontId="4" fillId="0" borderId="0" xfId="0" applyNumberFormat="1" applyFont="1" applyAlignment="1">
      <alignment horizontal="center" vertical="center"/>
    </xf>
    <xf numFmtId="178" fontId="4" fillId="0" borderId="0" xfId="1" applyNumberFormat="1" applyFont="1" applyAlignment="1">
      <alignment horizontal="center" vertical="center"/>
    </xf>
    <xf numFmtId="9" fontId="0" fillId="7" borderId="0" xfId="2" applyFont="1" applyFill="1">
      <alignment vertical="center"/>
    </xf>
    <xf numFmtId="41" fontId="0" fillId="0" borderId="0" xfId="1" applyFont="1">
      <alignment vertical="center"/>
    </xf>
    <xf numFmtId="41" fontId="4" fillId="0" borderId="0" xfId="1" applyFont="1">
      <alignment vertical="center"/>
    </xf>
  </cellXfs>
  <cellStyles count="3">
    <cellStyle name="백분율" xfId="2" builtinId="5"/>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21</xdr:col>
      <xdr:colOff>666750</xdr:colOff>
      <xdr:row>1</xdr:row>
      <xdr:rowOff>0</xdr:rowOff>
    </xdr:from>
    <xdr:to>
      <xdr:col>33</xdr:col>
      <xdr:colOff>95250</xdr:colOff>
      <xdr:row>27</xdr:row>
      <xdr:rowOff>66675</xdr:rowOff>
    </xdr:to>
    <xdr:sp macro="" textlink="">
      <xdr:nvSpPr>
        <xdr:cNvPr id="2" name="TextBox 1">
          <a:extLst>
            <a:ext uri="{FF2B5EF4-FFF2-40B4-BE49-F238E27FC236}">
              <a16:creationId xmlns:a16="http://schemas.microsoft.com/office/drawing/2014/main" id="{5104328E-DAD3-422F-A456-6510D8CE21BC}"/>
            </a:ext>
          </a:extLst>
        </xdr:cNvPr>
        <xdr:cNvSpPr txBox="1"/>
      </xdr:nvSpPr>
      <xdr:spPr>
        <a:xfrm>
          <a:off x="35956875" y="180976"/>
          <a:ext cx="7658100" cy="4600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종목</a:t>
          </a:r>
          <a:r>
            <a:rPr lang="en-US" altLang="ko-KR" sz="1100"/>
            <a:t>: </a:t>
          </a:r>
          <a:r>
            <a:rPr lang="ko-KR" altLang="en-US" sz="1100"/>
            <a:t>시총 </a:t>
          </a:r>
          <a:r>
            <a:rPr lang="en-US" altLang="ko-KR" sz="1100"/>
            <a:t>500M$ </a:t>
          </a:r>
          <a:r>
            <a:rPr lang="ko-KR" altLang="en-US" sz="1100"/>
            <a:t>이상</a:t>
          </a:r>
          <a:r>
            <a:rPr lang="en-US" altLang="ko-KR" sz="1100"/>
            <a:t>, </a:t>
          </a:r>
          <a:r>
            <a:rPr lang="ko-KR" altLang="en-US" sz="1100"/>
            <a:t>빨간줄 </a:t>
          </a:r>
          <a:r>
            <a:rPr lang="en-US" altLang="ko-KR" sz="1100"/>
            <a:t>or </a:t>
          </a:r>
          <a:r>
            <a:rPr lang="ko-KR" altLang="en-US" sz="1100"/>
            <a:t>흑전인 종목 </a:t>
          </a:r>
          <a:r>
            <a:rPr lang="en-US" altLang="ko-KR" sz="1100"/>
            <a:t>(</a:t>
          </a:r>
          <a:r>
            <a:rPr lang="ko-KR" altLang="en-US" sz="1100"/>
            <a:t>실발 다음날 정리해 공유 후 취합</a:t>
          </a:r>
          <a:r>
            <a:rPr lang="en-US" altLang="ko-KR" sz="1100"/>
            <a:t>)</a:t>
          </a:r>
          <a:br>
            <a:rPr lang="en-US" altLang="ko-KR" sz="1100"/>
          </a:br>
          <a:br>
            <a:rPr lang="en-US" altLang="ko-KR" sz="1100"/>
          </a:br>
          <a:br>
            <a:rPr lang="en-US" altLang="ko-KR" sz="1100"/>
          </a:br>
          <a:br>
            <a:rPr lang="en-US" altLang="ko-KR" sz="1100"/>
          </a:br>
          <a:r>
            <a:rPr lang="ko-KR" altLang="en-US" sz="1100"/>
            <a:t>실발후 주가</a:t>
          </a:r>
          <a:r>
            <a:rPr lang="en-US" altLang="ko-KR" sz="1100"/>
            <a:t>: </a:t>
          </a:r>
          <a:r>
            <a:rPr lang="ko-KR" altLang="en-US" sz="1100"/>
            <a:t>실발한 날짜에서 시가 대비 종가가 몇 </a:t>
          </a:r>
          <a:r>
            <a:rPr lang="en-US" altLang="ko-KR" sz="1100"/>
            <a:t>% </a:t>
          </a:r>
          <a:r>
            <a:rPr lang="ko-KR" altLang="en-US" sz="1100"/>
            <a:t>올랐는지</a:t>
          </a:r>
          <a:r>
            <a:rPr lang="en-US" altLang="ko-KR" sz="1100"/>
            <a:t>/</a:t>
          </a:r>
          <a:r>
            <a:rPr lang="ko-KR" altLang="en-US" sz="1100"/>
            <a:t>내렸는지</a:t>
          </a:r>
          <a:endParaRPr lang="en-US" altLang="ko-KR" sz="1100"/>
        </a:p>
        <a:p>
          <a:endParaRPr lang="en-US" altLang="ko-KR" sz="1100"/>
        </a:p>
        <a:p>
          <a:r>
            <a:rPr lang="ko-KR" altLang="en-US" sz="1100"/>
            <a:t>빨간줄</a:t>
          </a:r>
          <a:r>
            <a:rPr lang="en-US" altLang="ko-KR" sz="1100"/>
            <a:t>: </a:t>
          </a:r>
          <a:r>
            <a:rPr lang="ko-KR" altLang="en-US" sz="1100"/>
            <a:t>첫번쨰줄이면 </a:t>
          </a:r>
          <a:r>
            <a:rPr lang="en-US" altLang="ko-KR" sz="1100"/>
            <a:t>1, </a:t>
          </a:r>
          <a:r>
            <a:rPr lang="ko-KR" altLang="en-US" sz="1100"/>
            <a:t>두번째 줄이면</a:t>
          </a:r>
          <a:r>
            <a:rPr lang="en-US" altLang="ko-KR" sz="1100" baseline="0"/>
            <a:t> 2, </a:t>
          </a:r>
          <a:r>
            <a:rPr lang="ko-KR" altLang="en-US" sz="1100" baseline="0"/>
            <a:t>그 이상이면 </a:t>
          </a:r>
          <a:r>
            <a:rPr lang="en-US" altLang="ko-KR" sz="1100" baseline="0"/>
            <a:t>3</a:t>
          </a:r>
        </a:p>
        <a:p>
          <a:endParaRPr lang="en-US" altLang="ko-KR" sz="1100" baseline="0"/>
        </a:p>
        <a:p>
          <a:r>
            <a:rPr lang="ko-KR" altLang="en-US" sz="1100" baseline="0"/>
            <a:t>흑전</a:t>
          </a:r>
          <a:r>
            <a:rPr lang="en-US" altLang="ko-KR" sz="1100" baseline="0"/>
            <a:t>: </a:t>
          </a:r>
          <a:r>
            <a:rPr lang="ko-KR" altLang="en-US" sz="1100" baseline="0"/>
            <a:t>흑전이면</a:t>
          </a:r>
          <a:r>
            <a:rPr lang="en-US" altLang="ko-KR" sz="1100" baseline="0"/>
            <a:t> 1, </a:t>
          </a:r>
          <a:r>
            <a:rPr lang="ko-KR" altLang="en-US" sz="1100" baseline="0"/>
            <a:t>흑전아니고 줄이면 그냥 공란으로 기입</a:t>
          </a:r>
          <a:endParaRPr lang="en-US" altLang="ko-KR" sz="1100" baseline="0"/>
        </a:p>
        <a:p>
          <a:endParaRPr lang="en-US" altLang="ko-KR" sz="1100" baseline="0"/>
        </a:p>
        <a:p>
          <a:r>
            <a:rPr lang="ko-KR" altLang="en-US" sz="1100" baseline="0"/>
            <a:t>업종</a:t>
          </a:r>
          <a:r>
            <a:rPr lang="en-US" altLang="ko-KR" sz="1100" baseline="0"/>
            <a:t>: </a:t>
          </a:r>
          <a:r>
            <a:rPr lang="ko-KR" altLang="en-US" sz="1100" baseline="0"/>
            <a:t>주말에 공부하면서 기입</a:t>
          </a:r>
          <a:r>
            <a:rPr lang="en-US" altLang="ko-KR" sz="1100" baseline="0"/>
            <a:t>(</a:t>
          </a:r>
          <a:r>
            <a:rPr lang="ko-KR" altLang="en-US" sz="1100" baseline="0"/>
            <a:t>소비재</a:t>
          </a:r>
          <a:r>
            <a:rPr lang="en-US" altLang="ko-KR" sz="1100" baseline="0"/>
            <a:t>/</a:t>
          </a:r>
          <a:r>
            <a:rPr lang="ko-KR" altLang="en-US" sz="1100" baseline="0"/>
            <a:t>테크</a:t>
          </a:r>
          <a:r>
            <a:rPr lang="en-US" altLang="ko-KR" sz="1100" baseline="0"/>
            <a:t>/</a:t>
          </a:r>
          <a:r>
            <a:rPr lang="ko-KR" altLang="en-US" sz="1100" baseline="0"/>
            <a:t>이차전지</a:t>
          </a:r>
          <a:r>
            <a:rPr lang="en-US" altLang="ko-KR" sz="1100" baseline="0"/>
            <a:t>/</a:t>
          </a:r>
          <a:r>
            <a:rPr lang="ko-KR" altLang="en-US" sz="1100" baseline="0"/>
            <a:t>플랫폼 등등 세부적인 분류 정해볼 것</a:t>
          </a:r>
          <a:r>
            <a:rPr lang="en-US" altLang="ko-KR" sz="1100" baseline="0"/>
            <a:t>)</a:t>
          </a:r>
          <a:br>
            <a:rPr lang="en-US" altLang="ko-KR" sz="1100" baseline="0"/>
          </a:br>
          <a:br>
            <a:rPr lang="en-US" altLang="ko-KR" sz="1100" baseline="0"/>
          </a:br>
          <a:r>
            <a:rPr lang="ko-KR" altLang="en-US" sz="1100" baseline="0"/>
            <a:t>사진</a:t>
          </a:r>
          <a:r>
            <a:rPr lang="en-US" altLang="ko-KR" sz="1100" baseline="0"/>
            <a:t>: </a:t>
          </a:r>
          <a:r>
            <a:rPr lang="ko-KR" altLang="en-US" sz="1100" baseline="0"/>
            <a:t>빨간줄 사진</a:t>
          </a:r>
          <a:r>
            <a:rPr lang="en-US" altLang="ko-KR" sz="1100" baseline="0"/>
            <a:t>, </a:t>
          </a:r>
          <a:r>
            <a:rPr lang="ko-KR" altLang="en-US" sz="1100" baseline="0"/>
            <a:t>주가 사진</a:t>
          </a:r>
          <a:r>
            <a:rPr lang="en-US" altLang="ko-KR" sz="1100" baseline="0"/>
            <a:t>(</a:t>
          </a:r>
          <a:r>
            <a:rPr lang="ko-KR" altLang="en-US" sz="1100" baseline="0"/>
            <a:t>주봉기준</a:t>
          </a:r>
          <a:r>
            <a:rPr lang="en-US" altLang="ko-KR" sz="1100" baseline="0"/>
            <a:t>) </a:t>
          </a:r>
          <a:r>
            <a:rPr lang="ko-KR" altLang="en-US" sz="1100" baseline="0"/>
            <a:t>사진 탭에 순서대로 추가</a:t>
          </a:r>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276225</xdr:colOff>
      <xdr:row>458</xdr:row>
      <xdr:rowOff>32934</xdr:rowOff>
    </xdr:from>
    <xdr:to>
      <xdr:col>31</xdr:col>
      <xdr:colOff>472678</xdr:colOff>
      <xdr:row>470</xdr:row>
      <xdr:rowOff>152731</xdr:rowOff>
    </xdr:to>
    <xdr:pic>
      <xdr:nvPicPr>
        <xdr:cNvPr id="2" name="그림 1">
          <a:extLst>
            <a:ext uri="{FF2B5EF4-FFF2-40B4-BE49-F238E27FC236}">
              <a16:creationId xmlns:a16="http://schemas.microsoft.com/office/drawing/2014/main" id="{745738FC-FFF7-1E56-5A0F-71EFC519C968}"/>
            </a:ext>
          </a:extLst>
        </xdr:cNvPr>
        <xdr:cNvPicPr>
          <a:picLocks noChangeAspect="1"/>
        </xdr:cNvPicPr>
      </xdr:nvPicPr>
      <xdr:blipFill>
        <a:blip xmlns:r="http://schemas.openxmlformats.org/officeDocument/2006/relationships" r:embed="rId1"/>
        <a:stretch>
          <a:fillRect/>
        </a:stretch>
      </xdr:blipFill>
      <xdr:spPr>
        <a:xfrm>
          <a:off x="14678025" y="75166134"/>
          <a:ext cx="7525941" cy="2091472"/>
        </a:xfrm>
        <a:prstGeom prst="rect">
          <a:avLst/>
        </a:prstGeom>
      </xdr:spPr>
    </xdr:pic>
    <xdr:clientData/>
  </xdr:twoCellAnchor>
  <xdr:twoCellAnchor editAs="oneCell">
    <xdr:from>
      <xdr:col>23</xdr:col>
      <xdr:colOff>506412</xdr:colOff>
      <xdr:row>568</xdr:row>
      <xdr:rowOff>116784</xdr:rowOff>
    </xdr:from>
    <xdr:to>
      <xdr:col>30</xdr:col>
      <xdr:colOff>364473</xdr:colOff>
      <xdr:row>580</xdr:row>
      <xdr:rowOff>8313</xdr:rowOff>
    </xdr:to>
    <xdr:pic>
      <xdr:nvPicPr>
        <xdr:cNvPr id="3" name="그림 2">
          <a:extLst>
            <a:ext uri="{FF2B5EF4-FFF2-40B4-BE49-F238E27FC236}">
              <a16:creationId xmlns:a16="http://schemas.microsoft.com/office/drawing/2014/main" id="{B266C41E-2E79-54A1-733E-DA68431EF29C}"/>
            </a:ext>
          </a:extLst>
        </xdr:cNvPr>
        <xdr:cNvPicPr>
          <a:picLocks noChangeAspect="1"/>
        </xdr:cNvPicPr>
      </xdr:nvPicPr>
      <xdr:blipFill>
        <a:blip xmlns:r="http://schemas.openxmlformats.org/officeDocument/2006/relationships" r:embed="rId2"/>
        <a:stretch>
          <a:fillRect/>
        </a:stretch>
      </xdr:blipFill>
      <xdr:spPr>
        <a:xfrm>
          <a:off x="16206787" y="92287034"/>
          <a:ext cx="4636436" cy="186002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YS K" id="{C6EBFF1F-C9FD-412A-A4C7-0F785343A62D}" userId="f0858c7a0235c7be" providerId="Windows Liv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B555" dT="2025-11-11T12:19:27.00" personId="{C6EBFF1F-C9FD-412A-A4C7-0F785343A62D}" id="{4174F16E-F0CC-4C48-93A7-72B1EB16CA89}">
    <text>여기서 고객 1, 2가 바뀜.</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2273-F4E7-4FEF-BB57-DFC412610714}">
  <sheetPr filterMode="1"/>
  <dimension ref="A1:U120"/>
  <sheetViews>
    <sheetView zoomScale="110" zoomScaleNormal="110" workbookViewId="0">
      <pane ySplit="3" topLeftCell="A45" activePane="bottomLeft" state="frozen"/>
      <selection pane="bottomLeft" activeCell="A69" sqref="A69"/>
    </sheetView>
  </sheetViews>
  <sheetFormatPr defaultRowHeight="12.75" outlineLevelCol="1" x14ac:dyDescent="0.2"/>
  <cols>
    <col min="1" max="1" width="34.875" style="7" customWidth="1"/>
    <col min="2" max="2" width="21.5" style="8" customWidth="1"/>
    <col min="3" max="3" width="9" style="8"/>
    <col min="4" max="4" width="9" style="39" customWidth="1"/>
    <col min="5" max="6" width="9" style="8" customWidth="1"/>
    <col min="7" max="7" width="11.375" style="8" customWidth="1"/>
    <col min="8" max="9" width="11.375" style="11" customWidth="1"/>
    <col min="10" max="10" width="8.75" style="12" customWidth="1"/>
    <col min="11" max="11" width="13.25" style="11" hidden="1" customWidth="1" outlineLevel="1"/>
    <col min="12" max="12" width="13.75" style="12" hidden="1" customWidth="1" outlineLevel="1"/>
    <col min="13" max="13" width="13.75" style="13" hidden="1" customWidth="1" outlineLevel="1"/>
    <col min="14" max="14" width="9" style="8" collapsed="1"/>
    <col min="15" max="15" width="9" style="8"/>
    <col min="16" max="17" width="9" style="19"/>
    <col min="18" max="18" width="18.375" style="8" customWidth="1"/>
    <col min="19" max="19" width="255.5" customWidth="1"/>
  </cols>
  <sheetData>
    <row r="1" spans="1:21" s="6" customFormat="1" x14ac:dyDescent="0.2">
      <c r="A1" s="1" t="s">
        <v>0</v>
      </c>
      <c r="B1" s="1" t="s">
        <v>1</v>
      </c>
      <c r="C1" s="1" t="s">
        <v>2</v>
      </c>
      <c r="D1" s="38" t="s">
        <v>3</v>
      </c>
      <c r="E1" s="2" t="s">
        <v>4</v>
      </c>
      <c r="F1" s="1" t="s">
        <v>5</v>
      </c>
      <c r="G1" s="1" t="s">
        <v>6</v>
      </c>
      <c r="H1" s="3" t="s">
        <v>7</v>
      </c>
      <c r="I1" s="3" t="s">
        <v>8</v>
      </c>
      <c r="J1" s="4" t="s">
        <v>9</v>
      </c>
      <c r="K1" s="3" t="s">
        <v>10</v>
      </c>
      <c r="L1" s="4" t="s">
        <v>11</v>
      </c>
      <c r="M1" s="4" t="s">
        <v>12</v>
      </c>
      <c r="N1" s="1" t="s">
        <v>13</v>
      </c>
      <c r="O1" s="1" t="s">
        <v>14</v>
      </c>
      <c r="P1" s="4" t="s">
        <v>15</v>
      </c>
      <c r="Q1" s="4" t="s">
        <v>16</v>
      </c>
      <c r="R1" s="1" t="s">
        <v>17</v>
      </c>
      <c r="S1" s="5" t="s">
        <v>18</v>
      </c>
      <c r="T1" s="5"/>
      <c r="U1" s="5"/>
    </row>
    <row r="2" spans="1:21" hidden="1" x14ac:dyDescent="0.2">
      <c r="A2" s="7" t="s">
        <v>20</v>
      </c>
      <c r="B2" s="8" t="s">
        <v>21</v>
      </c>
      <c r="C2" s="8" t="s">
        <v>22</v>
      </c>
      <c r="D2" s="9">
        <v>29.28</v>
      </c>
      <c r="E2" s="8" t="s">
        <v>23</v>
      </c>
      <c r="G2" s="10">
        <v>45859</v>
      </c>
      <c r="H2" s="10"/>
      <c r="I2" s="10"/>
      <c r="J2" s="10"/>
      <c r="K2" s="10"/>
      <c r="L2" s="10"/>
      <c r="M2" s="10"/>
      <c r="N2" s="8">
        <v>1</v>
      </c>
      <c r="P2" s="8"/>
      <c r="Q2" s="8"/>
      <c r="R2" s="8" t="s">
        <v>24</v>
      </c>
      <c r="S2" t="s">
        <v>25</v>
      </c>
    </row>
    <row r="3" spans="1:21" hidden="1" x14ac:dyDescent="0.2">
      <c r="A3" s="7" t="s">
        <v>26</v>
      </c>
      <c r="B3" s="8" t="s">
        <v>27</v>
      </c>
      <c r="C3" s="8" t="s">
        <v>28</v>
      </c>
      <c r="D3" s="9">
        <v>168.57</v>
      </c>
      <c r="E3" s="8" t="s">
        <v>23</v>
      </c>
      <c r="G3" s="10">
        <v>45859</v>
      </c>
      <c r="H3" s="10"/>
      <c r="I3" s="10"/>
      <c r="J3" s="10"/>
      <c r="K3" s="10"/>
      <c r="L3" s="10"/>
      <c r="M3" s="10"/>
      <c r="N3" s="8">
        <v>2</v>
      </c>
      <c r="P3" s="8"/>
      <c r="Q3" s="8"/>
      <c r="R3" s="8" t="s">
        <v>29</v>
      </c>
    </row>
    <row r="4" spans="1:21" x14ac:dyDescent="0.2">
      <c r="A4" s="7" t="s">
        <v>80</v>
      </c>
      <c r="B4" s="8">
        <v>600415</v>
      </c>
      <c r="C4" s="8" t="s">
        <v>79</v>
      </c>
      <c r="D4" s="39">
        <v>109.12</v>
      </c>
      <c r="E4" s="8" t="s">
        <v>61</v>
      </c>
      <c r="F4" s="8" t="s">
        <v>19</v>
      </c>
      <c r="G4" s="10">
        <v>45945</v>
      </c>
      <c r="H4" s="11">
        <v>19.04</v>
      </c>
      <c r="I4" s="11">
        <v>19.61</v>
      </c>
      <c r="J4" s="12">
        <f t="shared" ref="J4:J12" si="0">I4/H4-1</f>
        <v>2.9936974789916082E-2</v>
      </c>
      <c r="L4" s="12">
        <f t="shared" ref="L4:L9" si="1">K4/H4-1</f>
        <v>-1</v>
      </c>
      <c r="M4" s="13">
        <f t="shared" ref="M4:M9" si="2">K4/I4-1</f>
        <v>-1</v>
      </c>
      <c r="N4" s="8">
        <v>1</v>
      </c>
      <c r="P4" s="19">
        <v>2.6520418147175429E-2</v>
      </c>
      <c r="Q4" s="19">
        <v>0.32227007926156315</v>
      </c>
      <c r="R4" s="8" t="s">
        <v>78</v>
      </c>
      <c r="S4" t="s">
        <v>77</v>
      </c>
    </row>
    <row r="5" spans="1:21" x14ac:dyDescent="0.2">
      <c r="A5" s="7" t="s">
        <v>55</v>
      </c>
      <c r="B5" s="7" t="s">
        <v>54</v>
      </c>
      <c r="C5" s="8" t="s">
        <v>56</v>
      </c>
      <c r="D5" s="39">
        <v>1.26</v>
      </c>
      <c r="E5" s="8" t="s">
        <v>58</v>
      </c>
      <c r="F5" s="8" t="s">
        <v>19</v>
      </c>
      <c r="G5" s="10">
        <v>45952</v>
      </c>
      <c r="H5" s="11">
        <v>77.900000000000006</v>
      </c>
      <c r="I5" s="11">
        <v>85</v>
      </c>
      <c r="J5" s="12">
        <f t="shared" si="0"/>
        <v>9.1142490372271956E-2</v>
      </c>
      <c r="L5" s="12">
        <f t="shared" si="1"/>
        <v>-1</v>
      </c>
      <c r="M5" s="13">
        <f t="shared" si="2"/>
        <v>-1</v>
      </c>
      <c r="N5" s="8">
        <v>3</v>
      </c>
      <c r="P5" s="19">
        <v>0.23340248962655608</v>
      </c>
      <c r="Q5" s="19">
        <v>0.25820016820857861</v>
      </c>
      <c r="R5" s="8" t="s">
        <v>57</v>
      </c>
      <c r="S5" t="s">
        <v>84</v>
      </c>
    </row>
    <row r="6" spans="1:21" x14ac:dyDescent="0.2">
      <c r="A6" s="7" t="s">
        <v>76</v>
      </c>
      <c r="B6" s="8" t="s">
        <v>75</v>
      </c>
      <c r="C6" s="8" t="s">
        <v>62</v>
      </c>
      <c r="D6" s="39">
        <v>156.80000000000001</v>
      </c>
      <c r="E6" s="8" t="s">
        <v>61</v>
      </c>
      <c r="F6" s="8" t="s">
        <v>19</v>
      </c>
      <c r="G6" s="10">
        <v>45952</v>
      </c>
      <c r="H6" s="11">
        <v>585.33000000000004</v>
      </c>
      <c r="I6" s="11">
        <v>576</v>
      </c>
      <c r="J6" s="12">
        <f t="shared" si="0"/>
        <v>-1.5939726308236479E-2</v>
      </c>
      <c r="L6" s="12">
        <f t="shared" si="1"/>
        <v>-1</v>
      </c>
      <c r="M6" s="13">
        <f t="shared" si="2"/>
        <v>-1</v>
      </c>
      <c r="N6" s="8">
        <v>1</v>
      </c>
      <c r="P6" s="19">
        <v>-0.18532338308457708</v>
      </c>
      <c r="Q6" s="19">
        <v>1.1068702290076335</v>
      </c>
      <c r="R6" s="8" t="s">
        <v>74</v>
      </c>
      <c r="S6" t="s">
        <v>73</v>
      </c>
    </row>
    <row r="7" spans="1:21" s="17" customFormat="1" x14ac:dyDescent="0.2">
      <c r="A7" s="7" t="s">
        <v>72</v>
      </c>
      <c r="B7" s="7" t="s">
        <v>71</v>
      </c>
      <c r="C7" s="8" t="s">
        <v>62</v>
      </c>
      <c r="D7" s="39">
        <v>157.41</v>
      </c>
      <c r="E7" s="8" t="s">
        <v>61</v>
      </c>
      <c r="F7" s="8" t="s">
        <v>19</v>
      </c>
      <c r="G7" s="10">
        <v>45952</v>
      </c>
      <c r="H7" s="11">
        <v>124.44</v>
      </c>
      <c r="I7" s="11">
        <v>128.93</v>
      </c>
      <c r="J7" s="12">
        <f t="shared" si="0"/>
        <v>3.6081645773063498E-2</v>
      </c>
      <c r="K7" s="11"/>
      <c r="L7" s="12">
        <f t="shared" si="1"/>
        <v>-1</v>
      </c>
      <c r="M7" s="13">
        <f t="shared" si="2"/>
        <v>-1</v>
      </c>
      <c r="N7" s="8">
        <v>3</v>
      </c>
      <c r="O7" s="8"/>
      <c r="P7" s="19">
        <v>0.20590253946465342</v>
      </c>
      <c r="Q7" s="19">
        <v>0.20935306393473718</v>
      </c>
      <c r="R7" s="8" t="s">
        <v>70</v>
      </c>
      <c r="S7" t="s">
        <v>69</v>
      </c>
    </row>
    <row r="8" spans="1:21" x14ac:dyDescent="0.2">
      <c r="A8" s="7" t="s">
        <v>68</v>
      </c>
      <c r="B8" s="7" t="s">
        <v>67</v>
      </c>
      <c r="C8" s="8" t="s">
        <v>62</v>
      </c>
      <c r="D8" s="39">
        <v>153.88</v>
      </c>
      <c r="E8" s="8" t="s">
        <v>61</v>
      </c>
      <c r="F8" s="8" t="s">
        <v>19</v>
      </c>
      <c r="G8" s="10">
        <v>45952</v>
      </c>
      <c r="H8" s="11">
        <v>99.9</v>
      </c>
      <c r="I8" s="11">
        <v>103.85</v>
      </c>
      <c r="J8" s="12">
        <f t="shared" si="0"/>
        <v>3.9539539539539481E-2</v>
      </c>
      <c r="L8" s="12">
        <f t="shared" si="1"/>
        <v>-1</v>
      </c>
      <c r="M8" s="13">
        <f t="shared" si="2"/>
        <v>-1</v>
      </c>
      <c r="N8" s="8">
        <v>2</v>
      </c>
      <c r="P8" s="19">
        <v>0.10494910494910492</v>
      </c>
      <c r="Q8" s="19">
        <v>0.10006353240152488</v>
      </c>
      <c r="R8" s="8" t="s">
        <v>66</v>
      </c>
      <c r="S8" t="s">
        <v>65</v>
      </c>
    </row>
    <row r="9" spans="1:21" x14ac:dyDescent="0.2">
      <c r="A9" s="7" t="s">
        <v>64</v>
      </c>
      <c r="B9" s="7" t="s">
        <v>63</v>
      </c>
      <c r="C9" s="8" t="s">
        <v>62</v>
      </c>
      <c r="D9" s="39">
        <v>4.09</v>
      </c>
      <c r="E9" s="8" t="s">
        <v>61</v>
      </c>
      <c r="F9" s="8" t="s">
        <v>19</v>
      </c>
      <c r="G9" s="10">
        <v>45952</v>
      </c>
      <c r="H9" s="11">
        <v>41.17</v>
      </c>
      <c r="I9" s="11">
        <v>41.49</v>
      </c>
      <c r="J9" s="12">
        <f t="shared" si="0"/>
        <v>7.7726499878552069E-3</v>
      </c>
      <c r="L9" s="12">
        <f t="shared" si="1"/>
        <v>-1</v>
      </c>
      <c r="M9" s="13">
        <f t="shared" si="2"/>
        <v>-1</v>
      </c>
      <c r="N9" s="8">
        <v>3</v>
      </c>
      <c r="P9" s="19">
        <v>0.26956815114709842</v>
      </c>
      <c r="Q9" s="19">
        <v>0.17778368323146432</v>
      </c>
      <c r="R9" s="8" t="s">
        <v>60</v>
      </c>
      <c r="S9" t="s">
        <v>59</v>
      </c>
    </row>
    <row r="10" spans="1:21" s="17" customFormat="1" x14ac:dyDescent="0.2">
      <c r="A10" s="7" t="s">
        <v>95</v>
      </c>
      <c r="B10" s="7" t="s">
        <v>94</v>
      </c>
      <c r="C10" s="7" t="s">
        <v>56</v>
      </c>
      <c r="D10" s="40">
        <v>33.090000000000003</v>
      </c>
      <c r="E10" s="7" t="s">
        <v>61</v>
      </c>
      <c r="F10" s="8" t="s">
        <v>19</v>
      </c>
      <c r="G10" s="33">
        <v>45958</v>
      </c>
      <c r="H10" s="35">
        <v>144.16</v>
      </c>
      <c r="I10" s="35"/>
      <c r="J10" s="12">
        <f t="shared" si="0"/>
        <v>-1</v>
      </c>
      <c r="K10" s="16"/>
      <c r="L10" s="12">
        <f t="shared" ref="L10:L18" si="3">K10/H10-1</f>
        <v>-1</v>
      </c>
      <c r="M10" s="13" t="e">
        <f t="shared" ref="M10:M18" si="4">K10/I10-1</f>
        <v>#DIV/0!</v>
      </c>
      <c r="N10" s="7">
        <v>1</v>
      </c>
      <c r="O10" s="7"/>
      <c r="P10" s="34">
        <v>1.1233660130719025E-2</v>
      </c>
      <c r="Q10" s="34">
        <v>0.2513128660876589</v>
      </c>
      <c r="R10" s="7" t="s">
        <v>93</v>
      </c>
      <c r="S10" s="32" t="s">
        <v>92</v>
      </c>
    </row>
    <row r="11" spans="1:21" x14ac:dyDescent="0.2">
      <c r="A11" s="7" t="s">
        <v>91</v>
      </c>
      <c r="B11" s="7" t="s">
        <v>90</v>
      </c>
      <c r="C11" s="7" t="s">
        <v>56</v>
      </c>
      <c r="D11" s="40">
        <v>34.72</v>
      </c>
      <c r="E11" s="7" t="s">
        <v>61</v>
      </c>
      <c r="F11" s="8" t="s">
        <v>19</v>
      </c>
      <c r="G11" s="33">
        <v>45958</v>
      </c>
      <c r="H11" s="11">
        <v>301.82</v>
      </c>
      <c r="J11" s="12">
        <f t="shared" si="0"/>
        <v>-1</v>
      </c>
      <c r="L11" s="12">
        <f t="shared" si="3"/>
        <v>-1</v>
      </c>
      <c r="M11" s="13" t="e">
        <f t="shared" si="4"/>
        <v>#DIV/0!</v>
      </c>
      <c r="N11" s="8">
        <v>2</v>
      </c>
      <c r="P11" s="19">
        <v>0.23368940016433859</v>
      </c>
      <c r="Q11" s="19">
        <v>0.24990009324630336</v>
      </c>
      <c r="R11" s="8" t="s">
        <v>70</v>
      </c>
      <c r="S11" s="32" t="s">
        <v>89</v>
      </c>
    </row>
    <row r="12" spans="1:21" s="17" customFormat="1" x14ac:dyDescent="0.2">
      <c r="A12" s="7" t="s">
        <v>88</v>
      </c>
      <c r="B12" s="7" t="s">
        <v>87</v>
      </c>
      <c r="C12" s="7" t="s">
        <v>56</v>
      </c>
      <c r="D12" s="40">
        <v>3.23</v>
      </c>
      <c r="E12" s="7" t="s">
        <v>61</v>
      </c>
      <c r="F12" s="8" t="s">
        <v>19</v>
      </c>
      <c r="G12" s="33">
        <v>45958</v>
      </c>
      <c r="H12" s="11">
        <v>115.14</v>
      </c>
      <c r="I12" s="11"/>
      <c r="J12" s="12">
        <f t="shared" si="0"/>
        <v>-1</v>
      </c>
      <c r="K12" s="11"/>
      <c r="L12" s="12">
        <f t="shared" si="3"/>
        <v>-1</v>
      </c>
      <c r="M12" s="13" t="e">
        <f t="shared" si="4"/>
        <v>#DIV/0!</v>
      </c>
      <c r="N12" s="8">
        <v>1</v>
      </c>
      <c r="O12" s="8"/>
      <c r="P12" s="19">
        <v>-5.3333333333333455E-2</v>
      </c>
      <c r="Q12" s="19">
        <v>0.22065727699530502</v>
      </c>
      <c r="R12" s="8" t="s">
        <v>86</v>
      </c>
      <c r="S12" s="32" t="s">
        <v>85</v>
      </c>
    </row>
    <row r="13" spans="1:21" s="17" customFormat="1" x14ac:dyDescent="0.2">
      <c r="A13" s="7" t="s">
        <v>121</v>
      </c>
      <c r="B13" s="7" t="s">
        <v>120</v>
      </c>
      <c r="C13" s="8" t="s">
        <v>56</v>
      </c>
      <c r="D13" s="39">
        <v>189.2</v>
      </c>
      <c r="E13" s="8" t="s">
        <v>101</v>
      </c>
      <c r="F13" s="8" t="s">
        <v>19</v>
      </c>
      <c r="G13" s="10">
        <v>45959</v>
      </c>
      <c r="H13" s="11">
        <v>937.9</v>
      </c>
      <c r="I13" s="11">
        <v>911.7</v>
      </c>
      <c r="J13" s="12">
        <f t="shared" ref="J13:J18" si="5">I13/H13-1</f>
        <v>-2.7934747840921093E-2</v>
      </c>
      <c r="K13" s="11"/>
      <c r="L13" s="12">
        <f t="shared" si="3"/>
        <v>-1</v>
      </c>
      <c r="M13" s="13">
        <f t="shared" si="4"/>
        <v>-1</v>
      </c>
      <c r="N13" s="8">
        <v>1</v>
      </c>
      <c r="O13" s="8"/>
      <c r="P13" s="8"/>
      <c r="Q13" s="8">
        <v>9.6</v>
      </c>
      <c r="R13" s="8" t="s">
        <v>119</v>
      </c>
      <c r="S13" t="s">
        <v>118</v>
      </c>
    </row>
    <row r="14" spans="1:21" x14ac:dyDescent="0.2">
      <c r="A14" s="7" t="s">
        <v>117</v>
      </c>
      <c r="B14" s="7" t="s">
        <v>116</v>
      </c>
      <c r="C14" s="8" t="s">
        <v>56</v>
      </c>
      <c r="D14" s="39">
        <v>78.760000000000005</v>
      </c>
      <c r="E14" s="8" t="s">
        <v>101</v>
      </c>
      <c r="F14" s="8" t="s">
        <v>19</v>
      </c>
      <c r="G14" s="10">
        <v>45959</v>
      </c>
      <c r="H14" s="11">
        <v>156.69999999999999</v>
      </c>
      <c r="I14" s="11">
        <v>157.5</v>
      </c>
      <c r="J14" s="12">
        <f t="shared" si="5"/>
        <v>5.1052967453733E-3</v>
      </c>
      <c r="L14" s="12">
        <f t="shared" si="3"/>
        <v>-1</v>
      </c>
      <c r="M14" s="13">
        <f t="shared" si="4"/>
        <v>-1</v>
      </c>
      <c r="N14" s="8">
        <v>2</v>
      </c>
      <c r="P14" s="7">
        <v>23.4</v>
      </c>
      <c r="Q14" s="7">
        <v>23.1</v>
      </c>
      <c r="R14" s="7" t="s">
        <v>109</v>
      </c>
      <c r="S14" t="s">
        <v>115</v>
      </c>
    </row>
    <row r="15" spans="1:21" s="32" customFormat="1" x14ac:dyDescent="0.2">
      <c r="A15" s="7" t="s">
        <v>114</v>
      </c>
      <c r="B15" s="7" t="s">
        <v>113</v>
      </c>
      <c r="C15" s="7" t="s">
        <v>56</v>
      </c>
      <c r="D15" s="40">
        <v>48.8</v>
      </c>
      <c r="E15" s="7" t="s">
        <v>101</v>
      </c>
      <c r="F15" s="7" t="s">
        <v>19</v>
      </c>
      <c r="G15" s="33">
        <v>45959</v>
      </c>
      <c r="H15" s="35">
        <v>353.9</v>
      </c>
      <c r="I15" s="35">
        <v>316.10000000000002</v>
      </c>
      <c r="J15" s="36">
        <f t="shared" si="5"/>
        <v>-0.10680983328623894</v>
      </c>
      <c r="K15" s="16"/>
      <c r="L15" s="12">
        <f t="shared" si="3"/>
        <v>-1</v>
      </c>
      <c r="M15" s="13">
        <f t="shared" si="4"/>
        <v>-1</v>
      </c>
      <c r="N15" s="7">
        <v>6</v>
      </c>
      <c r="O15" s="7"/>
      <c r="P15" s="7">
        <v>20.2</v>
      </c>
      <c r="Q15" s="7">
        <v>14.3</v>
      </c>
      <c r="R15" s="7" t="s">
        <v>105</v>
      </c>
      <c r="S15" s="32" t="s">
        <v>112</v>
      </c>
    </row>
    <row r="16" spans="1:21" x14ac:dyDescent="0.2">
      <c r="A16" s="7" t="s">
        <v>111</v>
      </c>
      <c r="B16" s="8" t="s">
        <v>110</v>
      </c>
      <c r="C16" s="8" t="s">
        <v>56</v>
      </c>
      <c r="D16" s="39">
        <v>22.4</v>
      </c>
      <c r="E16" s="8" t="s">
        <v>101</v>
      </c>
      <c r="F16" s="8" t="s">
        <v>19</v>
      </c>
      <c r="G16" s="10">
        <v>45959</v>
      </c>
      <c r="H16" s="11">
        <v>43</v>
      </c>
      <c r="I16" s="11">
        <v>37.799999999999997</v>
      </c>
      <c r="J16" s="12">
        <f t="shared" si="5"/>
        <v>-0.12093023255813962</v>
      </c>
      <c r="L16" s="12">
        <f t="shared" si="3"/>
        <v>-1</v>
      </c>
      <c r="M16" s="13">
        <f t="shared" si="4"/>
        <v>-1</v>
      </c>
      <c r="N16" s="8">
        <v>2</v>
      </c>
      <c r="P16" s="7">
        <v>20.2</v>
      </c>
      <c r="Q16" s="7">
        <v>17.100000000000001</v>
      </c>
      <c r="R16" s="7" t="s">
        <v>109</v>
      </c>
      <c r="S16" s="32" t="s">
        <v>108</v>
      </c>
    </row>
    <row r="17" spans="1:19" x14ac:dyDescent="0.2">
      <c r="A17" s="21" t="s">
        <v>107</v>
      </c>
      <c r="B17" s="8" t="s">
        <v>106</v>
      </c>
      <c r="C17" s="8" t="s">
        <v>56</v>
      </c>
      <c r="D17" s="39">
        <v>7.56</v>
      </c>
      <c r="E17" s="8" t="s">
        <v>101</v>
      </c>
      <c r="F17" s="8" t="s">
        <v>19</v>
      </c>
      <c r="G17" s="10">
        <v>45959</v>
      </c>
      <c r="H17" s="11">
        <v>39.4</v>
      </c>
      <c r="I17" s="11">
        <v>40</v>
      </c>
      <c r="J17" s="12">
        <f t="shared" si="5"/>
        <v>1.5228426395939021E-2</v>
      </c>
      <c r="L17" s="12">
        <f t="shared" si="3"/>
        <v>-1</v>
      </c>
      <c r="M17" s="13">
        <f t="shared" si="4"/>
        <v>-1</v>
      </c>
      <c r="N17" s="8">
        <v>4</v>
      </c>
      <c r="P17" s="7">
        <v>38.6</v>
      </c>
      <c r="Q17" s="7">
        <v>15.7</v>
      </c>
      <c r="R17" s="7" t="s">
        <v>105</v>
      </c>
      <c r="S17" s="32" t="s">
        <v>104</v>
      </c>
    </row>
    <row r="18" spans="1:19" s="32" customFormat="1" x14ac:dyDescent="0.2">
      <c r="A18" s="7" t="s">
        <v>103</v>
      </c>
      <c r="B18" s="7" t="s">
        <v>102</v>
      </c>
      <c r="C18" s="7" t="s">
        <v>56</v>
      </c>
      <c r="D18" s="40">
        <v>6.65</v>
      </c>
      <c r="E18" s="7" t="s">
        <v>101</v>
      </c>
      <c r="F18" s="7" t="s">
        <v>19</v>
      </c>
      <c r="G18" s="33">
        <v>45959</v>
      </c>
      <c r="H18" s="35">
        <v>59.2</v>
      </c>
      <c r="I18" s="35">
        <v>65.3</v>
      </c>
      <c r="J18" s="36">
        <f t="shared" si="5"/>
        <v>0.10304054054054035</v>
      </c>
      <c r="K18" s="16"/>
      <c r="L18" s="12">
        <f t="shared" si="3"/>
        <v>-1</v>
      </c>
      <c r="M18" s="13">
        <f t="shared" si="4"/>
        <v>-1</v>
      </c>
      <c r="N18" s="7">
        <v>3</v>
      </c>
      <c r="O18" s="7"/>
      <c r="P18" s="7">
        <v>15.3</v>
      </c>
      <c r="Q18" s="7">
        <v>12.1</v>
      </c>
      <c r="R18" s="7" t="s">
        <v>100</v>
      </c>
      <c r="S18" s="32" t="s">
        <v>99</v>
      </c>
    </row>
    <row r="19" spans="1:19" s="32" customFormat="1" ht="14.25" customHeight="1" x14ac:dyDescent="0.2">
      <c r="A19" s="7" t="s">
        <v>122</v>
      </c>
      <c r="B19" s="7">
        <v>9766</v>
      </c>
      <c r="C19" s="7" t="s">
        <v>123</v>
      </c>
      <c r="D19" s="40">
        <v>20.16</v>
      </c>
      <c r="E19" s="7" t="s">
        <v>124</v>
      </c>
      <c r="F19" s="7" t="s">
        <v>19</v>
      </c>
      <c r="G19" s="33">
        <v>45960</v>
      </c>
      <c r="H19" s="35">
        <f>I19*100/117</f>
        <v>22012.820512820512</v>
      </c>
      <c r="I19" s="35">
        <v>25755</v>
      </c>
      <c r="J19" s="36">
        <f>I19/H19-1</f>
        <v>0.17000000000000015</v>
      </c>
      <c r="K19" s="11"/>
      <c r="L19" s="12">
        <f>K19/H19-1</f>
        <v>-1</v>
      </c>
      <c r="M19" s="13">
        <f>K19/I19-1</f>
        <v>-1</v>
      </c>
      <c r="N19" s="37">
        <v>1</v>
      </c>
      <c r="O19" s="7"/>
      <c r="P19" s="34">
        <v>2.5453040470629906E-2</v>
      </c>
      <c r="Q19" s="34">
        <v>0.12164629458794596</v>
      </c>
      <c r="R19" s="7" t="s">
        <v>125</v>
      </c>
      <c r="S19" s="32" t="s">
        <v>126</v>
      </c>
    </row>
    <row r="20" spans="1:19" s="32" customFormat="1" x14ac:dyDescent="0.2">
      <c r="A20" s="7" t="s">
        <v>127</v>
      </c>
      <c r="B20" s="7">
        <v>2767</v>
      </c>
      <c r="C20" s="7" t="s">
        <v>128</v>
      </c>
      <c r="D20" s="40">
        <v>0.98199999999999998</v>
      </c>
      <c r="E20" s="7" t="s">
        <v>23</v>
      </c>
      <c r="F20" s="7" t="s">
        <v>19</v>
      </c>
      <c r="G20" s="33">
        <v>45961</v>
      </c>
      <c r="H20" s="35">
        <v>2136</v>
      </c>
      <c r="I20" s="35">
        <v>2172</v>
      </c>
      <c r="J20" s="36">
        <f t="shared" ref="J20:J58" si="6">I20/H20-1</f>
        <v>1.6853932584269593E-2</v>
      </c>
      <c r="K20" s="11"/>
      <c r="L20" s="12">
        <f t="shared" ref="L20:L58" si="7">K20/H20-1</f>
        <v>-1</v>
      </c>
      <c r="M20" s="13">
        <f t="shared" ref="M20:M58" si="8">K20/I20-1</f>
        <v>-1</v>
      </c>
      <c r="N20" s="7">
        <v>3</v>
      </c>
      <c r="O20" s="7"/>
      <c r="P20" s="34">
        <v>0.348344196457963</v>
      </c>
      <c r="Q20" s="34">
        <v>0.207275390625</v>
      </c>
      <c r="R20" s="7" t="s">
        <v>132</v>
      </c>
      <c r="S20" s="32" t="s">
        <v>133</v>
      </c>
    </row>
    <row r="21" spans="1:19" s="32" customFormat="1" x14ac:dyDescent="0.2">
      <c r="A21" s="7" t="s">
        <v>129</v>
      </c>
      <c r="B21" s="7">
        <v>5440</v>
      </c>
      <c r="C21" s="7" t="s">
        <v>123</v>
      </c>
      <c r="D21" s="40">
        <v>0.7</v>
      </c>
      <c r="E21" s="7" t="s">
        <v>23</v>
      </c>
      <c r="F21" s="7" t="s">
        <v>19</v>
      </c>
      <c r="G21" s="33">
        <v>45961</v>
      </c>
      <c r="H21" s="35">
        <v>2213</v>
      </c>
      <c r="I21" s="35">
        <v>2298</v>
      </c>
      <c r="J21" s="36">
        <f t="shared" si="6"/>
        <v>3.8409399005874478E-2</v>
      </c>
      <c r="K21" s="11"/>
      <c r="L21" s="12">
        <f t="shared" si="7"/>
        <v>-1</v>
      </c>
      <c r="M21" s="13">
        <f t="shared" si="8"/>
        <v>-1</v>
      </c>
      <c r="N21" s="7">
        <v>1</v>
      </c>
      <c r="O21" s="7"/>
      <c r="P21" s="34">
        <v>7.8985129141664556E-2</v>
      </c>
      <c r="Q21" s="34">
        <v>0.12585383545910656</v>
      </c>
      <c r="R21" s="7" t="s">
        <v>139</v>
      </c>
      <c r="S21" s="32" t="s">
        <v>138</v>
      </c>
    </row>
    <row r="22" spans="1:19" s="32" customFormat="1" x14ac:dyDescent="0.2">
      <c r="A22" s="7" t="s">
        <v>130</v>
      </c>
      <c r="B22" s="7">
        <v>6810</v>
      </c>
      <c r="C22" s="7" t="s">
        <v>123</v>
      </c>
      <c r="D22" s="40">
        <v>0.7</v>
      </c>
      <c r="E22" s="7" t="s">
        <v>23</v>
      </c>
      <c r="F22" s="7" t="s">
        <v>19</v>
      </c>
      <c r="G22" s="33">
        <v>45961</v>
      </c>
      <c r="H22" s="35">
        <v>2239</v>
      </c>
      <c r="I22" s="35">
        <v>2239</v>
      </c>
      <c r="J22" s="36">
        <f t="shared" si="6"/>
        <v>0</v>
      </c>
      <c r="K22" s="11"/>
      <c r="L22" s="12">
        <f t="shared" si="7"/>
        <v>-1</v>
      </c>
      <c r="M22" s="13">
        <f t="shared" si="8"/>
        <v>-1</v>
      </c>
      <c r="N22" s="7">
        <v>1</v>
      </c>
      <c r="O22" s="7"/>
      <c r="P22" s="34">
        <v>-3.5093367675466891E-2</v>
      </c>
      <c r="Q22" s="34">
        <v>0.13402291180068948</v>
      </c>
      <c r="R22" s="7" t="s">
        <v>134</v>
      </c>
      <c r="S22" s="32" t="s">
        <v>135</v>
      </c>
    </row>
    <row r="23" spans="1:19" s="32" customFormat="1" x14ac:dyDescent="0.2">
      <c r="A23" s="7" t="s">
        <v>131</v>
      </c>
      <c r="B23" s="7">
        <v>8877</v>
      </c>
      <c r="C23" s="7" t="s">
        <v>123</v>
      </c>
      <c r="D23" s="40">
        <v>0.6</v>
      </c>
      <c r="E23" s="7" t="s">
        <v>23</v>
      </c>
      <c r="F23" s="7" t="s">
        <v>19</v>
      </c>
      <c r="G23" s="33">
        <v>45961</v>
      </c>
      <c r="H23" s="35">
        <v>5390</v>
      </c>
      <c r="I23" s="35">
        <v>5440</v>
      </c>
      <c r="J23" s="36">
        <f t="shared" si="6"/>
        <v>9.27643784786647E-3</v>
      </c>
      <c r="K23" s="16"/>
      <c r="L23" s="12">
        <f t="shared" si="7"/>
        <v>-1</v>
      </c>
      <c r="M23" s="13">
        <f t="shared" si="8"/>
        <v>-1</v>
      </c>
      <c r="N23" s="7">
        <v>1</v>
      </c>
      <c r="O23" s="7"/>
      <c r="P23" s="34">
        <v>-0.20336128677481435</v>
      </c>
      <c r="Q23" s="34">
        <v>0.27650028042624797</v>
      </c>
      <c r="R23" s="7" t="s">
        <v>136</v>
      </c>
      <c r="S23" s="32" t="s">
        <v>137</v>
      </c>
    </row>
    <row r="24" spans="1:19" x14ac:dyDescent="0.2">
      <c r="A24" s="7" t="s">
        <v>202</v>
      </c>
      <c r="B24" s="7" t="s">
        <v>201</v>
      </c>
      <c r="C24" s="7" t="s">
        <v>56</v>
      </c>
      <c r="D24" s="42">
        <v>13.81</v>
      </c>
      <c r="E24" s="7" t="s">
        <v>61</v>
      </c>
      <c r="F24" s="8" t="s">
        <v>19</v>
      </c>
      <c r="G24" s="33">
        <v>45959</v>
      </c>
      <c r="H24" s="35">
        <v>86.45</v>
      </c>
      <c r="I24" s="35">
        <v>106.52</v>
      </c>
      <c r="J24" s="36">
        <f t="shared" ref="J24:J39" si="9">I24/H24-1</f>
        <v>0.23215731636784254</v>
      </c>
      <c r="K24" s="16"/>
      <c r="L24" s="12">
        <f t="shared" ref="L24:L39" si="10">K24/H24-1</f>
        <v>-1</v>
      </c>
      <c r="M24" s="13">
        <f t="shared" ref="M24:M39" si="11">K24/I24-1</f>
        <v>-1</v>
      </c>
      <c r="N24" s="7"/>
      <c r="O24" s="7">
        <v>2</v>
      </c>
      <c r="P24" s="7"/>
      <c r="Q24" s="7"/>
      <c r="R24" s="7" t="s">
        <v>200</v>
      </c>
      <c r="S24" s="32" t="s">
        <v>199</v>
      </c>
    </row>
    <row r="25" spans="1:19" x14ac:dyDescent="0.2">
      <c r="A25" s="7" t="s">
        <v>198</v>
      </c>
      <c r="B25" s="7" t="s">
        <v>197</v>
      </c>
      <c r="C25" s="7" t="s">
        <v>56</v>
      </c>
      <c r="D25" s="42">
        <v>8.7200000000000006</v>
      </c>
      <c r="E25" s="7" t="s">
        <v>61</v>
      </c>
      <c r="F25" s="8" t="s">
        <v>19</v>
      </c>
      <c r="G25" s="33">
        <v>45959</v>
      </c>
      <c r="H25" s="11">
        <v>161.1</v>
      </c>
      <c r="I25" s="11">
        <v>151.57</v>
      </c>
      <c r="J25" s="12">
        <f t="shared" si="9"/>
        <v>-5.9155803848541244E-2</v>
      </c>
      <c r="L25" s="12">
        <f t="shared" si="10"/>
        <v>-1</v>
      </c>
      <c r="M25" s="13">
        <f t="shared" si="11"/>
        <v>-1</v>
      </c>
      <c r="O25" s="8">
        <v>3</v>
      </c>
      <c r="P25" s="8"/>
      <c r="Q25" s="8"/>
      <c r="R25" s="8" t="s">
        <v>196</v>
      </c>
      <c r="S25" s="32" t="s">
        <v>195</v>
      </c>
    </row>
    <row r="26" spans="1:19" x14ac:dyDescent="0.2">
      <c r="A26" s="7" t="s">
        <v>194</v>
      </c>
      <c r="B26" s="7">
        <v>1944</v>
      </c>
      <c r="C26" s="7" t="s">
        <v>123</v>
      </c>
      <c r="D26" s="42">
        <v>8.0009999999999994</v>
      </c>
      <c r="E26" s="7" t="s">
        <v>61</v>
      </c>
      <c r="F26" s="8" t="s">
        <v>19</v>
      </c>
      <c r="G26" s="33">
        <v>45959</v>
      </c>
      <c r="H26" s="35">
        <v>5158</v>
      </c>
      <c r="I26" s="35">
        <v>6158</v>
      </c>
      <c r="J26" s="36">
        <f t="shared" si="9"/>
        <v>0.19387359441644048</v>
      </c>
      <c r="K26" s="16"/>
      <c r="L26" s="12">
        <f t="shared" si="10"/>
        <v>-1</v>
      </c>
      <c r="M26" s="13">
        <f t="shared" si="11"/>
        <v>-1</v>
      </c>
      <c r="N26" s="7">
        <v>1</v>
      </c>
      <c r="O26" s="7"/>
      <c r="P26" s="34">
        <v>8.6602164644145718E-2</v>
      </c>
      <c r="Q26" s="34">
        <v>0.20721087819380934</v>
      </c>
      <c r="R26" s="7" t="s">
        <v>193</v>
      </c>
      <c r="S26" s="32" t="s">
        <v>192</v>
      </c>
    </row>
    <row r="27" spans="1:19" x14ac:dyDescent="0.2">
      <c r="A27" s="7" t="s">
        <v>191</v>
      </c>
      <c r="B27" s="7" t="s">
        <v>190</v>
      </c>
      <c r="C27" s="7" t="s">
        <v>56</v>
      </c>
      <c r="D27" s="42">
        <v>5.81</v>
      </c>
      <c r="E27" s="7" t="s">
        <v>61</v>
      </c>
      <c r="F27" s="7" t="s">
        <v>19</v>
      </c>
      <c r="G27" s="33">
        <v>45959</v>
      </c>
      <c r="H27" s="35">
        <v>6.33</v>
      </c>
      <c r="I27" s="35">
        <v>7</v>
      </c>
      <c r="J27" s="36">
        <f t="shared" si="9"/>
        <v>0.10584518167456558</v>
      </c>
      <c r="K27" s="16"/>
      <c r="L27" s="12">
        <f t="shared" si="10"/>
        <v>-1</v>
      </c>
      <c r="M27" s="13">
        <f t="shared" si="11"/>
        <v>-1</v>
      </c>
      <c r="N27" s="7">
        <v>6</v>
      </c>
      <c r="O27" s="7"/>
      <c r="P27" s="34">
        <v>0.42268565615462861</v>
      </c>
      <c r="Q27" s="34">
        <v>0.59778333929209859</v>
      </c>
      <c r="R27" s="7" t="s">
        <v>189</v>
      </c>
      <c r="S27" s="32" t="s">
        <v>188</v>
      </c>
    </row>
    <row r="28" spans="1:19" x14ac:dyDescent="0.2">
      <c r="A28" s="7" t="s">
        <v>187</v>
      </c>
      <c r="B28" s="7">
        <v>6865</v>
      </c>
      <c r="C28" s="7" t="s">
        <v>186</v>
      </c>
      <c r="D28" s="42">
        <v>3.68</v>
      </c>
      <c r="E28" s="7" t="s">
        <v>61</v>
      </c>
      <c r="F28" s="8" t="s">
        <v>19</v>
      </c>
      <c r="G28" s="33">
        <v>45959</v>
      </c>
      <c r="H28" s="11">
        <v>10.82</v>
      </c>
      <c r="I28" s="11">
        <v>12.15</v>
      </c>
      <c r="J28" s="12">
        <f t="shared" si="9"/>
        <v>0.12292051756007405</v>
      </c>
      <c r="L28" s="12">
        <f t="shared" si="10"/>
        <v>-1</v>
      </c>
      <c r="M28" s="13">
        <f t="shared" si="11"/>
        <v>-1</v>
      </c>
      <c r="N28" s="8">
        <v>1</v>
      </c>
      <c r="P28" s="19">
        <v>-0.60745352989652979</v>
      </c>
      <c r="Q28" s="19">
        <v>1.6242127361791465</v>
      </c>
      <c r="R28" s="8" t="s">
        <v>185</v>
      </c>
      <c r="S28" s="32" t="s">
        <v>184</v>
      </c>
    </row>
    <row r="29" spans="1:19" x14ac:dyDescent="0.2">
      <c r="A29" s="7" t="s">
        <v>183</v>
      </c>
      <c r="B29" s="7" t="s">
        <v>182</v>
      </c>
      <c r="C29" s="7" t="s">
        <v>56</v>
      </c>
      <c r="D29" s="42">
        <v>7.45</v>
      </c>
      <c r="E29" s="7" t="s">
        <v>61</v>
      </c>
      <c r="F29" s="8" t="s">
        <v>19</v>
      </c>
      <c r="G29" s="33">
        <v>45959</v>
      </c>
      <c r="H29" s="11">
        <v>25.19</v>
      </c>
      <c r="I29" s="11">
        <v>29.75</v>
      </c>
      <c r="J29" s="12">
        <f t="shared" si="9"/>
        <v>0.18102421595871365</v>
      </c>
      <c r="L29" s="12">
        <f t="shared" si="10"/>
        <v>-1</v>
      </c>
      <c r="M29" s="13">
        <f t="shared" si="11"/>
        <v>-1</v>
      </c>
      <c r="N29" s="8">
        <v>4</v>
      </c>
      <c r="P29" s="19">
        <v>0.23655913978494603</v>
      </c>
      <c r="Q29" s="19">
        <v>0.19565217391304368</v>
      </c>
      <c r="R29" s="8" t="s">
        <v>181</v>
      </c>
      <c r="S29" s="32" t="s">
        <v>180</v>
      </c>
    </row>
    <row r="30" spans="1:19" x14ac:dyDescent="0.2">
      <c r="A30" s="7" t="s">
        <v>179</v>
      </c>
      <c r="B30" s="7" t="s">
        <v>178</v>
      </c>
      <c r="C30" s="7" t="s">
        <v>56</v>
      </c>
      <c r="D30" s="42">
        <v>4.43</v>
      </c>
      <c r="E30" s="7" t="s">
        <v>61</v>
      </c>
      <c r="F30" s="8" t="s">
        <v>19</v>
      </c>
      <c r="G30" s="33">
        <v>45959</v>
      </c>
      <c r="H30" s="11">
        <v>25.66</v>
      </c>
      <c r="I30" s="11">
        <v>24.94</v>
      </c>
      <c r="J30" s="12">
        <f t="shared" si="9"/>
        <v>-2.8059236165237644E-2</v>
      </c>
      <c r="L30" s="12">
        <f t="shared" si="10"/>
        <v>-1</v>
      </c>
      <c r="M30" s="13">
        <f t="shared" si="11"/>
        <v>-1</v>
      </c>
      <c r="N30" s="8">
        <v>4</v>
      </c>
      <c r="P30" s="19">
        <v>0.11842446229593162</v>
      </c>
      <c r="Q30" s="19">
        <v>0.13183503243744199</v>
      </c>
      <c r="R30" s="8" t="s">
        <v>177</v>
      </c>
      <c r="S30" s="32" t="s">
        <v>176</v>
      </c>
    </row>
    <row r="31" spans="1:19" x14ac:dyDescent="0.2">
      <c r="A31" s="7" t="s">
        <v>175</v>
      </c>
      <c r="B31" s="7" t="s">
        <v>174</v>
      </c>
      <c r="C31" s="7" t="s">
        <v>56</v>
      </c>
      <c r="D31" s="42">
        <v>4.83</v>
      </c>
      <c r="E31" s="7" t="s">
        <v>61</v>
      </c>
      <c r="F31" s="8" t="s">
        <v>19</v>
      </c>
      <c r="G31" s="33">
        <v>45960</v>
      </c>
      <c r="H31" s="11">
        <v>124.26</v>
      </c>
      <c r="I31" s="11">
        <v>114.98</v>
      </c>
      <c r="J31" s="12">
        <f t="shared" si="9"/>
        <v>-7.468211813938519E-2</v>
      </c>
      <c r="L31" s="12">
        <f t="shared" si="10"/>
        <v>-1</v>
      </c>
      <c r="M31" s="13">
        <f t="shared" si="11"/>
        <v>-1</v>
      </c>
      <c r="N31" s="8">
        <v>5</v>
      </c>
      <c r="P31" s="19">
        <v>0.15732368896925863</v>
      </c>
      <c r="Q31" s="19">
        <v>0.1201171875</v>
      </c>
      <c r="R31" s="8" t="s">
        <v>173</v>
      </c>
      <c r="S31" s="32" t="s">
        <v>172</v>
      </c>
    </row>
    <row r="32" spans="1:19" x14ac:dyDescent="0.2">
      <c r="A32" s="7" t="s">
        <v>171</v>
      </c>
      <c r="B32" s="7" t="s">
        <v>170</v>
      </c>
      <c r="C32" s="7" t="s">
        <v>56</v>
      </c>
      <c r="D32" s="42">
        <v>5.29</v>
      </c>
      <c r="E32" s="7" t="s">
        <v>61</v>
      </c>
      <c r="F32" s="8" t="s">
        <v>19</v>
      </c>
      <c r="G32" s="33">
        <v>45960</v>
      </c>
      <c r="H32" s="11">
        <v>15.2</v>
      </c>
      <c r="I32" s="11">
        <v>15.47</v>
      </c>
      <c r="J32" s="12">
        <f t="shared" si="9"/>
        <v>1.7763157894737036E-2</v>
      </c>
      <c r="L32" s="12">
        <f t="shared" si="10"/>
        <v>-1</v>
      </c>
      <c r="M32" s="13">
        <f t="shared" si="11"/>
        <v>-1</v>
      </c>
      <c r="N32" s="8">
        <v>1</v>
      </c>
      <c r="P32" s="19">
        <v>-0.22307692307692306</v>
      </c>
      <c r="Q32" s="19">
        <v>0.45544554455445541</v>
      </c>
      <c r="R32" s="8" t="s">
        <v>169</v>
      </c>
      <c r="S32" s="32" t="s">
        <v>168</v>
      </c>
    </row>
    <row r="33" spans="1:19" x14ac:dyDescent="0.2">
      <c r="A33" s="7" t="s">
        <v>167</v>
      </c>
      <c r="B33" s="7" t="s">
        <v>166</v>
      </c>
      <c r="C33" s="7" t="s">
        <v>56</v>
      </c>
      <c r="D33" s="42">
        <v>4.5</v>
      </c>
      <c r="E33" s="7" t="s">
        <v>61</v>
      </c>
      <c r="F33" s="8" t="s">
        <v>19</v>
      </c>
      <c r="G33" s="33">
        <v>45960</v>
      </c>
      <c r="H33" s="11">
        <v>129.71</v>
      </c>
      <c r="I33" s="11">
        <v>134.32</v>
      </c>
      <c r="J33" s="12">
        <f t="shared" si="9"/>
        <v>3.5540821833320413E-2</v>
      </c>
      <c r="L33" s="12">
        <f t="shared" si="10"/>
        <v>-1</v>
      </c>
      <c r="M33" s="13">
        <f t="shared" si="11"/>
        <v>-1</v>
      </c>
      <c r="N33" s="8">
        <v>4</v>
      </c>
      <c r="P33" s="19">
        <v>0.45992366412213737</v>
      </c>
      <c r="Q33" s="19">
        <v>0.25359477124183005</v>
      </c>
      <c r="R33" s="10" t="s">
        <v>165</v>
      </c>
      <c r="S33" s="18" t="s">
        <v>164</v>
      </c>
    </row>
    <row r="34" spans="1:19" x14ac:dyDescent="0.2">
      <c r="A34" s="7" t="s">
        <v>163</v>
      </c>
      <c r="B34" s="7" t="s">
        <v>162</v>
      </c>
      <c r="C34" s="7" t="s">
        <v>56</v>
      </c>
      <c r="D34" s="42">
        <v>4.47</v>
      </c>
      <c r="E34" s="7" t="s">
        <v>61</v>
      </c>
      <c r="F34" s="8" t="s">
        <v>19</v>
      </c>
      <c r="G34" s="33">
        <v>45960</v>
      </c>
      <c r="H34" s="11">
        <v>62.23</v>
      </c>
      <c r="I34" s="11">
        <v>68.040000000000006</v>
      </c>
      <c r="J34" s="12">
        <f t="shared" si="9"/>
        <v>9.3363329583802113E-2</v>
      </c>
      <c r="L34" s="12">
        <f t="shared" si="10"/>
        <v>-1</v>
      </c>
      <c r="M34" s="13">
        <f t="shared" si="11"/>
        <v>-1</v>
      </c>
      <c r="O34" s="8">
        <v>2</v>
      </c>
      <c r="P34" s="8"/>
      <c r="Q34" s="8"/>
      <c r="R34" s="8" t="s">
        <v>161</v>
      </c>
      <c r="S34" s="32" t="s">
        <v>160</v>
      </c>
    </row>
    <row r="35" spans="1:19" x14ac:dyDescent="0.2">
      <c r="A35" s="7" t="s">
        <v>159</v>
      </c>
      <c r="B35" s="7" t="s">
        <v>158</v>
      </c>
      <c r="C35" s="7" t="s">
        <v>56</v>
      </c>
      <c r="D35" s="42">
        <v>4.2300000000000004</v>
      </c>
      <c r="E35" s="7" t="s">
        <v>61</v>
      </c>
      <c r="F35" s="8" t="s">
        <v>19</v>
      </c>
      <c r="G35" s="33">
        <v>45960</v>
      </c>
      <c r="H35" s="11">
        <v>3.75</v>
      </c>
      <c r="I35" s="11">
        <v>3.83</v>
      </c>
      <c r="J35" s="12">
        <f t="shared" si="9"/>
        <v>2.1333333333333426E-2</v>
      </c>
      <c r="L35" s="12">
        <f t="shared" si="10"/>
        <v>-1</v>
      </c>
      <c r="M35" s="13">
        <f t="shared" si="11"/>
        <v>-1</v>
      </c>
      <c r="N35" s="8">
        <v>4</v>
      </c>
      <c r="P35" s="19">
        <v>0.1784140969162995</v>
      </c>
      <c r="Q35" s="19">
        <v>0.16635514018691588</v>
      </c>
      <c r="R35" s="8" t="s">
        <v>157</v>
      </c>
      <c r="S35" s="32" t="s">
        <v>156</v>
      </c>
    </row>
    <row r="36" spans="1:19" x14ac:dyDescent="0.2">
      <c r="A36" s="7" t="s">
        <v>155</v>
      </c>
      <c r="B36" s="7" t="s">
        <v>154</v>
      </c>
      <c r="C36" s="7" t="s">
        <v>56</v>
      </c>
      <c r="D36" s="42">
        <v>3.38</v>
      </c>
      <c r="E36" s="7" t="s">
        <v>61</v>
      </c>
      <c r="F36" s="8" t="s">
        <v>19</v>
      </c>
      <c r="G36" s="33">
        <v>45960</v>
      </c>
      <c r="H36" s="11">
        <v>218.3</v>
      </c>
      <c r="I36" s="11">
        <v>225.48</v>
      </c>
      <c r="J36" s="12">
        <f t="shared" si="9"/>
        <v>3.2890517636280148E-2</v>
      </c>
      <c r="L36" s="12">
        <f t="shared" si="10"/>
        <v>-1</v>
      </c>
      <c r="M36" s="13">
        <f t="shared" si="11"/>
        <v>-1</v>
      </c>
      <c r="N36" s="8">
        <v>3</v>
      </c>
      <c r="P36" s="19">
        <v>0.94236760124610619</v>
      </c>
      <c r="Q36" s="19">
        <v>0.20769847634322369</v>
      </c>
      <c r="R36" s="8" t="s">
        <v>153</v>
      </c>
      <c r="S36" s="32" t="s">
        <v>152</v>
      </c>
    </row>
    <row r="37" spans="1:19" x14ac:dyDescent="0.2">
      <c r="A37" s="7" t="s">
        <v>151</v>
      </c>
      <c r="B37" s="7" t="s">
        <v>150</v>
      </c>
      <c r="C37" s="7" t="s">
        <v>56</v>
      </c>
      <c r="D37" s="42">
        <v>2.4700000000000002</v>
      </c>
      <c r="E37" s="7" t="s">
        <v>61</v>
      </c>
      <c r="F37" s="8" t="s">
        <v>19</v>
      </c>
      <c r="G37" s="33">
        <v>45960</v>
      </c>
      <c r="H37" s="11">
        <v>20.03</v>
      </c>
      <c r="I37" s="11">
        <v>21.56</v>
      </c>
      <c r="J37" s="12">
        <f t="shared" si="9"/>
        <v>7.6385421867199099E-2</v>
      </c>
      <c r="L37" s="12">
        <f t="shared" si="10"/>
        <v>-1</v>
      </c>
      <c r="M37" s="13">
        <f t="shared" si="11"/>
        <v>-1</v>
      </c>
      <c r="N37" s="8">
        <v>2</v>
      </c>
      <c r="P37" s="19">
        <v>0.14553990610328649</v>
      </c>
      <c r="Q37" s="19">
        <v>0.3401639344262295</v>
      </c>
      <c r="R37" s="8" t="s">
        <v>149</v>
      </c>
      <c r="S37" s="32" t="s">
        <v>148</v>
      </c>
    </row>
    <row r="38" spans="1:19" x14ac:dyDescent="0.2">
      <c r="A38" s="7" t="s">
        <v>147</v>
      </c>
      <c r="B38" s="7" t="s">
        <v>146</v>
      </c>
      <c r="C38" s="7" t="s">
        <v>56</v>
      </c>
      <c r="D38" s="42">
        <v>2.35</v>
      </c>
      <c r="E38" s="7" t="s">
        <v>61</v>
      </c>
      <c r="F38" s="8" t="s">
        <v>19</v>
      </c>
      <c r="G38" s="33">
        <v>45960</v>
      </c>
      <c r="H38" s="35">
        <v>42.24</v>
      </c>
      <c r="I38" s="35">
        <v>45.28</v>
      </c>
      <c r="J38" s="36">
        <f t="shared" si="9"/>
        <v>7.1969696969697017E-2</v>
      </c>
      <c r="K38" s="16"/>
      <c r="L38" s="12">
        <f t="shared" si="10"/>
        <v>-1</v>
      </c>
      <c r="M38" s="13">
        <f t="shared" si="11"/>
        <v>-1</v>
      </c>
      <c r="N38" s="7">
        <v>1</v>
      </c>
      <c r="O38" s="7"/>
      <c r="P38" s="34">
        <v>-6.6037735849056478E-2</v>
      </c>
      <c r="Q38" s="34">
        <v>0.10533910533910507</v>
      </c>
      <c r="R38" s="7" t="s">
        <v>145</v>
      </c>
      <c r="S38" s="32" t="s">
        <v>144</v>
      </c>
    </row>
    <row r="39" spans="1:19" x14ac:dyDescent="0.2">
      <c r="A39" s="7" t="s">
        <v>143</v>
      </c>
      <c r="B39" s="7" t="s">
        <v>142</v>
      </c>
      <c r="C39" s="7" t="s">
        <v>56</v>
      </c>
      <c r="D39" s="42">
        <v>2.6</v>
      </c>
      <c r="E39" s="7" t="s">
        <v>61</v>
      </c>
      <c r="F39" s="8" t="s">
        <v>19</v>
      </c>
      <c r="G39" s="33">
        <v>45960</v>
      </c>
      <c r="H39" s="11">
        <v>6.19</v>
      </c>
      <c r="I39" s="11">
        <v>5.9</v>
      </c>
      <c r="J39" s="12">
        <f t="shared" si="9"/>
        <v>-4.6849757673667169E-2</v>
      </c>
      <c r="L39" s="12">
        <f t="shared" si="10"/>
        <v>-1</v>
      </c>
      <c r="M39" s="13">
        <f t="shared" si="11"/>
        <v>-1</v>
      </c>
      <c r="R39" s="8" t="s">
        <v>141</v>
      </c>
      <c r="S39" s="32" t="s">
        <v>140</v>
      </c>
    </row>
    <row r="40" spans="1:19" x14ac:dyDescent="0.2">
      <c r="A40" s="7" t="s">
        <v>208</v>
      </c>
      <c r="B40" s="8" t="s">
        <v>207</v>
      </c>
      <c r="C40" s="8" t="s">
        <v>209</v>
      </c>
      <c r="D40" s="39">
        <v>410.58</v>
      </c>
      <c r="E40" s="8" t="s">
        <v>210</v>
      </c>
      <c r="F40" s="8" t="s">
        <v>211</v>
      </c>
      <c r="G40" s="33">
        <v>45964</v>
      </c>
      <c r="H40" s="11">
        <v>207.18</v>
      </c>
      <c r="J40" s="12">
        <f t="shared" si="6"/>
        <v>-1</v>
      </c>
      <c r="L40" s="12">
        <f t="shared" si="7"/>
        <v>-1</v>
      </c>
      <c r="M40" s="13" t="e">
        <f t="shared" si="8"/>
        <v>#DIV/0!</v>
      </c>
      <c r="N40" s="8">
        <v>3</v>
      </c>
      <c r="P40" s="19">
        <v>0.40453872718302941</v>
      </c>
      <c r="Q40" s="19">
        <v>0.49209694415173844</v>
      </c>
      <c r="R40" s="8" t="s">
        <v>213</v>
      </c>
      <c r="S40" t="s">
        <v>212</v>
      </c>
    </row>
    <row r="41" spans="1:19" x14ac:dyDescent="0.2">
      <c r="A41" s="7" t="s">
        <v>215</v>
      </c>
      <c r="B41" s="8" t="s">
        <v>214</v>
      </c>
      <c r="C41" s="8" t="s">
        <v>209</v>
      </c>
      <c r="D41" s="39">
        <v>10.63</v>
      </c>
      <c r="E41" s="8" t="s">
        <v>210</v>
      </c>
      <c r="F41" s="8" t="s">
        <v>211</v>
      </c>
      <c r="G41" s="33">
        <v>45964</v>
      </c>
      <c r="H41" s="11">
        <f>I41-14.87</f>
        <v>377.9</v>
      </c>
      <c r="I41" s="11">
        <v>392.77</v>
      </c>
      <c r="J41" s="12">
        <f t="shared" si="6"/>
        <v>3.934903413601476E-2</v>
      </c>
      <c r="L41" s="12">
        <f t="shared" si="7"/>
        <v>-1</v>
      </c>
      <c r="M41" s="13">
        <f t="shared" si="8"/>
        <v>-1</v>
      </c>
      <c r="N41" s="8">
        <v>2</v>
      </c>
      <c r="P41" s="19">
        <v>0.11450107681263444</v>
      </c>
      <c r="Q41" s="19">
        <v>0.12173913043478257</v>
      </c>
      <c r="R41" s="8" t="s">
        <v>216</v>
      </c>
      <c r="S41" t="s">
        <v>217</v>
      </c>
    </row>
    <row r="42" spans="1:19" x14ac:dyDescent="0.2">
      <c r="A42" s="7" t="s">
        <v>219</v>
      </c>
      <c r="B42" s="8" t="s">
        <v>218</v>
      </c>
      <c r="C42" s="8" t="s">
        <v>209</v>
      </c>
      <c r="D42" s="39">
        <v>5.31</v>
      </c>
      <c r="E42" s="8" t="s">
        <v>210</v>
      </c>
      <c r="F42" s="8" t="s">
        <v>211</v>
      </c>
      <c r="G42" s="33">
        <v>45964</v>
      </c>
      <c r="H42" s="11">
        <f>I42-0.34</f>
        <v>197.51</v>
      </c>
      <c r="I42" s="11">
        <v>197.85</v>
      </c>
      <c r="J42" s="12">
        <f t="shared" si="6"/>
        <v>1.7214318262366302E-3</v>
      </c>
      <c r="L42" s="12">
        <f t="shared" si="7"/>
        <v>-1</v>
      </c>
      <c r="M42" s="13">
        <f t="shared" si="8"/>
        <v>-1</v>
      </c>
      <c r="N42" s="8">
        <v>4</v>
      </c>
      <c r="P42" s="19">
        <v>0.28268876611418059</v>
      </c>
      <c r="Q42" s="19">
        <v>0.13639626704953312</v>
      </c>
      <c r="R42" s="8" t="s">
        <v>220</v>
      </c>
      <c r="S42" t="s">
        <v>221</v>
      </c>
    </row>
    <row r="43" spans="1:19" x14ac:dyDescent="0.2">
      <c r="A43" s="7" t="s">
        <v>224</v>
      </c>
      <c r="B43" s="8" t="s">
        <v>222</v>
      </c>
      <c r="C43" s="8" t="s">
        <v>209</v>
      </c>
      <c r="D43" s="39">
        <v>4.07</v>
      </c>
      <c r="E43" s="8" t="s">
        <v>210</v>
      </c>
      <c r="F43" s="8" t="s">
        <v>211</v>
      </c>
      <c r="G43" s="33">
        <v>45964</v>
      </c>
      <c r="H43" s="11">
        <v>28.61</v>
      </c>
      <c r="J43" s="12">
        <f t="shared" si="6"/>
        <v>-1</v>
      </c>
      <c r="L43" s="12">
        <f t="shared" si="7"/>
        <v>-1</v>
      </c>
      <c r="M43" s="13" t="e">
        <f t="shared" si="8"/>
        <v>#DIV/0!</v>
      </c>
      <c r="N43" s="8">
        <v>9</v>
      </c>
      <c r="P43" s="19">
        <v>0.10919540229885039</v>
      </c>
      <c r="Q43" s="19">
        <v>0.13471502590673556</v>
      </c>
      <c r="R43" s="8" t="s">
        <v>223</v>
      </c>
      <c r="S43" t="s">
        <v>225</v>
      </c>
    </row>
    <row r="44" spans="1:19" x14ac:dyDescent="0.2">
      <c r="A44" s="7" t="s">
        <v>227</v>
      </c>
      <c r="B44" s="8" t="s">
        <v>228</v>
      </c>
      <c r="C44" s="8" t="s">
        <v>209</v>
      </c>
      <c r="D44" s="39">
        <v>3.32</v>
      </c>
      <c r="E44" s="8" t="s">
        <v>210</v>
      </c>
      <c r="F44" s="8" t="s">
        <v>211</v>
      </c>
      <c r="G44" s="33">
        <v>45964</v>
      </c>
      <c r="H44" s="11">
        <f>I44-0.58</f>
        <v>11.22</v>
      </c>
      <c r="I44" s="11">
        <v>11.8</v>
      </c>
      <c r="J44" s="12">
        <f t="shared" si="6"/>
        <v>5.1693404634581164E-2</v>
      </c>
      <c r="L44" s="12">
        <f t="shared" si="7"/>
        <v>-1</v>
      </c>
      <c r="M44" s="13">
        <f t="shared" si="8"/>
        <v>-1</v>
      </c>
      <c r="N44" s="8">
        <v>2</v>
      </c>
      <c r="P44" s="19">
        <v>0.70391595033428866</v>
      </c>
      <c r="Q44" s="19">
        <v>0.13452914798206272</v>
      </c>
      <c r="R44" s="8" t="s">
        <v>226</v>
      </c>
      <c r="S44" t="s">
        <v>229</v>
      </c>
    </row>
    <row r="45" spans="1:19" x14ac:dyDescent="0.2">
      <c r="A45" s="7" t="s">
        <v>244</v>
      </c>
      <c r="B45" s="7" t="s">
        <v>243</v>
      </c>
      <c r="C45" s="8" t="s">
        <v>56</v>
      </c>
      <c r="D45" s="45">
        <v>2.74</v>
      </c>
      <c r="E45" s="8" t="s">
        <v>101</v>
      </c>
      <c r="F45" s="8" t="s">
        <v>19</v>
      </c>
      <c r="G45" s="33">
        <v>45964</v>
      </c>
      <c r="H45" s="11">
        <v>49.2</v>
      </c>
      <c r="I45" s="11">
        <v>56.25</v>
      </c>
      <c r="J45" s="12">
        <f>I45/H45-1</f>
        <v>0.14329268292682928</v>
      </c>
      <c r="L45" s="12">
        <f>K45/H45-1</f>
        <v>-1</v>
      </c>
      <c r="M45" s="13">
        <f>K45/I45-1</f>
        <v>-1</v>
      </c>
      <c r="N45" s="8">
        <v>2</v>
      </c>
      <c r="P45" s="8">
        <v>108.9</v>
      </c>
      <c r="Q45" s="8">
        <v>34.6</v>
      </c>
      <c r="R45" s="8" t="s">
        <v>242</v>
      </c>
      <c r="S45" t="s">
        <v>241</v>
      </c>
    </row>
    <row r="46" spans="1:19" x14ac:dyDescent="0.2">
      <c r="A46" s="7" t="s">
        <v>240</v>
      </c>
      <c r="B46" s="7" t="s">
        <v>239</v>
      </c>
      <c r="C46" s="8" t="s">
        <v>56</v>
      </c>
      <c r="D46" s="45">
        <v>2.73</v>
      </c>
      <c r="E46" s="8" t="s">
        <v>101</v>
      </c>
      <c r="F46" s="8" t="s">
        <v>19</v>
      </c>
      <c r="G46" s="33">
        <v>45964</v>
      </c>
      <c r="H46" s="11">
        <v>30.12</v>
      </c>
      <c r="I46" s="11">
        <v>29.94</v>
      </c>
      <c r="J46" s="12">
        <f>I46/H46-1</f>
        <v>-5.9760956175298752E-3</v>
      </c>
      <c r="L46" s="12">
        <f>K46/H46-1</f>
        <v>-1</v>
      </c>
      <c r="M46" s="13">
        <f>K46/I46-1</f>
        <v>-1</v>
      </c>
      <c r="N46" s="8">
        <v>2</v>
      </c>
      <c r="P46" s="7">
        <v>178.2</v>
      </c>
      <c r="Q46" s="7">
        <v>41.5</v>
      </c>
      <c r="R46" s="7" t="s">
        <v>119</v>
      </c>
      <c r="S46" t="s">
        <v>238</v>
      </c>
    </row>
    <row r="47" spans="1:19" x14ac:dyDescent="0.2">
      <c r="A47" s="7" t="s">
        <v>237</v>
      </c>
      <c r="B47" s="7" t="s">
        <v>236</v>
      </c>
      <c r="C47" s="8" t="s">
        <v>56</v>
      </c>
      <c r="D47" s="45">
        <v>2.5</v>
      </c>
      <c r="E47" s="8" t="s">
        <v>101</v>
      </c>
      <c r="F47" s="8" t="s">
        <v>19</v>
      </c>
      <c r="G47" s="33">
        <v>45964</v>
      </c>
      <c r="H47" s="35">
        <v>53.97</v>
      </c>
      <c r="I47" s="35">
        <v>53.5</v>
      </c>
      <c r="J47" s="12">
        <f>I47/H47-1</f>
        <v>-8.7085417824717126E-3</v>
      </c>
      <c r="K47" s="16"/>
      <c r="L47" s="12">
        <f>K47/H47-1</f>
        <v>-1</v>
      </c>
      <c r="M47" s="13">
        <f>K47/I47-1</f>
        <v>-1</v>
      </c>
      <c r="N47" s="7">
        <v>4</v>
      </c>
      <c r="O47" s="14"/>
      <c r="P47" s="7">
        <v>36.5</v>
      </c>
      <c r="Q47" s="7">
        <v>36.799999999999997</v>
      </c>
      <c r="R47" s="7" t="s">
        <v>235</v>
      </c>
      <c r="S47" s="32" t="s">
        <v>234</v>
      </c>
    </row>
    <row r="48" spans="1:19" x14ac:dyDescent="0.2">
      <c r="A48" s="7" t="s">
        <v>233</v>
      </c>
      <c r="B48" s="8" t="s">
        <v>232</v>
      </c>
      <c r="C48" s="8" t="s">
        <v>56</v>
      </c>
      <c r="D48" s="45">
        <v>0.78</v>
      </c>
      <c r="E48" s="8" t="s">
        <v>101</v>
      </c>
      <c r="F48" s="8" t="s">
        <v>19</v>
      </c>
      <c r="G48" s="33">
        <v>45964</v>
      </c>
      <c r="H48" s="11">
        <v>22.41</v>
      </c>
      <c r="I48" s="11">
        <v>23.82</v>
      </c>
      <c r="J48" s="12">
        <f>I48/H48-1</f>
        <v>6.2918340026773878E-2</v>
      </c>
      <c r="L48" s="12">
        <f>K48/H48-1</f>
        <v>-1</v>
      </c>
      <c r="M48" s="13">
        <f>K48/I48-1</f>
        <v>-1</v>
      </c>
      <c r="N48" s="8">
        <v>4</v>
      </c>
      <c r="P48" s="7">
        <v>39.1</v>
      </c>
      <c r="Q48" s="7">
        <v>12.6</v>
      </c>
      <c r="R48" s="7" t="s">
        <v>231</v>
      </c>
      <c r="S48" s="32" t="s">
        <v>230</v>
      </c>
    </row>
    <row r="49" spans="1:19" x14ac:dyDescent="0.2">
      <c r="A49" s="7" t="s">
        <v>249</v>
      </c>
      <c r="B49" s="8" t="s">
        <v>247</v>
      </c>
      <c r="C49" s="8" t="s">
        <v>250</v>
      </c>
      <c r="D49" s="39">
        <v>4.1900000000000004</v>
      </c>
      <c r="E49" s="8" t="s">
        <v>251</v>
      </c>
      <c r="F49" s="8" t="s">
        <v>252</v>
      </c>
      <c r="G49" s="10">
        <v>45966</v>
      </c>
      <c r="H49" s="11">
        <f>I49-6.99</f>
        <v>38.82</v>
      </c>
      <c r="I49" s="11">
        <v>45.81</v>
      </c>
      <c r="J49" s="12">
        <f t="shared" si="6"/>
        <v>0.18006182380216385</v>
      </c>
      <c r="L49" s="12">
        <f t="shared" si="7"/>
        <v>-1</v>
      </c>
      <c r="M49" s="13">
        <f t="shared" si="8"/>
        <v>-1</v>
      </c>
      <c r="N49" s="8">
        <v>4</v>
      </c>
      <c r="P49" s="19">
        <v>0.11367521367521372</v>
      </c>
      <c r="Q49" s="19">
        <v>0.15579432079815803</v>
      </c>
      <c r="R49" s="8" t="s">
        <v>248</v>
      </c>
      <c r="S49" s="32" t="s">
        <v>253</v>
      </c>
    </row>
    <row r="50" spans="1:19" x14ac:dyDescent="0.2">
      <c r="A50" s="7" t="s">
        <v>254</v>
      </c>
      <c r="B50" s="8" t="s">
        <v>246</v>
      </c>
      <c r="C50" s="8" t="s">
        <v>250</v>
      </c>
      <c r="D50" s="39">
        <v>2.25</v>
      </c>
      <c r="E50" s="8" t="s">
        <v>251</v>
      </c>
      <c r="F50" s="8" t="s">
        <v>252</v>
      </c>
      <c r="G50" s="10">
        <v>45966</v>
      </c>
      <c r="H50" s="11">
        <f>I50-4.77</f>
        <v>61.480000000000004</v>
      </c>
      <c r="I50" s="11">
        <v>66.25</v>
      </c>
      <c r="J50" s="12">
        <f t="shared" si="6"/>
        <v>7.7586206896551602E-2</v>
      </c>
      <c r="L50" s="12">
        <f t="shared" si="7"/>
        <v>-1</v>
      </c>
      <c r="M50" s="13">
        <f t="shared" si="8"/>
        <v>-1</v>
      </c>
      <c r="N50" s="8">
        <v>8</v>
      </c>
      <c r="P50" s="19">
        <v>0.16398985629754836</v>
      </c>
      <c r="Q50" s="19">
        <v>0.10748002904865661</v>
      </c>
      <c r="R50" s="8" t="s">
        <v>255</v>
      </c>
      <c r="S50" s="32" t="s">
        <v>256</v>
      </c>
    </row>
    <row r="51" spans="1:19" x14ac:dyDescent="0.2">
      <c r="A51" s="7" t="s">
        <v>275</v>
      </c>
      <c r="B51" s="7" t="s">
        <v>274</v>
      </c>
      <c r="C51" s="7" t="s">
        <v>56</v>
      </c>
      <c r="D51" s="45">
        <v>208.72</v>
      </c>
      <c r="E51" s="8" t="s">
        <v>101</v>
      </c>
      <c r="F51" s="8" t="s">
        <v>19</v>
      </c>
      <c r="G51" s="10">
        <v>45966</v>
      </c>
      <c r="H51" s="11">
        <v>617</v>
      </c>
      <c r="I51" s="11">
        <v>648.9</v>
      </c>
      <c r="J51" s="12">
        <f t="shared" ref="J51:J56" si="12">I51/H51-1</f>
        <v>5.1701782820097186E-2</v>
      </c>
      <c r="L51" s="12">
        <f t="shared" ref="L51:L56" si="13">K51/H51-1</f>
        <v>-1</v>
      </c>
      <c r="M51" s="13">
        <f t="shared" ref="M51:M56" si="14">K51/I51-1</f>
        <v>-1</v>
      </c>
      <c r="N51" s="8">
        <v>10</v>
      </c>
      <c r="P51" s="8">
        <v>26.2</v>
      </c>
      <c r="Q51" s="8">
        <v>19.7</v>
      </c>
      <c r="R51" s="8" t="s">
        <v>119</v>
      </c>
      <c r="S51" t="s">
        <v>273</v>
      </c>
    </row>
    <row r="52" spans="1:19" x14ac:dyDescent="0.2">
      <c r="A52" s="7" t="s">
        <v>272</v>
      </c>
      <c r="B52" s="7" t="s">
        <v>271</v>
      </c>
      <c r="C52" s="7" t="s">
        <v>56</v>
      </c>
      <c r="D52" s="45">
        <v>126.62</v>
      </c>
      <c r="E52" s="8" t="s">
        <v>101</v>
      </c>
      <c r="F52" s="8" t="s">
        <v>19</v>
      </c>
      <c r="G52" s="10">
        <v>45966</v>
      </c>
      <c r="H52" s="11">
        <v>142.47999999999999</v>
      </c>
      <c r="I52" s="11">
        <v>131.26</v>
      </c>
      <c r="J52" s="12">
        <f t="shared" si="12"/>
        <v>-7.8747894441325128E-2</v>
      </c>
      <c r="L52" s="12">
        <f t="shared" si="13"/>
        <v>-1</v>
      </c>
      <c r="M52" s="13">
        <f t="shared" si="14"/>
        <v>-1</v>
      </c>
      <c r="N52" s="8">
        <v>6</v>
      </c>
      <c r="P52" s="7">
        <v>19.7</v>
      </c>
      <c r="Q52" s="7">
        <v>31.9</v>
      </c>
      <c r="R52" s="7" t="s">
        <v>119</v>
      </c>
      <c r="S52" t="s">
        <v>270</v>
      </c>
    </row>
    <row r="53" spans="1:19" x14ac:dyDescent="0.2">
      <c r="A53" s="7" t="s">
        <v>269</v>
      </c>
      <c r="B53" s="7" t="s">
        <v>268</v>
      </c>
      <c r="C53" s="7" t="s">
        <v>56</v>
      </c>
      <c r="D53" s="45">
        <v>74.540000000000006</v>
      </c>
      <c r="E53" s="8" t="s">
        <v>101</v>
      </c>
      <c r="F53" s="8" t="s">
        <v>19</v>
      </c>
      <c r="G53" s="10">
        <v>45966</v>
      </c>
      <c r="H53" s="16">
        <v>137.74</v>
      </c>
      <c r="I53" s="16">
        <v>132.44999999999999</v>
      </c>
      <c r="J53" s="12">
        <f t="shared" si="12"/>
        <v>-3.8405691883258486E-2</v>
      </c>
      <c r="K53" s="16"/>
      <c r="L53" s="12">
        <f t="shared" si="13"/>
        <v>-1</v>
      </c>
      <c r="M53" s="13">
        <f t="shared" si="14"/>
        <v>-1</v>
      </c>
      <c r="N53" s="7">
        <v>1</v>
      </c>
      <c r="O53" s="14"/>
      <c r="P53" s="7">
        <v>2.2000000000000002</v>
      </c>
      <c r="Q53" s="7">
        <v>16.5</v>
      </c>
      <c r="R53" s="7" t="s">
        <v>267</v>
      </c>
      <c r="S53" s="32" t="s">
        <v>266</v>
      </c>
    </row>
    <row r="54" spans="1:19" x14ac:dyDescent="0.2">
      <c r="A54" s="21" t="s">
        <v>265</v>
      </c>
      <c r="B54" s="7" t="s">
        <v>264</v>
      </c>
      <c r="C54" s="7" t="s">
        <v>56</v>
      </c>
      <c r="D54" s="45">
        <v>21.13</v>
      </c>
      <c r="E54" s="8" t="s">
        <v>101</v>
      </c>
      <c r="F54" s="8" t="s">
        <v>19</v>
      </c>
      <c r="G54" s="10">
        <v>45966</v>
      </c>
      <c r="H54" s="11">
        <v>134.63</v>
      </c>
      <c r="I54" s="11">
        <v>155.94999999999999</v>
      </c>
      <c r="J54" s="12">
        <f t="shared" si="12"/>
        <v>0.15835994949119803</v>
      </c>
      <c r="L54" s="12">
        <f t="shared" si="13"/>
        <v>-1</v>
      </c>
      <c r="M54" s="13">
        <f t="shared" si="14"/>
        <v>-1</v>
      </c>
      <c r="N54" s="8">
        <v>1</v>
      </c>
      <c r="P54" s="7">
        <v>-16.7</v>
      </c>
      <c r="Q54" s="7">
        <v>23.7</v>
      </c>
      <c r="R54" s="7" t="s">
        <v>263</v>
      </c>
      <c r="S54" s="32" t="s">
        <v>262</v>
      </c>
    </row>
    <row r="55" spans="1:19" x14ac:dyDescent="0.2">
      <c r="A55" s="21" t="s">
        <v>261</v>
      </c>
      <c r="B55" s="7" t="s">
        <v>260</v>
      </c>
      <c r="C55" s="7" t="s">
        <v>56</v>
      </c>
      <c r="D55" s="45">
        <v>11.91</v>
      </c>
      <c r="E55" s="8" t="s">
        <v>101</v>
      </c>
      <c r="F55" s="8" t="s">
        <v>19</v>
      </c>
      <c r="G55" s="10">
        <v>45966</v>
      </c>
      <c r="H55" s="11">
        <v>260.02</v>
      </c>
      <c r="I55" s="11">
        <v>184.45</v>
      </c>
      <c r="J55" s="12">
        <f t="shared" si="12"/>
        <v>-0.29063148988539345</v>
      </c>
      <c r="L55" s="12">
        <f t="shared" si="13"/>
        <v>-1</v>
      </c>
      <c r="M55" s="13">
        <f t="shared" si="14"/>
        <v>-1</v>
      </c>
      <c r="N55" s="8">
        <v>6</v>
      </c>
      <c r="P55" s="7">
        <v>21.1</v>
      </c>
      <c r="Q55" s="7">
        <v>25.6</v>
      </c>
      <c r="R55" s="8" t="s">
        <v>119</v>
      </c>
      <c r="S55" s="32" t="s">
        <v>259</v>
      </c>
    </row>
    <row r="56" spans="1:19" x14ac:dyDescent="0.2">
      <c r="A56" s="7" t="s">
        <v>258</v>
      </c>
      <c r="B56" s="7">
        <v>8136</v>
      </c>
      <c r="C56" s="7" t="s">
        <v>123</v>
      </c>
      <c r="D56" s="47">
        <v>11.28</v>
      </c>
      <c r="E56" s="7" t="s">
        <v>101</v>
      </c>
      <c r="F56" s="8" t="s">
        <v>19</v>
      </c>
      <c r="G56" s="10">
        <v>45966</v>
      </c>
      <c r="H56" s="16">
        <v>7.4</v>
      </c>
      <c r="I56" s="16">
        <v>6.43</v>
      </c>
      <c r="J56" s="12">
        <f t="shared" si="12"/>
        <v>-0.13108108108108119</v>
      </c>
      <c r="K56" s="16"/>
      <c r="L56" s="12">
        <f t="shared" si="13"/>
        <v>-1</v>
      </c>
      <c r="M56" s="13">
        <f t="shared" si="14"/>
        <v>-1</v>
      </c>
      <c r="N56" s="7">
        <v>1</v>
      </c>
      <c r="O56" s="14"/>
      <c r="P56" s="7">
        <v>-1.3</v>
      </c>
      <c r="Q56" s="7">
        <v>21.1</v>
      </c>
      <c r="R56" s="7" t="s">
        <v>242</v>
      </c>
      <c r="S56" s="32" t="s">
        <v>257</v>
      </c>
    </row>
    <row r="57" spans="1:19" ht="12.75" customHeight="1" x14ac:dyDescent="0.2">
      <c r="A57" s="7" t="s">
        <v>276</v>
      </c>
      <c r="B57" s="8">
        <v>4385</v>
      </c>
      <c r="C57" s="8" t="s">
        <v>277</v>
      </c>
      <c r="D57" s="39">
        <v>2.4500000000000002</v>
      </c>
      <c r="E57" s="8" t="s">
        <v>278</v>
      </c>
      <c r="F57" s="8" t="s">
        <v>279</v>
      </c>
      <c r="G57" s="10">
        <v>45968</v>
      </c>
      <c r="H57" s="11">
        <f>I57-404</f>
        <v>2224</v>
      </c>
      <c r="I57" s="11">
        <v>2628</v>
      </c>
      <c r="J57" s="12">
        <f t="shared" si="6"/>
        <v>0.18165467625899279</v>
      </c>
      <c r="L57" s="12">
        <f t="shared" si="7"/>
        <v>-1</v>
      </c>
      <c r="M57" s="13">
        <f t="shared" si="8"/>
        <v>-1</v>
      </c>
      <c r="N57" s="8">
        <v>1</v>
      </c>
      <c r="P57" s="19">
        <v>8.4942084942084994E-2</v>
      </c>
      <c r="Q57" s="19">
        <v>0.1637010676156585</v>
      </c>
      <c r="R57" s="8" t="s">
        <v>280</v>
      </c>
      <c r="S57" s="18" t="s">
        <v>281</v>
      </c>
    </row>
    <row r="58" spans="1:19" ht="12.75" customHeight="1" x14ac:dyDescent="0.2">
      <c r="A58" s="21" t="s">
        <v>283</v>
      </c>
      <c r="B58" s="8">
        <v>1893</v>
      </c>
      <c r="C58" s="8" t="s">
        <v>277</v>
      </c>
      <c r="D58" s="39">
        <v>2.08</v>
      </c>
      <c r="E58" s="8" t="s">
        <v>278</v>
      </c>
      <c r="F58" s="8" t="s">
        <v>279</v>
      </c>
      <c r="G58" s="10">
        <v>45968</v>
      </c>
      <c r="H58" s="11">
        <f>I58-50</f>
        <v>1451.5</v>
      </c>
      <c r="I58" s="11">
        <v>1501.5</v>
      </c>
      <c r="J58" s="12">
        <f t="shared" si="6"/>
        <v>3.4447123665173995E-2</v>
      </c>
      <c r="L58" s="12">
        <f t="shared" si="7"/>
        <v>-1</v>
      </c>
      <c r="M58" s="13">
        <f t="shared" si="8"/>
        <v>-1</v>
      </c>
      <c r="N58" s="8">
        <v>2</v>
      </c>
      <c r="P58" s="19">
        <v>0.15207373271889413</v>
      </c>
      <c r="Q58" s="19">
        <v>0.30000000000000004</v>
      </c>
      <c r="R58" s="8" t="s">
        <v>284</v>
      </c>
      <c r="S58" s="18" t="s">
        <v>285</v>
      </c>
    </row>
    <row r="59" spans="1:19" x14ac:dyDescent="0.2">
      <c r="A59" s="7" t="s">
        <v>318</v>
      </c>
      <c r="B59" s="7" t="s">
        <v>232</v>
      </c>
      <c r="C59" s="7" t="s">
        <v>56</v>
      </c>
      <c r="D59" s="42">
        <v>0.81825000000000003</v>
      </c>
      <c r="E59" s="7" t="s">
        <v>61</v>
      </c>
      <c r="F59" s="8" t="s">
        <v>19</v>
      </c>
      <c r="G59" s="10">
        <v>45964</v>
      </c>
      <c r="H59" s="11">
        <v>22.41</v>
      </c>
      <c r="I59" s="11">
        <v>23.99</v>
      </c>
      <c r="J59" s="12">
        <f t="shared" ref="J59:J67" si="15">I59/H59-1</f>
        <v>7.0504239178937889E-2</v>
      </c>
      <c r="L59" s="12">
        <f t="shared" ref="L59:L67" si="16">K59/H59-1</f>
        <v>-1</v>
      </c>
      <c r="M59" s="13">
        <f t="shared" ref="M59:M67" si="17">K59/I59-1</f>
        <v>-1</v>
      </c>
      <c r="N59" s="8">
        <v>4</v>
      </c>
      <c r="P59" s="19">
        <v>0.20789473684210513</v>
      </c>
      <c r="Q59" s="19">
        <v>0.12636165577342062</v>
      </c>
      <c r="R59" s="8" t="s">
        <v>317</v>
      </c>
      <c r="S59" s="32" t="s">
        <v>316</v>
      </c>
    </row>
    <row r="60" spans="1:19" x14ac:dyDescent="0.2">
      <c r="A60" s="7" t="s">
        <v>315</v>
      </c>
      <c r="B60" s="7" t="s">
        <v>314</v>
      </c>
      <c r="C60" s="7" t="s">
        <v>56</v>
      </c>
      <c r="D60" s="42">
        <v>10.73</v>
      </c>
      <c r="E60" s="7" t="s">
        <v>61</v>
      </c>
      <c r="F60" s="8" t="s">
        <v>19</v>
      </c>
      <c r="G60" s="10">
        <v>45966</v>
      </c>
      <c r="H60" s="11">
        <v>21.6</v>
      </c>
      <c r="J60" s="12">
        <f t="shared" si="15"/>
        <v>-1</v>
      </c>
      <c r="L60" s="12">
        <f t="shared" si="16"/>
        <v>-1</v>
      </c>
      <c r="M60" s="13" t="e">
        <f t="shared" si="17"/>
        <v>#DIV/0!</v>
      </c>
      <c r="N60" s="8">
        <v>1</v>
      </c>
      <c r="P60" s="19">
        <v>-0.12552301255230125</v>
      </c>
      <c r="Q60" s="19">
        <v>0.15311004784688986</v>
      </c>
      <c r="R60" s="8" t="s">
        <v>313</v>
      </c>
      <c r="S60" s="32" t="s">
        <v>312</v>
      </c>
    </row>
    <row r="61" spans="1:19" ht="13.5" customHeight="1" x14ac:dyDescent="0.2">
      <c r="A61" s="7" t="s">
        <v>311</v>
      </c>
      <c r="B61" s="7" t="s">
        <v>310</v>
      </c>
      <c r="C61" s="7" t="s">
        <v>56</v>
      </c>
      <c r="D61" s="42">
        <v>8.16</v>
      </c>
      <c r="E61" s="7" t="s">
        <v>61</v>
      </c>
      <c r="F61" s="8" t="s">
        <v>19</v>
      </c>
      <c r="G61" s="10">
        <v>45966</v>
      </c>
      <c r="H61" s="11">
        <v>20.079999999999998</v>
      </c>
      <c r="J61" s="12">
        <f t="shared" si="15"/>
        <v>-1</v>
      </c>
      <c r="L61" s="12">
        <f t="shared" si="16"/>
        <v>-1</v>
      </c>
      <c r="M61" s="13" t="e">
        <f t="shared" si="17"/>
        <v>#DIV/0!</v>
      </c>
      <c r="O61" s="8">
        <v>2</v>
      </c>
      <c r="R61" s="8" t="s">
        <v>309</v>
      </c>
      <c r="S61" s="32" t="s">
        <v>308</v>
      </c>
    </row>
    <row r="62" spans="1:19" x14ac:dyDescent="0.2">
      <c r="A62" s="7" t="s">
        <v>307</v>
      </c>
      <c r="B62" s="7" t="s">
        <v>306</v>
      </c>
      <c r="C62" s="7" t="s">
        <v>56</v>
      </c>
      <c r="D62" s="42">
        <v>8.2100000000000009</v>
      </c>
      <c r="E62" s="7" t="s">
        <v>61</v>
      </c>
      <c r="F62" s="8" t="s">
        <v>19</v>
      </c>
      <c r="G62" s="10">
        <v>45966</v>
      </c>
      <c r="H62" s="11">
        <v>29.21</v>
      </c>
      <c r="J62" s="12">
        <f t="shared" si="15"/>
        <v>-1</v>
      </c>
      <c r="L62" s="12">
        <f t="shared" si="16"/>
        <v>-1</v>
      </c>
      <c r="M62" s="13" t="e">
        <f t="shared" si="17"/>
        <v>#DIV/0!</v>
      </c>
      <c r="O62" s="8">
        <v>1</v>
      </c>
      <c r="R62" s="8" t="s">
        <v>305</v>
      </c>
      <c r="S62" s="32" t="s">
        <v>304</v>
      </c>
    </row>
    <row r="63" spans="1:19" x14ac:dyDescent="0.2">
      <c r="A63" s="7" t="s">
        <v>303</v>
      </c>
      <c r="B63" s="7" t="s">
        <v>302</v>
      </c>
      <c r="C63" s="7" t="s">
        <v>56</v>
      </c>
      <c r="D63" s="42">
        <v>8.31</v>
      </c>
      <c r="E63" s="7" t="s">
        <v>61</v>
      </c>
      <c r="F63" s="8" t="s">
        <v>19</v>
      </c>
      <c r="G63" s="10">
        <v>45966</v>
      </c>
      <c r="H63" s="11">
        <v>10.6</v>
      </c>
      <c r="J63" s="12">
        <f t="shared" si="15"/>
        <v>-1</v>
      </c>
      <c r="L63" s="12">
        <f t="shared" si="16"/>
        <v>-1</v>
      </c>
      <c r="M63" s="13" t="e">
        <f t="shared" si="17"/>
        <v>#DIV/0!</v>
      </c>
      <c r="P63" s="19">
        <v>0.40437835605121841</v>
      </c>
      <c r="Q63" s="19">
        <v>0.35580588235294131</v>
      </c>
      <c r="R63" s="8" t="s">
        <v>301</v>
      </c>
      <c r="S63" s="32" t="s">
        <v>300</v>
      </c>
    </row>
    <row r="64" spans="1:19" x14ac:dyDescent="0.2">
      <c r="A64" s="7" t="s">
        <v>299</v>
      </c>
      <c r="B64" s="7" t="s">
        <v>298</v>
      </c>
      <c r="C64" s="7" t="s">
        <v>56</v>
      </c>
      <c r="D64" s="42">
        <v>8.11</v>
      </c>
      <c r="E64" s="7" t="s">
        <v>61</v>
      </c>
      <c r="F64" s="8" t="s">
        <v>19</v>
      </c>
      <c r="G64" s="10">
        <v>45966</v>
      </c>
      <c r="H64" s="11">
        <v>12.11</v>
      </c>
      <c r="J64" s="12">
        <f t="shared" si="15"/>
        <v>-1</v>
      </c>
      <c r="L64" s="12">
        <f t="shared" si="16"/>
        <v>-1</v>
      </c>
      <c r="M64" s="13" t="e">
        <f t="shared" si="17"/>
        <v>#DIV/0!</v>
      </c>
      <c r="P64" s="19">
        <v>0.34635416666666674</v>
      </c>
      <c r="Q64" s="19">
        <v>0.60976789168278511</v>
      </c>
      <c r="R64" s="8" t="s">
        <v>297</v>
      </c>
      <c r="S64" s="32" t="s">
        <v>296</v>
      </c>
    </row>
    <row r="65" spans="1:19" x14ac:dyDescent="0.2">
      <c r="A65" s="7" t="s">
        <v>295</v>
      </c>
      <c r="B65" s="7" t="s">
        <v>294</v>
      </c>
      <c r="C65" s="7" t="s">
        <v>56</v>
      </c>
      <c r="D65" s="48">
        <v>36</v>
      </c>
      <c r="E65" s="7" t="s">
        <v>61</v>
      </c>
      <c r="F65" s="8" t="s">
        <v>19</v>
      </c>
      <c r="G65" s="10">
        <v>45968</v>
      </c>
      <c r="H65" s="11">
        <v>759.57</v>
      </c>
      <c r="I65" s="11">
        <v>612.19000000000005</v>
      </c>
      <c r="J65" s="12">
        <f t="shared" si="15"/>
        <v>-0.19403083323459325</v>
      </c>
      <c r="L65" s="12">
        <f t="shared" si="16"/>
        <v>-1</v>
      </c>
      <c r="M65" s="13">
        <f t="shared" si="17"/>
        <v>-1</v>
      </c>
      <c r="N65" s="8">
        <v>4</v>
      </c>
      <c r="P65" s="19">
        <v>0.17243796439085912</v>
      </c>
      <c r="Q65" s="19">
        <v>0.11060624177926592</v>
      </c>
      <c r="R65" s="8" t="s">
        <v>293</v>
      </c>
      <c r="S65" s="32" t="s">
        <v>292</v>
      </c>
    </row>
    <row r="66" spans="1:19" ht="15" customHeight="1" x14ac:dyDescent="0.2">
      <c r="A66" s="7" t="s">
        <v>291</v>
      </c>
      <c r="B66" s="7">
        <v>8439</v>
      </c>
      <c r="C66" s="7" t="s">
        <v>123</v>
      </c>
      <c r="D66" s="48">
        <v>6.1509999999999998</v>
      </c>
      <c r="E66" s="7" t="s">
        <v>61</v>
      </c>
      <c r="F66" s="8" t="s">
        <v>19</v>
      </c>
      <c r="G66" s="10">
        <v>45968</v>
      </c>
      <c r="H66" s="11">
        <v>1852.5</v>
      </c>
      <c r="I66" s="11">
        <v>1924.5</v>
      </c>
      <c r="J66" s="12">
        <f t="shared" si="15"/>
        <v>3.886639676113357E-2</v>
      </c>
      <c r="L66" s="12">
        <f t="shared" si="16"/>
        <v>-1</v>
      </c>
      <c r="M66" s="13">
        <f t="shared" si="17"/>
        <v>-1</v>
      </c>
      <c r="N66" s="8">
        <v>1</v>
      </c>
      <c r="P66" s="19">
        <v>7.3038842996386855E-3</v>
      </c>
      <c r="Q66" s="19">
        <v>0.13032158485701695</v>
      </c>
      <c r="R66" s="8" t="s">
        <v>290</v>
      </c>
      <c r="S66" s="32" t="s">
        <v>289</v>
      </c>
    </row>
    <row r="67" spans="1:19" s="17" customFormat="1" x14ac:dyDescent="0.2">
      <c r="A67" s="7" t="s">
        <v>288</v>
      </c>
      <c r="B67" s="7">
        <v>5901</v>
      </c>
      <c r="C67" s="7" t="s">
        <v>123</v>
      </c>
      <c r="D67" s="48">
        <v>3.79</v>
      </c>
      <c r="E67" s="7" t="s">
        <v>61</v>
      </c>
      <c r="F67" s="8" t="s">
        <v>19</v>
      </c>
      <c r="G67" s="10">
        <v>45968</v>
      </c>
      <c r="H67" s="11">
        <v>3391</v>
      </c>
      <c r="I67" s="11">
        <v>3811</v>
      </c>
      <c r="J67" s="12">
        <f t="shared" si="15"/>
        <v>0.12385726924211138</v>
      </c>
      <c r="K67" s="11"/>
      <c r="L67" s="12">
        <f t="shared" si="16"/>
        <v>-1</v>
      </c>
      <c r="M67" s="13">
        <f t="shared" si="17"/>
        <v>-1</v>
      </c>
      <c r="N67" s="8">
        <v>1</v>
      </c>
      <c r="O67" s="8"/>
      <c r="P67" s="19">
        <v>4.8772385467943158E-2</v>
      </c>
      <c r="Q67" s="19">
        <v>0.29451739230592033</v>
      </c>
      <c r="R67" s="8" t="s">
        <v>287</v>
      </c>
      <c r="S67" s="32" t="s">
        <v>286</v>
      </c>
    </row>
    <row r="68" spans="1:19" x14ac:dyDescent="0.2">
      <c r="A68" s="21"/>
      <c r="G68" s="10"/>
      <c r="J68" s="12" t="e">
        <f t="shared" ref="J68:J120" si="18">I68/H68-1</f>
        <v>#DIV/0!</v>
      </c>
      <c r="L68" s="12" t="e">
        <f t="shared" ref="L68:L120" si="19">K68/H68-1</f>
        <v>#DIV/0!</v>
      </c>
      <c r="M68" s="13" t="e">
        <f t="shared" ref="M68:M120" si="20">K68/I68-1</f>
        <v>#DIV/0!</v>
      </c>
    </row>
    <row r="69" spans="1:19" x14ac:dyDescent="0.2">
      <c r="G69" s="10"/>
      <c r="J69" s="12" t="e">
        <f t="shared" si="18"/>
        <v>#DIV/0!</v>
      </c>
      <c r="L69" s="12" t="e">
        <f t="shared" si="19"/>
        <v>#DIV/0!</v>
      </c>
      <c r="M69" s="13" t="e">
        <f t="shared" si="20"/>
        <v>#DIV/0!</v>
      </c>
      <c r="S69" s="18"/>
    </row>
    <row r="70" spans="1:19" x14ac:dyDescent="0.2">
      <c r="G70" s="10"/>
      <c r="J70" s="12" t="e">
        <f t="shared" si="18"/>
        <v>#DIV/0!</v>
      </c>
      <c r="L70" s="12" t="e">
        <f t="shared" si="19"/>
        <v>#DIV/0!</v>
      </c>
      <c r="M70" s="13" t="e">
        <f t="shared" si="20"/>
        <v>#DIV/0!</v>
      </c>
    </row>
    <row r="71" spans="1:19" x14ac:dyDescent="0.2">
      <c r="G71" s="10"/>
      <c r="J71" s="12" t="e">
        <f t="shared" si="18"/>
        <v>#DIV/0!</v>
      </c>
      <c r="L71" s="12" t="e">
        <f t="shared" si="19"/>
        <v>#DIV/0!</v>
      </c>
      <c r="M71" s="13" t="e">
        <f t="shared" si="20"/>
        <v>#DIV/0!</v>
      </c>
      <c r="S71" s="18"/>
    </row>
    <row r="72" spans="1:19" x14ac:dyDescent="0.2">
      <c r="G72" s="10"/>
      <c r="J72" s="12" t="e">
        <f t="shared" si="18"/>
        <v>#DIV/0!</v>
      </c>
      <c r="L72" s="12" t="e">
        <f t="shared" si="19"/>
        <v>#DIV/0!</v>
      </c>
      <c r="M72" s="13" t="e">
        <f t="shared" si="20"/>
        <v>#DIV/0!</v>
      </c>
    </row>
    <row r="73" spans="1:19" x14ac:dyDescent="0.2">
      <c r="A73" s="21"/>
      <c r="G73" s="10"/>
      <c r="J73" s="12" t="e">
        <f t="shared" si="18"/>
        <v>#DIV/0!</v>
      </c>
      <c r="L73" s="12" t="e">
        <f t="shared" si="19"/>
        <v>#DIV/0!</v>
      </c>
      <c r="M73" s="13" t="e">
        <f t="shared" si="20"/>
        <v>#DIV/0!</v>
      </c>
    </row>
    <row r="74" spans="1:19" x14ac:dyDescent="0.2">
      <c r="G74" s="10"/>
      <c r="J74" s="12" t="e">
        <f t="shared" si="18"/>
        <v>#DIV/0!</v>
      </c>
      <c r="L74" s="12" t="e">
        <f t="shared" si="19"/>
        <v>#DIV/0!</v>
      </c>
      <c r="M74" s="13" t="e">
        <f t="shared" si="20"/>
        <v>#DIV/0!</v>
      </c>
    </row>
    <row r="75" spans="1:19" x14ac:dyDescent="0.2">
      <c r="A75" s="14"/>
      <c r="B75" s="14"/>
      <c r="C75" s="14"/>
      <c r="D75" s="41"/>
      <c r="E75" s="14"/>
      <c r="G75" s="15"/>
      <c r="H75" s="16"/>
      <c r="I75" s="16"/>
      <c r="J75" s="12" t="e">
        <f t="shared" si="18"/>
        <v>#DIV/0!</v>
      </c>
      <c r="K75" s="16"/>
      <c r="L75" s="12" t="e">
        <f t="shared" si="19"/>
        <v>#DIV/0!</v>
      </c>
      <c r="M75" s="13" t="e">
        <f t="shared" si="20"/>
        <v>#DIV/0!</v>
      </c>
      <c r="N75" s="14"/>
      <c r="O75" s="14"/>
      <c r="P75" s="30"/>
      <c r="Q75" s="30"/>
      <c r="R75" s="14"/>
      <c r="S75" s="17"/>
    </row>
    <row r="76" spans="1:19" x14ac:dyDescent="0.2">
      <c r="G76" s="10"/>
      <c r="J76" s="12" t="e">
        <f t="shared" si="18"/>
        <v>#DIV/0!</v>
      </c>
      <c r="L76" s="12" t="e">
        <f t="shared" si="19"/>
        <v>#DIV/0!</v>
      </c>
      <c r="M76" s="13" t="e">
        <f t="shared" si="20"/>
        <v>#DIV/0!</v>
      </c>
    </row>
    <row r="77" spans="1:19" x14ac:dyDescent="0.2">
      <c r="G77" s="10"/>
      <c r="J77" s="12" t="e">
        <f t="shared" si="18"/>
        <v>#DIV/0!</v>
      </c>
      <c r="L77" s="12" t="e">
        <f t="shared" si="19"/>
        <v>#DIV/0!</v>
      </c>
      <c r="M77" s="13" t="e">
        <f t="shared" si="20"/>
        <v>#DIV/0!</v>
      </c>
    </row>
    <row r="78" spans="1:19" x14ac:dyDescent="0.2">
      <c r="G78" s="10"/>
      <c r="J78" s="12" t="e">
        <f t="shared" si="18"/>
        <v>#DIV/0!</v>
      </c>
      <c r="L78" s="12" t="e">
        <f t="shared" si="19"/>
        <v>#DIV/0!</v>
      </c>
      <c r="M78" s="13" t="e">
        <f t="shared" si="20"/>
        <v>#DIV/0!</v>
      </c>
    </row>
    <row r="79" spans="1:19" x14ac:dyDescent="0.2">
      <c r="G79" s="10"/>
      <c r="J79" s="12" t="e">
        <f t="shared" si="18"/>
        <v>#DIV/0!</v>
      </c>
      <c r="L79" s="12" t="e">
        <f t="shared" si="19"/>
        <v>#DIV/0!</v>
      </c>
      <c r="M79" s="13" t="e">
        <f t="shared" si="20"/>
        <v>#DIV/0!</v>
      </c>
    </row>
    <row r="80" spans="1:19" x14ac:dyDescent="0.2">
      <c r="G80" s="10"/>
      <c r="J80" s="12" t="e">
        <f t="shared" si="18"/>
        <v>#DIV/0!</v>
      </c>
      <c r="L80" s="12" t="e">
        <f t="shared" si="19"/>
        <v>#DIV/0!</v>
      </c>
      <c r="M80" s="13" t="e">
        <f t="shared" si="20"/>
        <v>#DIV/0!</v>
      </c>
    </row>
    <row r="81" spans="1:19" x14ac:dyDescent="0.2">
      <c r="G81" s="10"/>
      <c r="J81" s="12" t="e">
        <f t="shared" si="18"/>
        <v>#DIV/0!</v>
      </c>
      <c r="L81" s="12" t="e">
        <f t="shared" si="19"/>
        <v>#DIV/0!</v>
      </c>
      <c r="M81" s="13" t="e">
        <f t="shared" si="20"/>
        <v>#DIV/0!</v>
      </c>
    </row>
    <row r="82" spans="1:19" x14ac:dyDescent="0.2">
      <c r="G82" s="10"/>
      <c r="J82" s="12" t="e">
        <f t="shared" si="18"/>
        <v>#DIV/0!</v>
      </c>
      <c r="L82" s="12" t="e">
        <f t="shared" si="19"/>
        <v>#DIV/0!</v>
      </c>
      <c r="M82" s="13" t="e">
        <f t="shared" si="20"/>
        <v>#DIV/0!</v>
      </c>
      <c r="S82" s="18"/>
    </row>
    <row r="83" spans="1:19" x14ac:dyDescent="0.2">
      <c r="G83" s="10"/>
      <c r="J83" s="12" t="e">
        <f t="shared" si="18"/>
        <v>#DIV/0!</v>
      </c>
      <c r="L83" s="12" t="e">
        <f t="shared" si="19"/>
        <v>#DIV/0!</v>
      </c>
      <c r="M83" s="13" t="e">
        <f t="shared" si="20"/>
        <v>#DIV/0!</v>
      </c>
    </row>
    <row r="84" spans="1:19" x14ac:dyDescent="0.2">
      <c r="G84" s="10"/>
      <c r="J84" s="12" t="e">
        <f t="shared" si="18"/>
        <v>#DIV/0!</v>
      </c>
      <c r="L84" s="12" t="e">
        <f t="shared" si="19"/>
        <v>#DIV/0!</v>
      </c>
      <c r="M84" s="13" t="e">
        <f t="shared" si="20"/>
        <v>#DIV/0!</v>
      </c>
    </row>
    <row r="85" spans="1:19" x14ac:dyDescent="0.2">
      <c r="A85" s="21"/>
      <c r="G85" s="10"/>
      <c r="J85" s="12" t="e">
        <f t="shared" si="18"/>
        <v>#DIV/0!</v>
      </c>
      <c r="L85" s="12" t="e">
        <f t="shared" si="19"/>
        <v>#DIV/0!</v>
      </c>
      <c r="M85" s="13" t="e">
        <f t="shared" si="20"/>
        <v>#DIV/0!</v>
      </c>
    </row>
    <row r="86" spans="1:19" x14ac:dyDescent="0.2">
      <c r="G86" s="10"/>
      <c r="J86" s="12" t="e">
        <f t="shared" si="18"/>
        <v>#DIV/0!</v>
      </c>
      <c r="L86" s="12" t="e">
        <f t="shared" si="19"/>
        <v>#DIV/0!</v>
      </c>
      <c r="M86" s="13" t="e">
        <f t="shared" si="20"/>
        <v>#DIV/0!</v>
      </c>
    </row>
    <row r="87" spans="1:19" x14ac:dyDescent="0.2">
      <c r="A87" s="8"/>
      <c r="G87" s="10"/>
      <c r="J87" s="12" t="e">
        <f t="shared" si="18"/>
        <v>#DIV/0!</v>
      </c>
      <c r="L87" s="12" t="e">
        <f t="shared" si="19"/>
        <v>#DIV/0!</v>
      </c>
      <c r="M87" s="13" t="e">
        <f t="shared" si="20"/>
        <v>#DIV/0!</v>
      </c>
    </row>
    <row r="88" spans="1:19" x14ac:dyDescent="0.2">
      <c r="G88" s="10"/>
      <c r="J88" s="12" t="e">
        <f t="shared" si="18"/>
        <v>#DIV/0!</v>
      </c>
      <c r="L88" s="12" t="e">
        <f t="shared" si="19"/>
        <v>#DIV/0!</v>
      </c>
      <c r="M88" s="13" t="e">
        <f t="shared" si="20"/>
        <v>#DIV/0!</v>
      </c>
    </row>
    <row r="89" spans="1:19" x14ac:dyDescent="0.2">
      <c r="G89" s="10"/>
      <c r="J89" s="12" t="e">
        <f t="shared" si="18"/>
        <v>#DIV/0!</v>
      </c>
      <c r="L89" s="12" t="e">
        <f t="shared" si="19"/>
        <v>#DIV/0!</v>
      </c>
      <c r="M89" s="13" t="e">
        <f t="shared" si="20"/>
        <v>#DIV/0!</v>
      </c>
    </row>
    <row r="90" spans="1:19" x14ac:dyDescent="0.2">
      <c r="G90" s="10"/>
      <c r="J90" s="12" t="e">
        <f t="shared" si="18"/>
        <v>#DIV/0!</v>
      </c>
      <c r="L90" s="12" t="e">
        <f t="shared" si="19"/>
        <v>#DIV/0!</v>
      </c>
      <c r="M90" s="13" t="e">
        <f t="shared" si="20"/>
        <v>#DIV/0!</v>
      </c>
    </row>
    <row r="91" spans="1:19" x14ac:dyDescent="0.2">
      <c r="B91" s="7"/>
      <c r="C91" s="7"/>
      <c r="D91" s="40"/>
      <c r="G91" s="10"/>
      <c r="J91" s="12" t="e">
        <f t="shared" si="18"/>
        <v>#DIV/0!</v>
      </c>
      <c r="L91" s="12" t="e">
        <f t="shared" si="19"/>
        <v>#DIV/0!</v>
      </c>
      <c r="M91" s="13" t="e">
        <f t="shared" si="20"/>
        <v>#DIV/0!</v>
      </c>
    </row>
    <row r="92" spans="1:19" x14ac:dyDescent="0.2">
      <c r="G92" s="10"/>
      <c r="J92" s="12" t="e">
        <f t="shared" si="18"/>
        <v>#DIV/0!</v>
      </c>
      <c r="L92" s="12" t="e">
        <f t="shared" si="19"/>
        <v>#DIV/0!</v>
      </c>
      <c r="M92" s="13" t="e">
        <f t="shared" si="20"/>
        <v>#DIV/0!</v>
      </c>
    </row>
    <row r="93" spans="1:19" x14ac:dyDescent="0.2">
      <c r="G93" s="10"/>
      <c r="J93" s="12" t="e">
        <f t="shared" si="18"/>
        <v>#DIV/0!</v>
      </c>
      <c r="L93" s="12" t="e">
        <f t="shared" si="19"/>
        <v>#DIV/0!</v>
      </c>
      <c r="M93" s="13" t="e">
        <f t="shared" si="20"/>
        <v>#DIV/0!</v>
      </c>
    </row>
    <row r="94" spans="1:19" x14ac:dyDescent="0.2">
      <c r="G94" s="10"/>
      <c r="J94" s="12" t="e">
        <f t="shared" si="18"/>
        <v>#DIV/0!</v>
      </c>
      <c r="L94" s="12" t="e">
        <f t="shared" si="19"/>
        <v>#DIV/0!</v>
      </c>
      <c r="M94" s="13" t="e">
        <f t="shared" si="20"/>
        <v>#DIV/0!</v>
      </c>
    </row>
    <row r="95" spans="1:19" x14ac:dyDescent="0.2">
      <c r="G95" s="10"/>
      <c r="J95" s="12" t="e">
        <f t="shared" si="18"/>
        <v>#DIV/0!</v>
      </c>
      <c r="L95" s="12" t="e">
        <f t="shared" si="19"/>
        <v>#DIV/0!</v>
      </c>
      <c r="M95" s="13" t="e">
        <f t="shared" si="20"/>
        <v>#DIV/0!</v>
      </c>
    </row>
    <row r="96" spans="1:19" x14ac:dyDescent="0.2">
      <c r="G96" s="10"/>
      <c r="J96" s="12" t="e">
        <f t="shared" si="18"/>
        <v>#DIV/0!</v>
      </c>
      <c r="L96" s="12" t="e">
        <f t="shared" si="19"/>
        <v>#DIV/0!</v>
      </c>
      <c r="M96" s="13" t="e">
        <f t="shared" si="20"/>
        <v>#DIV/0!</v>
      </c>
    </row>
    <row r="97" spans="1:13" x14ac:dyDescent="0.2">
      <c r="G97" s="10"/>
      <c r="J97" s="12" t="e">
        <f t="shared" si="18"/>
        <v>#DIV/0!</v>
      </c>
      <c r="L97" s="12" t="e">
        <f t="shared" si="19"/>
        <v>#DIV/0!</v>
      </c>
      <c r="M97" s="13" t="e">
        <f t="shared" si="20"/>
        <v>#DIV/0!</v>
      </c>
    </row>
    <row r="98" spans="1:13" x14ac:dyDescent="0.2">
      <c r="B98" s="7"/>
      <c r="G98" s="10"/>
      <c r="J98" s="12" t="e">
        <f t="shared" si="18"/>
        <v>#DIV/0!</v>
      </c>
      <c r="L98" s="12" t="e">
        <f t="shared" si="19"/>
        <v>#DIV/0!</v>
      </c>
      <c r="M98" s="13" t="e">
        <f t="shared" si="20"/>
        <v>#DIV/0!</v>
      </c>
    </row>
    <row r="99" spans="1:13" x14ac:dyDescent="0.2">
      <c r="A99" s="21"/>
      <c r="G99" s="20"/>
      <c r="J99" s="12" t="e">
        <f t="shared" si="18"/>
        <v>#DIV/0!</v>
      </c>
      <c r="L99" s="12" t="e">
        <f t="shared" si="19"/>
        <v>#DIV/0!</v>
      </c>
      <c r="M99" s="13" t="e">
        <f t="shared" si="20"/>
        <v>#DIV/0!</v>
      </c>
    </row>
    <row r="100" spans="1:13" x14ac:dyDescent="0.2">
      <c r="G100" s="10"/>
      <c r="J100" s="12" t="e">
        <f t="shared" si="18"/>
        <v>#DIV/0!</v>
      </c>
      <c r="L100" s="12" t="e">
        <f t="shared" si="19"/>
        <v>#DIV/0!</v>
      </c>
      <c r="M100" s="13" t="e">
        <f t="shared" si="20"/>
        <v>#DIV/0!</v>
      </c>
    </row>
    <row r="101" spans="1:13" x14ac:dyDescent="0.2">
      <c r="G101" s="10"/>
      <c r="J101" s="12" t="e">
        <f t="shared" si="18"/>
        <v>#DIV/0!</v>
      </c>
      <c r="L101" s="12" t="e">
        <f t="shared" si="19"/>
        <v>#DIV/0!</v>
      </c>
      <c r="M101" s="13" t="e">
        <f t="shared" si="20"/>
        <v>#DIV/0!</v>
      </c>
    </row>
    <row r="102" spans="1:13" x14ac:dyDescent="0.2">
      <c r="G102" s="10"/>
      <c r="J102" s="12" t="e">
        <f t="shared" si="18"/>
        <v>#DIV/0!</v>
      </c>
      <c r="L102" s="12" t="e">
        <f t="shared" si="19"/>
        <v>#DIV/0!</v>
      </c>
      <c r="M102" s="13" t="e">
        <f t="shared" si="20"/>
        <v>#DIV/0!</v>
      </c>
    </row>
    <row r="103" spans="1:13" x14ac:dyDescent="0.2">
      <c r="G103" s="10"/>
      <c r="J103" s="12" t="e">
        <f t="shared" si="18"/>
        <v>#DIV/0!</v>
      </c>
      <c r="L103" s="12" t="e">
        <f t="shared" si="19"/>
        <v>#DIV/0!</v>
      </c>
      <c r="M103" s="13" t="e">
        <f t="shared" si="20"/>
        <v>#DIV/0!</v>
      </c>
    </row>
    <row r="104" spans="1:13" x14ac:dyDescent="0.2">
      <c r="G104" s="10"/>
      <c r="J104" s="12" t="e">
        <f t="shared" si="18"/>
        <v>#DIV/0!</v>
      </c>
      <c r="L104" s="12" t="e">
        <f t="shared" si="19"/>
        <v>#DIV/0!</v>
      </c>
      <c r="M104" s="13" t="e">
        <f t="shared" si="20"/>
        <v>#DIV/0!</v>
      </c>
    </row>
    <row r="105" spans="1:13" x14ac:dyDescent="0.2">
      <c r="G105" s="10"/>
      <c r="J105" s="12" t="e">
        <f t="shared" si="18"/>
        <v>#DIV/0!</v>
      </c>
      <c r="L105" s="12" t="e">
        <f t="shared" si="19"/>
        <v>#DIV/0!</v>
      </c>
      <c r="M105" s="13" t="e">
        <f t="shared" si="20"/>
        <v>#DIV/0!</v>
      </c>
    </row>
    <row r="106" spans="1:13" x14ac:dyDescent="0.2">
      <c r="G106" s="10"/>
      <c r="J106" s="12" t="e">
        <f t="shared" si="18"/>
        <v>#DIV/0!</v>
      </c>
      <c r="L106" s="12" t="e">
        <f t="shared" si="19"/>
        <v>#DIV/0!</v>
      </c>
      <c r="M106" s="13" t="e">
        <f t="shared" si="20"/>
        <v>#DIV/0!</v>
      </c>
    </row>
    <row r="107" spans="1:13" x14ac:dyDescent="0.2">
      <c r="G107" s="10"/>
      <c r="J107" s="12" t="e">
        <f t="shared" si="18"/>
        <v>#DIV/0!</v>
      </c>
      <c r="L107" s="12" t="e">
        <f t="shared" si="19"/>
        <v>#DIV/0!</v>
      </c>
      <c r="M107" s="13" t="e">
        <f t="shared" si="20"/>
        <v>#DIV/0!</v>
      </c>
    </row>
    <row r="108" spans="1:13" x14ac:dyDescent="0.2">
      <c r="G108" s="10"/>
      <c r="J108" s="12" t="e">
        <f t="shared" si="18"/>
        <v>#DIV/0!</v>
      </c>
      <c r="L108" s="12" t="e">
        <f t="shared" si="19"/>
        <v>#DIV/0!</v>
      </c>
      <c r="M108" s="13" t="e">
        <f t="shared" si="20"/>
        <v>#DIV/0!</v>
      </c>
    </row>
    <row r="109" spans="1:13" x14ac:dyDescent="0.2">
      <c r="G109" s="10"/>
      <c r="J109" s="12" t="e">
        <f t="shared" si="18"/>
        <v>#DIV/0!</v>
      </c>
      <c r="L109" s="12" t="e">
        <f t="shared" si="19"/>
        <v>#DIV/0!</v>
      </c>
      <c r="M109" s="13" t="e">
        <f t="shared" si="20"/>
        <v>#DIV/0!</v>
      </c>
    </row>
    <row r="110" spans="1:13" x14ac:dyDescent="0.2">
      <c r="G110" s="10"/>
      <c r="J110" s="12" t="e">
        <f t="shared" si="18"/>
        <v>#DIV/0!</v>
      </c>
      <c r="L110" s="12" t="e">
        <f t="shared" si="19"/>
        <v>#DIV/0!</v>
      </c>
      <c r="M110" s="13" t="e">
        <f t="shared" si="20"/>
        <v>#DIV/0!</v>
      </c>
    </row>
    <row r="111" spans="1:13" x14ac:dyDescent="0.2">
      <c r="G111" s="20"/>
      <c r="J111" s="12" t="e">
        <f t="shared" si="18"/>
        <v>#DIV/0!</v>
      </c>
      <c r="L111" s="12" t="e">
        <f t="shared" si="19"/>
        <v>#DIV/0!</v>
      </c>
      <c r="M111" s="13" t="e">
        <f t="shared" si="20"/>
        <v>#DIV/0!</v>
      </c>
    </row>
    <row r="112" spans="1:13" x14ac:dyDescent="0.2">
      <c r="G112" s="20"/>
      <c r="J112" s="12" t="e">
        <f t="shared" si="18"/>
        <v>#DIV/0!</v>
      </c>
      <c r="L112" s="12" t="e">
        <f t="shared" si="19"/>
        <v>#DIV/0!</v>
      </c>
      <c r="M112" s="13" t="e">
        <f t="shared" si="20"/>
        <v>#DIV/0!</v>
      </c>
    </row>
    <row r="113" spans="7:13" x14ac:dyDescent="0.2">
      <c r="G113" s="10"/>
      <c r="J113" s="12" t="e">
        <f t="shared" si="18"/>
        <v>#DIV/0!</v>
      </c>
      <c r="L113" s="12" t="e">
        <f t="shared" si="19"/>
        <v>#DIV/0!</v>
      </c>
      <c r="M113" s="13" t="e">
        <f t="shared" si="20"/>
        <v>#DIV/0!</v>
      </c>
    </row>
    <row r="114" spans="7:13" x14ac:dyDescent="0.2">
      <c r="G114" s="10"/>
      <c r="J114" s="12" t="e">
        <f t="shared" si="18"/>
        <v>#DIV/0!</v>
      </c>
      <c r="L114" s="12" t="e">
        <f t="shared" si="19"/>
        <v>#DIV/0!</v>
      </c>
      <c r="M114" s="13" t="e">
        <f t="shared" si="20"/>
        <v>#DIV/0!</v>
      </c>
    </row>
    <row r="115" spans="7:13" x14ac:dyDescent="0.2">
      <c r="G115" s="10"/>
      <c r="J115" s="12" t="e">
        <f t="shared" si="18"/>
        <v>#DIV/0!</v>
      </c>
      <c r="L115" s="12" t="e">
        <f t="shared" si="19"/>
        <v>#DIV/0!</v>
      </c>
      <c r="M115" s="13" t="e">
        <f t="shared" si="20"/>
        <v>#DIV/0!</v>
      </c>
    </row>
    <row r="116" spans="7:13" x14ac:dyDescent="0.2">
      <c r="G116" s="10"/>
      <c r="J116" s="12" t="e">
        <f t="shared" si="18"/>
        <v>#DIV/0!</v>
      </c>
      <c r="L116" s="12" t="e">
        <f t="shared" si="19"/>
        <v>#DIV/0!</v>
      </c>
      <c r="M116" s="13" t="e">
        <f t="shared" si="20"/>
        <v>#DIV/0!</v>
      </c>
    </row>
    <row r="117" spans="7:13" x14ac:dyDescent="0.2">
      <c r="G117" s="10"/>
      <c r="J117" s="12" t="e">
        <f t="shared" si="18"/>
        <v>#DIV/0!</v>
      </c>
      <c r="L117" s="12" t="e">
        <f t="shared" si="19"/>
        <v>#DIV/0!</v>
      </c>
      <c r="M117" s="13" t="e">
        <f t="shared" si="20"/>
        <v>#DIV/0!</v>
      </c>
    </row>
    <row r="118" spans="7:13" x14ac:dyDescent="0.2">
      <c r="G118" s="10"/>
      <c r="J118" s="12" t="e">
        <f t="shared" si="18"/>
        <v>#DIV/0!</v>
      </c>
      <c r="L118" s="12" t="e">
        <f t="shared" si="19"/>
        <v>#DIV/0!</v>
      </c>
      <c r="M118" s="13" t="e">
        <f t="shared" si="20"/>
        <v>#DIV/0!</v>
      </c>
    </row>
    <row r="119" spans="7:13" x14ac:dyDescent="0.2">
      <c r="J119" s="12" t="e">
        <f t="shared" si="18"/>
        <v>#DIV/0!</v>
      </c>
      <c r="L119" s="12" t="e">
        <f t="shared" si="19"/>
        <v>#DIV/0!</v>
      </c>
      <c r="M119" s="13" t="e">
        <f t="shared" si="20"/>
        <v>#DIV/0!</v>
      </c>
    </row>
    <row r="120" spans="7:13" x14ac:dyDescent="0.2">
      <c r="J120" s="12" t="e">
        <f t="shared" si="18"/>
        <v>#DIV/0!</v>
      </c>
      <c r="L120" s="12" t="e">
        <f t="shared" si="19"/>
        <v>#DIV/0!</v>
      </c>
      <c r="M120" s="13" t="e">
        <f t="shared" si="20"/>
        <v>#DIV/0!</v>
      </c>
    </row>
  </sheetData>
  <autoFilter ref="A1:S119" xr:uid="{7BF2245D-748A-4A32-82C2-92BFB51F2A5C}">
    <filterColumn colId="2">
      <filters>
        <filter val="대만"/>
        <filter val="미국"/>
        <filter val="일본"/>
        <filter val="호주"/>
        <filter val="홍콩"/>
      </filters>
    </filterColumn>
    <sortState xmlns:xlrd2="http://schemas.microsoft.com/office/spreadsheetml/2017/richdata2" ref="A2:S16">
      <sortCondition ref="G1"/>
    </sortState>
  </autoFilter>
  <phoneticPr fontId="3" type="noConversion"/>
  <conditionalFormatting sqref="M4">
    <cfRule type="colorScale" priority="7">
      <colorScale>
        <cfvo type="min"/>
        <cfvo type="percentile" val="50"/>
        <cfvo type="max"/>
        <color rgb="FFF8696B"/>
        <color rgb="FFFCFCFF"/>
        <color rgb="FF63BE7B"/>
      </colorScale>
    </cfRule>
  </conditionalFormatting>
  <conditionalFormatting sqref="M6:M9">
    <cfRule type="colorScale" priority="8">
      <colorScale>
        <cfvo type="min"/>
        <cfvo type="percentile" val="50"/>
        <cfvo type="max"/>
        <color rgb="FFF8696B"/>
        <color rgb="FFFCFCFF"/>
        <color rgb="FF63BE7B"/>
      </colorScale>
    </cfRule>
  </conditionalFormatting>
  <conditionalFormatting sqref="M10:M12">
    <cfRule type="colorScale" priority="6">
      <colorScale>
        <cfvo type="min"/>
        <cfvo type="percentile" val="50"/>
        <cfvo type="max"/>
        <color rgb="FFF8696B"/>
        <color rgb="FFFCFCFF"/>
        <color rgb="FF63BE7B"/>
      </colorScale>
    </cfRule>
  </conditionalFormatting>
  <conditionalFormatting sqref="M13:M18">
    <cfRule type="colorScale" priority="5">
      <colorScale>
        <cfvo type="min"/>
        <cfvo type="percentile" val="50"/>
        <cfvo type="max"/>
        <color rgb="FFF8696B"/>
        <color rgb="FFFCFCFF"/>
        <color rgb="FF63BE7B"/>
      </colorScale>
    </cfRule>
  </conditionalFormatting>
  <conditionalFormatting sqref="M24:M39">
    <cfRule type="colorScale" priority="4">
      <colorScale>
        <cfvo type="min"/>
        <cfvo type="percentile" val="50"/>
        <cfvo type="max"/>
        <color rgb="FFF8696B"/>
        <color rgb="FFFCFCFF"/>
        <color rgb="FF63BE7B"/>
      </colorScale>
    </cfRule>
  </conditionalFormatting>
  <conditionalFormatting sqref="M45:M48">
    <cfRule type="colorScale" priority="3">
      <colorScale>
        <cfvo type="min"/>
        <cfvo type="percentile" val="50"/>
        <cfvo type="max"/>
        <color rgb="FFF8696B"/>
        <color rgb="FFFCFCFF"/>
        <color rgb="FF63BE7B"/>
      </colorScale>
    </cfRule>
  </conditionalFormatting>
  <conditionalFormatting sqref="M51:M56">
    <cfRule type="colorScale" priority="2">
      <colorScale>
        <cfvo type="min"/>
        <cfvo type="percentile" val="50"/>
        <cfvo type="max"/>
        <color rgb="FFF8696B"/>
        <color rgb="FFFCFCFF"/>
        <color rgb="FF63BE7B"/>
      </colorScale>
    </cfRule>
  </conditionalFormatting>
  <conditionalFormatting sqref="M59:M67">
    <cfRule type="colorScale" priority="1">
      <colorScale>
        <cfvo type="min"/>
        <cfvo type="percentile" val="50"/>
        <cfvo type="max"/>
        <color rgb="FFF8696B"/>
        <color rgb="FFFCFCFF"/>
        <color rgb="FF63BE7B"/>
      </colorScale>
    </cfRule>
  </conditionalFormatting>
  <conditionalFormatting sqref="M123:M1048576 M1:M3 M19:M23 M5 M40:M44 M49:M50 M57:M58 M68:M119">
    <cfRule type="colorScale" priority="9">
      <colorScale>
        <cfvo type="min"/>
        <cfvo type="percentile" val="50"/>
        <cfvo type="max"/>
        <color rgb="FFF8696B"/>
        <color rgb="FFFCFCFF"/>
        <color rgb="FF63BE7B"/>
      </colorScale>
    </cfRule>
  </conditionalFormatting>
  <pageMargins left="0.7" right="0.7" top="0.75" bottom="0.75" header="0.3" footer="0.3"/>
  <pageSetup paperSize="9" orientation="portrait" r:id="rId1"/>
  <ignoredErrors>
    <ignoredError sqref="J40:J44 J49:J50 J57:J58 J68:J109" evalError="1"/>
  </ignoredError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D4C97-0E13-43A4-93E8-6654BFB97C67}">
  <dimension ref="A1:AD730"/>
  <sheetViews>
    <sheetView tabSelected="1" topLeftCell="H552" zoomScale="120" zoomScaleNormal="120" workbookViewId="0">
      <selection activeCell="AD559" sqref="AD559"/>
    </sheetView>
  </sheetViews>
  <sheetFormatPr defaultRowHeight="12.75" x14ac:dyDescent="0.2"/>
  <cols>
    <col min="23" max="23" width="15.125" customWidth="1"/>
  </cols>
  <sheetData>
    <row r="1" spans="1:27" ht="13.5" thickBot="1" x14ac:dyDescent="0.25"/>
    <row r="2" spans="1:27" s="17" customFormat="1" ht="13.5" thickBot="1" x14ac:dyDescent="0.25">
      <c r="A2" s="24" t="s">
        <v>0</v>
      </c>
      <c r="B2" s="25">
        <v>2408</v>
      </c>
      <c r="C2" s="24" t="s">
        <v>30</v>
      </c>
      <c r="D2" s="24" t="s">
        <v>31</v>
      </c>
      <c r="E2" s="24" t="s">
        <v>32</v>
      </c>
      <c r="F2" s="24" t="s">
        <v>33</v>
      </c>
      <c r="G2" s="24" t="s">
        <v>34</v>
      </c>
      <c r="H2" s="24" t="s">
        <v>35</v>
      </c>
      <c r="I2" s="24" t="s">
        <v>36</v>
      </c>
      <c r="J2" s="24" t="s">
        <v>37</v>
      </c>
      <c r="K2" s="24" t="s">
        <v>38</v>
      </c>
      <c r="L2" s="24" t="s">
        <v>39</v>
      </c>
      <c r="M2" s="24" t="s">
        <v>40</v>
      </c>
      <c r="N2" s="24" t="s">
        <v>41</v>
      </c>
      <c r="O2" s="24" t="s">
        <v>42</v>
      </c>
      <c r="P2" s="24" t="s">
        <v>43</v>
      </c>
      <c r="Q2" s="24" t="s">
        <v>44</v>
      </c>
      <c r="R2" s="24" t="s">
        <v>45</v>
      </c>
      <c r="S2" s="24" t="s">
        <v>46</v>
      </c>
      <c r="T2" s="24" t="s">
        <v>47</v>
      </c>
      <c r="U2" s="24" t="s">
        <v>19</v>
      </c>
    </row>
    <row r="3" spans="1:27" s="17" customFormat="1" x14ac:dyDescent="0.2">
      <c r="B3" s="17" t="s">
        <v>51</v>
      </c>
      <c r="I3" s="17">
        <v>11021.7</v>
      </c>
      <c r="J3" s="17">
        <v>7953.6</v>
      </c>
      <c r="K3" s="17">
        <v>6424.9</v>
      </c>
      <c r="L3" s="17">
        <v>7027.1</v>
      </c>
      <c r="M3" s="17">
        <v>7736.4</v>
      </c>
      <c r="N3" s="17">
        <v>8704</v>
      </c>
      <c r="O3" s="17">
        <v>9502.9</v>
      </c>
      <c r="P3" s="17">
        <v>9921</v>
      </c>
      <c r="Q3" s="17">
        <v>8133</v>
      </c>
      <c r="R3" s="17">
        <v>6575.1</v>
      </c>
      <c r="S3" s="17">
        <v>7187.9</v>
      </c>
      <c r="T3" s="17">
        <v>10526</v>
      </c>
      <c r="U3" s="17">
        <v>18779</v>
      </c>
    </row>
    <row r="4" spans="1:27" x14ac:dyDescent="0.2">
      <c r="B4" t="s">
        <v>49</v>
      </c>
      <c r="C4" s="22"/>
      <c r="D4" s="22"/>
      <c r="E4" s="22"/>
      <c r="F4" s="22"/>
      <c r="G4" s="22"/>
      <c r="H4" s="22"/>
      <c r="I4" s="22"/>
      <c r="J4" s="22"/>
      <c r="K4" s="22" t="e">
        <f t="shared" ref="K4:L4" si="0">K3/G3-1</f>
        <v>#DIV/0!</v>
      </c>
      <c r="L4" s="22" t="e">
        <f t="shared" si="0"/>
        <v>#DIV/0!</v>
      </c>
      <c r="M4" s="22">
        <f t="shared" ref="M4" si="1">M3/I3-1</f>
        <v>-0.29807561446963726</v>
      </c>
      <c r="N4" s="22">
        <f t="shared" ref="N4" si="2">N3/J3-1</f>
        <v>9.4347213840273447E-2</v>
      </c>
      <c r="O4" s="22">
        <f t="shared" ref="O4" si="3">O3/K3-1</f>
        <v>0.47907360425843204</v>
      </c>
      <c r="P4" s="22">
        <f t="shared" ref="P4" si="4">P3/L3-1</f>
        <v>0.41181995417739881</v>
      </c>
      <c r="Q4" s="22">
        <f t="shared" ref="Q4" si="5">Q3/M3-1</f>
        <v>5.1264153870017148E-2</v>
      </c>
      <c r="R4" s="22">
        <f t="shared" ref="R4" si="6">R3/N3-1</f>
        <v>-0.2445886948529411</v>
      </c>
      <c r="S4" s="22">
        <f t="shared" ref="S4" si="7">S3/O3-1</f>
        <v>-0.24360984541560993</v>
      </c>
      <c r="T4" s="22">
        <f t="shared" ref="T4:U4" si="8">T3/P3-1</f>
        <v>6.098175587138388E-2</v>
      </c>
      <c r="U4" s="22">
        <f t="shared" si="8"/>
        <v>1.3089880732816921</v>
      </c>
    </row>
    <row r="5" spans="1:27" x14ac:dyDescent="0.2">
      <c r="B5" t="s">
        <v>52</v>
      </c>
      <c r="C5" s="22"/>
      <c r="D5" s="22"/>
      <c r="E5" s="22"/>
      <c r="F5" s="22"/>
      <c r="G5" s="22"/>
      <c r="H5" s="22"/>
      <c r="I5" s="22"/>
      <c r="J5" s="22"/>
      <c r="K5" s="22"/>
      <c r="L5" s="22">
        <f>L3/K3-1</f>
        <v>9.372908527759205E-2</v>
      </c>
      <c r="M5" s="22">
        <f t="shared" ref="M5:U5" si="9">M3/L3-1</f>
        <v>0.10093779795363655</v>
      </c>
      <c r="N5" s="22">
        <f t="shared" si="9"/>
        <v>0.12507109249780268</v>
      </c>
      <c r="O5" s="22">
        <f t="shared" si="9"/>
        <v>9.1785386029411775E-2</v>
      </c>
      <c r="P5" s="22">
        <f t="shared" si="9"/>
        <v>4.3997095623441229E-2</v>
      </c>
      <c r="Q5" s="22">
        <f t="shared" si="9"/>
        <v>-0.18022376776534621</v>
      </c>
      <c r="R5" s="22">
        <f t="shared" si="9"/>
        <v>-0.19155293249723349</v>
      </c>
      <c r="S5" s="22">
        <f t="shared" si="9"/>
        <v>9.3200103420480129E-2</v>
      </c>
      <c r="T5" s="22">
        <f t="shared" si="9"/>
        <v>0.46440545917444598</v>
      </c>
      <c r="U5" s="22">
        <f t="shared" si="9"/>
        <v>0.7840585217556526</v>
      </c>
    </row>
    <row r="6" spans="1:27" s="17" customFormat="1" x14ac:dyDescent="0.2">
      <c r="B6" s="17" t="s">
        <v>48</v>
      </c>
      <c r="I6" s="17">
        <v>920</v>
      </c>
      <c r="J6" s="17">
        <v>-1543.9</v>
      </c>
      <c r="K6" s="17">
        <v>-2885.4</v>
      </c>
      <c r="L6" s="17">
        <v>-3184.5</v>
      </c>
      <c r="M6" s="17">
        <v>-4340</v>
      </c>
      <c r="N6" s="17">
        <v>-4050.3</v>
      </c>
      <c r="O6" s="17">
        <v>-2918.3</v>
      </c>
      <c r="P6" s="17">
        <v>-2319.1999999999998</v>
      </c>
      <c r="Q6" s="17">
        <v>-2505</v>
      </c>
      <c r="R6" s="17">
        <v>-2811.8</v>
      </c>
      <c r="S6" s="17">
        <v>-3155.3</v>
      </c>
      <c r="T6" s="17">
        <v>-4501</v>
      </c>
      <c r="U6" s="17">
        <v>1119</v>
      </c>
    </row>
    <row r="7" spans="1:27" x14ac:dyDescent="0.2">
      <c r="B7" t="s">
        <v>49</v>
      </c>
      <c r="C7" s="22"/>
      <c r="D7" s="22"/>
      <c r="E7" s="22"/>
      <c r="F7" s="22"/>
      <c r="G7" s="22"/>
      <c r="H7" s="22"/>
      <c r="I7" s="22"/>
      <c r="J7" s="22"/>
      <c r="K7" s="22" t="e">
        <f>K6/G6-1</f>
        <v>#DIV/0!</v>
      </c>
      <c r="L7" s="22" t="e">
        <f>L6/H6-1</f>
        <v>#DIV/0!</v>
      </c>
      <c r="M7" s="22">
        <f t="shared" ref="M7:U7" si="10">M6/I6-1</f>
        <v>-5.7173913043478262</v>
      </c>
      <c r="N7" s="22">
        <f t="shared" si="10"/>
        <v>1.6234212060366602</v>
      </c>
      <c r="O7" s="22">
        <f t="shared" si="10"/>
        <v>1.1402231926249451E-2</v>
      </c>
      <c r="P7" s="22">
        <f t="shared" si="10"/>
        <v>-0.27172240540116188</v>
      </c>
      <c r="Q7" s="22">
        <f t="shared" si="10"/>
        <v>-0.42281105990783407</v>
      </c>
      <c r="R7" s="22">
        <f t="shared" si="10"/>
        <v>-0.30577981877885585</v>
      </c>
      <c r="S7" s="22">
        <f t="shared" si="10"/>
        <v>8.1211664325120836E-2</v>
      </c>
      <c r="T7" s="22">
        <f t="shared" si="10"/>
        <v>0.94075543290789954</v>
      </c>
      <c r="U7" s="22">
        <f t="shared" si="10"/>
        <v>-1.4467065868263473</v>
      </c>
    </row>
    <row r="8" spans="1:27" x14ac:dyDescent="0.2">
      <c r="B8" t="s">
        <v>52</v>
      </c>
      <c r="C8" s="22"/>
      <c r="D8" s="22"/>
      <c r="E8" s="22"/>
      <c r="F8" s="22"/>
      <c r="G8" s="22"/>
      <c r="H8" s="22"/>
      <c r="I8" s="22"/>
      <c r="J8" s="22"/>
      <c r="K8" s="22"/>
      <c r="L8" s="22">
        <f>L6/K6-1</f>
        <v>0.10365980453316692</v>
      </c>
      <c r="M8" s="22">
        <f t="shared" ref="M8:U8" si="11">M6/L6-1</f>
        <v>0.36285131103783952</v>
      </c>
      <c r="N8" s="22">
        <f t="shared" si="11"/>
        <v>-6.6751152073732722E-2</v>
      </c>
      <c r="O8" s="22">
        <f t="shared" si="11"/>
        <v>-0.27948547021208303</v>
      </c>
      <c r="P8" s="22">
        <f t="shared" si="11"/>
        <v>-0.20529075146489406</v>
      </c>
      <c r="Q8" s="22">
        <f t="shared" si="11"/>
        <v>8.0113832355984904E-2</v>
      </c>
      <c r="R8" s="22">
        <f t="shared" si="11"/>
        <v>0.12247504990019964</v>
      </c>
      <c r="S8" s="22">
        <f t="shared" si="11"/>
        <v>0.12216373853047879</v>
      </c>
      <c r="T8" s="22">
        <f t="shared" si="11"/>
        <v>0.42648876493518828</v>
      </c>
      <c r="U8" s="22">
        <f t="shared" si="11"/>
        <v>-1.2486114196845146</v>
      </c>
    </row>
    <row r="9" spans="1:27" x14ac:dyDescent="0.2">
      <c r="B9" s="17" t="s">
        <v>50</v>
      </c>
      <c r="C9" s="17"/>
      <c r="D9" s="17"/>
      <c r="E9" s="17"/>
      <c r="F9" s="17"/>
      <c r="G9" s="23"/>
      <c r="H9" s="23"/>
      <c r="I9" s="23"/>
      <c r="J9" s="23"/>
      <c r="K9" s="23">
        <f>AVERAGE(H6:K6)/AVERAGE(G6:J6)-1</f>
        <v>2.7498530747448839</v>
      </c>
      <c r="L9" s="23">
        <f>AVERAGE(I6:L6)/AVERAGE(H6:K6)-1</f>
        <v>0.43058444704072052</v>
      </c>
      <c r="M9" s="23">
        <f>AVERAGE(J6:M6)/AVERAGE(I6:L6)-1</f>
        <v>0.7858017867280167</v>
      </c>
      <c r="N9" s="23">
        <f t="shared" ref="N9:U9" si="12">AVERAGE(K6:N6)/AVERAGE(J6:M6)-1</f>
        <v>0.20967391122488266</v>
      </c>
      <c r="O9" s="23">
        <f t="shared" si="12"/>
        <v>2.2752105780001752E-3</v>
      </c>
      <c r="P9" s="23">
        <f t="shared" si="12"/>
        <v>-5.9704273067873626E-2</v>
      </c>
      <c r="Q9" s="23">
        <f t="shared" si="12"/>
        <v>-0.13465122763762305</v>
      </c>
      <c r="R9" s="23">
        <f t="shared" si="12"/>
        <v>-0.10502170816091172</v>
      </c>
      <c r="S9" s="23">
        <f>AVERAGE(P6:S6)/AVERAGE(O6:R6)-1</f>
        <v>2.2455302578096026E-2</v>
      </c>
      <c r="T9" s="23">
        <f t="shared" si="12"/>
        <v>0.20218138685793208</v>
      </c>
      <c r="U9" s="23">
        <f t="shared" si="12"/>
        <v>-0.27934726472469962</v>
      </c>
    </row>
    <row r="10" spans="1:27" ht="13.5" thickBot="1" x14ac:dyDescent="0.25">
      <c r="V10" s="29">
        <v>45955</v>
      </c>
    </row>
    <row r="11" spans="1:27" ht="13.5" thickBot="1" x14ac:dyDescent="0.25">
      <c r="A11" s="24" t="s">
        <v>0</v>
      </c>
      <c r="B11" s="25" t="s">
        <v>53</v>
      </c>
      <c r="C11" s="24" t="s">
        <v>30</v>
      </c>
      <c r="D11" s="24" t="s">
        <v>31</v>
      </c>
      <c r="E11" s="24" t="s">
        <v>32</v>
      </c>
      <c r="F11" s="24" t="s">
        <v>33</v>
      </c>
      <c r="G11" s="24" t="s">
        <v>34</v>
      </c>
      <c r="H11" s="24" t="s">
        <v>35</v>
      </c>
      <c r="I11" s="24" t="s">
        <v>36</v>
      </c>
      <c r="J11" s="24" t="s">
        <v>37</v>
      </c>
      <c r="K11" s="24" t="s">
        <v>245</v>
      </c>
      <c r="L11" s="24" t="s">
        <v>39</v>
      </c>
      <c r="M11" s="24" t="s">
        <v>40</v>
      </c>
      <c r="N11" s="24" t="s">
        <v>41</v>
      </c>
      <c r="O11" s="24" t="s">
        <v>42</v>
      </c>
      <c r="P11" s="24" t="s">
        <v>43</v>
      </c>
      <c r="Q11" s="24" t="s">
        <v>44</v>
      </c>
      <c r="R11" s="24" t="s">
        <v>45</v>
      </c>
      <c r="S11" s="24" t="s">
        <v>46</v>
      </c>
      <c r="T11" s="24" t="s">
        <v>47</v>
      </c>
      <c r="U11" s="24" t="s">
        <v>19</v>
      </c>
    </row>
    <row r="12" spans="1:27" x14ac:dyDescent="0.2">
      <c r="A12" s="17"/>
      <c r="B12" s="17" t="s">
        <v>51</v>
      </c>
      <c r="C12" s="17"/>
      <c r="D12" s="17"/>
      <c r="E12" s="17"/>
      <c r="F12" s="17"/>
      <c r="G12" s="17"/>
      <c r="H12" s="17"/>
      <c r="I12" s="17"/>
      <c r="J12" s="17"/>
      <c r="K12" s="17">
        <v>5267</v>
      </c>
      <c r="L12" s="17">
        <v>4831</v>
      </c>
      <c r="M12" s="17">
        <v>4811</v>
      </c>
      <c r="N12" s="17">
        <v>4633</v>
      </c>
      <c r="O12" s="17">
        <v>4923</v>
      </c>
      <c r="P12" s="17">
        <v>4843</v>
      </c>
      <c r="Q12" s="17">
        <v>4999</v>
      </c>
      <c r="R12" s="17">
        <v>5570</v>
      </c>
      <c r="S12" s="17">
        <v>5844</v>
      </c>
      <c r="T12" s="17">
        <v>6098</v>
      </c>
      <c r="U12" s="17">
        <v>6382</v>
      </c>
    </row>
    <row r="13" spans="1:27" x14ac:dyDescent="0.2">
      <c r="B13" t="s">
        <v>49</v>
      </c>
      <c r="C13" s="22"/>
      <c r="D13" s="22"/>
      <c r="E13" s="22"/>
      <c r="F13" s="22"/>
      <c r="G13" s="22"/>
      <c r="H13" s="22"/>
      <c r="I13" s="22"/>
      <c r="J13" s="22"/>
      <c r="K13" s="22" t="e">
        <f t="shared" ref="K13" si="13">K12/G12-1</f>
        <v>#DIV/0!</v>
      </c>
      <c r="L13" s="22" t="e">
        <f t="shared" ref="L13" si="14">L12/H12-1</f>
        <v>#DIV/0!</v>
      </c>
      <c r="M13" s="22" t="e">
        <f t="shared" ref="M13" si="15">M12/I12-1</f>
        <v>#DIV/0!</v>
      </c>
      <c r="N13" s="22" t="e">
        <f t="shared" ref="N13" si="16">N12/J12-1</f>
        <v>#DIV/0!</v>
      </c>
      <c r="O13" s="22">
        <f t="shared" ref="O13" si="17">O12/K12-1</f>
        <v>-6.5312322004936418E-2</v>
      </c>
      <c r="P13" s="22">
        <f t="shared" ref="P13" si="18">P12/L12-1</f>
        <v>2.4839577727178153E-3</v>
      </c>
      <c r="Q13" s="22">
        <f t="shared" ref="Q13" si="19">Q12/M12-1</f>
        <v>3.9077114944917835E-2</v>
      </c>
      <c r="R13" s="22">
        <f t="shared" ref="R13" si="20">R12/N12-1</f>
        <v>0.20224476581049</v>
      </c>
      <c r="S13" s="22">
        <f t="shared" ref="S13" si="21">S12/O12-1</f>
        <v>0.18708104814137716</v>
      </c>
      <c r="T13" s="22">
        <f t="shared" ref="T13" si="22">T12/P12-1</f>
        <v>0.25913689861656009</v>
      </c>
      <c r="U13" s="22">
        <f t="shared" ref="U13" si="23">U12/Q12-1</f>
        <v>0.27665533106621321</v>
      </c>
    </row>
    <row r="14" spans="1:27" x14ac:dyDescent="0.2">
      <c r="B14" t="s">
        <v>52</v>
      </c>
      <c r="C14" s="22"/>
      <c r="D14" s="22"/>
      <c r="E14" s="22"/>
      <c r="F14" s="22"/>
      <c r="G14" s="22"/>
      <c r="H14" s="22"/>
      <c r="I14" s="22"/>
      <c r="J14" s="22"/>
      <c r="K14" s="22"/>
      <c r="L14" s="22">
        <f>L12/K12-1</f>
        <v>-8.2779570913233291E-2</v>
      </c>
      <c r="M14" s="22">
        <f t="shared" ref="M14:U14" si="24">M12/L12-1</f>
        <v>-4.1399296211964698E-3</v>
      </c>
      <c r="N14" s="22">
        <f t="shared" si="24"/>
        <v>-3.6998545001039274E-2</v>
      </c>
      <c r="O14" s="22">
        <f t="shared" si="24"/>
        <v>6.2594431254046956E-2</v>
      </c>
      <c r="P14" s="22">
        <f t="shared" si="24"/>
        <v>-1.6250253910217394E-2</v>
      </c>
      <c r="Q14" s="22">
        <f t="shared" si="24"/>
        <v>3.2211439190584334E-2</v>
      </c>
      <c r="R14" s="22">
        <f t="shared" si="24"/>
        <v>0.11422284456891374</v>
      </c>
      <c r="S14" s="22">
        <f t="shared" si="24"/>
        <v>4.919210053859957E-2</v>
      </c>
      <c r="T14" s="22">
        <f t="shared" si="24"/>
        <v>4.3463381245722132E-2</v>
      </c>
      <c r="U14" s="22">
        <f t="shared" si="24"/>
        <v>4.6572646769432513E-2</v>
      </c>
    </row>
    <row r="15" spans="1:27" x14ac:dyDescent="0.2">
      <c r="A15" s="17"/>
      <c r="B15" s="17" t="s">
        <v>48</v>
      </c>
      <c r="C15" s="17"/>
      <c r="D15" s="17"/>
      <c r="E15" s="17"/>
      <c r="F15" s="17"/>
      <c r="G15" s="17"/>
      <c r="H15" s="17"/>
      <c r="I15" s="17"/>
      <c r="J15" s="17"/>
      <c r="K15" s="17">
        <v>623</v>
      </c>
      <c r="L15" s="17">
        <v>368</v>
      </c>
      <c r="M15" s="17">
        <v>-182</v>
      </c>
      <c r="N15" s="17">
        <v>-41</v>
      </c>
      <c r="O15" s="17">
        <v>443</v>
      </c>
      <c r="P15" s="17">
        <v>450</v>
      </c>
      <c r="Q15" s="17">
        <v>472</v>
      </c>
      <c r="R15" s="17">
        <v>1013</v>
      </c>
      <c r="S15" s="17">
        <v>1028</v>
      </c>
      <c r="T15" s="17">
        <v>1514</v>
      </c>
      <c r="U15" s="17">
        <v>1615</v>
      </c>
    </row>
    <row r="16" spans="1:27" x14ac:dyDescent="0.2">
      <c r="B16" t="s">
        <v>49</v>
      </c>
      <c r="C16" s="22"/>
      <c r="D16" s="22"/>
      <c r="E16" s="22"/>
      <c r="F16" s="22"/>
      <c r="G16" s="22"/>
      <c r="H16" s="22"/>
      <c r="I16" s="22"/>
      <c r="J16" s="22"/>
      <c r="K16" s="22" t="e">
        <f>K15/G15-1</f>
        <v>#DIV/0!</v>
      </c>
      <c r="L16" s="22" t="e">
        <f>L15/H15-1</f>
        <v>#DIV/0!</v>
      </c>
      <c r="M16" s="22" t="e">
        <f t="shared" ref="M16" si="25">M15/I15-1</f>
        <v>#DIV/0!</v>
      </c>
      <c r="N16" s="22" t="e">
        <f t="shared" ref="N16" si="26">N15/J15-1</f>
        <v>#DIV/0!</v>
      </c>
      <c r="O16" s="22">
        <f t="shared" ref="O16" si="27">O15/K15-1</f>
        <v>-0.2889245585874799</v>
      </c>
      <c r="P16" s="22">
        <f t="shared" ref="P16" si="28">P15/L15-1</f>
        <v>0.22282608695652173</v>
      </c>
      <c r="Q16" s="22">
        <f t="shared" ref="Q16" si="29">Q15/M15-1</f>
        <v>-3.5934065934065935</v>
      </c>
      <c r="R16" s="22">
        <f t="shared" ref="R16" si="30">R15/N15-1</f>
        <v>-25.707317073170731</v>
      </c>
      <c r="S16" s="22">
        <f t="shared" ref="S16" si="31">S15/O15-1</f>
        <v>1.3205417607223477</v>
      </c>
      <c r="T16" s="22">
        <f t="shared" ref="T16" si="32">T15/P15-1</f>
        <v>2.3644444444444446</v>
      </c>
      <c r="U16" s="22">
        <f t="shared" ref="U16" si="33">U15/Q15-1</f>
        <v>2.4216101694915255</v>
      </c>
      <c r="Z16">
        <v>40</v>
      </c>
      <c r="AA16">
        <v>60</v>
      </c>
    </row>
    <row r="17" spans="1:28" x14ac:dyDescent="0.2">
      <c r="B17" t="s">
        <v>52</v>
      </c>
      <c r="C17" s="22"/>
      <c r="D17" s="22"/>
      <c r="E17" s="22"/>
      <c r="F17" s="22"/>
      <c r="G17" s="22"/>
      <c r="H17" s="22"/>
      <c r="I17" s="22"/>
      <c r="J17" s="22"/>
      <c r="K17" s="22"/>
      <c r="L17" s="22">
        <f>L15/K15-1</f>
        <v>-0.4093097913322632</v>
      </c>
      <c r="M17" s="22">
        <f t="shared" ref="M17:U17" si="34">M15/L15-1</f>
        <v>-1.4945652173913042</v>
      </c>
      <c r="N17" s="22">
        <f t="shared" si="34"/>
        <v>-0.77472527472527475</v>
      </c>
      <c r="O17" s="22">
        <f t="shared" si="34"/>
        <v>-11.804878048780488</v>
      </c>
      <c r="P17" s="22">
        <f t="shared" si="34"/>
        <v>1.5801354401805856E-2</v>
      </c>
      <c r="Q17" s="22">
        <f t="shared" si="34"/>
        <v>4.8888888888888982E-2</v>
      </c>
      <c r="R17" s="22">
        <f>R15/Q15-1</f>
        <v>1.1461864406779663</v>
      </c>
      <c r="S17" s="22">
        <f t="shared" si="34"/>
        <v>1.4807502467917066E-2</v>
      </c>
      <c r="T17" s="22">
        <f t="shared" si="34"/>
        <v>0.47276264591439698</v>
      </c>
      <c r="U17" s="22">
        <f t="shared" si="34"/>
        <v>6.6710700132100342E-2</v>
      </c>
    </row>
    <row r="18" spans="1:28" x14ac:dyDescent="0.2">
      <c r="B18" s="17" t="s">
        <v>50</v>
      </c>
      <c r="C18" s="17"/>
      <c r="D18" s="17"/>
      <c r="E18" s="17"/>
      <c r="F18" s="17"/>
      <c r="G18" s="23"/>
      <c r="H18" s="23"/>
      <c r="I18" s="23"/>
      <c r="J18" s="23"/>
      <c r="K18" s="23" t="e">
        <f>AVERAGE(H15:K15)/AVERAGE(G15:J15)-1</f>
        <v>#DIV/0!</v>
      </c>
      <c r="L18" s="23">
        <f>AVERAGE(I15:L15)/AVERAGE(H15:K15)-1</f>
        <v>-0.2046548956661316</v>
      </c>
      <c r="M18" s="23">
        <f>AVERAGE(J15:M15)/AVERAGE(I15:L15)-1</f>
        <v>-0.45576858392196429</v>
      </c>
      <c r="N18" s="23">
        <f t="shared" ref="N18" si="35">AVERAGE(K15:N15)/AVERAGE(J15:M15)-1</f>
        <v>-0.28800988875154521</v>
      </c>
      <c r="O18" s="28">
        <f>AVERAGE(L15:O15)/AVERAGE(K15:N15)-1</f>
        <v>-0.234375</v>
      </c>
      <c r="P18" s="27">
        <f t="shared" ref="P18" si="36">AVERAGE(M15:P15)/AVERAGE(L15:O15)-1</f>
        <v>0.13945578231292521</v>
      </c>
      <c r="Q18" s="27">
        <f t="shared" ref="Q18" si="37">AVERAGE(N15:Q15)/AVERAGE(M15:P15)-1</f>
        <v>0.9761194029850746</v>
      </c>
      <c r="R18" s="27">
        <f>AVERAGE(O15:R15)/AVERAGE(N15:Q15)-1</f>
        <v>0.79607250755287007</v>
      </c>
      <c r="S18" s="26">
        <f>AVERAGE(P15:S15)/AVERAGE(O15:R15)-1</f>
        <v>0.24600504625735908</v>
      </c>
      <c r="T18" s="26">
        <f t="shared" ref="T18" si="38">AVERAGE(Q15:T15)/AVERAGE(P15:S15)-1</f>
        <v>0.35909551130610873</v>
      </c>
      <c r="U18" s="26">
        <f t="shared" ref="U18" si="39">AVERAGE(R15:U15)/AVERAGE(Q15:T15)-1</f>
        <v>0.28383411969207839</v>
      </c>
      <c r="AB18">
        <v>220</v>
      </c>
    </row>
    <row r="19" spans="1:28" ht="13.5" thickBot="1" x14ac:dyDescent="0.25">
      <c r="AB19">
        <f>AB18*0.7</f>
        <v>154</v>
      </c>
    </row>
    <row r="20" spans="1:28" ht="13.5" thickBot="1" x14ac:dyDescent="0.25">
      <c r="A20" s="24" t="s">
        <v>0</v>
      </c>
      <c r="B20" s="25" t="s">
        <v>54</v>
      </c>
      <c r="C20" s="24" t="s">
        <v>30</v>
      </c>
      <c r="D20" s="24" t="s">
        <v>31</v>
      </c>
      <c r="E20" s="24" t="s">
        <v>32</v>
      </c>
      <c r="F20" s="24" t="s">
        <v>33</v>
      </c>
      <c r="G20" s="24" t="s">
        <v>34</v>
      </c>
      <c r="H20" s="24" t="s">
        <v>35</v>
      </c>
      <c r="I20" s="24" t="s">
        <v>36</v>
      </c>
      <c r="J20" s="24" t="s">
        <v>37</v>
      </c>
      <c r="K20" s="24" t="s">
        <v>38</v>
      </c>
      <c r="L20" s="24" t="s">
        <v>39</v>
      </c>
      <c r="M20" s="24" t="s">
        <v>40</v>
      </c>
      <c r="N20" s="24" t="s">
        <v>41</v>
      </c>
      <c r="O20" s="24" t="s">
        <v>42</v>
      </c>
      <c r="P20" s="24" t="s">
        <v>43</v>
      </c>
      <c r="Q20" s="24" t="s">
        <v>44</v>
      </c>
      <c r="R20" s="24" t="s">
        <v>45</v>
      </c>
      <c r="S20" s="24" t="s">
        <v>46</v>
      </c>
      <c r="T20" s="24" t="s">
        <v>47</v>
      </c>
      <c r="U20" s="24" t="s">
        <v>19</v>
      </c>
      <c r="X20" s="24"/>
      <c r="AB20">
        <f>1081/AB19</f>
        <v>7.0194805194805197</v>
      </c>
    </row>
    <row r="21" spans="1:28" x14ac:dyDescent="0.2">
      <c r="A21" s="17"/>
      <c r="B21" s="17" t="s">
        <v>51</v>
      </c>
      <c r="C21" s="17"/>
      <c r="D21" s="17"/>
      <c r="E21" s="17"/>
      <c r="F21" s="17"/>
      <c r="G21" s="17"/>
      <c r="H21" s="17"/>
      <c r="I21" s="17"/>
      <c r="J21" s="17"/>
      <c r="K21" s="17">
        <v>807.6</v>
      </c>
      <c r="L21" s="17">
        <v>814.1</v>
      </c>
      <c r="M21" s="17">
        <v>743.6</v>
      </c>
      <c r="N21" s="17">
        <v>721.7</v>
      </c>
      <c r="O21" s="17">
        <v>737.5</v>
      </c>
      <c r="P21" s="17">
        <v>773.4</v>
      </c>
      <c r="Q21" s="17">
        <v>747.7</v>
      </c>
      <c r="R21" s="17">
        <v>765.4</v>
      </c>
      <c r="S21" s="17">
        <v>777.4</v>
      </c>
      <c r="T21" s="17">
        <v>823.1</v>
      </c>
      <c r="U21" s="17">
        <v>843.5</v>
      </c>
    </row>
    <row r="22" spans="1:28" x14ac:dyDescent="0.2">
      <c r="B22" t="s">
        <v>49</v>
      </c>
      <c r="C22" s="22"/>
      <c r="D22" s="22"/>
      <c r="E22" s="22"/>
      <c r="F22" s="22"/>
      <c r="G22" s="22"/>
      <c r="H22" s="22"/>
      <c r="I22" s="22"/>
      <c r="J22" s="22"/>
      <c r="K22" s="22" t="e">
        <f t="shared" ref="K22" si="40">K21/G21-1</f>
        <v>#DIV/0!</v>
      </c>
      <c r="L22" s="22" t="e">
        <f t="shared" ref="L22" si="41">L21/H21-1</f>
        <v>#DIV/0!</v>
      </c>
      <c r="M22" s="22" t="e">
        <f t="shared" ref="M22" si="42">M21/I21-1</f>
        <v>#DIV/0!</v>
      </c>
      <c r="N22" s="22" t="e">
        <f t="shared" ref="N22" si="43">N21/J21-1</f>
        <v>#DIV/0!</v>
      </c>
      <c r="O22" s="22">
        <f t="shared" ref="O22" si="44">O21/K21-1</f>
        <v>-8.6800396235760302E-2</v>
      </c>
      <c r="P22" s="22">
        <f t="shared" ref="P22" si="45">P21/L21-1</f>
        <v>-4.9993858248372436E-2</v>
      </c>
      <c r="Q22" s="22">
        <f t="shared" ref="Q22" si="46">Q21/M21-1</f>
        <v>5.5137170521786238E-3</v>
      </c>
      <c r="R22" s="22">
        <f t="shared" ref="R22" si="47">R21/N21-1</f>
        <v>6.0551475682416367E-2</v>
      </c>
      <c r="S22" s="22">
        <f t="shared" ref="S22" si="48">S21/O21-1</f>
        <v>5.4101694915254184E-2</v>
      </c>
      <c r="T22" s="22">
        <f t="shared" ref="T22" si="49">T21/P21-1</f>
        <v>6.4261701577450259E-2</v>
      </c>
      <c r="U22" s="22">
        <f t="shared" ref="U22" si="50">U21/Q21-1</f>
        <v>0.12812625384512488</v>
      </c>
    </row>
    <row r="23" spans="1:28" x14ac:dyDescent="0.2">
      <c r="B23" t="s">
        <v>52</v>
      </c>
      <c r="C23" s="22"/>
      <c r="D23" s="22"/>
      <c r="E23" s="22"/>
      <c r="F23" s="22"/>
      <c r="G23" s="22"/>
      <c r="H23" s="22"/>
      <c r="I23" s="22"/>
      <c r="J23" s="22"/>
      <c r="K23" s="22"/>
      <c r="L23" s="22">
        <f>L21/K21-1</f>
        <v>8.0485388806339486E-3</v>
      </c>
      <c r="M23" s="22">
        <f t="shared" ref="M23:U23" si="51">M21/L21-1</f>
        <v>-8.6598697948654935E-2</v>
      </c>
      <c r="N23" s="22">
        <f t="shared" si="51"/>
        <v>-2.9451317912856378E-2</v>
      </c>
      <c r="O23" s="22">
        <f t="shared" si="51"/>
        <v>2.1892753221560035E-2</v>
      </c>
      <c r="P23" s="22">
        <f t="shared" si="51"/>
        <v>4.8677966101694947E-2</v>
      </c>
      <c r="Q23" s="22">
        <f t="shared" si="51"/>
        <v>-3.3229893974657254E-2</v>
      </c>
      <c r="R23" s="22">
        <f t="shared" si="51"/>
        <v>2.367259596094673E-2</v>
      </c>
      <c r="S23" s="22">
        <f t="shared" si="51"/>
        <v>1.5678076822576381E-2</v>
      </c>
      <c r="T23" s="22">
        <f t="shared" si="51"/>
        <v>5.8785695909441715E-2</v>
      </c>
      <c r="U23" s="22">
        <f t="shared" si="51"/>
        <v>2.478435184060257E-2</v>
      </c>
    </row>
    <row r="24" spans="1:28" x14ac:dyDescent="0.2">
      <c r="A24" s="17"/>
      <c r="B24" s="17" t="s">
        <v>48</v>
      </c>
      <c r="C24" s="17"/>
      <c r="D24" s="17"/>
      <c r="E24" s="17"/>
      <c r="F24" s="17"/>
      <c r="G24" s="17"/>
      <c r="H24" s="17"/>
      <c r="I24" s="17"/>
      <c r="J24" s="17"/>
      <c r="K24" s="17">
        <v>19.100000000000001</v>
      </c>
      <c r="L24" s="17">
        <v>35.9</v>
      </c>
      <c r="M24" s="17">
        <v>19.100000000000001</v>
      </c>
      <c r="N24" s="17">
        <v>21.7</v>
      </c>
      <c r="O24" s="17">
        <v>24.3</v>
      </c>
      <c r="P24" s="17">
        <v>15.5</v>
      </c>
      <c r="Q24" s="17">
        <v>17.399999999999999</v>
      </c>
      <c r="R24" s="17">
        <v>22.1</v>
      </c>
      <c r="S24" s="17">
        <v>41.4</v>
      </c>
      <c r="T24" s="17">
        <v>38</v>
      </c>
      <c r="U24" s="17">
        <v>48.1</v>
      </c>
    </row>
    <row r="25" spans="1:28" x14ac:dyDescent="0.2">
      <c r="B25" t="s">
        <v>49</v>
      </c>
      <c r="C25" s="22"/>
      <c r="D25" s="22"/>
      <c r="E25" s="22"/>
      <c r="F25" s="22"/>
      <c r="G25" s="22"/>
      <c r="H25" s="22"/>
      <c r="I25" s="22"/>
      <c r="J25" s="22"/>
      <c r="K25" s="22" t="e">
        <f>K24/G24-1</f>
        <v>#DIV/0!</v>
      </c>
      <c r="L25" s="22" t="e">
        <f>L24/H24-1</f>
        <v>#DIV/0!</v>
      </c>
      <c r="M25" s="22" t="e">
        <f t="shared" ref="M25" si="52">M24/I24-1</f>
        <v>#DIV/0!</v>
      </c>
      <c r="N25" s="22" t="e">
        <f t="shared" ref="N25" si="53">N24/J24-1</f>
        <v>#DIV/0!</v>
      </c>
      <c r="O25" s="22">
        <f t="shared" ref="O25" si="54">O24/K24-1</f>
        <v>0.2722513089005234</v>
      </c>
      <c r="P25" s="22">
        <f t="shared" ref="P25" si="55">P24/L24-1</f>
        <v>-0.56824512534818938</v>
      </c>
      <c r="Q25" s="22">
        <f t="shared" ref="Q25" si="56">Q24/M24-1</f>
        <v>-8.900523560209439E-2</v>
      </c>
      <c r="R25" s="22">
        <f t="shared" ref="R25" si="57">R24/N24-1</f>
        <v>1.8433179723502446E-2</v>
      </c>
      <c r="S25" s="22">
        <f t="shared" ref="S25" si="58">S24/O24-1</f>
        <v>0.7037037037037035</v>
      </c>
      <c r="T25" s="22">
        <f t="shared" ref="T25" si="59">T24/P24-1</f>
        <v>1.4516129032258065</v>
      </c>
      <c r="U25" s="22">
        <f t="shared" ref="U25" si="60">U24/Q24-1</f>
        <v>1.7643678160919545</v>
      </c>
    </row>
    <row r="26" spans="1:28" x14ac:dyDescent="0.2">
      <c r="B26" t="s">
        <v>52</v>
      </c>
      <c r="C26" s="22"/>
      <c r="D26" s="22"/>
      <c r="E26" s="22"/>
      <c r="F26" s="22"/>
      <c r="G26" s="22"/>
      <c r="H26" s="22"/>
      <c r="I26" s="22"/>
      <c r="J26" s="22"/>
      <c r="K26" s="22"/>
      <c r="L26" s="22">
        <f>L24/K24-1</f>
        <v>0.87958115183246055</v>
      </c>
      <c r="M26" s="22">
        <f t="shared" ref="M26:U26" si="61">M24/L24-1</f>
        <v>-0.46796657381615592</v>
      </c>
      <c r="N26" s="22">
        <f t="shared" si="61"/>
        <v>0.13612565445026159</v>
      </c>
      <c r="O26" s="22">
        <f t="shared" si="61"/>
        <v>0.11981566820276512</v>
      </c>
      <c r="P26" s="22">
        <f t="shared" si="61"/>
        <v>-0.36213991769547327</v>
      </c>
      <c r="Q26" s="22">
        <f t="shared" si="61"/>
        <v>0.1225806451612903</v>
      </c>
      <c r="R26" s="22">
        <f t="shared" si="61"/>
        <v>0.27011494252873591</v>
      </c>
      <c r="S26" s="22">
        <f t="shared" si="61"/>
        <v>0.87330316742081426</v>
      </c>
      <c r="T26" s="22">
        <f t="shared" si="61"/>
        <v>-8.212560386473422E-2</v>
      </c>
      <c r="U26" s="22">
        <f t="shared" si="61"/>
        <v>0.26578947368421058</v>
      </c>
    </row>
    <row r="27" spans="1:28" x14ac:dyDescent="0.2">
      <c r="B27" s="17" t="s">
        <v>50</v>
      </c>
      <c r="C27" s="17"/>
      <c r="D27" s="17"/>
      <c r="E27" s="17"/>
      <c r="F27" s="17"/>
      <c r="G27" s="23"/>
      <c r="H27" s="23"/>
      <c r="I27" s="23"/>
      <c r="J27" s="23"/>
      <c r="K27" s="23" t="e">
        <f>AVERAGE(H24:K24)/AVERAGE(G24:J24)-1</f>
        <v>#DIV/0!</v>
      </c>
      <c r="L27" s="23">
        <f>AVERAGE(I24:L24)/AVERAGE(H24:K24)-1</f>
        <v>0.43979057591623016</v>
      </c>
      <c r="M27" s="23">
        <f>AVERAGE(J24:M24)/AVERAGE(I24:L24)-1</f>
        <v>-0.10181818181818181</v>
      </c>
      <c r="N27" s="23">
        <f t="shared" ref="N27" si="62">AVERAGE(K24:N24)/AVERAGE(J24:M24)-1</f>
        <v>-3.0364372469635637E-2</v>
      </c>
      <c r="O27" s="23">
        <f t="shared" ref="O27" si="63">AVERAGE(L24:O24)/AVERAGE(K24:N24)-1</f>
        <v>5.4279749478079342E-2</v>
      </c>
      <c r="P27" s="23">
        <f t="shared" ref="P27" si="64">AVERAGE(M24:P24)/AVERAGE(L24:O24)-1</f>
        <v>-0.20198019801980205</v>
      </c>
      <c r="Q27" s="23">
        <f t="shared" ref="Q27" si="65">AVERAGE(N24:Q24)/AVERAGE(M24:P24)-1</f>
        <v>-2.109181141439187E-2</v>
      </c>
      <c r="R27" s="23">
        <f t="shared" ref="R27" si="66">AVERAGE(O24:R24)/AVERAGE(N24:Q24)-1</f>
        <v>5.069708491761693E-3</v>
      </c>
      <c r="S27" s="26">
        <f>AVERAGE(P24:S24)/AVERAGE(O24:R24)-1</f>
        <v>0.21563682219419933</v>
      </c>
      <c r="T27" s="26">
        <f t="shared" ref="T27" si="67">AVERAGE(Q24:T24)/AVERAGE(P24:S24)-1</f>
        <v>0.23340248962655608</v>
      </c>
      <c r="U27" s="26">
        <f>AVERAGE(R24:U24)/AVERAGE(Q24:T24)-1</f>
        <v>0.25820016820857861</v>
      </c>
    </row>
    <row r="28" spans="1:28" ht="13.5" thickBot="1" x14ac:dyDescent="0.25"/>
    <row r="29" spans="1:28" ht="13.5" thickBot="1" x14ac:dyDescent="0.25">
      <c r="A29" s="24" t="s">
        <v>0</v>
      </c>
      <c r="B29" s="25">
        <v>600415</v>
      </c>
      <c r="C29" s="24" t="s">
        <v>30</v>
      </c>
      <c r="D29" s="24" t="s">
        <v>31</v>
      </c>
      <c r="E29" s="24" t="s">
        <v>32</v>
      </c>
      <c r="F29" s="24" t="s">
        <v>33</v>
      </c>
      <c r="G29" s="24" t="s">
        <v>34</v>
      </c>
      <c r="H29" s="24" t="s">
        <v>35</v>
      </c>
      <c r="I29" s="24" t="s">
        <v>36</v>
      </c>
      <c r="J29" s="24" t="s">
        <v>37</v>
      </c>
      <c r="K29" s="24" t="s">
        <v>38</v>
      </c>
      <c r="L29" s="24" t="s">
        <v>39</v>
      </c>
      <c r="M29" s="24" t="s">
        <v>40</v>
      </c>
      <c r="N29" s="24" t="s">
        <v>41</v>
      </c>
      <c r="O29" s="24" t="s">
        <v>42</v>
      </c>
      <c r="P29" s="24" t="s">
        <v>43</v>
      </c>
      <c r="Q29" s="24" t="s">
        <v>44</v>
      </c>
      <c r="R29" s="24" t="s">
        <v>45</v>
      </c>
      <c r="S29" s="24" t="s">
        <v>46</v>
      </c>
      <c r="T29" s="24" t="s">
        <v>47</v>
      </c>
      <c r="U29" s="24" t="s">
        <v>19</v>
      </c>
    </row>
    <row r="30" spans="1:28" x14ac:dyDescent="0.2">
      <c r="A30" s="17"/>
      <c r="B30" s="17" t="s">
        <v>51</v>
      </c>
      <c r="C30" s="17"/>
      <c r="D30" s="17"/>
      <c r="E30" s="17"/>
      <c r="F30" s="17"/>
      <c r="G30" s="17"/>
      <c r="H30" s="17"/>
      <c r="I30" s="31">
        <v>2113.4</v>
      </c>
      <c r="J30" s="31">
        <v>1299.2</v>
      </c>
      <c r="K30" s="31">
        <v>2120.3000000000002</v>
      </c>
      <c r="L30" s="31">
        <v>3040.7</v>
      </c>
      <c r="M30" s="31">
        <v>2744.6</v>
      </c>
      <c r="N30" s="31">
        <v>3394.1</v>
      </c>
      <c r="O30" s="31">
        <v>2680.6</v>
      </c>
      <c r="P30" s="31">
        <v>4085.3</v>
      </c>
      <c r="Q30" s="31">
        <v>3847.1</v>
      </c>
      <c r="R30" s="31">
        <v>5124.3</v>
      </c>
      <c r="S30" s="31">
        <v>3161.2</v>
      </c>
      <c r="T30" s="31">
        <v>4551.6000000000004</v>
      </c>
      <c r="U30" s="31">
        <v>5348.3307873800004</v>
      </c>
    </row>
    <row r="31" spans="1:28" x14ac:dyDescent="0.2">
      <c r="B31" t="s">
        <v>49</v>
      </c>
      <c r="C31" s="22"/>
      <c r="D31" s="22"/>
      <c r="E31" s="22"/>
      <c r="F31" s="22"/>
      <c r="G31" s="22"/>
      <c r="H31" s="22"/>
      <c r="I31" s="22"/>
      <c r="J31" s="22"/>
      <c r="K31" s="22" t="e">
        <f t="shared" ref="K31:U31" si="68">K30/G30-1</f>
        <v>#DIV/0!</v>
      </c>
      <c r="L31" s="22" t="e">
        <f t="shared" si="68"/>
        <v>#DIV/0!</v>
      </c>
      <c r="M31" s="22">
        <f t="shared" si="68"/>
        <v>0.29866565723478744</v>
      </c>
      <c r="N31" s="22">
        <f t="shared" si="68"/>
        <v>1.6124538177339898</v>
      </c>
      <c r="O31" s="22">
        <f t="shared" si="68"/>
        <v>0.26425505824647444</v>
      </c>
      <c r="P31" s="22">
        <f t="shared" si="68"/>
        <v>0.34353931660472936</v>
      </c>
      <c r="Q31" s="22">
        <f t="shared" si="68"/>
        <v>0.40169787947241864</v>
      </c>
      <c r="R31" s="22">
        <f t="shared" si="68"/>
        <v>0.50976694852832871</v>
      </c>
      <c r="S31" s="22">
        <f t="shared" si="68"/>
        <v>0.17928821905543524</v>
      </c>
      <c r="T31" s="22">
        <f t="shared" si="68"/>
        <v>0.11414094436149114</v>
      </c>
      <c r="U31" s="22">
        <f t="shared" si="68"/>
        <v>0.39022400961243542</v>
      </c>
    </row>
    <row r="32" spans="1:28" x14ac:dyDescent="0.2">
      <c r="B32" t="s">
        <v>52</v>
      </c>
      <c r="C32" s="22"/>
      <c r="D32" s="22"/>
      <c r="E32" s="22"/>
      <c r="F32" s="22"/>
      <c r="G32" s="22"/>
      <c r="H32" s="22"/>
      <c r="I32" s="22"/>
      <c r="J32" s="22"/>
      <c r="K32" s="22"/>
      <c r="L32" s="22">
        <f t="shared" ref="L32:U32" si="69">L30/K30-1</f>
        <v>0.43408951563457987</v>
      </c>
      <c r="M32" s="22">
        <f t="shared" si="69"/>
        <v>-9.7378893018055024E-2</v>
      </c>
      <c r="N32" s="22">
        <f t="shared" si="69"/>
        <v>0.23664650586606428</v>
      </c>
      <c r="O32" s="22">
        <f t="shared" si="69"/>
        <v>-0.21021773076809758</v>
      </c>
      <c r="P32" s="22">
        <f t="shared" si="69"/>
        <v>0.52402447213310466</v>
      </c>
      <c r="Q32" s="22">
        <f t="shared" si="69"/>
        <v>-5.8306611509558737E-2</v>
      </c>
      <c r="R32" s="22">
        <f t="shared" si="69"/>
        <v>0.33199033037872683</v>
      </c>
      <c r="S32" s="22">
        <f t="shared" si="69"/>
        <v>-0.38309622777745256</v>
      </c>
      <c r="T32" s="22">
        <f t="shared" si="69"/>
        <v>0.43983297481968897</v>
      </c>
      <c r="U32" s="22">
        <f t="shared" si="69"/>
        <v>0.17504411358203709</v>
      </c>
    </row>
    <row r="33" spans="1:21" x14ac:dyDescent="0.2">
      <c r="A33" s="17"/>
      <c r="B33" s="17" t="s">
        <v>48</v>
      </c>
      <c r="C33" s="17"/>
      <c r="D33" s="17"/>
      <c r="E33" s="17"/>
      <c r="F33" s="17"/>
      <c r="G33" s="17"/>
      <c r="H33" s="17"/>
      <c r="I33" s="31">
        <v>285.89999999999998</v>
      </c>
      <c r="J33" s="31">
        <v>-739.7</v>
      </c>
      <c r="K33" s="31">
        <v>471.8</v>
      </c>
      <c r="L33" s="31">
        <v>718.9</v>
      </c>
      <c r="M33" s="31">
        <v>377.4</v>
      </c>
      <c r="N33" s="31">
        <v>460.3</v>
      </c>
      <c r="O33" s="31">
        <v>877.9</v>
      </c>
      <c r="P33" s="31">
        <v>966.3</v>
      </c>
      <c r="Q33" s="31">
        <v>960</v>
      </c>
      <c r="R33" s="31">
        <v>994.1</v>
      </c>
      <c r="S33" s="31">
        <v>963.4</v>
      </c>
      <c r="T33" s="31">
        <v>1069.3</v>
      </c>
      <c r="U33" s="31">
        <v>2244.826352</v>
      </c>
    </row>
    <row r="34" spans="1:21" x14ac:dyDescent="0.2">
      <c r="B34" t="s">
        <v>49</v>
      </c>
      <c r="C34" s="22"/>
      <c r="D34" s="22"/>
      <c r="E34" s="22"/>
      <c r="F34" s="22"/>
      <c r="G34" s="22"/>
      <c r="H34" s="22"/>
      <c r="I34" s="22"/>
      <c r="J34" s="22"/>
      <c r="K34" s="22" t="e">
        <f t="shared" ref="K34:U34" si="70">K33/G33-1</f>
        <v>#DIV/0!</v>
      </c>
      <c r="L34" s="22" t="e">
        <f t="shared" si="70"/>
        <v>#DIV/0!</v>
      </c>
      <c r="M34" s="22">
        <f t="shared" si="70"/>
        <v>0.32004197271773349</v>
      </c>
      <c r="N34" s="22">
        <f t="shared" si="70"/>
        <v>-1.6222793024199</v>
      </c>
      <c r="O34" s="22">
        <f t="shared" si="70"/>
        <v>0.86074607884696896</v>
      </c>
      <c r="P34" s="22">
        <f t="shared" si="70"/>
        <v>0.34413687578244545</v>
      </c>
      <c r="Q34" s="22">
        <f t="shared" si="70"/>
        <v>1.5437201907790143</v>
      </c>
      <c r="R34" s="22">
        <f t="shared" si="70"/>
        <v>1.1596784705626764</v>
      </c>
      <c r="S34" s="22">
        <f t="shared" si="70"/>
        <v>9.7391502449026168E-2</v>
      </c>
      <c r="T34" s="22">
        <f t="shared" si="70"/>
        <v>0.10659215564524471</v>
      </c>
      <c r="U34" s="22">
        <f t="shared" si="70"/>
        <v>1.3383607833333335</v>
      </c>
    </row>
    <row r="35" spans="1:21" x14ac:dyDescent="0.2">
      <c r="B35" t="s">
        <v>52</v>
      </c>
      <c r="C35" s="22"/>
      <c r="D35" s="22"/>
      <c r="E35" s="22"/>
      <c r="F35" s="22"/>
      <c r="G35" s="22"/>
      <c r="H35" s="22"/>
      <c r="I35" s="22"/>
      <c r="J35" s="22"/>
      <c r="K35" s="22"/>
      <c r="L35" s="22">
        <f t="shared" ref="L35:U35" si="71">L33/K33-1</f>
        <v>0.52373887240356076</v>
      </c>
      <c r="M35" s="22">
        <f t="shared" si="71"/>
        <v>-0.47503129781610798</v>
      </c>
      <c r="N35" s="22">
        <f t="shared" si="71"/>
        <v>0.21966083730789632</v>
      </c>
      <c r="O35" s="22">
        <f t="shared" si="71"/>
        <v>0.90723441233977842</v>
      </c>
      <c r="P35" s="22">
        <f t="shared" si="71"/>
        <v>0.10069483995899309</v>
      </c>
      <c r="Q35" s="22">
        <f t="shared" si="71"/>
        <v>-6.5197143744177843E-3</v>
      </c>
      <c r="R35" s="22">
        <f t="shared" si="71"/>
        <v>3.5520833333333446E-2</v>
      </c>
      <c r="S35" s="22">
        <f t="shared" si="71"/>
        <v>-3.0882205009556407E-2</v>
      </c>
      <c r="T35" s="22">
        <f t="shared" si="71"/>
        <v>0.10992318870666384</v>
      </c>
      <c r="U35" s="22">
        <f t="shared" si="71"/>
        <v>1.0993419545497054</v>
      </c>
    </row>
    <row r="36" spans="1:21" x14ac:dyDescent="0.2">
      <c r="B36" s="17" t="s">
        <v>50</v>
      </c>
      <c r="C36" s="17"/>
      <c r="D36" s="17"/>
      <c r="E36" s="17"/>
      <c r="F36" s="17"/>
      <c r="G36" s="23"/>
      <c r="H36" s="23"/>
      <c r="I36" s="23"/>
      <c r="J36" s="23"/>
      <c r="K36" s="23">
        <f t="shared" ref="K36:U36" si="72">AVERAGE(H33:K33)/AVERAGE(G33:J33)-1</f>
        <v>-1.0264433671220801</v>
      </c>
      <c r="L36" s="23">
        <f t="shared" si="72"/>
        <v>29.704166666666758</v>
      </c>
      <c r="M36" s="23">
        <f t="shared" si="72"/>
        <v>0.12416881530736879</v>
      </c>
      <c r="N36" s="23">
        <f t="shared" si="72"/>
        <v>1.4485755673587639</v>
      </c>
      <c r="O36" s="23">
        <f t="shared" si="72"/>
        <v>0.20020705975152842</v>
      </c>
      <c r="P36" s="23">
        <f t="shared" si="72"/>
        <v>0.1016225097555965</v>
      </c>
      <c r="Q36" s="23">
        <f t="shared" si="72"/>
        <v>0.2172340504865955</v>
      </c>
      <c r="R36" s="23">
        <f t="shared" si="72"/>
        <v>0.16351661816510932</v>
      </c>
      <c r="S36" s="23">
        <f t="shared" si="72"/>
        <v>2.25100702946055E-2</v>
      </c>
      <c r="T36" s="23">
        <f t="shared" si="72"/>
        <v>2.6520418147175429E-2</v>
      </c>
      <c r="U36" s="23">
        <f t="shared" si="72"/>
        <v>0.32227007926156315</v>
      </c>
    </row>
    <row r="37" spans="1:21" ht="13.5" thickBot="1" x14ac:dyDescent="0.25"/>
    <row r="38" spans="1:21" ht="13.5" thickBot="1" x14ac:dyDescent="0.25">
      <c r="A38" s="24" t="s">
        <v>0</v>
      </c>
      <c r="B38" s="25">
        <v>7608</v>
      </c>
      <c r="C38" s="24" t="s">
        <v>30</v>
      </c>
      <c r="D38" s="24" t="s">
        <v>31</v>
      </c>
      <c r="E38" s="24" t="s">
        <v>32</v>
      </c>
      <c r="F38" s="24" t="s">
        <v>33</v>
      </c>
      <c r="G38" s="24" t="s">
        <v>34</v>
      </c>
      <c r="H38" s="24" t="s">
        <v>35</v>
      </c>
      <c r="I38" s="24" t="s">
        <v>36</v>
      </c>
      <c r="J38" s="24" t="s">
        <v>37</v>
      </c>
      <c r="K38" s="24" t="s">
        <v>38</v>
      </c>
      <c r="L38" s="24" t="s">
        <v>39</v>
      </c>
      <c r="M38" s="24" t="s">
        <v>40</v>
      </c>
      <c r="N38" s="24" t="s">
        <v>41</v>
      </c>
      <c r="O38" s="24" t="s">
        <v>42</v>
      </c>
      <c r="P38" s="24" t="s">
        <v>43</v>
      </c>
      <c r="Q38" s="24" t="s">
        <v>44</v>
      </c>
      <c r="R38" s="24" t="s">
        <v>45</v>
      </c>
      <c r="S38" s="24" t="s">
        <v>46</v>
      </c>
      <c r="T38" s="24" t="s">
        <v>47</v>
      </c>
      <c r="U38" s="24" t="s">
        <v>19</v>
      </c>
    </row>
    <row r="39" spans="1:21" x14ac:dyDescent="0.2">
      <c r="A39" s="17"/>
      <c r="B39" s="17" t="s">
        <v>51</v>
      </c>
      <c r="C39" s="17"/>
      <c r="D39" s="17"/>
      <c r="E39" s="17"/>
      <c r="F39" s="17"/>
      <c r="G39" s="17"/>
      <c r="H39" s="17"/>
      <c r="I39" s="17">
        <v>2347</v>
      </c>
      <c r="J39" s="17">
        <v>2630</v>
      </c>
      <c r="K39" s="17">
        <v>2593</v>
      </c>
      <c r="L39" s="17">
        <v>2434</v>
      </c>
      <c r="M39" s="17">
        <v>2750</v>
      </c>
      <c r="N39" s="17">
        <v>2484</v>
      </c>
      <c r="O39" s="17">
        <v>2944</v>
      </c>
      <c r="P39" s="17">
        <v>2811</v>
      </c>
      <c r="Q39" s="17">
        <v>3513</v>
      </c>
      <c r="R39" s="17">
        <v>3337</v>
      </c>
      <c r="S39" s="17">
        <v>3613</v>
      </c>
      <c r="T39" s="17">
        <v>3492</v>
      </c>
      <c r="U39" s="17">
        <f>7601-T39</f>
        <v>4109</v>
      </c>
    </row>
    <row r="40" spans="1:21" x14ac:dyDescent="0.2">
      <c r="B40" t="s">
        <v>49</v>
      </c>
      <c r="C40" s="22"/>
      <c r="D40" s="22"/>
      <c r="E40" s="22"/>
      <c r="F40" s="22"/>
      <c r="G40" s="22"/>
      <c r="H40" s="22"/>
      <c r="I40" s="22"/>
      <c r="J40" s="22"/>
      <c r="K40" s="22" t="e">
        <f t="shared" ref="K40:U40" si="73">K39/G39-1</f>
        <v>#DIV/0!</v>
      </c>
      <c r="L40" s="22" t="e">
        <f t="shared" si="73"/>
        <v>#DIV/0!</v>
      </c>
      <c r="M40" s="22">
        <f t="shared" si="73"/>
        <v>0.17170856412441404</v>
      </c>
      <c r="N40" s="22">
        <f t="shared" si="73"/>
        <v>-5.5513307984790927E-2</v>
      </c>
      <c r="O40" s="22">
        <f t="shared" si="73"/>
        <v>0.13536444273042814</v>
      </c>
      <c r="P40" s="22">
        <f t="shared" si="73"/>
        <v>0.15488907148726372</v>
      </c>
      <c r="Q40" s="22">
        <f t="shared" si="73"/>
        <v>0.2774545454545454</v>
      </c>
      <c r="R40" s="22">
        <f t="shared" si="73"/>
        <v>0.34339774557165859</v>
      </c>
      <c r="S40" s="22">
        <f t="shared" si="73"/>
        <v>0.22724184782608692</v>
      </c>
      <c r="T40" s="22">
        <f t="shared" si="73"/>
        <v>0.24226254002134473</v>
      </c>
      <c r="U40" s="22">
        <f t="shared" si="73"/>
        <v>0.16965556504412183</v>
      </c>
    </row>
    <row r="41" spans="1:21" x14ac:dyDescent="0.2">
      <c r="B41" t="s">
        <v>52</v>
      </c>
      <c r="C41" s="22"/>
      <c r="D41" s="22"/>
      <c r="E41" s="22"/>
      <c r="F41" s="22"/>
      <c r="G41" s="22"/>
      <c r="H41" s="22"/>
      <c r="I41" s="22"/>
      <c r="J41" s="22"/>
      <c r="K41" s="22"/>
      <c r="L41" s="22">
        <f t="shared" ref="L41:U41" si="74">L39/K39-1</f>
        <v>-6.13189355958349E-2</v>
      </c>
      <c r="M41" s="22">
        <f t="shared" si="74"/>
        <v>0.12982744453574369</v>
      </c>
      <c r="N41" s="22">
        <f t="shared" si="74"/>
        <v>-9.6727272727272773E-2</v>
      </c>
      <c r="O41" s="22">
        <f t="shared" si="74"/>
        <v>0.18518518518518512</v>
      </c>
      <c r="P41" s="22">
        <f t="shared" si="74"/>
        <v>-4.5176630434782594E-2</v>
      </c>
      <c r="Q41" s="22">
        <f t="shared" si="74"/>
        <v>0.24973319103521874</v>
      </c>
      <c r="R41" s="22">
        <f t="shared" si="74"/>
        <v>-5.0099629945915214E-2</v>
      </c>
      <c r="S41" s="22">
        <f t="shared" si="74"/>
        <v>8.2709020077914364E-2</v>
      </c>
      <c r="T41" s="22">
        <f t="shared" si="74"/>
        <v>-3.3490174370329417E-2</v>
      </c>
      <c r="U41" s="22">
        <f t="shared" si="74"/>
        <v>0.17668957617411229</v>
      </c>
    </row>
    <row r="42" spans="1:21" x14ac:dyDescent="0.2">
      <c r="A42" s="17"/>
      <c r="B42" s="17" t="s">
        <v>48</v>
      </c>
      <c r="C42" s="17"/>
      <c r="D42" s="17"/>
      <c r="E42" s="17"/>
      <c r="F42" s="17"/>
      <c r="G42" s="17"/>
      <c r="H42" s="17"/>
      <c r="I42" s="17">
        <v>158</v>
      </c>
      <c r="J42" s="17">
        <v>166</v>
      </c>
      <c r="K42" s="17">
        <v>76</v>
      </c>
      <c r="L42" s="17">
        <v>278</v>
      </c>
      <c r="M42" s="17">
        <v>318</v>
      </c>
      <c r="N42" s="17">
        <v>213</v>
      </c>
      <c r="O42" s="17">
        <v>183</v>
      </c>
      <c r="P42" s="17">
        <v>292</v>
      </c>
      <c r="Q42" s="17">
        <v>293</v>
      </c>
      <c r="R42" s="17">
        <v>400</v>
      </c>
      <c r="S42" s="17">
        <v>244</v>
      </c>
      <c r="T42" s="17">
        <v>413</v>
      </c>
      <c r="U42" s="17">
        <f>1007-T42</f>
        <v>594</v>
      </c>
    </row>
    <row r="43" spans="1:21" x14ac:dyDescent="0.2">
      <c r="B43" t="s">
        <v>49</v>
      </c>
      <c r="C43" s="22"/>
      <c r="D43" s="22"/>
      <c r="E43" s="22"/>
      <c r="F43" s="22"/>
      <c r="G43" s="22"/>
      <c r="H43" s="22"/>
      <c r="I43" s="22"/>
      <c r="J43" s="22"/>
      <c r="K43" s="22" t="e">
        <f t="shared" ref="K43:U43" si="75">K42/G42-1</f>
        <v>#DIV/0!</v>
      </c>
      <c r="L43" s="22" t="e">
        <f t="shared" si="75"/>
        <v>#DIV/0!</v>
      </c>
      <c r="M43" s="22">
        <f t="shared" si="75"/>
        <v>1.0126582278481013</v>
      </c>
      <c r="N43" s="22">
        <f t="shared" si="75"/>
        <v>0.2831325301204819</v>
      </c>
      <c r="O43" s="22">
        <f t="shared" si="75"/>
        <v>1.4078947368421053</v>
      </c>
      <c r="P43" s="22">
        <f t="shared" si="75"/>
        <v>5.0359712230215736E-2</v>
      </c>
      <c r="Q43" s="22">
        <f t="shared" si="75"/>
        <v>-7.8616352201257844E-2</v>
      </c>
      <c r="R43" s="22">
        <f t="shared" si="75"/>
        <v>0.8779342723004695</v>
      </c>
      <c r="S43" s="22">
        <f t="shared" si="75"/>
        <v>0.33333333333333326</v>
      </c>
      <c r="T43" s="22">
        <f t="shared" si="75"/>
        <v>0.41438356164383561</v>
      </c>
      <c r="U43" s="22">
        <f t="shared" si="75"/>
        <v>1.0273037542662116</v>
      </c>
    </row>
    <row r="44" spans="1:21" x14ac:dyDescent="0.2">
      <c r="B44" t="s">
        <v>52</v>
      </c>
      <c r="C44" s="22"/>
      <c r="D44" s="22"/>
      <c r="E44" s="22"/>
      <c r="F44" s="22"/>
      <c r="G44" s="22"/>
      <c r="H44" s="22"/>
      <c r="I44" s="22"/>
      <c r="J44" s="22"/>
      <c r="K44" s="22"/>
      <c r="L44" s="22">
        <f t="shared" ref="L44:U44" si="76">L42/K42-1</f>
        <v>2.6578947368421053</v>
      </c>
      <c r="M44" s="22">
        <f t="shared" si="76"/>
        <v>0.14388489208633093</v>
      </c>
      <c r="N44" s="22">
        <f t="shared" si="76"/>
        <v>-0.33018867924528306</v>
      </c>
      <c r="O44" s="22">
        <f t="shared" si="76"/>
        <v>-0.14084507042253525</v>
      </c>
      <c r="P44" s="22">
        <f t="shared" si="76"/>
        <v>0.59562841530054644</v>
      </c>
      <c r="Q44" s="22">
        <f t="shared" si="76"/>
        <v>3.424657534246478E-3</v>
      </c>
      <c r="R44" s="22">
        <f t="shared" si="76"/>
        <v>0.36518771331058031</v>
      </c>
      <c r="S44" s="22">
        <f t="shared" si="76"/>
        <v>-0.39</v>
      </c>
      <c r="T44" s="22">
        <f t="shared" si="76"/>
        <v>0.69262295081967218</v>
      </c>
      <c r="U44" s="22">
        <f t="shared" si="76"/>
        <v>0.43825665859564156</v>
      </c>
    </row>
    <row r="45" spans="1:21" x14ac:dyDescent="0.2">
      <c r="B45" s="17" t="s">
        <v>50</v>
      </c>
      <c r="C45" s="17"/>
      <c r="D45" s="17"/>
      <c r="E45" s="17"/>
      <c r="F45" s="17"/>
      <c r="G45" s="23"/>
      <c r="H45" s="23"/>
      <c r="I45" s="23"/>
      <c r="J45" s="23"/>
      <c r="K45" s="23">
        <f t="shared" ref="K45:U45" si="77">AVERAGE(H42:K42)/AVERAGE(G42:J42)-1</f>
        <v>-0.17695473251028804</v>
      </c>
      <c r="L45" s="23">
        <f t="shared" si="77"/>
        <v>0.27124999999999999</v>
      </c>
      <c r="M45" s="23">
        <f t="shared" si="77"/>
        <v>0.2359882005899705</v>
      </c>
      <c r="N45" s="23">
        <f t="shared" si="77"/>
        <v>5.6085918854415384E-2</v>
      </c>
      <c r="O45" s="23">
        <f t="shared" si="77"/>
        <v>0.12090395480225991</v>
      </c>
      <c r="P45" s="23">
        <f t="shared" si="77"/>
        <v>1.4112903225806495E-2</v>
      </c>
      <c r="Q45" s="23">
        <f t="shared" si="77"/>
        <v>-2.4850894632206799E-2</v>
      </c>
      <c r="R45" s="23">
        <f t="shared" si="77"/>
        <v>0.19062181447502557</v>
      </c>
      <c r="S45" s="23">
        <f t="shared" si="77"/>
        <v>5.2226027397260344E-2</v>
      </c>
      <c r="T45" s="23">
        <f t="shared" si="77"/>
        <v>9.8454027664768073E-2</v>
      </c>
      <c r="U45" s="23">
        <f t="shared" si="77"/>
        <v>0.22296296296296303</v>
      </c>
    </row>
    <row r="46" spans="1:21" ht="13.5" thickBot="1" x14ac:dyDescent="0.25"/>
    <row r="47" spans="1:21" ht="13.5" thickBot="1" x14ac:dyDescent="0.25">
      <c r="A47" s="24" t="s">
        <v>0</v>
      </c>
      <c r="B47" s="25" t="s">
        <v>83</v>
      </c>
      <c r="C47" s="24" t="s">
        <v>30</v>
      </c>
      <c r="D47" s="24" t="s">
        <v>31</v>
      </c>
      <c r="E47" s="24" t="s">
        <v>32</v>
      </c>
      <c r="F47" s="24" t="s">
        <v>33</v>
      </c>
      <c r="G47" s="24" t="s">
        <v>34</v>
      </c>
      <c r="H47" s="24" t="s">
        <v>35</v>
      </c>
      <c r="I47" s="24" t="s">
        <v>36</v>
      </c>
      <c r="J47" s="24" t="s">
        <v>37</v>
      </c>
      <c r="K47" s="24" t="s">
        <v>38</v>
      </c>
      <c r="L47" s="24" t="s">
        <v>39</v>
      </c>
      <c r="M47" s="24" t="s">
        <v>40</v>
      </c>
      <c r="N47" s="24" t="s">
        <v>41</v>
      </c>
      <c r="O47" s="24" t="s">
        <v>42</v>
      </c>
      <c r="P47" s="24" t="s">
        <v>43</v>
      </c>
      <c r="Q47" s="24" t="s">
        <v>44</v>
      </c>
      <c r="R47" s="24" t="s">
        <v>45</v>
      </c>
      <c r="S47" s="24" t="s">
        <v>46</v>
      </c>
      <c r="T47" s="24" t="s">
        <v>47</v>
      </c>
      <c r="U47" s="24" t="s">
        <v>19</v>
      </c>
    </row>
    <row r="48" spans="1:21" x14ac:dyDescent="0.2">
      <c r="A48" s="17"/>
      <c r="B48" s="17" t="s">
        <v>51</v>
      </c>
      <c r="C48" s="17"/>
      <c r="D48" s="17"/>
      <c r="E48" s="17"/>
      <c r="F48" s="17"/>
      <c r="G48" s="17"/>
      <c r="H48" s="17"/>
      <c r="I48" s="17">
        <v>5074.1000000000004</v>
      </c>
      <c r="J48" s="17">
        <v>5277.6</v>
      </c>
      <c r="K48" s="17">
        <v>3869.6</v>
      </c>
      <c r="L48" s="17">
        <v>3207.3</v>
      </c>
      <c r="M48" s="17">
        <v>3482.1</v>
      </c>
      <c r="N48" s="17">
        <v>3758.3</v>
      </c>
      <c r="O48" s="17">
        <v>3793.6</v>
      </c>
      <c r="P48" s="17">
        <v>3871.5</v>
      </c>
      <c r="Q48" s="17">
        <v>4168</v>
      </c>
      <c r="R48" s="17">
        <v>4376</v>
      </c>
      <c r="S48" s="17">
        <v>4720.2</v>
      </c>
      <c r="T48" s="17">
        <v>5171.3999999999996</v>
      </c>
      <c r="U48" s="17">
        <v>5324.2</v>
      </c>
    </row>
    <row r="49" spans="1:21" x14ac:dyDescent="0.2">
      <c r="B49" t="s">
        <v>49</v>
      </c>
      <c r="C49" s="22"/>
      <c r="D49" s="22"/>
      <c r="E49" s="22"/>
      <c r="F49" s="22"/>
      <c r="G49" s="22"/>
      <c r="H49" s="22"/>
      <c r="I49" s="22"/>
      <c r="J49" s="22"/>
      <c r="K49" s="22" t="e">
        <f t="shared" ref="K49:U49" si="78">K48/G48-1</f>
        <v>#DIV/0!</v>
      </c>
      <c r="L49" s="22" t="e">
        <f t="shared" si="78"/>
        <v>#DIV/0!</v>
      </c>
      <c r="M49" s="22">
        <f t="shared" si="78"/>
        <v>-0.31375022171419564</v>
      </c>
      <c r="N49" s="22">
        <f t="shared" si="78"/>
        <v>-0.28787706533272706</v>
      </c>
      <c r="O49" s="22">
        <f t="shared" si="78"/>
        <v>-1.964027289642345E-2</v>
      </c>
      <c r="P49" s="22">
        <f t="shared" si="78"/>
        <v>0.20709007576466187</v>
      </c>
      <c r="Q49" s="22">
        <f t="shared" si="78"/>
        <v>0.19697883461129773</v>
      </c>
      <c r="R49" s="22">
        <f t="shared" si="78"/>
        <v>0.16435622488891255</v>
      </c>
      <c r="S49" s="22">
        <f t="shared" si="78"/>
        <v>0.24425347954449594</v>
      </c>
      <c r="T49" s="22">
        <f t="shared" si="78"/>
        <v>0.3357613328167377</v>
      </c>
      <c r="U49" s="22">
        <f t="shared" si="78"/>
        <v>0.2773992322456813</v>
      </c>
    </row>
    <row r="50" spans="1:21" x14ac:dyDescent="0.2">
      <c r="B50" t="s">
        <v>52</v>
      </c>
      <c r="C50" s="22"/>
      <c r="D50" s="22"/>
      <c r="E50" s="22"/>
      <c r="F50" s="22"/>
      <c r="G50" s="22"/>
      <c r="H50" s="22"/>
      <c r="I50" s="22"/>
      <c r="J50" s="22"/>
      <c r="K50" s="22"/>
      <c r="L50" s="22">
        <f t="shared" ref="L50:U50" si="79">L48/K48-1</f>
        <v>-0.17115464130659497</v>
      </c>
      <c r="M50" s="22">
        <f t="shared" si="79"/>
        <v>8.5679543541296255E-2</v>
      </c>
      <c r="N50" s="22">
        <f t="shared" si="79"/>
        <v>7.9319950604520351E-2</v>
      </c>
      <c r="O50" s="22">
        <f t="shared" si="79"/>
        <v>9.392544501503286E-3</v>
      </c>
      <c r="P50" s="22">
        <f t="shared" si="79"/>
        <v>2.0534584563475455E-2</v>
      </c>
      <c r="Q50" s="22">
        <f t="shared" si="79"/>
        <v>7.6585302854190962E-2</v>
      </c>
      <c r="R50" s="22">
        <f t="shared" si="79"/>
        <v>4.9904030710172798E-2</v>
      </c>
      <c r="S50" s="22">
        <f t="shared" si="79"/>
        <v>7.8656307129798764E-2</v>
      </c>
      <c r="T50" s="22">
        <f t="shared" si="79"/>
        <v>9.5589169950425878E-2</v>
      </c>
      <c r="U50" s="22">
        <f t="shared" si="79"/>
        <v>2.954712456974895E-2</v>
      </c>
    </row>
    <row r="51" spans="1:21" x14ac:dyDescent="0.2">
      <c r="A51" s="17"/>
      <c r="B51" s="17" t="s">
        <v>48</v>
      </c>
      <c r="C51" s="17"/>
      <c r="D51" s="17"/>
      <c r="E51" s="17"/>
      <c r="F51" s="17"/>
      <c r="G51" s="17"/>
      <c r="H51" s="17"/>
      <c r="I51" s="17">
        <v>1697.8</v>
      </c>
      <c r="J51" s="17">
        <v>1680.2</v>
      </c>
      <c r="K51" s="17">
        <v>942.3</v>
      </c>
      <c r="L51" s="17">
        <v>854.6</v>
      </c>
      <c r="M51" s="17">
        <v>1023</v>
      </c>
      <c r="N51" s="17">
        <v>1057.2</v>
      </c>
      <c r="O51" s="17">
        <v>1057.0999999999999</v>
      </c>
      <c r="P51" s="17">
        <v>1126.5999999999999</v>
      </c>
      <c r="Q51" s="17">
        <v>1264.2</v>
      </c>
      <c r="R51" s="17">
        <v>1333.9</v>
      </c>
      <c r="S51" s="17">
        <v>1561.8</v>
      </c>
      <c r="T51" s="17">
        <v>1741.1</v>
      </c>
      <c r="U51" s="17">
        <v>1829.1</v>
      </c>
    </row>
    <row r="52" spans="1:21" x14ac:dyDescent="0.2">
      <c r="B52" t="s">
        <v>49</v>
      </c>
      <c r="C52" s="22"/>
      <c r="D52" s="22"/>
      <c r="E52" s="22"/>
      <c r="F52" s="22"/>
      <c r="G52" s="22"/>
      <c r="H52" s="22"/>
      <c r="I52" s="22"/>
      <c r="J52" s="22"/>
      <c r="K52" s="22" t="e">
        <f t="shared" ref="K52:U52" si="80">K51/G51-1</f>
        <v>#DIV/0!</v>
      </c>
      <c r="L52" s="22" t="e">
        <f t="shared" si="80"/>
        <v>#DIV/0!</v>
      </c>
      <c r="M52" s="22">
        <f t="shared" si="80"/>
        <v>-0.39745553068677109</v>
      </c>
      <c r="N52" s="22">
        <f t="shared" si="80"/>
        <v>-0.37078919176288538</v>
      </c>
      <c r="O52" s="22">
        <f t="shared" si="80"/>
        <v>0.12182956595564032</v>
      </c>
      <c r="P52" s="22">
        <f t="shared" si="80"/>
        <v>0.31827755675169667</v>
      </c>
      <c r="Q52" s="22">
        <f t="shared" si="80"/>
        <v>0.2357771260997068</v>
      </c>
      <c r="R52" s="22">
        <f t="shared" si="80"/>
        <v>0.26172909572455549</v>
      </c>
      <c r="S52" s="22">
        <f t="shared" si="80"/>
        <v>0.47743827452464305</v>
      </c>
      <c r="T52" s="22">
        <f t="shared" si="80"/>
        <v>0.54544647612284747</v>
      </c>
      <c r="U52" s="22">
        <f t="shared" si="80"/>
        <v>0.44684385382059788</v>
      </c>
    </row>
    <row r="53" spans="1:21" x14ac:dyDescent="0.2">
      <c r="B53" t="s">
        <v>52</v>
      </c>
      <c r="C53" s="22"/>
      <c r="D53" s="22"/>
      <c r="E53" s="22"/>
      <c r="F53" s="22"/>
      <c r="G53" s="22"/>
      <c r="H53" s="22"/>
      <c r="I53" s="22"/>
      <c r="J53" s="22"/>
      <c r="K53" s="22"/>
      <c r="L53" s="22">
        <f t="shared" ref="L53:U53" si="81">L51/K51-1</f>
        <v>-9.3070147511408186E-2</v>
      </c>
      <c r="M53" s="22">
        <f t="shared" si="81"/>
        <v>0.19705125204774165</v>
      </c>
      <c r="N53" s="22">
        <f t="shared" si="81"/>
        <v>3.3431085043988285E-2</v>
      </c>
      <c r="O53" s="22">
        <f t="shared" si="81"/>
        <v>-9.4589481649753893E-5</v>
      </c>
      <c r="P53" s="22">
        <f t="shared" si="81"/>
        <v>6.5745908617916848E-2</v>
      </c>
      <c r="Q53" s="22">
        <f t="shared" si="81"/>
        <v>0.12213740458015288</v>
      </c>
      <c r="R53" s="22">
        <f t="shared" si="81"/>
        <v>5.5133681379528676E-2</v>
      </c>
      <c r="S53" s="22">
        <f t="shared" si="81"/>
        <v>0.17085238773521239</v>
      </c>
      <c r="T53" s="22">
        <f t="shared" si="81"/>
        <v>0.11480343193750797</v>
      </c>
      <c r="U53" s="22">
        <f t="shared" si="81"/>
        <v>5.0542760323933233E-2</v>
      </c>
    </row>
    <row r="54" spans="1:21" x14ac:dyDescent="0.2">
      <c r="B54" s="17" t="s">
        <v>50</v>
      </c>
      <c r="C54" s="17"/>
      <c r="D54" s="17"/>
      <c r="E54" s="17"/>
      <c r="F54" s="17"/>
      <c r="G54" s="23"/>
      <c r="H54" s="23"/>
      <c r="I54" s="23"/>
      <c r="J54" s="23"/>
      <c r="K54" s="23">
        <f t="shared" ref="K54:U54" si="82">AVERAGE(H51:K51)/AVERAGE(G51:J51)-1</f>
        <v>-0.14736530491415034</v>
      </c>
      <c r="L54" s="23">
        <f t="shared" si="82"/>
        <v>-0.10164224706617597</v>
      </c>
      <c r="M54" s="23">
        <f t="shared" si="82"/>
        <v>-0.1303986550464743</v>
      </c>
      <c r="N54" s="23">
        <f t="shared" si="82"/>
        <v>-0.13844136796960071</v>
      </c>
      <c r="O54" s="23">
        <f t="shared" si="82"/>
        <v>2.9609759872069263E-2</v>
      </c>
      <c r="P54" s="23">
        <f t="shared" si="82"/>
        <v>6.8137979408301685E-2</v>
      </c>
      <c r="Q54" s="23">
        <f t="shared" si="82"/>
        <v>5.6567930767607244E-2</v>
      </c>
      <c r="R54" s="23">
        <f t="shared" si="82"/>
        <v>6.1419280371134644E-2</v>
      </c>
      <c r="S54" s="23">
        <f t="shared" si="82"/>
        <v>0.10554602869212437</v>
      </c>
      <c r="T54" s="23">
        <f t="shared" si="82"/>
        <v>0.11623947791544498</v>
      </c>
      <c r="U54" s="23">
        <f t="shared" si="82"/>
        <v>9.5729537366547879E-2</v>
      </c>
    </row>
    <row r="55" spans="1:21" ht="13.5" thickBot="1" x14ac:dyDescent="0.25"/>
    <row r="56" spans="1:21" ht="13.5" thickBot="1" x14ac:dyDescent="0.25">
      <c r="A56" s="24" t="s">
        <v>0</v>
      </c>
      <c r="B56" s="25" t="s">
        <v>75</v>
      </c>
      <c r="C56" s="24" t="s">
        <v>30</v>
      </c>
      <c r="D56" s="24" t="s">
        <v>31</v>
      </c>
      <c r="E56" s="24" t="s">
        <v>32</v>
      </c>
      <c r="F56" s="24" t="s">
        <v>33</v>
      </c>
      <c r="G56" s="24" t="s">
        <v>34</v>
      </c>
      <c r="H56" s="24" t="s">
        <v>35</v>
      </c>
      <c r="I56" s="24" t="s">
        <v>36</v>
      </c>
      <c r="J56" s="24" t="s">
        <v>37</v>
      </c>
      <c r="K56" s="24" t="s">
        <v>38</v>
      </c>
      <c r="L56" s="24" t="s">
        <v>39</v>
      </c>
      <c r="M56" s="24" t="s">
        <v>40</v>
      </c>
      <c r="N56" s="24" t="s">
        <v>41</v>
      </c>
      <c r="O56" s="24" t="s">
        <v>42</v>
      </c>
      <c r="P56" s="24" t="s">
        <v>43</v>
      </c>
      <c r="Q56" s="24" t="s">
        <v>44</v>
      </c>
      <c r="R56" s="24" t="s">
        <v>45</v>
      </c>
      <c r="S56" s="24" t="s">
        <v>46</v>
      </c>
      <c r="T56" s="24" t="s">
        <v>47</v>
      </c>
      <c r="U56" s="24" t="s">
        <v>19</v>
      </c>
    </row>
    <row r="57" spans="1:21" x14ac:dyDescent="0.2">
      <c r="A57" s="17"/>
      <c r="B57" s="17" t="s">
        <v>51</v>
      </c>
      <c r="C57" s="17"/>
      <c r="D57" s="17"/>
      <c r="E57" s="17"/>
      <c r="F57" s="17"/>
      <c r="G57" s="17"/>
      <c r="H57" s="17"/>
      <c r="I57" s="17"/>
      <c r="J57" s="17"/>
      <c r="K57" s="17">
        <v>6822</v>
      </c>
      <c r="L57" s="17">
        <v>8120</v>
      </c>
      <c r="M57" s="17">
        <v>8252</v>
      </c>
      <c r="N57" s="17">
        <v>10045</v>
      </c>
      <c r="O57" s="17">
        <v>7259</v>
      </c>
      <c r="P57" s="17">
        <v>8204</v>
      </c>
      <c r="Q57" s="17">
        <v>8913</v>
      </c>
      <c r="R57" s="17">
        <v>10558</v>
      </c>
      <c r="S57" s="17">
        <v>8032</v>
      </c>
      <c r="T57" s="17">
        <v>9111</v>
      </c>
      <c r="U57" s="17">
        <v>9969</v>
      </c>
    </row>
    <row r="58" spans="1:21" x14ac:dyDescent="0.2">
      <c r="B58" t="s">
        <v>49</v>
      </c>
      <c r="C58" s="22"/>
      <c r="D58" s="22"/>
      <c r="E58" s="22"/>
      <c r="F58" s="22"/>
      <c r="G58" s="22"/>
      <c r="H58" s="22"/>
      <c r="I58" s="22"/>
      <c r="J58" s="22"/>
      <c r="K58" s="22" t="e">
        <f t="shared" ref="K58:U58" si="83">K57/G57-1</f>
        <v>#DIV/0!</v>
      </c>
      <c r="L58" s="22" t="e">
        <f t="shared" si="83"/>
        <v>#DIV/0!</v>
      </c>
      <c r="M58" s="22" t="e">
        <f t="shared" si="83"/>
        <v>#DIV/0!</v>
      </c>
      <c r="N58" s="22" t="e">
        <f t="shared" si="83"/>
        <v>#DIV/0!</v>
      </c>
      <c r="O58" s="22">
        <f t="shared" si="83"/>
        <v>6.4057461155086592E-2</v>
      </c>
      <c r="P58" s="22">
        <f t="shared" si="83"/>
        <v>1.0344827586206806E-2</v>
      </c>
      <c r="Q58" s="22">
        <f t="shared" si="83"/>
        <v>8.010179350460489E-2</v>
      </c>
      <c r="R58" s="22">
        <f t="shared" si="83"/>
        <v>5.1070184171229549E-2</v>
      </c>
      <c r="S58" s="22">
        <f t="shared" si="83"/>
        <v>0.10648849703815944</v>
      </c>
      <c r="T58" s="22">
        <f t="shared" si="83"/>
        <v>0.11055582642613349</v>
      </c>
      <c r="U58" s="22">
        <f t="shared" si="83"/>
        <v>0.11847862672500842</v>
      </c>
    </row>
    <row r="59" spans="1:21" x14ac:dyDescent="0.2">
      <c r="B59" t="s">
        <v>52</v>
      </c>
      <c r="C59" s="22"/>
      <c r="D59" s="22"/>
      <c r="E59" s="22"/>
      <c r="F59" s="22"/>
      <c r="G59" s="22"/>
      <c r="H59" s="22"/>
      <c r="I59" s="22"/>
      <c r="J59" s="22"/>
      <c r="K59" s="22"/>
      <c r="L59" s="22">
        <f t="shared" ref="L59:U59" si="84">L57/K57-1</f>
        <v>0.19026678393433016</v>
      </c>
      <c r="M59" s="22">
        <f t="shared" si="84"/>
        <v>1.625615763546806E-2</v>
      </c>
      <c r="N59" s="22">
        <f t="shared" si="84"/>
        <v>0.21728065923412498</v>
      </c>
      <c r="O59" s="22">
        <f t="shared" si="84"/>
        <v>-0.27735191637630663</v>
      </c>
      <c r="P59" s="22">
        <f t="shared" si="84"/>
        <v>0.13018322082931544</v>
      </c>
      <c r="Q59" s="22">
        <f t="shared" si="84"/>
        <v>8.6421257922964401E-2</v>
      </c>
      <c r="R59" s="22">
        <f t="shared" si="84"/>
        <v>0.1845618759115899</v>
      </c>
      <c r="S59" s="22">
        <f t="shared" si="84"/>
        <v>-0.23924985792763787</v>
      </c>
      <c r="T59" s="22">
        <f t="shared" si="84"/>
        <v>0.13433764940239046</v>
      </c>
      <c r="U59" s="22">
        <f t="shared" si="84"/>
        <v>9.4171880144879871E-2</v>
      </c>
    </row>
    <row r="60" spans="1:21" x14ac:dyDescent="0.2">
      <c r="A60" s="17"/>
      <c r="B60" s="17" t="s">
        <v>48</v>
      </c>
      <c r="C60" s="17"/>
      <c r="D60" s="17"/>
      <c r="E60" s="17"/>
      <c r="F60" s="17"/>
      <c r="G60" s="17"/>
      <c r="H60" s="17"/>
      <c r="I60" s="17"/>
      <c r="J60" s="17"/>
      <c r="K60" s="17">
        <v>-469</v>
      </c>
      <c r="L60" s="17">
        <v>-341</v>
      </c>
      <c r="M60" s="17">
        <v>-307</v>
      </c>
      <c r="N60" s="17">
        <v>195</v>
      </c>
      <c r="O60" s="17">
        <v>-289</v>
      </c>
      <c r="P60" s="17">
        <v>527</v>
      </c>
      <c r="Q60" s="17">
        <v>-359</v>
      </c>
      <c r="R60" s="17">
        <v>593</v>
      </c>
      <c r="S60" s="17">
        <v>43</v>
      </c>
      <c r="T60" s="17">
        <v>378</v>
      </c>
      <c r="U60" s="17">
        <v>366</v>
      </c>
    </row>
    <row r="61" spans="1:21" x14ac:dyDescent="0.2">
      <c r="B61" t="s">
        <v>49</v>
      </c>
      <c r="C61" s="22"/>
      <c r="D61" s="22"/>
      <c r="E61" s="22"/>
      <c r="F61" s="22"/>
      <c r="G61" s="22"/>
      <c r="H61" s="22"/>
      <c r="I61" s="22"/>
      <c r="J61" s="22"/>
      <c r="K61" s="22" t="e">
        <f t="shared" ref="K61:U61" si="85">K60/G60-1</f>
        <v>#DIV/0!</v>
      </c>
      <c r="L61" s="22" t="e">
        <f t="shared" si="85"/>
        <v>#DIV/0!</v>
      </c>
      <c r="M61" s="22" t="e">
        <f t="shared" si="85"/>
        <v>#DIV/0!</v>
      </c>
      <c r="N61" s="22" t="e">
        <f t="shared" si="85"/>
        <v>#DIV/0!</v>
      </c>
      <c r="O61" s="22">
        <f t="shared" si="85"/>
        <v>-0.38379530916844351</v>
      </c>
      <c r="P61" s="22">
        <f t="shared" si="85"/>
        <v>-2.5454545454545454</v>
      </c>
      <c r="Q61" s="22">
        <f t="shared" si="85"/>
        <v>0.16938110749185675</v>
      </c>
      <c r="R61" s="22">
        <f t="shared" si="85"/>
        <v>2.0410256410256409</v>
      </c>
      <c r="S61" s="22">
        <f t="shared" si="85"/>
        <v>-1.1487889273356402</v>
      </c>
      <c r="T61" s="22">
        <f t="shared" si="85"/>
        <v>-0.2827324478178368</v>
      </c>
      <c r="U61" s="22">
        <f t="shared" si="85"/>
        <v>-2.0194986072423395</v>
      </c>
    </row>
    <row r="62" spans="1:21" x14ac:dyDescent="0.2">
      <c r="B62" t="s">
        <v>52</v>
      </c>
      <c r="C62" s="22"/>
      <c r="D62" s="22"/>
      <c r="E62" s="22"/>
      <c r="F62" s="22"/>
      <c r="G62" s="22"/>
      <c r="H62" s="22"/>
      <c r="I62" s="22"/>
      <c r="J62" s="22"/>
      <c r="K62" s="22"/>
      <c r="L62" s="22">
        <f t="shared" ref="L62:U62" si="86">L60/K60-1</f>
        <v>-0.27292110874200426</v>
      </c>
      <c r="M62" s="22">
        <f t="shared" si="86"/>
        <v>-9.9706744868035213E-2</v>
      </c>
      <c r="N62" s="22">
        <f t="shared" si="86"/>
        <v>-1.6351791530944624</v>
      </c>
      <c r="O62" s="22">
        <f t="shared" si="86"/>
        <v>-2.4820512820512821</v>
      </c>
      <c r="P62" s="22">
        <f t="shared" si="86"/>
        <v>-2.8235294117647056</v>
      </c>
      <c r="Q62" s="22">
        <f t="shared" si="86"/>
        <v>-1.6812144212523719</v>
      </c>
      <c r="R62" s="22">
        <f t="shared" si="86"/>
        <v>-2.6518105849582172</v>
      </c>
      <c r="S62" s="22">
        <f t="shared" si="86"/>
        <v>-0.92748735244519387</v>
      </c>
      <c r="T62" s="22">
        <f t="shared" si="86"/>
        <v>7.7906976744186043</v>
      </c>
      <c r="U62" s="22">
        <f t="shared" si="86"/>
        <v>-3.1746031746031744E-2</v>
      </c>
    </row>
    <row r="63" spans="1:21" x14ac:dyDescent="0.2">
      <c r="B63" s="17" t="s">
        <v>50</v>
      </c>
      <c r="C63" s="17"/>
      <c r="D63" s="17"/>
      <c r="E63" s="17"/>
      <c r="F63" s="17"/>
      <c r="G63" s="23"/>
      <c r="H63" s="23"/>
      <c r="I63" s="23"/>
      <c r="J63" s="23"/>
      <c r="K63" s="23" t="e">
        <f t="shared" ref="K63:U63" si="87">AVERAGE(H60:K60)/AVERAGE(G60:J60)-1</f>
        <v>#DIV/0!</v>
      </c>
      <c r="L63" s="23">
        <f t="shared" si="87"/>
        <v>-0.13646055437100213</v>
      </c>
      <c r="M63" s="23">
        <f t="shared" si="87"/>
        <v>-8.0658436213991824E-2</v>
      </c>
      <c r="N63" s="23">
        <f t="shared" si="87"/>
        <v>-0.38093106535362575</v>
      </c>
      <c r="O63" s="23">
        <f t="shared" si="87"/>
        <v>-0.1952277657266811</v>
      </c>
      <c r="P63" s="23">
        <f t="shared" si="87"/>
        <v>-1.1698113207547169</v>
      </c>
      <c r="Q63" s="23">
        <f t="shared" si="87"/>
        <v>-0.41269841269841268</v>
      </c>
      <c r="R63" s="23">
        <f t="shared" si="87"/>
        <v>5.3783783783783781</v>
      </c>
      <c r="S63" s="23">
        <f t="shared" si="87"/>
        <v>0.70338983050847448</v>
      </c>
      <c r="T63" s="23">
        <f t="shared" si="87"/>
        <v>-0.18532338308457708</v>
      </c>
      <c r="U63" s="23">
        <f t="shared" si="87"/>
        <v>1.1068702290076335</v>
      </c>
    </row>
    <row r="64" spans="1:21" ht="13.5" thickBot="1" x14ac:dyDescent="0.25"/>
    <row r="65" spans="1:21" ht="13.5" thickBot="1" x14ac:dyDescent="0.25">
      <c r="A65" s="24" t="s">
        <v>0</v>
      </c>
      <c r="B65" s="25" t="s">
        <v>71</v>
      </c>
      <c r="C65" s="24" t="s">
        <v>30</v>
      </c>
      <c r="D65" s="24" t="s">
        <v>31</v>
      </c>
      <c r="E65" s="24" t="s">
        <v>32</v>
      </c>
      <c r="F65" s="24" t="s">
        <v>33</v>
      </c>
      <c r="G65" s="24" t="s">
        <v>34</v>
      </c>
      <c r="H65" s="24" t="s">
        <v>35</v>
      </c>
      <c r="I65" s="24" t="s">
        <v>36</v>
      </c>
      <c r="J65" s="24" t="s">
        <v>37</v>
      </c>
      <c r="K65" s="24" t="s">
        <v>38</v>
      </c>
      <c r="L65" s="24" t="s">
        <v>39</v>
      </c>
      <c r="M65" s="24" t="s">
        <v>40</v>
      </c>
      <c r="N65" s="24" t="s">
        <v>41</v>
      </c>
      <c r="O65" s="24" t="s">
        <v>42</v>
      </c>
      <c r="P65" s="24" t="s">
        <v>43</v>
      </c>
      <c r="Q65" s="24" t="s">
        <v>44</v>
      </c>
      <c r="R65" s="24" t="s">
        <v>45</v>
      </c>
      <c r="S65" s="24" t="s">
        <v>46</v>
      </c>
      <c r="T65" s="24" t="s">
        <v>47</v>
      </c>
      <c r="U65" s="24" t="s">
        <v>19</v>
      </c>
    </row>
    <row r="66" spans="1:21" x14ac:dyDescent="0.2">
      <c r="A66" s="17"/>
      <c r="B66" s="17" t="s">
        <v>51</v>
      </c>
      <c r="C66" s="17"/>
      <c r="D66" s="17"/>
      <c r="E66" s="17"/>
      <c r="F66" s="17"/>
      <c r="G66" s="17"/>
      <c r="H66" s="17"/>
      <c r="I66" s="17"/>
      <c r="J66" s="17"/>
      <c r="K66" s="17">
        <v>2974</v>
      </c>
      <c r="L66" s="17">
        <v>3053.9</v>
      </c>
      <c r="M66" s="17">
        <v>3199.2</v>
      </c>
      <c r="N66" s="17">
        <v>3327.5</v>
      </c>
      <c r="O66" s="17">
        <v>3256.3</v>
      </c>
      <c r="P66" s="17">
        <v>3609.7</v>
      </c>
      <c r="Q66" s="17">
        <v>4038.8</v>
      </c>
      <c r="R66" s="17">
        <v>4317.8</v>
      </c>
      <c r="S66" s="17">
        <v>4811</v>
      </c>
      <c r="T66" s="17">
        <v>5650.3</v>
      </c>
      <c r="U66" s="17">
        <v>6194.4</v>
      </c>
    </row>
    <row r="67" spans="1:21" x14ac:dyDescent="0.2">
      <c r="B67" t="s">
        <v>49</v>
      </c>
      <c r="C67" s="22"/>
      <c r="D67" s="22"/>
      <c r="E67" s="22"/>
      <c r="F67" s="22"/>
      <c r="G67" s="22"/>
      <c r="H67" s="22"/>
      <c r="I67" s="22"/>
      <c r="J67" s="22"/>
      <c r="K67" s="22" t="e">
        <f t="shared" ref="K67:U67" si="88">K66/G66-1</f>
        <v>#DIV/0!</v>
      </c>
      <c r="L67" s="22" t="e">
        <f t="shared" si="88"/>
        <v>#DIV/0!</v>
      </c>
      <c r="M67" s="22" t="e">
        <f t="shared" si="88"/>
        <v>#DIV/0!</v>
      </c>
      <c r="N67" s="22" t="e">
        <f t="shared" si="88"/>
        <v>#DIV/0!</v>
      </c>
      <c r="O67" s="22">
        <f t="shared" si="88"/>
        <v>9.4922663080027059E-2</v>
      </c>
      <c r="P67" s="22">
        <f t="shared" si="88"/>
        <v>0.1819967909885718</v>
      </c>
      <c r="Q67" s="22">
        <f t="shared" si="88"/>
        <v>0.26244061015253828</v>
      </c>
      <c r="R67" s="22">
        <f t="shared" si="88"/>
        <v>0.29761081893313301</v>
      </c>
      <c r="S67" s="22">
        <f t="shared" si="88"/>
        <v>0.47744372447256089</v>
      </c>
      <c r="T67" s="22">
        <f t="shared" si="88"/>
        <v>0.56531013657644702</v>
      </c>
      <c r="U67" s="22">
        <f t="shared" si="88"/>
        <v>0.53372288798653056</v>
      </c>
    </row>
    <row r="68" spans="1:21" x14ac:dyDescent="0.2">
      <c r="B68" t="s">
        <v>52</v>
      </c>
      <c r="C68" s="22"/>
      <c r="D68" s="22"/>
      <c r="E68" s="22"/>
      <c r="F68" s="22"/>
      <c r="G68" s="22"/>
      <c r="H68" s="22"/>
      <c r="I68" s="22"/>
      <c r="J68" s="22"/>
      <c r="K68" s="22"/>
      <c r="L68" s="22">
        <f t="shared" ref="L68:U68" si="89">L66/K66-1</f>
        <v>2.6866173503698798E-2</v>
      </c>
      <c r="M68" s="22">
        <f t="shared" si="89"/>
        <v>4.7578506172435198E-2</v>
      </c>
      <c r="N68" s="22">
        <f t="shared" si="89"/>
        <v>4.0103775943985953E-2</v>
      </c>
      <c r="O68" s="22">
        <f t="shared" si="89"/>
        <v>-2.1397445529676928E-2</v>
      </c>
      <c r="P68" s="22">
        <f t="shared" si="89"/>
        <v>0.10852808402174241</v>
      </c>
      <c r="Q68" s="22">
        <f t="shared" si="89"/>
        <v>0.11887414466576174</v>
      </c>
      <c r="R68" s="22">
        <f t="shared" si="89"/>
        <v>6.9079924730117925E-2</v>
      </c>
      <c r="S68" s="22">
        <f t="shared" si="89"/>
        <v>0.1142248367224048</v>
      </c>
      <c r="T68" s="22">
        <f t="shared" si="89"/>
        <v>0.17445437538973185</v>
      </c>
      <c r="U68" s="22">
        <f t="shared" si="89"/>
        <v>9.6295771905916316E-2</v>
      </c>
    </row>
    <row r="69" spans="1:21" x14ac:dyDescent="0.2">
      <c r="A69" s="17"/>
      <c r="B69" s="17" t="s">
        <v>48</v>
      </c>
      <c r="C69" s="17"/>
      <c r="D69" s="17"/>
      <c r="E69" s="17"/>
      <c r="F69" s="17"/>
      <c r="G69" s="17"/>
      <c r="H69" s="17"/>
      <c r="I69" s="17"/>
      <c r="J69" s="17"/>
      <c r="K69" s="17">
        <v>591.70000000000005</v>
      </c>
      <c r="L69" s="17">
        <v>619.9</v>
      </c>
      <c r="M69" s="17">
        <v>657.9</v>
      </c>
      <c r="N69" s="17">
        <v>690</v>
      </c>
      <c r="O69" s="17">
        <v>684.8</v>
      </c>
      <c r="P69" s="17">
        <v>698.8</v>
      </c>
      <c r="Q69" s="17">
        <v>819.5</v>
      </c>
      <c r="R69" s="17">
        <v>953.7</v>
      </c>
      <c r="S69" s="17">
        <v>1024.8</v>
      </c>
      <c r="T69" s="17">
        <v>1418.8</v>
      </c>
      <c r="U69" s="17">
        <v>1702.3</v>
      </c>
    </row>
    <row r="70" spans="1:21" x14ac:dyDescent="0.2">
      <c r="B70" t="s">
        <v>49</v>
      </c>
      <c r="C70" s="22"/>
      <c r="D70" s="22"/>
      <c r="E70" s="22"/>
      <c r="F70" s="22"/>
      <c r="G70" s="22"/>
      <c r="H70" s="22"/>
      <c r="I70" s="22"/>
      <c r="J70" s="22"/>
      <c r="K70" s="22" t="e">
        <f t="shared" ref="K70:U70" si="90">K69/G69-1</f>
        <v>#DIV/0!</v>
      </c>
      <c r="L70" s="22" t="e">
        <f t="shared" si="90"/>
        <v>#DIV/0!</v>
      </c>
      <c r="M70" s="22" t="e">
        <f t="shared" si="90"/>
        <v>#DIV/0!</v>
      </c>
      <c r="N70" s="22" t="e">
        <f t="shared" si="90"/>
        <v>#DIV/0!</v>
      </c>
      <c r="O70" s="22">
        <f t="shared" si="90"/>
        <v>0.15734324826770307</v>
      </c>
      <c r="P70" s="22">
        <f t="shared" si="90"/>
        <v>0.12727859332150349</v>
      </c>
      <c r="Q70" s="22">
        <f t="shared" si="90"/>
        <v>0.24563003495972047</v>
      </c>
      <c r="R70" s="22">
        <f t="shared" si="90"/>
        <v>0.38217391304347825</v>
      </c>
      <c r="S70" s="22">
        <f t="shared" si="90"/>
        <v>0.49649532710280386</v>
      </c>
      <c r="T70" s="22">
        <f t="shared" si="90"/>
        <v>1.0303377218088152</v>
      </c>
      <c r="U70" s="22">
        <f t="shared" si="90"/>
        <v>1.0772422208663821</v>
      </c>
    </row>
    <row r="71" spans="1:21" x14ac:dyDescent="0.2">
      <c r="B71" t="s">
        <v>52</v>
      </c>
      <c r="C71" s="22"/>
      <c r="D71" s="22"/>
      <c r="E71" s="22"/>
      <c r="F71" s="22"/>
      <c r="G71" s="22"/>
      <c r="H71" s="22"/>
      <c r="I71" s="22"/>
      <c r="J71" s="22"/>
      <c r="K71" s="22"/>
      <c r="L71" s="22">
        <f t="shared" ref="L71:U71" si="91">L69/K69-1</f>
        <v>4.7659286800743494E-2</v>
      </c>
      <c r="M71" s="22">
        <f t="shared" si="91"/>
        <v>6.1300209711243836E-2</v>
      </c>
      <c r="N71" s="22">
        <f t="shared" si="91"/>
        <v>4.8791609667122593E-2</v>
      </c>
      <c r="O71" s="22">
        <f t="shared" si="91"/>
        <v>-7.5362318840580533E-3</v>
      </c>
      <c r="P71" s="22">
        <f t="shared" si="91"/>
        <v>2.04439252336448E-2</v>
      </c>
      <c r="Q71" s="22">
        <f t="shared" si="91"/>
        <v>0.17272467086433885</v>
      </c>
      <c r="R71" s="22">
        <f t="shared" si="91"/>
        <v>0.16375838926174513</v>
      </c>
      <c r="S71" s="22">
        <f t="shared" si="91"/>
        <v>7.455174583202262E-2</v>
      </c>
      <c r="T71" s="22">
        <f t="shared" si="91"/>
        <v>0.38446526151444194</v>
      </c>
      <c r="U71" s="22">
        <f t="shared" si="91"/>
        <v>0.19981674654637716</v>
      </c>
    </row>
    <row r="72" spans="1:21" x14ac:dyDescent="0.2">
      <c r="B72" s="17" t="s">
        <v>50</v>
      </c>
      <c r="C72" s="17"/>
      <c r="D72" s="17"/>
      <c r="E72" s="17"/>
      <c r="F72" s="17"/>
      <c r="G72" s="23"/>
      <c r="H72" s="23"/>
      <c r="I72" s="23"/>
      <c r="J72" s="23"/>
      <c r="K72" s="23" t="e">
        <f t="shared" ref="K72:U72" si="92">AVERAGE(H69:K69)/AVERAGE(G69:J69)-1</f>
        <v>#DIV/0!</v>
      </c>
      <c r="L72" s="23">
        <f t="shared" si="92"/>
        <v>2.3829643400371747E-2</v>
      </c>
      <c r="M72" s="23">
        <f t="shared" si="92"/>
        <v>2.8667326950588823E-2</v>
      </c>
      <c r="N72" s="23">
        <f t="shared" si="92"/>
        <v>2.681198181331923E-2</v>
      </c>
      <c r="O72" s="23">
        <f t="shared" si="92"/>
        <v>3.6374291853877638E-2</v>
      </c>
      <c r="P72" s="23">
        <f t="shared" si="92"/>
        <v>2.9744401719068225E-2</v>
      </c>
      <c r="Q72" s="23">
        <f t="shared" si="92"/>
        <v>5.9161632802489539E-2</v>
      </c>
      <c r="R72" s="23">
        <f t="shared" si="92"/>
        <v>9.1147903632781579E-2</v>
      </c>
      <c r="S72" s="23">
        <f t="shared" si="92"/>
        <v>0.10770400405473901</v>
      </c>
      <c r="T72" s="23">
        <f t="shared" si="92"/>
        <v>0.20590253946465342</v>
      </c>
      <c r="U72" s="23">
        <f t="shared" si="92"/>
        <v>0.20935306393473718</v>
      </c>
    </row>
    <row r="73" spans="1:21" ht="13.5" thickBot="1" x14ac:dyDescent="0.25">
      <c r="C73" s="22"/>
      <c r="D73" s="22"/>
      <c r="E73" s="22"/>
      <c r="F73" s="22"/>
      <c r="G73" s="22"/>
      <c r="H73" s="22"/>
      <c r="I73" s="22"/>
      <c r="J73" s="22"/>
      <c r="K73" s="22"/>
      <c r="L73" s="22"/>
      <c r="M73" s="22"/>
      <c r="N73" s="22"/>
      <c r="O73" s="22"/>
      <c r="P73" s="22"/>
      <c r="Q73" s="22"/>
      <c r="R73" s="22"/>
      <c r="S73" s="22"/>
      <c r="T73" s="22"/>
      <c r="U73" s="22"/>
    </row>
    <row r="74" spans="1:21" ht="13.5" thickBot="1" x14ac:dyDescent="0.25">
      <c r="A74" s="24" t="s">
        <v>0</v>
      </c>
      <c r="B74" s="25" t="s">
        <v>67</v>
      </c>
      <c r="C74" s="24" t="s">
        <v>30</v>
      </c>
      <c r="D74" s="24" t="s">
        <v>31</v>
      </c>
      <c r="E74" s="24" t="s">
        <v>32</v>
      </c>
      <c r="F74" s="24" t="s">
        <v>33</v>
      </c>
      <c r="G74" s="24" t="s">
        <v>34</v>
      </c>
      <c r="H74" s="24" t="s">
        <v>35</v>
      </c>
      <c r="I74" s="24" t="s">
        <v>36</v>
      </c>
      <c r="J74" s="24" t="s">
        <v>37</v>
      </c>
      <c r="K74" s="24" t="s">
        <v>38</v>
      </c>
      <c r="L74" s="24" t="s">
        <v>39</v>
      </c>
      <c r="M74" s="24" t="s">
        <v>40</v>
      </c>
      <c r="N74" s="24" t="s">
        <v>41</v>
      </c>
      <c r="O74" s="24" t="s">
        <v>42</v>
      </c>
      <c r="P74" s="24" t="s">
        <v>43</v>
      </c>
      <c r="Q74" s="24" t="s">
        <v>44</v>
      </c>
      <c r="R74" s="24" t="s">
        <v>45</v>
      </c>
      <c r="S74" s="24" t="s">
        <v>46</v>
      </c>
      <c r="T74" s="24" t="s">
        <v>47</v>
      </c>
      <c r="U74" s="24" t="s">
        <v>19</v>
      </c>
    </row>
    <row r="75" spans="1:21" x14ac:dyDescent="0.2">
      <c r="A75" s="17"/>
      <c r="B75" s="17" t="s">
        <v>51</v>
      </c>
      <c r="C75" s="17"/>
      <c r="D75" s="17"/>
      <c r="E75" s="17"/>
      <c r="F75" s="17"/>
      <c r="G75" s="17"/>
      <c r="H75" s="17"/>
      <c r="I75" s="17"/>
      <c r="J75" s="17"/>
      <c r="K75" s="17">
        <v>3389</v>
      </c>
      <c r="L75" s="17">
        <v>3599</v>
      </c>
      <c r="M75" s="17">
        <v>3527</v>
      </c>
      <c r="N75" s="17">
        <v>3725</v>
      </c>
      <c r="O75" s="17">
        <v>3856</v>
      </c>
      <c r="P75" s="17">
        <v>4120</v>
      </c>
      <c r="Q75" s="17">
        <v>4209</v>
      </c>
      <c r="R75" s="17">
        <v>4561</v>
      </c>
      <c r="S75" s="17">
        <v>4663</v>
      </c>
      <c r="T75" s="17">
        <v>5061</v>
      </c>
      <c r="U75" s="17">
        <v>5065</v>
      </c>
    </row>
    <row r="76" spans="1:21" x14ac:dyDescent="0.2">
      <c r="B76" t="s">
        <v>49</v>
      </c>
      <c r="C76" s="22"/>
      <c r="D76" s="22"/>
      <c r="E76" s="22"/>
      <c r="F76" s="22"/>
      <c r="G76" s="22"/>
      <c r="H76" s="22"/>
      <c r="I76" s="22"/>
      <c r="J76" s="22"/>
      <c r="K76" s="22" t="e">
        <f t="shared" ref="K76:U76" si="93">K75/G75-1</f>
        <v>#DIV/0!</v>
      </c>
      <c r="L76" s="22" t="e">
        <f t="shared" si="93"/>
        <v>#DIV/0!</v>
      </c>
      <c r="M76" s="22" t="e">
        <f t="shared" si="93"/>
        <v>#DIV/0!</v>
      </c>
      <c r="N76" s="22" t="e">
        <f t="shared" si="93"/>
        <v>#DIV/0!</v>
      </c>
      <c r="O76" s="22">
        <f t="shared" si="93"/>
        <v>0.13779876069637065</v>
      </c>
      <c r="P76" s="22">
        <f t="shared" si="93"/>
        <v>0.14476243400944711</v>
      </c>
      <c r="Q76" s="22">
        <f t="shared" si="93"/>
        <v>0.19336546640204144</v>
      </c>
      <c r="R76" s="22">
        <f t="shared" si="93"/>
        <v>0.22442953020134238</v>
      </c>
      <c r="S76" s="22">
        <f t="shared" si="93"/>
        <v>0.20928423236514515</v>
      </c>
      <c r="T76" s="22">
        <f t="shared" si="93"/>
        <v>0.22839805825242721</v>
      </c>
      <c r="U76" s="22">
        <f t="shared" si="93"/>
        <v>0.20337372297457823</v>
      </c>
    </row>
    <row r="77" spans="1:21" x14ac:dyDescent="0.2">
      <c r="B77" t="s">
        <v>52</v>
      </c>
      <c r="C77" s="22"/>
      <c r="D77" s="22"/>
      <c r="E77" s="22"/>
      <c r="F77" s="22"/>
      <c r="G77" s="22"/>
      <c r="H77" s="22"/>
      <c r="I77" s="22"/>
      <c r="J77" s="22"/>
      <c r="K77" s="22"/>
      <c r="L77" s="22">
        <f t="shared" ref="L77:U77" si="94">L75/K75-1</f>
        <v>6.1965181469459951E-2</v>
      </c>
      <c r="M77" s="22">
        <f t="shared" si="94"/>
        <v>-2.0005557099194271E-2</v>
      </c>
      <c r="N77" s="22">
        <f t="shared" si="94"/>
        <v>5.6138361213495802E-2</v>
      </c>
      <c r="O77" s="22">
        <f t="shared" si="94"/>
        <v>3.5167785234899274E-2</v>
      </c>
      <c r="P77" s="22">
        <f t="shared" si="94"/>
        <v>6.846473029045641E-2</v>
      </c>
      <c r="Q77" s="22">
        <f t="shared" si="94"/>
        <v>2.1601941747572795E-2</v>
      </c>
      <c r="R77" s="22">
        <f t="shared" si="94"/>
        <v>8.3630315989546178E-2</v>
      </c>
      <c r="S77" s="22">
        <f t="shared" si="94"/>
        <v>2.2363516772637482E-2</v>
      </c>
      <c r="T77" s="22">
        <f t="shared" si="94"/>
        <v>8.5352777182071682E-2</v>
      </c>
      <c r="U77" s="22">
        <f t="shared" si="94"/>
        <v>7.9035763683066307E-4</v>
      </c>
    </row>
    <row r="78" spans="1:21" x14ac:dyDescent="0.2">
      <c r="A78" s="17"/>
      <c r="B78" s="17" t="s">
        <v>48</v>
      </c>
      <c r="C78" s="17"/>
      <c r="D78" s="17"/>
      <c r="E78" s="17"/>
      <c r="F78" s="17"/>
      <c r="G78" s="17"/>
      <c r="H78" s="17"/>
      <c r="I78" s="17"/>
      <c r="J78" s="17"/>
      <c r="K78" s="17">
        <v>552</v>
      </c>
      <c r="L78" s="17">
        <v>514</v>
      </c>
      <c r="M78" s="17">
        <v>693</v>
      </c>
      <c r="N78" s="17">
        <v>584</v>
      </c>
      <c r="O78" s="17">
        <v>675</v>
      </c>
      <c r="P78" s="17">
        <v>520</v>
      </c>
      <c r="Q78" s="17">
        <v>733</v>
      </c>
      <c r="R78" s="17">
        <v>675</v>
      </c>
      <c r="S78" s="17">
        <v>921</v>
      </c>
      <c r="T78" s="17">
        <v>819</v>
      </c>
      <c r="U78" s="17">
        <v>1048</v>
      </c>
    </row>
    <row r="79" spans="1:21" x14ac:dyDescent="0.2">
      <c r="B79" t="s">
        <v>49</v>
      </c>
      <c r="C79" s="22"/>
      <c r="D79" s="22"/>
      <c r="E79" s="22"/>
      <c r="F79" s="22"/>
      <c r="G79" s="22"/>
      <c r="H79" s="22"/>
      <c r="I79" s="22"/>
      <c r="J79" s="22"/>
      <c r="K79" s="22" t="e">
        <f t="shared" ref="K79:U79" si="95">K78/G78-1</f>
        <v>#DIV/0!</v>
      </c>
      <c r="L79" s="22" t="e">
        <f t="shared" si="95"/>
        <v>#DIV/0!</v>
      </c>
      <c r="M79" s="22" t="e">
        <f t="shared" si="95"/>
        <v>#DIV/0!</v>
      </c>
      <c r="N79" s="22" t="e">
        <f t="shared" si="95"/>
        <v>#DIV/0!</v>
      </c>
      <c r="O79" s="22">
        <f t="shared" si="95"/>
        <v>0.22282608695652173</v>
      </c>
      <c r="P79" s="22">
        <f t="shared" si="95"/>
        <v>1.1673151750972721E-2</v>
      </c>
      <c r="Q79" s="22">
        <f t="shared" si="95"/>
        <v>5.7720057720057616E-2</v>
      </c>
      <c r="R79" s="22">
        <f t="shared" si="95"/>
        <v>0.15582191780821919</v>
      </c>
      <c r="S79" s="22">
        <f t="shared" si="95"/>
        <v>0.36444444444444435</v>
      </c>
      <c r="T79" s="22">
        <f t="shared" si="95"/>
        <v>0.57499999999999996</v>
      </c>
      <c r="U79" s="22">
        <f t="shared" si="95"/>
        <v>0.42974079126875853</v>
      </c>
    </row>
    <row r="80" spans="1:21" x14ac:dyDescent="0.2">
      <c r="B80" t="s">
        <v>52</v>
      </c>
      <c r="C80" s="22"/>
      <c r="D80" s="22"/>
      <c r="E80" s="22"/>
      <c r="F80" s="22"/>
      <c r="G80" s="22"/>
      <c r="H80" s="22"/>
      <c r="I80" s="22"/>
      <c r="J80" s="22"/>
      <c r="K80" s="22"/>
      <c r="L80" s="22">
        <f t="shared" ref="L80:U80" si="96">L78/K78-1</f>
        <v>-6.88405797101449E-2</v>
      </c>
      <c r="M80" s="22">
        <f t="shared" si="96"/>
        <v>0.34824902723735418</v>
      </c>
      <c r="N80" s="22">
        <f t="shared" si="96"/>
        <v>-0.15728715728715725</v>
      </c>
      <c r="O80" s="22">
        <f t="shared" si="96"/>
        <v>0.15582191780821919</v>
      </c>
      <c r="P80" s="22">
        <f t="shared" si="96"/>
        <v>-0.22962962962962963</v>
      </c>
      <c r="Q80" s="22">
        <f t="shared" si="96"/>
        <v>0.40961538461538471</v>
      </c>
      <c r="R80" s="22">
        <f t="shared" si="96"/>
        <v>-7.9126875852660317E-2</v>
      </c>
      <c r="S80" s="22">
        <f t="shared" si="96"/>
        <v>0.36444444444444435</v>
      </c>
      <c r="T80" s="22">
        <f t="shared" si="96"/>
        <v>-0.11074918566775249</v>
      </c>
      <c r="U80" s="22">
        <f t="shared" si="96"/>
        <v>0.2796092796092795</v>
      </c>
    </row>
    <row r="81" spans="1:21" x14ac:dyDescent="0.2">
      <c r="B81" s="17" t="s">
        <v>50</v>
      </c>
      <c r="C81" s="17"/>
      <c r="D81" s="17"/>
      <c r="E81" s="17"/>
      <c r="F81" s="17"/>
      <c r="G81" s="23"/>
      <c r="H81" s="23"/>
      <c r="I81" s="23"/>
      <c r="J81" s="23"/>
      <c r="K81" s="23" t="e">
        <f t="shared" ref="K81:U81" si="97">AVERAGE(H78:K78)/AVERAGE(G78:J78)-1</f>
        <v>#DIV/0!</v>
      </c>
      <c r="L81" s="23">
        <f t="shared" si="97"/>
        <v>-3.4420289855072506E-2</v>
      </c>
      <c r="M81" s="23">
        <f t="shared" si="97"/>
        <v>0.10006253908692941</v>
      </c>
      <c r="N81" s="23">
        <f t="shared" si="97"/>
        <v>-9.9488345650944332E-4</v>
      </c>
      <c r="O81" s="23">
        <f t="shared" si="97"/>
        <v>5.2496798975672165E-2</v>
      </c>
      <c r="P81" s="23">
        <f t="shared" si="97"/>
        <v>2.4330900243310083E-3</v>
      </c>
      <c r="Q81" s="23">
        <f t="shared" si="97"/>
        <v>1.6181229773462702E-2</v>
      </c>
      <c r="R81" s="23">
        <f t="shared" si="97"/>
        <v>3.6226114649681618E-2</v>
      </c>
      <c r="S81" s="23">
        <f t="shared" si="97"/>
        <v>9.4506338839800197E-2</v>
      </c>
      <c r="T81" s="23">
        <f t="shared" si="97"/>
        <v>0.10494910494910492</v>
      </c>
      <c r="U81" s="23">
        <f t="shared" si="97"/>
        <v>0.10006353240152488</v>
      </c>
    </row>
    <row r="82" spans="1:21" ht="13.5" thickBot="1" x14ac:dyDescent="0.25"/>
    <row r="83" spans="1:21" ht="13.5" thickBot="1" x14ac:dyDescent="0.25">
      <c r="A83" s="24" t="s">
        <v>0</v>
      </c>
      <c r="B83" s="25" t="s">
        <v>82</v>
      </c>
      <c r="C83" s="24" t="s">
        <v>30</v>
      </c>
      <c r="D83" s="24" t="s">
        <v>31</v>
      </c>
      <c r="E83" s="24" t="s">
        <v>32</v>
      </c>
      <c r="F83" s="24" t="s">
        <v>33</v>
      </c>
      <c r="G83" s="24" t="s">
        <v>34</v>
      </c>
      <c r="H83" s="24" t="s">
        <v>35</v>
      </c>
      <c r="I83" s="24" t="s">
        <v>36</v>
      </c>
      <c r="J83" s="24" t="s">
        <v>37</v>
      </c>
      <c r="K83" s="24" t="s">
        <v>38</v>
      </c>
      <c r="L83" s="24" t="s">
        <v>39</v>
      </c>
      <c r="M83" s="24" t="s">
        <v>40</v>
      </c>
      <c r="N83" s="24" t="s">
        <v>41</v>
      </c>
      <c r="O83" s="24" t="s">
        <v>42</v>
      </c>
      <c r="P83" s="24" t="s">
        <v>43</v>
      </c>
      <c r="Q83" s="24" t="s">
        <v>44</v>
      </c>
      <c r="R83" s="24" t="s">
        <v>45</v>
      </c>
      <c r="S83" s="24" t="s">
        <v>46</v>
      </c>
      <c r="T83" s="24" t="s">
        <v>47</v>
      </c>
      <c r="U83" s="24" t="s">
        <v>19</v>
      </c>
    </row>
    <row r="84" spans="1:21" x14ac:dyDescent="0.2">
      <c r="A84" s="17"/>
      <c r="B84" s="17" t="s">
        <v>51</v>
      </c>
      <c r="C84" s="17"/>
      <c r="D84" s="17"/>
      <c r="E84" s="17"/>
      <c r="F84" s="17"/>
      <c r="G84" s="17"/>
      <c r="H84" s="17"/>
      <c r="I84" s="17"/>
      <c r="J84" s="17"/>
      <c r="K84" s="17"/>
      <c r="L84" s="17"/>
      <c r="M84" s="17"/>
      <c r="N84" s="17"/>
      <c r="O84" s="17"/>
      <c r="P84" s="17"/>
      <c r="Q84" s="17"/>
      <c r="R84" s="17"/>
      <c r="S84" s="17"/>
      <c r="T84" s="17"/>
      <c r="U84" s="17"/>
    </row>
    <row r="85" spans="1:21" x14ac:dyDescent="0.2">
      <c r="B85" t="s">
        <v>49</v>
      </c>
      <c r="C85" s="22"/>
      <c r="D85" s="22"/>
      <c r="E85" s="22"/>
      <c r="F85" s="22"/>
      <c r="G85" s="22"/>
      <c r="H85" s="22"/>
      <c r="I85" s="22"/>
      <c r="J85" s="22"/>
      <c r="K85" s="22" t="e">
        <f t="shared" ref="K85:U85" si="98">K84/G84-1</f>
        <v>#DIV/0!</v>
      </c>
      <c r="L85" s="22" t="e">
        <f t="shared" si="98"/>
        <v>#DIV/0!</v>
      </c>
      <c r="M85" s="22" t="e">
        <f t="shared" si="98"/>
        <v>#DIV/0!</v>
      </c>
      <c r="N85" s="22" t="e">
        <f t="shared" si="98"/>
        <v>#DIV/0!</v>
      </c>
      <c r="O85" s="22" t="e">
        <f t="shared" si="98"/>
        <v>#DIV/0!</v>
      </c>
      <c r="P85" s="22" t="e">
        <f t="shared" si="98"/>
        <v>#DIV/0!</v>
      </c>
      <c r="Q85" s="22" t="e">
        <f t="shared" si="98"/>
        <v>#DIV/0!</v>
      </c>
      <c r="R85" s="22" t="e">
        <f t="shared" si="98"/>
        <v>#DIV/0!</v>
      </c>
      <c r="S85" s="22" t="e">
        <f t="shared" si="98"/>
        <v>#DIV/0!</v>
      </c>
      <c r="T85" s="22" t="e">
        <f t="shared" si="98"/>
        <v>#DIV/0!</v>
      </c>
      <c r="U85" s="22" t="e">
        <f t="shared" si="98"/>
        <v>#DIV/0!</v>
      </c>
    </row>
    <row r="86" spans="1:21" x14ac:dyDescent="0.2">
      <c r="B86" t="s">
        <v>52</v>
      </c>
      <c r="C86" s="22"/>
      <c r="D86" s="22"/>
      <c r="E86" s="22"/>
      <c r="F86" s="22"/>
      <c r="G86" s="22"/>
      <c r="H86" s="22"/>
      <c r="I86" s="22"/>
      <c r="J86" s="22"/>
      <c r="K86" s="22"/>
      <c r="L86" s="22" t="e">
        <f t="shared" ref="L86:U86" si="99">L84/K84-1</f>
        <v>#DIV/0!</v>
      </c>
      <c r="M86" s="22" t="e">
        <f t="shared" si="99"/>
        <v>#DIV/0!</v>
      </c>
      <c r="N86" s="22" t="e">
        <f t="shared" si="99"/>
        <v>#DIV/0!</v>
      </c>
      <c r="O86" s="22" t="e">
        <f t="shared" si="99"/>
        <v>#DIV/0!</v>
      </c>
      <c r="P86" s="22" t="e">
        <f t="shared" si="99"/>
        <v>#DIV/0!</v>
      </c>
      <c r="Q86" s="22" t="e">
        <f t="shared" si="99"/>
        <v>#DIV/0!</v>
      </c>
      <c r="R86" s="22" t="e">
        <f t="shared" si="99"/>
        <v>#DIV/0!</v>
      </c>
      <c r="S86" s="22" t="e">
        <f t="shared" si="99"/>
        <v>#DIV/0!</v>
      </c>
      <c r="T86" s="22" t="e">
        <f t="shared" si="99"/>
        <v>#DIV/0!</v>
      </c>
      <c r="U86" s="22" t="e">
        <f t="shared" si="99"/>
        <v>#DIV/0!</v>
      </c>
    </row>
    <row r="87" spans="1:21" x14ac:dyDescent="0.2">
      <c r="A87" s="17"/>
      <c r="B87" s="17" t="s">
        <v>48</v>
      </c>
      <c r="C87" s="17"/>
      <c r="D87" s="17"/>
      <c r="E87" s="17"/>
      <c r="F87" s="17"/>
      <c r="G87" s="17"/>
      <c r="H87" s="17"/>
      <c r="I87" s="17"/>
      <c r="J87" s="17"/>
      <c r="K87" s="17">
        <v>130.30000000000001</v>
      </c>
      <c r="L87" s="17">
        <v>205.8</v>
      </c>
      <c r="M87" s="17">
        <v>250.9</v>
      </c>
      <c r="N87" s="17">
        <v>285.2</v>
      </c>
      <c r="O87" s="17">
        <v>202.6</v>
      </c>
      <c r="P87" s="17">
        <v>336</v>
      </c>
      <c r="Q87" s="17">
        <v>371.6</v>
      </c>
      <c r="R87" s="17">
        <v>457.2</v>
      </c>
      <c r="S87" s="17">
        <v>290.7</v>
      </c>
      <c r="T87" s="17">
        <v>442.4</v>
      </c>
      <c r="U87" s="17">
        <v>516.70000000000005</v>
      </c>
    </row>
    <row r="88" spans="1:21" x14ac:dyDescent="0.2">
      <c r="B88" t="s">
        <v>49</v>
      </c>
      <c r="C88" s="22"/>
      <c r="D88" s="22"/>
      <c r="E88" s="22"/>
      <c r="F88" s="22"/>
      <c r="G88" s="22"/>
      <c r="H88" s="22"/>
      <c r="I88" s="22"/>
      <c r="J88" s="22"/>
      <c r="K88" s="22" t="e">
        <f t="shared" ref="K88:U88" si="100">K87/G87-1</f>
        <v>#DIV/0!</v>
      </c>
      <c r="L88" s="22" t="e">
        <f t="shared" si="100"/>
        <v>#DIV/0!</v>
      </c>
      <c r="M88" s="22" t="e">
        <f t="shared" si="100"/>
        <v>#DIV/0!</v>
      </c>
      <c r="N88" s="22" t="e">
        <f t="shared" si="100"/>
        <v>#DIV/0!</v>
      </c>
      <c r="O88" s="22">
        <f t="shared" si="100"/>
        <v>0.55487336914811958</v>
      </c>
      <c r="P88" s="22">
        <f t="shared" si="100"/>
        <v>0.63265306122448961</v>
      </c>
      <c r="Q88" s="22">
        <f t="shared" si="100"/>
        <v>0.48106815464328423</v>
      </c>
      <c r="R88" s="22">
        <f t="shared" si="100"/>
        <v>0.60308555399719488</v>
      </c>
      <c r="S88" s="22">
        <f t="shared" si="100"/>
        <v>0.43484698914116482</v>
      </c>
      <c r="T88" s="22">
        <f t="shared" si="100"/>
        <v>0.31666666666666665</v>
      </c>
      <c r="U88" s="22">
        <f t="shared" si="100"/>
        <v>0.39047362755651238</v>
      </c>
    </row>
    <row r="89" spans="1:21" x14ac:dyDescent="0.2">
      <c r="B89" t="s">
        <v>52</v>
      </c>
      <c r="C89" s="22"/>
      <c r="D89" s="22"/>
      <c r="E89" s="22"/>
      <c r="F89" s="22"/>
      <c r="G89" s="22"/>
      <c r="H89" s="22"/>
      <c r="I89" s="22"/>
      <c r="J89" s="22"/>
      <c r="K89" s="22"/>
      <c r="L89" s="22">
        <f t="shared" ref="L89:U89" si="101">L87/K87-1</f>
        <v>0.57943207981580969</v>
      </c>
      <c r="M89" s="22">
        <f t="shared" si="101"/>
        <v>0.21914480077745391</v>
      </c>
      <c r="N89" s="22">
        <f t="shared" si="101"/>
        <v>0.13670785173375832</v>
      </c>
      <c r="O89" s="22">
        <f t="shared" si="101"/>
        <v>-0.28962131837307148</v>
      </c>
      <c r="P89" s="22">
        <f t="shared" si="101"/>
        <v>0.65844027640671277</v>
      </c>
      <c r="Q89" s="22">
        <f t="shared" si="101"/>
        <v>0.10595238095238102</v>
      </c>
      <c r="R89" s="22">
        <f t="shared" si="101"/>
        <v>0.23035522066738423</v>
      </c>
      <c r="S89" s="22">
        <f t="shared" si="101"/>
        <v>-0.36417322834645671</v>
      </c>
      <c r="T89" s="22">
        <f t="shared" si="101"/>
        <v>0.52184382524939799</v>
      </c>
      <c r="U89" s="22">
        <f t="shared" si="101"/>
        <v>0.16794755877034384</v>
      </c>
    </row>
    <row r="90" spans="1:21" x14ac:dyDescent="0.2">
      <c r="B90" s="17" t="s">
        <v>50</v>
      </c>
      <c r="C90" s="17"/>
      <c r="D90" s="17"/>
      <c r="E90" s="17"/>
      <c r="F90" s="17"/>
      <c r="G90" s="23"/>
      <c r="H90" s="23"/>
      <c r="I90" s="23"/>
      <c r="J90" s="23"/>
      <c r="K90" s="23" t="e">
        <f t="shared" ref="K90:U90" si="102">AVERAGE(H87:K87)/AVERAGE(G87:J87)-1</f>
        <v>#DIV/0!</v>
      </c>
      <c r="L90" s="23">
        <f t="shared" si="102"/>
        <v>0.28971603990790484</v>
      </c>
      <c r="M90" s="23">
        <f t="shared" si="102"/>
        <v>0.16433601110780516</v>
      </c>
      <c r="N90" s="23">
        <f t="shared" si="102"/>
        <v>0.11439522998296425</v>
      </c>
      <c r="O90" s="23">
        <f t="shared" si="102"/>
        <v>8.2893831689979436E-2</v>
      </c>
      <c r="P90" s="23">
        <f t="shared" si="102"/>
        <v>0.13785071466384324</v>
      </c>
      <c r="Q90" s="23">
        <f t="shared" si="102"/>
        <v>0.11231041220805804</v>
      </c>
      <c r="R90" s="23">
        <f t="shared" si="102"/>
        <v>0.14388489208633093</v>
      </c>
      <c r="S90" s="23">
        <f t="shared" si="102"/>
        <v>6.4428843059821439E-2</v>
      </c>
      <c r="T90" s="23">
        <f t="shared" si="102"/>
        <v>7.3102026794915842E-2</v>
      </c>
      <c r="U90" s="23">
        <f t="shared" si="102"/>
        <v>9.2899673474614142E-2</v>
      </c>
    </row>
    <row r="91" spans="1:21" ht="13.5" thickBot="1" x14ac:dyDescent="0.25"/>
    <row r="92" spans="1:21" ht="13.5" thickBot="1" x14ac:dyDescent="0.25">
      <c r="A92" s="24" t="s">
        <v>0</v>
      </c>
      <c r="B92" s="25" t="s">
        <v>81</v>
      </c>
      <c r="C92" s="24" t="s">
        <v>30</v>
      </c>
      <c r="D92" s="24" t="s">
        <v>31</v>
      </c>
      <c r="E92" s="24" t="s">
        <v>32</v>
      </c>
      <c r="F92" s="24" t="s">
        <v>33</v>
      </c>
      <c r="G92" s="24" t="s">
        <v>34</v>
      </c>
      <c r="H92" s="24" t="s">
        <v>35</v>
      </c>
      <c r="I92" s="24" t="s">
        <v>36</v>
      </c>
      <c r="J92" s="24" t="s">
        <v>37</v>
      </c>
      <c r="K92" s="24" t="s">
        <v>38</v>
      </c>
      <c r="L92" s="24" t="s">
        <v>39</v>
      </c>
      <c r="M92" s="24" t="s">
        <v>40</v>
      </c>
      <c r="N92" s="24" t="s">
        <v>41</v>
      </c>
      <c r="O92" s="24" t="s">
        <v>42</v>
      </c>
      <c r="P92" s="24" t="s">
        <v>43</v>
      </c>
      <c r="Q92" s="24" t="s">
        <v>44</v>
      </c>
      <c r="R92" s="24" t="s">
        <v>45</v>
      </c>
      <c r="S92" s="24" t="s">
        <v>46</v>
      </c>
      <c r="T92" s="24" t="s">
        <v>47</v>
      </c>
      <c r="U92" s="24" t="s">
        <v>19</v>
      </c>
    </row>
    <row r="93" spans="1:21" x14ac:dyDescent="0.2">
      <c r="A93" s="17"/>
      <c r="B93" s="17" t="s">
        <v>51</v>
      </c>
      <c r="C93" s="17"/>
      <c r="D93" s="17"/>
      <c r="E93" s="17"/>
      <c r="F93" s="17"/>
      <c r="G93" s="17"/>
      <c r="H93" s="17"/>
      <c r="I93" s="17"/>
      <c r="J93" s="17"/>
      <c r="K93" s="17"/>
      <c r="L93" s="17"/>
      <c r="M93" s="17"/>
      <c r="N93" s="17"/>
      <c r="O93" s="17"/>
      <c r="P93" s="17"/>
      <c r="Q93" s="17"/>
      <c r="R93" s="17"/>
      <c r="S93" s="17"/>
      <c r="T93" s="17"/>
      <c r="U93" s="17"/>
    </row>
    <row r="94" spans="1:21" x14ac:dyDescent="0.2">
      <c r="B94" t="s">
        <v>49</v>
      </c>
      <c r="C94" s="22"/>
      <c r="D94" s="22"/>
      <c r="E94" s="22"/>
      <c r="F94" s="22"/>
      <c r="G94" s="22"/>
      <c r="H94" s="22"/>
      <c r="I94" s="22"/>
      <c r="J94" s="22"/>
      <c r="K94" s="22" t="e">
        <f t="shared" ref="K94:U94" si="103">K93/G93-1</f>
        <v>#DIV/0!</v>
      </c>
      <c r="L94" s="22" t="e">
        <f t="shared" si="103"/>
        <v>#DIV/0!</v>
      </c>
      <c r="M94" s="22" t="e">
        <f t="shared" si="103"/>
        <v>#DIV/0!</v>
      </c>
      <c r="N94" s="22" t="e">
        <f t="shared" si="103"/>
        <v>#DIV/0!</v>
      </c>
      <c r="O94" s="22" t="e">
        <f t="shared" si="103"/>
        <v>#DIV/0!</v>
      </c>
      <c r="P94" s="22" t="e">
        <f t="shared" si="103"/>
        <v>#DIV/0!</v>
      </c>
      <c r="Q94" s="22" t="e">
        <f t="shared" si="103"/>
        <v>#DIV/0!</v>
      </c>
      <c r="R94" s="22" t="e">
        <f t="shared" si="103"/>
        <v>#DIV/0!</v>
      </c>
      <c r="S94" s="22" t="e">
        <f t="shared" si="103"/>
        <v>#DIV/0!</v>
      </c>
      <c r="T94" s="22" t="e">
        <f t="shared" si="103"/>
        <v>#DIV/0!</v>
      </c>
      <c r="U94" s="22" t="e">
        <f t="shared" si="103"/>
        <v>#DIV/0!</v>
      </c>
    </row>
    <row r="95" spans="1:21" x14ac:dyDescent="0.2">
      <c r="B95" t="s">
        <v>52</v>
      </c>
      <c r="C95" s="22"/>
      <c r="D95" s="22"/>
      <c r="E95" s="22"/>
      <c r="F95" s="22"/>
      <c r="G95" s="22"/>
      <c r="H95" s="22"/>
      <c r="I95" s="22"/>
      <c r="J95" s="22"/>
      <c r="K95" s="22"/>
      <c r="L95" s="22" t="e">
        <f t="shared" ref="L95:U95" si="104">L93/K93-1</f>
        <v>#DIV/0!</v>
      </c>
      <c r="M95" s="22" t="e">
        <f t="shared" si="104"/>
        <v>#DIV/0!</v>
      </c>
      <c r="N95" s="22" t="e">
        <f t="shared" si="104"/>
        <v>#DIV/0!</v>
      </c>
      <c r="O95" s="22" t="e">
        <f t="shared" si="104"/>
        <v>#DIV/0!</v>
      </c>
      <c r="P95" s="22" t="e">
        <f t="shared" si="104"/>
        <v>#DIV/0!</v>
      </c>
      <c r="Q95" s="22" t="e">
        <f t="shared" si="104"/>
        <v>#DIV/0!</v>
      </c>
      <c r="R95" s="22" t="e">
        <f t="shared" si="104"/>
        <v>#DIV/0!</v>
      </c>
      <c r="S95" s="22" t="e">
        <f t="shared" si="104"/>
        <v>#DIV/0!</v>
      </c>
      <c r="T95" s="22" t="e">
        <f t="shared" si="104"/>
        <v>#DIV/0!</v>
      </c>
      <c r="U95" s="22" t="e">
        <f t="shared" si="104"/>
        <v>#DIV/0!</v>
      </c>
    </row>
    <row r="96" spans="1:21" x14ac:dyDescent="0.2">
      <c r="A96" s="17"/>
      <c r="B96" s="17" t="s">
        <v>48</v>
      </c>
      <c r="C96" s="17"/>
      <c r="D96" s="17"/>
      <c r="E96" s="17"/>
      <c r="F96" s="17"/>
      <c r="G96" s="17"/>
      <c r="H96" s="17"/>
      <c r="I96" s="17"/>
      <c r="J96" s="17"/>
      <c r="K96" s="17">
        <v>609</v>
      </c>
      <c r="L96" s="17">
        <v>537</v>
      </c>
      <c r="M96" s="17">
        <v>688</v>
      </c>
      <c r="N96" s="17">
        <v>710</v>
      </c>
      <c r="O96" s="17">
        <v>717</v>
      </c>
      <c r="P96" s="17">
        <v>591</v>
      </c>
      <c r="Q96" s="17">
        <v>504</v>
      </c>
      <c r="R96" s="17">
        <v>590</v>
      </c>
      <c r="S96" s="17">
        <v>609</v>
      </c>
      <c r="T96" s="17">
        <v>783</v>
      </c>
      <c r="U96" s="17">
        <v>719</v>
      </c>
    </row>
    <row r="97" spans="1:21" x14ac:dyDescent="0.2">
      <c r="B97" t="s">
        <v>49</v>
      </c>
      <c r="C97" s="22"/>
      <c r="D97" s="22"/>
      <c r="E97" s="22"/>
      <c r="F97" s="22"/>
      <c r="G97" s="22"/>
      <c r="H97" s="22"/>
      <c r="I97" s="22"/>
      <c r="J97" s="22"/>
      <c r="K97" s="22" t="e">
        <f t="shared" ref="K97:U97" si="105">K96/G96-1</f>
        <v>#DIV/0!</v>
      </c>
      <c r="L97" s="22" t="e">
        <f t="shared" si="105"/>
        <v>#DIV/0!</v>
      </c>
      <c r="M97" s="22" t="e">
        <f t="shared" si="105"/>
        <v>#DIV/0!</v>
      </c>
      <c r="N97" s="22" t="e">
        <f t="shared" si="105"/>
        <v>#DIV/0!</v>
      </c>
      <c r="O97" s="22">
        <f t="shared" si="105"/>
        <v>0.17733990147783252</v>
      </c>
      <c r="P97" s="22">
        <f t="shared" si="105"/>
        <v>0.1005586592178771</v>
      </c>
      <c r="Q97" s="22">
        <f t="shared" si="105"/>
        <v>-0.26744186046511631</v>
      </c>
      <c r="R97" s="22">
        <f t="shared" si="105"/>
        <v>-0.16901408450704225</v>
      </c>
      <c r="S97" s="22">
        <f t="shared" si="105"/>
        <v>-0.15062761506276146</v>
      </c>
      <c r="T97" s="22">
        <f t="shared" si="105"/>
        <v>0.32487309644670059</v>
      </c>
      <c r="U97" s="22">
        <f t="shared" si="105"/>
        <v>0.42658730158730163</v>
      </c>
    </row>
    <row r="98" spans="1:21" x14ac:dyDescent="0.2">
      <c r="B98" t="s">
        <v>52</v>
      </c>
      <c r="C98" s="22"/>
      <c r="D98" s="22"/>
      <c r="E98" s="22"/>
      <c r="F98" s="22"/>
      <c r="G98" s="22"/>
      <c r="H98" s="22"/>
      <c r="I98" s="22"/>
      <c r="J98" s="22"/>
      <c r="K98" s="22"/>
      <c r="L98" s="22">
        <f t="shared" ref="L98:U98" si="106">L96/K96-1</f>
        <v>-0.11822660098522164</v>
      </c>
      <c r="M98" s="22">
        <f t="shared" si="106"/>
        <v>0.28119180633147112</v>
      </c>
      <c r="N98" s="22">
        <f t="shared" si="106"/>
        <v>3.1976744186046568E-2</v>
      </c>
      <c r="O98" s="22">
        <f t="shared" si="106"/>
        <v>9.8591549295774517E-3</v>
      </c>
      <c r="P98" s="22">
        <f t="shared" si="106"/>
        <v>-0.17573221757322177</v>
      </c>
      <c r="Q98" s="22">
        <f t="shared" si="106"/>
        <v>-0.14720812182741116</v>
      </c>
      <c r="R98" s="22">
        <f t="shared" si="106"/>
        <v>0.17063492063492069</v>
      </c>
      <c r="S98" s="22">
        <f t="shared" si="106"/>
        <v>3.2203389830508522E-2</v>
      </c>
      <c r="T98" s="22">
        <f t="shared" si="106"/>
        <v>0.28571428571428581</v>
      </c>
      <c r="U98" s="22">
        <f t="shared" si="106"/>
        <v>-8.1736909323116169E-2</v>
      </c>
    </row>
    <row r="99" spans="1:21" x14ac:dyDescent="0.2">
      <c r="B99" s="17" t="s">
        <v>50</v>
      </c>
      <c r="C99" s="17"/>
      <c r="D99" s="17"/>
      <c r="E99" s="17"/>
      <c r="F99" s="17"/>
      <c r="G99" s="23"/>
      <c r="H99" s="23"/>
      <c r="I99" s="23"/>
      <c r="J99" s="23"/>
      <c r="K99" s="23" t="e">
        <f t="shared" ref="K99:U99" si="107">AVERAGE(H96:K96)/AVERAGE(G96:J96)-1</f>
        <v>#DIV/0!</v>
      </c>
      <c r="L99" s="23">
        <f t="shared" si="107"/>
        <v>-5.9113300492610876E-2</v>
      </c>
      <c r="M99" s="23">
        <f t="shared" si="107"/>
        <v>6.6899360093077398E-2</v>
      </c>
      <c r="N99" s="23">
        <f t="shared" si="107"/>
        <v>4.0348964013086075E-2</v>
      </c>
      <c r="O99" s="23">
        <f t="shared" si="107"/>
        <v>4.2452830188679291E-2</v>
      </c>
      <c r="P99" s="23">
        <f t="shared" si="107"/>
        <v>2.0361990950226172E-2</v>
      </c>
      <c r="Q99" s="23">
        <f t="shared" si="107"/>
        <v>-6.7997043606799701E-2</v>
      </c>
      <c r="R99" s="23">
        <f t="shared" si="107"/>
        <v>-4.758128469468681E-2</v>
      </c>
      <c r="S99" s="23">
        <f t="shared" si="107"/>
        <v>-4.4962531223979973E-2</v>
      </c>
      <c r="T99" s="23">
        <f t="shared" si="107"/>
        <v>8.3696599825632045E-2</v>
      </c>
      <c r="U99" s="23">
        <f t="shared" si="107"/>
        <v>8.6484312148028986E-2</v>
      </c>
    </row>
    <row r="100" spans="1:21" ht="13.5" thickBot="1" x14ac:dyDescent="0.25"/>
    <row r="101" spans="1:21" ht="13.5" thickBot="1" x14ac:dyDescent="0.25">
      <c r="A101" s="24" t="s">
        <v>0</v>
      </c>
      <c r="B101" s="25" t="s">
        <v>63</v>
      </c>
      <c r="C101" s="24" t="s">
        <v>30</v>
      </c>
      <c r="D101" s="24" t="s">
        <v>31</v>
      </c>
      <c r="E101" s="24" t="s">
        <v>32</v>
      </c>
      <c r="F101" s="24" t="s">
        <v>33</v>
      </c>
      <c r="G101" s="24" t="s">
        <v>34</v>
      </c>
      <c r="H101" s="24" t="s">
        <v>35</v>
      </c>
      <c r="I101" s="24" t="s">
        <v>36</v>
      </c>
      <c r="J101" s="24" t="s">
        <v>37</v>
      </c>
      <c r="K101" s="24" t="s">
        <v>38</v>
      </c>
      <c r="L101" s="24" t="s">
        <v>39</v>
      </c>
      <c r="M101" s="24" t="s">
        <v>40</v>
      </c>
      <c r="N101" s="24" t="s">
        <v>41</v>
      </c>
      <c r="O101" s="24" t="s">
        <v>42</v>
      </c>
      <c r="P101" s="24" t="s">
        <v>43</v>
      </c>
      <c r="Q101" s="24" t="s">
        <v>44</v>
      </c>
      <c r="R101" s="24" t="s">
        <v>45</v>
      </c>
      <c r="S101" s="24" t="s">
        <v>46</v>
      </c>
      <c r="T101" s="24" t="s">
        <v>47</v>
      </c>
      <c r="U101" s="24" t="s">
        <v>19</v>
      </c>
    </row>
    <row r="102" spans="1:21" x14ac:dyDescent="0.2">
      <c r="A102" s="17"/>
      <c r="B102" s="17" t="s">
        <v>51</v>
      </c>
      <c r="C102" s="17"/>
      <c r="D102" s="17"/>
      <c r="E102" s="17"/>
      <c r="F102" s="17"/>
      <c r="G102" s="17"/>
      <c r="H102" s="17"/>
      <c r="I102" s="17"/>
      <c r="J102" s="17"/>
      <c r="K102" s="17"/>
      <c r="L102" s="17"/>
      <c r="M102" s="17"/>
      <c r="N102" s="17"/>
      <c r="O102" s="17"/>
      <c r="P102" s="17"/>
      <c r="Q102" s="17"/>
      <c r="R102" s="17"/>
      <c r="S102" s="17"/>
      <c r="T102" s="17"/>
      <c r="U102" s="17"/>
    </row>
    <row r="103" spans="1:21" x14ac:dyDescent="0.2">
      <c r="B103" t="s">
        <v>49</v>
      </c>
      <c r="C103" s="22"/>
      <c r="D103" s="22"/>
      <c r="E103" s="22"/>
      <c r="F103" s="22"/>
      <c r="G103" s="22"/>
      <c r="H103" s="22"/>
      <c r="I103" s="22"/>
      <c r="J103" s="22"/>
      <c r="K103" s="22" t="e">
        <f t="shared" ref="K103:U103" si="108">K102/G102-1</f>
        <v>#DIV/0!</v>
      </c>
      <c r="L103" s="22" t="e">
        <f t="shared" si="108"/>
        <v>#DIV/0!</v>
      </c>
      <c r="M103" s="22" t="e">
        <f t="shared" si="108"/>
        <v>#DIV/0!</v>
      </c>
      <c r="N103" s="22" t="e">
        <f t="shared" si="108"/>
        <v>#DIV/0!</v>
      </c>
      <c r="O103" s="22" t="e">
        <f t="shared" si="108"/>
        <v>#DIV/0!</v>
      </c>
      <c r="P103" s="22" t="e">
        <f t="shared" si="108"/>
        <v>#DIV/0!</v>
      </c>
      <c r="Q103" s="22" t="e">
        <f t="shared" si="108"/>
        <v>#DIV/0!</v>
      </c>
      <c r="R103" s="22" t="e">
        <f t="shared" si="108"/>
        <v>#DIV/0!</v>
      </c>
      <c r="S103" s="22" t="e">
        <f t="shared" si="108"/>
        <v>#DIV/0!</v>
      </c>
      <c r="T103" s="22" t="e">
        <f t="shared" si="108"/>
        <v>#DIV/0!</v>
      </c>
      <c r="U103" s="22" t="e">
        <f t="shared" si="108"/>
        <v>#DIV/0!</v>
      </c>
    </row>
    <row r="104" spans="1:21" x14ac:dyDescent="0.2">
      <c r="B104" t="s">
        <v>52</v>
      </c>
      <c r="C104" s="22"/>
      <c r="D104" s="22"/>
      <c r="E104" s="22"/>
      <c r="F104" s="22"/>
      <c r="G104" s="22"/>
      <c r="H104" s="22"/>
      <c r="I104" s="22"/>
      <c r="J104" s="22"/>
      <c r="K104" s="22"/>
      <c r="L104" s="22" t="e">
        <f t="shared" ref="L104:U104" si="109">L102/K102-1</f>
        <v>#DIV/0!</v>
      </c>
      <c r="M104" s="22" t="e">
        <f t="shared" si="109"/>
        <v>#DIV/0!</v>
      </c>
      <c r="N104" s="22" t="e">
        <f t="shared" si="109"/>
        <v>#DIV/0!</v>
      </c>
      <c r="O104" s="22" t="e">
        <f t="shared" si="109"/>
        <v>#DIV/0!</v>
      </c>
      <c r="P104" s="22" t="e">
        <f t="shared" si="109"/>
        <v>#DIV/0!</v>
      </c>
      <c r="Q104" s="22" t="e">
        <f t="shared" si="109"/>
        <v>#DIV/0!</v>
      </c>
      <c r="R104" s="22" t="e">
        <f t="shared" si="109"/>
        <v>#DIV/0!</v>
      </c>
      <c r="S104" s="22" t="e">
        <f t="shared" si="109"/>
        <v>#DIV/0!</v>
      </c>
      <c r="T104" s="22" t="e">
        <f t="shared" si="109"/>
        <v>#DIV/0!</v>
      </c>
      <c r="U104" s="22" t="e">
        <f t="shared" si="109"/>
        <v>#DIV/0!</v>
      </c>
    </row>
    <row r="105" spans="1:21" x14ac:dyDescent="0.2">
      <c r="A105" s="17"/>
      <c r="B105" s="17" t="s">
        <v>48</v>
      </c>
      <c r="C105" s="17"/>
      <c r="D105" s="17"/>
      <c r="E105" s="17"/>
      <c r="F105" s="17"/>
      <c r="G105" s="17"/>
      <c r="H105" s="17"/>
      <c r="I105" s="17"/>
      <c r="J105" s="17"/>
      <c r="K105" s="17">
        <v>229.6</v>
      </c>
      <c r="L105" s="17">
        <v>187.9</v>
      </c>
      <c r="M105" s="17">
        <v>162.9</v>
      </c>
      <c r="N105" s="17">
        <v>8.6</v>
      </c>
      <c r="O105" s="17">
        <v>72.599999999999994</v>
      </c>
      <c r="P105" s="17">
        <v>95.8</v>
      </c>
      <c r="Q105" s="17">
        <v>128.1</v>
      </c>
      <c r="R105" s="17">
        <v>-54.4</v>
      </c>
      <c r="S105" s="17">
        <v>126.9</v>
      </c>
      <c r="T105" s="17">
        <v>175.7</v>
      </c>
      <c r="U105" s="17">
        <v>195</v>
      </c>
    </row>
    <row r="106" spans="1:21" x14ac:dyDescent="0.2">
      <c r="B106" t="s">
        <v>49</v>
      </c>
      <c r="C106" s="22"/>
      <c r="D106" s="22"/>
      <c r="E106" s="22"/>
      <c r="F106" s="22"/>
      <c r="G106" s="22"/>
      <c r="H106" s="22"/>
      <c r="I106" s="22"/>
      <c r="J106" s="22"/>
      <c r="K106" s="22" t="e">
        <f t="shared" ref="K106:U106" si="110">K105/G105-1</f>
        <v>#DIV/0!</v>
      </c>
      <c r="L106" s="22" t="e">
        <f t="shared" si="110"/>
        <v>#DIV/0!</v>
      </c>
      <c r="M106" s="22" t="e">
        <f t="shared" si="110"/>
        <v>#DIV/0!</v>
      </c>
      <c r="N106" s="22" t="e">
        <f t="shared" si="110"/>
        <v>#DIV/0!</v>
      </c>
      <c r="O106" s="22">
        <f t="shared" si="110"/>
        <v>-0.68379790940766561</v>
      </c>
      <c r="P106" s="22">
        <f t="shared" si="110"/>
        <v>-0.49015433741351788</v>
      </c>
      <c r="Q106" s="22">
        <f t="shared" si="110"/>
        <v>-0.21362799263351751</v>
      </c>
      <c r="R106" s="22">
        <f t="shared" si="110"/>
        <v>-7.3255813953488369</v>
      </c>
      <c r="S106" s="22">
        <f t="shared" si="110"/>
        <v>0.74793388429752095</v>
      </c>
      <c r="T106" s="22">
        <f t="shared" si="110"/>
        <v>0.83402922755741127</v>
      </c>
      <c r="U106" s="22">
        <f t="shared" si="110"/>
        <v>0.52224824355971911</v>
      </c>
    </row>
    <row r="107" spans="1:21" x14ac:dyDescent="0.2">
      <c r="B107" t="s">
        <v>52</v>
      </c>
      <c r="C107" s="22"/>
      <c r="D107" s="22"/>
      <c r="E107" s="22"/>
      <c r="F107" s="22"/>
      <c r="G107" s="22"/>
      <c r="H107" s="22"/>
      <c r="I107" s="22"/>
      <c r="J107" s="22"/>
      <c r="K107" s="22"/>
      <c r="L107" s="22">
        <f t="shared" ref="L107:U107" si="111">L105/K105-1</f>
        <v>-0.18162020905923337</v>
      </c>
      <c r="M107" s="22">
        <f t="shared" si="111"/>
        <v>-0.13304949441192127</v>
      </c>
      <c r="N107" s="22">
        <f t="shared" si="111"/>
        <v>-0.94720687538367099</v>
      </c>
      <c r="O107" s="22">
        <f t="shared" si="111"/>
        <v>7.4418604651162781</v>
      </c>
      <c r="P107" s="22">
        <f t="shared" si="111"/>
        <v>0.31955922865013786</v>
      </c>
      <c r="Q107" s="22">
        <f t="shared" si="111"/>
        <v>0.33716075156576197</v>
      </c>
      <c r="R107" s="22">
        <f t="shared" si="111"/>
        <v>-1.4246682279469165</v>
      </c>
      <c r="S107" s="22">
        <f t="shared" si="111"/>
        <v>-3.3327205882352944</v>
      </c>
      <c r="T107" s="22">
        <f t="shared" si="111"/>
        <v>0.38455476753349083</v>
      </c>
      <c r="U107" s="22">
        <f t="shared" si="111"/>
        <v>0.10984632896983504</v>
      </c>
    </row>
    <row r="108" spans="1:21" x14ac:dyDescent="0.2">
      <c r="B108" s="17" t="s">
        <v>50</v>
      </c>
      <c r="C108" s="17"/>
      <c r="D108" s="17"/>
      <c r="E108" s="17"/>
      <c r="F108" s="17"/>
      <c r="G108" s="23"/>
      <c r="H108" s="23"/>
      <c r="I108" s="23"/>
      <c r="J108" s="23"/>
      <c r="K108" s="23" t="e">
        <f t="shared" ref="K108:U108" si="112">AVERAGE(H105:K105)/AVERAGE(G105:J105)-1</f>
        <v>#DIV/0!</v>
      </c>
      <c r="L108" s="23">
        <f t="shared" si="112"/>
        <v>-9.0810104529616686E-2</v>
      </c>
      <c r="M108" s="23">
        <f t="shared" si="112"/>
        <v>-7.321357285429142E-2</v>
      </c>
      <c r="N108" s="23">
        <f t="shared" si="112"/>
        <v>-0.23888697450034457</v>
      </c>
      <c r="O108" s="23">
        <f t="shared" si="112"/>
        <v>-0.26655348047538197</v>
      </c>
      <c r="P108" s="23">
        <f t="shared" si="112"/>
        <v>-0.21319444444444446</v>
      </c>
      <c r="Q108" s="23">
        <f t="shared" si="112"/>
        <v>-0.10238305383936441</v>
      </c>
      <c r="R108" s="23">
        <f t="shared" si="112"/>
        <v>-0.20648967551622421</v>
      </c>
      <c r="S108" s="23">
        <f t="shared" si="112"/>
        <v>0.22428748451053271</v>
      </c>
      <c r="T108" s="23">
        <f t="shared" si="112"/>
        <v>0.26956815114709842</v>
      </c>
      <c r="U108" s="23">
        <f t="shared" si="112"/>
        <v>0.17778368323146432</v>
      </c>
    </row>
    <row r="109" spans="1:21" ht="13.5" thickBot="1" x14ac:dyDescent="0.25">
      <c r="B109" s="14"/>
    </row>
    <row r="110" spans="1:21" ht="13.5" thickBot="1" x14ac:dyDescent="0.25">
      <c r="A110" s="24" t="s">
        <v>0</v>
      </c>
      <c r="B110" s="25" t="s">
        <v>96</v>
      </c>
      <c r="C110" s="24" t="s">
        <v>30</v>
      </c>
      <c r="D110" s="24" t="s">
        <v>31</v>
      </c>
      <c r="E110" s="24" t="s">
        <v>32</v>
      </c>
      <c r="F110" s="24" t="s">
        <v>33</v>
      </c>
      <c r="G110" s="24" t="s">
        <v>34</v>
      </c>
      <c r="H110" s="24" t="s">
        <v>35</v>
      </c>
      <c r="I110" s="24" t="s">
        <v>36</v>
      </c>
      <c r="J110" s="24" t="s">
        <v>37</v>
      </c>
      <c r="K110" s="24" t="s">
        <v>38</v>
      </c>
      <c r="L110" s="24" t="s">
        <v>39</v>
      </c>
      <c r="M110" s="24" t="s">
        <v>40</v>
      </c>
      <c r="N110" s="24" t="s">
        <v>41</v>
      </c>
      <c r="O110" s="24" t="s">
        <v>42</v>
      </c>
      <c r="P110" s="24" t="s">
        <v>43</v>
      </c>
      <c r="Q110" s="24" t="s">
        <v>44</v>
      </c>
      <c r="R110" s="24" t="s">
        <v>45</v>
      </c>
      <c r="S110" s="24" t="s">
        <v>46</v>
      </c>
      <c r="T110" s="24" t="s">
        <v>47</v>
      </c>
      <c r="U110" s="24" t="s">
        <v>19</v>
      </c>
    </row>
    <row r="111" spans="1:21" x14ac:dyDescent="0.2">
      <c r="A111" s="17"/>
      <c r="B111" s="17" t="s">
        <v>51</v>
      </c>
      <c r="C111" s="17"/>
      <c r="D111" s="17"/>
      <c r="E111" s="17"/>
      <c r="F111" s="17"/>
      <c r="G111" s="17"/>
      <c r="H111" s="17"/>
      <c r="I111" s="17"/>
      <c r="J111" s="17"/>
      <c r="K111" s="17">
        <v>1560.7</v>
      </c>
      <c r="L111" s="17">
        <v>1665.5</v>
      </c>
      <c r="M111" s="17">
        <v>1662</v>
      </c>
      <c r="N111" s="17">
        <v>1749.8</v>
      </c>
      <c r="O111" s="17">
        <v>1859.7</v>
      </c>
      <c r="P111" s="17">
        <v>1824.9</v>
      </c>
      <c r="Q111" s="17">
        <v>2055.6999999999998</v>
      </c>
      <c r="R111" s="17">
        <v>2250.8000000000002</v>
      </c>
      <c r="S111" s="17">
        <v>2423.1</v>
      </c>
      <c r="T111" s="17">
        <v>2548.1999999999998</v>
      </c>
      <c r="U111" s="17">
        <v>2685.7</v>
      </c>
    </row>
    <row r="112" spans="1:21" x14ac:dyDescent="0.2">
      <c r="B112" t="s">
        <v>49</v>
      </c>
      <c r="C112" s="22"/>
      <c r="D112" s="22"/>
      <c r="E112" s="22"/>
      <c r="F112" s="22"/>
      <c r="G112" s="22"/>
      <c r="H112" s="22"/>
      <c r="I112" s="22"/>
      <c r="J112" s="22"/>
      <c r="K112" s="22" t="e">
        <f t="shared" ref="K112:U112" si="113">K111/G111-1</f>
        <v>#DIV/0!</v>
      </c>
      <c r="L112" s="22" t="e">
        <f t="shared" si="113"/>
        <v>#DIV/0!</v>
      </c>
      <c r="M112" s="22" t="e">
        <f t="shared" si="113"/>
        <v>#DIV/0!</v>
      </c>
      <c r="N112" s="22" t="e">
        <f t="shared" si="113"/>
        <v>#DIV/0!</v>
      </c>
      <c r="O112" s="22">
        <f t="shared" si="113"/>
        <v>0.19158070096751456</v>
      </c>
      <c r="P112" s="22">
        <f t="shared" si="113"/>
        <v>9.5706994896427533E-2</v>
      </c>
      <c r="Q112" s="22">
        <f t="shared" si="113"/>
        <v>0.23688327316486157</v>
      </c>
      <c r="R112" s="22">
        <f t="shared" si="113"/>
        <v>0.28631843639273069</v>
      </c>
      <c r="S112" s="22">
        <f t="shared" si="113"/>
        <v>0.30295208904662041</v>
      </c>
      <c r="T112" s="22">
        <f t="shared" si="113"/>
        <v>0.39635048495807967</v>
      </c>
      <c r="U112" s="22">
        <f t="shared" si="113"/>
        <v>0.30646495111154359</v>
      </c>
    </row>
    <row r="113" spans="1:21" x14ac:dyDescent="0.2">
      <c r="B113" t="s">
        <v>52</v>
      </c>
      <c r="C113" s="22"/>
      <c r="D113" s="22"/>
      <c r="E113" s="22"/>
      <c r="F113" s="22"/>
      <c r="G113" s="22"/>
      <c r="H113" s="22"/>
      <c r="I113" s="22"/>
      <c r="J113" s="22"/>
      <c r="K113" s="22"/>
      <c r="L113" s="22">
        <f t="shared" ref="L113:U113" si="114">L111/K111-1</f>
        <v>6.7149356058179066E-2</v>
      </c>
      <c r="M113" s="22">
        <f t="shared" si="114"/>
        <v>-2.1014710297208028E-3</v>
      </c>
      <c r="N113" s="22">
        <f t="shared" si="114"/>
        <v>5.2827918170878396E-2</v>
      </c>
      <c r="O113" s="22">
        <f t="shared" si="114"/>
        <v>6.2807177963195793E-2</v>
      </c>
      <c r="P113" s="22">
        <f t="shared" si="114"/>
        <v>-1.8712695596063811E-2</v>
      </c>
      <c r="Q113" s="22">
        <f t="shared" si="114"/>
        <v>0.12647268343470852</v>
      </c>
      <c r="R113" s="22">
        <f t="shared" si="114"/>
        <v>9.4906844383908284E-2</v>
      </c>
      <c r="S113" s="22">
        <f t="shared" si="114"/>
        <v>7.6550559800959483E-2</v>
      </c>
      <c r="T113" s="22">
        <f t="shared" si="114"/>
        <v>5.1628079732573884E-2</v>
      </c>
      <c r="U113" s="22">
        <f t="shared" si="114"/>
        <v>5.3959657797661098E-2</v>
      </c>
    </row>
    <row r="114" spans="1:21" x14ac:dyDescent="0.2">
      <c r="A114" s="17"/>
      <c r="B114" s="17" t="s">
        <v>48</v>
      </c>
      <c r="C114" s="17"/>
      <c r="D114" s="17"/>
      <c r="E114" s="17"/>
      <c r="F114" s="17"/>
      <c r="G114" s="17"/>
      <c r="H114" s="17"/>
      <c r="I114" s="17"/>
      <c r="J114" s="17"/>
      <c r="K114" s="17">
        <v>183.3</v>
      </c>
      <c r="L114" s="17">
        <v>306</v>
      </c>
      <c r="M114" s="17">
        <v>231.7</v>
      </c>
      <c r="N114" s="17">
        <v>234.8</v>
      </c>
      <c r="O114" s="17">
        <v>285.2</v>
      </c>
      <c r="P114" s="17">
        <v>219.7</v>
      </c>
      <c r="Q114" s="17">
        <v>313.39999999999998</v>
      </c>
      <c r="R114" s="17">
        <v>254.6</v>
      </c>
      <c r="S114" s="17">
        <v>346.6</v>
      </c>
      <c r="T114" s="17">
        <v>439</v>
      </c>
      <c r="U114" s="17">
        <v>486.8</v>
      </c>
    </row>
    <row r="115" spans="1:21" x14ac:dyDescent="0.2">
      <c r="B115" t="s">
        <v>49</v>
      </c>
      <c r="C115" s="22"/>
      <c r="D115" s="22"/>
      <c r="E115" s="22"/>
      <c r="F115" s="22"/>
      <c r="G115" s="22"/>
      <c r="H115" s="22"/>
      <c r="I115" s="22"/>
      <c r="J115" s="22"/>
      <c r="K115" s="22" t="e">
        <f t="shared" ref="K115:U115" si="115">K114/G114-1</f>
        <v>#DIV/0!</v>
      </c>
      <c r="L115" s="22" t="e">
        <f t="shared" si="115"/>
        <v>#DIV/0!</v>
      </c>
      <c r="M115" s="22" t="e">
        <f t="shared" si="115"/>
        <v>#DIV/0!</v>
      </c>
      <c r="N115" s="22" t="e">
        <f t="shared" si="115"/>
        <v>#DIV/0!</v>
      </c>
      <c r="O115" s="22">
        <f t="shared" si="115"/>
        <v>0.55591925804691744</v>
      </c>
      <c r="P115" s="22">
        <f t="shared" si="115"/>
        <v>-0.28202614379084967</v>
      </c>
      <c r="Q115" s="22">
        <f t="shared" si="115"/>
        <v>0.35261113508847641</v>
      </c>
      <c r="R115" s="22">
        <f t="shared" si="115"/>
        <v>8.4327086882453051E-2</v>
      </c>
      <c r="S115" s="22">
        <f t="shared" si="115"/>
        <v>0.21528751753155695</v>
      </c>
      <c r="T115" s="22">
        <f t="shared" si="115"/>
        <v>0.99817933545744197</v>
      </c>
      <c r="U115" s="22">
        <f t="shared" si="115"/>
        <v>0.55328653477983414</v>
      </c>
    </row>
    <row r="116" spans="1:21" x14ac:dyDescent="0.2">
      <c r="B116" t="s">
        <v>52</v>
      </c>
      <c r="C116" s="22"/>
      <c r="D116" s="22"/>
      <c r="E116" s="22"/>
      <c r="F116" s="22"/>
      <c r="G116" s="22"/>
      <c r="H116" s="22"/>
      <c r="I116" s="22"/>
      <c r="J116" s="22"/>
      <c r="K116" s="22"/>
      <c r="L116" s="22">
        <f t="shared" ref="L116:U116" si="116">L114/K114-1</f>
        <v>0.66939443535188214</v>
      </c>
      <c r="M116" s="22">
        <f t="shared" si="116"/>
        <v>-0.24281045751633989</v>
      </c>
      <c r="N116" s="22">
        <f t="shared" si="116"/>
        <v>1.3379369874838343E-2</v>
      </c>
      <c r="O116" s="22">
        <f t="shared" si="116"/>
        <v>0.21465076660988069</v>
      </c>
      <c r="P116" s="22">
        <f t="shared" si="116"/>
        <v>-0.22966339410939696</v>
      </c>
      <c r="Q116" s="22">
        <f t="shared" si="116"/>
        <v>0.4264906690942194</v>
      </c>
      <c r="R116" s="22">
        <f t="shared" si="116"/>
        <v>-0.18761965539246961</v>
      </c>
      <c r="S116" s="22">
        <f t="shared" si="116"/>
        <v>0.36135113904163396</v>
      </c>
      <c r="T116" s="22">
        <f t="shared" si="116"/>
        <v>0.26658972879399867</v>
      </c>
      <c r="U116" s="22">
        <f t="shared" si="116"/>
        <v>0.10888382687927112</v>
      </c>
    </row>
    <row r="117" spans="1:21" x14ac:dyDescent="0.2">
      <c r="B117" s="17" t="s">
        <v>50</v>
      </c>
      <c r="C117" s="17"/>
      <c r="D117" s="17"/>
      <c r="E117" s="17"/>
      <c r="F117" s="17"/>
      <c r="G117" s="23"/>
      <c r="H117" s="23"/>
      <c r="I117" s="23"/>
      <c r="J117" s="23"/>
      <c r="K117" s="23" t="e">
        <f t="shared" ref="K117:U117" si="117">AVERAGE(H114:K114)/AVERAGE(G114:J114)-1</f>
        <v>#DIV/0!</v>
      </c>
      <c r="L117" s="23">
        <f t="shared" si="117"/>
        <v>0.33469721767594107</v>
      </c>
      <c r="M117" s="23">
        <f t="shared" si="117"/>
        <v>-1.764425369575584E-2</v>
      </c>
      <c r="N117" s="23">
        <f t="shared" si="117"/>
        <v>-5.7558945908461334E-3</v>
      </c>
      <c r="O117" s="23">
        <f t="shared" si="117"/>
        <v>0.10661226197949381</v>
      </c>
      <c r="P117" s="23">
        <f t="shared" si="117"/>
        <v>-8.1592133875389994E-2</v>
      </c>
      <c r="Q117" s="23">
        <f t="shared" si="117"/>
        <v>8.4105414865143002E-2</v>
      </c>
      <c r="R117" s="23">
        <f t="shared" si="117"/>
        <v>1.8801633273193286E-2</v>
      </c>
      <c r="S117" s="23">
        <f t="shared" si="117"/>
        <v>5.7228073445801275E-2</v>
      </c>
      <c r="T117" s="23">
        <f t="shared" si="117"/>
        <v>0.193335096535308</v>
      </c>
      <c r="U117" s="23">
        <f t="shared" si="117"/>
        <v>0.1281028368794328</v>
      </c>
    </row>
    <row r="118" spans="1:21" ht="13.5" thickBot="1" x14ac:dyDescent="0.25"/>
    <row r="119" spans="1:21" ht="13.5" thickBot="1" x14ac:dyDescent="0.25">
      <c r="A119" s="24" t="s">
        <v>0</v>
      </c>
      <c r="B119" s="25" t="s">
        <v>94</v>
      </c>
      <c r="C119" s="24" t="s">
        <v>30</v>
      </c>
      <c r="D119" s="24" t="s">
        <v>31</v>
      </c>
      <c r="E119" s="24" t="s">
        <v>32</v>
      </c>
      <c r="F119" s="24" t="s">
        <v>33</v>
      </c>
      <c r="G119" s="24" t="s">
        <v>34</v>
      </c>
      <c r="H119" s="24" t="s">
        <v>35</v>
      </c>
      <c r="I119" s="24" t="s">
        <v>36</v>
      </c>
      <c r="J119" s="24" t="s">
        <v>37</v>
      </c>
      <c r="K119" s="24" t="s">
        <v>38</v>
      </c>
      <c r="L119" s="24" t="s">
        <v>39</v>
      </c>
      <c r="M119" s="24" t="s">
        <v>40</v>
      </c>
      <c r="N119" s="24" t="s">
        <v>41</v>
      </c>
      <c r="O119" s="24" t="s">
        <v>42</v>
      </c>
      <c r="P119" s="24" t="s">
        <v>43</v>
      </c>
      <c r="Q119" s="24" t="s">
        <v>44</v>
      </c>
      <c r="R119" s="24" t="s">
        <v>45</v>
      </c>
      <c r="S119" s="24" t="s">
        <v>46</v>
      </c>
      <c r="T119" s="24" t="s">
        <v>47</v>
      </c>
      <c r="U119" s="24" t="s">
        <v>19</v>
      </c>
    </row>
    <row r="120" spans="1:21" x14ac:dyDescent="0.2">
      <c r="A120" s="17"/>
      <c r="B120" s="17" t="s">
        <v>51</v>
      </c>
      <c r="C120" s="17"/>
      <c r="D120" s="17"/>
      <c r="E120" s="17"/>
      <c r="F120" s="17"/>
      <c r="G120" s="17"/>
      <c r="H120" s="17"/>
      <c r="I120" s="17"/>
      <c r="J120" s="17"/>
      <c r="K120" s="17"/>
      <c r="L120" s="17"/>
      <c r="M120" s="17"/>
      <c r="N120" s="17"/>
      <c r="O120" s="17"/>
      <c r="P120" s="17"/>
      <c r="Q120" s="17"/>
      <c r="R120" s="17"/>
      <c r="S120" s="17"/>
      <c r="T120" s="17"/>
      <c r="U120" s="17"/>
    </row>
    <row r="121" spans="1:21" x14ac:dyDescent="0.2">
      <c r="B121" t="s">
        <v>49</v>
      </c>
      <c r="C121" s="22"/>
      <c r="D121" s="22"/>
      <c r="E121" s="22"/>
      <c r="F121" s="22"/>
      <c r="G121" s="22"/>
      <c r="H121" s="22"/>
      <c r="I121" s="22"/>
      <c r="J121" s="22"/>
      <c r="K121" s="22" t="e">
        <f t="shared" ref="K121:U121" si="118">K120/G120-1</f>
        <v>#DIV/0!</v>
      </c>
      <c r="L121" s="22" t="e">
        <f t="shared" si="118"/>
        <v>#DIV/0!</v>
      </c>
      <c r="M121" s="22" t="e">
        <f t="shared" si="118"/>
        <v>#DIV/0!</v>
      </c>
      <c r="N121" s="22" t="e">
        <f t="shared" si="118"/>
        <v>#DIV/0!</v>
      </c>
      <c r="O121" s="22" t="e">
        <f t="shared" si="118"/>
        <v>#DIV/0!</v>
      </c>
      <c r="P121" s="22" t="e">
        <f t="shared" si="118"/>
        <v>#DIV/0!</v>
      </c>
      <c r="Q121" s="22" t="e">
        <f t="shared" si="118"/>
        <v>#DIV/0!</v>
      </c>
      <c r="R121" s="22" t="e">
        <f t="shared" si="118"/>
        <v>#DIV/0!</v>
      </c>
      <c r="S121" s="22" t="e">
        <f t="shared" si="118"/>
        <v>#DIV/0!</v>
      </c>
      <c r="T121" s="22" t="e">
        <f t="shared" si="118"/>
        <v>#DIV/0!</v>
      </c>
      <c r="U121" s="22" t="e">
        <f t="shared" si="118"/>
        <v>#DIV/0!</v>
      </c>
    </row>
    <row r="122" spans="1:21" x14ac:dyDescent="0.2">
      <c r="B122" t="s">
        <v>52</v>
      </c>
      <c r="C122" s="22"/>
      <c r="D122" s="22"/>
      <c r="E122" s="22"/>
      <c r="F122" s="22"/>
      <c r="G122" s="22"/>
      <c r="H122" s="22"/>
      <c r="I122" s="22"/>
      <c r="J122" s="22"/>
      <c r="K122" s="22"/>
      <c r="L122" s="22" t="e">
        <f t="shared" ref="L122:U122" si="119">L120/K120-1</f>
        <v>#DIV/0!</v>
      </c>
      <c r="M122" s="22" t="e">
        <f t="shared" si="119"/>
        <v>#DIV/0!</v>
      </c>
      <c r="N122" s="22" t="e">
        <f t="shared" si="119"/>
        <v>#DIV/0!</v>
      </c>
      <c r="O122" s="22" t="e">
        <f t="shared" si="119"/>
        <v>#DIV/0!</v>
      </c>
      <c r="P122" s="22" t="e">
        <f t="shared" si="119"/>
        <v>#DIV/0!</v>
      </c>
      <c r="Q122" s="22" t="e">
        <f t="shared" si="119"/>
        <v>#DIV/0!</v>
      </c>
      <c r="R122" s="22" t="e">
        <f t="shared" si="119"/>
        <v>#DIV/0!</v>
      </c>
      <c r="S122" s="22" t="e">
        <f t="shared" si="119"/>
        <v>#DIV/0!</v>
      </c>
      <c r="T122" s="22" t="e">
        <f t="shared" si="119"/>
        <v>#DIV/0!</v>
      </c>
      <c r="U122" s="22" t="e">
        <f t="shared" si="119"/>
        <v>#DIV/0!</v>
      </c>
    </row>
    <row r="123" spans="1:21" x14ac:dyDescent="0.2">
      <c r="A123" s="17"/>
      <c r="B123" s="17" t="s">
        <v>48</v>
      </c>
      <c r="C123" s="17"/>
      <c r="D123" s="17"/>
      <c r="E123" s="17"/>
      <c r="F123" s="17"/>
      <c r="G123" s="17"/>
      <c r="H123" s="17"/>
      <c r="I123" s="17"/>
      <c r="J123" s="17"/>
      <c r="K123" s="17">
        <v>1608.3</v>
      </c>
      <c r="L123" s="17">
        <v>2048.3000000000002</v>
      </c>
      <c r="M123" s="17">
        <v>1535</v>
      </c>
      <c r="N123" s="17">
        <v>1038.4000000000001</v>
      </c>
      <c r="O123" s="17">
        <v>1178</v>
      </c>
      <c r="P123" s="17">
        <v>886</v>
      </c>
      <c r="Q123" s="17">
        <v>390.3</v>
      </c>
      <c r="R123" s="17">
        <v>387.1</v>
      </c>
      <c r="S123" s="17">
        <v>295</v>
      </c>
      <c r="T123" s="17">
        <v>908</v>
      </c>
      <c r="U123" s="17">
        <v>888</v>
      </c>
    </row>
    <row r="124" spans="1:21" x14ac:dyDescent="0.2">
      <c r="B124" t="s">
        <v>49</v>
      </c>
      <c r="C124" s="22"/>
      <c r="D124" s="22"/>
      <c r="E124" s="22"/>
      <c r="F124" s="22"/>
      <c r="G124" s="22"/>
      <c r="H124" s="22"/>
      <c r="I124" s="22"/>
      <c r="J124" s="22"/>
      <c r="K124" s="22" t="e">
        <f t="shared" ref="K124:U124" si="120">K123/G123-1</f>
        <v>#DIV/0!</v>
      </c>
      <c r="L124" s="22" t="e">
        <f t="shared" si="120"/>
        <v>#DIV/0!</v>
      </c>
      <c r="M124" s="22" t="e">
        <f t="shared" si="120"/>
        <v>#DIV/0!</v>
      </c>
      <c r="N124" s="22" t="e">
        <f t="shared" si="120"/>
        <v>#DIV/0!</v>
      </c>
      <c r="O124" s="22">
        <f t="shared" si="120"/>
        <v>-0.26754958651992788</v>
      </c>
      <c r="P124" s="22">
        <f t="shared" si="120"/>
        <v>-0.56744617487672711</v>
      </c>
      <c r="Q124" s="22">
        <f t="shared" si="120"/>
        <v>-0.74573289902280138</v>
      </c>
      <c r="R124" s="22">
        <f t="shared" si="120"/>
        <v>-0.62721494607087824</v>
      </c>
      <c r="S124" s="22">
        <f t="shared" si="120"/>
        <v>-0.74957555178268254</v>
      </c>
      <c r="T124" s="22">
        <f t="shared" si="120"/>
        <v>2.483069977426644E-2</v>
      </c>
      <c r="U124" s="22">
        <f t="shared" si="120"/>
        <v>1.275172943889316</v>
      </c>
    </row>
    <row r="125" spans="1:21" x14ac:dyDescent="0.2">
      <c r="B125" t="s">
        <v>52</v>
      </c>
      <c r="C125" s="22"/>
      <c r="D125" s="22"/>
      <c r="E125" s="22"/>
      <c r="F125" s="22"/>
      <c r="G125" s="22"/>
      <c r="H125" s="22"/>
      <c r="I125" s="22"/>
      <c r="J125" s="22"/>
      <c r="K125" s="22"/>
      <c r="L125" s="22">
        <f t="shared" ref="L125:U125" si="121">L123/K123-1</f>
        <v>0.27358079960206449</v>
      </c>
      <c r="M125" s="22">
        <f t="shared" si="121"/>
        <v>-0.25059805692525516</v>
      </c>
      <c r="N125" s="22">
        <f t="shared" si="121"/>
        <v>-0.32351791530944618</v>
      </c>
      <c r="O125" s="22">
        <f t="shared" si="121"/>
        <v>0.13443759630200303</v>
      </c>
      <c r="P125" s="22">
        <f t="shared" si="121"/>
        <v>-0.24787775891341257</v>
      </c>
      <c r="Q125" s="22">
        <f t="shared" si="121"/>
        <v>-0.55948081264108351</v>
      </c>
      <c r="R125" s="22">
        <f t="shared" si="121"/>
        <v>-8.1988214194209652E-3</v>
      </c>
      <c r="S125" s="22">
        <f t="shared" si="121"/>
        <v>-0.2379230173081891</v>
      </c>
      <c r="T125" s="22">
        <f t="shared" si="121"/>
        <v>2.0779661016949151</v>
      </c>
      <c r="U125" s="22">
        <f t="shared" si="121"/>
        <v>-2.2026431718061623E-2</v>
      </c>
    </row>
    <row r="126" spans="1:21" x14ac:dyDescent="0.2">
      <c r="B126" s="17" t="s">
        <v>50</v>
      </c>
      <c r="C126" s="17"/>
      <c r="D126" s="17"/>
      <c r="E126" s="17"/>
      <c r="F126" s="17"/>
      <c r="G126" s="23"/>
      <c r="H126" s="23"/>
      <c r="I126" s="23"/>
      <c r="J126" s="23"/>
      <c r="K126" s="23" t="e">
        <f t="shared" ref="K126:U126" si="122">AVERAGE(H123:K123)/AVERAGE(G123:J123)-1</f>
        <v>#DIV/0!</v>
      </c>
      <c r="L126" s="23">
        <f t="shared" si="122"/>
        <v>0.13679039980103225</v>
      </c>
      <c r="M126" s="23">
        <f t="shared" si="122"/>
        <v>-5.3474083392586857E-2</v>
      </c>
      <c r="N126" s="23">
        <f t="shared" si="122"/>
        <v>-9.998844286925046E-2</v>
      </c>
      <c r="O126" s="23">
        <f t="shared" si="122"/>
        <v>-6.9069020866773578E-2</v>
      </c>
      <c r="P126" s="23">
        <f t="shared" si="122"/>
        <v>-0.20040691759918627</v>
      </c>
      <c r="Q126" s="23">
        <f t="shared" si="122"/>
        <v>-0.24684090222969757</v>
      </c>
      <c r="R126" s="23">
        <f t="shared" si="122"/>
        <v>-0.18647464712113837</v>
      </c>
      <c r="S126" s="23">
        <f t="shared" si="122"/>
        <v>-0.31076230027451257</v>
      </c>
      <c r="T126" s="23">
        <f t="shared" si="122"/>
        <v>1.1233660130719025E-2</v>
      </c>
      <c r="U126" s="23">
        <f t="shared" si="122"/>
        <v>0.2513128660876589</v>
      </c>
    </row>
    <row r="127" spans="1:21" ht="13.5" thickBot="1" x14ac:dyDescent="0.25">
      <c r="B127" s="14"/>
    </row>
    <row r="128" spans="1:21" ht="13.5" thickBot="1" x14ac:dyDescent="0.25">
      <c r="A128" s="24" t="s">
        <v>0</v>
      </c>
      <c r="B128" s="25" t="s">
        <v>90</v>
      </c>
      <c r="C128" s="24" t="s">
        <v>30</v>
      </c>
      <c r="D128" s="24" t="s">
        <v>31</v>
      </c>
      <c r="E128" s="24" t="s">
        <v>32</v>
      </c>
      <c r="F128" s="24" t="s">
        <v>33</v>
      </c>
      <c r="G128" s="24" t="s">
        <v>34</v>
      </c>
      <c r="H128" s="24" t="s">
        <v>35</v>
      </c>
      <c r="I128" s="24" t="s">
        <v>36</v>
      </c>
      <c r="J128" s="24" t="s">
        <v>37</v>
      </c>
      <c r="K128" s="24" t="s">
        <v>38</v>
      </c>
      <c r="L128" s="24" t="s">
        <v>39</v>
      </c>
      <c r="M128" s="24" t="s">
        <v>40</v>
      </c>
      <c r="N128" s="24" t="s">
        <v>41</v>
      </c>
      <c r="O128" s="24" t="s">
        <v>42</v>
      </c>
      <c r="P128" s="24" t="s">
        <v>43</v>
      </c>
      <c r="Q128" s="24" t="s">
        <v>44</v>
      </c>
      <c r="R128" s="24" t="s">
        <v>45</v>
      </c>
      <c r="S128" s="24" t="s">
        <v>46</v>
      </c>
      <c r="T128" s="24" t="s">
        <v>47</v>
      </c>
      <c r="U128" s="24" t="s">
        <v>19</v>
      </c>
    </row>
    <row r="129" spans="1:21" x14ac:dyDescent="0.2">
      <c r="A129" s="17"/>
      <c r="B129" s="17" t="s">
        <v>51</v>
      </c>
      <c r="C129" s="17"/>
      <c r="D129" s="17"/>
      <c r="E129" s="17"/>
      <c r="F129" s="17"/>
      <c r="G129" s="17"/>
      <c r="H129" s="17"/>
      <c r="I129" s="17">
        <v>1923.3</v>
      </c>
      <c r="J129" s="17">
        <v>2042.6</v>
      </c>
      <c r="K129" s="17">
        <v>1837.8</v>
      </c>
      <c r="L129" s="17">
        <v>1939.4</v>
      </c>
      <c r="M129" s="17">
        <v>2043.3</v>
      </c>
      <c r="N129" s="17">
        <v>2140.5</v>
      </c>
      <c r="O129" s="17">
        <v>2208.9</v>
      </c>
      <c r="P129" s="17">
        <v>2391.9</v>
      </c>
      <c r="Q129" s="17">
        <v>2499.5</v>
      </c>
      <c r="R129" s="17">
        <v>2545.6999999999998</v>
      </c>
      <c r="S129" s="17">
        <v>2648.6</v>
      </c>
      <c r="T129" s="17">
        <v>2893.4</v>
      </c>
      <c r="U129" s="17">
        <v>3194</v>
      </c>
    </row>
    <row r="130" spans="1:21" x14ac:dyDescent="0.2">
      <c r="B130" t="s">
        <v>49</v>
      </c>
      <c r="C130" s="22"/>
      <c r="D130" s="22"/>
      <c r="E130" s="22"/>
      <c r="F130" s="22"/>
      <c r="G130" s="22"/>
      <c r="H130" s="22"/>
      <c r="I130" s="22"/>
      <c r="J130" s="22"/>
      <c r="K130" s="22" t="e">
        <f t="shared" ref="K130:U130" si="123">K129/G129-1</f>
        <v>#DIV/0!</v>
      </c>
      <c r="L130" s="22" t="e">
        <f t="shared" si="123"/>
        <v>#DIV/0!</v>
      </c>
      <c r="M130" s="22">
        <f t="shared" si="123"/>
        <v>6.2392762439557048E-2</v>
      </c>
      <c r="N130" s="22">
        <f t="shared" si="123"/>
        <v>4.7929109957896898E-2</v>
      </c>
      <c r="O130" s="22">
        <f t="shared" si="123"/>
        <v>0.20192621612797912</v>
      </c>
      <c r="P130" s="22">
        <f t="shared" si="123"/>
        <v>0.23331958337630199</v>
      </c>
      <c r="Q130" s="22">
        <f t="shared" si="123"/>
        <v>0.22326628493123879</v>
      </c>
      <c r="R130" s="22">
        <f t="shared" si="123"/>
        <v>0.18930156505489371</v>
      </c>
      <c r="S130" s="22">
        <f t="shared" si="123"/>
        <v>0.19905835483724932</v>
      </c>
      <c r="T130" s="22">
        <f t="shared" si="123"/>
        <v>0.20966595593461257</v>
      </c>
      <c r="U130" s="22">
        <f t="shared" si="123"/>
        <v>0.27785557111422277</v>
      </c>
    </row>
    <row r="131" spans="1:21" x14ac:dyDescent="0.2">
      <c r="B131" t="s">
        <v>52</v>
      </c>
      <c r="C131" s="22"/>
      <c r="D131" s="22"/>
      <c r="E131" s="22"/>
      <c r="F131" s="22"/>
      <c r="G131" s="22"/>
      <c r="H131" s="22"/>
      <c r="I131" s="22"/>
      <c r="J131" s="22"/>
      <c r="K131" s="22"/>
      <c r="L131" s="22">
        <f t="shared" ref="L131:U131" si="124">L129/K129-1</f>
        <v>5.5283491130699858E-2</v>
      </c>
      <c r="M131" s="22">
        <f t="shared" si="124"/>
        <v>5.3573270083530966E-2</v>
      </c>
      <c r="N131" s="22">
        <f t="shared" si="124"/>
        <v>4.7570107179562449E-2</v>
      </c>
      <c r="O131" s="22">
        <f t="shared" si="124"/>
        <v>3.195515066573229E-2</v>
      </c>
      <c r="P131" s="22">
        <f t="shared" si="124"/>
        <v>8.2846665761238558E-2</v>
      </c>
      <c r="Q131" s="22">
        <f t="shared" si="124"/>
        <v>4.4985158242401457E-2</v>
      </c>
      <c r="R131" s="22">
        <f t="shared" si="124"/>
        <v>1.8483696739347799E-2</v>
      </c>
      <c r="S131" s="22">
        <f t="shared" si="124"/>
        <v>4.042110225085449E-2</v>
      </c>
      <c r="T131" s="22">
        <f t="shared" si="124"/>
        <v>9.2426187419768935E-2</v>
      </c>
      <c r="U131" s="22">
        <f t="shared" si="124"/>
        <v>0.10389161540056668</v>
      </c>
    </row>
    <row r="132" spans="1:21" x14ac:dyDescent="0.2">
      <c r="A132" s="17"/>
      <c r="B132" s="17" t="s">
        <v>48</v>
      </c>
      <c r="C132" s="17"/>
      <c r="D132" s="17"/>
      <c r="E132" s="17"/>
      <c r="F132" s="17"/>
      <c r="G132" s="17"/>
      <c r="H132" s="17"/>
      <c r="I132" s="17">
        <v>80</v>
      </c>
      <c r="J132" s="17">
        <v>148.4</v>
      </c>
      <c r="K132" s="17">
        <v>64</v>
      </c>
      <c r="L132" s="17">
        <v>93</v>
      </c>
      <c r="M132" s="17">
        <v>122.2</v>
      </c>
      <c r="N132" s="17">
        <v>68.8</v>
      </c>
      <c r="O132" s="17">
        <v>130.30000000000001</v>
      </c>
      <c r="P132" s="17">
        <v>144.1</v>
      </c>
      <c r="Q132" s="17">
        <v>137.4</v>
      </c>
      <c r="R132" s="17">
        <v>194.4</v>
      </c>
      <c r="S132" s="17">
        <v>132.6</v>
      </c>
      <c r="T132" s="17">
        <v>286.3</v>
      </c>
      <c r="U132" s="17">
        <v>325</v>
      </c>
    </row>
    <row r="133" spans="1:21" x14ac:dyDescent="0.2">
      <c r="B133" t="s">
        <v>49</v>
      </c>
      <c r="C133" s="22"/>
      <c r="D133" s="22"/>
      <c r="E133" s="22"/>
      <c r="F133" s="22"/>
      <c r="G133" s="22"/>
      <c r="H133" s="22"/>
      <c r="I133" s="22"/>
      <c r="J133" s="22"/>
      <c r="K133" s="22" t="e">
        <f t="shared" ref="K133:U133" si="125">K132/G132-1</f>
        <v>#DIV/0!</v>
      </c>
      <c r="L133" s="22" t="e">
        <f t="shared" si="125"/>
        <v>#DIV/0!</v>
      </c>
      <c r="M133" s="22">
        <f t="shared" si="125"/>
        <v>0.52750000000000008</v>
      </c>
      <c r="N133" s="22">
        <f t="shared" si="125"/>
        <v>-0.53638814016172509</v>
      </c>
      <c r="O133" s="22">
        <f t="shared" si="125"/>
        <v>1.0359375000000002</v>
      </c>
      <c r="P133" s="22">
        <f t="shared" si="125"/>
        <v>0.54946236559139772</v>
      </c>
      <c r="Q133" s="22">
        <f t="shared" si="125"/>
        <v>0.12438625204582654</v>
      </c>
      <c r="R133" s="22">
        <f t="shared" si="125"/>
        <v>1.8255813953488373</v>
      </c>
      <c r="S133" s="22">
        <f t="shared" si="125"/>
        <v>1.7651573292402079E-2</v>
      </c>
      <c r="T133" s="22">
        <f t="shared" si="125"/>
        <v>0.98681471200555193</v>
      </c>
      <c r="U133" s="22">
        <f t="shared" si="125"/>
        <v>1.3653566229985441</v>
      </c>
    </row>
    <row r="134" spans="1:21" x14ac:dyDescent="0.2">
      <c r="B134" t="s">
        <v>52</v>
      </c>
      <c r="C134" s="22"/>
      <c r="D134" s="22"/>
      <c r="E134" s="22"/>
      <c r="F134" s="22"/>
      <c r="G134" s="22"/>
      <c r="H134" s="22"/>
      <c r="I134" s="22"/>
      <c r="J134" s="22"/>
      <c r="K134" s="22"/>
      <c r="L134" s="22">
        <f t="shared" ref="L134:U134" si="126">L132/K132-1</f>
        <v>0.453125</v>
      </c>
      <c r="M134" s="22">
        <f t="shared" si="126"/>
        <v>0.3139784946236559</v>
      </c>
      <c r="N134" s="22">
        <f t="shared" si="126"/>
        <v>-0.43698854337152215</v>
      </c>
      <c r="O134" s="22">
        <f t="shared" si="126"/>
        <v>0.89389534883720945</v>
      </c>
      <c r="P134" s="22">
        <f t="shared" si="126"/>
        <v>0.10590943975441269</v>
      </c>
      <c r="Q134" s="22">
        <f t="shared" si="126"/>
        <v>-4.6495489243580823E-2</v>
      </c>
      <c r="R134" s="22">
        <f t="shared" si="126"/>
        <v>0.41484716157205237</v>
      </c>
      <c r="S134" s="22">
        <f t="shared" si="126"/>
        <v>-0.31790123456790131</v>
      </c>
      <c r="T134" s="22">
        <f t="shared" si="126"/>
        <v>1.1591251885369536</v>
      </c>
      <c r="U134" s="22">
        <f t="shared" si="126"/>
        <v>0.13517289556409362</v>
      </c>
    </row>
    <row r="135" spans="1:21" x14ac:dyDescent="0.2">
      <c r="B135" s="17" t="s">
        <v>50</v>
      </c>
      <c r="C135" s="17"/>
      <c r="D135" s="17"/>
      <c r="E135" s="17"/>
      <c r="F135" s="17"/>
      <c r="G135" s="23"/>
      <c r="H135" s="23"/>
      <c r="I135" s="23"/>
      <c r="J135" s="23"/>
      <c r="K135" s="23">
        <f t="shared" ref="K135:U135" si="127">AVERAGE(H132:K132)/AVERAGE(G132:J132)-1</f>
        <v>-0.14652656158785771</v>
      </c>
      <c r="L135" s="23">
        <f t="shared" si="127"/>
        <v>-1.145690834473323E-2</v>
      </c>
      <c r="M135" s="23">
        <f t="shared" si="127"/>
        <v>0.10949662688116235</v>
      </c>
      <c r="N135" s="23">
        <f t="shared" si="127"/>
        <v>-0.18615528531337688</v>
      </c>
      <c r="O135" s="23">
        <f t="shared" si="127"/>
        <v>0.19051724137931036</v>
      </c>
      <c r="P135" s="23">
        <f t="shared" si="127"/>
        <v>0.12334057446294944</v>
      </c>
      <c r="Q135" s="23">
        <f t="shared" si="127"/>
        <v>3.2660077352814953E-2</v>
      </c>
      <c r="R135" s="23">
        <f t="shared" si="127"/>
        <v>0.26133999167707023</v>
      </c>
      <c r="S135" s="23">
        <f t="shared" si="127"/>
        <v>3.7941273507093864E-3</v>
      </c>
      <c r="T135" s="23">
        <f t="shared" si="127"/>
        <v>0.23368940016433859</v>
      </c>
      <c r="U135" s="23">
        <f t="shared" si="127"/>
        <v>0.24990009324630336</v>
      </c>
    </row>
    <row r="136" spans="1:21" ht="13.5" thickBot="1" x14ac:dyDescent="0.25"/>
    <row r="137" spans="1:21" ht="13.5" thickBot="1" x14ac:dyDescent="0.25">
      <c r="A137" s="24" t="s">
        <v>0</v>
      </c>
      <c r="B137" s="25">
        <v>601100</v>
      </c>
      <c r="C137" s="24" t="s">
        <v>30</v>
      </c>
      <c r="D137" s="24" t="s">
        <v>31</v>
      </c>
      <c r="E137" s="24" t="s">
        <v>32</v>
      </c>
      <c r="F137" s="24" t="s">
        <v>33</v>
      </c>
      <c r="G137" s="24" t="s">
        <v>34</v>
      </c>
      <c r="H137" s="24" t="s">
        <v>35</v>
      </c>
      <c r="I137" s="24" t="s">
        <v>36</v>
      </c>
      <c r="J137" s="24" t="s">
        <v>37</v>
      </c>
      <c r="K137" s="24" t="s">
        <v>38</v>
      </c>
      <c r="L137" s="24" t="s">
        <v>39</v>
      </c>
      <c r="M137" s="24" t="s">
        <v>40</v>
      </c>
      <c r="N137" s="24" t="s">
        <v>41</v>
      </c>
      <c r="O137" s="24" t="s">
        <v>42</v>
      </c>
      <c r="P137" s="24" t="s">
        <v>43</v>
      </c>
      <c r="Q137" s="24" t="s">
        <v>44</v>
      </c>
      <c r="R137" s="24" t="s">
        <v>45</v>
      </c>
      <c r="S137" s="24" t="s">
        <v>46</v>
      </c>
      <c r="T137" s="24" t="s">
        <v>47</v>
      </c>
      <c r="U137" s="24" t="s">
        <v>19</v>
      </c>
    </row>
    <row r="138" spans="1:21" x14ac:dyDescent="0.2">
      <c r="A138" s="17"/>
      <c r="B138" s="17" t="s">
        <v>51</v>
      </c>
      <c r="C138" s="17"/>
      <c r="D138" s="17"/>
      <c r="E138" s="17"/>
      <c r="F138" s="17"/>
      <c r="G138" s="17"/>
      <c r="H138" s="17"/>
      <c r="I138" s="17"/>
      <c r="J138" s="17"/>
      <c r="K138" s="17"/>
      <c r="L138" s="17"/>
      <c r="M138" s="17"/>
      <c r="N138" s="17"/>
      <c r="O138" s="17"/>
      <c r="P138" s="17"/>
      <c r="Q138" s="17"/>
      <c r="R138" s="17"/>
      <c r="S138" s="17"/>
      <c r="T138" s="17"/>
      <c r="U138" s="17"/>
    </row>
    <row r="139" spans="1:21" x14ac:dyDescent="0.2">
      <c r="B139" t="s">
        <v>49</v>
      </c>
      <c r="C139" s="22"/>
      <c r="D139" s="22"/>
      <c r="E139" s="22"/>
      <c r="F139" s="22"/>
      <c r="G139" s="22"/>
      <c r="H139" s="22"/>
      <c r="I139" s="22"/>
      <c r="J139" s="22"/>
      <c r="K139" s="22" t="e">
        <f t="shared" ref="K139:U139" si="128">K138/G138-1</f>
        <v>#DIV/0!</v>
      </c>
      <c r="L139" s="22" t="e">
        <f t="shared" si="128"/>
        <v>#DIV/0!</v>
      </c>
      <c r="M139" s="22" t="e">
        <f t="shared" si="128"/>
        <v>#DIV/0!</v>
      </c>
      <c r="N139" s="22" t="e">
        <f t="shared" si="128"/>
        <v>#DIV/0!</v>
      </c>
      <c r="O139" s="22" t="e">
        <f t="shared" si="128"/>
        <v>#DIV/0!</v>
      </c>
      <c r="P139" s="22" t="e">
        <f t="shared" si="128"/>
        <v>#DIV/0!</v>
      </c>
      <c r="Q139" s="22" t="e">
        <f t="shared" si="128"/>
        <v>#DIV/0!</v>
      </c>
      <c r="R139" s="22" t="e">
        <f t="shared" si="128"/>
        <v>#DIV/0!</v>
      </c>
      <c r="S139" s="22" t="e">
        <f t="shared" si="128"/>
        <v>#DIV/0!</v>
      </c>
      <c r="T139" s="22" t="e">
        <f t="shared" si="128"/>
        <v>#DIV/0!</v>
      </c>
      <c r="U139" s="22" t="e">
        <f t="shared" si="128"/>
        <v>#DIV/0!</v>
      </c>
    </row>
    <row r="140" spans="1:21" x14ac:dyDescent="0.2">
      <c r="B140" t="s">
        <v>52</v>
      </c>
      <c r="C140" s="22"/>
      <c r="D140" s="22"/>
      <c r="E140" s="22"/>
      <c r="F140" s="22"/>
      <c r="G140" s="22"/>
      <c r="H140" s="22"/>
      <c r="I140" s="22"/>
      <c r="J140" s="22"/>
      <c r="K140" s="22"/>
      <c r="L140" s="22" t="e">
        <f t="shared" ref="L140:U140" si="129">L138/K138-1</f>
        <v>#DIV/0!</v>
      </c>
      <c r="M140" s="22" t="e">
        <f t="shared" si="129"/>
        <v>#DIV/0!</v>
      </c>
      <c r="N140" s="22" t="e">
        <f t="shared" si="129"/>
        <v>#DIV/0!</v>
      </c>
      <c r="O140" s="22" t="e">
        <f t="shared" si="129"/>
        <v>#DIV/0!</v>
      </c>
      <c r="P140" s="22" t="e">
        <f t="shared" si="129"/>
        <v>#DIV/0!</v>
      </c>
      <c r="Q140" s="22" t="e">
        <f t="shared" si="129"/>
        <v>#DIV/0!</v>
      </c>
      <c r="R140" s="22" t="e">
        <f t="shared" si="129"/>
        <v>#DIV/0!</v>
      </c>
      <c r="S140" s="22" t="e">
        <f t="shared" si="129"/>
        <v>#DIV/0!</v>
      </c>
      <c r="T140" s="22" t="e">
        <f t="shared" si="129"/>
        <v>#DIV/0!</v>
      </c>
      <c r="U140" s="22" t="e">
        <f t="shared" si="129"/>
        <v>#DIV/0!</v>
      </c>
    </row>
    <row r="141" spans="1:21" x14ac:dyDescent="0.2">
      <c r="A141" s="17"/>
      <c r="B141" s="17" t="s">
        <v>48</v>
      </c>
      <c r="C141" s="17"/>
      <c r="D141" s="17"/>
      <c r="E141" s="17"/>
      <c r="F141" s="17"/>
      <c r="G141" s="17"/>
      <c r="H141" s="17"/>
      <c r="I141" s="17"/>
      <c r="J141" s="17"/>
      <c r="K141" s="17">
        <v>18.100000000000001</v>
      </c>
      <c r="L141" s="17">
        <v>55.2</v>
      </c>
      <c r="M141" s="17">
        <v>64.2</v>
      </c>
      <c r="N141" s="17">
        <v>77.2</v>
      </c>
      <c r="O141" s="17">
        <v>54.4</v>
      </c>
      <c r="P141" s="17">
        <v>72.5</v>
      </c>
      <c r="Q141" s="17">
        <v>79.3</v>
      </c>
      <c r="R141" s="17">
        <v>86.7</v>
      </c>
      <c r="S141" s="17">
        <v>80.099999999999994</v>
      </c>
      <c r="T141" s="17">
        <v>82.5</v>
      </c>
      <c r="U141" s="17">
        <v>105.8</v>
      </c>
    </row>
    <row r="142" spans="1:21" x14ac:dyDescent="0.2">
      <c r="B142" t="s">
        <v>49</v>
      </c>
      <c r="C142" s="22"/>
      <c r="D142" s="22"/>
      <c r="E142" s="22"/>
      <c r="F142" s="22"/>
      <c r="G142" s="22"/>
      <c r="H142" s="22"/>
      <c r="I142" s="22"/>
      <c r="J142" s="22"/>
      <c r="K142" s="22" t="e">
        <f t="shared" ref="K142:U142" si="130">K141/G141-1</f>
        <v>#DIV/0!</v>
      </c>
      <c r="L142" s="22" t="e">
        <f t="shared" si="130"/>
        <v>#DIV/0!</v>
      </c>
      <c r="M142" s="22" t="e">
        <f t="shared" si="130"/>
        <v>#DIV/0!</v>
      </c>
      <c r="N142" s="22" t="e">
        <f t="shared" si="130"/>
        <v>#DIV/0!</v>
      </c>
      <c r="O142" s="22">
        <f t="shared" si="130"/>
        <v>2.0055248618784529</v>
      </c>
      <c r="P142" s="22">
        <f t="shared" si="130"/>
        <v>0.31340579710144922</v>
      </c>
      <c r="Q142" s="22">
        <f t="shared" si="130"/>
        <v>0.23520249221183787</v>
      </c>
      <c r="R142" s="22">
        <f t="shared" si="130"/>
        <v>0.12305699481865284</v>
      </c>
      <c r="S142" s="22">
        <f t="shared" si="130"/>
        <v>0.47242647058823528</v>
      </c>
      <c r="T142" s="22">
        <f t="shared" si="130"/>
        <v>0.13793103448275867</v>
      </c>
      <c r="U142" s="22">
        <f t="shared" si="130"/>
        <v>0.33417402269861296</v>
      </c>
    </row>
    <row r="143" spans="1:21" x14ac:dyDescent="0.2">
      <c r="B143" t="s">
        <v>52</v>
      </c>
      <c r="C143" s="22"/>
      <c r="D143" s="22"/>
      <c r="E143" s="22"/>
      <c r="F143" s="22"/>
      <c r="G143" s="22"/>
      <c r="H143" s="22"/>
      <c r="I143" s="22"/>
      <c r="J143" s="22"/>
      <c r="K143" s="22"/>
      <c r="L143" s="22">
        <f t="shared" ref="L143:U143" si="131">L141/K141-1</f>
        <v>2.0497237569060771</v>
      </c>
      <c r="M143" s="22">
        <f t="shared" si="131"/>
        <v>0.16304347826086962</v>
      </c>
      <c r="N143" s="22">
        <f t="shared" si="131"/>
        <v>0.20249221183800614</v>
      </c>
      <c r="O143" s="22">
        <f t="shared" si="131"/>
        <v>-0.29533678756476689</v>
      </c>
      <c r="P143" s="22">
        <f t="shared" si="131"/>
        <v>0.33272058823529416</v>
      </c>
      <c r="Q143" s="22">
        <f t="shared" si="131"/>
        <v>9.3793103448275739E-2</v>
      </c>
      <c r="R143" s="22">
        <f t="shared" si="131"/>
        <v>9.331651954602771E-2</v>
      </c>
      <c r="S143" s="22">
        <f t="shared" si="131"/>
        <v>-7.6124567474048499E-2</v>
      </c>
      <c r="T143" s="22">
        <f t="shared" si="131"/>
        <v>2.9962546816479474E-2</v>
      </c>
      <c r="U143" s="22">
        <f t="shared" si="131"/>
        <v>0.28242424242424247</v>
      </c>
    </row>
    <row r="144" spans="1:21" x14ac:dyDescent="0.2">
      <c r="B144" s="17" t="s">
        <v>50</v>
      </c>
      <c r="C144" s="17"/>
      <c r="D144" s="17"/>
      <c r="E144" s="17"/>
      <c r="F144" s="17"/>
      <c r="G144" s="23"/>
      <c r="H144" s="23"/>
      <c r="I144" s="23"/>
      <c r="J144" s="23"/>
      <c r="K144" s="23" t="e">
        <f t="shared" ref="K144:U144" si="132">AVERAGE(H141:K141)/AVERAGE(G141:J141)-1</f>
        <v>#DIV/0!</v>
      </c>
      <c r="L144" s="23">
        <f t="shared" si="132"/>
        <v>1.0248618784530388</v>
      </c>
      <c r="M144" s="23">
        <f t="shared" si="132"/>
        <v>0.25056844020009073</v>
      </c>
      <c r="N144" s="23">
        <f t="shared" si="132"/>
        <v>0.17109090909090896</v>
      </c>
      <c r="O144" s="23">
        <f t="shared" si="132"/>
        <v>0.16907312529110397</v>
      </c>
      <c r="P144" s="23">
        <f t="shared" si="132"/>
        <v>6.8924302788844649E-2</v>
      </c>
      <c r="Q144" s="23">
        <f t="shared" si="132"/>
        <v>5.6280283265001785E-2</v>
      </c>
      <c r="R144" s="23">
        <f t="shared" si="132"/>
        <v>3.352152434721245E-2</v>
      </c>
      <c r="S144" s="23">
        <f t="shared" si="132"/>
        <v>8.7743257084329285E-2</v>
      </c>
      <c r="T144" s="23">
        <f t="shared" si="132"/>
        <v>3.1387319522912849E-2</v>
      </c>
      <c r="U144" s="23">
        <f t="shared" si="132"/>
        <v>8.0645161290322509E-2</v>
      </c>
    </row>
    <row r="145" spans="1:21" ht="13.5" thickBot="1" x14ac:dyDescent="0.25"/>
    <row r="146" spans="1:21" ht="13.5" thickBot="1" x14ac:dyDescent="0.25">
      <c r="A146" s="24" t="s">
        <v>0</v>
      </c>
      <c r="B146" s="25" t="s">
        <v>87</v>
      </c>
      <c r="C146" s="24" t="s">
        <v>30</v>
      </c>
      <c r="D146" s="24" t="s">
        <v>31</v>
      </c>
      <c r="E146" s="24" t="s">
        <v>32</v>
      </c>
      <c r="F146" s="24" t="s">
        <v>33</v>
      </c>
      <c r="G146" s="24" t="s">
        <v>34</v>
      </c>
      <c r="H146" s="24" t="s">
        <v>35</v>
      </c>
      <c r="I146" s="24" t="s">
        <v>36</v>
      </c>
      <c r="J146" s="24" t="s">
        <v>37</v>
      </c>
      <c r="K146" s="24" t="s">
        <v>38</v>
      </c>
      <c r="L146" s="24" t="s">
        <v>39</v>
      </c>
      <c r="M146" s="24" t="s">
        <v>40</v>
      </c>
      <c r="N146" s="24" t="s">
        <v>41</v>
      </c>
      <c r="O146" s="24" t="s">
        <v>42</v>
      </c>
      <c r="P146" s="24" t="s">
        <v>43</v>
      </c>
      <c r="Q146" s="24" t="s">
        <v>44</v>
      </c>
      <c r="R146" s="24" t="s">
        <v>45</v>
      </c>
      <c r="S146" s="24" t="s">
        <v>46</v>
      </c>
      <c r="T146" s="24" t="s">
        <v>47</v>
      </c>
      <c r="U146" s="24" t="s">
        <v>19</v>
      </c>
    </row>
    <row r="147" spans="1:21" x14ac:dyDescent="0.2">
      <c r="A147" s="17"/>
      <c r="B147" s="17" t="s">
        <v>51</v>
      </c>
      <c r="C147" s="17"/>
      <c r="D147" s="17"/>
      <c r="E147" s="17"/>
      <c r="F147" s="17"/>
      <c r="G147" s="17"/>
      <c r="H147" s="17"/>
      <c r="I147" s="17"/>
      <c r="J147" s="17"/>
      <c r="K147" s="17">
        <v>52.9</v>
      </c>
      <c r="L147" s="17">
        <v>56.1</v>
      </c>
      <c r="M147" s="17">
        <v>58.6</v>
      </c>
      <c r="N147" s="17">
        <v>60.6</v>
      </c>
      <c r="O147" s="17">
        <v>62.2</v>
      </c>
      <c r="P147" s="17">
        <v>63.5</v>
      </c>
      <c r="Q147" s="17">
        <v>68.3</v>
      </c>
      <c r="R147" s="17">
        <v>69.599999999999994</v>
      </c>
      <c r="S147" s="17">
        <v>74.3</v>
      </c>
      <c r="T147" s="17">
        <v>76.7</v>
      </c>
      <c r="U147" s="17">
        <v>79.3</v>
      </c>
    </row>
    <row r="148" spans="1:21" x14ac:dyDescent="0.2">
      <c r="B148" t="s">
        <v>49</v>
      </c>
      <c r="C148" s="22"/>
      <c r="D148" s="22"/>
      <c r="E148" s="22"/>
      <c r="F148" s="22"/>
      <c r="G148" s="22"/>
      <c r="H148" s="22"/>
      <c r="I148" s="22"/>
      <c r="J148" s="22"/>
      <c r="K148" s="22" t="e">
        <f t="shared" ref="K148:U148" si="133">K147/G147-1</f>
        <v>#DIV/0!</v>
      </c>
      <c r="L148" s="22" t="e">
        <f t="shared" si="133"/>
        <v>#DIV/0!</v>
      </c>
      <c r="M148" s="22" t="e">
        <f t="shared" si="133"/>
        <v>#DIV/0!</v>
      </c>
      <c r="N148" s="22" t="e">
        <f t="shared" si="133"/>
        <v>#DIV/0!</v>
      </c>
      <c r="O148" s="22">
        <f t="shared" si="133"/>
        <v>0.17580340264650296</v>
      </c>
      <c r="P148" s="22">
        <f t="shared" si="133"/>
        <v>0.13190730837789655</v>
      </c>
      <c r="Q148" s="22">
        <f t="shared" si="133"/>
        <v>0.16552901023890776</v>
      </c>
      <c r="R148" s="22">
        <f t="shared" si="133"/>
        <v>0.14851485148514842</v>
      </c>
      <c r="S148" s="22">
        <f t="shared" si="133"/>
        <v>0.19453376205787776</v>
      </c>
      <c r="T148" s="22">
        <f t="shared" si="133"/>
        <v>0.20787401574803144</v>
      </c>
      <c r="U148" s="22">
        <f t="shared" si="133"/>
        <v>0.16105417276720346</v>
      </c>
    </row>
    <row r="149" spans="1:21" x14ac:dyDescent="0.2">
      <c r="B149" t="s">
        <v>52</v>
      </c>
      <c r="C149" s="22"/>
      <c r="D149" s="22"/>
      <c r="E149" s="22"/>
      <c r="F149" s="22"/>
      <c r="G149" s="22"/>
      <c r="H149" s="22"/>
      <c r="I149" s="22"/>
      <c r="J149" s="22"/>
      <c r="K149" s="22"/>
      <c r="L149" s="22">
        <f t="shared" ref="L149:U149" si="134">L147/K147-1</f>
        <v>6.0491493383743045E-2</v>
      </c>
      <c r="M149" s="22">
        <f t="shared" si="134"/>
        <v>4.4563279857397609E-2</v>
      </c>
      <c r="N149" s="22">
        <f t="shared" si="134"/>
        <v>3.4129692832764569E-2</v>
      </c>
      <c r="O149" s="22">
        <f t="shared" si="134"/>
        <v>2.64026402640265E-2</v>
      </c>
      <c r="P149" s="22">
        <f t="shared" si="134"/>
        <v>2.0900321543408262E-2</v>
      </c>
      <c r="Q149" s="22">
        <f t="shared" si="134"/>
        <v>7.5590551181102361E-2</v>
      </c>
      <c r="R149" s="22">
        <f t="shared" si="134"/>
        <v>1.9033674963396807E-2</v>
      </c>
      <c r="S149" s="22">
        <f t="shared" si="134"/>
        <v>6.7528735632183867E-2</v>
      </c>
      <c r="T149" s="22">
        <f t="shared" si="134"/>
        <v>3.2301480484522305E-2</v>
      </c>
      <c r="U149" s="22">
        <f t="shared" si="134"/>
        <v>3.3898305084745672E-2</v>
      </c>
    </row>
    <row r="150" spans="1:21" x14ac:dyDescent="0.2">
      <c r="A150" s="17"/>
      <c r="B150" s="17" t="s">
        <v>48</v>
      </c>
      <c r="C150" s="17"/>
      <c r="D150" s="17"/>
      <c r="E150" s="17"/>
      <c r="F150" s="17"/>
      <c r="G150" s="17"/>
      <c r="H150" s="17"/>
      <c r="I150" s="17"/>
      <c r="J150" s="17"/>
      <c r="K150" s="17">
        <v>3.4</v>
      </c>
      <c r="L150" s="17">
        <v>1</v>
      </c>
      <c r="M150" s="17">
        <v>3.6</v>
      </c>
      <c r="N150" s="17">
        <v>7.8</v>
      </c>
      <c r="O150" s="17">
        <v>3.5</v>
      </c>
      <c r="P150" s="17">
        <v>5.7</v>
      </c>
      <c r="Q150" s="17">
        <v>4.0999999999999996</v>
      </c>
      <c r="R150" s="17">
        <v>7.4</v>
      </c>
      <c r="S150" s="17">
        <v>5.3</v>
      </c>
      <c r="T150" s="17">
        <v>4.5</v>
      </c>
      <c r="U150" s="17">
        <f>14.1-5.3</f>
        <v>8.8000000000000007</v>
      </c>
    </row>
    <row r="151" spans="1:21" x14ac:dyDescent="0.2">
      <c r="B151" t="s">
        <v>49</v>
      </c>
      <c r="C151" s="22"/>
      <c r="D151" s="22"/>
      <c r="E151" s="22"/>
      <c r="F151" s="22"/>
      <c r="G151" s="22"/>
      <c r="H151" s="22"/>
      <c r="I151" s="22"/>
      <c r="J151" s="22"/>
      <c r="K151" s="22" t="e">
        <f t="shared" ref="K151:U151" si="135">K150/G150-1</f>
        <v>#DIV/0!</v>
      </c>
      <c r="L151" s="22" t="e">
        <f t="shared" si="135"/>
        <v>#DIV/0!</v>
      </c>
      <c r="M151" s="22" t="e">
        <f t="shared" si="135"/>
        <v>#DIV/0!</v>
      </c>
      <c r="N151" s="22" t="e">
        <f t="shared" si="135"/>
        <v>#DIV/0!</v>
      </c>
      <c r="O151" s="22">
        <f t="shared" si="135"/>
        <v>2.941176470588247E-2</v>
      </c>
      <c r="P151" s="22">
        <f t="shared" si="135"/>
        <v>4.7</v>
      </c>
      <c r="Q151" s="22">
        <f t="shared" si="135"/>
        <v>0.13888888888888884</v>
      </c>
      <c r="R151" s="22">
        <f t="shared" si="135"/>
        <v>-5.1282051282051211E-2</v>
      </c>
      <c r="S151" s="22">
        <f t="shared" si="135"/>
        <v>0.51428571428571423</v>
      </c>
      <c r="T151" s="22">
        <f t="shared" si="135"/>
        <v>-0.21052631578947367</v>
      </c>
      <c r="U151" s="22">
        <f t="shared" si="135"/>
        <v>1.1463414634146347</v>
      </c>
    </row>
    <row r="152" spans="1:21" x14ac:dyDescent="0.2">
      <c r="B152" t="s">
        <v>52</v>
      </c>
      <c r="C152" s="22"/>
      <c r="D152" s="22"/>
      <c r="E152" s="22"/>
      <c r="F152" s="22"/>
      <c r="G152" s="22"/>
      <c r="H152" s="22"/>
      <c r="I152" s="22"/>
      <c r="J152" s="22"/>
      <c r="K152" s="22"/>
      <c r="L152" s="22">
        <f t="shared" ref="L152:U152" si="136">L150/K150-1</f>
        <v>-0.70588235294117641</v>
      </c>
      <c r="M152" s="22">
        <f t="shared" si="136"/>
        <v>2.6</v>
      </c>
      <c r="N152" s="22">
        <f t="shared" si="136"/>
        <v>1.1666666666666665</v>
      </c>
      <c r="O152" s="22">
        <f t="shared" si="136"/>
        <v>-0.55128205128205132</v>
      </c>
      <c r="P152" s="22">
        <f t="shared" si="136"/>
        <v>0.62857142857142856</v>
      </c>
      <c r="Q152" s="22">
        <f t="shared" si="136"/>
        <v>-0.28070175438596501</v>
      </c>
      <c r="R152" s="22">
        <f t="shared" si="136"/>
        <v>0.80487804878048808</v>
      </c>
      <c r="S152" s="22">
        <f t="shared" si="136"/>
        <v>-0.28378378378378388</v>
      </c>
      <c r="T152" s="22">
        <f t="shared" si="136"/>
        <v>-0.15094339622641506</v>
      </c>
      <c r="U152" s="22">
        <f t="shared" si="136"/>
        <v>0.95555555555555571</v>
      </c>
    </row>
    <row r="153" spans="1:21" x14ac:dyDescent="0.2">
      <c r="B153" s="17" t="s">
        <v>50</v>
      </c>
      <c r="C153" s="17"/>
      <c r="D153" s="17"/>
      <c r="E153" s="17"/>
      <c r="F153" s="17"/>
      <c r="G153" s="23"/>
      <c r="H153" s="23"/>
      <c r="I153" s="23"/>
      <c r="J153" s="23"/>
      <c r="K153" s="23" t="e">
        <f t="shared" ref="K153:U153" si="137">AVERAGE(H150:K150)/AVERAGE(G150:J150)-1</f>
        <v>#DIV/0!</v>
      </c>
      <c r="L153" s="23">
        <f t="shared" si="137"/>
        <v>-0.3529411764705882</v>
      </c>
      <c r="M153" s="23">
        <f t="shared" si="137"/>
        <v>0.21212121212121193</v>
      </c>
      <c r="N153" s="23">
        <f t="shared" si="137"/>
        <v>0.48125000000000018</v>
      </c>
      <c r="O153" s="23">
        <f t="shared" si="137"/>
        <v>6.3291139240504446E-3</v>
      </c>
      <c r="P153" s="23">
        <f t="shared" si="137"/>
        <v>0.29559748427672972</v>
      </c>
      <c r="Q153" s="23">
        <f t="shared" si="137"/>
        <v>2.4271844660194164E-2</v>
      </c>
      <c r="R153" s="23">
        <f t="shared" si="137"/>
        <v>-1.8957345971564066E-2</v>
      </c>
      <c r="S153" s="23">
        <f t="shared" si="137"/>
        <v>8.6956521739130599E-2</v>
      </c>
      <c r="T153" s="23">
        <f t="shared" si="137"/>
        <v>-5.3333333333333455E-2</v>
      </c>
      <c r="U153" s="23">
        <f t="shared" si="137"/>
        <v>0.22065727699530502</v>
      </c>
    </row>
    <row r="154" spans="1:21" ht="13.5" thickBot="1" x14ac:dyDescent="0.25"/>
    <row r="155" spans="1:21" ht="13.5" thickBot="1" x14ac:dyDescent="0.25">
      <c r="A155" s="24" t="s">
        <v>0</v>
      </c>
      <c r="B155" s="25" t="s">
        <v>97</v>
      </c>
      <c r="C155" s="24" t="s">
        <v>30</v>
      </c>
      <c r="D155" s="24" t="s">
        <v>31</v>
      </c>
      <c r="E155" s="24" t="s">
        <v>32</v>
      </c>
      <c r="F155" s="24" t="s">
        <v>33</v>
      </c>
      <c r="G155" s="24" t="s">
        <v>34</v>
      </c>
      <c r="H155" s="24" t="s">
        <v>35</v>
      </c>
      <c r="I155" s="24" t="s">
        <v>36</v>
      </c>
      <c r="J155" s="24" t="s">
        <v>37</v>
      </c>
      <c r="K155" s="24" t="s">
        <v>38</v>
      </c>
      <c r="L155" s="24" t="s">
        <v>39</v>
      </c>
      <c r="M155" s="24" t="s">
        <v>40</v>
      </c>
      <c r="N155" s="24" t="s">
        <v>41</v>
      </c>
      <c r="O155" s="24" t="s">
        <v>42</v>
      </c>
      <c r="P155" s="24" t="s">
        <v>43</v>
      </c>
      <c r="Q155" s="24" t="s">
        <v>44</v>
      </c>
      <c r="R155" s="24" t="s">
        <v>45</v>
      </c>
      <c r="S155" s="24" t="s">
        <v>46</v>
      </c>
      <c r="T155" s="24" t="s">
        <v>47</v>
      </c>
      <c r="U155" s="24" t="s">
        <v>19</v>
      </c>
    </row>
    <row r="156" spans="1:21" x14ac:dyDescent="0.2">
      <c r="A156" s="17"/>
      <c r="B156" s="17" t="s">
        <v>51</v>
      </c>
      <c r="C156" s="17"/>
      <c r="D156" s="17"/>
      <c r="E156" s="17"/>
      <c r="F156" s="17"/>
      <c r="G156" s="17"/>
      <c r="H156" s="17"/>
      <c r="I156" s="17"/>
      <c r="J156" s="17"/>
      <c r="K156" s="17">
        <v>3178</v>
      </c>
      <c r="L156" s="17">
        <v>3243</v>
      </c>
      <c r="M156" s="17">
        <v>3173</v>
      </c>
      <c r="N156" s="17">
        <v>2994</v>
      </c>
      <c r="O156" s="17">
        <v>2975</v>
      </c>
      <c r="P156" s="17">
        <v>3251</v>
      </c>
      <c r="Q156" s="17">
        <v>3391</v>
      </c>
      <c r="R156" s="17">
        <v>3501</v>
      </c>
      <c r="S156" s="17">
        <v>3452</v>
      </c>
      <c r="T156" s="17">
        <v>3862</v>
      </c>
      <c r="U156" s="17">
        <v>4100</v>
      </c>
    </row>
    <row r="157" spans="1:21" x14ac:dyDescent="0.2">
      <c r="B157" t="s">
        <v>49</v>
      </c>
      <c r="C157" s="22"/>
      <c r="D157" s="22"/>
      <c r="E157" s="22"/>
      <c r="F157" s="22"/>
      <c r="G157" s="22"/>
      <c r="H157" s="22"/>
      <c r="I157" s="22"/>
      <c r="J157" s="22"/>
      <c r="K157" s="22" t="e">
        <f t="shared" ref="K157" si="138">K156/G156-1</f>
        <v>#DIV/0!</v>
      </c>
      <c r="L157" s="22" t="e">
        <f t="shared" ref="L157" si="139">L156/H156-1</f>
        <v>#DIV/0!</v>
      </c>
      <c r="M157" s="22" t="e">
        <f t="shared" ref="M157" si="140">M156/I156-1</f>
        <v>#DIV/0!</v>
      </c>
      <c r="N157" s="22" t="e">
        <f t="shared" ref="N157" si="141">N156/J156-1</f>
        <v>#DIV/0!</v>
      </c>
      <c r="O157" s="22">
        <f t="shared" ref="O157" si="142">O156/K156-1</f>
        <v>-6.3876651982378907E-2</v>
      </c>
      <c r="P157" s="22">
        <f t="shared" ref="P157" si="143">P156/L156-1</f>
        <v>2.4668516805426144E-3</v>
      </c>
      <c r="Q157" s="22">
        <f t="shared" ref="Q157" si="144">Q156/M156-1</f>
        <v>6.8704695871415034E-2</v>
      </c>
      <c r="R157" s="22">
        <f t="shared" ref="R157" si="145">R156/N156-1</f>
        <v>0.16933867735470942</v>
      </c>
      <c r="S157" s="22">
        <f t="shared" ref="S157" si="146">S156/O156-1</f>
        <v>0.16033613445378148</v>
      </c>
      <c r="T157" s="22">
        <f t="shared" ref="T157" si="147">T156/P156-1</f>
        <v>0.18794217163949556</v>
      </c>
      <c r="U157" s="22">
        <f t="shared" ref="U157" si="148">U156/Q156-1</f>
        <v>0.2090828664110882</v>
      </c>
    </row>
    <row r="158" spans="1:21" x14ac:dyDescent="0.2">
      <c r="B158" t="s">
        <v>52</v>
      </c>
      <c r="C158" s="22"/>
      <c r="D158" s="22"/>
      <c r="E158" s="22"/>
      <c r="F158" s="22"/>
      <c r="G158" s="22"/>
      <c r="H158" s="22"/>
      <c r="I158" s="22"/>
      <c r="J158" s="22"/>
      <c r="K158" s="22"/>
      <c r="L158" s="22">
        <f>L156/K156-1</f>
        <v>2.0453115166771507E-2</v>
      </c>
      <c r="M158" s="22">
        <f t="shared" ref="M158" si="149">M156/L156-1</f>
        <v>-2.1584952204748653E-2</v>
      </c>
      <c r="N158" s="22">
        <f t="shared" ref="N158" si="150">N156/M156-1</f>
        <v>-5.6413488811849932E-2</v>
      </c>
      <c r="O158" s="22">
        <f t="shared" ref="O158" si="151">O156/N156-1</f>
        <v>-6.3460253841015613E-3</v>
      </c>
      <c r="P158" s="22">
        <f t="shared" ref="P158" si="152">P156/O156-1</f>
        <v>9.2773109243697416E-2</v>
      </c>
      <c r="Q158" s="22">
        <f t="shared" ref="Q158" si="153">Q156/P156-1</f>
        <v>4.3063672716087353E-2</v>
      </c>
      <c r="R158" s="22">
        <f t="shared" ref="R158" si="154">R156/Q156-1</f>
        <v>3.2438808611029213E-2</v>
      </c>
      <c r="S158" s="22">
        <f t="shared" ref="S158" si="155">S156/R156-1</f>
        <v>-1.3996001142530745E-2</v>
      </c>
      <c r="T158" s="22">
        <f t="shared" ref="T158" si="156">T156/S156-1</f>
        <v>0.11877172653534185</v>
      </c>
      <c r="U158" s="22">
        <f t="shared" ref="U158" si="157">U156/T156-1</f>
        <v>6.1626100466079858E-2</v>
      </c>
    </row>
    <row r="159" spans="1:21" x14ac:dyDescent="0.2">
      <c r="A159" s="17"/>
      <c r="B159" s="17" t="s">
        <v>48</v>
      </c>
      <c r="C159" s="17"/>
      <c r="D159" s="17"/>
      <c r="E159" s="17"/>
      <c r="F159" s="17"/>
      <c r="G159" s="17"/>
      <c r="H159" s="17"/>
      <c r="I159" s="17"/>
      <c r="J159" s="17"/>
      <c r="K159" s="17">
        <v>297</v>
      </c>
      <c r="L159" s="17">
        <v>279</v>
      </c>
      <c r="M159" s="17">
        <v>236</v>
      </c>
      <c r="N159" s="17">
        <v>78</v>
      </c>
      <c r="O159" s="17">
        <v>254</v>
      </c>
      <c r="P159" s="17">
        <v>186</v>
      </c>
      <c r="Q159" s="17">
        <v>302</v>
      </c>
      <c r="R159" s="17">
        <v>393</v>
      </c>
      <c r="S159" s="17">
        <v>445</v>
      </c>
      <c r="T159" s="17">
        <v>573</v>
      </c>
      <c r="U159" s="17">
        <v>589</v>
      </c>
    </row>
    <row r="160" spans="1:21" x14ac:dyDescent="0.2">
      <c r="B160" t="s">
        <v>49</v>
      </c>
      <c r="C160" s="22"/>
      <c r="D160" s="22"/>
      <c r="E160" s="22"/>
      <c r="F160" s="22"/>
      <c r="G160" s="22"/>
      <c r="H160" s="22"/>
      <c r="I160" s="22"/>
      <c r="J160" s="22"/>
      <c r="K160" s="22" t="e">
        <f>K159/G159-1</f>
        <v>#DIV/0!</v>
      </c>
      <c r="L160" s="22" t="e">
        <f>L159/H159-1</f>
        <v>#DIV/0!</v>
      </c>
      <c r="M160" s="22" t="e">
        <f t="shared" ref="M160" si="158">M159/I159-1</f>
        <v>#DIV/0!</v>
      </c>
      <c r="N160" s="22" t="e">
        <f t="shared" ref="N160" si="159">N159/J159-1</f>
        <v>#DIV/0!</v>
      </c>
      <c r="O160" s="22">
        <f t="shared" ref="O160" si="160">O159/K159-1</f>
        <v>-0.14478114478114479</v>
      </c>
      <c r="P160" s="22">
        <f t="shared" ref="P160" si="161">P159/L159-1</f>
        <v>-0.33333333333333337</v>
      </c>
      <c r="Q160" s="22">
        <f t="shared" ref="Q160" si="162">Q159/M159-1</f>
        <v>0.27966101694915246</v>
      </c>
      <c r="R160" s="22">
        <f t="shared" ref="R160" si="163">R159/N159-1</f>
        <v>4.0384615384615383</v>
      </c>
      <c r="S160" s="22">
        <f t="shared" ref="S160" si="164">S159/O159-1</f>
        <v>0.75196850393700787</v>
      </c>
      <c r="T160" s="22">
        <f t="shared" ref="T160" si="165">T159/P159-1</f>
        <v>2.0806451612903225</v>
      </c>
      <c r="U160" s="22">
        <f t="shared" ref="U160" si="166">U159/Q159-1</f>
        <v>0.95033112582781465</v>
      </c>
    </row>
    <row r="161" spans="1:22" x14ac:dyDescent="0.2">
      <c r="B161" t="s">
        <v>52</v>
      </c>
      <c r="C161" s="22"/>
      <c r="D161" s="22"/>
      <c r="E161" s="22"/>
      <c r="F161" s="22"/>
      <c r="G161" s="22"/>
      <c r="H161" s="22"/>
      <c r="I161" s="22"/>
      <c r="J161" s="22"/>
      <c r="K161" s="22"/>
      <c r="L161" s="22">
        <f>L159/K159-1</f>
        <v>-6.0606060606060552E-2</v>
      </c>
      <c r="M161" s="22">
        <f t="shared" ref="M161" si="167">M159/L159-1</f>
        <v>-0.15412186379928317</v>
      </c>
      <c r="N161" s="22">
        <f t="shared" ref="N161" si="168">N159/M159-1</f>
        <v>-0.66949152542372881</v>
      </c>
      <c r="O161" s="22">
        <f t="shared" ref="O161" si="169">O159/N159-1</f>
        <v>2.2564102564102564</v>
      </c>
      <c r="P161" s="22">
        <f t="shared" ref="P161" si="170">P159/O159-1</f>
        <v>-0.26771653543307083</v>
      </c>
      <c r="Q161" s="22">
        <f t="shared" ref="Q161" si="171">Q159/P159-1</f>
        <v>0.62365591397849451</v>
      </c>
      <c r="R161" s="22">
        <f t="shared" ref="R161" si="172">R159/Q159-1</f>
        <v>0.30132450331125837</v>
      </c>
      <c r="S161" s="22">
        <f t="shared" ref="S161" si="173">S159/R159-1</f>
        <v>0.1323155216284988</v>
      </c>
      <c r="T161" s="22">
        <f t="shared" ref="T161" si="174">T159/S159-1</f>
        <v>0.28764044943820233</v>
      </c>
      <c r="U161" s="22">
        <f t="shared" ref="U161" si="175">U159/T159-1</f>
        <v>2.7923211169284423E-2</v>
      </c>
    </row>
    <row r="162" spans="1:22" x14ac:dyDescent="0.2">
      <c r="B162" s="17" t="s">
        <v>50</v>
      </c>
      <c r="C162" s="17"/>
      <c r="D162" s="17"/>
      <c r="E162" s="17"/>
      <c r="F162" s="17"/>
      <c r="G162" s="23"/>
      <c r="H162" s="23"/>
      <c r="I162" s="23"/>
      <c r="J162" s="23"/>
      <c r="K162" s="23"/>
      <c r="L162" s="23"/>
      <c r="M162" s="23"/>
      <c r="N162" s="23"/>
      <c r="O162" s="23">
        <f t="shared" ref="O162" si="176">AVERAGE(L159:O159)/AVERAGE(K159:N159)-1</f>
        <v>-4.8314606741573063E-2</v>
      </c>
      <c r="P162" s="23">
        <f t="shared" ref="P162" si="177">AVERAGE(M159:P159)/AVERAGE(L159:O159)-1</f>
        <v>-0.10979929161747348</v>
      </c>
      <c r="Q162" s="23">
        <f t="shared" ref="Q162" si="178">AVERAGE(N159:Q159)/AVERAGE(M159:P159)-1</f>
        <v>8.7533156498673659E-2</v>
      </c>
      <c r="R162" s="26">
        <f t="shared" ref="R162" si="179">AVERAGE(O159:R159)/AVERAGE(N159:Q159)-1</f>
        <v>0.38414634146341453</v>
      </c>
      <c r="S162" s="26">
        <f>AVERAGE(P159:S159)/AVERAGE(O159:R159)-1</f>
        <v>0.16828193832599125</v>
      </c>
      <c r="T162" s="26">
        <f t="shared" ref="T162" si="180">AVERAGE(Q159:T159)/AVERAGE(P159:S159)-1</f>
        <v>0.29185520361990958</v>
      </c>
      <c r="U162" s="26">
        <f t="shared" ref="U162" si="181">AVERAGE(R159:U159)/AVERAGE(Q159:T159)-1</f>
        <v>0.16754232340922348</v>
      </c>
    </row>
    <row r="163" spans="1:22" ht="13.5" thickBot="1" x14ac:dyDescent="0.25"/>
    <row r="164" spans="1:22" ht="13.5" thickBot="1" x14ac:dyDescent="0.25">
      <c r="A164" s="24" t="s">
        <v>0</v>
      </c>
      <c r="B164" s="25" t="s">
        <v>98</v>
      </c>
      <c r="C164" s="24" t="s">
        <v>30</v>
      </c>
      <c r="D164" s="24" t="s">
        <v>31</v>
      </c>
      <c r="E164" s="24" t="s">
        <v>32</v>
      </c>
      <c r="F164" s="24" t="s">
        <v>33</v>
      </c>
      <c r="G164" s="24" t="s">
        <v>34</v>
      </c>
      <c r="H164" s="24" t="s">
        <v>35</v>
      </c>
      <c r="I164" s="24" t="s">
        <v>36</v>
      </c>
      <c r="J164" s="24" t="s">
        <v>37</v>
      </c>
      <c r="K164" s="24" t="s">
        <v>38</v>
      </c>
      <c r="L164" s="24" t="s">
        <v>39</v>
      </c>
      <c r="M164" s="24" t="s">
        <v>40</v>
      </c>
      <c r="N164" s="24" t="s">
        <v>41</v>
      </c>
      <c r="O164" s="24" t="s">
        <v>42</v>
      </c>
      <c r="P164" s="24" t="s">
        <v>43</v>
      </c>
      <c r="Q164" s="24" t="s">
        <v>44</v>
      </c>
      <c r="R164" s="24" t="s">
        <v>45</v>
      </c>
      <c r="S164" s="24" t="s">
        <v>46</v>
      </c>
      <c r="T164" s="24" t="s">
        <v>47</v>
      </c>
      <c r="U164" s="24" t="s">
        <v>19</v>
      </c>
    </row>
    <row r="165" spans="1:22" x14ac:dyDescent="0.2">
      <c r="A165" s="17"/>
      <c r="B165" s="17" t="s">
        <v>51</v>
      </c>
      <c r="C165" s="17"/>
      <c r="D165" s="17"/>
      <c r="E165" s="17"/>
      <c r="F165" s="17"/>
      <c r="G165" s="17"/>
      <c r="H165" s="17"/>
      <c r="I165" s="17"/>
      <c r="J165" s="17"/>
      <c r="K165" s="17">
        <v>1887</v>
      </c>
      <c r="L165" s="17">
        <v>1860</v>
      </c>
      <c r="M165" s="17">
        <v>1602</v>
      </c>
      <c r="N165" s="17">
        <v>1454</v>
      </c>
      <c r="O165" s="17">
        <v>1555</v>
      </c>
      <c r="P165" s="17">
        <v>1655</v>
      </c>
      <c r="Q165" s="17">
        <v>1887</v>
      </c>
      <c r="R165" s="17">
        <v>2168</v>
      </c>
      <c r="S165" s="17">
        <v>2325</v>
      </c>
      <c r="T165" s="17">
        <v>2160</v>
      </c>
      <c r="U165" s="17">
        <v>2444</v>
      </c>
    </row>
    <row r="166" spans="1:22" x14ac:dyDescent="0.2">
      <c r="B166" t="s">
        <v>49</v>
      </c>
      <c r="C166" s="22"/>
      <c r="D166" s="22"/>
      <c r="E166" s="22"/>
      <c r="F166" s="22"/>
      <c r="G166" s="22"/>
      <c r="H166" s="22"/>
      <c r="I166" s="22"/>
      <c r="J166" s="22"/>
      <c r="K166" s="22" t="e">
        <f t="shared" ref="K166" si="182">K165/G165-1</f>
        <v>#DIV/0!</v>
      </c>
      <c r="L166" s="22" t="e">
        <f t="shared" ref="L166" si="183">L165/H165-1</f>
        <v>#DIV/0!</v>
      </c>
      <c r="M166" s="22" t="e">
        <f t="shared" ref="M166" si="184">M165/I165-1</f>
        <v>#DIV/0!</v>
      </c>
      <c r="N166" s="22" t="e">
        <f t="shared" ref="N166" si="185">N165/J165-1</f>
        <v>#DIV/0!</v>
      </c>
      <c r="O166" s="22">
        <f t="shared" ref="O166" si="186">O165/K165-1</f>
        <v>-0.17594064652888186</v>
      </c>
      <c r="P166" s="22">
        <f t="shared" ref="P166" si="187">P165/L165-1</f>
        <v>-0.11021505376344087</v>
      </c>
      <c r="Q166" s="22">
        <f t="shared" ref="Q166" si="188">Q165/M165-1</f>
        <v>0.17790262172284654</v>
      </c>
      <c r="R166" s="22">
        <f t="shared" ref="R166" si="189">R165/N165-1</f>
        <v>0.49105914718019261</v>
      </c>
      <c r="S166" s="22">
        <f t="shared" ref="S166" si="190">S165/O165-1</f>
        <v>0.49517684887459801</v>
      </c>
      <c r="T166" s="22">
        <f t="shared" ref="T166" si="191">T165/P165-1</f>
        <v>0.30513595166163143</v>
      </c>
      <c r="U166" s="22">
        <f t="shared" ref="U166" si="192">U165/Q165-1</f>
        <v>0.29517753047164819</v>
      </c>
    </row>
    <row r="167" spans="1:22" x14ac:dyDescent="0.2">
      <c r="B167" t="s">
        <v>52</v>
      </c>
      <c r="C167" s="22"/>
      <c r="D167" s="22"/>
      <c r="E167" s="22"/>
      <c r="F167" s="22"/>
      <c r="G167" s="22"/>
      <c r="H167" s="22"/>
      <c r="I167" s="22"/>
      <c r="J167" s="22"/>
      <c r="K167" s="22"/>
      <c r="L167" s="22">
        <f>L165/K165-1</f>
        <v>-1.4308426073131986E-2</v>
      </c>
      <c r="M167" s="22">
        <f t="shared" ref="M167" si="193">M165/L165-1</f>
        <v>-0.1387096774193548</v>
      </c>
      <c r="N167" s="22">
        <f t="shared" ref="N167" si="194">N165/M165-1</f>
        <v>-9.2384519350811489E-2</v>
      </c>
      <c r="O167" s="22">
        <f t="shared" ref="O167" si="195">O165/N165-1</f>
        <v>6.9463548830811517E-2</v>
      </c>
      <c r="P167" s="22">
        <f t="shared" ref="P167" si="196">P165/O165-1</f>
        <v>6.4308681672025747E-2</v>
      </c>
      <c r="Q167" s="22">
        <f t="shared" ref="Q167" si="197">Q165/P165-1</f>
        <v>0.1401812688821753</v>
      </c>
      <c r="R167" s="22">
        <f t="shared" ref="R167" si="198">R165/Q165-1</f>
        <v>0.14891361950185478</v>
      </c>
      <c r="S167" s="22">
        <f t="shared" ref="S167" si="199">S165/R165-1</f>
        <v>7.2416974169741799E-2</v>
      </c>
      <c r="T167" s="22">
        <f t="shared" ref="T167" si="200">T165/S165-1</f>
        <v>-7.096774193548383E-2</v>
      </c>
      <c r="U167" s="22">
        <f t="shared" ref="U167" si="201">U165/T165-1</f>
        <v>0.13148148148148153</v>
      </c>
    </row>
    <row r="168" spans="1:22" x14ac:dyDescent="0.2">
      <c r="A168" s="17"/>
      <c r="B168" s="17" t="s">
        <v>48</v>
      </c>
      <c r="C168" s="17"/>
      <c r="D168" s="17"/>
      <c r="E168" s="17"/>
      <c r="F168" s="17"/>
      <c r="G168" s="17"/>
      <c r="H168" s="17"/>
      <c r="I168" s="17"/>
      <c r="J168" s="17"/>
      <c r="K168" s="17"/>
      <c r="L168" s="17"/>
      <c r="M168" s="17"/>
      <c r="N168" s="17"/>
      <c r="O168" s="17"/>
      <c r="P168" s="17"/>
      <c r="Q168" s="17"/>
      <c r="R168" s="17"/>
      <c r="S168" s="17"/>
      <c r="T168" s="17"/>
      <c r="U168" s="17"/>
    </row>
    <row r="169" spans="1:22" x14ac:dyDescent="0.2">
      <c r="B169" t="s">
        <v>49</v>
      </c>
      <c r="C169" s="22"/>
      <c r="D169" s="22"/>
      <c r="E169" s="22"/>
      <c r="F169" s="22"/>
      <c r="G169" s="22"/>
      <c r="H169" s="22"/>
      <c r="I169" s="22"/>
      <c r="J169" s="22"/>
      <c r="K169" s="22" t="e">
        <f>K168/G168-1</f>
        <v>#DIV/0!</v>
      </c>
      <c r="L169" s="22" t="e">
        <f>L168/H168-1</f>
        <v>#DIV/0!</v>
      </c>
      <c r="M169" s="22" t="e">
        <f t="shared" ref="M169" si="202">M168/I168-1</f>
        <v>#DIV/0!</v>
      </c>
      <c r="N169" s="22" t="e">
        <f t="shared" ref="N169" si="203">N168/J168-1</f>
        <v>#DIV/0!</v>
      </c>
      <c r="O169" s="22" t="e">
        <f t="shared" ref="O169" si="204">O168/K168-1</f>
        <v>#DIV/0!</v>
      </c>
      <c r="P169" s="22" t="e">
        <f t="shared" ref="P169" si="205">P168/L168-1</f>
        <v>#DIV/0!</v>
      </c>
      <c r="Q169" s="22" t="e">
        <f t="shared" ref="Q169" si="206">Q168/M168-1</f>
        <v>#DIV/0!</v>
      </c>
      <c r="R169" s="22" t="e">
        <f t="shared" ref="R169" si="207">R168/N168-1</f>
        <v>#DIV/0!</v>
      </c>
      <c r="S169" s="22" t="e">
        <f t="shared" ref="S169" si="208">S168/O168-1</f>
        <v>#DIV/0!</v>
      </c>
      <c r="T169" s="22" t="e">
        <f t="shared" ref="T169" si="209">T168/P168-1</f>
        <v>#DIV/0!</v>
      </c>
      <c r="U169" s="22" t="e">
        <f t="shared" ref="U169" si="210">U168/Q168-1</f>
        <v>#DIV/0!</v>
      </c>
    </row>
    <row r="170" spans="1:22" x14ac:dyDescent="0.2">
      <c r="B170" t="s">
        <v>52</v>
      </c>
      <c r="C170" s="22"/>
      <c r="D170" s="22"/>
      <c r="E170" s="22"/>
      <c r="F170" s="22"/>
      <c r="G170" s="22"/>
      <c r="H170" s="22"/>
      <c r="I170" s="22"/>
      <c r="J170" s="22"/>
      <c r="K170" s="22"/>
      <c r="L170" s="22" t="e">
        <f>L168/K168-1</f>
        <v>#DIV/0!</v>
      </c>
      <c r="M170" s="22" t="e">
        <f t="shared" ref="M170" si="211">M168/L168-1</f>
        <v>#DIV/0!</v>
      </c>
      <c r="N170" s="22" t="e">
        <f t="shared" ref="N170" si="212">N168/M168-1</f>
        <v>#DIV/0!</v>
      </c>
      <c r="O170" s="22" t="e">
        <f t="shared" ref="O170" si="213">O168/N168-1</f>
        <v>#DIV/0!</v>
      </c>
      <c r="P170" s="22" t="e">
        <f t="shared" ref="P170" si="214">P168/O168-1</f>
        <v>#DIV/0!</v>
      </c>
      <c r="Q170" s="22" t="e">
        <f t="shared" ref="Q170" si="215">Q168/P168-1</f>
        <v>#DIV/0!</v>
      </c>
      <c r="R170" s="22" t="e">
        <f t="shared" ref="R170" si="216">R168/Q168-1</f>
        <v>#DIV/0!</v>
      </c>
      <c r="S170" s="22" t="e">
        <f t="shared" ref="S170" si="217">S168/R168-1</f>
        <v>#DIV/0!</v>
      </c>
      <c r="T170" s="22" t="e">
        <f t="shared" ref="T170" si="218">T168/S168-1</f>
        <v>#DIV/0!</v>
      </c>
      <c r="U170" s="22" t="e">
        <f t="shared" ref="U170" si="219">U168/T168-1</f>
        <v>#DIV/0!</v>
      </c>
    </row>
    <row r="171" spans="1:22" x14ac:dyDescent="0.2">
      <c r="B171" s="17" t="s">
        <v>50</v>
      </c>
      <c r="C171" s="17"/>
      <c r="D171" s="17"/>
      <c r="E171" s="17"/>
      <c r="F171" s="17"/>
      <c r="G171" s="23"/>
      <c r="H171" s="23"/>
      <c r="I171" s="23"/>
      <c r="J171" s="23"/>
      <c r="K171" s="23"/>
      <c r="L171" s="23"/>
      <c r="M171" s="23"/>
      <c r="N171" s="23"/>
      <c r="O171" s="23" t="e">
        <f t="shared" ref="O171" si="220">AVERAGE(L168:O168)/AVERAGE(K168:N168)-1</f>
        <v>#DIV/0!</v>
      </c>
      <c r="P171" s="23" t="e">
        <f t="shared" ref="P171" si="221">AVERAGE(M168:P168)/AVERAGE(L168:O168)-1</f>
        <v>#DIV/0!</v>
      </c>
      <c r="Q171" s="23" t="e">
        <f t="shared" ref="Q171" si="222">AVERAGE(N168:Q168)/AVERAGE(M168:P168)-1</f>
        <v>#DIV/0!</v>
      </c>
      <c r="R171" s="23" t="e">
        <f t="shared" ref="R171" si="223">AVERAGE(O168:R168)/AVERAGE(N168:Q168)-1</f>
        <v>#DIV/0!</v>
      </c>
      <c r="S171" s="23" t="e">
        <f>AVERAGE(P168:S168)/AVERAGE(O168:R168)-1</f>
        <v>#DIV/0!</v>
      </c>
      <c r="T171" s="23" t="e">
        <f t="shared" ref="T171" si="224">AVERAGE(Q168:T168)/AVERAGE(P168:S168)-1</f>
        <v>#DIV/0!</v>
      </c>
      <c r="U171" s="23" t="e">
        <f t="shared" ref="U171" si="225">AVERAGE(R168:U168)/AVERAGE(Q168:T168)-1</f>
        <v>#DIV/0!</v>
      </c>
    </row>
    <row r="172" spans="1:22" ht="13.5" thickBot="1" x14ac:dyDescent="0.25">
      <c r="A172" s="43"/>
      <c r="B172" s="43"/>
      <c r="C172" s="44"/>
      <c r="D172" s="44"/>
      <c r="E172" s="44"/>
      <c r="F172" s="44"/>
      <c r="G172" s="44"/>
      <c r="H172" s="44"/>
      <c r="I172" s="44"/>
      <c r="J172" s="44"/>
      <c r="K172" s="44"/>
      <c r="L172" s="44"/>
      <c r="M172" s="44"/>
      <c r="N172" s="44"/>
      <c r="O172" s="44"/>
      <c r="P172" s="44"/>
      <c r="Q172" s="44"/>
      <c r="R172" s="44"/>
      <c r="S172" s="44"/>
      <c r="T172" s="44"/>
      <c r="U172" s="44"/>
      <c r="V172" s="43"/>
    </row>
    <row r="173" spans="1:22" ht="13.5" thickBot="1" x14ac:dyDescent="0.25">
      <c r="A173" s="24" t="s">
        <v>0</v>
      </c>
      <c r="B173" s="25">
        <v>9766</v>
      </c>
      <c r="C173" s="24" t="s">
        <v>30</v>
      </c>
      <c r="D173" s="24" t="s">
        <v>31</v>
      </c>
      <c r="E173" s="24" t="s">
        <v>32</v>
      </c>
      <c r="F173" s="24" t="s">
        <v>33</v>
      </c>
      <c r="G173" s="24" t="s">
        <v>34</v>
      </c>
      <c r="H173" s="24" t="s">
        <v>35</v>
      </c>
      <c r="I173" s="24" t="s">
        <v>36</v>
      </c>
      <c r="J173" s="24" t="s">
        <v>37</v>
      </c>
      <c r="K173" s="24" t="s">
        <v>38</v>
      </c>
      <c r="L173" s="24" t="s">
        <v>39</v>
      </c>
      <c r="M173" s="24" t="s">
        <v>40</v>
      </c>
      <c r="N173" s="24" t="s">
        <v>41</v>
      </c>
      <c r="O173" s="24" t="s">
        <v>42</v>
      </c>
      <c r="P173" s="24" t="s">
        <v>43</v>
      </c>
      <c r="Q173" s="24" t="s">
        <v>44</v>
      </c>
      <c r="R173" s="24" t="s">
        <v>45</v>
      </c>
      <c r="S173" s="24" t="s">
        <v>46</v>
      </c>
      <c r="T173" s="24" t="s">
        <v>47</v>
      </c>
      <c r="U173" s="24" t="s">
        <v>19</v>
      </c>
    </row>
    <row r="174" spans="1:22" x14ac:dyDescent="0.2">
      <c r="A174" s="17"/>
      <c r="B174" s="17" t="s">
        <v>51</v>
      </c>
      <c r="C174" s="17"/>
      <c r="D174" s="17"/>
      <c r="E174" s="17"/>
      <c r="F174" s="17"/>
      <c r="G174" s="17"/>
      <c r="H174" s="17"/>
      <c r="I174" s="17"/>
      <c r="J174" s="17"/>
      <c r="K174" s="17">
        <v>87443</v>
      </c>
      <c r="L174" s="17">
        <v>72633</v>
      </c>
      <c r="M174" s="17">
        <v>81218</v>
      </c>
      <c r="N174" s="17">
        <v>99245</v>
      </c>
      <c r="O174" s="17">
        <v>107218</v>
      </c>
      <c r="P174" s="17">
        <v>90039</v>
      </c>
      <c r="Q174" s="17">
        <v>94045</v>
      </c>
      <c r="R174" s="17">
        <v>126745</v>
      </c>
      <c r="S174" s="17">
        <v>110773</v>
      </c>
      <c r="T174" s="17">
        <v>96964</v>
      </c>
      <c r="U174" s="17">
        <f>224839-T174</f>
        <v>127875</v>
      </c>
    </row>
    <row r="175" spans="1:22" x14ac:dyDescent="0.2">
      <c r="B175" t="s">
        <v>49</v>
      </c>
      <c r="C175" s="22"/>
      <c r="D175" s="22"/>
      <c r="E175" s="22"/>
      <c r="F175" s="22"/>
      <c r="G175" s="22"/>
      <c r="H175" s="22"/>
      <c r="I175" s="22"/>
      <c r="J175" s="22"/>
      <c r="K175" s="22" t="e">
        <f t="shared" ref="K175" si="226">K174/G174-1</f>
        <v>#DIV/0!</v>
      </c>
      <c r="L175" s="22" t="e">
        <f t="shared" ref="L175" si="227">L174/H174-1</f>
        <v>#DIV/0!</v>
      </c>
      <c r="M175" s="22" t="e">
        <f t="shared" ref="M175" si="228">M174/I174-1</f>
        <v>#DIV/0!</v>
      </c>
      <c r="N175" s="22" t="e">
        <f t="shared" ref="N175" si="229">N174/J174-1</f>
        <v>#DIV/0!</v>
      </c>
      <c r="O175" s="22">
        <f t="shared" ref="O175" si="230">O174/K174-1</f>
        <v>0.22614731882483441</v>
      </c>
      <c r="P175" s="22">
        <f t="shared" ref="P175" si="231">P174/L174-1</f>
        <v>0.23964313741687659</v>
      </c>
      <c r="Q175" s="22">
        <f t="shared" ref="Q175" si="232">Q174/M174-1</f>
        <v>0.15793297052377553</v>
      </c>
      <c r="R175" s="22">
        <f t="shared" ref="R175" si="233">R174/N174-1</f>
        <v>0.27709204493929174</v>
      </c>
      <c r="S175" s="22">
        <f t="shared" ref="S175" si="234">S174/O174-1</f>
        <v>3.3156746068757181E-2</v>
      </c>
      <c r="T175" s="22">
        <f t="shared" ref="T175" si="235">T174/P174-1</f>
        <v>7.6911116294050341E-2</v>
      </c>
      <c r="U175" s="22">
        <f t="shared" ref="U175" si="236">U174/Q174-1</f>
        <v>0.35972140996331547</v>
      </c>
    </row>
    <row r="176" spans="1:22" x14ac:dyDescent="0.2">
      <c r="B176" t="s">
        <v>52</v>
      </c>
      <c r="C176" s="22"/>
      <c r="D176" s="22"/>
      <c r="E176" s="22"/>
      <c r="F176" s="22"/>
      <c r="G176" s="22"/>
      <c r="H176" s="22"/>
      <c r="I176" s="22"/>
      <c r="J176" s="22"/>
      <c r="K176" s="22"/>
      <c r="L176" s="22">
        <f>L174/K174-1</f>
        <v>-0.1693674736685612</v>
      </c>
      <c r="M176" s="22">
        <f t="shared" ref="M176" si="237">M174/L174-1</f>
        <v>0.11819696281304637</v>
      </c>
      <c r="N176" s="22">
        <f t="shared" ref="N176" si="238">N174/M174-1</f>
        <v>0.22195818660887978</v>
      </c>
      <c r="O176" s="22">
        <f t="shared" ref="O176" si="239">O174/N174-1</f>
        <v>8.0336540883671814E-2</v>
      </c>
      <c r="P176" s="22">
        <f t="shared" ref="P176" si="240">P174/O174-1</f>
        <v>-0.16022496222649185</v>
      </c>
      <c r="Q176" s="22">
        <f t="shared" ref="Q176" si="241">Q174/P174-1</f>
        <v>4.4491831317540198E-2</v>
      </c>
      <c r="R176" s="22">
        <f t="shared" ref="R176" si="242">R174/Q174-1</f>
        <v>0.34770588548035519</v>
      </c>
      <c r="S176" s="22">
        <f t="shared" ref="S176" si="243">S174/R174-1</f>
        <v>-0.1260168053966626</v>
      </c>
      <c r="T176" s="22">
        <f t="shared" ref="T176" si="244">T174/S174-1</f>
        <v>-0.12466034141893778</v>
      </c>
      <c r="U176" s="22">
        <f t="shared" ref="U176" si="245">U174/T174-1</f>
        <v>0.31878841631945876</v>
      </c>
    </row>
    <row r="177" spans="1:21" x14ac:dyDescent="0.2">
      <c r="A177" s="17"/>
      <c r="B177" s="17" t="s">
        <v>48</v>
      </c>
      <c r="C177" s="17"/>
      <c r="D177" s="17"/>
      <c r="E177" s="17"/>
      <c r="F177" s="17"/>
      <c r="G177" s="17"/>
      <c r="H177" s="17"/>
      <c r="I177" s="17"/>
      <c r="J177" s="17"/>
      <c r="K177" s="17">
        <v>8662</v>
      </c>
      <c r="L177" s="17">
        <v>17151</v>
      </c>
      <c r="M177" s="17">
        <v>18292</v>
      </c>
      <c r="N177" s="17">
        <v>24165</v>
      </c>
      <c r="O177" s="17">
        <v>20654</v>
      </c>
      <c r="P177" s="17">
        <v>25149</v>
      </c>
      <c r="Q177" s="17">
        <v>24695</v>
      </c>
      <c r="R177" s="17">
        <v>36920</v>
      </c>
      <c r="S177" s="17">
        <v>14717</v>
      </c>
      <c r="T177" s="17">
        <v>27732</v>
      </c>
      <c r="U177" s="17">
        <f>65086-T177</f>
        <v>37354</v>
      </c>
    </row>
    <row r="178" spans="1:21" x14ac:dyDescent="0.2">
      <c r="B178" t="s">
        <v>49</v>
      </c>
      <c r="C178" s="22"/>
      <c r="D178" s="22"/>
      <c r="E178" s="22"/>
      <c r="F178" s="22"/>
      <c r="G178" s="22"/>
      <c r="H178" s="22"/>
      <c r="I178" s="22"/>
      <c r="J178" s="22"/>
      <c r="K178" s="22" t="e">
        <f>K177/G177-1</f>
        <v>#DIV/0!</v>
      </c>
      <c r="L178" s="22" t="e">
        <f>L177/H177-1</f>
        <v>#DIV/0!</v>
      </c>
      <c r="M178" s="22" t="e">
        <f t="shared" ref="M178" si="246">M177/I177-1</f>
        <v>#DIV/0!</v>
      </c>
      <c r="N178" s="22" t="e">
        <f t="shared" ref="N178" si="247">N177/J177-1</f>
        <v>#DIV/0!</v>
      </c>
      <c r="O178" s="22">
        <f t="shared" ref="O178" si="248">O177/K177-1</f>
        <v>1.3844377741861003</v>
      </c>
      <c r="P178" s="22">
        <f t="shared" ref="P178" si="249">P177/L177-1</f>
        <v>0.46632849396536646</v>
      </c>
      <c r="Q178" s="22">
        <f t="shared" ref="Q178" si="250">Q177/M177-1</f>
        <v>0.35004373496610541</v>
      </c>
      <c r="R178" s="22">
        <f t="shared" ref="R178" si="251">R177/N177-1</f>
        <v>0.52782950548313678</v>
      </c>
      <c r="S178" s="22">
        <f t="shared" ref="S178" si="252">S177/O177-1</f>
        <v>-0.2874503728091411</v>
      </c>
      <c r="T178" s="22">
        <f t="shared" ref="T178" si="253">T177/P177-1</f>
        <v>0.10270786114756048</v>
      </c>
      <c r="U178" s="22">
        <f t="shared" ref="U178" si="254">U177/Q177-1</f>
        <v>0.51261388945130593</v>
      </c>
    </row>
    <row r="179" spans="1:21" x14ac:dyDescent="0.2">
      <c r="B179" t="s">
        <v>52</v>
      </c>
      <c r="C179" s="22"/>
      <c r="D179" s="22"/>
      <c r="E179" s="22"/>
      <c r="F179" s="22"/>
      <c r="G179" s="22"/>
      <c r="H179" s="22"/>
      <c r="I179" s="22"/>
      <c r="J179" s="22"/>
      <c r="K179" s="22"/>
      <c r="L179" s="22">
        <f>L177/K177-1</f>
        <v>0.9800277072269683</v>
      </c>
      <c r="M179" s="22">
        <f t="shared" ref="M179" si="255">M177/L177-1</f>
        <v>6.6526733135094274E-2</v>
      </c>
      <c r="N179" s="22">
        <f t="shared" ref="N179" si="256">N177/M177-1</f>
        <v>0.32106931992127707</v>
      </c>
      <c r="O179" s="22">
        <f t="shared" ref="O179" si="257">O177/N177-1</f>
        <v>-0.14529277881233194</v>
      </c>
      <c r="P179" s="22">
        <f t="shared" ref="P179" si="258">P177/O177-1</f>
        <v>0.21763338820567446</v>
      </c>
      <c r="Q179" s="22">
        <f t="shared" ref="Q179" si="259">Q177/P177-1</f>
        <v>-1.8052407650403612E-2</v>
      </c>
      <c r="R179" s="22">
        <f t="shared" ref="R179" si="260">R177/Q177-1</f>
        <v>0.49503948167645273</v>
      </c>
      <c r="S179" s="22">
        <f t="shared" ref="S179" si="261">S177/R177-1</f>
        <v>-0.6013813651137595</v>
      </c>
      <c r="T179" s="22">
        <f t="shared" ref="T179" si="262">T177/S177-1</f>
        <v>0.88435143031867902</v>
      </c>
      <c r="U179" s="22">
        <f t="shared" ref="U179" si="263">U177/T177-1</f>
        <v>0.34696379633636232</v>
      </c>
    </row>
    <row r="180" spans="1:21" x14ac:dyDescent="0.2">
      <c r="B180" s="17" t="s">
        <v>50</v>
      </c>
      <c r="C180" s="17"/>
      <c r="D180" s="17"/>
      <c r="E180" s="17"/>
      <c r="F180" s="17"/>
      <c r="G180" s="23"/>
      <c r="H180" s="23"/>
      <c r="I180" s="23"/>
      <c r="J180" s="23"/>
      <c r="K180" s="23"/>
      <c r="L180" s="23"/>
      <c r="M180" s="23"/>
      <c r="N180" s="23"/>
      <c r="O180" s="23">
        <f t="shared" ref="O180" si="264">AVERAGE(L177:O177)/AVERAGE(K177:N177)-1</f>
        <v>0.17565548557199362</v>
      </c>
      <c r="P180" s="23">
        <f t="shared" ref="P180" si="265">AVERAGE(M177:P177)/AVERAGE(L177:O177)-1</f>
        <v>9.9648650669058814E-2</v>
      </c>
      <c r="Q180" s="23">
        <f t="shared" ref="Q180" si="266">AVERAGE(N177:Q177)/AVERAGE(M177:P177)-1</f>
        <v>7.2547020167686327E-2</v>
      </c>
      <c r="R180" s="23">
        <f t="shared" ref="R180" si="267">AVERAGE(O177:R177)/AVERAGE(N177:Q177)-1</f>
        <v>0.13474113433971024</v>
      </c>
      <c r="S180" s="23">
        <f>AVERAGE(P177:S177)/AVERAGE(O177:R177)-1</f>
        <v>-5.5270066469306767E-2</v>
      </c>
      <c r="T180" s="23">
        <f t="shared" ref="T180" si="268">AVERAGE(Q177:T177)/AVERAGE(P177:S177)-1</f>
        <v>2.5453040470629906E-2</v>
      </c>
      <c r="U180" s="26">
        <f>AVERAGE(R177:U177)/AVERAGE(Q177:T177)-1</f>
        <v>0.12164629458794596</v>
      </c>
    </row>
    <row r="181" spans="1:21" ht="13.5" thickBot="1" x14ac:dyDescent="0.25"/>
    <row r="182" spans="1:21" ht="13.5" thickBot="1" x14ac:dyDescent="0.25">
      <c r="A182" s="24" t="s">
        <v>0</v>
      </c>
      <c r="B182" s="25">
        <v>2767</v>
      </c>
      <c r="C182" s="24" t="s">
        <v>30</v>
      </c>
      <c r="D182" s="24" t="s">
        <v>31</v>
      </c>
      <c r="E182" s="24" t="s">
        <v>32</v>
      </c>
      <c r="F182" s="24" t="s">
        <v>33</v>
      </c>
      <c r="G182" s="24" t="s">
        <v>34</v>
      </c>
      <c r="H182" s="24" t="s">
        <v>35</v>
      </c>
      <c r="I182" s="24" t="s">
        <v>36</v>
      </c>
      <c r="J182" s="24" t="s">
        <v>37</v>
      </c>
      <c r="K182" s="24" t="s">
        <v>38</v>
      </c>
      <c r="L182" s="24" t="s">
        <v>39</v>
      </c>
      <c r="M182" s="24" t="s">
        <v>40</v>
      </c>
      <c r="N182" s="24" t="s">
        <v>41</v>
      </c>
      <c r="O182" s="24" t="s">
        <v>42</v>
      </c>
      <c r="P182" s="24" t="s">
        <v>43</v>
      </c>
      <c r="Q182" s="24" t="s">
        <v>44</v>
      </c>
      <c r="R182" s="24" t="s">
        <v>45</v>
      </c>
      <c r="S182" s="24" t="s">
        <v>46</v>
      </c>
      <c r="T182" s="24" t="s">
        <v>47</v>
      </c>
      <c r="U182" s="24" t="s">
        <v>19</v>
      </c>
    </row>
    <row r="183" spans="1:21" x14ac:dyDescent="0.2">
      <c r="A183" s="17"/>
      <c r="B183" s="17" t="s">
        <v>51</v>
      </c>
      <c r="C183" s="17"/>
      <c r="D183" s="17"/>
      <c r="E183" s="17"/>
      <c r="F183" s="17"/>
      <c r="G183" s="17"/>
      <c r="H183" s="17"/>
      <c r="I183" s="17"/>
      <c r="J183" s="17"/>
      <c r="K183" s="17">
        <v>27518</v>
      </c>
      <c r="L183" s="17">
        <v>30335</v>
      </c>
      <c r="M183" s="17">
        <v>36680</v>
      </c>
      <c r="N183" s="17">
        <v>56191</v>
      </c>
      <c r="O183" s="17">
        <v>18717</v>
      </c>
      <c r="P183" s="17">
        <v>26176</v>
      </c>
      <c r="Q183" s="17">
        <v>19584</v>
      </c>
      <c r="R183" s="17">
        <v>52004</v>
      </c>
      <c r="S183" s="17">
        <v>42817</v>
      </c>
      <c r="T183" s="17">
        <v>55555</v>
      </c>
      <c r="U183" s="17">
        <v>40398</v>
      </c>
    </row>
    <row r="184" spans="1:21" x14ac:dyDescent="0.2">
      <c r="B184" t="s">
        <v>49</v>
      </c>
      <c r="C184" s="22"/>
      <c r="D184" s="22"/>
      <c r="E184" s="22"/>
      <c r="F184" s="22"/>
      <c r="G184" s="22"/>
      <c r="H184" s="22"/>
      <c r="I184" s="22"/>
      <c r="J184" s="22"/>
      <c r="K184" s="22" t="e">
        <f t="shared" ref="K184" si="269">K183/G183-1</f>
        <v>#DIV/0!</v>
      </c>
      <c r="L184" s="22" t="e">
        <f t="shared" ref="L184" si="270">L183/H183-1</f>
        <v>#DIV/0!</v>
      </c>
      <c r="M184" s="22" t="e">
        <f t="shared" ref="M184" si="271">M183/I183-1</f>
        <v>#DIV/0!</v>
      </c>
      <c r="N184" s="22" t="e">
        <f t="shared" ref="N184" si="272">N183/J183-1</f>
        <v>#DIV/0!</v>
      </c>
      <c r="O184" s="22">
        <f t="shared" ref="O184" si="273">O183/K183-1</f>
        <v>-0.31982702231266802</v>
      </c>
      <c r="P184" s="22">
        <f t="shared" ref="P184" si="274">P183/L183-1</f>
        <v>-0.13710235701335094</v>
      </c>
      <c r="Q184" s="22">
        <f t="shared" ref="Q184" si="275">Q183/M183-1</f>
        <v>-0.46608505997818972</v>
      </c>
      <c r="R184" s="22">
        <f t="shared" ref="R184" si="276">R183/N183-1</f>
        <v>-7.451371216031033E-2</v>
      </c>
      <c r="S184" s="22">
        <f t="shared" ref="S184" si="277">S183/O183-1</f>
        <v>1.2875995084682375</v>
      </c>
      <c r="T184" s="22">
        <f t="shared" ref="T184" si="278">T183/P183-1</f>
        <v>1.1223639975550124</v>
      </c>
      <c r="U184" s="22">
        <f t="shared" ref="U184" si="279">U183/Q183-1</f>
        <v>1.0628063725490198</v>
      </c>
    </row>
    <row r="185" spans="1:21" x14ac:dyDescent="0.2">
      <c r="B185" t="s">
        <v>52</v>
      </c>
      <c r="C185" s="22"/>
      <c r="D185" s="22"/>
      <c r="E185" s="22"/>
      <c r="F185" s="22"/>
      <c r="G185" s="22"/>
      <c r="H185" s="22"/>
      <c r="I185" s="22"/>
      <c r="J185" s="22"/>
      <c r="K185" s="22"/>
      <c r="L185" s="22">
        <f>L183/K183-1</f>
        <v>0.10236935823824411</v>
      </c>
      <c r="M185" s="22">
        <f t="shared" ref="M185" si="280">M183/L183-1</f>
        <v>0.20916433163013015</v>
      </c>
      <c r="N185" s="22">
        <f t="shared" ref="N185" si="281">N183/M183-1</f>
        <v>0.53192475463467837</v>
      </c>
      <c r="O185" s="22">
        <f t="shared" ref="O185" si="282">O183/N183-1</f>
        <v>-0.66690395259027246</v>
      </c>
      <c r="P185" s="22">
        <f t="shared" ref="P185" si="283">P183/O183-1</f>
        <v>0.39851471923919424</v>
      </c>
      <c r="Q185" s="22">
        <f t="shared" ref="Q185" si="284">Q183/P183-1</f>
        <v>-0.25183374083129584</v>
      </c>
      <c r="R185" s="22">
        <f t="shared" ref="R185" si="285">R183/Q183-1</f>
        <v>1.6554330065359477</v>
      </c>
      <c r="S185" s="22">
        <f t="shared" ref="S185" si="286">S183/R183-1</f>
        <v>-0.17665948773171292</v>
      </c>
      <c r="T185" s="22">
        <f t="shared" ref="T185" si="287">T183/S183-1</f>
        <v>0.29749865707546075</v>
      </c>
      <c r="U185" s="22">
        <f t="shared" ref="U185" si="288">U183/T183-1</f>
        <v>-0.27282872828728288</v>
      </c>
    </row>
    <row r="186" spans="1:21" x14ac:dyDescent="0.2">
      <c r="A186" s="17"/>
      <c r="B186" s="17" t="s">
        <v>48</v>
      </c>
      <c r="C186" s="17"/>
      <c r="D186" s="17"/>
      <c r="E186" s="17"/>
      <c r="F186" s="17"/>
      <c r="G186" s="17"/>
      <c r="H186" s="17"/>
      <c r="I186" s="17"/>
      <c r="J186" s="17"/>
      <c r="K186" s="17">
        <v>1473</v>
      </c>
      <c r="L186" s="17">
        <v>2026</v>
      </c>
      <c r="M186" s="17">
        <v>3346</v>
      </c>
      <c r="N186" s="17">
        <v>6949</v>
      </c>
      <c r="O186" s="17">
        <v>-519</v>
      </c>
      <c r="P186" s="17">
        <v>2514</v>
      </c>
      <c r="Q186" s="17">
        <v>1545</v>
      </c>
      <c r="R186" s="17">
        <v>5311</v>
      </c>
      <c r="S186" s="17">
        <v>5819</v>
      </c>
      <c r="T186" s="17">
        <v>7805</v>
      </c>
      <c r="U186" s="17">
        <v>5790</v>
      </c>
    </row>
    <row r="187" spans="1:21" x14ac:dyDescent="0.2">
      <c r="B187" t="s">
        <v>49</v>
      </c>
      <c r="C187" s="22"/>
      <c r="D187" s="22"/>
      <c r="E187" s="22"/>
      <c r="F187" s="22"/>
      <c r="G187" s="22"/>
      <c r="H187" s="22"/>
      <c r="I187" s="22"/>
      <c r="J187" s="22"/>
      <c r="K187" s="22" t="e">
        <f>K186/G186-1</f>
        <v>#DIV/0!</v>
      </c>
      <c r="L187" s="22" t="e">
        <f>L186/H186-1</f>
        <v>#DIV/0!</v>
      </c>
      <c r="M187" s="22" t="e">
        <f t="shared" ref="M187" si="289">M186/I186-1</f>
        <v>#DIV/0!</v>
      </c>
      <c r="N187" s="22" t="e">
        <f t="shared" ref="N187" si="290">N186/J186-1</f>
        <v>#DIV/0!</v>
      </c>
      <c r="O187" s="22">
        <f t="shared" ref="O187" si="291">O186/K186-1</f>
        <v>-1.3523421588594704</v>
      </c>
      <c r="P187" s="22">
        <f t="shared" ref="P187" si="292">P186/L186-1</f>
        <v>0.24086870681145123</v>
      </c>
      <c r="Q187" s="22">
        <f t="shared" ref="Q187" si="293">Q186/M186-1</f>
        <v>-0.53825463239689175</v>
      </c>
      <c r="R187" s="22">
        <f t="shared" ref="R187" si="294">R186/N186-1</f>
        <v>-0.2357173694056699</v>
      </c>
      <c r="S187" s="22">
        <f t="shared" ref="S187" si="295">S186/O186-1</f>
        <v>-12.211946050096339</v>
      </c>
      <c r="T187" s="22">
        <f t="shared" ref="T187" si="296">T186/P186-1</f>
        <v>2.1046141607000797</v>
      </c>
      <c r="U187" s="22">
        <f t="shared" ref="U187" si="297">U186/Q186-1</f>
        <v>2.7475728155339807</v>
      </c>
    </row>
    <row r="188" spans="1:21" x14ac:dyDescent="0.2">
      <c r="B188" t="s">
        <v>52</v>
      </c>
      <c r="C188" s="22"/>
      <c r="D188" s="22"/>
      <c r="E188" s="22"/>
      <c r="F188" s="22"/>
      <c r="G188" s="22"/>
      <c r="H188" s="22"/>
      <c r="I188" s="22"/>
      <c r="J188" s="22"/>
      <c r="K188" s="22"/>
      <c r="L188" s="22">
        <f>L186/K186-1</f>
        <v>0.37542430414120842</v>
      </c>
      <c r="M188" s="22">
        <f t="shared" ref="M188" si="298">M186/L186-1</f>
        <v>0.65153010858835136</v>
      </c>
      <c r="N188" s="22">
        <f t="shared" ref="N188" si="299">N186/M186-1</f>
        <v>1.0768081291093843</v>
      </c>
      <c r="O188" s="22">
        <f t="shared" ref="O188" si="300">O186/N186-1</f>
        <v>-1.0746870053245072</v>
      </c>
      <c r="P188" s="22">
        <f t="shared" ref="P188" si="301">P186/O186-1</f>
        <v>-5.8439306358381504</v>
      </c>
      <c r="Q188" s="22">
        <f t="shared" ref="Q188" si="302">Q186/P186-1</f>
        <v>-0.38544152744630067</v>
      </c>
      <c r="R188" s="22">
        <f t="shared" ref="R188" si="303">R186/Q186-1</f>
        <v>2.4375404530744338</v>
      </c>
      <c r="S188" s="22">
        <f t="shared" ref="S188" si="304">S186/R186-1</f>
        <v>9.5650536622104987E-2</v>
      </c>
      <c r="T188" s="22">
        <f t="shared" ref="T188" si="305">T186/S186-1</f>
        <v>0.34129575528441314</v>
      </c>
      <c r="U188" s="22">
        <f t="shared" ref="U188" si="306">U186/T186-1</f>
        <v>-0.25816784112748237</v>
      </c>
    </row>
    <row r="189" spans="1:21" x14ac:dyDescent="0.2">
      <c r="B189" s="17" t="s">
        <v>50</v>
      </c>
      <c r="C189" s="17"/>
      <c r="D189" s="17"/>
      <c r="E189" s="17"/>
      <c r="F189" s="17"/>
      <c r="G189" s="23"/>
      <c r="H189" s="23"/>
      <c r="I189" s="23"/>
      <c r="J189" s="23"/>
      <c r="K189" s="23"/>
      <c r="L189" s="23"/>
      <c r="M189" s="23"/>
      <c r="N189" s="23"/>
      <c r="O189" s="23">
        <f t="shared" ref="O189" si="307">AVERAGE(L186:O186)/AVERAGE(K186:N186)-1</f>
        <v>-0.14441061331013483</v>
      </c>
      <c r="P189" s="23">
        <f t="shared" ref="P189" si="308">AVERAGE(M186:P186)/AVERAGE(L186:O186)-1</f>
        <v>4.1348923911201485E-2</v>
      </c>
      <c r="Q189" s="23">
        <f t="shared" ref="Q189" si="309">AVERAGE(N186:Q186)/AVERAGE(M186:P186)-1</f>
        <v>-0.1465419039869813</v>
      </c>
      <c r="R189" s="23">
        <f t="shared" ref="R189" si="310">AVERAGE(O186:R186)/AVERAGE(N186:Q186)-1</f>
        <v>-0.1561635999618648</v>
      </c>
      <c r="S189" s="26">
        <f>AVERAGE(P186:S186)/AVERAGE(O186:R186)-1</f>
        <v>0.71607727940345733</v>
      </c>
      <c r="T189" s="26">
        <f t="shared" ref="T189" si="311">AVERAGE(Q186:T186)/AVERAGE(P186:S186)-1</f>
        <v>0.348344196457963</v>
      </c>
      <c r="U189" s="26">
        <f>AVERAGE(R186:U186)/AVERAGE(Q186:T186)-1</f>
        <v>0.207275390625</v>
      </c>
    </row>
    <row r="190" spans="1:21" ht="13.5" thickBot="1" x14ac:dyDescent="0.25"/>
    <row r="191" spans="1:21" ht="13.5" thickBot="1" x14ac:dyDescent="0.25">
      <c r="A191" s="24" t="s">
        <v>0</v>
      </c>
      <c r="B191" s="25">
        <v>5440</v>
      </c>
      <c r="C191" s="24" t="s">
        <v>30</v>
      </c>
      <c r="D191" s="24" t="s">
        <v>31</v>
      </c>
      <c r="E191" s="24" t="s">
        <v>32</v>
      </c>
      <c r="F191" s="24" t="s">
        <v>33</v>
      </c>
      <c r="G191" s="24" t="s">
        <v>34</v>
      </c>
      <c r="H191" s="24" t="s">
        <v>35</v>
      </c>
      <c r="I191" s="24" t="s">
        <v>36</v>
      </c>
      <c r="J191" s="24" t="s">
        <v>37</v>
      </c>
      <c r="K191" s="24" t="s">
        <v>38</v>
      </c>
      <c r="L191" s="24" t="s">
        <v>39</v>
      </c>
      <c r="M191" s="24" t="s">
        <v>40</v>
      </c>
      <c r="N191" s="24" t="s">
        <v>41</v>
      </c>
      <c r="O191" s="24" t="s">
        <v>42</v>
      </c>
      <c r="P191" s="24" t="s">
        <v>43</v>
      </c>
      <c r="Q191" s="24" t="s">
        <v>44</v>
      </c>
      <c r="R191" s="24" t="s">
        <v>45</v>
      </c>
      <c r="S191" s="24" t="s">
        <v>46</v>
      </c>
      <c r="T191" s="24" t="s">
        <v>47</v>
      </c>
      <c r="U191" s="24" t="s">
        <v>19</v>
      </c>
    </row>
    <row r="192" spans="1:21" x14ac:dyDescent="0.2">
      <c r="A192" s="17"/>
      <c r="B192" s="17" t="s">
        <v>51</v>
      </c>
      <c r="C192" s="17"/>
      <c r="D192" s="17"/>
      <c r="E192" s="17"/>
      <c r="F192" s="17"/>
      <c r="G192" s="17"/>
      <c r="H192" s="17"/>
      <c r="I192" s="17"/>
      <c r="J192" s="17"/>
      <c r="K192" s="17">
        <v>84383</v>
      </c>
      <c r="L192" s="17">
        <v>76625</v>
      </c>
      <c r="M192" s="17">
        <v>78913</v>
      </c>
      <c r="N192" s="17">
        <v>81953</v>
      </c>
      <c r="O192" s="17">
        <v>83491</v>
      </c>
      <c r="P192" s="17">
        <v>78290</v>
      </c>
      <c r="Q192" s="17">
        <v>82747</v>
      </c>
      <c r="R192" s="17">
        <v>79362</v>
      </c>
      <c r="S192" s="17">
        <v>82450</v>
      </c>
      <c r="T192" s="17">
        <v>74152</v>
      </c>
      <c r="U192" s="17">
        <v>80531</v>
      </c>
    </row>
    <row r="193" spans="1:21" x14ac:dyDescent="0.2">
      <c r="B193" t="s">
        <v>49</v>
      </c>
      <c r="C193" s="22"/>
      <c r="D193" s="22"/>
      <c r="E193" s="22"/>
      <c r="F193" s="22"/>
      <c r="G193" s="22"/>
      <c r="H193" s="22"/>
      <c r="I193" s="22"/>
      <c r="J193" s="22"/>
      <c r="K193" s="22" t="e">
        <f t="shared" ref="K193" si="312">K192/G192-1</f>
        <v>#DIV/0!</v>
      </c>
      <c r="L193" s="22" t="e">
        <f t="shared" ref="L193" si="313">L192/H192-1</f>
        <v>#DIV/0!</v>
      </c>
      <c r="M193" s="22" t="e">
        <f t="shared" ref="M193" si="314">M192/I192-1</f>
        <v>#DIV/0!</v>
      </c>
      <c r="N193" s="22" t="e">
        <f t="shared" ref="N193" si="315">N192/J192-1</f>
        <v>#DIV/0!</v>
      </c>
      <c r="O193" s="22">
        <f t="shared" ref="O193" si="316">O192/K192-1</f>
        <v>-1.0570849578706576E-2</v>
      </c>
      <c r="P193" s="22">
        <f t="shared" ref="P193" si="317">P192/L192-1</f>
        <v>2.172920065252848E-2</v>
      </c>
      <c r="Q193" s="22">
        <f t="shared" ref="Q193" si="318">Q192/M192-1</f>
        <v>4.8585150735620308E-2</v>
      </c>
      <c r="R193" s="22">
        <f t="shared" ref="R193" si="319">R192/N192-1</f>
        <v>-3.1615682159286451E-2</v>
      </c>
      <c r="S193" s="22">
        <f t="shared" ref="S193" si="320">S192/O192-1</f>
        <v>-1.2468409768717548E-2</v>
      </c>
      <c r="T193" s="22">
        <f t="shared" ref="T193" si="321">T192/P192-1</f>
        <v>-5.2854770724230393E-2</v>
      </c>
      <c r="U193" s="22">
        <f t="shared" ref="U193" si="322">U192/Q192-1</f>
        <v>-2.678042708496986E-2</v>
      </c>
    </row>
    <row r="194" spans="1:21" x14ac:dyDescent="0.2">
      <c r="B194" t="s">
        <v>52</v>
      </c>
      <c r="C194" s="22"/>
      <c r="D194" s="22"/>
      <c r="E194" s="22"/>
      <c r="F194" s="22"/>
      <c r="G194" s="22"/>
      <c r="H194" s="22"/>
      <c r="I194" s="22"/>
      <c r="J194" s="22"/>
      <c r="K194" s="22"/>
      <c r="L194" s="22">
        <f>L192/K192-1</f>
        <v>-9.1937949587002077E-2</v>
      </c>
      <c r="M194" s="22">
        <f t="shared" ref="M194" si="323">M192/L192-1</f>
        <v>2.9859706362153293E-2</v>
      </c>
      <c r="N194" s="22">
        <f t="shared" ref="N194" si="324">N192/M192-1</f>
        <v>3.852343720299567E-2</v>
      </c>
      <c r="O194" s="22">
        <f t="shared" ref="O194" si="325">O192/N192-1</f>
        <v>1.8766854172513447E-2</v>
      </c>
      <c r="P194" s="22">
        <f t="shared" ref="P194" si="326">P192/O192-1</f>
        <v>-6.2294139488088485E-2</v>
      </c>
      <c r="Q194" s="22">
        <f t="shared" ref="Q194" si="327">Q192/P192-1</f>
        <v>5.6929365180738323E-2</v>
      </c>
      <c r="R194" s="22">
        <f t="shared" ref="R194" si="328">R192/Q192-1</f>
        <v>-4.0907827474107816E-2</v>
      </c>
      <c r="S194" s="22">
        <f t="shared" ref="S194" si="329">S192/R192-1</f>
        <v>3.8910309720017189E-2</v>
      </c>
      <c r="T194" s="22">
        <f t="shared" ref="T194" si="330">T192/S192-1</f>
        <v>-0.10064281382656159</v>
      </c>
      <c r="U194" s="22">
        <f t="shared" ref="U194" si="331">U192/T192-1</f>
        <v>8.6026000647319023E-2</v>
      </c>
    </row>
    <row r="195" spans="1:21" x14ac:dyDescent="0.2">
      <c r="A195" s="17"/>
      <c r="B195" s="17" t="s">
        <v>48</v>
      </c>
      <c r="C195" s="17"/>
      <c r="D195" s="17"/>
      <c r="E195" s="17"/>
      <c r="F195" s="17"/>
      <c r="G195" s="17"/>
      <c r="H195" s="17"/>
      <c r="I195" s="17"/>
      <c r="J195" s="17"/>
      <c r="K195" s="17">
        <v>5729</v>
      </c>
      <c r="L195" s="17">
        <v>4877</v>
      </c>
      <c r="M195" s="17">
        <v>5064</v>
      </c>
      <c r="N195" s="17">
        <v>4807</v>
      </c>
      <c r="O195" s="17">
        <v>6307</v>
      </c>
      <c r="P195" s="17">
        <v>3091</v>
      </c>
      <c r="Q195" s="17">
        <v>2824</v>
      </c>
      <c r="R195" s="17">
        <v>3784</v>
      </c>
      <c r="S195" s="17">
        <v>5633</v>
      </c>
      <c r="T195" s="17">
        <v>4302</v>
      </c>
      <c r="U195" s="17">
        <v>4906</v>
      </c>
    </row>
    <row r="196" spans="1:21" x14ac:dyDescent="0.2">
      <c r="B196" t="s">
        <v>49</v>
      </c>
      <c r="C196" s="22"/>
      <c r="D196" s="22"/>
      <c r="E196" s="22"/>
      <c r="F196" s="22"/>
      <c r="G196" s="22"/>
      <c r="H196" s="22"/>
      <c r="I196" s="22"/>
      <c r="J196" s="22"/>
      <c r="K196" s="22" t="e">
        <f>K195/G195-1</f>
        <v>#DIV/0!</v>
      </c>
      <c r="L196" s="22" t="e">
        <f>L195/H195-1</f>
        <v>#DIV/0!</v>
      </c>
      <c r="M196" s="22" t="e">
        <f t="shared" ref="M196" si="332">M195/I195-1</f>
        <v>#DIV/0!</v>
      </c>
      <c r="N196" s="22" t="e">
        <f t="shared" ref="N196" si="333">N195/J195-1</f>
        <v>#DIV/0!</v>
      </c>
      <c r="O196" s="22">
        <f t="shared" ref="O196" si="334">O195/K195-1</f>
        <v>0.10089020771513346</v>
      </c>
      <c r="P196" s="22">
        <f t="shared" ref="P196" si="335">P195/L195-1</f>
        <v>-0.36620873487799877</v>
      </c>
      <c r="Q196" s="22">
        <f t="shared" ref="Q196" si="336">Q195/M195-1</f>
        <v>-0.44233807266982628</v>
      </c>
      <c r="R196" s="22">
        <f t="shared" ref="R196" si="337">R195/N195-1</f>
        <v>-0.21281464530892447</v>
      </c>
      <c r="S196" s="22">
        <f t="shared" ref="S196" si="338">S195/O195-1</f>
        <v>-0.10686538766449971</v>
      </c>
      <c r="T196" s="22">
        <f t="shared" ref="T196" si="339">T195/P195-1</f>
        <v>0.39178259462956966</v>
      </c>
      <c r="U196" s="22">
        <f t="shared" ref="U196" si="340">U195/Q195-1</f>
        <v>0.73725212464589229</v>
      </c>
    </row>
    <row r="197" spans="1:21" x14ac:dyDescent="0.2">
      <c r="B197" t="s">
        <v>52</v>
      </c>
      <c r="C197" s="22"/>
      <c r="D197" s="22"/>
      <c r="E197" s="22"/>
      <c r="F197" s="22"/>
      <c r="G197" s="22"/>
      <c r="H197" s="22"/>
      <c r="I197" s="22"/>
      <c r="J197" s="22"/>
      <c r="K197" s="22"/>
      <c r="L197" s="22">
        <f>L195/K195-1</f>
        <v>-0.14871705358701348</v>
      </c>
      <c r="M197" s="22">
        <f t="shared" ref="M197" si="341">M195/L195-1</f>
        <v>3.8343243797416493E-2</v>
      </c>
      <c r="N197" s="22">
        <f t="shared" ref="N197" si="342">N195/M195-1</f>
        <v>-5.0750394944707788E-2</v>
      </c>
      <c r="O197" s="22">
        <f t="shared" ref="O197" si="343">O195/N195-1</f>
        <v>0.31204493447056381</v>
      </c>
      <c r="P197" s="22">
        <f t="shared" ref="P197" si="344">P195/O195-1</f>
        <v>-0.50990962422704933</v>
      </c>
      <c r="Q197" s="22">
        <f t="shared" ref="Q197" si="345">Q195/P195-1</f>
        <v>-8.637981235846004E-2</v>
      </c>
      <c r="R197" s="22">
        <f t="shared" ref="R197" si="346">R195/Q195-1</f>
        <v>0.33994334277620397</v>
      </c>
      <c r="S197" s="22">
        <f t="shared" ref="S197" si="347">S195/R195-1</f>
        <v>0.48863636363636354</v>
      </c>
      <c r="T197" s="22">
        <f t="shared" ref="T197" si="348">T195/S195-1</f>
        <v>-0.236286170779336</v>
      </c>
      <c r="U197" s="22">
        <f t="shared" ref="U197" si="349">U195/T195-1</f>
        <v>0.14039981403998136</v>
      </c>
    </row>
    <row r="198" spans="1:21" x14ac:dyDescent="0.2">
      <c r="B198" s="17" t="s">
        <v>50</v>
      </c>
      <c r="C198" s="17"/>
      <c r="D198" s="17"/>
      <c r="E198" s="17"/>
      <c r="F198" s="17"/>
      <c r="G198" s="23"/>
      <c r="H198" s="23"/>
      <c r="I198" s="23"/>
      <c r="J198" s="23"/>
      <c r="K198" s="23"/>
      <c r="L198" s="23"/>
      <c r="M198" s="23"/>
      <c r="N198" s="23"/>
      <c r="O198" s="23">
        <f t="shared" ref="O198" si="350">AVERAGE(L195:O195)/AVERAGE(K195:N195)-1</f>
        <v>2.8226791033842957E-2</v>
      </c>
      <c r="P198" s="23">
        <f t="shared" ref="P198" si="351">AVERAGE(M195:P195)/AVERAGE(L195:O195)-1</f>
        <v>-8.4825457136072147E-2</v>
      </c>
      <c r="Q198" s="23">
        <f t="shared" ref="Q198" si="352">AVERAGE(N195:Q195)/AVERAGE(M195:P195)-1</f>
        <v>-0.11624889719238152</v>
      </c>
      <c r="R198" s="23">
        <f t="shared" ref="R198" si="353">AVERAGE(O195:R195)/AVERAGE(N195:Q195)-1</f>
        <v>-6.007399142639025E-2</v>
      </c>
      <c r="S198" s="23">
        <f>AVERAGE(P195:S195)/AVERAGE(O195:R195)-1</f>
        <v>-4.2109209046607532E-2</v>
      </c>
      <c r="T198" s="23">
        <f t="shared" ref="T198" si="354">AVERAGE(Q195:T195)/AVERAGE(P195:S195)-1</f>
        <v>7.8985129141664556E-2</v>
      </c>
      <c r="U198" s="26">
        <f t="shared" ref="U198" si="355">AVERAGE(R195:U195)/AVERAGE(Q195:T195)-1</f>
        <v>0.12585383545910656</v>
      </c>
    </row>
    <row r="199" spans="1:21" ht="13.5" thickBot="1" x14ac:dyDescent="0.25">
      <c r="C199" s="22"/>
      <c r="D199" s="22"/>
      <c r="E199" s="22"/>
      <c r="F199" s="22"/>
      <c r="G199" s="22"/>
      <c r="H199" s="22"/>
      <c r="I199" s="22"/>
      <c r="J199" s="22"/>
      <c r="K199" s="22"/>
      <c r="L199" s="22"/>
      <c r="M199" s="22"/>
      <c r="N199" s="22"/>
      <c r="O199" s="22"/>
      <c r="P199" s="22"/>
      <c r="Q199" s="22"/>
      <c r="R199" s="22"/>
      <c r="S199" s="22"/>
      <c r="T199" s="22"/>
      <c r="U199" s="22"/>
    </row>
    <row r="200" spans="1:21" ht="13.5" thickBot="1" x14ac:dyDescent="0.25">
      <c r="A200" s="24" t="s">
        <v>0</v>
      </c>
      <c r="B200" s="25">
        <v>6810</v>
      </c>
      <c r="C200" s="24" t="s">
        <v>30</v>
      </c>
      <c r="D200" s="24" t="s">
        <v>31</v>
      </c>
      <c r="E200" s="24" t="s">
        <v>32</v>
      </c>
      <c r="F200" s="24" t="s">
        <v>33</v>
      </c>
      <c r="G200" s="24" t="s">
        <v>34</v>
      </c>
      <c r="H200" s="24" t="s">
        <v>35</v>
      </c>
      <c r="I200" s="24" t="s">
        <v>36</v>
      </c>
      <c r="J200" s="24" t="s">
        <v>37</v>
      </c>
      <c r="K200" s="24" t="s">
        <v>38</v>
      </c>
      <c r="L200" s="24" t="s">
        <v>39</v>
      </c>
      <c r="M200" s="24" t="s">
        <v>40</v>
      </c>
      <c r="N200" s="24" t="s">
        <v>41</v>
      </c>
      <c r="O200" s="24" t="s">
        <v>42</v>
      </c>
      <c r="P200" s="24" t="s">
        <v>43</v>
      </c>
      <c r="Q200" s="24" t="s">
        <v>44</v>
      </c>
      <c r="R200" s="24" t="s">
        <v>45</v>
      </c>
      <c r="S200" s="24" t="s">
        <v>46</v>
      </c>
      <c r="T200" s="24" t="s">
        <v>47</v>
      </c>
      <c r="U200" s="24" t="s">
        <v>19</v>
      </c>
    </row>
    <row r="201" spans="1:21" x14ac:dyDescent="0.2">
      <c r="A201" s="17"/>
      <c r="B201" s="17" t="s">
        <v>51</v>
      </c>
      <c r="C201" s="17"/>
      <c r="D201" s="17"/>
      <c r="E201" s="17"/>
      <c r="F201" s="17"/>
      <c r="G201" s="17"/>
      <c r="H201" s="17"/>
      <c r="I201" s="17"/>
      <c r="J201" s="17"/>
      <c r="K201" s="17">
        <v>33541</v>
      </c>
      <c r="L201" s="17">
        <v>32225</v>
      </c>
      <c r="M201" s="17">
        <v>33395</v>
      </c>
      <c r="N201" s="17">
        <v>31684</v>
      </c>
      <c r="O201" s="17">
        <v>31835</v>
      </c>
      <c r="P201" s="17">
        <v>31385</v>
      </c>
      <c r="Q201" s="17">
        <v>31737</v>
      </c>
      <c r="R201" s="17">
        <v>32465</v>
      </c>
      <c r="S201" s="17">
        <v>34219</v>
      </c>
      <c r="T201" s="17">
        <v>30270</v>
      </c>
      <c r="U201" s="17">
        <v>34389</v>
      </c>
    </row>
    <row r="202" spans="1:21" x14ac:dyDescent="0.2">
      <c r="B202" t="s">
        <v>49</v>
      </c>
      <c r="C202" s="22"/>
      <c r="D202" s="22"/>
      <c r="E202" s="22"/>
      <c r="F202" s="22"/>
      <c r="G202" s="22"/>
      <c r="H202" s="22"/>
      <c r="I202" s="22"/>
      <c r="J202" s="22"/>
      <c r="K202" s="22" t="e">
        <f t="shared" ref="K202" si="356">K201/G201-1</f>
        <v>#DIV/0!</v>
      </c>
      <c r="L202" s="22" t="e">
        <f t="shared" ref="L202" si="357">L201/H201-1</f>
        <v>#DIV/0!</v>
      </c>
      <c r="M202" s="22" t="e">
        <f t="shared" ref="M202" si="358">M201/I201-1</f>
        <v>#DIV/0!</v>
      </c>
      <c r="N202" s="22" t="e">
        <f t="shared" ref="N202" si="359">N201/J201-1</f>
        <v>#DIV/0!</v>
      </c>
      <c r="O202" s="22">
        <f t="shared" ref="O202" si="360">O201/K201-1</f>
        <v>-5.0863122745296807E-2</v>
      </c>
      <c r="P202" s="22">
        <f t="shared" ref="P202" si="361">P201/L201-1</f>
        <v>-2.6066718386345999E-2</v>
      </c>
      <c r="Q202" s="22">
        <f t="shared" ref="Q202" si="362">Q201/M201-1</f>
        <v>-4.9648150920796552E-2</v>
      </c>
      <c r="R202" s="22">
        <f t="shared" ref="R202" si="363">R201/N201-1</f>
        <v>2.4649665446281999E-2</v>
      </c>
      <c r="S202" s="22">
        <f t="shared" ref="S202" si="364">S201/O201-1</f>
        <v>7.4886131616145768E-2</v>
      </c>
      <c r="T202" s="22">
        <f t="shared" ref="T202" si="365">T201/P201-1</f>
        <v>-3.5526525410227827E-2</v>
      </c>
      <c r="U202" s="22">
        <f t="shared" ref="U202" si="366">U201/Q201-1</f>
        <v>8.3561773324510868E-2</v>
      </c>
    </row>
    <row r="203" spans="1:21" x14ac:dyDescent="0.2">
      <c r="B203" t="s">
        <v>52</v>
      </c>
      <c r="C203" s="22"/>
      <c r="D203" s="22"/>
      <c r="E203" s="22"/>
      <c r="F203" s="22"/>
      <c r="G203" s="22"/>
      <c r="H203" s="22"/>
      <c r="I203" s="22"/>
      <c r="J203" s="22"/>
      <c r="K203" s="22"/>
      <c r="L203" s="22">
        <f>L201/K201-1</f>
        <v>-3.9235562445961714E-2</v>
      </c>
      <c r="M203" s="22">
        <f t="shared" ref="M203" si="367">M201/L201-1</f>
        <v>3.630721489526767E-2</v>
      </c>
      <c r="N203" s="22">
        <f t="shared" ref="N203" si="368">N201/M201-1</f>
        <v>-5.1235214852522803E-2</v>
      </c>
      <c r="O203" s="22">
        <f t="shared" ref="O203" si="369">O201/N201-1</f>
        <v>4.7658123974245736E-3</v>
      </c>
      <c r="P203" s="22">
        <f t="shared" ref="P203" si="370">P201/O201-1</f>
        <v>-1.4135385581906745E-2</v>
      </c>
      <c r="Q203" s="22">
        <f t="shared" ref="Q203" si="371">Q201/P201-1</f>
        <v>1.1215548829058397E-2</v>
      </c>
      <c r="R203" s="22">
        <f t="shared" ref="R203" si="372">R201/Q201-1</f>
        <v>2.2938526010650051E-2</v>
      </c>
      <c r="S203" s="22">
        <f t="shared" ref="S203" si="373">S201/R201-1</f>
        <v>5.4027414138302809E-2</v>
      </c>
      <c r="T203" s="22">
        <f t="shared" ref="T203" si="374">T201/S201-1</f>
        <v>-0.11540372307782232</v>
      </c>
      <c r="U203" s="22">
        <f t="shared" ref="U203" si="375">U201/T201-1</f>
        <v>0.13607532210109019</v>
      </c>
    </row>
    <row r="204" spans="1:21" x14ac:dyDescent="0.2">
      <c r="A204" s="17"/>
      <c r="B204" s="17" t="s">
        <v>48</v>
      </c>
      <c r="C204" s="17"/>
      <c r="D204" s="17"/>
      <c r="E204" s="17"/>
      <c r="F204" s="17"/>
      <c r="G204" s="17"/>
      <c r="H204" s="17"/>
      <c r="I204" s="17"/>
      <c r="J204" s="17"/>
      <c r="K204" s="17">
        <v>1074</v>
      </c>
      <c r="L204" s="17">
        <v>2024</v>
      </c>
      <c r="M204" s="17">
        <v>2542</v>
      </c>
      <c r="N204" s="17">
        <v>1905</v>
      </c>
      <c r="O204" s="17">
        <v>1612</v>
      </c>
      <c r="P204" s="17">
        <v>2311</v>
      </c>
      <c r="Q204" s="17">
        <v>1866</v>
      </c>
      <c r="R204" s="17">
        <v>2401</v>
      </c>
      <c r="S204" s="17">
        <v>2740</v>
      </c>
      <c r="T204" s="17">
        <v>1984</v>
      </c>
      <c r="U204" s="17">
        <v>3071</v>
      </c>
    </row>
    <row r="205" spans="1:21" x14ac:dyDescent="0.2">
      <c r="B205" t="s">
        <v>49</v>
      </c>
      <c r="C205" s="22"/>
      <c r="D205" s="22"/>
      <c r="E205" s="22"/>
      <c r="F205" s="22"/>
      <c r="G205" s="22"/>
      <c r="H205" s="22"/>
      <c r="I205" s="22"/>
      <c r="J205" s="22"/>
      <c r="K205" s="22" t="e">
        <f>K204/G204-1</f>
        <v>#DIV/0!</v>
      </c>
      <c r="L205" s="22" t="e">
        <f>L204/H204-1</f>
        <v>#DIV/0!</v>
      </c>
      <c r="M205" s="22" t="e">
        <f t="shared" ref="M205" si="376">M204/I204-1</f>
        <v>#DIV/0!</v>
      </c>
      <c r="N205" s="22" t="e">
        <f t="shared" ref="N205" si="377">N204/J204-1</f>
        <v>#DIV/0!</v>
      </c>
      <c r="O205" s="22">
        <f t="shared" ref="O205" si="378">O204/K204-1</f>
        <v>0.50093109869646191</v>
      </c>
      <c r="P205" s="22">
        <f t="shared" ref="P205" si="379">P204/L204-1</f>
        <v>0.14179841897233203</v>
      </c>
      <c r="Q205" s="22">
        <f t="shared" ref="Q205" si="380">Q204/M204-1</f>
        <v>-0.26593233674272232</v>
      </c>
      <c r="R205" s="22">
        <f t="shared" ref="R205" si="381">R204/N204-1</f>
        <v>0.26036745406824147</v>
      </c>
      <c r="S205" s="22">
        <f t="shared" ref="S205" si="382">S204/O204-1</f>
        <v>0.69975186104218356</v>
      </c>
      <c r="T205" s="22">
        <f t="shared" ref="T205" si="383">T204/P204-1</f>
        <v>-0.14149718736477712</v>
      </c>
      <c r="U205" s="22">
        <f t="shared" ref="U205" si="384">U204/Q204-1</f>
        <v>0.64576634512325826</v>
      </c>
    </row>
    <row r="206" spans="1:21" x14ac:dyDescent="0.2">
      <c r="B206" t="s">
        <v>52</v>
      </c>
      <c r="C206" s="22"/>
      <c r="D206" s="22"/>
      <c r="E206" s="22"/>
      <c r="F206" s="22"/>
      <c r="G206" s="22"/>
      <c r="H206" s="22"/>
      <c r="I206" s="22"/>
      <c r="J206" s="22"/>
      <c r="K206" s="22"/>
      <c r="L206" s="22">
        <f>L204/K204-1</f>
        <v>0.88454376163873372</v>
      </c>
      <c r="M206" s="22">
        <f t="shared" ref="M206" si="385">M204/L204-1</f>
        <v>0.25592885375494068</v>
      </c>
      <c r="N206" s="22">
        <f t="shared" ref="N206" si="386">N204/M204-1</f>
        <v>-0.25059008654602677</v>
      </c>
      <c r="O206" s="22">
        <f t="shared" ref="O206" si="387">O204/N204-1</f>
        <v>-0.15380577427821518</v>
      </c>
      <c r="P206" s="22">
        <f t="shared" ref="P206" si="388">P204/O204-1</f>
        <v>0.43362282878411906</v>
      </c>
      <c r="Q206" s="22">
        <f t="shared" ref="Q206" si="389">Q204/P204-1</f>
        <v>-0.192557334487235</v>
      </c>
      <c r="R206" s="22">
        <f t="shared" ref="R206" si="390">R204/Q204-1</f>
        <v>0.28670953912111474</v>
      </c>
      <c r="S206" s="22">
        <f t="shared" ref="S206" si="391">S204/R204-1</f>
        <v>0.1411911703456894</v>
      </c>
      <c r="T206" s="22">
        <f t="shared" ref="T206" si="392">T204/S204-1</f>
        <v>-0.27591240875912404</v>
      </c>
      <c r="U206" s="22">
        <f t="shared" ref="U206" si="393">U204/T204-1</f>
        <v>0.547883064516129</v>
      </c>
    </row>
    <row r="207" spans="1:21" x14ac:dyDescent="0.2">
      <c r="B207" s="17" t="s">
        <v>50</v>
      </c>
      <c r="C207" s="17"/>
      <c r="D207" s="17"/>
      <c r="E207" s="17"/>
      <c r="F207" s="17"/>
      <c r="G207" s="23"/>
      <c r="H207" s="23"/>
      <c r="I207" s="23"/>
      <c r="J207" s="23"/>
      <c r="K207" s="23"/>
      <c r="L207" s="23"/>
      <c r="M207" s="23"/>
      <c r="N207" s="23"/>
      <c r="O207" s="23">
        <f>AVERAGE(L204:O204)/AVERAGE(K204:N204)-1</f>
        <v>7.1305500331345195E-2</v>
      </c>
      <c r="P207" s="23">
        <f t="shared" ref="P207" si="394">AVERAGE(M204:P204)/AVERAGE(L204:O204)-1</f>
        <v>3.5506618829642456E-2</v>
      </c>
      <c r="Q207" s="23">
        <f t="shared" ref="Q207" si="395">AVERAGE(N204:Q204)/AVERAGE(M204:P204)-1</f>
        <v>-8.0764635603345236E-2</v>
      </c>
      <c r="R207" s="23">
        <f t="shared" ref="R207" si="396">AVERAGE(O204:R204)/AVERAGE(N204:Q204)-1</f>
        <v>6.4465817520145574E-2</v>
      </c>
      <c r="S207" s="26">
        <f>AVERAGE(P204:S204)/AVERAGE(O204:R204)-1</f>
        <v>0.13772893772893768</v>
      </c>
      <c r="T207" s="23">
        <f t="shared" ref="T207" si="397">AVERAGE(Q204:T204)/AVERAGE(P204:S204)-1</f>
        <v>-3.5093367675466891E-2</v>
      </c>
      <c r="U207" s="26">
        <f t="shared" ref="U207" si="398">AVERAGE(R204:U204)/AVERAGE(Q204:T204)-1</f>
        <v>0.13402291180068948</v>
      </c>
    </row>
    <row r="208" spans="1:21" ht="13.5" thickBot="1" x14ac:dyDescent="0.25"/>
    <row r="209" spans="1:21" ht="13.5" thickBot="1" x14ac:dyDescent="0.25">
      <c r="A209" s="24" t="s">
        <v>0</v>
      </c>
      <c r="B209" s="25">
        <v>8877</v>
      </c>
      <c r="C209" s="24" t="s">
        <v>30</v>
      </c>
      <c r="D209" s="24" t="s">
        <v>31</v>
      </c>
      <c r="E209" s="24" t="s">
        <v>32</v>
      </c>
      <c r="F209" s="24" t="s">
        <v>33</v>
      </c>
      <c r="G209" s="24" t="s">
        <v>34</v>
      </c>
      <c r="H209" s="24" t="s">
        <v>35</v>
      </c>
      <c r="I209" s="24" t="s">
        <v>36</v>
      </c>
      <c r="J209" s="24" t="s">
        <v>37</v>
      </c>
      <c r="K209" s="24" t="s">
        <v>38</v>
      </c>
      <c r="L209" s="24" t="s">
        <v>39</v>
      </c>
      <c r="M209" s="24" t="s">
        <v>40</v>
      </c>
      <c r="N209" s="24" t="s">
        <v>41</v>
      </c>
      <c r="O209" s="24" t="s">
        <v>42</v>
      </c>
      <c r="P209" s="24" t="s">
        <v>43</v>
      </c>
      <c r="Q209" s="24" t="s">
        <v>44</v>
      </c>
      <c r="R209" s="24" t="s">
        <v>45</v>
      </c>
      <c r="S209" s="24" t="s">
        <v>46</v>
      </c>
      <c r="T209" s="24" t="s">
        <v>47</v>
      </c>
      <c r="U209" s="24" t="s">
        <v>19</v>
      </c>
    </row>
    <row r="210" spans="1:21" x14ac:dyDescent="0.2">
      <c r="A210" s="17"/>
      <c r="B210" s="17" t="s">
        <v>51</v>
      </c>
      <c r="C210" s="17"/>
      <c r="D210" s="17"/>
      <c r="E210" s="17"/>
      <c r="F210" s="17"/>
      <c r="G210" s="17"/>
      <c r="H210" s="17"/>
      <c r="I210" s="17"/>
      <c r="J210" s="17"/>
      <c r="K210" s="17">
        <v>22632</v>
      </c>
      <c r="L210" s="17">
        <v>17412</v>
      </c>
      <c r="M210" s="17">
        <v>18845</v>
      </c>
      <c r="N210" s="17">
        <v>20949</v>
      </c>
      <c r="O210" s="17">
        <v>23080</v>
      </c>
      <c r="P210" s="17">
        <v>40985</v>
      </c>
      <c r="Q210" s="17">
        <v>16400</v>
      </c>
      <c r="R210" s="17">
        <v>17282</v>
      </c>
      <c r="S210" s="17">
        <v>20098</v>
      </c>
      <c r="T210" s="17">
        <v>30714</v>
      </c>
      <c r="U210" s="17">
        <v>26960</v>
      </c>
    </row>
    <row r="211" spans="1:21" x14ac:dyDescent="0.2">
      <c r="B211" t="s">
        <v>49</v>
      </c>
      <c r="C211" s="22"/>
      <c r="D211" s="22"/>
      <c r="E211" s="22"/>
      <c r="F211" s="22"/>
      <c r="G211" s="22"/>
      <c r="H211" s="22"/>
      <c r="I211" s="22"/>
      <c r="J211" s="22"/>
      <c r="K211" s="22" t="e">
        <f t="shared" ref="K211" si="399">K210/G210-1</f>
        <v>#DIV/0!</v>
      </c>
      <c r="L211" s="22" t="e">
        <f t="shared" ref="L211" si="400">L210/H210-1</f>
        <v>#DIV/0!</v>
      </c>
      <c r="M211" s="22" t="e">
        <f t="shared" ref="M211" si="401">M210/I210-1</f>
        <v>#DIV/0!</v>
      </c>
      <c r="N211" s="22" t="e">
        <f t="shared" ref="N211" si="402">N210/J210-1</f>
        <v>#DIV/0!</v>
      </c>
      <c r="O211" s="22">
        <f t="shared" ref="O211" si="403">O210/K210-1</f>
        <v>1.9794980558501152E-2</v>
      </c>
      <c r="P211" s="22">
        <f t="shared" ref="P211" si="404">P210/L210-1</f>
        <v>1.3538364346427749</v>
      </c>
      <c r="Q211" s="22">
        <f t="shared" ref="Q211" si="405">Q210/M210-1</f>
        <v>-0.12974263730432478</v>
      </c>
      <c r="R211" s="22">
        <f t="shared" ref="R211" si="406">R210/N210-1</f>
        <v>-0.17504415485226021</v>
      </c>
      <c r="S211" s="22">
        <f t="shared" ref="S211" si="407">S210/O210-1</f>
        <v>-0.12920277296360483</v>
      </c>
      <c r="T211" s="22">
        <f t="shared" ref="T211" si="408">T210/P210-1</f>
        <v>-0.25060387946809803</v>
      </c>
      <c r="U211" s="22">
        <f t="shared" ref="U211" si="409">U210/Q210-1</f>
        <v>0.64390243902439015</v>
      </c>
    </row>
    <row r="212" spans="1:21" x14ac:dyDescent="0.2">
      <c r="B212" t="s">
        <v>52</v>
      </c>
      <c r="C212" s="22"/>
      <c r="D212" s="22"/>
      <c r="E212" s="22"/>
      <c r="F212" s="22"/>
      <c r="G212" s="22"/>
      <c r="H212" s="22"/>
      <c r="I212" s="22"/>
      <c r="J212" s="22"/>
      <c r="K212" s="22"/>
      <c r="L212" s="22">
        <f>L210/K210-1</f>
        <v>-0.2306468716861082</v>
      </c>
      <c r="M212" s="22">
        <f t="shared" ref="M212" si="410">M210/L210-1</f>
        <v>8.2299563519411922E-2</v>
      </c>
      <c r="N212" s="22">
        <f t="shared" ref="N212" si="411">N210/M210-1</f>
        <v>0.11164765189705483</v>
      </c>
      <c r="O212" s="22">
        <f t="shared" ref="O212" si="412">O210/N210-1</f>
        <v>0.10172323261253524</v>
      </c>
      <c r="P212" s="22">
        <f t="shared" ref="P212" si="413">P210/O210-1</f>
        <v>0.77577989601386488</v>
      </c>
      <c r="Q212" s="22">
        <f t="shared" ref="Q212" si="414">Q210/P210-1</f>
        <v>-0.59985360497743079</v>
      </c>
      <c r="R212" s="22">
        <f t="shared" ref="R212" si="415">R210/Q210-1</f>
        <v>5.3780487804877986E-2</v>
      </c>
      <c r="S212" s="22">
        <f t="shared" ref="S212" si="416">S210/R210-1</f>
        <v>0.16294410369170231</v>
      </c>
      <c r="T212" s="22">
        <f t="shared" ref="T212" si="417">T210/S210-1</f>
        <v>0.52821176236441447</v>
      </c>
      <c r="U212" s="22">
        <f t="shared" ref="U212" si="418">U210/T210-1</f>
        <v>-0.12222439278504915</v>
      </c>
    </row>
    <row r="213" spans="1:21" x14ac:dyDescent="0.2">
      <c r="A213" s="17"/>
      <c r="B213" s="17" t="s">
        <v>48</v>
      </c>
      <c r="C213" s="17"/>
      <c r="D213" s="17"/>
      <c r="E213" s="17"/>
      <c r="F213" s="17"/>
      <c r="G213" s="17"/>
      <c r="H213" s="17"/>
      <c r="I213" s="17"/>
      <c r="J213" s="17"/>
      <c r="K213" s="17">
        <v>1843</v>
      </c>
      <c r="L213" s="17">
        <v>3631</v>
      </c>
      <c r="M213" s="17">
        <v>2241</v>
      </c>
      <c r="N213" s="17">
        <v>2565</v>
      </c>
      <c r="O213" s="17">
        <v>3194</v>
      </c>
      <c r="P213" s="17">
        <v>8348</v>
      </c>
      <c r="Q213" s="17">
        <v>1825</v>
      </c>
      <c r="R213" s="17">
        <v>2429</v>
      </c>
      <c r="S213" s="17">
        <v>1946</v>
      </c>
      <c r="T213" s="17">
        <v>5389.5</v>
      </c>
      <c r="U213" s="17">
        <v>5029.5</v>
      </c>
    </row>
    <row r="214" spans="1:21" x14ac:dyDescent="0.2">
      <c r="B214" t="s">
        <v>49</v>
      </c>
      <c r="C214" s="22"/>
      <c r="D214" s="22"/>
      <c r="E214" s="22"/>
      <c r="F214" s="22"/>
      <c r="G214" s="22"/>
      <c r="H214" s="22"/>
      <c r="I214" s="22"/>
      <c r="J214" s="22"/>
      <c r="K214" s="22" t="e">
        <f>K213/G213-1</f>
        <v>#DIV/0!</v>
      </c>
      <c r="L214" s="22" t="e">
        <f>L213/H213-1</f>
        <v>#DIV/0!</v>
      </c>
      <c r="M214" s="22" t="e">
        <f t="shared" ref="M214" si="419">M213/I213-1</f>
        <v>#DIV/0!</v>
      </c>
      <c r="N214" s="22" t="e">
        <f t="shared" ref="N214" si="420">N213/J213-1</f>
        <v>#DIV/0!</v>
      </c>
      <c r="O214" s="22">
        <f t="shared" ref="O214" si="421">O213/K213-1</f>
        <v>0.73304395008138901</v>
      </c>
      <c r="P214" s="22">
        <f t="shared" ref="P214" si="422">P213/L213-1</f>
        <v>1.2990911594602039</v>
      </c>
      <c r="Q214" s="22">
        <f t="shared" ref="Q214" si="423">Q213/M213-1</f>
        <v>-0.18563141454707721</v>
      </c>
      <c r="R214" s="22">
        <f t="shared" ref="R214" si="424">R213/N213-1</f>
        <v>-5.3021442495126747E-2</v>
      </c>
      <c r="S214" s="22">
        <f t="shared" ref="S214" si="425">S213/O213-1</f>
        <v>-0.39073262366938011</v>
      </c>
      <c r="T214" s="22">
        <f t="shared" ref="T214" si="426">T213/P213-1</f>
        <v>-0.35439626257786294</v>
      </c>
      <c r="U214" s="22">
        <f t="shared" ref="U214" si="427">U213/Q213-1</f>
        <v>1.7558904109589042</v>
      </c>
    </row>
    <row r="215" spans="1:21" x14ac:dyDescent="0.2">
      <c r="B215" t="s">
        <v>52</v>
      </c>
      <c r="C215" s="22"/>
      <c r="D215" s="22"/>
      <c r="E215" s="22"/>
      <c r="F215" s="22"/>
      <c r="G215" s="22"/>
      <c r="H215" s="22"/>
      <c r="I215" s="22"/>
      <c r="J215" s="22"/>
      <c r="K215" s="22"/>
      <c r="L215" s="22">
        <f>L213/K213-1</f>
        <v>0.97015735214324472</v>
      </c>
      <c r="M215" s="22">
        <f t="shared" ref="M215" si="428">M213/L213-1</f>
        <v>-0.38281465161112638</v>
      </c>
      <c r="N215" s="22">
        <f t="shared" ref="N215" si="429">N213/M213-1</f>
        <v>0.14457831325301207</v>
      </c>
      <c r="O215" s="22">
        <f t="shared" ref="O215" si="430">O213/N213-1</f>
        <v>0.24522417153996101</v>
      </c>
      <c r="P215" s="22">
        <f t="shared" ref="P215" si="431">P213/O213-1</f>
        <v>1.6136505948653728</v>
      </c>
      <c r="Q215" s="22">
        <f t="shared" ref="Q215" si="432">Q213/P213-1</f>
        <v>-0.78138476281744129</v>
      </c>
      <c r="R215" s="22">
        <f t="shared" ref="R215" si="433">R213/Q213-1</f>
        <v>0.33095890410958906</v>
      </c>
      <c r="S215" s="22">
        <f t="shared" ref="S215" si="434">S213/R213-1</f>
        <v>-0.19884726224783866</v>
      </c>
      <c r="T215" s="22">
        <f t="shared" ref="T215" si="435">T213/S213-1</f>
        <v>1.7695272353545737</v>
      </c>
      <c r="U215" s="22">
        <f t="shared" ref="U215" si="436">U213/T213-1</f>
        <v>-6.6796548844976322E-2</v>
      </c>
    </row>
    <row r="216" spans="1:21" x14ac:dyDescent="0.2">
      <c r="B216" s="17" t="s">
        <v>50</v>
      </c>
      <c r="C216" s="17"/>
      <c r="D216" s="17"/>
      <c r="E216" s="17"/>
      <c r="F216" s="17"/>
      <c r="G216" s="23"/>
      <c r="H216" s="23"/>
      <c r="I216" s="23"/>
      <c r="J216" s="23"/>
      <c r="K216" s="23"/>
      <c r="L216" s="23"/>
      <c r="M216" s="23"/>
      <c r="N216" s="23"/>
      <c r="O216" s="26">
        <f t="shared" ref="O216" si="437">AVERAGE(L213:O213)/AVERAGE(K213:N213)-1</f>
        <v>0.131420233463035</v>
      </c>
      <c r="P216" s="26">
        <f t="shared" ref="P216" si="438">AVERAGE(M213:P213)/AVERAGE(L213:O213)-1</f>
        <v>0.40555412260338741</v>
      </c>
      <c r="Q216" s="23">
        <f t="shared" ref="Q216" si="439">AVERAGE(N213:Q213)/AVERAGE(M213:P213)-1</f>
        <v>-2.5446537802789382E-2</v>
      </c>
      <c r="R216" s="23">
        <f t="shared" ref="R216" si="440">AVERAGE(O213:R213)/AVERAGE(N213:Q213)-1</f>
        <v>-8.5362791865427612E-3</v>
      </c>
      <c r="S216" s="23">
        <f>AVERAGE(P213:S213)/AVERAGE(O213:R213)-1</f>
        <v>-7.9007343631299021E-2</v>
      </c>
      <c r="T216" s="23">
        <f t="shared" ref="T216" si="441">AVERAGE(Q213:T213)/AVERAGE(P213:S213)-1</f>
        <v>-0.20336128677481435</v>
      </c>
      <c r="U216" s="26">
        <f t="shared" ref="U216" si="442">AVERAGE(R213:U213)/AVERAGE(Q213:T213)-1</f>
        <v>0.27650028042624797</v>
      </c>
    </row>
    <row r="217" spans="1:21" ht="13.5" thickBot="1" x14ac:dyDescent="0.25"/>
    <row r="218" spans="1:21" ht="13.5" thickBot="1" x14ac:dyDescent="0.25">
      <c r="A218" s="24" t="s">
        <v>0</v>
      </c>
      <c r="B218" s="25" t="s">
        <v>197</v>
      </c>
      <c r="C218" s="24" t="s">
        <v>30</v>
      </c>
      <c r="D218" s="24" t="s">
        <v>31</v>
      </c>
      <c r="E218" s="24" t="s">
        <v>32</v>
      </c>
      <c r="F218" s="24" t="s">
        <v>33</v>
      </c>
      <c r="G218" s="24" t="s">
        <v>34</v>
      </c>
      <c r="H218" s="24" t="s">
        <v>35</v>
      </c>
      <c r="I218" s="24" t="s">
        <v>36</v>
      </c>
      <c r="J218" s="24" t="s">
        <v>37</v>
      </c>
      <c r="K218" s="24" t="s">
        <v>38</v>
      </c>
      <c r="L218" s="24" t="s">
        <v>39</v>
      </c>
      <c r="M218" s="24" t="s">
        <v>40</v>
      </c>
      <c r="N218" s="24" t="s">
        <v>41</v>
      </c>
      <c r="O218" s="24" t="s">
        <v>42</v>
      </c>
      <c r="P218" s="24" t="s">
        <v>43</v>
      </c>
      <c r="Q218" s="24" t="s">
        <v>44</v>
      </c>
      <c r="R218" s="24" t="s">
        <v>45</v>
      </c>
      <c r="S218" s="24" t="s">
        <v>46</v>
      </c>
      <c r="T218" s="24" t="s">
        <v>47</v>
      </c>
      <c r="U218" s="24" t="s">
        <v>19</v>
      </c>
    </row>
    <row r="219" spans="1:21" x14ac:dyDescent="0.2">
      <c r="A219" s="17"/>
      <c r="B219" s="17" t="s">
        <v>51</v>
      </c>
      <c r="C219" s="17"/>
      <c r="D219" s="17"/>
      <c r="E219" s="17"/>
      <c r="F219" s="17"/>
      <c r="G219" s="17"/>
      <c r="H219" s="17"/>
      <c r="I219" s="17"/>
      <c r="J219" s="17"/>
      <c r="K219" s="17"/>
      <c r="L219" s="17"/>
      <c r="M219" s="17"/>
      <c r="N219" s="17"/>
      <c r="O219" s="17"/>
      <c r="P219" s="17"/>
      <c r="Q219" s="17"/>
      <c r="R219" s="17"/>
      <c r="S219" s="17"/>
      <c r="T219" s="17"/>
      <c r="U219" s="17"/>
    </row>
    <row r="220" spans="1:21" x14ac:dyDescent="0.2">
      <c r="B220" t="s">
        <v>49</v>
      </c>
      <c r="C220" s="22"/>
      <c r="D220" s="22"/>
      <c r="E220" s="22"/>
      <c r="F220" s="22"/>
      <c r="G220" s="22"/>
      <c r="H220" s="22"/>
      <c r="I220" s="22"/>
      <c r="J220" s="22"/>
      <c r="K220" s="22" t="e">
        <f t="shared" ref="K220:U220" si="443">K219/G219-1</f>
        <v>#DIV/0!</v>
      </c>
      <c r="L220" s="22" t="e">
        <f t="shared" si="443"/>
        <v>#DIV/0!</v>
      </c>
      <c r="M220" s="22" t="e">
        <f t="shared" si="443"/>
        <v>#DIV/0!</v>
      </c>
      <c r="N220" s="22" t="e">
        <f t="shared" si="443"/>
        <v>#DIV/0!</v>
      </c>
      <c r="O220" s="22" t="e">
        <f t="shared" si="443"/>
        <v>#DIV/0!</v>
      </c>
      <c r="P220" s="22" t="e">
        <f t="shared" si="443"/>
        <v>#DIV/0!</v>
      </c>
      <c r="Q220" s="22" t="e">
        <f t="shared" si="443"/>
        <v>#DIV/0!</v>
      </c>
      <c r="R220" s="22" t="e">
        <f t="shared" si="443"/>
        <v>#DIV/0!</v>
      </c>
      <c r="S220" s="22" t="e">
        <f t="shared" si="443"/>
        <v>#DIV/0!</v>
      </c>
      <c r="T220" s="22" t="e">
        <f t="shared" si="443"/>
        <v>#DIV/0!</v>
      </c>
      <c r="U220" s="22" t="e">
        <f t="shared" si="443"/>
        <v>#DIV/0!</v>
      </c>
    </row>
    <row r="221" spans="1:21" x14ac:dyDescent="0.2">
      <c r="B221" t="s">
        <v>52</v>
      </c>
      <c r="C221" s="22"/>
      <c r="D221" s="22"/>
      <c r="E221" s="22"/>
      <c r="F221" s="22"/>
      <c r="G221" s="22"/>
      <c r="H221" s="22"/>
      <c r="I221" s="22"/>
      <c r="J221" s="22"/>
      <c r="K221" s="22"/>
      <c r="L221" s="22" t="e">
        <f t="shared" ref="L221:U221" si="444">L219/K219-1</f>
        <v>#DIV/0!</v>
      </c>
      <c r="M221" s="22" t="e">
        <f t="shared" si="444"/>
        <v>#DIV/0!</v>
      </c>
      <c r="N221" s="22" t="e">
        <f t="shared" si="444"/>
        <v>#DIV/0!</v>
      </c>
      <c r="O221" s="22" t="e">
        <f t="shared" si="444"/>
        <v>#DIV/0!</v>
      </c>
      <c r="P221" s="22" t="e">
        <f t="shared" si="444"/>
        <v>#DIV/0!</v>
      </c>
      <c r="Q221" s="22" t="e">
        <f t="shared" si="444"/>
        <v>#DIV/0!</v>
      </c>
      <c r="R221" s="22" t="e">
        <f t="shared" si="444"/>
        <v>#DIV/0!</v>
      </c>
      <c r="S221" s="22" t="e">
        <f t="shared" si="444"/>
        <v>#DIV/0!</v>
      </c>
      <c r="T221" s="22" t="e">
        <f t="shared" si="444"/>
        <v>#DIV/0!</v>
      </c>
      <c r="U221" s="22" t="e">
        <f t="shared" si="444"/>
        <v>#DIV/0!</v>
      </c>
    </row>
    <row r="222" spans="1:21" x14ac:dyDescent="0.2">
      <c r="A222" s="17"/>
      <c r="B222" s="17" t="s">
        <v>48</v>
      </c>
      <c r="C222" s="17"/>
      <c r="D222" s="17"/>
      <c r="E222" s="17"/>
      <c r="F222" s="17"/>
      <c r="G222" s="17"/>
      <c r="H222" s="17"/>
      <c r="I222" s="17"/>
      <c r="J222" s="17"/>
      <c r="K222" s="17">
        <v>13.9</v>
      </c>
      <c r="L222" s="17">
        <v>19.3</v>
      </c>
      <c r="M222" s="17">
        <v>4.7</v>
      </c>
      <c r="N222" s="17">
        <v>9.9</v>
      </c>
      <c r="O222" s="17">
        <v>3.8</v>
      </c>
      <c r="P222" s="17">
        <v>5.5</v>
      </c>
      <c r="Q222" s="17">
        <v>-7.8</v>
      </c>
      <c r="R222" s="17">
        <v>-36.5</v>
      </c>
      <c r="S222" s="17">
        <v>6.6</v>
      </c>
      <c r="T222" s="17">
        <v>13.9</v>
      </c>
      <c r="U222" s="17">
        <v>16.8</v>
      </c>
    </row>
    <row r="223" spans="1:21" x14ac:dyDescent="0.2">
      <c r="B223" t="s">
        <v>49</v>
      </c>
      <c r="C223" s="22"/>
      <c r="D223" s="22"/>
      <c r="E223" s="22"/>
      <c r="F223" s="22"/>
      <c r="G223" s="22"/>
      <c r="H223" s="22"/>
      <c r="I223" s="22"/>
      <c r="J223" s="22"/>
      <c r="K223" s="22" t="e">
        <f t="shared" ref="K223:U223" si="445">K222/G222-1</f>
        <v>#DIV/0!</v>
      </c>
      <c r="L223" s="22" t="e">
        <f t="shared" si="445"/>
        <v>#DIV/0!</v>
      </c>
      <c r="M223" s="22" t="e">
        <f t="shared" si="445"/>
        <v>#DIV/0!</v>
      </c>
      <c r="N223" s="22" t="e">
        <f t="shared" si="445"/>
        <v>#DIV/0!</v>
      </c>
      <c r="O223" s="22">
        <f t="shared" si="445"/>
        <v>-0.72661870503597126</v>
      </c>
      <c r="P223" s="22">
        <f t="shared" si="445"/>
        <v>-0.71502590673575128</v>
      </c>
      <c r="Q223" s="22">
        <f t="shared" si="445"/>
        <v>-2.6595744680851063</v>
      </c>
      <c r="R223" s="22">
        <f t="shared" si="445"/>
        <v>-4.6868686868686869</v>
      </c>
      <c r="S223" s="22">
        <f t="shared" si="445"/>
        <v>0.73684210526315796</v>
      </c>
      <c r="T223" s="22">
        <f t="shared" si="445"/>
        <v>1.5272727272727273</v>
      </c>
      <c r="U223" s="22">
        <f t="shared" si="445"/>
        <v>-3.1538461538461542</v>
      </c>
    </row>
    <row r="224" spans="1:21" x14ac:dyDescent="0.2">
      <c r="B224" t="s">
        <v>52</v>
      </c>
      <c r="C224" s="22"/>
      <c r="D224" s="22"/>
      <c r="E224" s="22"/>
      <c r="F224" s="22"/>
      <c r="G224" s="22"/>
      <c r="H224" s="22"/>
      <c r="I224" s="22"/>
      <c r="J224" s="22"/>
      <c r="K224" s="22"/>
      <c r="L224" s="22">
        <f t="shared" ref="L224:U224" si="446">L222/K222-1</f>
        <v>0.38848920863309355</v>
      </c>
      <c r="M224" s="22">
        <f t="shared" si="446"/>
        <v>-0.75647668393782386</v>
      </c>
      <c r="N224" s="22">
        <f t="shared" si="446"/>
        <v>1.1063829787234041</v>
      </c>
      <c r="O224" s="22">
        <f t="shared" si="446"/>
        <v>-0.61616161616161613</v>
      </c>
      <c r="P224" s="22">
        <f t="shared" si="446"/>
        <v>0.44736842105263164</v>
      </c>
      <c r="Q224" s="22">
        <f t="shared" si="446"/>
        <v>-2.418181818181818</v>
      </c>
      <c r="R224" s="22">
        <f t="shared" si="446"/>
        <v>3.6794871794871797</v>
      </c>
      <c r="S224" s="22">
        <f t="shared" si="446"/>
        <v>-1.1808219178082191</v>
      </c>
      <c r="T224" s="22">
        <f t="shared" si="446"/>
        <v>1.1060606060606064</v>
      </c>
      <c r="U224" s="22">
        <f t="shared" si="446"/>
        <v>0.20863309352517989</v>
      </c>
    </row>
    <row r="225" spans="1:21" x14ac:dyDescent="0.2">
      <c r="B225" s="17" t="s">
        <v>50</v>
      </c>
      <c r="C225" s="17"/>
      <c r="D225" s="17"/>
      <c r="E225" s="17"/>
      <c r="F225" s="17"/>
      <c r="G225" s="23"/>
      <c r="H225" s="23"/>
      <c r="I225" s="23"/>
      <c r="J225" s="23"/>
      <c r="K225" s="23" t="e">
        <f t="shared" ref="K225:U225" si="447">AVERAGE(H222:K222)/AVERAGE(G222:J222)-1</f>
        <v>#DIV/0!</v>
      </c>
      <c r="L225" s="23">
        <f t="shared" si="447"/>
        <v>0.19424460431654689</v>
      </c>
      <c r="M225" s="23">
        <f t="shared" si="447"/>
        <v>-0.23895582329317266</v>
      </c>
      <c r="N225" s="23">
        <f t="shared" si="447"/>
        <v>-5.4089709762533023E-2</v>
      </c>
      <c r="O225" s="23">
        <f t="shared" si="447"/>
        <v>-0.2112970711297073</v>
      </c>
      <c r="P225" s="23">
        <f t="shared" si="447"/>
        <v>-0.36604774535809004</v>
      </c>
      <c r="Q225" s="23">
        <f t="shared" si="447"/>
        <v>-0.52301255230125532</v>
      </c>
      <c r="R225" s="23">
        <f t="shared" si="447"/>
        <v>-4.0701754385964914</v>
      </c>
      <c r="S225" s="23">
        <f t="shared" si="447"/>
        <v>-8.0000000000000071E-2</v>
      </c>
      <c r="T225" s="23">
        <f t="shared" si="447"/>
        <v>-0.26086956521739124</v>
      </c>
      <c r="U225" s="23">
        <f t="shared" si="447"/>
        <v>-1.0336134453781514</v>
      </c>
    </row>
    <row r="226" spans="1:21" ht="13.5" thickBot="1" x14ac:dyDescent="0.25"/>
    <row r="227" spans="1:21" ht="13.5" thickBot="1" x14ac:dyDescent="0.25">
      <c r="A227" s="24" t="s">
        <v>0</v>
      </c>
      <c r="B227" s="25">
        <v>1944</v>
      </c>
      <c r="C227" s="24" t="s">
        <v>30</v>
      </c>
      <c r="D227" s="24" t="s">
        <v>31</v>
      </c>
      <c r="E227" s="24" t="s">
        <v>32</v>
      </c>
      <c r="F227" s="24" t="s">
        <v>33</v>
      </c>
      <c r="G227" s="24" t="s">
        <v>34</v>
      </c>
      <c r="H227" s="24" t="s">
        <v>35</v>
      </c>
      <c r="I227" s="24" t="s">
        <v>36</v>
      </c>
      <c r="J227" s="24" t="s">
        <v>37</v>
      </c>
      <c r="K227" s="24" t="s">
        <v>38</v>
      </c>
      <c r="L227" s="24" t="s">
        <v>39</v>
      </c>
      <c r="M227" s="24" t="s">
        <v>40</v>
      </c>
      <c r="N227" s="24" t="s">
        <v>41</v>
      </c>
      <c r="O227" s="24" t="s">
        <v>42</v>
      </c>
      <c r="P227" s="24" t="s">
        <v>43</v>
      </c>
      <c r="Q227" s="24" t="s">
        <v>44</v>
      </c>
      <c r="R227" s="24" t="s">
        <v>45</v>
      </c>
      <c r="S227" s="24" t="s">
        <v>46</v>
      </c>
      <c r="T227" s="24" t="s">
        <v>47</v>
      </c>
      <c r="U227" s="24" t="s">
        <v>19</v>
      </c>
    </row>
    <row r="228" spans="1:21" x14ac:dyDescent="0.2">
      <c r="A228" s="17"/>
      <c r="B228" s="17" t="s">
        <v>51</v>
      </c>
      <c r="C228" s="17"/>
      <c r="D228" s="17"/>
      <c r="E228" s="17"/>
      <c r="F228" s="17"/>
      <c r="G228" s="17"/>
      <c r="H228" s="17"/>
      <c r="I228" s="17"/>
      <c r="J228" s="17"/>
      <c r="K228" s="17">
        <v>206459</v>
      </c>
      <c r="L228" s="17">
        <v>112798</v>
      </c>
      <c r="M228" s="17">
        <v>157872</v>
      </c>
      <c r="N228" s="17">
        <v>156442</v>
      </c>
      <c r="O228" s="17">
        <v>227404</v>
      </c>
      <c r="P228" s="17">
        <v>133244</v>
      </c>
      <c r="Q228" s="17">
        <v>164796</v>
      </c>
      <c r="R228" s="17">
        <v>166545</v>
      </c>
      <c r="S228" s="17">
        <v>240473</v>
      </c>
      <c r="T228" s="17">
        <v>141412</v>
      </c>
      <c r="U228" s="17">
        <v>179966</v>
      </c>
    </row>
    <row r="229" spans="1:21" x14ac:dyDescent="0.2">
      <c r="B229" t="s">
        <v>49</v>
      </c>
      <c r="C229" s="22"/>
      <c r="D229" s="22"/>
      <c r="E229" s="22"/>
      <c r="F229" s="22"/>
      <c r="G229" s="22"/>
      <c r="H229" s="22"/>
      <c r="I229" s="22"/>
      <c r="J229" s="22"/>
      <c r="K229" s="22" t="e">
        <f t="shared" ref="K229:U229" si="448">K228/G228-1</f>
        <v>#DIV/0!</v>
      </c>
      <c r="L229" s="22" t="e">
        <f t="shared" si="448"/>
        <v>#DIV/0!</v>
      </c>
      <c r="M229" s="22" t="e">
        <f t="shared" si="448"/>
        <v>#DIV/0!</v>
      </c>
      <c r="N229" s="22" t="e">
        <f t="shared" si="448"/>
        <v>#DIV/0!</v>
      </c>
      <c r="O229" s="22">
        <f t="shared" si="448"/>
        <v>0.10144871378820985</v>
      </c>
      <c r="P229" s="22">
        <f t="shared" si="448"/>
        <v>0.18126207911487802</v>
      </c>
      <c r="Q229" s="22">
        <f t="shared" si="448"/>
        <v>4.3858315597446129E-2</v>
      </c>
      <c r="R229" s="22">
        <f t="shared" si="448"/>
        <v>6.457984428733976E-2</v>
      </c>
      <c r="S229" s="22">
        <f t="shared" si="448"/>
        <v>5.7470405094017796E-2</v>
      </c>
      <c r="T229" s="22">
        <f t="shared" si="448"/>
        <v>6.1301071718051103E-2</v>
      </c>
      <c r="U229" s="22">
        <f t="shared" si="448"/>
        <v>9.2053205174882802E-2</v>
      </c>
    </row>
    <row r="230" spans="1:21" x14ac:dyDescent="0.2">
      <c r="B230" t="s">
        <v>52</v>
      </c>
      <c r="C230" s="22"/>
      <c r="D230" s="22"/>
      <c r="E230" s="22"/>
      <c r="F230" s="22"/>
      <c r="G230" s="22"/>
      <c r="H230" s="22"/>
      <c r="I230" s="22"/>
      <c r="J230" s="22"/>
      <c r="K230" s="22"/>
      <c r="L230" s="22">
        <f t="shared" ref="L230:U230" si="449">L228/K228-1</f>
        <v>-0.45365423643435254</v>
      </c>
      <c r="M230" s="22">
        <f t="shared" si="449"/>
        <v>0.39959928367524244</v>
      </c>
      <c r="N230" s="22">
        <f t="shared" si="449"/>
        <v>-9.0579710144927938E-3</v>
      </c>
      <c r="O230" s="22">
        <f t="shared" si="449"/>
        <v>0.45359941703634576</v>
      </c>
      <c r="P230" s="22">
        <f t="shared" si="449"/>
        <v>-0.41406483615063938</v>
      </c>
      <c r="Q230" s="22">
        <f t="shared" si="449"/>
        <v>0.23679865509891629</v>
      </c>
      <c r="R230" s="22">
        <f t="shared" si="449"/>
        <v>1.0613121677710557E-2</v>
      </c>
      <c r="S230" s="22">
        <f t="shared" si="449"/>
        <v>0.44389204119006864</v>
      </c>
      <c r="T230" s="22">
        <f t="shared" si="449"/>
        <v>-0.41194229705621832</v>
      </c>
      <c r="U230" s="22">
        <f t="shared" si="449"/>
        <v>0.27263598563063951</v>
      </c>
    </row>
    <row r="231" spans="1:21" x14ac:dyDescent="0.2">
      <c r="A231" s="17"/>
      <c r="B231" s="17" t="s">
        <v>48</v>
      </c>
      <c r="C231" s="17"/>
      <c r="D231" s="17"/>
      <c r="E231" s="17"/>
      <c r="F231" s="17"/>
      <c r="G231" s="17"/>
      <c r="H231" s="17"/>
      <c r="I231" s="17"/>
      <c r="J231" s="17"/>
      <c r="K231" s="17">
        <v>23863</v>
      </c>
      <c r="L231" s="17">
        <v>869</v>
      </c>
      <c r="M231" s="17">
        <v>8267</v>
      </c>
      <c r="N231" s="17">
        <v>11485</v>
      </c>
      <c r="O231" s="17">
        <v>22057</v>
      </c>
      <c r="P231" s="17">
        <v>1964</v>
      </c>
      <c r="Q231" s="17">
        <v>10913</v>
      </c>
      <c r="R231" s="17">
        <v>17831</v>
      </c>
      <c r="S231" s="17">
        <v>30272</v>
      </c>
      <c r="T231" s="17">
        <v>7245</v>
      </c>
      <c r="U231" s="17">
        <v>24643</v>
      </c>
    </row>
    <row r="232" spans="1:21" x14ac:dyDescent="0.2">
      <c r="B232" t="s">
        <v>49</v>
      </c>
      <c r="C232" s="22"/>
      <c r="D232" s="22"/>
      <c r="E232" s="22"/>
      <c r="F232" s="22"/>
      <c r="G232" s="22"/>
      <c r="H232" s="22"/>
      <c r="I232" s="22"/>
      <c r="J232" s="22"/>
      <c r="K232" s="22" t="e">
        <f t="shared" ref="K232:U232" si="450">K231/G231-1</f>
        <v>#DIV/0!</v>
      </c>
      <c r="L232" s="22" t="e">
        <f t="shared" si="450"/>
        <v>#DIV/0!</v>
      </c>
      <c r="M232" s="22" t="e">
        <f t="shared" si="450"/>
        <v>#DIV/0!</v>
      </c>
      <c r="N232" s="22" t="e">
        <f t="shared" si="450"/>
        <v>#DIV/0!</v>
      </c>
      <c r="O232" s="22">
        <f t="shared" si="450"/>
        <v>-7.5682018187151701E-2</v>
      </c>
      <c r="P232" s="22">
        <f t="shared" si="450"/>
        <v>1.2600690448791716</v>
      </c>
      <c r="Q232" s="22">
        <f t="shared" si="450"/>
        <v>0.32006773920406428</v>
      </c>
      <c r="R232" s="22">
        <f t="shared" si="450"/>
        <v>0.55254680017414026</v>
      </c>
      <c r="S232" s="22">
        <f t="shared" si="450"/>
        <v>0.37244412204742261</v>
      </c>
      <c r="T232" s="22">
        <f t="shared" si="450"/>
        <v>2.6889002036659879</v>
      </c>
      <c r="U232" s="22">
        <f t="shared" si="450"/>
        <v>1.2581325025199304</v>
      </c>
    </row>
    <row r="233" spans="1:21" x14ac:dyDescent="0.2">
      <c r="B233" t="s">
        <v>52</v>
      </c>
      <c r="C233" s="22"/>
      <c r="D233" s="22"/>
      <c r="E233" s="22"/>
      <c r="F233" s="22"/>
      <c r="G233" s="22"/>
      <c r="H233" s="22"/>
      <c r="I233" s="22"/>
      <c r="J233" s="22"/>
      <c r="K233" s="22"/>
      <c r="L233" s="22">
        <f t="shared" ref="L233:U233" si="451">L231/K231-1</f>
        <v>-0.9635837908058501</v>
      </c>
      <c r="M233" s="22">
        <f t="shared" si="451"/>
        <v>8.5132336018411969</v>
      </c>
      <c r="N233" s="22">
        <f t="shared" si="451"/>
        <v>0.38925849764122411</v>
      </c>
      <c r="O233" s="22">
        <f t="shared" si="451"/>
        <v>0.92050500653025691</v>
      </c>
      <c r="P233" s="22">
        <f t="shared" si="451"/>
        <v>-0.91095797252572885</v>
      </c>
      <c r="Q233" s="22">
        <f t="shared" si="451"/>
        <v>4.5565173116089612</v>
      </c>
      <c r="R233" s="22">
        <f t="shared" si="451"/>
        <v>0.63392284431412071</v>
      </c>
      <c r="S233" s="22">
        <f t="shared" si="451"/>
        <v>0.69771745835903753</v>
      </c>
      <c r="T233" s="22">
        <f t="shared" si="451"/>
        <v>-0.76066992600422834</v>
      </c>
      <c r="U233" s="22">
        <f t="shared" si="451"/>
        <v>2.4013802622498273</v>
      </c>
    </row>
    <row r="234" spans="1:21" x14ac:dyDescent="0.2">
      <c r="B234" s="17" t="s">
        <v>50</v>
      </c>
      <c r="C234" s="17"/>
      <c r="D234" s="17"/>
      <c r="E234" s="17"/>
      <c r="F234" s="17"/>
      <c r="G234" s="23"/>
      <c r="H234" s="23"/>
      <c r="I234" s="23"/>
      <c r="J234" s="23"/>
      <c r="K234" s="23" t="e">
        <f t="shared" ref="K234:U234" si="452">AVERAGE(H231:K231)/AVERAGE(G231:J231)-1</f>
        <v>#DIV/0!</v>
      </c>
      <c r="L234" s="23">
        <f t="shared" si="452"/>
        <v>-0.481791895402925</v>
      </c>
      <c r="M234" s="23">
        <f t="shared" si="452"/>
        <v>-0.11049113159739077</v>
      </c>
      <c r="N234" s="23">
        <f t="shared" si="452"/>
        <v>1.1030637292039236E-2</v>
      </c>
      <c r="O234" s="23">
        <f t="shared" si="452"/>
        <v>-4.0598867008362571E-2</v>
      </c>
      <c r="P234" s="23">
        <f t="shared" si="452"/>
        <v>2.5657247293687568E-2</v>
      </c>
      <c r="Q234" s="23">
        <f t="shared" si="452"/>
        <v>6.0448221506408162E-2</v>
      </c>
      <c r="R234" s="23">
        <f t="shared" si="452"/>
        <v>0.13671126047523652</v>
      </c>
      <c r="S234" s="23">
        <f t="shared" si="452"/>
        <v>0.15569032502605884</v>
      </c>
      <c r="T234" s="23">
        <f t="shared" si="452"/>
        <v>8.6602164644145718E-2</v>
      </c>
      <c r="U234" s="23">
        <f t="shared" si="452"/>
        <v>0.20721087819380934</v>
      </c>
    </row>
    <row r="235" spans="1:21" ht="13.5" thickBot="1" x14ac:dyDescent="0.25">
      <c r="B235" s="17"/>
      <c r="C235" s="17"/>
      <c r="D235" s="17"/>
      <c r="E235" s="17"/>
      <c r="F235" s="17"/>
      <c r="G235" s="23"/>
      <c r="H235" s="23"/>
      <c r="I235" s="23"/>
      <c r="J235" s="23"/>
      <c r="K235" s="23"/>
      <c r="L235" s="23"/>
      <c r="M235" s="23"/>
      <c r="N235" s="23"/>
      <c r="O235" s="23"/>
      <c r="P235" s="23"/>
      <c r="Q235" s="23"/>
      <c r="R235" s="23"/>
      <c r="S235" s="23"/>
      <c r="T235" s="23"/>
      <c r="U235" s="23"/>
    </row>
    <row r="236" spans="1:21" ht="13.5" thickBot="1" x14ac:dyDescent="0.25">
      <c r="A236" s="24" t="s">
        <v>0</v>
      </c>
      <c r="B236" s="25" t="s">
        <v>190</v>
      </c>
      <c r="C236" s="24" t="s">
        <v>30</v>
      </c>
      <c r="D236" s="24" t="s">
        <v>31</v>
      </c>
      <c r="E236" s="24" t="s">
        <v>32</v>
      </c>
      <c r="F236" s="24" t="s">
        <v>33</v>
      </c>
      <c r="G236" s="24" t="s">
        <v>34</v>
      </c>
      <c r="H236" s="24" t="s">
        <v>35</v>
      </c>
      <c r="I236" s="24" t="s">
        <v>36</v>
      </c>
      <c r="J236" s="24" t="s">
        <v>37</v>
      </c>
      <c r="K236" s="24" t="s">
        <v>38</v>
      </c>
      <c r="L236" s="24" t="s">
        <v>39</v>
      </c>
      <c r="M236" s="24" t="s">
        <v>40</v>
      </c>
      <c r="N236" s="24" t="s">
        <v>41</v>
      </c>
      <c r="O236" s="24" t="s">
        <v>42</v>
      </c>
      <c r="P236" s="24" t="s">
        <v>43</v>
      </c>
      <c r="Q236" s="24" t="s">
        <v>44</v>
      </c>
      <c r="R236" s="24" t="s">
        <v>45</v>
      </c>
      <c r="S236" s="24" t="s">
        <v>46</v>
      </c>
      <c r="T236" s="24" t="s">
        <v>47</v>
      </c>
      <c r="U236" s="24" t="s">
        <v>19</v>
      </c>
    </row>
    <row r="237" spans="1:21" x14ac:dyDescent="0.2">
      <c r="A237" s="17"/>
      <c r="B237" s="17" t="s">
        <v>51</v>
      </c>
      <c r="C237" s="17"/>
      <c r="D237" s="17"/>
      <c r="E237" s="17"/>
      <c r="F237" s="17"/>
      <c r="G237" s="17"/>
      <c r="H237" s="17"/>
      <c r="I237" s="17"/>
      <c r="J237" s="17"/>
      <c r="K237" s="17"/>
      <c r="L237" s="17"/>
      <c r="M237" s="17"/>
      <c r="N237" s="17"/>
      <c r="O237" s="17"/>
      <c r="P237" s="17"/>
      <c r="Q237" s="17"/>
      <c r="R237" s="17"/>
      <c r="S237" s="17"/>
      <c r="T237" s="17"/>
      <c r="U237" s="17"/>
    </row>
    <row r="238" spans="1:21" x14ac:dyDescent="0.2">
      <c r="B238" t="s">
        <v>49</v>
      </c>
      <c r="C238" s="22"/>
      <c r="D238" s="22"/>
      <c r="E238" s="22"/>
      <c r="F238" s="22"/>
      <c r="G238" s="22"/>
      <c r="H238" s="22"/>
      <c r="I238" s="22"/>
      <c r="J238" s="22"/>
      <c r="K238" s="22" t="e">
        <f t="shared" ref="K238:U238" si="453">K237/G237-1</f>
        <v>#DIV/0!</v>
      </c>
      <c r="L238" s="22" t="e">
        <f t="shared" si="453"/>
        <v>#DIV/0!</v>
      </c>
      <c r="M238" s="22" t="e">
        <f t="shared" si="453"/>
        <v>#DIV/0!</v>
      </c>
      <c r="N238" s="22" t="e">
        <f t="shared" si="453"/>
        <v>#DIV/0!</v>
      </c>
      <c r="O238" s="22" t="e">
        <f t="shared" si="453"/>
        <v>#DIV/0!</v>
      </c>
      <c r="P238" s="22" t="e">
        <f t="shared" si="453"/>
        <v>#DIV/0!</v>
      </c>
      <c r="Q238" s="22" t="e">
        <f t="shared" si="453"/>
        <v>#DIV/0!</v>
      </c>
      <c r="R238" s="22" t="e">
        <f t="shared" si="453"/>
        <v>#DIV/0!</v>
      </c>
      <c r="S238" s="22" t="e">
        <f t="shared" si="453"/>
        <v>#DIV/0!</v>
      </c>
      <c r="T238" s="22" t="e">
        <f t="shared" si="453"/>
        <v>#DIV/0!</v>
      </c>
      <c r="U238" s="22" t="e">
        <f t="shared" si="453"/>
        <v>#DIV/0!</v>
      </c>
    </row>
    <row r="239" spans="1:21" x14ac:dyDescent="0.2">
      <c r="B239" t="s">
        <v>52</v>
      </c>
      <c r="C239" s="22"/>
      <c r="D239" s="22"/>
      <c r="E239" s="22"/>
      <c r="F239" s="22"/>
      <c r="G239" s="22"/>
      <c r="H239" s="22"/>
      <c r="I239" s="22"/>
      <c r="J239" s="22"/>
      <c r="K239" s="22"/>
      <c r="L239" s="22" t="e">
        <f t="shared" ref="L239:U239" si="454">L237/K237-1</f>
        <v>#DIV/0!</v>
      </c>
      <c r="M239" s="22" t="e">
        <f t="shared" si="454"/>
        <v>#DIV/0!</v>
      </c>
      <c r="N239" s="22" t="e">
        <f t="shared" si="454"/>
        <v>#DIV/0!</v>
      </c>
      <c r="O239" s="22" t="e">
        <f t="shared" si="454"/>
        <v>#DIV/0!</v>
      </c>
      <c r="P239" s="22" t="e">
        <f t="shared" si="454"/>
        <v>#DIV/0!</v>
      </c>
      <c r="Q239" s="22" t="e">
        <f t="shared" si="454"/>
        <v>#DIV/0!</v>
      </c>
      <c r="R239" s="22" t="e">
        <f t="shared" si="454"/>
        <v>#DIV/0!</v>
      </c>
      <c r="S239" s="22" t="e">
        <f t="shared" si="454"/>
        <v>#DIV/0!</v>
      </c>
      <c r="T239" s="22" t="e">
        <f t="shared" si="454"/>
        <v>#DIV/0!</v>
      </c>
      <c r="U239" s="22" t="e">
        <f t="shared" si="454"/>
        <v>#DIV/0!</v>
      </c>
    </row>
    <row r="240" spans="1:21" x14ac:dyDescent="0.2">
      <c r="A240" s="17"/>
      <c r="B240" s="17" t="s">
        <v>48</v>
      </c>
      <c r="C240" s="17"/>
      <c r="D240" s="17"/>
      <c r="E240" s="17"/>
      <c r="F240" s="17"/>
      <c r="G240" s="17"/>
      <c r="H240" s="17"/>
      <c r="I240" s="17"/>
      <c r="J240" s="17"/>
      <c r="K240" s="17">
        <v>19.8</v>
      </c>
      <c r="L240" s="17">
        <v>12.9</v>
      </c>
      <c r="M240" s="17">
        <v>25.3</v>
      </c>
      <c r="N240" s="17">
        <v>-0.8</v>
      </c>
      <c r="O240" s="17">
        <v>15.1</v>
      </c>
      <c r="P240" s="17">
        <v>22.7</v>
      </c>
      <c r="Q240" s="17">
        <v>64.8</v>
      </c>
      <c r="R240" s="17">
        <v>76.099999999999994</v>
      </c>
      <c r="S240" s="17">
        <v>33</v>
      </c>
      <c r="T240" s="17">
        <v>105.8</v>
      </c>
      <c r="U240" s="17">
        <v>232</v>
      </c>
    </row>
    <row r="241" spans="1:21" x14ac:dyDescent="0.2">
      <c r="B241" t="s">
        <v>49</v>
      </c>
      <c r="C241" s="22"/>
      <c r="D241" s="22"/>
      <c r="E241" s="22"/>
      <c r="F241" s="22"/>
      <c r="G241" s="22"/>
      <c r="H241" s="22"/>
      <c r="I241" s="22"/>
      <c r="J241" s="22"/>
      <c r="K241" s="22" t="e">
        <f t="shared" ref="K241:U241" si="455">K240/G240-1</f>
        <v>#DIV/0!</v>
      </c>
      <c r="L241" s="22" t="e">
        <f t="shared" si="455"/>
        <v>#DIV/0!</v>
      </c>
      <c r="M241" s="22" t="e">
        <f t="shared" si="455"/>
        <v>#DIV/0!</v>
      </c>
      <c r="N241" s="22" t="e">
        <f t="shared" si="455"/>
        <v>#DIV/0!</v>
      </c>
      <c r="O241" s="22">
        <f t="shared" si="455"/>
        <v>-0.23737373737373746</v>
      </c>
      <c r="P241" s="22">
        <f t="shared" si="455"/>
        <v>0.75968992248061995</v>
      </c>
      <c r="Q241" s="22">
        <f t="shared" si="455"/>
        <v>1.5612648221343872</v>
      </c>
      <c r="R241" s="22">
        <f t="shared" si="455"/>
        <v>-96.124999999999986</v>
      </c>
      <c r="S241" s="22">
        <f t="shared" si="455"/>
        <v>1.185430463576159</v>
      </c>
      <c r="T241" s="22">
        <f t="shared" si="455"/>
        <v>3.6607929515418505</v>
      </c>
      <c r="U241" s="22">
        <f t="shared" si="455"/>
        <v>2.5802469135802473</v>
      </c>
    </row>
    <row r="242" spans="1:21" x14ac:dyDescent="0.2">
      <c r="B242" t="s">
        <v>52</v>
      </c>
      <c r="C242" s="22"/>
      <c r="D242" s="22"/>
      <c r="E242" s="22"/>
      <c r="F242" s="22"/>
      <c r="G242" s="22"/>
      <c r="H242" s="22"/>
      <c r="I242" s="22"/>
      <c r="J242" s="22"/>
      <c r="K242" s="22"/>
      <c r="L242" s="22">
        <f t="shared" ref="L242:U242" si="456">L240/K240-1</f>
        <v>-0.34848484848484851</v>
      </c>
      <c r="M242" s="22">
        <f t="shared" si="456"/>
        <v>0.96124031007751931</v>
      </c>
      <c r="N242" s="22">
        <f t="shared" si="456"/>
        <v>-1.0316205533596838</v>
      </c>
      <c r="O242" s="22">
        <f t="shared" si="456"/>
        <v>-19.875</v>
      </c>
      <c r="P242" s="22">
        <f t="shared" si="456"/>
        <v>0.5033112582781456</v>
      </c>
      <c r="Q242" s="22">
        <f t="shared" si="456"/>
        <v>1.8546255506607929</v>
      </c>
      <c r="R242" s="22">
        <f t="shared" si="456"/>
        <v>0.17438271604938271</v>
      </c>
      <c r="S242" s="22">
        <f t="shared" si="456"/>
        <v>-0.56636005256241784</v>
      </c>
      <c r="T242" s="22">
        <f t="shared" si="456"/>
        <v>2.2060606060606061</v>
      </c>
      <c r="U242" s="22">
        <f t="shared" si="456"/>
        <v>1.1928166351606806</v>
      </c>
    </row>
    <row r="243" spans="1:21" x14ac:dyDescent="0.2">
      <c r="B243" s="17" t="s">
        <v>50</v>
      </c>
      <c r="C243" s="17"/>
      <c r="D243" s="17"/>
      <c r="E243" s="17"/>
      <c r="F243" s="17"/>
      <c r="G243" s="23"/>
      <c r="H243" s="23"/>
      <c r="I243" s="23"/>
      <c r="J243" s="23"/>
      <c r="K243" s="23" t="e">
        <f t="shared" ref="K243:U243" si="457">AVERAGE(H240:K240)/AVERAGE(G240:J240)-1</f>
        <v>#DIV/0!</v>
      </c>
      <c r="L243" s="23">
        <f t="shared" si="457"/>
        <v>-0.1742424242424242</v>
      </c>
      <c r="M243" s="23">
        <f t="shared" si="457"/>
        <v>0.18246687054026478</v>
      </c>
      <c r="N243" s="23">
        <f t="shared" si="457"/>
        <v>-0.26034482758620681</v>
      </c>
      <c r="O243" s="23">
        <f t="shared" si="457"/>
        <v>-8.2167832167832078E-2</v>
      </c>
      <c r="P243" s="23">
        <f t="shared" si="457"/>
        <v>0.18666666666666654</v>
      </c>
      <c r="Q243" s="23">
        <f t="shared" si="457"/>
        <v>0.63402889245585881</v>
      </c>
      <c r="R243" s="23">
        <f t="shared" si="457"/>
        <v>0.75540275049115913</v>
      </c>
      <c r="S243" s="23">
        <f t="shared" si="457"/>
        <v>0.10016787912702863</v>
      </c>
      <c r="T243" s="23">
        <f t="shared" si="457"/>
        <v>0.42268565615462861</v>
      </c>
      <c r="U243" s="23">
        <f t="shared" si="457"/>
        <v>0.59778333929209859</v>
      </c>
    </row>
    <row r="244" spans="1:21" ht="13.5" thickBot="1" x14ac:dyDescent="0.25">
      <c r="B244" s="14"/>
    </row>
    <row r="245" spans="1:21" ht="13.5" thickBot="1" x14ac:dyDescent="0.25">
      <c r="A245" s="24" t="s">
        <v>0</v>
      </c>
      <c r="B245" s="25">
        <v>6865</v>
      </c>
      <c r="C245" s="24" t="s">
        <v>30</v>
      </c>
      <c r="D245" s="24" t="s">
        <v>31</v>
      </c>
      <c r="E245" s="24" t="s">
        <v>32</v>
      </c>
      <c r="F245" s="24" t="s">
        <v>33</v>
      </c>
      <c r="G245" s="24" t="s">
        <v>34</v>
      </c>
      <c r="H245" s="24" t="s">
        <v>35</v>
      </c>
      <c r="I245" s="24" t="s">
        <v>36</v>
      </c>
      <c r="J245" s="24" t="s">
        <v>37</v>
      </c>
      <c r="K245" s="24" t="s">
        <v>38</v>
      </c>
      <c r="L245" s="24" t="s">
        <v>39</v>
      </c>
      <c r="M245" s="24" t="s">
        <v>40</v>
      </c>
      <c r="N245" s="24" t="s">
        <v>41</v>
      </c>
      <c r="O245" s="24" t="s">
        <v>42</v>
      </c>
      <c r="P245" s="24" t="s">
        <v>43</v>
      </c>
      <c r="Q245" s="24" t="s">
        <v>44</v>
      </c>
      <c r="R245" s="24" t="s">
        <v>45</v>
      </c>
      <c r="S245" s="24" t="s">
        <v>46</v>
      </c>
      <c r="T245" s="24" t="s">
        <v>47</v>
      </c>
      <c r="U245" s="24" t="s">
        <v>19</v>
      </c>
    </row>
    <row r="246" spans="1:21" x14ac:dyDescent="0.2">
      <c r="A246" s="17"/>
      <c r="B246" s="17" t="s">
        <v>51</v>
      </c>
      <c r="C246" s="17"/>
      <c r="D246" s="17"/>
      <c r="E246" s="17"/>
      <c r="F246" s="17"/>
      <c r="G246" s="17"/>
      <c r="H246" s="17"/>
      <c r="I246" s="17"/>
      <c r="J246" s="17"/>
      <c r="K246" s="17"/>
      <c r="L246" s="17"/>
      <c r="M246" s="17"/>
      <c r="N246" s="17"/>
      <c r="O246" s="17"/>
      <c r="P246" s="17"/>
      <c r="Q246" s="17"/>
      <c r="R246" s="17"/>
      <c r="S246" s="17"/>
      <c r="T246" s="17"/>
      <c r="U246" s="17"/>
    </row>
    <row r="247" spans="1:21" x14ac:dyDescent="0.2">
      <c r="B247" t="s">
        <v>49</v>
      </c>
      <c r="C247" s="22"/>
      <c r="D247" s="22"/>
      <c r="E247" s="22"/>
      <c r="F247" s="22"/>
      <c r="G247" s="22"/>
      <c r="H247" s="22"/>
      <c r="I247" s="22"/>
      <c r="J247" s="22"/>
      <c r="K247" s="22" t="e">
        <f t="shared" ref="K247:U247" si="458">K246/G246-1</f>
        <v>#DIV/0!</v>
      </c>
      <c r="L247" s="22" t="e">
        <f t="shared" si="458"/>
        <v>#DIV/0!</v>
      </c>
      <c r="M247" s="22" t="e">
        <f t="shared" si="458"/>
        <v>#DIV/0!</v>
      </c>
      <c r="N247" s="22" t="e">
        <f t="shared" si="458"/>
        <v>#DIV/0!</v>
      </c>
      <c r="O247" s="22" t="e">
        <f t="shared" si="458"/>
        <v>#DIV/0!</v>
      </c>
      <c r="P247" s="22" t="e">
        <f t="shared" si="458"/>
        <v>#DIV/0!</v>
      </c>
      <c r="Q247" s="22" t="e">
        <f t="shared" si="458"/>
        <v>#DIV/0!</v>
      </c>
      <c r="R247" s="22" t="e">
        <f t="shared" si="458"/>
        <v>#DIV/0!</v>
      </c>
      <c r="S247" s="22" t="e">
        <f t="shared" si="458"/>
        <v>#DIV/0!</v>
      </c>
      <c r="T247" s="22" t="e">
        <f t="shared" si="458"/>
        <v>#DIV/0!</v>
      </c>
      <c r="U247" s="22" t="e">
        <f t="shared" si="458"/>
        <v>#DIV/0!</v>
      </c>
    </row>
    <row r="248" spans="1:21" x14ac:dyDescent="0.2">
      <c r="B248" t="s">
        <v>52</v>
      </c>
      <c r="C248" s="22"/>
      <c r="D248" s="22"/>
      <c r="E248" s="22"/>
      <c r="F248" s="22"/>
      <c r="G248" s="22"/>
      <c r="H248" s="22"/>
      <c r="I248" s="22"/>
      <c r="J248" s="22"/>
      <c r="K248" s="22"/>
      <c r="L248" s="22" t="e">
        <f t="shared" ref="L248:U248" si="459">L246/K246-1</f>
        <v>#DIV/0!</v>
      </c>
      <c r="M248" s="22" t="e">
        <f t="shared" si="459"/>
        <v>#DIV/0!</v>
      </c>
      <c r="N248" s="22" t="e">
        <f t="shared" si="459"/>
        <v>#DIV/0!</v>
      </c>
      <c r="O248" s="22" t="e">
        <f t="shared" si="459"/>
        <v>#DIV/0!</v>
      </c>
      <c r="P248" s="22" t="e">
        <f t="shared" si="459"/>
        <v>#DIV/0!</v>
      </c>
      <c r="Q248" s="22" t="e">
        <f t="shared" si="459"/>
        <v>#DIV/0!</v>
      </c>
      <c r="R248" s="22" t="e">
        <f t="shared" si="459"/>
        <v>#DIV/0!</v>
      </c>
      <c r="S248" s="22" t="e">
        <f t="shared" si="459"/>
        <v>#DIV/0!</v>
      </c>
      <c r="T248" s="22" t="e">
        <f t="shared" si="459"/>
        <v>#DIV/0!</v>
      </c>
      <c r="U248" s="22" t="e">
        <f t="shared" si="459"/>
        <v>#DIV/0!</v>
      </c>
    </row>
    <row r="249" spans="1:21" x14ac:dyDescent="0.2">
      <c r="A249" s="17"/>
      <c r="B249" s="17" t="s">
        <v>48</v>
      </c>
      <c r="C249" s="17"/>
      <c r="D249" s="17"/>
      <c r="E249" s="17"/>
      <c r="F249" s="17"/>
      <c r="G249" s="17"/>
      <c r="H249" s="17"/>
      <c r="I249" s="17"/>
      <c r="J249" s="17"/>
      <c r="K249" s="17">
        <v>686.4</v>
      </c>
      <c r="L249" s="17">
        <v>643.29999999999995</v>
      </c>
      <c r="M249" s="17">
        <v>1162.3</v>
      </c>
      <c r="N249" s="17">
        <v>1043.0999999999999</v>
      </c>
      <c r="O249" s="17">
        <v>961.7</v>
      </c>
      <c r="P249" s="17">
        <v>1014.1</v>
      </c>
      <c r="Q249" s="17">
        <v>-15.8</v>
      </c>
      <c r="R249" s="17">
        <v>-124.9</v>
      </c>
      <c r="S249" s="17">
        <v>218.7</v>
      </c>
      <c r="T249" s="17">
        <v>350.7</v>
      </c>
      <c r="U249" s="17">
        <v>680.5</v>
      </c>
    </row>
    <row r="250" spans="1:21" x14ac:dyDescent="0.2">
      <c r="B250" t="s">
        <v>49</v>
      </c>
      <c r="C250" s="22"/>
      <c r="D250" s="22"/>
      <c r="E250" s="22"/>
      <c r="F250" s="22"/>
      <c r="G250" s="22"/>
      <c r="H250" s="22"/>
      <c r="I250" s="22"/>
      <c r="J250" s="22"/>
      <c r="K250" s="22" t="e">
        <f t="shared" ref="K250:U250" si="460">K249/G249-1</f>
        <v>#DIV/0!</v>
      </c>
      <c r="L250" s="22" t="e">
        <f t="shared" si="460"/>
        <v>#DIV/0!</v>
      </c>
      <c r="M250" s="22" t="e">
        <f t="shared" si="460"/>
        <v>#DIV/0!</v>
      </c>
      <c r="N250" s="22" t="e">
        <f t="shared" si="460"/>
        <v>#DIV/0!</v>
      </c>
      <c r="O250" s="22">
        <f t="shared" si="460"/>
        <v>0.40107808857808869</v>
      </c>
      <c r="P250" s="22">
        <f t="shared" si="460"/>
        <v>0.57640292243121416</v>
      </c>
      <c r="Q250" s="22">
        <f t="shared" si="460"/>
        <v>-1.0135937365568271</v>
      </c>
      <c r="R250" s="22">
        <f t="shared" si="460"/>
        <v>-1.119739238807401</v>
      </c>
      <c r="S250" s="22">
        <f t="shared" si="460"/>
        <v>-0.77259020484558594</v>
      </c>
      <c r="T250" s="22">
        <f t="shared" si="460"/>
        <v>-0.65417611675377185</v>
      </c>
      <c r="U250" s="22">
        <f t="shared" si="460"/>
        <v>-44.069620253164558</v>
      </c>
    </row>
    <row r="251" spans="1:21" x14ac:dyDescent="0.2">
      <c r="B251" t="s">
        <v>52</v>
      </c>
      <c r="C251" s="22"/>
      <c r="D251" s="22"/>
      <c r="E251" s="22"/>
      <c r="F251" s="22"/>
      <c r="G251" s="22"/>
      <c r="H251" s="22"/>
      <c r="I251" s="22"/>
      <c r="J251" s="22"/>
      <c r="K251" s="22"/>
      <c r="L251" s="22">
        <f t="shared" ref="L251:U251" si="461">L249/K249-1</f>
        <v>-6.2791375291375351E-2</v>
      </c>
      <c r="M251" s="22">
        <f t="shared" si="461"/>
        <v>0.80677755324110056</v>
      </c>
      <c r="N251" s="22">
        <f t="shared" si="461"/>
        <v>-0.10255527832745426</v>
      </c>
      <c r="O251" s="22">
        <f t="shared" si="461"/>
        <v>-7.8036621608666312E-2</v>
      </c>
      <c r="P251" s="22">
        <f t="shared" si="461"/>
        <v>5.4486846209836681E-2</v>
      </c>
      <c r="Q251" s="22">
        <f t="shared" si="461"/>
        <v>-1.0155803175229268</v>
      </c>
      <c r="R251" s="22">
        <f t="shared" si="461"/>
        <v>6.9050632911392409</v>
      </c>
      <c r="S251" s="22">
        <f t="shared" si="461"/>
        <v>-2.7510008006405124</v>
      </c>
      <c r="T251" s="22">
        <f t="shared" si="461"/>
        <v>0.60356652949245548</v>
      </c>
      <c r="U251" s="22">
        <f t="shared" si="461"/>
        <v>0.94040490447676084</v>
      </c>
    </row>
    <row r="252" spans="1:21" x14ac:dyDescent="0.2">
      <c r="B252" s="17" t="s">
        <v>50</v>
      </c>
      <c r="C252" s="17"/>
      <c r="D252" s="17"/>
      <c r="E252" s="17"/>
      <c r="F252" s="17"/>
      <c r="G252" s="23"/>
      <c r="H252" s="23"/>
      <c r="I252" s="23"/>
      <c r="J252" s="23"/>
      <c r="K252" s="23" t="e">
        <f t="shared" ref="K252:U252" si="462">AVERAGE(H249:K249)/AVERAGE(G249:J249)-1</f>
        <v>#DIV/0!</v>
      </c>
      <c r="L252" s="23">
        <f t="shared" si="462"/>
        <v>-3.1395687645687786E-2</v>
      </c>
      <c r="M252" s="23">
        <f t="shared" si="462"/>
        <v>0.24940462761023796</v>
      </c>
      <c r="N252" s="23">
        <f t="shared" si="462"/>
        <v>6.3934590690208681E-2</v>
      </c>
      <c r="O252" s="23">
        <f t="shared" si="462"/>
        <v>7.7876156261491802E-2</v>
      </c>
      <c r="P252" s="23">
        <f t="shared" si="462"/>
        <v>9.7312618097837644E-2</v>
      </c>
      <c r="Q252" s="23">
        <f t="shared" si="462"/>
        <v>-0.28176121687553812</v>
      </c>
      <c r="R252" s="23">
        <f t="shared" si="462"/>
        <v>-0.38893143751456827</v>
      </c>
      <c r="S252" s="23">
        <f t="shared" si="462"/>
        <v>-0.40488256770748188</v>
      </c>
      <c r="T252" s="23">
        <f t="shared" si="462"/>
        <v>-0.60745352989652979</v>
      </c>
      <c r="U252" s="23">
        <f t="shared" si="462"/>
        <v>1.6242127361791465</v>
      </c>
    </row>
    <row r="253" spans="1:21" ht="13.5" thickBot="1" x14ac:dyDescent="0.25">
      <c r="C253" s="22"/>
      <c r="D253" s="22"/>
      <c r="E253" s="22"/>
      <c r="F253" s="22"/>
      <c r="G253" s="22"/>
      <c r="H253" s="22"/>
      <c r="I253" s="22"/>
      <c r="J253" s="22"/>
      <c r="K253" s="22"/>
      <c r="L253" s="22"/>
      <c r="M253" s="22"/>
      <c r="N253" s="22"/>
      <c r="O253" s="22"/>
      <c r="P253" s="22"/>
      <c r="Q253" s="22"/>
      <c r="R253" s="22"/>
      <c r="S253" s="22"/>
      <c r="T253" s="22"/>
      <c r="U253" s="22"/>
    </row>
    <row r="254" spans="1:21" ht="13.5" thickBot="1" x14ac:dyDescent="0.25">
      <c r="A254" s="24" t="s">
        <v>0</v>
      </c>
      <c r="B254" s="25" t="s">
        <v>182</v>
      </c>
      <c r="C254" s="24" t="s">
        <v>30</v>
      </c>
      <c r="D254" s="24" t="s">
        <v>31</v>
      </c>
      <c r="E254" s="24" t="s">
        <v>32</v>
      </c>
      <c r="F254" s="24" t="s">
        <v>33</v>
      </c>
      <c r="G254" s="24" t="s">
        <v>34</v>
      </c>
      <c r="H254" s="24" t="s">
        <v>35</v>
      </c>
      <c r="I254" s="24" t="s">
        <v>36</v>
      </c>
      <c r="J254" s="24" t="s">
        <v>37</v>
      </c>
      <c r="K254" s="24" t="s">
        <v>38</v>
      </c>
      <c r="L254" s="24" t="s">
        <v>39</v>
      </c>
      <c r="M254" s="24" t="s">
        <v>40</v>
      </c>
      <c r="N254" s="24" t="s">
        <v>41</v>
      </c>
      <c r="O254" s="24" t="s">
        <v>42</v>
      </c>
      <c r="P254" s="24" t="s">
        <v>43</v>
      </c>
      <c r="Q254" s="24" t="s">
        <v>44</v>
      </c>
      <c r="R254" s="24" t="s">
        <v>45</v>
      </c>
      <c r="S254" s="24" t="s">
        <v>46</v>
      </c>
      <c r="T254" s="24" t="s">
        <v>47</v>
      </c>
      <c r="U254" s="24" t="s">
        <v>19</v>
      </c>
    </row>
    <row r="255" spans="1:21" x14ac:dyDescent="0.2">
      <c r="A255" s="17"/>
      <c r="B255" s="17" t="s">
        <v>51</v>
      </c>
      <c r="C255" s="17"/>
      <c r="D255" s="17"/>
      <c r="E255" s="17"/>
      <c r="F255" s="17"/>
      <c r="G255" s="17"/>
      <c r="H255" s="17"/>
      <c r="I255" s="17"/>
      <c r="J255" s="17"/>
      <c r="K255" s="17"/>
      <c r="L255" s="17"/>
      <c r="M255" s="17"/>
      <c r="N255" s="17"/>
      <c r="O255" s="17"/>
      <c r="P255" s="17"/>
      <c r="Q255" s="17"/>
      <c r="R255" s="17"/>
      <c r="S255" s="17"/>
      <c r="T255" s="17"/>
      <c r="U255" s="17"/>
    </row>
    <row r="256" spans="1:21" x14ac:dyDescent="0.2">
      <c r="B256" t="s">
        <v>49</v>
      </c>
      <c r="C256" s="22"/>
      <c r="D256" s="22"/>
      <c r="E256" s="22"/>
      <c r="F256" s="22"/>
      <c r="G256" s="22"/>
      <c r="H256" s="22"/>
      <c r="I256" s="22"/>
      <c r="J256" s="22"/>
      <c r="K256" s="22" t="e">
        <f t="shared" ref="K256:U256" si="463">K255/G255-1</f>
        <v>#DIV/0!</v>
      </c>
      <c r="L256" s="22" t="e">
        <f t="shared" si="463"/>
        <v>#DIV/0!</v>
      </c>
      <c r="M256" s="22" t="e">
        <f t="shared" si="463"/>
        <v>#DIV/0!</v>
      </c>
      <c r="N256" s="22" t="e">
        <f t="shared" si="463"/>
        <v>#DIV/0!</v>
      </c>
      <c r="O256" s="22" t="e">
        <f t="shared" si="463"/>
        <v>#DIV/0!</v>
      </c>
      <c r="P256" s="22" t="e">
        <f t="shared" si="463"/>
        <v>#DIV/0!</v>
      </c>
      <c r="Q256" s="22" t="e">
        <f t="shared" si="463"/>
        <v>#DIV/0!</v>
      </c>
      <c r="R256" s="22" t="e">
        <f t="shared" si="463"/>
        <v>#DIV/0!</v>
      </c>
      <c r="S256" s="22" t="e">
        <f t="shared" si="463"/>
        <v>#DIV/0!</v>
      </c>
      <c r="T256" s="22" t="e">
        <f t="shared" si="463"/>
        <v>#DIV/0!</v>
      </c>
      <c r="U256" s="22" t="e">
        <f t="shared" si="463"/>
        <v>#DIV/0!</v>
      </c>
    </row>
    <row r="257" spans="1:21" x14ac:dyDescent="0.2">
      <c r="B257" t="s">
        <v>52</v>
      </c>
      <c r="C257" s="22"/>
      <c r="D257" s="22"/>
      <c r="E257" s="22"/>
      <c r="F257" s="22"/>
      <c r="G257" s="22"/>
      <c r="H257" s="22"/>
      <c r="I257" s="22"/>
      <c r="J257" s="22"/>
      <c r="K257" s="22"/>
      <c r="L257" s="22" t="e">
        <f t="shared" ref="L257:U257" si="464">L255/K255-1</f>
        <v>#DIV/0!</v>
      </c>
      <c r="M257" s="22" t="e">
        <f t="shared" si="464"/>
        <v>#DIV/0!</v>
      </c>
      <c r="N257" s="22" t="e">
        <f t="shared" si="464"/>
        <v>#DIV/0!</v>
      </c>
      <c r="O257" s="22" t="e">
        <f t="shared" si="464"/>
        <v>#DIV/0!</v>
      </c>
      <c r="P257" s="22" t="e">
        <f t="shared" si="464"/>
        <v>#DIV/0!</v>
      </c>
      <c r="Q257" s="22" t="e">
        <f t="shared" si="464"/>
        <v>#DIV/0!</v>
      </c>
      <c r="R257" s="22" t="e">
        <f t="shared" si="464"/>
        <v>#DIV/0!</v>
      </c>
      <c r="S257" s="22" t="e">
        <f t="shared" si="464"/>
        <v>#DIV/0!</v>
      </c>
      <c r="T257" s="22" t="e">
        <f t="shared" si="464"/>
        <v>#DIV/0!</v>
      </c>
      <c r="U257" s="22" t="e">
        <f t="shared" si="464"/>
        <v>#DIV/0!</v>
      </c>
    </row>
    <row r="258" spans="1:21" x14ac:dyDescent="0.2">
      <c r="A258" s="17"/>
      <c r="B258" s="17" t="s">
        <v>48</v>
      </c>
      <c r="C258" s="17"/>
      <c r="D258" s="17"/>
      <c r="E258" s="17"/>
      <c r="F258" s="17"/>
      <c r="G258" s="17"/>
      <c r="H258" s="17"/>
      <c r="I258" s="17"/>
      <c r="J258" s="17"/>
      <c r="K258" s="17">
        <v>-13.6</v>
      </c>
      <c r="L258" s="17">
        <v>-4.4000000000000004</v>
      </c>
      <c r="M258" s="17">
        <v>-10.8</v>
      </c>
      <c r="N258" s="17">
        <v>13.4</v>
      </c>
      <c r="O258" s="17">
        <v>-4.9000000000000004</v>
      </c>
      <c r="P258" s="17">
        <v>1.1000000000000001</v>
      </c>
      <c r="Q258" s="17">
        <v>-1.6</v>
      </c>
      <c r="R258" s="17">
        <v>29</v>
      </c>
      <c r="S258" s="17">
        <v>8.6999999999999993</v>
      </c>
      <c r="T258" s="17">
        <v>9.9</v>
      </c>
      <c r="U258" s="17">
        <v>7.4</v>
      </c>
    </row>
    <row r="259" spans="1:21" x14ac:dyDescent="0.2">
      <c r="B259" t="s">
        <v>49</v>
      </c>
      <c r="C259" s="22"/>
      <c r="D259" s="22"/>
      <c r="E259" s="22"/>
      <c r="F259" s="22"/>
      <c r="G259" s="22"/>
      <c r="H259" s="22"/>
      <c r="I259" s="22"/>
      <c r="J259" s="22"/>
      <c r="K259" s="22" t="e">
        <f t="shared" ref="K259:U259" si="465">K258/G258-1</f>
        <v>#DIV/0!</v>
      </c>
      <c r="L259" s="22" t="e">
        <f t="shared" si="465"/>
        <v>#DIV/0!</v>
      </c>
      <c r="M259" s="22" t="e">
        <f t="shared" si="465"/>
        <v>#DIV/0!</v>
      </c>
      <c r="N259" s="22" t="e">
        <f t="shared" si="465"/>
        <v>#DIV/0!</v>
      </c>
      <c r="O259" s="22">
        <f t="shared" si="465"/>
        <v>-0.63970588235294112</v>
      </c>
      <c r="P259" s="22">
        <f t="shared" si="465"/>
        <v>-1.25</v>
      </c>
      <c r="Q259" s="22">
        <f t="shared" si="465"/>
        <v>-0.85185185185185186</v>
      </c>
      <c r="R259" s="22">
        <f t="shared" si="465"/>
        <v>1.1641791044776117</v>
      </c>
      <c r="S259" s="22">
        <f t="shared" si="465"/>
        <v>-2.7755102040816322</v>
      </c>
      <c r="T259" s="22">
        <f t="shared" si="465"/>
        <v>8</v>
      </c>
      <c r="U259" s="22">
        <f t="shared" si="465"/>
        <v>-5.625</v>
      </c>
    </row>
    <row r="260" spans="1:21" x14ac:dyDescent="0.2">
      <c r="B260" t="s">
        <v>52</v>
      </c>
      <c r="C260" s="22"/>
      <c r="D260" s="22"/>
      <c r="E260" s="22"/>
      <c r="F260" s="22"/>
      <c r="G260" s="22"/>
      <c r="H260" s="22"/>
      <c r="I260" s="22"/>
      <c r="J260" s="22"/>
      <c r="K260" s="22"/>
      <c r="L260" s="22">
        <f t="shared" ref="L260:U260" si="466">L258/K258-1</f>
        <v>-0.67647058823529416</v>
      </c>
      <c r="M260" s="22">
        <f t="shared" si="466"/>
        <v>1.4545454545454546</v>
      </c>
      <c r="N260" s="22">
        <f t="shared" si="466"/>
        <v>-2.2407407407407405</v>
      </c>
      <c r="O260" s="22">
        <f t="shared" si="466"/>
        <v>-1.3656716417910448</v>
      </c>
      <c r="P260" s="22">
        <f t="shared" si="466"/>
        <v>-1.2244897959183674</v>
      </c>
      <c r="Q260" s="22">
        <f t="shared" si="466"/>
        <v>-2.4545454545454546</v>
      </c>
      <c r="R260" s="22">
        <f t="shared" si="466"/>
        <v>-19.125</v>
      </c>
      <c r="S260" s="22">
        <f t="shared" si="466"/>
        <v>-0.7</v>
      </c>
      <c r="T260" s="22">
        <f t="shared" si="466"/>
        <v>0.13793103448275867</v>
      </c>
      <c r="U260" s="22">
        <f t="shared" si="466"/>
        <v>-0.25252525252525249</v>
      </c>
    </row>
    <row r="261" spans="1:21" x14ac:dyDescent="0.2">
      <c r="B261" s="17" t="s">
        <v>50</v>
      </c>
      <c r="C261" s="17"/>
      <c r="D261" s="17"/>
      <c r="E261" s="17"/>
      <c r="F261" s="17"/>
      <c r="G261" s="23"/>
      <c r="H261" s="23"/>
      <c r="I261" s="23"/>
      <c r="J261" s="23"/>
      <c r="K261" s="23" t="e">
        <f t="shared" ref="K261:U261" si="467">AVERAGE(H258:K258)/AVERAGE(G258:J258)-1</f>
        <v>#DIV/0!</v>
      </c>
      <c r="L261" s="23">
        <f t="shared" si="467"/>
        <v>-0.33823529411764708</v>
      </c>
      <c r="M261" s="23">
        <f t="shared" si="467"/>
        <v>6.6666666666666652E-2</v>
      </c>
      <c r="N261" s="23">
        <f t="shared" si="467"/>
        <v>-0.59895833333333326</v>
      </c>
      <c r="O261" s="23">
        <f t="shared" si="467"/>
        <v>-0.56493506493506485</v>
      </c>
      <c r="P261" s="23">
        <f t="shared" si="467"/>
        <v>-0.82089552238805963</v>
      </c>
      <c r="Q261" s="23">
        <f t="shared" si="467"/>
        <v>-7.6666666666666634</v>
      </c>
      <c r="R261" s="23">
        <f t="shared" si="467"/>
        <v>1.9500000000000002</v>
      </c>
      <c r="S261" s="23">
        <f t="shared" si="467"/>
        <v>0.57627118644067798</v>
      </c>
      <c r="T261" s="23">
        <f t="shared" si="467"/>
        <v>0.23655913978494603</v>
      </c>
      <c r="U261" s="23">
        <f t="shared" si="467"/>
        <v>0.19565217391304368</v>
      </c>
    </row>
    <row r="262" spans="1:21" ht="13.5" thickBot="1" x14ac:dyDescent="0.25">
      <c r="C262" s="22"/>
      <c r="D262" s="22"/>
      <c r="E262" s="22"/>
      <c r="F262" s="22"/>
      <c r="G262" s="22"/>
      <c r="H262" s="22"/>
      <c r="I262" s="22"/>
      <c r="J262" s="22"/>
      <c r="K262" s="22"/>
      <c r="L262" s="22"/>
      <c r="M262" s="22"/>
      <c r="N262" s="22"/>
      <c r="O262" s="22"/>
      <c r="P262" s="22"/>
      <c r="Q262" s="22"/>
      <c r="R262" s="22"/>
      <c r="S262" s="22"/>
      <c r="T262" s="22"/>
      <c r="U262" s="22"/>
    </row>
    <row r="263" spans="1:21" ht="13.5" thickBot="1" x14ac:dyDescent="0.25">
      <c r="A263" s="24" t="s">
        <v>0</v>
      </c>
      <c r="B263" s="25" t="s">
        <v>178</v>
      </c>
      <c r="C263" s="24" t="s">
        <v>30</v>
      </c>
      <c r="D263" s="24" t="s">
        <v>31</v>
      </c>
      <c r="E263" s="24" t="s">
        <v>32</v>
      </c>
      <c r="F263" s="24" t="s">
        <v>33</v>
      </c>
      <c r="G263" s="24" t="s">
        <v>34</v>
      </c>
      <c r="H263" s="24" t="s">
        <v>35</v>
      </c>
      <c r="I263" s="24" t="s">
        <v>36</v>
      </c>
      <c r="J263" s="24" t="s">
        <v>37</v>
      </c>
      <c r="K263" s="24" t="s">
        <v>38</v>
      </c>
      <c r="L263" s="24" t="s">
        <v>39</v>
      </c>
      <c r="M263" s="24" t="s">
        <v>40</v>
      </c>
      <c r="N263" s="24" t="s">
        <v>41</v>
      </c>
      <c r="O263" s="24" t="s">
        <v>42</v>
      </c>
      <c r="P263" s="24" t="s">
        <v>43</v>
      </c>
      <c r="Q263" s="24" t="s">
        <v>44</v>
      </c>
      <c r="R263" s="24" t="s">
        <v>45</v>
      </c>
      <c r="S263" s="24" t="s">
        <v>46</v>
      </c>
      <c r="T263" s="24" t="s">
        <v>47</v>
      </c>
      <c r="U263" s="24" t="s">
        <v>19</v>
      </c>
    </row>
    <row r="264" spans="1:21" x14ac:dyDescent="0.2">
      <c r="A264" s="17"/>
      <c r="B264" s="17" t="s">
        <v>51</v>
      </c>
      <c r="C264" s="17"/>
      <c r="D264" s="17"/>
      <c r="E264" s="17"/>
      <c r="F264" s="17"/>
      <c r="G264" s="17"/>
      <c r="H264" s="17"/>
      <c r="I264" s="17"/>
      <c r="J264" s="17"/>
      <c r="K264" s="17"/>
      <c r="L264" s="17"/>
      <c r="M264" s="17"/>
      <c r="N264" s="17"/>
      <c r="O264" s="17"/>
      <c r="P264" s="17"/>
      <c r="Q264" s="17"/>
      <c r="R264" s="17"/>
      <c r="S264" s="17"/>
      <c r="T264" s="17"/>
      <c r="U264" s="17"/>
    </row>
    <row r="265" spans="1:21" x14ac:dyDescent="0.2">
      <c r="B265" t="s">
        <v>49</v>
      </c>
      <c r="C265" s="22"/>
      <c r="D265" s="22"/>
      <c r="E265" s="22"/>
      <c r="F265" s="22"/>
      <c r="G265" s="22"/>
      <c r="H265" s="22"/>
      <c r="I265" s="22"/>
      <c r="J265" s="22"/>
      <c r="K265" s="22" t="e">
        <f t="shared" ref="K265:U265" si="468">K264/G264-1</f>
        <v>#DIV/0!</v>
      </c>
      <c r="L265" s="22" t="e">
        <f t="shared" si="468"/>
        <v>#DIV/0!</v>
      </c>
      <c r="M265" s="22" t="e">
        <f t="shared" si="468"/>
        <v>#DIV/0!</v>
      </c>
      <c r="N265" s="22" t="e">
        <f t="shared" si="468"/>
        <v>#DIV/0!</v>
      </c>
      <c r="O265" s="22" t="e">
        <f t="shared" si="468"/>
        <v>#DIV/0!</v>
      </c>
      <c r="P265" s="22" t="e">
        <f t="shared" si="468"/>
        <v>#DIV/0!</v>
      </c>
      <c r="Q265" s="22" t="e">
        <f t="shared" si="468"/>
        <v>#DIV/0!</v>
      </c>
      <c r="R265" s="22" t="e">
        <f t="shared" si="468"/>
        <v>#DIV/0!</v>
      </c>
      <c r="S265" s="22" t="e">
        <f t="shared" si="468"/>
        <v>#DIV/0!</v>
      </c>
      <c r="T265" s="22" t="e">
        <f t="shared" si="468"/>
        <v>#DIV/0!</v>
      </c>
      <c r="U265" s="22" t="e">
        <f t="shared" si="468"/>
        <v>#DIV/0!</v>
      </c>
    </row>
    <row r="266" spans="1:21" x14ac:dyDescent="0.2">
      <c r="B266" t="s">
        <v>52</v>
      </c>
      <c r="C266" s="22"/>
      <c r="D266" s="22"/>
      <c r="E266" s="22"/>
      <c r="F266" s="22"/>
      <c r="G266" s="22"/>
      <c r="H266" s="22"/>
      <c r="I266" s="22"/>
      <c r="J266" s="22"/>
      <c r="K266" s="22"/>
      <c r="L266" s="22" t="e">
        <f t="shared" ref="L266:U266" si="469">L264/K264-1</f>
        <v>#DIV/0!</v>
      </c>
      <c r="M266" s="22" t="e">
        <f t="shared" si="469"/>
        <v>#DIV/0!</v>
      </c>
      <c r="N266" s="22" t="e">
        <f t="shared" si="469"/>
        <v>#DIV/0!</v>
      </c>
      <c r="O266" s="22" t="e">
        <f t="shared" si="469"/>
        <v>#DIV/0!</v>
      </c>
      <c r="P266" s="22" t="e">
        <f t="shared" si="469"/>
        <v>#DIV/0!</v>
      </c>
      <c r="Q266" s="22" t="e">
        <f t="shared" si="469"/>
        <v>#DIV/0!</v>
      </c>
      <c r="R266" s="22" t="e">
        <f t="shared" si="469"/>
        <v>#DIV/0!</v>
      </c>
      <c r="S266" s="22" t="e">
        <f t="shared" si="469"/>
        <v>#DIV/0!</v>
      </c>
      <c r="T266" s="22" t="e">
        <f t="shared" si="469"/>
        <v>#DIV/0!</v>
      </c>
      <c r="U266" s="22" t="e">
        <f t="shared" si="469"/>
        <v>#DIV/0!</v>
      </c>
    </row>
    <row r="267" spans="1:21" x14ac:dyDescent="0.2">
      <c r="A267" s="17"/>
      <c r="B267" s="17" t="s">
        <v>48</v>
      </c>
      <c r="C267" s="17"/>
      <c r="D267" s="17"/>
      <c r="E267" s="17"/>
      <c r="F267" s="17"/>
      <c r="G267" s="17"/>
      <c r="H267" s="17"/>
      <c r="I267" s="17"/>
      <c r="J267" s="17"/>
      <c r="K267" s="17">
        <v>46.2</v>
      </c>
      <c r="L267" s="17">
        <v>63.5</v>
      </c>
      <c r="M267" s="17">
        <v>67.2</v>
      </c>
      <c r="N267" s="17">
        <v>67.8</v>
      </c>
      <c r="O267" s="17">
        <v>78.7</v>
      </c>
      <c r="P267" s="17">
        <v>74.900000000000006</v>
      </c>
      <c r="Q267" s="17">
        <v>83.8</v>
      </c>
      <c r="R267" s="17">
        <v>105.5</v>
      </c>
      <c r="S267" s="17">
        <v>121.7</v>
      </c>
      <c r="T267" s="17">
        <v>120.6</v>
      </c>
      <c r="U267" s="17">
        <v>140.69999999999999</v>
      </c>
    </row>
    <row r="268" spans="1:21" x14ac:dyDescent="0.2">
      <c r="B268" t="s">
        <v>49</v>
      </c>
      <c r="C268" s="22"/>
      <c r="D268" s="22"/>
      <c r="E268" s="22"/>
      <c r="F268" s="22"/>
      <c r="G268" s="22"/>
      <c r="H268" s="22"/>
      <c r="I268" s="22"/>
      <c r="J268" s="22"/>
      <c r="K268" s="22" t="e">
        <f t="shared" ref="K268:U268" si="470">K267/G267-1</f>
        <v>#DIV/0!</v>
      </c>
      <c r="L268" s="22" t="e">
        <f t="shared" si="470"/>
        <v>#DIV/0!</v>
      </c>
      <c r="M268" s="22" t="e">
        <f t="shared" si="470"/>
        <v>#DIV/0!</v>
      </c>
      <c r="N268" s="22" t="e">
        <f t="shared" si="470"/>
        <v>#DIV/0!</v>
      </c>
      <c r="O268" s="22">
        <f t="shared" si="470"/>
        <v>0.70346320346320335</v>
      </c>
      <c r="P268" s="22">
        <f t="shared" si="470"/>
        <v>0.17952755905511819</v>
      </c>
      <c r="Q268" s="22">
        <f t="shared" si="470"/>
        <v>0.24702380952380953</v>
      </c>
      <c r="R268" s="22">
        <f t="shared" si="470"/>
        <v>0.55604719764011801</v>
      </c>
      <c r="S268" s="22">
        <f t="shared" si="470"/>
        <v>0.54637865311308764</v>
      </c>
      <c r="T268" s="22">
        <f t="shared" si="470"/>
        <v>0.61014686248331085</v>
      </c>
      <c r="U268" s="22">
        <f t="shared" si="470"/>
        <v>0.67899761336515496</v>
      </c>
    </row>
    <row r="269" spans="1:21" x14ac:dyDescent="0.2">
      <c r="B269" t="s">
        <v>52</v>
      </c>
      <c r="C269" s="22"/>
      <c r="D269" s="22"/>
      <c r="E269" s="22"/>
      <c r="F269" s="22"/>
      <c r="G269" s="22"/>
      <c r="H269" s="22"/>
      <c r="I269" s="22"/>
      <c r="J269" s="22"/>
      <c r="K269" s="22"/>
      <c r="L269" s="22">
        <f t="shared" ref="L269:U269" si="471">L267/K267-1</f>
        <v>0.37445887445887438</v>
      </c>
      <c r="M269" s="22">
        <f t="shared" si="471"/>
        <v>5.8267716535433056E-2</v>
      </c>
      <c r="N269" s="22">
        <f t="shared" si="471"/>
        <v>8.9285714285713969E-3</v>
      </c>
      <c r="O269" s="22">
        <f t="shared" si="471"/>
        <v>0.16076696165191739</v>
      </c>
      <c r="P269" s="22">
        <f t="shared" si="471"/>
        <v>-4.8284625158830918E-2</v>
      </c>
      <c r="Q269" s="22">
        <f t="shared" si="471"/>
        <v>0.11882510013351122</v>
      </c>
      <c r="R269" s="22">
        <f t="shared" si="471"/>
        <v>0.25894988066825775</v>
      </c>
      <c r="S269" s="22">
        <f t="shared" si="471"/>
        <v>0.15355450236966828</v>
      </c>
      <c r="T269" s="22">
        <f t="shared" si="471"/>
        <v>-9.0386195562860427E-3</v>
      </c>
      <c r="U269" s="22">
        <f t="shared" si="471"/>
        <v>0.16666666666666652</v>
      </c>
    </row>
    <row r="270" spans="1:21" x14ac:dyDescent="0.2">
      <c r="B270" s="17" t="s">
        <v>50</v>
      </c>
      <c r="C270" s="17"/>
      <c r="D270" s="17"/>
      <c r="E270" s="17"/>
      <c r="F270" s="17"/>
      <c r="G270" s="23"/>
      <c r="H270" s="23"/>
      <c r="I270" s="23"/>
      <c r="J270" s="23"/>
      <c r="K270" s="23" t="e">
        <f t="shared" ref="K270:U270" si="472">AVERAGE(H267:K267)/AVERAGE(G267:J267)-1</f>
        <v>#DIV/0!</v>
      </c>
      <c r="L270" s="23">
        <f t="shared" si="472"/>
        <v>0.18722943722943719</v>
      </c>
      <c r="M270" s="23">
        <f t="shared" si="472"/>
        <v>7.5053175326648347E-2</v>
      </c>
      <c r="N270" s="23">
        <f t="shared" si="472"/>
        <v>3.7450537026568531E-2</v>
      </c>
      <c r="O270" s="23">
        <f t="shared" si="472"/>
        <v>0.13281569268492022</v>
      </c>
      <c r="P270" s="23">
        <f t="shared" si="472"/>
        <v>4.1125541125541343E-2</v>
      </c>
      <c r="Q270" s="23">
        <f t="shared" si="472"/>
        <v>5.7519057519057393E-2</v>
      </c>
      <c r="R270" s="23">
        <f t="shared" si="472"/>
        <v>0.12352555701179568</v>
      </c>
      <c r="S270" s="23">
        <f t="shared" si="472"/>
        <v>0.12540099154272366</v>
      </c>
      <c r="T270" s="23">
        <f t="shared" si="472"/>
        <v>0.11842446229593162</v>
      </c>
      <c r="U270" s="23">
        <f t="shared" si="472"/>
        <v>0.13183503243744199</v>
      </c>
    </row>
    <row r="271" spans="1:21" ht="13.5" thickBot="1" x14ac:dyDescent="0.25"/>
    <row r="272" spans="1:21" ht="13.5" thickBot="1" x14ac:dyDescent="0.25">
      <c r="A272" s="24" t="s">
        <v>0</v>
      </c>
      <c r="B272" s="25" t="s">
        <v>206</v>
      </c>
      <c r="C272" s="24" t="s">
        <v>30</v>
      </c>
      <c r="D272" s="24" t="s">
        <v>31</v>
      </c>
      <c r="E272" s="24" t="s">
        <v>32</v>
      </c>
      <c r="F272" s="24" t="s">
        <v>33</v>
      </c>
      <c r="G272" s="24" t="s">
        <v>34</v>
      </c>
      <c r="H272" s="24" t="s">
        <v>35</v>
      </c>
      <c r="I272" s="24" t="s">
        <v>36</v>
      </c>
      <c r="J272" s="24" t="s">
        <v>37</v>
      </c>
      <c r="K272" s="24" t="s">
        <v>38</v>
      </c>
      <c r="L272" s="24" t="s">
        <v>39</v>
      </c>
      <c r="M272" s="24" t="s">
        <v>40</v>
      </c>
      <c r="N272" s="24" t="s">
        <v>41</v>
      </c>
      <c r="O272" s="24" t="s">
        <v>42</v>
      </c>
      <c r="P272" s="24" t="s">
        <v>43</v>
      </c>
      <c r="Q272" s="24" t="s">
        <v>44</v>
      </c>
      <c r="R272" s="24" t="s">
        <v>45</v>
      </c>
      <c r="S272" s="24" t="s">
        <v>46</v>
      </c>
      <c r="T272" s="24" t="s">
        <v>47</v>
      </c>
      <c r="U272" s="24" t="s">
        <v>19</v>
      </c>
    </row>
    <row r="273" spans="1:21" x14ac:dyDescent="0.2">
      <c r="A273" s="17"/>
      <c r="B273" s="17" t="s">
        <v>51</v>
      </c>
      <c r="C273" s="17"/>
      <c r="D273" s="17"/>
      <c r="E273" s="17"/>
      <c r="F273" s="17"/>
      <c r="G273" s="17"/>
      <c r="H273" s="17"/>
      <c r="I273" s="17"/>
      <c r="J273" s="17"/>
      <c r="K273" s="17"/>
      <c r="L273" s="17"/>
      <c r="M273" s="17"/>
      <c r="N273" s="17"/>
      <c r="O273" s="17"/>
      <c r="P273" s="17"/>
      <c r="Q273" s="17"/>
      <c r="R273" s="17"/>
      <c r="S273" s="17"/>
      <c r="T273" s="17"/>
      <c r="U273" s="17"/>
    </row>
    <row r="274" spans="1:21" x14ac:dyDescent="0.2">
      <c r="B274" t="s">
        <v>49</v>
      </c>
      <c r="C274" s="22"/>
      <c r="D274" s="22"/>
      <c r="E274" s="22"/>
      <c r="F274" s="22"/>
      <c r="G274" s="22"/>
      <c r="H274" s="22"/>
      <c r="I274" s="22"/>
      <c r="J274" s="22"/>
      <c r="K274" s="22" t="e">
        <f t="shared" ref="K274:U274" si="473">K273/G273-1</f>
        <v>#DIV/0!</v>
      </c>
      <c r="L274" s="22" t="e">
        <f t="shared" si="473"/>
        <v>#DIV/0!</v>
      </c>
      <c r="M274" s="22" t="e">
        <f t="shared" si="473"/>
        <v>#DIV/0!</v>
      </c>
      <c r="N274" s="22" t="e">
        <f t="shared" si="473"/>
        <v>#DIV/0!</v>
      </c>
      <c r="O274" s="22" t="e">
        <f t="shared" si="473"/>
        <v>#DIV/0!</v>
      </c>
      <c r="P274" s="22" t="e">
        <f t="shared" si="473"/>
        <v>#DIV/0!</v>
      </c>
      <c r="Q274" s="22" t="e">
        <f t="shared" si="473"/>
        <v>#DIV/0!</v>
      </c>
      <c r="R274" s="22" t="e">
        <f t="shared" si="473"/>
        <v>#DIV/0!</v>
      </c>
      <c r="S274" s="22" t="e">
        <f t="shared" si="473"/>
        <v>#DIV/0!</v>
      </c>
      <c r="T274" s="22" t="e">
        <f t="shared" si="473"/>
        <v>#DIV/0!</v>
      </c>
      <c r="U274" s="22" t="e">
        <f t="shared" si="473"/>
        <v>#DIV/0!</v>
      </c>
    </row>
    <row r="275" spans="1:21" x14ac:dyDescent="0.2">
      <c r="B275" t="s">
        <v>52</v>
      </c>
      <c r="C275" s="22"/>
      <c r="D275" s="22"/>
      <c r="E275" s="22"/>
      <c r="F275" s="22"/>
      <c r="G275" s="22"/>
      <c r="H275" s="22"/>
      <c r="I275" s="22"/>
      <c r="J275" s="22"/>
      <c r="K275" s="22"/>
      <c r="L275" s="22" t="e">
        <f t="shared" ref="L275:U275" si="474">L273/K273-1</f>
        <v>#DIV/0!</v>
      </c>
      <c r="M275" s="22" t="e">
        <f t="shared" si="474"/>
        <v>#DIV/0!</v>
      </c>
      <c r="N275" s="22" t="e">
        <f t="shared" si="474"/>
        <v>#DIV/0!</v>
      </c>
      <c r="O275" s="22" t="e">
        <f t="shared" si="474"/>
        <v>#DIV/0!</v>
      </c>
      <c r="P275" s="22" t="e">
        <f t="shared" si="474"/>
        <v>#DIV/0!</v>
      </c>
      <c r="Q275" s="22" t="e">
        <f t="shared" si="474"/>
        <v>#DIV/0!</v>
      </c>
      <c r="R275" s="22" t="e">
        <f t="shared" si="474"/>
        <v>#DIV/0!</v>
      </c>
      <c r="S275" s="22" t="e">
        <f t="shared" si="474"/>
        <v>#DIV/0!</v>
      </c>
      <c r="T275" s="22" t="e">
        <f t="shared" si="474"/>
        <v>#DIV/0!</v>
      </c>
      <c r="U275" s="22" t="e">
        <f t="shared" si="474"/>
        <v>#DIV/0!</v>
      </c>
    </row>
    <row r="276" spans="1:21" x14ac:dyDescent="0.2">
      <c r="A276" s="17"/>
      <c r="B276" s="17" t="s">
        <v>48</v>
      </c>
      <c r="C276" s="17"/>
      <c r="D276" s="17"/>
      <c r="E276" s="17"/>
      <c r="F276" s="17"/>
      <c r="G276" s="17"/>
      <c r="H276" s="17"/>
      <c r="I276" s="17"/>
      <c r="J276" s="17"/>
      <c r="K276" s="17">
        <v>64.2</v>
      </c>
      <c r="L276" s="17">
        <v>59.3</v>
      </c>
      <c r="M276" s="17">
        <v>24.2</v>
      </c>
      <c r="N276" s="17">
        <v>62.4</v>
      </c>
      <c r="O276" s="17">
        <v>69.900000000000006</v>
      </c>
      <c r="P276" s="17">
        <v>73.099999999999994</v>
      </c>
      <c r="Q276" s="17">
        <v>56.4</v>
      </c>
      <c r="R276" s="17">
        <v>156</v>
      </c>
      <c r="S276" s="17">
        <v>156.9</v>
      </c>
      <c r="T276" s="17">
        <v>142.69999999999999</v>
      </c>
      <c r="U276" s="17">
        <v>117.9</v>
      </c>
    </row>
    <row r="277" spans="1:21" x14ac:dyDescent="0.2">
      <c r="B277" t="s">
        <v>49</v>
      </c>
      <c r="C277" s="22"/>
      <c r="D277" s="22"/>
      <c r="E277" s="22"/>
      <c r="F277" s="22"/>
      <c r="G277" s="22"/>
      <c r="H277" s="22"/>
      <c r="I277" s="22"/>
      <c r="J277" s="22"/>
      <c r="K277" s="22" t="e">
        <f t="shared" ref="K277:U277" si="475">K276/G276-1</f>
        <v>#DIV/0!</v>
      </c>
      <c r="L277" s="22" t="e">
        <f t="shared" si="475"/>
        <v>#DIV/0!</v>
      </c>
      <c r="M277" s="22" t="e">
        <f t="shared" si="475"/>
        <v>#DIV/0!</v>
      </c>
      <c r="N277" s="22" t="e">
        <f t="shared" si="475"/>
        <v>#DIV/0!</v>
      </c>
      <c r="O277" s="22">
        <f t="shared" si="475"/>
        <v>8.8785046728971917E-2</v>
      </c>
      <c r="P277" s="22">
        <f t="shared" si="475"/>
        <v>0.23271500843170312</v>
      </c>
      <c r="Q277" s="22">
        <f t="shared" si="475"/>
        <v>1.3305785123966944</v>
      </c>
      <c r="R277" s="22">
        <f t="shared" si="475"/>
        <v>1.5</v>
      </c>
      <c r="S277" s="22">
        <f t="shared" si="475"/>
        <v>1.244635193133047</v>
      </c>
      <c r="T277" s="22">
        <f t="shared" si="475"/>
        <v>0.9521203830369358</v>
      </c>
      <c r="U277" s="22">
        <f t="shared" si="475"/>
        <v>1.0904255319148937</v>
      </c>
    </row>
    <row r="278" spans="1:21" x14ac:dyDescent="0.2">
      <c r="B278" t="s">
        <v>52</v>
      </c>
      <c r="C278" s="22"/>
      <c r="D278" s="22"/>
      <c r="E278" s="22"/>
      <c r="F278" s="22"/>
      <c r="G278" s="22"/>
      <c r="H278" s="22"/>
      <c r="I278" s="22"/>
      <c r="J278" s="22"/>
      <c r="K278" s="22"/>
      <c r="L278" s="22">
        <f t="shared" ref="L278:U278" si="476">L276/K276-1</f>
        <v>-7.6323987538940874E-2</v>
      </c>
      <c r="M278" s="22">
        <f t="shared" si="476"/>
        <v>-0.59190556492411472</v>
      </c>
      <c r="N278" s="22">
        <f t="shared" si="476"/>
        <v>1.5785123966942147</v>
      </c>
      <c r="O278" s="22">
        <f t="shared" si="476"/>
        <v>0.12019230769230771</v>
      </c>
      <c r="P278" s="22">
        <f t="shared" si="476"/>
        <v>4.5779685264663694E-2</v>
      </c>
      <c r="Q278" s="22">
        <f t="shared" si="476"/>
        <v>-0.22845417236662102</v>
      </c>
      <c r="R278" s="22">
        <f t="shared" si="476"/>
        <v>1.7659574468085109</v>
      </c>
      <c r="S278" s="22">
        <f t="shared" si="476"/>
        <v>5.7692307692307487E-3</v>
      </c>
      <c r="T278" s="22">
        <f t="shared" si="476"/>
        <v>-9.0503505417463437E-2</v>
      </c>
      <c r="U278" s="22">
        <f t="shared" si="476"/>
        <v>-0.17379117028731594</v>
      </c>
    </row>
    <row r="279" spans="1:21" x14ac:dyDescent="0.2">
      <c r="B279" s="17" t="s">
        <v>50</v>
      </c>
      <c r="C279" s="17"/>
      <c r="D279" s="17"/>
      <c r="E279" s="17"/>
      <c r="F279" s="17"/>
      <c r="G279" s="23"/>
      <c r="H279" s="23"/>
      <c r="I279" s="23"/>
      <c r="J279" s="23"/>
      <c r="K279" s="23" t="e">
        <f t="shared" ref="K279:U279" si="477">AVERAGE(H276:K276)/AVERAGE(G276:J276)-1</f>
        <v>#DIV/0!</v>
      </c>
      <c r="L279" s="23">
        <f t="shared" si="477"/>
        <v>-3.8161993769470492E-2</v>
      </c>
      <c r="M279" s="23">
        <f t="shared" si="477"/>
        <v>-0.20269905533063437</v>
      </c>
      <c r="N279" s="23">
        <f t="shared" si="477"/>
        <v>6.6858496953283719E-2</v>
      </c>
      <c r="O279" s="23">
        <f t="shared" si="477"/>
        <v>2.7129938124702546E-2</v>
      </c>
      <c r="P279" s="23">
        <f t="shared" si="477"/>
        <v>6.3948100092678262E-2</v>
      </c>
      <c r="Q279" s="23">
        <f t="shared" si="477"/>
        <v>0.14024390243902451</v>
      </c>
      <c r="R279" s="23">
        <f t="shared" si="477"/>
        <v>0.35752482811306319</v>
      </c>
      <c r="S279" s="23">
        <f t="shared" si="477"/>
        <v>0.24479459763646605</v>
      </c>
      <c r="T279" s="23">
        <f t="shared" si="477"/>
        <v>0.15732368896925863</v>
      </c>
      <c r="U279" s="23">
        <f t="shared" si="477"/>
        <v>0.1201171875</v>
      </c>
    </row>
    <row r="280" spans="1:21" ht="13.5" thickBot="1" x14ac:dyDescent="0.25"/>
    <row r="281" spans="1:21" ht="13.5" thickBot="1" x14ac:dyDescent="0.25">
      <c r="A281" s="24" t="s">
        <v>0</v>
      </c>
      <c r="B281" s="25">
        <v>1942</v>
      </c>
      <c r="C281" s="24" t="s">
        <v>30</v>
      </c>
      <c r="D281" s="24" t="s">
        <v>31</v>
      </c>
      <c r="E281" s="24" t="s">
        <v>32</v>
      </c>
      <c r="F281" s="24" t="s">
        <v>33</v>
      </c>
      <c r="G281" s="24" t="s">
        <v>34</v>
      </c>
      <c r="H281" s="24" t="s">
        <v>35</v>
      </c>
      <c r="I281" s="24" t="s">
        <v>36</v>
      </c>
      <c r="J281" s="24" t="s">
        <v>37</v>
      </c>
      <c r="K281" s="24" t="s">
        <v>38</v>
      </c>
      <c r="L281" s="24" t="s">
        <v>39</v>
      </c>
      <c r="M281" s="24" t="s">
        <v>40</v>
      </c>
      <c r="N281" s="24" t="s">
        <v>41</v>
      </c>
      <c r="O281" s="24" t="s">
        <v>42</v>
      </c>
      <c r="P281" s="24" t="s">
        <v>43</v>
      </c>
      <c r="Q281" s="24" t="s">
        <v>44</v>
      </c>
      <c r="R281" s="24" t="s">
        <v>45</v>
      </c>
      <c r="S281" s="24" t="s">
        <v>46</v>
      </c>
      <c r="T281" s="24" t="s">
        <v>47</v>
      </c>
      <c r="U281" s="24" t="s">
        <v>19</v>
      </c>
    </row>
    <row r="282" spans="1:21" x14ac:dyDescent="0.2">
      <c r="A282" s="17"/>
      <c r="B282" s="17" t="s">
        <v>51</v>
      </c>
      <c r="C282" s="17"/>
      <c r="D282" s="17"/>
      <c r="E282" s="17"/>
      <c r="F282" s="17"/>
      <c r="G282" s="17"/>
      <c r="H282" s="17"/>
      <c r="I282" s="17"/>
      <c r="J282" s="17"/>
      <c r="K282" s="17"/>
      <c r="L282" s="17"/>
      <c r="M282" s="17"/>
      <c r="N282" s="17"/>
      <c r="O282" s="17"/>
      <c r="P282" s="17"/>
      <c r="Q282" s="17"/>
      <c r="R282" s="17"/>
      <c r="S282" s="17"/>
      <c r="T282" s="17"/>
      <c r="U282" s="17"/>
    </row>
    <row r="283" spans="1:21" x14ac:dyDescent="0.2">
      <c r="B283" t="s">
        <v>49</v>
      </c>
      <c r="C283" s="22"/>
      <c r="D283" s="22"/>
      <c r="E283" s="22"/>
      <c r="F283" s="22"/>
      <c r="G283" s="22"/>
      <c r="H283" s="22"/>
      <c r="I283" s="22"/>
      <c r="J283" s="22"/>
      <c r="K283" s="22" t="e">
        <f t="shared" ref="K283:U283" si="478">K282/G282-1</f>
        <v>#DIV/0!</v>
      </c>
      <c r="L283" s="22" t="e">
        <f t="shared" si="478"/>
        <v>#DIV/0!</v>
      </c>
      <c r="M283" s="22" t="e">
        <f t="shared" si="478"/>
        <v>#DIV/0!</v>
      </c>
      <c r="N283" s="22" t="e">
        <f t="shared" si="478"/>
        <v>#DIV/0!</v>
      </c>
      <c r="O283" s="22" t="e">
        <f t="shared" si="478"/>
        <v>#DIV/0!</v>
      </c>
      <c r="P283" s="22" t="e">
        <f t="shared" si="478"/>
        <v>#DIV/0!</v>
      </c>
      <c r="Q283" s="22" t="e">
        <f t="shared" si="478"/>
        <v>#DIV/0!</v>
      </c>
      <c r="R283" s="22" t="e">
        <f t="shared" si="478"/>
        <v>#DIV/0!</v>
      </c>
      <c r="S283" s="22" t="e">
        <f t="shared" si="478"/>
        <v>#DIV/0!</v>
      </c>
      <c r="T283" s="22" t="e">
        <f t="shared" si="478"/>
        <v>#DIV/0!</v>
      </c>
      <c r="U283" s="22" t="e">
        <f t="shared" si="478"/>
        <v>#DIV/0!</v>
      </c>
    </row>
    <row r="284" spans="1:21" x14ac:dyDescent="0.2">
      <c r="B284" t="s">
        <v>52</v>
      </c>
      <c r="C284" s="22"/>
      <c r="D284" s="22"/>
      <c r="E284" s="22"/>
      <c r="F284" s="22"/>
      <c r="G284" s="22"/>
      <c r="H284" s="22"/>
      <c r="I284" s="22"/>
      <c r="J284" s="22"/>
      <c r="K284" s="22"/>
      <c r="L284" s="22" t="e">
        <f t="shared" ref="L284:U284" si="479">L282/K282-1</f>
        <v>#DIV/0!</v>
      </c>
      <c r="M284" s="22" t="e">
        <f t="shared" si="479"/>
        <v>#DIV/0!</v>
      </c>
      <c r="N284" s="22" t="e">
        <f t="shared" si="479"/>
        <v>#DIV/0!</v>
      </c>
      <c r="O284" s="22" t="e">
        <f t="shared" si="479"/>
        <v>#DIV/0!</v>
      </c>
      <c r="P284" s="22" t="e">
        <f t="shared" si="479"/>
        <v>#DIV/0!</v>
      </c>
      <c r="Q284" s="22" t="e">
        <f t="shared" si="479"/>
        <v>#DIV/0!</v>
      </c>
      <c r="R284" s="22" t="e">
        <f t="shared" si="479"/>
        <v>#DIV/0!</v>
      </c>
      <c r="S284" s="22" t="e">
        <f t="shared" si="479"/>
        <v>#DIV/0!</v>
      </c>
      <c r="T284" s="22" t="e">
        <f t="shared" si="479"/>
        <v>#DIV/0!</v>
      </c>
      <c r="U284" s="22" t="e">
        <f t="shared" si="479"/>
        <v>#DIV/0!</v>
      </c>
    </row>
    <row r="285" spans="1:21" x14ac:dyDescent="0.2">
      <c r="A285" s="17"/>
      <c r="B285" s="17" t="s">
        <v>48</v>
      </c>
      <c r="C285" s="17"/>
      <c r="D285" s="17"/>
      <c r="E285" s="17"/>
      <c r="F285" s="17"/>
      <c r="G285" s="17"/>
      <c r="H285" s="17"/>
      <c r="I285" s="17"/>
      <c r="J285" s="17"/>
      <c r="K285" s="17">
        <v>11327</v>
      </c>
      <c r="L285" s="17">
        <v>6768</v>
      </c>
      <c r="M285" s="17">
        <v>8978</v>
      </c>
      <c r="N285" s="17">
        <v>9187</v>
      </c>
      <c r="O285" s="17">
        <v>16003</v>
      </c>
      <c r="P285" s="17">
        <v>10353</v>
      </c>
      <c r="Q285" s="17">
        <v>15075</v>
      </c>
      <c r="R285" s="17">
        <v>16505</v>
      </c>
      <c r="S285" s="17">
        <v>16394</v>
      </c>
      <c r="T285" s="17">
        <v>17476</v>
      </c>
      <c r="U285" s="17">
        <v>20425</v>
      </c>
    </row>
    <row r="286" spans="1:21" x14ac:dyDescent="0.2">
      <c r="B286" t="s">
        <v>49</v>
      </c>
      <c r="C286" s="22"/>
      <c r="D286" s="22"/>
      <c r="E286" s="22"/>
      <c r="F286" s="22"/>
      <c r="G286" s="22"/>
      <c r="H286" s="22"/>
      <c r="I286" s="22"/>
      <c r="J286" s="22"/>
      <c r="K286" s="22" t="e">
        <f t="shared" ref="K286:U286" si="480">K285/G285-1</f>
        <v>#DIV/0!</v>
      </c>
      <c r="L286" s="22" t="e">
        <f t="shared" si="480"/>
        <v>#DIV/0!</v>
      </c>
      <c r="M286" s="22" t="e">
        <f t="shared" si="480"/>
        <v>#DIV/0!</v>
      </c>
      <c r="N286" s="22" t="e">
        <f t="shared" si="480"/>
        <v>#DIV/0!</v>
      </c>
      <c r="O286" s="22">
        <f t="shared" si="480"/>
        <v>0.4128189282245962</v>
      </c>
      <c r="P286" s="22">
        <f t="shared" si="480"/>
        <v>0.52969858156028371</v>
      </c>
      <c r="Q286" s="22">
        <f t="shared" si="480"/>
        <v>0.67910447761194037</v>
      </c>
      <c r="R286" s="22">
        <f t="shared" si="480"/>
        <v>0.79656035702623273</v>
      </c>
      <c r="S286" s="22">
        <f t="shared" si="480"/>
        <v>2.4432918827719696E-2</v>
      </c>
      <c r="T286" s="22">
        <f t="shared" si="480"/>
        <v>0.68801313628899829</v>
      </c>
      <c r="U286" s="22">
        <f t="shared" si="480"/>
        <v>0.35489220563847423</v>
      </c>
    </row>
    <row r="287" spans="1:21" x14ac:dyDescent="0.2">
      <c r="B287" t="s">
        <v>52</v>
      </c>
      <c r="C287" s="22"/>
      <c r="D287" s="22"/>
      <c r="E287" s="22"/>
      <c r="F287" s="22"/>
      <c r="G287" s="22"/>
      <c r="H287" s="22"/>
      <c r="I287" s="22"/>
      <c r="J287" s="22"/>
      <c r="K287" s="22"/>
      <c r="L287" s="22">
        <f t="shared" ref="L287:U287" si="481">L285/K285-1</f>
        <v>-0.40248962655601661</v>
      </c>
      <c r="M287" s="22">
        <f t="shared" si="481"/>
        <v>0.32653664302600482</v>
      </c>
      <c r="N287" s="22">
        <f t="shared" si="481"/>
        <v>2.3279126754288226E-2</v>
      </c>
      <c r="O287" s="22">
        <f t="shared" si="481"/>
        <v>0.74191792750625885</v>
      </c>
      <c r="P287" s="22">
        <f t="shared" si="481"/>
        <v>-0.35305880147472346</v>
      </c>
      <c r="Q287" s="22">
        <f t="shared" si="481"/>
        <v>0.456099681251811</v>
      </c>
      <c r="R287" s="22">
        <f t="shared" si="481"/>
        <v>9.48590381426202E-2</v>
      </c>
      <c r="S287" s="22">
        <f t="shared" si="481"/>
        <v>-6.7252347773402166E-3</v>
      </c>
      <c r="T287" s="22">
        <f t="shared" si="481"/>
        <v>6.5999756008295662E-2</v>
      </c>
      <c r="U287" s="22">
        <f t="shared" si="481"/>
        <v>0.16874570840009162</v>
      </c>
    </row>
    <row r="288" spans="1:21" x14ac:dyDescent="0.2">
      <c r="B288" s="17" t="s">
        <v>50</v>
      </c>
      <c r="C288" s="17"/>
      <c r="D288" s="17"/>
      <c r="E288" s="17"/>
      <c r="F288" s="17"/>
      <c r="G288" s="23"/>
      <c r="H288" s="23"/>
      <c r="I288" s="23"/>
      <c r="J288" s="23"/>
      <c r="K288" s="23" t="e">
        <f t="shared" ref="K288:U288" si="482">AVERAGE(H285:K285)/AVERAGE(G285:J285)-1</f>
        <v>#DIV/0!</v>
      </c>
      <c r="L288" s="23">
        <f t="shared" si="482"/>
        <v>-0.20124481327800825</v>
      </c>
      <c r="M288" s="23">
        <f t="shared" si="482"/>
        <v>-2.5605600073684842E-3</v>
      </c>
      <c r="N288" s="23">
        <f t="shared" si="482"/>
        <v>4.506334724633243E-3</v>
      </c>
      <c r="O288" s="23">
        <f t="shared" si="482"/>
        <v>0.12895752895752888</v>
      </c>
      <c r="P288" s="23">
        <f t="shared" si="482"/>
        <v>8.7575727965604866E-2</v>
      </c>
      <c r="Q288" s="23">
        <f t="shared" si="482"/>
        <v>0.1369466094651961</v>
      </c>
      <c r="R288" s="23">
        <f t="shared" si="482"/>
        <v>0.14457307677110909</v>
      </c>
      <c r="S288" s="23">
        <f t="shared" si="482"/>
        <v>6.748826291079757E-3</v>
      </c>
      <c r="T288" s="23">
        <f t="shared" si="482"/>
        <v>0.12212183037015456</v>
      </c>
      <c r="U288" s="23">
        <f t="shared" si="482"/>
        <v>8.1741787624140638E-2</v>
      </c>
    </row>
    <row r="289" spans="1:21" ht="13.5" thickBot="1" x14ac:dyDescent="0.25"/>
    <row r="290" spans="1:21" ht="13.5" thickBot="1" x14ac:dyDescent="0.25">
      <c r="A290" s="24" t="s">
        <v>0</v>
      </c>
      <c r="B290" s="25" t="s">
        <v>205</v>
      </c>
      <c r="C290" s="24" t="s">
        <v>30</v>
      </c>
      <c r="D290" s="24" t="s">
        <v>31</v>
      </c>
      <c r="E290" s="24" t="s">
        <v>32</v>
      </c>
      <c r="F290" s="24" t="s">
        <v>33</v>
      </c>
      <c r="G290" s="24" t="s">
        <v>34</v>
      </c>
      <c r="H290" s="24" t="s">
        <v>35</v>
      </c>
      <c r="I290" s="24" t="s">
        <v>36</v>
      </c>
      <c r="J290" s="24" t="s">
        <v>37</v>
      </c>
      <c r="K290" s="24" t="s">
        <v>38</v>
      </c>
      <c r="L290" s="24" t="s">
        <v>39</v>
      </c>
      <c r="M290" s="24" t="s">
        <v>40</v>
      </c>
      <c r="N290" s="24" t="s">
        <v>41</v>
      </c>
      <c r="O290" s="24" t="s">
        <v>42</v>
      </c>
      <c r="P290" s="24" t="s">
        <v>43</v>
      </c>
      <c r="Q290" s="24" t="s">
        <v>44</v>
      </c>
      <c r="R290" s="24" t="s">
        <v>45</v>
      </c>
      <c r="S290" s="24" t="s">
        <v>46</v>
      </c>
      <c r="T290" s="24" t="s">
        <v>47</v>
      </c>
      <c r="U290" s="24" t="s">
        <v>19</v>
      </c>
    </row>
    <row r="291" spans="1:21" x14ac:dyDescent="0.2">
      <c r="A291" s="17"/>
      <c r="B291" s="17" t="s">
        <v>51</v>
      </c>
      <c r="C291" s="17"/>
      <c r="D291" s="17"/>
      <c r="E291" s="17"/>
      <c r="F291" s="17"/>
      <c r="G291" s="17"/>
      <c r="H291" s="17"/>
      <c r="I291" s="17"/>
      <c r="J291" s="17"/>
      <c r="K291" s="17"/>
      <c r="L291" s="17"/>
      <c r="M291" s="17"/>
      <c r="N291" s="17"/>
      <c r="O291" s="17"/>
      <c r="P291" s="17"/>
      <c r="Q291" s="17"/>
      <c r="R291" s="17"/>
      <c r="S291" s="17"/>
      <c r="T291" s="17"/>
      <c r="U291" s="17"/>
    </row>
    <row r="292" spans="1:21" x14ac:dyDescent="0.2">
      <c r="B292" t="s">
        <v>49</v>
      </c>
      <c r="C292" s="22"/>
      <c r="D292" s="22"/>
      <c r="E292" s="22"/>
      <c r="F292" s="22"/>
      <c r="G292" s="22"/>
      <c r="H292" s="22"/>
      <c r="I292" s="22"/>
      <c r="J292" s="22"/>
      <c r="K292" s="22" t="e">
        <f t="shared" ref="K292:U292" si="483">K291/G291-1</f>
        <v>#DIV/0!</v>
      </c>
      <c r="L292" s="22" t="e">
        <f t="shared" si="483"/>
        <v>#DIV/0!</v>
      </c>
      <c r="M292" s="22" t="e">
        <f t="shared" si="483"/>
        <v>#DIV/0!</v>
      </c>
      <c r="N292" s="22" t="e">
        <f t="shared" si="483"/>
        <v>#DIV/0!</v>
      </c>
      <c r="O292" s="22" t="e">
        <f t="shared" si="483"/>
        <v>#DIV/0!</v>
      </c>
      <c r="P292" s="22" t="e">
        <f t="shared" si="483"/>
        <v>#DIV/0!</v>
      </c>
      <c r="Q292" s="22" t="e">
        <f t="shared" si="483"/>
        <v>#DIV/0!</v>
      </c>
      <c r="R292" s="22" t="e">
        <f t="shared" si="483"/>
        <v>#DIV/0!</v>
      </c>
      <c r="S292" s="22" t="e">
        <f t="shared" si="483"/>
        <v>#DIV/0!</v>
      </c>
      <c r="T292" s="22" t="e">
        <f t="shared" si="483"/>
        <v>#DIV/0!</v>
      </c>
      <c r="U292" s="22" t="e">
        <f t="shared" si="483"/>
        <v>#DIV/0!</v>
      </c>
    </row>
    <row r="293" spans="1:21" x14ac:dyDescent="0.2">
      <c r="B293" t="s">
        <v>52</v>
      </c>
      <c r="C293" s="22"/>
      <c r="D293" s="22"/>
      <c r="E293" s="22"/>
      <c r="F293" s="22"/>
      <c r="G293" s="22"/>
      <c r="H293" s="22"/>
      <c r="I293" s="22"/>
      <c r="J293" s="22"/>
      <c r="K293" s="22"/>
      <c r="L293" s="22" t="e">
        <f t="shared" ref="L293:U293" si="484">L291/K291-1</f>
        <v>#DIV/0!</v>
      </c>
      <c r="M293" s="22" t="e">
        <f t="shared" si="484"/>
        <v>#DIV/0!</v>
      </c>
      <c r="N293" s="22" t="e">
        <f t="shared" si="484"/>
        <v>#DIV/0!</v>
      </c>
      <c r="O293" s="22" t="e">
        <f t="shared" si="484"/>
        <v>#DIV/0!</v>
      </c>
      <c r="P293" s="22" t="e">
        <f t="shared" si="484"/>
        <v>#DIV/0!</v>
      </c>
      <c r="Q293" s="22" t="e">
        <f t="shared" si="484"/>
        <v>#DIV/0!</v>
      </c>
      <c r="R293" s="22" t="e">
        <f t="shared" si="484"/>
        <v>#DIV/0!</v>
      </c>
      <c r="S293" s="22" t="e">
        <f t="shared" si="484"/>
        <v>#DIV/0!</v>
      </c>
      <c r="T293" s="22" t="e">
        <f t="shared" si="484"/>
        <v>#DIV/0!</v>
      </c>
      <c r="U293" s="22" t="e">
        <f t="shared" si="484"/>
        <v>#DIV/0!</v>
      </c>
    </row>
    <row r="294" spans="1:21" x14ac:dyDescent="0.2">
      <c r="A294" s="17"/>
      <c r="B294" s="17" t="s">
        <v>48</v>
      </c>
      <c r="C294" s="17"/>
      <c r="D294" s="17"/>
      <c r="E294" s="17"/>
      <c r="F294" s="17"/>
      <c r="G294" s="17"/>
      <c r="H294" s="17"/>
      <c r="I294" s="17"/>
      <c r="J294" s="17"/>
      <c r="K294" s="17">
        <v>7</v>
      </c>
      <c r="L294" s="17">
        <v>60</v>
      </c>
      <c r="M294" s="17">
        <v>68</v>
      </c>
      <c r="N294" s="17">
        <v>69</v>
      </c>
      <c r="O294" s="17">
        <v>15</v>
      </c>
      <c r="P294" s="17">
        <v>40</v>
      </c>
      <c r="Q294" s="17">
        <v>65</v>
      </c>
      <c r="R294" s="17">
        <v>86</v>
      </c>
      <c r="S294" s="17">
        <v>-61</v>
      </c>
      <c r="T294" s="17">
        <v>11</v>
      </c>
      <c r="U294" s="17">
        <v>111</v>
      </c>
    </row>
    <row r="295" spans="1:21" x14ac:dyDescent="0.2">
      <c r="B295" t="s">
        <v>49</v>
      </c>
      <c r="C295" s="22"/>
      <c r="D295" s="22"/>
      <c r="E295" s="22"/>
      <c r="F295" s="22"/>
      <c r="G295" s="22"/>
      <c r="H295" s="22"/>
      <c r="I295" s="22"/>
      <c r="J295" s="22"/>
      <c r="K295" s="22" t="e">
        <f t="shared" ref="K295:U295" si="485">K294/G294-1</f>
        <v>#DIV/0!</v>
      </c>
      <c r="L295" s="22" t="e">
        <f t="shared" si="485"/>
        <v>#DIV/0!</v>
      </c>
      <c r="M295" s="22" t="e">
        <f t="shared" si="485"/>
        <v>#DIV/0!</v>
      </c>
      <c r="N295" s="22" t="e">
        <f t="shared" si="485"/>
        <v>#DIV/0!</v>
      </c>
      <c r="O295" s="22">
        <f t="shared" si="485"/>
        <v>1.1428571428571428</v>
      </c>
      <c r="P295" s="22">
        <f t="shared" si="485"/>
        <v>-0.33333333333333337</v>
      </c>
      <c r="Q295" s="22">
        <f t="shared" si="485"/>
        <v>-4.4117647058823484E-2</v>
      </c>
      <c r="R295" s="22">
        <f t="shared" si="485"/>
        <v>0.24637681159420288</v>
      </c>
      <c r="S295" s="22">
        <f t="shared" si="485"/>
        <v>-5.0666666666666664</v>
      </c>
      <c r="T295" s="22">
        <f t="shared" si="485"/>
        <v>-0.72499999999999998</v>
      </c>
      <c r="U295" s="22">
        <f t="shared" si="485"/>
        <v>0.70769230769230762</v>
      </c>
    </row>
    <row r="296" spans="1:21" x14ac:dyDescent="0.2">
      <c r="B296" t="s">
        <v>52</v>
      </c>
      <c r="C296" s="22"/>
      <c r="D296" s="22"/>
      <c r="E296" s="22"/>
      <c r="F296" s="22"/>
      <c r="G296" s="22"/>
      <c r="H296" s="22"/>
      <c r="I296" s="22"/>
      <c r="J296" s="22"/>
      <c r="K296" s="22"/>
      <c r="L296" s="22">
        <f t="shared" ref="L296:U296" si="486">L294/K294-1</f>
        <v>7.5714285714285712</v>
      </c>
      <c r="M296" s="22">
        <f t="shared" si="486"/>
        <v>0.1333333333333333</v>
      </c>
      <c r="N296" s="22">
        <f t="shared" si="486"/>
        <v>1.4705882352941124E-2</v>
      </c>
      <c r="O296" s="22">
        <f t="shared" si="486"/>
        <v>-0.78260869565217395</v>
      </c>
      <c r="P296" s="22">
        <f t="shared" si="486"/>
        <v>1.6666666666666665</v>
      </c>
      <c r="Q296" s="22">
        <f t="shared" si="486"/>
        <v>0.625</v>
      </c>
      <c r="R296" s="22">
        <f t="shared" si="486"/>
        <v>0.32307692307692304</v>
      </c>
      <c r="S296" s="22">
        <f t="shared" si="486"/>
        <v>-1.7093023255813953</v>
      </c>
      <c r="T296" s="22">
        <f t="shared" si="486"/>
        <v>-1.180327868852459</v>
      </c>
      <c r="U296" s="22">
        <f t="shared" si="486"/>
        <v>9.0909090909090917</v>
      </c>
    </row>
    <row r="297" spans="1:21" x14ac:dyDescent="0.2">
      <c r="B297" s="17" t="s">
        <v>50</v>
      </c>
      <c r="C297" s="17"/>
      <c r="D297" s="17"/>
      <c r="E297" s="17"/>
      <c r="F297" s="17"/>
      <c r="G297" s="23"/>
      <c r="H297" s="23"/>
      <c r="I297" s="23"/>
      <c r="J297" s="23"/>
      <c r="K297" s="23" t="e">
        <f t="shared" ref="K297:U297" si="487">AVERAGE(H294:K294)/AVERAGE(G294:J294)-1</f>
        <v>#DIV/0!</v>
      </c>
      <c r="L297" s="23">
        <f t="shared" si="487"/>
        <v>3.7857142857142856</v>
      </c>
      <c r="M297" s="23">
        <f t="shared" si="487"/>
        <v>0.34328358208955234</v>
      </c>
      <c r="N297" s="23">
        <f t="shared" si="487"/>
        <v>0.1333333333333333</v>
      </c>
      <c r="O297" s="23">
        <f t="shared" si="487"/>
        <v>3.9215686274509887E-2</v>
      </c>
      <c r="P297" s="23">
        <f t="shared" si="487"/>
        <v>-9.4339622641509413E-2</v>
      </c>
      <c r="Q297" s="23">
        <f t="shared" si="487"/>
        <v>-1.5625E-2</v>
      </c>
      <c r="R297" s="23">
        <f t="shared" si="487"/>
        <v>8.9947089947089998E-2</v>
      </c>
      <c r="S297" s="23">
        <f t="shared" si="487"/>
        <v>-0.3689320388349514</v>
      </c>
      <c r="T297" s="23">
        <f t="shared" si="487"/>
        <v>-0.22307692307692306</v>
      </c>
      <c r="U297" s="23">
        <f t="shared" si="487"/>
        <v>0.45544554455445541</v>
      </c>
    </row>
    <row r="298" spans="1:21" ht="13.5" thickBot="1" x14ac:dyDescent="0.25">
      <c r="B298" s="17"/>
      <c r="C298" s="17"/>
      <c r="D298" s="17"/>
      <c r="E298" s="17"/>
      <c r="F298" s="17"/>
      <c r="G298" s="23"/>
      <c r="H298" s="23"/>
      <c r="I298" s="23"/>
      <c r="J298" s="23"/>
      <c r="K298" s="23"/>
      <c r="L298" s="23"/>
      <c r="M298" s="23"/>
      <c r="N298" s="23"/>
      <c r="O298" s="23"/>
      <c r="P298" s="23"/>
      <c r="Q298" s="23"/>
      <c r="R298" s="23"/>
      <c r="S298" s="23"/>
      <c r="T298" s="23"/>
      <c r="U298" s="23"/>
    </row>
    <row r="299" spans="1:21" ht="13.5" thickBot="1" x14ac:dyDescent="0.25">
      <c r="A299" s="24" t="s">
        <v>0</v>
      </c>
      <c r="B299" s="25" t="s">
        <v>204</v>
      </c>
      <c r="C299" s="24" t="s">
        <v>30</v>
      </c>
      <c r="D299" s="24" t="s">
        <v>31</v>
      </c>
      <c r="E299" s="24" t="s">
        <v>32</v>
      </c>
      <c r="F299" s="24" t="s">
        <v>33</v>
      </c>
      <c r="G299" s="24" t="s">
        <v>34</v>
      </c>
      <c r="H299" s="24" t="s">
        <v>35</v>
      </c>
      <c r="I299" s="24" t="s">
        <v>36</v>
      </c>
      <c r="J299" s="24" t="s">
        <v>37</v>
      </c>
      <c r="K299" s="24" t="s">
        <v>38</v>
      </c>
      <c r="L299" s="24" t="s">
        <v>39</v>
      </c>
      <c r="M299" s="24" t="s">
        <v>40</v>
      </c>
      <c r="N299" s="24" t="s">
        <v>41</v>
      </c>
      <c r="O299" s="24" t="s">
        <v>42</v>
      </c>
      <c r="P299" s="24" t="s">
        <v>43</v>
      </c>
      <c r="Q299" s="24" t="s">
        <v>44</v>
      </c>
      <c r="R299" s="24" t="s">
        <v>45</v>
      </c>
      <c r="S299" s="24" t="s">
        <v>46</v>
      </c>
      <c r="T299" s="24" t="s">
        <v>47</v>
      </c>
      <c r="U299" s="24" t="s">
        <v>19</v>
      </c>
    </row>
    <row r="300" spans="1:21" x14ac:dyDescent="0.2">
      <c r="A300" s="17"/>
      <c r="B300" s="17" t="s">
        <v>51</v>
      </c>
      <c r="C300" s="17"/>
      <c r="D300" s="17"/>
      <c r="E300" s="17"/>
      <c r="F300" s="17"/>
      <c r="G300" s="17"/>
      <c r="H300" s="17"/>
      <c r="I300" s="17"/>
      <c r="J300" s="17"/>
      <c r="K300" s="17"/>
      <c r="L300" s="17"/>
      <c r="M300" s="17"/>
      <c r="N300" s="17"/>
      <c r="O300" s="17"/>
      <c r="P300" s="17"/>
      <c r="Q300" s="17"/>
      <c r="R300" s="17"/>
      <c r="S300" s="17"/>
      <c r="T300" s="17"/>
      <c r="U300" s="17"/>
    </row>
    <row r="301" spans="1:21" x14ac:dyDescent="0.2">
      <c r="B301" t="s">
        <v>49</v>
      </c>
      <c r="C301" s="22"/>
      <c r="D301" s="22"/>
      <c r="E301" s="22"/>
      <c r="F301" s="22"/>
      <c r="G301" s="22"/>
      <c r="H301" s="22"/>
      <c r="I301" s="22"/>
      <c r="J301" s="22"/>
      <c r="K301" s="22" t="e">
        <f t="shared" ref="K301:U301" si="488">K300/G300-1</f>
        <v>#DIV/0!</v>
      </c>
      <c r="L301" s="22" t="e">
        <f t="shared" si="488"/>
        <v>#DIV/0!</v>
      </c>
      <c r="M301" s="22" t="e">
        <f t="shared" si="488"/>
        <v>#DIV/0!</v>
      </c>
      <c r="N301" s="22" t="e">
        <f t="shared" si="488"/>
        <v>#DIV/0!</v>
      </c>
      <c r="O301" s="22" t="e">
        <f t="shared" si="488"/>
        <v>#DIV/0!</v>
      </c>
      <c r="P301" s="22" t="e">
        <f t="shared" si="488"/>
        <v>#DIV/0!</v>
      </c>
      <c r="Q301" s="22" t="e">
        <f t="shared" si="488"/>
        <v>#DIV/0!</v>
      </c>
      <c r="R301" s="22" t="e">
        <f t="shared" si="488"/>
        <v>#DIV/0!</v>
      </c>
      <c r="S301" s="22" t="e">
        <f t="shared" si="488"/>
        <v>#DIV/0!</v>
      </c>
      <c r="T301" s="22" t="e">
        <f t="shared" si="488"/>
        <v>#DIV/0!</v>
      </c>
      <c r="U301" s="22" t="e">
        <f t="shared" si="488"/>
        <v>#DIV/0!</v>
      </c>
    </row>
    <row r="302" spans="1:21" x14ac:dyDescent="0.2">
      <c r="B302" t="s">
        <v>52</v>
      </c>
      <c r="C302" s="22"/>
      <c r="D302" s="22"/>
      <c r="E302" s="22"/>
      <c r="F302" s="22"/>
      <c r="G302" s="22"/>
      <c r="H302" s="22"/>
      <c r="I302" s="22"/>
      <c r="J302" s="22"/>
      <c r="K302" s="22"/>
      <c r="L302" s="22" t="e">
        <f t="shared" ref="L302:U302" si="489">L300/K300-1</f>
        <v>#DIV/0!</v>
      </c>
      <c r="M302" s="22" t="e">
        <f t="shared" si="489"/>
        <v>#DIV/0!</v>
      </c>
      <c r="N302" s="22" t="e">
        <f t="shared" si="489"/>
        <v>#DIV/0!</v>
      </c>
      <c r="O302" s="22" t="e">
        <f t="shared" si="489"/>
        <v>#DIV/0!</v>
      </c>
      <c r="P302" s="22" t="e">
        <f t="shared" si="489"/>
        <v>#DIV/0!</v>
      </c>
      <c r="Q302" s="22" t="e">
        <f t="shared" si="489"/>
        <v>#DIV/0!</v>
      </c>
      <c r="R302" s="22" t="e">
        <f t="shared" si="489"/>
        <v>#DIV/0!</v>
      </c>
      <c r="S302" s="22" t="e">
        <f t="shared" si="489"/>
        <v>#DIV/0!</v>
      </c>
      <c r="T302" s="22" t="e">
        <f t="shared" si="489"/>
        <v>#DIV/0!</v>
      </c>
      <c r="U302" s="22" t="e">
        <f t="shared" si="489"/>
        <v>#DIV/0!</v>
      </c>
    </row>
    <row r="303" spans="1:21" x14ac:dyDescent="0.2">
      <c r="A303" s="17"/>
      <c r="B303" s="17" t="s">
        <v>48</v>
      </c>
      <c r="C303" s="17"/>
      <c r="D303" s="17"/>
      <c r="E303" s="17"/>
      <c r="F303" s="17"/>
      <c r="G303" s="17"/>
      <c r="H303" s="17"/>
      <c r="I303" s="17"/>
      <c r="J303" s="17"/>
      <c r="K303" s="17">
        <v>62.7</v>
      </c>
      <c r="L303" s="17">
        <v>46.2</v>
      </c>
      <c r="M303" s="17">
        <v>38.6</v>
      </c>
      <c r="N303" s="17">
        <v>75.099999999999994</v>
      </c>
      <c r="O303" s="17">
        <v>38.200000000000003</v>
      </c>
      <c r="P303" s="17">
        <v>50.2</v>
      </c>
      <c r="Q303" s="17">
        <v>40</v>
      </c>
      <c r="R303" s="17">
        <v>99.5</v>
      </c>
      <c r="S303" s="17">
        <v>49.7</v>
      </c>
      <c r="T303" s="17">
        <v>70.7</v>
      </c>
      <c r="U303" s="17">
        <v>56.4</v>
      </c>
    </row>
    <row r="304" spans="1:21" x14ac:dyDescent="0.2">
      <c r="B304" t="s">
        <v>49</v>
      </c>
      <c r="C304" s="22"/>
      <c r="D304" s="22"/>
      <c r="E304" s="22"/>
      <c r="F304" s="22"/>
      <c r="G304" s="22"/>
      <c r="H304" s="22"/>
      <c r="I304" s="22"/>
      <c r="J304" s="22"/>
      <c r="K304" s="22" t="e">
        <f t="shared" ref="K304:U304" si="490">K303/G303-1</f>
        <v>#DIV/0!</v>
      </c>
      <c r="L304" s="22" t="e">
        <f t="shared" si="490"/>
        <v>#DIV/0!</v>
      </c>
      <c r="M304" s="22" t="e">
        <f t="shared" si="490"/>
        <v>#DIV/0!</v>
      </c>
      <c r="N304" s="22" t="e">
        <f t="shared" si="490"/>
        <v>#DIV/0!</v>
      </c>
      <c r="O304" s="22">
        <f t="shared" si="490"/>
        <v>-0.39074960127591707</v>
      </c>
      <c r="P304" s="22">
        <f t="shared" si="490"/>
        <v>8.6580086580086535E-2</v>
      </c>
      <c r="Q304" s="22">
        <f t="shared" si="490"/>
        <v>3.6269430051813378E-2</v>
      </c>
      <c r="R304" s="22">
        <f t="shared" si="490"/>
        <v>0.32490013315579236</v>
      </c>
      <c r="S304" s="22">
        <f t="shared" si="490"/>
        <v>0.30104712041884807</v>
      </c>
      <c r="T304" s="22">
        <f t="shared" si="490"/>
        <v>0.40836653386454191</v>
      </c>
      <c r="U304" s="22">
        <f t="shared" si="490"/>
        <v>0.40999999999999992</v>
      </c>
    </row>
    <row r="305" spans="1:21" x14ac:dyDescent="0.2">
      <c r="B305" t="s">
        <v>52</v>
      </c>
      <c r="C305" s="22"/>
      <c r="D305" s="22"/>
      <c r="E305" s="22"/>
      <c r="F305" s="22"/>
      <c r="G305" s="22"/>
      <c r="H305" s="22"/>
      <c r="I305" s="22"/>
      <c r="J305" s="22"/>
      <c r="K305" s="22"/>
      <c r="L305" s="22">
        <f t="shared" ref="L305:U305" si="491">L303/K303-1</f>
        <v>-0.26315789473684215</v>
      </c>
      <c r="M305" s="22">
        <f t="shared" si="491"/>
        <v>-0.16450216450216448</v>
      </c>
      <c r="N305" s="22">
        <f t="shared" si="491"/>
        <v>0.9455958549222796</v>
      </c>
      <c r="O305" s="22">
        <f t="shared" si="491"/>
        <v>-0.49134487350199729</v>
      </c>
      <c r="P305" s="22">
        <f t="shared" si="491"/>
        <v>0.31413612565445015</v>
      </c>
      <c r="Q305" s="22">
        <f t="shared" si="491"/>
        <v>-0.20318725099601598</v>
      </c>
      <c r="R305" s="22">
        <f t="shared" si="491"/>
        <v>1.4874999999999998</v>
      </c>
      <c r="S305" s="22">
        <f t="shared" si="491"/>
        <v>-0.50050251256281397</v>
      </c>
      <c r="T305" s="22">
        <f t="shared" si="491"/>
        <v>0.42253521126760551</v>
      </c>
      <c r="U305" s="22">
        <f t="shared" si="491"/>
        <v>-0.20226308345120236</v>
      </c>
    </row>
    <row r="306" spans="1:21" x14ac:dyDescent="0.2">
      <c r="B306" s="17" t="s">
        <v>50</v>
      </c>
      <c r="C306" s="17"/>
      <c r="D306" s="17"/>
      <c r="E306" s="17"/>
      <c r="F306" s="17"/>
      <c r="G306" s="23"/>
      <c r="H306" s="23"/>
      <c r="I306" s="23"/>
      <c r="J306" s="23"/>
      <c r="K306" s="23" t="e">
        <f t="shared" ref="K306:U306" si="492">AVERAGE(H303:K303)/AVERAGE(G303:J303)-1</f>
        <v>#DIV/0!</v>
      </c>
      <c r="L306" s="23">
        <f t="shared" si="492"/>
        <v>-0.13157894736842102</v>
      </c>
      <c r="M306" s="23">
        <f t="shared" si="492"/>
        <v>-9.7030915212733437E-2</v>
      </c>
      <c r="N306" s="23">
        <f t="shared" si="492"/>
        <v>0.13186440677966105</v>
      </c>
      <c r="O306" s="23">
        <f t="shared" si="492"/>
        <v>-0.11006289308176087</v>
      </c>
      <c r="P306" s="23">
        <f t="shared" si="492"/>
        <v>2.0191822311963259E-2</v>
      </c>
      <c r="Q306" s="23">
        <f t="shared" si="492"/>
        <v>6.9272637308264162E-3</v>
      </c>
      <c r="R306" s="23">
        <f t="shared" si="492"/>
        <v>0.11990171990171983</v>
      </c>
      <c r="S306" s="23">
        <f t="shared" si="492"/>
        <v>5.0460728389644549E-2</v>
      </c>
      <c r="T306" s="23">
        <f t="shared" si="492"/>
        <v>8.5630743525480391E-2</v>
      </c>
      <c r="U306" s="23">
        <f t="shared" si="492"/>
        <v>6.3101192766448655E-2</v>
      </c>
    </row>
    <row r="307" spans="1:21" ht="13.5" thickBot="1" x14ac:dyDescent="0.25"/>
    <row r="308" spans="1:21" ht="13.5" thickBot="1" x14ac:dyDescent="0.25">
      <c r="A308" s="24" t="s">
        <v>0</v>
      </c>
      <c r="B308" s="25" t="s">
        <v>166</v>
      </c>
      <c r="C308" s="24" t="s">
        <v>30</v>
      </c>
      <c r="D308" s="24" t="s">
        <v>31</v>
      </c>
      <c r="E308" s="24" t="s">
        <v>32</v>
      </c>
      <c r="F308" s="24" t="s">
        <v>33</v>
      </c>
      <c r="G308" s="24" t="s">
        <v>34</v>
      </c>
      <c r="H308" s="24" t="s">
        <v>35</v>
      </c>
      <c r="I308" s="24" t="s">
        <v>36</v>
      </c>
      <c r="J308" s="24" t="s">
        <v>37</v>
      </c>
      <c r="K308" s="24" t="s">
        <v>38</v>
      </c>
      <c r="L308" s="24" t="s">
        <v>39</v>
      </c>
      <c r="M308" s="24" t="s">
        <v>40</v>
      </c>
      <c r="N308" s="24" t="s">
        <v>41</v>
      </c>
      <c r="O308" s="24" t="s">
        <v>42</v>
      </c>
      <c r="P308" s="24" t="s">
        <v>43</v>
      </c>
      <c r="Q308" s="24" t="s">
        <v>44</v>
      </c>
      <c r="R308" s="24" t="s">
        <v>45</v>
      </c>
      <c r="S308" s="24" t="s">
        <v>46</v>
      </c>
      <c r="T308" s="24" t="s">
        <v>47</v>
      </c>
      <c r="U308" s="24" t="s">
        <v>19</v>
      </c>
    </row>
    <row r="309" spans="1:21" x14ac:dyDescent="0.2">
      <c r="A309" s="17"/>
      <c r="B309" s="17" t="s">
        <v>51</v>
      </c>
      <c r="C309" s="17"/>
      <c r="D309" s="17"/>
      <c r="E309" s="17"/>
      <c r="F309" s="17"/>
      <c r="G309" s="17"/>
      <c r="H309" s="17"/>
      <c r="I309" s="17"/>
      <c r="J309" s="17"/>
      <c r="K309" s="17"/>
      <c r="L309" s="17"/>
      <c r="M309" s="17"/>
      <c r="N309" s="17"/>
      <c r="O309" s="17"/>
      <c r="P309" s="17"/>
      <c r="Q309" s="17"/>
      <c r="R309" s="17"/>
      <c r="S309" s="17"/>
      <c r="T309" s="17"/>
      <c r="U309" s="17"/>
    </row>
    <row r="310" spans="1:21" x14ac:dyDescent="0.2">
      <c r="B310" t="s">
        <v>49</v>
      </c>
      <c r="C310" s="22"/>
      <c r="D310" s="22"/>
      <c r="E310" s="22"/>
      <c r="F310" s="22"/>
      <c r="G310" s="22"/>
      <c r="H310" s="22"/>
      <c r="I310" s="22"/>
      <c r="J310" s="22"/>
      <c r="K310" s="22" t="e">
        <f t="shared" ref="K310:U310" si="493">K309/G309-1</f>
        <v>#DIV/0!</v>
      </c>
      <c r="L310" s="22" t="e">
        <f t="shared" si="493"/>
        <v>#DIV/0!</v>
      </c>
      <c r="M310" s="22" t="e">
        <f t="shared" si="493"/>
        <v>#DIV/0!</v>
      </c>
      <c r="N310" s="22" t="e">
        <f t="shared" si="493"/>
        <v>#DIV/0!</v>
      </c>
      <c r="O310" s="22" t="e">
        <f t="shared" si="493"/>
        <v>#DIV/0!</v>
      </c>
      <c r="P310" s="22" t="e">
        <f t="shared" si="493"/>
        <v>#DIV/0!</v>
      </c>
      <c r="Q310" s="22" t="e">
        <f t="shared" si="493"/>
        <v>#DIV/0!</v>
      </c>
      <c r="R310" s="22" t="e">
        <f t="shared" si="493"/>
        <v>#DIV/0!</v>
      </c>
      <c r="S310" s="22" t="e">
        <f t="shared" si="493"/>
        <v>#DIV/0!</v>
      </c>
      <c r="T310" s="22" t="e">
        <f t="shared" si="493"/>
        <v>#DIV/0!</v>
      </c>
      <c r="U310" s="22" t="e">
        <f t="shared" si="493"/>
        <v>#DIV/0!</v>
      </c>
    </row>
    <row r="311" spans="1:21" x14ac:dyDescent="0.2">
      <c r="B311" t="s">
        <v>52</v>
      </c>
      <c r="C311" s="22"/>
      <c r="D311" s="22"/>
      <c r="E311" s="22"/>
      <c r="F311" s="22"/>
      <c r="G311" s="22"/>
      <c r="H311" s="22"/>
      <c r="I311" s="22"/>
      <c r="J311" s="22"/>
      <c r="K311" s="22"/>
      <c r="L311" s="22" t="e">
        <f t="shared" ref="L311:U311" si="494">L309/K309-1</f>
        <v>#DIV/0!</v>
      </c>
      <c r="M311" s="22" t="e">
        <f t="shared" si="494"/>
        <v>#DIV/0!</v>
      </c>
      <c r="N311" s="22" t="e">
        <f t="shared" si="494"/>
        <v>#DIV/0!</v>
      </c>
      <c r="O311" s="22" t="e">
        <f t="shared" si="494"/>
        <v>#DIV/0!</v>
      </c>
      <c r="P311" s="22" t="e">
        <f t="shared" si="494"/>
        <v>#DIV/0!</v>
      </c>
      <c r="Q311" s="22" t="e">
        <f t="shared" si="494"/>
        <v>#DIV/0!</v>
      </c>
      <c r="R311" s="22" t="e">
        <f t="shared" si="494"/>
        <v>#DIV/0!</v>
      </c>
      <c r="S311" s="22" t="e">
        <f t="shared" si="494"/>
        <v>#DIV/0!</v>
      </c>
      <c r="T311" s="22" t="e">
        <f t="shared" si="494"/>
        <v>#DIV/0!</v>
      </c>
      <c r="U311" s="22" t="e">
        <f t="shared" si="494"/>
        <v>#DIV/0!</v>
      </c>
    </row>
    <row r="312" spans="1:21" x14ac:dyDescent="0.2">
      <c r="A312" s="17"/>
      <c r="B312" s="17" t="s">
        <v>48</v>
      </c>
      <c r="C312" s="17"/>
      <c r="D312" s="17"/>
      <c r="E312" s="17"/>
      <c r="F312" s="17"/>
      <c r="G312" s="17"/>
      <c r="H312" s="17"/>
      <c r="I312" s="17"/>
      <c r="J312" s="17"/>
      <c r="K312" s="17">
        <v>-2.1</v>
      </c>
      <c r="L312" s="17">
        <v>-0.9</v>
      </c>
      <c r="M312" s="17">
        <v>-28.3</v>
      </c>
      <c r="N312" s="17">
        <v>2.6</v>
      </c>
      <c r="O312" s="17">
        <v>12.4</v>
      </c>
      <c r="P312" s="17">
        <v>12.5</v>
      </c>
      <c r="Q312" s="17">
        <v>3.9</v>
      </c>
      <c r="R312" s="17">
        <v>8.6</v>
      </c>
      <c r="S312" s="17">
        <v>27.4</v>
      </c>
      <c r="T312" s="17">
        <v>36.6</v>
      </c>
      <c r="U312" s="17">
        <v>23.3</v>
      </c>
    </row>
    <row r="313" spans="1:21" x14ac:dyDescent="0.2">
      <c r="B313" t="s">
        <v>49</v>
      </c>
      <c r="C313" s="22"/>
      <c r="D313" s="22"/>
      <c r="E313" s="22"/>
      <c r="F313" s="22"/>
      <c r="G313" s="22"/>
      <c r="H313" s="22"/>
      <c r="I313" s="22"/>
      <c r="J313" s="22"/>
      <c r="K313" s="22" t="e">
        <f t="shared" ref="K313:U313" si="495">K312/G312-1</f>
        <v>#DIV/0!</v>
      </c>
      <c r="L313" s="22" t="e">
        <f t="shared" si="495"/>
        <v>#DIV/0!</v>
      </c>
      <c r="M313" s="22" t="e">
        <f t="shared" si="495"/>
        <v>#DIV/0!</v>
      </c>
      <c r="N313" s="22" t="e">
        <f t="shared" si="495"/>
        <v>#DIV/0!</v>
      </c>
      <c r="O313" s="22">
        <f t="shared" si="495"/>
        <v>-6.9047619047619051</v>
      </c>
      <c r="P313" s="22">
        <f t="shared" si="495"/>
        <v>-14.888888888888889</v>
      </c>
      <c r="Q313" s="22">
        <f t="shared" si="495"/>
        <v>-1.137809187279152</v>
      </c>
      <c r="R313" s="22">
        <f t="shared" si="495"/>
        <v>2.3076923076923075</v>
      </c>
      <c r="S313" s="22">
        <f t="shared" si="495"/>
        <v>1.2096774193548385</v>
      </c>
      <c r="T313" s="22">
        <f t="shared" si="495"/>
        <v>1.9279999999999999</v>
      </c>
      <c r="U313" s="22">
        <f t="shared" si="495"/>
        <v>4.9743589743589745</v>
      </c>
    </row>
    <row r="314" spans="1:21" x14ac:dyDescent="0.2">
      <c r="B314" t="s">
        <v>52</v>
      </c>
      <c r="C314" s="22"/>
      <c r="D314" s="22"/>
      <c r="E314" s="22"/>
      <c r="F314" s="22"/>
      <c r="G314" s="22"/>
      <c r="H314" s="22"/>
      <c r="I314" s="22"/>
      <c r="J314" s="22"/>
      <c r="K314" s="22"/>
      <c r="L314" s="22">
        <f t="shared" ref="L314:U314" si="496">L312/K312-1</f>
        <v>-0.5714285714285714</v>
      </c>
      <c r="M314" s="22">
        <f t="shared" si="496"/>
        <v>30.444444444444443</v>
      </c>
      <c r="N314" s="22">
        <f t="shared" si="496"/>
        <v>-1.0918727915194346</v>
      </c>
      <c r="O314" s="22">
        <f t="shared" si="496"/>
        <v>3.7692307692307692</v>
      </c>
      <c r="P314" s="22">
        <f t="shared" si="496"/>
        <v>8.0645161290322509E-3</v>
      </c>
      <c r="Q314" s="22">
        <f t="shared" si="496"/>
        <v>-0.68799999999999994</v>
      </c>
      <c r="R314" s="22">
        <f t="shared" si="496"/>
        <v>1.2051282051282053</v>
      </c>
      <c r="S314" s="22">
        <f t="shared" si="496"/>
        <v>2.1860465116279069</v>
      </c>
      <c r="T314" s="22">
        <f t="shared" si="496"/>
        <v>0.33576642335766427</v>
      </c>
      <c r="U314" s="22">
        <f t="shared" si="496"/>
        <v>-0.36338797814207646</v>
      </c>
    </row>
    <row r="315" spans="1:21" x14ac:dyDescent="0.2">
      <c r="B315" s="17" t="s">
        <v>50</v>
      </c>
      <c r="C315" s="17"/>
      <c r="D315" s="17"/>
      <c r="E315" s="17"/>
      <c r="F315" s="17"/>
      <c r="G315" s="23"/>
      <c r="H315" s="23"/>
      <c r="I315" s="23"/>
      <c r="J315" s="23"/>
      <c r="K315" s="23" t="e">
        <f t="shared" ref="K315:U315" si="497">AVERAGE(H312:K312)/AVERAGE(G312:J312)-1</f>
        <v>#DIV/0!</v>
      </c>
      <c r="L315" s="23">
        <f t="shared" si="497"/>
        <v>-0.2857142857142857</v>
      </c>
      <c r="M315" s="23">
        <f t="shared" si="497"/>
        <v>5.9555555555555557</v>
      </c>
      <c r="N315" s="23">
        <f t="shared" si="497"/>
        <v>-0.31230031948881798</v>
      </c>
      <c r="O315" s="23">
        <f t="shared" si="497"/>
        <v>-0.505226480836237</v>
      </c>
      <c r="P315" s="23">
        <f t="shared" si="497"/>
        <v>-0.94366197183098599</v>
      </c>
      <c r="Q315" s="23">
        <f t="shared" si="497"/>
        <v>-40.25000000000005</v>
      </c>
      <c r="R315" s="23">
        <f t="shared" si="497"/>
        <v>0.19108280254777066</v>
      </c>
      <c r="S315" s="23">
        <f t="shared" si="497"/>
        <v>0.40106951871657759</v>
      </c>
      <c r="T315" s="23">
        <f t="shared" si="497"/>
        <v>0.45992366412213737</v>
      </c>
      <c r="U315" s="23">
        <f t="shared" si="497"/>
        <v>0.25359477124183005</v>
      </c>
    </row>
    <row r="316" spans="1:21" ht="13.5" thickBot="1" x14ac:dyDescent="0.25"/>
    <row r="317" spans="1:21" ht="13.5" thickBot="1" x14ac:dyDescent="0.25">
      <c r="A317" s="24" t="s">
        <v>0</v>
      </c>
      <c r="B317" s="25" t="s">
        <v>162</v>
      </c>
      <c r="C317" s="24" t="s">
        <v>30</v>
      </c>
      <c r="D317" s="24" t="s">
        <v>31</v>
      </c>
      <c r="E317" s="24" t="s">
        <v>32</v>
      </c>
      <c r="F317" s="24" t="s">
        <v>33</v>
      </c>
      <c r="G317" s="24" t="s">
        <v>34</v>
      </c>
      <c r="H317" s="24" t="s">
        <v>35</v>
      </c>
      <c r="I317" s="24" t="s">
        <v>36</v>
      </c>
      <c r="J317" s="24" t="s">
        <v>37</v>
      </c>
      <c r="K317" s="24" t="s">
        <v>38</v>
      </c>
      <c r="L317" s="24" t="s">
        <v>39</v>
      </c>
      <c r="M317" s="24" t="s">
        <v>40</v>
      </c>
      <c r="N317" s="24" t="s">
        <v>41</v>
      </c>
      <c r="O317" s="24" t="s">
        <v>42</v>
      </c>
      <c r="P317" s="24" t="s">
        <v>43</v>
      </c>
      <c r="Q317" s="24" t="s">
        <v>44</v>
      </c>
      <c r="R317" s="24" t="s">
        <v>45</v>
      </c>
      <c r="S317" s="24" t="s">
        <v>46</v>
      </c>
      <c r="T317" s="24" t="s">
        <v>47</v>
      </c>
      <c r="U317" s="24" t="s">
        <v>19</v>
      </c>
    </row>
    <row r="318" spans="1:21" x14ac:dyDescent="0.2">
      <c r="A318" s="17"/>
      <c r="B318" s="17" t="s">
        <v>51</v>
      </c>
      <c r="C318" s="17"/>
      <c r="D318" s="17"/>
      <c r="E318" s="17"/>
      <c r="F318" s="17"/>
      <c r="G318" s="17"/>
      <c r="H318" s="17"/>
      <c r="I318" s="17"/>
      <c r="J318" s="17"/>
      <c r="K318" s="17"/>
      <c r="L318" s="17"/>
      <c r="M318" s="17"/>
      <c r="N318" s="17"/>
      <c r="O318" s="17"/>
      <c r="P318" s="17"/>
      <c r="Q318" s="17"/>
      <c r="R318" s="17"/>
      <c r="S318" s="17"/>
      <c r="T318" s="17"/>
      <c r="U318" s="17"/>
    </row>
    <row r="319" spans="1:21" x14ac:dyDescent="0.2">
      <c r="B319" t="s">
        <v>49</v>
      </c>
      <c r="C319" s="22"/>
      <c r="D319" s="22"/>
      <c r="E319" s="22"/>
      <c r="F319" s="22"/>
      <c r="G319" s="22"/>
      <c r="H319" s="22"/>
      <c r="I319" s="22"/>
      <c r="J319" s="22"/>
      <c r="K319" s="22" t="e">
        <f t="shared" ref="K319:U319" si="498">K318/G318-1</f>
        <v>#DIV/0!</v>
      </c>
      <c r="L319" s="22" t="e">
        <f t="shared" si="498"/>
        <v>#DIV/0!</v>
      </c>
      <c r="M319" s="22" t="e">
        <f t="shared" si="498"/>
        <v>#DIV/0!</v>
      </c>
      <c r="N319" s="22" t="e">
        <f t="shared" si="498"/>
        <v>#DIV/0!</v>
      </c>
      <c r="O319" s="22" t="e">
        <f t="shared" si="498"/>
        <v>#DIV/0!</v>
      </c>
      <c r="P319" s="22" t="e">
        <f t="shared" si="498"/>
        <v>#DIV/0!</v>
      </c>
      <c r="Q319" s="22" t="e">
        <f t="shared" si="498"/>
        <v>#DIV/0!</v>
      </c>
      <c r="R319" s="22" t="e">
        <f t="shared" si="498"/>
        <v>#DIV/0!</v>
      </c>
      <c r="S319" s="22" t="e">
        <f t="shared" si="498"/>
        <v>#DIV/0!</v>
      </c>
      <c r="T319" s="22" t="e">
        <f t="shared" si="498"/>
        <v>#DIV/0!</v>
      </c>
      <c r="U319" s="22" t="e">
        <f t="shared" si="498"/>
        <v>#DIV/0!</v>
      </c>
    </row>
    <row r="320" spans="1:21" x14ac:dyDescent="0.2">
      <c r="B320" t="s">
        <v>52</v>
      </c>
      <c r="C320" s="22"/>
      <c r="D320" s="22"/>
      <c r="E320" s="22"/>
      <c r="F320" s="22"/>
      <c r="G320" s="22"/>
      <c r="H320" s="22"/>
      <c r="I320" s="22"/>
      <c r="J320" s="22"/>
      <c r="K320" s="22"/>
      <c r="L320" s="22" t="e">
        <f t="shared" ref="L320:U320" si="499">L318/K318-1</f>
        <v>#DIV/0!</v>
      </c>
      <c r="M320" s="22" t="e">
        <f t="shared" si="499"/>
        <v>#DIV/0!</v>
      </c>
      <c r="N320" s="22" t="e">
        <f t="shared" si="499"/>
        <v>#DIV/0!</v>
      </c>
      <c r="O320" s="22" t="e">
        <f t="shared" si="499"/>
        <v>#DIV/0!</v>
      </c>
      <c r="P320" s="22" t="e">
        <f t="shared" si="499"/>
        <v>#DIV/0!</v>
      </c>
      <c r="Q320" s="22" t="e">
        <f t="shared" si="499"/>
        <v>#DIV/0!</v>
      </c>
      <c r="R320" s="22" t="e">
        <f t="shared" si="499"/>
        <v>#DIV/0!</v>
      </c>
      <c r="S320" s="22" t="e">
        <f t="shared" si="499"/>
        <v>#DIV/0!</v>
      </c>
      <c r="T320" s="22" t="e">
        <f t="shared" si="499"/>
        <v>#DIV/0!</v>
      </c>
      <c r="U320" s="22" t="e">
        <f t="shared" si="499"/>
        <v>#DIV/0!</v>
      </c>
    </row>
    <row r="321" spans="1:21" x14ac:dyDescent="0.2">
      <c r="A321" s="17"/>
      <c r="B321" s="17" t="s">
        <v>48</v>
      </c>
      <c r="C321" s="17"/>
      <c r="D321" s="17"/>
      <c r="E321" s="17"/>
      <c r="F321" s="17"/>
      <c r="G321" s="17"/>
      <c r="H321" s="17"/>
      <c r="I321" s="17"/>
      <c r="J321" s="17"/>
      <c r="K321" s="17">
        <v>9.9</v>
      </c>
      <c r="L321" s="17">
        <v>11.8</v>
      </c>
      <c r="M321" s="17">
        <v>15.9</v>
      </c>
      <c r="N321" s="17">
        <v>-12.1</v>
      </c>
      <c r="O321" s="17">
        <v>-2</v>
      </c>
      <c r="P321" s="17">
        <v>-11.4</v>
      </c>
      <c r="Q321" s="17">
        <v>-10.9</v>
      </c>
      <c r="R321" s="17">
        <v>-18.8</v>
      </c>
      <c r="S321" s="17">
        <v>-6.1</v>
      </c>
      <c r="T321" s="17">
        <v>0.4</v>
      </c>
      <c r="U321" s="17">
        <v>17.399999999999999</v>
      </c>
    </row>
    <row r="322" spans="1:21" x14ac:dyDescent="0.2">
      <c r="B322" t="s">
        <v>49</v>
      </c>
      <c r="C322" s="22"/>
      <c r="D322" s="22"/>
      <c r="E322" s="22"/>
      <c r="F322" s="22"/>
      <c r="G322" s="22"/>
      <c r="H322" s="22"/>
      <c r="I322" s="22"/>
      <c r="J322" s="22"/>
      <c r="K322" s="22" t="e">
        <f t="shared" ref="K322:U322" si="500">K321/G321-1</f>
        <v>#DIV/0!</v>
      </c>
      <c r="L322" s="22" t="e">
        <f t="shared" si="500"/>
        <v>#DIV/0!</v>
      </c>
      <c r="M322" s="22" t="e">
        <f t="shared" si="500"/>
        <v>#DIV/0!</v>
      </c>
      <c r="N322" s="22" t="e">
        <f t="shared" si="500"/>
        <v>#DIV/0!</v>
      </c>
      <c r="O322" s="22">
        <f t="shared" si="500"/>
        <v>-1.202020202020202</v>
      </c>
      <c r="P322" s="22">
        <f t="shared" si="500"/>
        <v>-1.9661016949152543</v>
      </c>
      <c r="Q322" s="22">
        <f t="shared" si="500"/>
        <v>-1.6855345911949686</v>
      </c>
      <c r="R322" s="22">
        <f t="shared" si="500"/>
        <v>0.55371900826446296</v>
      </c>
      <c r="S322" s="22">
        <f t="shared" si="500"/>
        <v>2.0499999999999998</v>
      </c>
      <c r="T322" s="22">
        <f t="shared" si="500"/>
        <v>-1.0350877192982457</v>
      </c>
      <c r="U322" s="22">
        <f t="shared" si="500"/>
        <v>-2.5963302752293576</v>
      </c>
    </row>
    <row r="323" spans="1:21" x14ac:dyDescent="0.2">
      <c r="B323" t="s">
        <v>52</v>
      </c>
      <c r="C323" s="22"/>
      <c r="D323" s="22"/>
      <c r="E323" s="22"/>
      <c r="F323" s="22"/>
      <c r="G323" s="22"/>
      <c r="H323" s="22"/>
      <c r="I323" s="22"/>
      <c r="J323" s="22"/>
      <c r="K323" s="22"/>
      <c r="L323" s="22">
        <f t="shared" ref="L323:U323" si="501">L321/K321-1</f>
        <v>0.19191919191919204</v>
      </c>
      <c r="M323" s="22">
        <f t="shared" si="501"/>
        <v>0.34745762711864403</v>
      </c>
      <c r="N323" s="22">
        <f t="shared" si="501"/>
        <v>-1.7610062893081762</v>
      </c>
      <c r="O323" s="22">
        <f t="shared" si="501"/>
        <v>-0.83471074380165289</v>
      </c>
      <c r="P323" s="22">
        <f t="shared" si="501"/>
        <v>4.7</v>
      </c>
      <c r="Q323" s="22">
        <f t="shared" si="501"/>
        <v>-4.3859649122807043E-2</v>
      </c>
      <c r="R323" s="22">
        <f t="shared" si="501"/>
        <v>0.72477064220183496</v>
      </c>
      <c r="S323" s="22">
        <f t="shared" si="501"/>
        <v>-0.67553191489361697</v>
      </c>
      <c r="T323" s="22">
        <f t="shared" si="501"/>
        <v>-1.0655737704918034</v>
      </c>
      <c r="U323" s="22">
        <f t="shared" si="501"/>
        <v>42.499999999999993</v>
      </c>
    </row>
    <row r="324" spans="1:21" x14ac:dyDescent="0.2">
      <c r="B324" s="17" t="s">
        <v>50</v>
      </c>
      <c r="C324" s="17"/>
      <c r="D324" s="17"/>
      <c r="E324" s="17"/>
      <c r="F324" s="17"/>
      <c r="G324" s="23"/>
      <c r="H324" s="23"/>
      <c r="I324" s="23"/>
      <c r="J324" s="23"/>
      <c r="K324" s="23" t="e">
        <f t="shared" ref="K324:U324" si="502">AVERAGE(H321:K321)/AVERAGE(G321:J321)-1</f>
        <v>#DIV/0!</v>
      </c>
      <c r="L324" s="23">
        <f t="shared" si="502"/>
        <v>9.5959595959596022E-2</v>
      </c>
      <c r="M324" s="23">
        <f t="shared" si="502"/>
        <v>0.15514592933947746</v>
      </c>
      <c r="N324" s="23">
        <f t="shared" si="502"/>
        <v>-0.49135638297872342</v>
      </c>
      <c r="O324" s="23">
        <f t="shared" si="502"/>
        <v>-0.46666666666666656</v>
      </c>
      <c r="P324" s="23">
        <f t="shared" si="502"/>
        <v>-1.7058823529411762</v>
      </c>
      <c r="Q324" s="23">
        <f t="shared" si="502"/>
        <v>2.7916666666666665</v>
      </c>
      <c r="R324" s="23">
        <f t="shared" si="502"/>
        <v>0.18406593406593408</v>
      </c>
      <c r="S324" s="23">
        <f t="shared" si="502"/>
        <v>9.5127610208816771E-2</v>
      </c>
      <c r="T324" s="23">
        <f t="shared" si="502"/>
        <v>-0.24999999999999989</v>
      </c>
      <c r="U324" s="23">
        <f t="shared" si="502"/>
        <v>-0.79943502824858759</v>
      </c>
    </row>
    <row r="325" spans="1:21" ht="13.5" thickBot="1" x14ac:dyDescent="0.25"/>
    <row r="326" spans="1:21" ht="13.5" thickBot="1" x14ac:dyDescent="0.25">
      <c r="A326" s="24" t="s">
        <v>0</v>
      </c>
      <c r="B326" s="25" t="s">
        <v>158</v>
      </c>
      <c r="C326" s="24" t="s">
        <v>30</v>
      </c>
      <c r="D326" s="24" t="s">
        <v>31</v>
      </c>
      <c r="E326" s="24" t="s">
        <v>32</v>
      </c>
      <c r="F326" s="24" t="s">
        <v>33</v>
      </c>
      <c r="G326" s="24" t="s">
        <v>34</v>
      </c>
      <c r="H326" s="24" t="s">
        <v>35</v>
      </c>
      <c r="I326" s="24" t="s">
        <v>36</v>
      </c>
      <c r="J326" s="24" t="s">
        <v>37</v>
      </c>
      <c r="K326" s="24" t="s">
        <v>38</v>
      </c>
      <c r="L326" s="24" t="s">
        <v>39</v>
      </c>
      <c r="M326" s="24" t="s">
        <v>40</v>
      </c>
      <c r="N326" s="24" t="s">
        <v>41</v>
      </c>
      <c r="O326" s="24" t="s">
        <v>42</v>
      </c>
      <c r="P326" s="24" t="s">
        <v>43</v>
      </c>
      <c r="Q326" s="24" t="s">
        <v>44</v>
      </c>
      <c r="R326" s="24" t="s">
        <v>45</v>
      </c>
      <c r="S326" s="24" t="s">
        <v>46</v>
      </c>
      <c r="T326" s="24" t="s">
        <v>47</v>
      </c>
      <c r="U326" s="24" t="s">
        <v>19</v>
      </c>
    </row>
    <row r="327" spans="1:21" x14ac:dyDescent="0.2">
      <c r="A327" s="17"/>
      <c r="B327" s="17" t="s">
        <v>51</v>
      </c>
      <c r="C327" s="17"/>
      <c r="D327" s="17"/>
      <c r="E327" s="17"/>
      <c r="F327" s="17"/>
      <c r="G327" s="17"/>
      <c r="H327" s="17"/>
      <c r="I327" s="17"/>
      <c r="J327" s="17"/>
      <c r="K327" s="17"/>
      <c r="L327" s="17"/>
      <c r="M327" s="17"/>
      <c r="N327" s="17"/>
      <c r="O327" s="17"/>
      <c r="P327" s="17"/>
      <c r="Q327" s="17"/>
      <c r="R327" s="17"/>
      <c r="S327" s="17"/>
      <c r="T327" s="17"/>
      <c r="U327" s="17"/>
    </row>
    <row r="328" spans="1:21" x14ac:dyDescent="0.2">
      <c r="B328" t="s">
        <v>49</v>
      </c>
      <c r="C328" s="22"/>
      <c r="D328" s="22"/>
      <c r="E328" s="22"/>
      <c r="F328" s="22"/>
      <c r="G328" s="22"/>
      <c r="H328" s="22"/>
      <c r="I328" s="22"/>
      <c r="J328" s="22"/>
      <c r="K328" s="22" t="e">
        <f t="shared" ref="K328:U328" si="503">K327/G327-1</f>
        <v>#DIV/0!</v>
      </c>
      <c r="L328" s="22" t="e">
        <f t="shared" si="503"/>
        <v>#DIV/0!</v>
      </c>
      <c r="M328" s="22" t="e">
        <f t="shared" si="503"/>
        <v>#DIV/0!</v>
      </c>
      <c r="N328" s="22" t="e">
        <f t="shared" si="503"/>
        <v>#DIV/0!</v>
      </c>
      <c r="O328" s="22" t="e">
        <f t="shared" si="503"/>
        <v>#DIV/0!</v>
      </c>
      <c r="P328" s="22" t="e">
        <f t="shared" si="503"/>
        <v>#DIV/0!</v>
      </c>
      <c r="Q328" s="22" t="e">
        <f t="shared" si="503"/>
        <v>#DIV/0!</v>
      </c>
      <c r="R328" s="22" t="e">
        <f t="shared" si="503"/>
        <v>#DIV/0!</v>
      </c>
      <c r="S328" s="22" t="e">
        <f t="shared" si="503"/>
        <v>#DIV/0!</v>
      </c>
      <c r="T328" s="22" t="e">
        <f t="shared" si="503"/>
        <v>#DIV/0!</v>
      </c>
      <c r="U328" s="22" t="e">
        <f t="shared" si="503"/>
        <v>#DIV/0!</v>
      </c>
    </row>
    <row r="329" spans="1:21" x14ac:dyDescent="0.2">
      <c r="B329" t="s">
        <v>52</v>
      </c>
      <c r="C329" s="22"/>
      <c r="D329" s="22"/>
      <c r="E329" s="22"/>
      <c r="F329" s="22"/>
      <c r="G329" s="22"/>
      <c r="H329" s="22"/>
      <c r="I329" s="22"/>
      <c r="J329" s="22"/>
      <c r="K329" s="22"/>
      <c r="L329" s="22" t="e">
        <f t="shared" ref="L329:U329" si="504">L327/K327-1</f>
        <v>#DIV/0!</v>
      </c>
      <c r="M329" s="22" t="e">
        <f t="shared" si="504"/>
        <v>#DIV/0!</v>
      </c>
      <c r="N329" s="22" t="e">
        <f t="shared" si="504"/>
        <v>#DIV/0!</v>
      </c>
      <c r="O329" s="22" t="e">
        <f t="shared" si="504"/>
        <v>#DIV/0!</v>
      </c>
      <c r="P329" s="22" t="e">
        <f t="shared" si="504"/>
        <v>#DIV/0!</v>
      </c>
      <c r="Q329" s="22" t="e">
        <f t="shared" si="504"/>
        <v>#DIV/0!</v>
      </c>
      <c r="R329" s="22" t="e">
        <f t="shared" si="504"/>
        <v>#DIV/0!</v>
      </c>
      <c r="S329" s="22" t="e">
        <f t="shared" si="504"/>
        <v>#DIV/0!</v>
      </c>
      <c r="T329" s="22" t="e">
        <f t="shared" si="504"/>
        <v>#DIV/0!</v>
      </c>
      <c r="U329" s="22" t="e">
        <f t="shared" si="504"/>
        <v>#DIV/0!</v>
      </c>
    </row>
    <row r="330" spans="1:21" x14ac:dyDescent="0.2">
      <c r="A330" s="17"/>
      <c r="B330" s="17" t="s">
        <v>48</v>
      </c>
      <c r="C330" s="17"/>
      <c r="D330" s="17"/>
      <c r="E330" s="17"/>
      <c r="F330" s="17"/>
      <c r="G330" s="17"/>
      <c r="H330" s="17"/>
      <c r="I330" s="17"/>
      <c r="J330" s="17"/>
      <c r="K330" s="17">
        <v>13</v>
      </c>
      <c r="L330" s="17">
        <v>11</v>
      </c>
      <c r="M330" s="17">
        <v>-47</v>
      </c>
      <c r="N330" s="17">
        <v>-41</v>
      </c>
      <c r="O330" s="17">
        <v>3</v>
      </c>
      <c r="P330" s="17">
        <v>84</v>
      </c>
      <c r="Q330" s="17">
        <v>148</v>
      </c>
      <c r="R330" s="17">
        <v>160</v>
      </c>
      <c r="S330" s="17">
        <v>62</v>
      </c>
      <c r="T330" s="17">
        <v>165</v>
      </c>
      <c r="U330" s="17">
        <v>237</v>
      </c>
    </row>
    <row r="331" spans="1:21" x14ac:dyDescent="0.2">
      <c r="B331" t="s">
        <v>49</v>
      </c>
      <c r="C331" s="22"/>
      <c r="D331" s="22"/>
      <c r="E331" s="22"/>
      <c r="F331" s="22"/>
      <c r="G331" s="22"/>
      <c r="H331" s="22"/>
      <c r="I331" s="22"/>
      <c r="J331" s="22"/>
      <c r="K331" s="22" t="e">
        <f t="shared" ref="K331:U331" si="505">K330/G330-1</f>
        <v>#DIV/0!</v>
      </c>
      <c r="L331" s="22" t="e">
        <f t="shared" si="505"/>
        <v>#DIV/0!</v>
      </c>
      <c r="M331" s="22" t="e">
        <f t="shared" si="505"/>
        <v>#DIV/0!</v>
      </c>
      <c r="N331" s="22" t="e">
        <f t="shared" si="505"/>
        <v>#DIV/0!</v>
      </c>
      <c r="O331" s="22">
        <f t="shared" si="505"/>
        <v>-0.76923076923076916</v>
      </c>
      <c r="P331" s="22">
        <f t="shared" si="505"/>
        <v>6.6363636363636367</v>
      </c>
      <c r="Q331" s="22">
        <f t="shared" si="505"/>
        <v>-4.1489361702127656</v>
      </c>
      <c r="R331" s="22">
        <f t="shared" si="505"/>
        <v>-4.9024390243902438</v>
      </c>
      <c r="S331" s="22">
        <f t="shared" si="505"/>
        <v>19.666666666666668</v>
      </c>
      <c r="T331" s="22">
        <f t="shared" si="505"/>
        <v>0.96428571428571419</v>
      </c>
      <c r="U331" s="22">
        <f t="shared" si="505"/>
        <v>0.60135135135135132</v>
      </c>
    </row>
    <row r="332" spans="1:21" x14ac:dyDescent="0.2">
      <c r="B332" t="s">
        <v>52</v>
      </c>
      <c r="C332" s="22"/>
      <c r="D332" s="22"/>
      <c r="E332" s="22"/>
      <c r="F332" s="22"/>
      <c r="G332" s="22"/>
      <c r="H332" s="22"/>
      <c r="I332" s="22"/>
      <c r="J332" s="22"/>
      <c r="K332" s="22"/>
      <c r="L332" s="22">
        <f t="shared" ref="L332:U332" si="506">L330/K330-1</f>
        <v>-0.15384615384615385</v>
      </c>
      <c r="M332" s="22">
        <f t="shared" si="506"/>
        <v>-5.2727272727272725</v>
      </c>
      <c r="N332" s="22">
        <f t="shared" si="506"/>
        <v>-0.12765957446808507</v>
      </c>
      <c r="O332" s="22">
        <f t="shared" si="506"/>
        <v>-1.0731707317073171</v>
      </c>
      <c r="P332" s="22">
        <f t="shared" si="506"/>
        <v>27</v>
      </c>
      <c r="Q332" s="22">
        <f t="shared" si="506"/>
        <v>0.76190476190476186</v>
      </c>
      <c r="R332" s="22">
        <f t="shared" si="506"/>
        <v>8.1081081081081141E-2</v>
      </c>
      <c r="S332" s="22">
        <f t="shared" si="506"/>
        <v>-0.61250000000000004</v>
      </c>
      <c r="T332" s="22">
        <f t="shared" si="506"/>
        <v>1.661290322580645</v>
      </c>
      <c r="U332" s="22">
        <f t="shared" si="506"/>
        <v>0.43636363636363629</v>
      </c>
    </row>
    <row r="333" spans="1:21" x14ac:dyDescent="0.2">
      <c r="B333" s="17" t="s">
        <v>50</v>
      </c>
      <c r="C333" s="17"/>
      <c r="D333" s="17"/>
      <c r="E333" s="17"/>
      <c r="F333" s="17"/>
      <c r="G333" s="23"/>
      <c r="H333" s="23"/>
      <c r="I333" s="23"/>
      <c r="J333" s="23"/>
      <c r="K333" s="23" t="e">
        <f t="shared" ref="K333:U333" si="507">AVERAGE(H330:K330)/AVERAGE(G330:J330)-1</f>
        <v>#DIV/0!</v>
      </c>
      <c r="L333" s="23">
        <f t="shared" si="507"/>
        <v>-7.6923076923076872E-2</v>
      </c>
      <c r="M333" s="23">
        <f t="shared" si="507"/>
        <v>-1.6388888888888888</v>
      </c>
      <c r="N333" s="23">
        <f t="shared" si="507"/>
        <v>1.0869565217391304</v>
      </c>
      <c r="O333" s="23">
        <f t="shared" si="507"/>
        <v>0.15625</v>
      </c>
      <c r="P333" s="23">
        <f t="shared" si="507"/>
        <v>-0.98648648648648651</v>
      </c>
      <c r="Q333" s="23">
        <f t="shared" si="507"/>
        <v>-195</v>
      </c>
      <c r="R333" s="23">
        <f t="shared" si="507"/>
        <v>1.036082474226804</v>
      </c>
      <c r="S333" s="23">
        <f t="shared" si="507"/>
        <v>0.14936708860759484</v>
      </c>
      <c r="T333" s="23">
        <f t="shared" si="507"/>
        <v>0.1784140969162995</v>
      </c>
      <c r="U333" s="23">
        <f t="shared" si="507"/>
        <v>0.16635514018691588</v>
      </c>
    </row>
    <row r="334" spans="1:21" ht="13.5" thickBot="1" x14ac:dyDescent="0.25"/>
    <row r="335" spans="1:21" ht="13.5" thickBot="1" x14ac:dyDescent="0.25">
      <c r="A335" s="24" t="s">
        <v>0</v>
      </c>
      <c r="B335" s="25">
        <v>600004</v>
      </c>
      <c r="C335" s="24" t="s">
        <v>30</v>
      </c>
      <c r="D335" s="24" t="s">
        <v>31</v>
      </c>
      <c r="E335" s="24" t="s">
        <v>32</v>
      </c>
      <c r="F335" s="24" t="s">
        <v>33</v>
      </c>
      <c r="G335" s="24" t="s">
        <v>34</v>
      </c>
      <c r="H335" s="24" t="s">
        <v>35</v>
      </c>
      <c r="I335" s="24" t="s">
        <v>36</v>
      </c>
      <c r="J335" s="24" t="s">
        <v>37</v>
      </c>
      <c r="K335" s="24" t="s">
        <v>38</v>
      </c>
      <c r="L335" s="24" t="s">
        <v>39</v>
      </c>
      <c r="M335" s="24" t="s">
        <v>40</v>
      </c>
      <c r="N335" s="24" t="s">
        <v>41</v>
      </c>
      <c r="O335" s="24" t="s">
        <v>42</v>
      </c>
      <c r="P335" s="24" t="s">
        <v>43</v>
      </c>
      <c r="Q335" s="24" t="s">
        <v>44</v>
      </c>
      <c r="R335" s="24" t="s">
        <v>45</v>
      </c>
      <c r="S335" s="24" t="s">
        <v>46</v>
      </c>
      <c r="T335" s="24" t="s">
        <v>47</v>
      </c>
      <c r="U335" s="24" t="s">
        <v>19</v>
      </c>
    </row>
    <row r="336" spans="1:21" x14ac:dyDescent="0.2">
      <c r="A336" s="17"/>
      <c r="B336" s="17" t="s">
        <v>51</v>
      </c>
      <c r="C336" s="17"/>
      <c r="D336" s="17"/>
      <c r="E336" s="17"/>
      <c r="F336" s="17"/>
      <c r="G336" s="17"/>
      <c r="H336" s="17"/>
      <c r="I336" s="17"/>
      <c r="J336" s="17"/>
      <c r="K336" s="17"/>
      <c r="L336" s="17"/>
      <c r="M336" s="17"/>
      <c r="N336" s="17"/>
      <c r="O336" s="17"/>
      <c r="P336" s="17"/>
      <c r="Q336" s="17"/>
      <c r="R336" s="17"/>
      <c r="S336" s="17"/>
      <c r="T336" s="17"/>
      <c r="U336" s="17"/>
    </row>
    <row r="337" spans="1:21" x14ac:dyDescent="0.2">
      <c r="B337" t="s">
        <v>49</v>
      </c>
      <c r="C337" s="22"/>
      <c r="D337" s="22"/>
      <c r="E337" s="22"/>
      <c r="F337" s="22"/>
      <c r="G337" s="22"/>
      <c r="H337" s="22"/>
      <c r="I337" s="22"/>
      <c r="J337" s="22"/>
      <c r="K337" s="22" t="e">
        <f t="shared" ref="K337:U337" si="508">K336/G336-1</f>
        <v>#DIV/0!</v>
      </c>
      <c r="L337" s="22" t="e">
        <f t="shared" si="508"/>
        <v>#DIV/0!</v>
      </c>
      <c r="M337" s="22" t="e">
        <f t="shared" si="508"/>
        <v>#DIV/0!</v>
      </c>
      <c r="N337" s="22" t="e">
        <f t="shared" si="508"/>
        <v>#DIV/0!</v>
      </c>
      <c r="O337" s="22" t="e">
        <f t="shared" si="508"/>
        <v>#DIV/0!</v>
      </c>
      <c r="P337" s="22" t="e">
        <f t="shared" si="508"/>
        <v>#DIV/0!</v>
      </c>
      <c r="Q337" s="22" t="e">
        <f t="shared" si="508"/>
        <v>#DIV/0!</v>
      </c>
      <c r="R337" s="22" t="e">
        <f t="shared" si="508"/>
        <v>#DIV/0!</v>
      </c>
      <c r="S337" s="22" t="e">
        <f t="shared" si="508"/>
        <v>#DIV/0!</v>
      </c>
      <c r="T337" s="22" t="e">
        <f t="shared" si="508"/>
        <v>#DIV/0!</v>
      </c>
      <c r="U337" s="22" t="e">
        <f t="shared" si="508"/>
        <v>#DIV/0!</v>
      </c>
    </row>
    <row r="338" spans="1:21" x14ac:dyDescent="0.2">
      <c r="B338" t="s">
        <v>52</v>
      </c>
      <c r="C338" s="22"/>
      <c r="D338" s="22"/>
      <c r="E338" s="22"/>
      <c r="F338" s="22"/>
      <c r="G338" s="22"/>
      <c r="H338" s="22"/>
      <c r="I338" s="22"/>
      <c r="J338" s="22"/>
      <c r="K338" s="22"/>
      <c r="L338" s="22" t="e">
        <f t="shared" ref="L338:U338" si="509">L336/K336-1</f>
        <v>#DIV/0!</v>
      </c>
      <c r="M338" s="22" t="e">
        <f t="shared" si="509"/>
        <v>#DIV/0!</v>
      </c>
      <c r="N338" s="22" t="e">
        <f t="shared" si="509"/>
        <v>#DIV/0!</v>
      </c>
      <c r="O338" s="22" t="e">
        <f t="shared" si="509"/>
        <v>#DIV/0!</v>
      </c>
      <c r="P338" s="22" t="e">
        <f t="shared" si="509"/>
        <v>#DIV/0!</v>
      </c>
      <c r="Q338" s="22" t="e">
        <f t="shared" si="509"/>
        <v>#DIV/0!</v>
      </c>
      <c r="R338" s="22" t="e">
        <f t="shared" si="509"/>
        <v>#DIV/0!</v>
      </c>
      <c r="S338" s="22" t="e">
        <f t="shared" si="509"/>
        <v>#DIV/0!</v>
      </c>
      <c r="T338" s="22" t="e">
        <f t="shared" si="509"/>
        <v>#DIV/0!</v>
      </c>
      <c r="U338" s="22" t="e">
        <f t="shared" si="509"/>
        <v>#DIV/0!</v>
      </c>
    </row>
    <row r="339" spans="1:21" x14ac:dyDescent="0.2">
      <c r="A339" s="17"/>
      <c r="B339" s="17" t="s">
        <v>48</v>
      </c>
      <c r="C339" s="17"/>
      <c r="D339" s="17"/>
      <c r="E339" s="17"/>
      <c r="F339" s="17"/>
      <c r="G339" s="17"/>
      <c r="H339" s="17"/>
      <c r="I339" s="17"/>
      <c r="J339" s="17"/>
      <c r="K339" s="17">
        <v>74.8</v>
      </c>
      <c r="L339" s="17">
        <v>160.5</v>
      </c>
      <c r="M339" s="17">
        <v>170.2</v>
      </c>
      <c r="N339" s="17">
        <v>199.3</v>
      </c>
      <c r="O339" s="17">
        <v>263.60000000000002</v>
      </c>
      <c r="P339" s="17">
        <v>324.5</v>
      </c>
      <c r="Q339" s="17">
        <v>327.7</v>
      </c>
      <c r="R339" s="17">
        <v>334.9</v>
      </c>
      <c r="S339" s="17">
        <v>340.8</v>
      </c>
      <c r="T339" s="17">
        <v>395.7</v>
      </c>
      <c r="U339" s="17">
        <v>463.2</v>
      </c>
    </row>
    <row r="340" spans="1:21" x14ac:dyDescent="0.2">
      <c r="B340" t="s">
        <v>49</v>
      </c>
      <c r="C340" s="22"/>
      <c r="D340" s="22"/>
      <c r="E340" s="22"/>
      <c r="F340" s="22"/>
      <c r="G340" s="22"/>
      <c r="H340" s="22"/>
      <c r="I340" s="22"/>
      <c r="J340" s="22"/>
      <c r="K340" s="22" t="e">
        <f t="shared" ref="K340:U340" si="510">K339/G339-1</f>
        <v>#DIV/0!</v>
      </c>
      <c r="L340" s="22" t="e">
        <f t="shared" si="510"/>
        <v>#DIV/0!</v>
      </c>
      <c r="M340" s="22" t="e">
        <f t="shared" si="510"/>
        <v>#DIV/0!</v>
      </c>
      <c r="N340" s="22" t="e">
        <f t="shared" si="510"/>
        <v>#DIV/0!</v>
      </c>
      <c r="O340" s="22">
        <f t="shared" si="510"/>
        <v>2.524064171122995</v>
      </c>
      <c r="P340" s="22">
        <f t="shared" si="510"/>
        <v>1.0218068535825546</v>
      </c>
      <c r="Q340" s="22">
        <f t="shared" si="510"/>
        <v>0.92538190364277328</v>
      </c>
      <c r="R340" s="22">
        <f t="shared" si="510"/>
        <v>0.68038133467134942</v>
      </c>
      <c r="S340" s="22">
        <f t="shared" si="510"/>
        <v>0.2928679817905917</v>
      </c>
      <c r="T340" s="22">
        <f t="shared" si="510"/>
        <v>0.2194144838212635</v>
      </c>
      <c r="U340" s="22">
        <f t="shared" si="510"/>
        <v>0.41348794629234065</v>
      </c>
    </row>
    <row r="341" spans="1:21" x14ac:dyDescent="0.2">
      <c r="B341" t="s">
        <v>52</v>
      </c>
      <c r="C341" s="22"/>
      <c r="D341" s="22"/>
      <c r="E341" s="22"/>
      <c r="F341" s="22"/>
      <c r="G341" s="22"/>
      <c r="H341" s="22"/>
      <c r="I341" s="22"/>
      <c r="J341" s="22"/>
      <c r="K341" s="22"/>
      <c r="L341" s="22">
        <f t="shared" ref="L341:U341" si="511">L339/K339-1</f>
        <v>1.1457219251336901</v>
      </c>
      <c r="M341" s="22">
        <f t="shared" si="511"/>
        <v>6.0436137071651075E-2</v>
      </c>
      <c r="N341" s="22">
        <f t="shared" si="511"/>
        <v>0.17097532314923636</v>
      </c>
      <c r="O341" s="22">
        <f t="shared" si="511"/>
        <v>0.32262920220772706</v>
      </c>
      <c r="P341" s="22">
        <f t="shared" si="511"/>
        <v>0.23103186646433982</v>
      </c>
      <c r="Q341" s="22">
        <f t="shared" si="511"/>
        <v>9.8613251155623693E-3</v>
      </c>
      <c r="R341" s="22">
        <f t="shared" si="511"/>
        <v>2.197131522734197E-2</v>
      </c>
      <c r="S341" s="22">
        <f t="shared" si="511"/>
        <v>1.7617199163929564E-2</v>
      </c>
      <c r="T341" s="22">
        <f t="shared" si="511"/>
        <v>0.16109154929577452</v>
      </c>
      <c r="U341" s="22">
        <f t="shared" si="511"/>
        <v>0.17058377558756632</v>
      </c>
    </row>
    <row r="342" spans="1:21" x14ac:dyDescent="0.2">
      <c r="B342" s="17" t="s">
        <v>50</v>
      </c>
      <c r="C342" s="17"/>
      <c r="D342" s="17"/>
      <c r="E342" s="17"/>
      <c r="F342" s="17"/>
      <c r="G342" s="23"/>
      <c r="H342" s="23"/>
      <c r="I342" s="23"/>
      <c r="J342" s="23"/>
      <c r="K342" s="23" t="e">
        <f t="shared" ref="K342:U342" si="512">AVERAGE(H339:K339)/AVERAGE(G339:J339)-1</f>
        <v>#DIV/0!</v>
      </c>
      <c r="L342" s="23">
        <f t="shared" si="512"/>
        <v>0.57286096256684504</v>
      </c>
      <c r="M342" s="23">
        <f t="shared" si="512"/>
        <v>0.14888794446805487</v>
      </c>
      <c r="N342" s="23">
        <f t="shared" si="512"/>
        <v>0.11861898890258948</v>
      </c>
      <c r="O342" s="23">
        <f t="shared" si="512"/>
        <v>0.31216931216931232</v>
      </c>
      <c r="P342" s="23">
        <f t="shared" si="512"/>
        <v>0.20665322580645151</v>
      </c>
      <c r="Q342" s="23">
        <f t="shared" si="512"/>
        <v>0.16447368421052633</v>
      </c>
      <c r="R342" s="23">
        <f t="shared" si="512"/>
        <v>0.12160344363734166</v>
      </c>
      <c r="S342" s="23">
        <f t="shared" si="512"/>
        <v>6.1725433757096271E-2</v>
      </c>
      <c r="T342" s="23">
        <f t="shared" si="512"/>
        <v>5.3618495368626951E-2</v>
      </c>
      <c r="U342" s="23">
        <f t="shared" si="512"/>
        <v>9.6847973697377077E-2</v>
      </c>
    </row>
    <row r="343" spans="1:21" ht="13.5" thickBot="1" x14ac:dyDescent="0.25"/>
    <row r="344" spans="1:21" ht="13.5" thickBot="1" x14ac:dyDescent="0.25">
      <c r="A344" s="24" t="s">
        <v>0</v>
      </c>
      <c r="B344" s="25" t="s">
        <v>154</v>
      </c>
      <c r="C344" s="24" t="s">
        <v>30</v>
      </c>
      <c r="D344" s="24" t="s">
        <v>31</v>
      </c>
      <c r="E344" s="24" t="s">
        <v>32</v>
      </c>
      <c r="F344" s="24" t="s">
        <v>33</v>
      </c>
      <c r="G344" s="24" t="s">
        <v>34</v>
      </c>
      <c r="H344" s="24" t="s">
        <v>35</v>
      </c>
      <c r="I344" s="24" t="s">
        <v>36</v>
      </c>
      <c r="J344" s="24" t="s">
        <v>37</v>
      </c>
      <c r="K344" s="24" t="s">
        <v>38</v>
      </c>
      <c r="L344" s="24" t="s">
        <v>39</v>
      </c>
      <c r="M344" s="24" t="s">
        <v>40</v>
      </c>
      <c r="N344" s="24" t="s">
        <v>41</v>
      </c>
      <c r="O344" s="24" t="s">
        <v>42</v>
      </c>
      <c r="P344" s="24" t="s">
        <v>43</v>
      </c>
      <c r="Q344" s="24" t="s">
        <v>44</v>
      </c>
      <c r="R344" s="24" t="s">
        <v>45</v>
      </c>
      <c r="S344" s="24" t="s">
        <v>46</v>
      </c>
      <c r="T344" s="24" t="s">
        <v>47</v>
      </c>
      <c r="U344" s="24" t="s">
        <v>19</v>
      </c>
    </row>
    <row r="345" spans="1:21" x14ac:dyDescent="0.2">
      <c r="A345" s="17"/>
      <c r="B345" s="17" t="s">
        <v>51</v>
      </c>
      <c r="C345" s="17"/>
      <c r="D345" s="17"/>
      <c r="E345" s="17"/>
      <c r="F345" s="17"/>
      <c r="G345" s="17"/>
      <c r="H345" s="17"/>
      <c r="I345" s="17"/>
      <c r="J345" s="17"/>
      <c r="K345" s="17"/>
      <c r="L345" s="17"/>
      <c r="M345" s="17"/>
      <c r="N345" s="17"/>
      <c r="O345" s="17"/>
      <c r="P345" s="17"/>
      <c r="Q345" s="17"/>
      <c r="R345" s="17"/>
      <c r="S345" s="17"/>
      <c r="T345" s="17"/>
      <c r="U345" s="17"/>
    </row>
    <row r="346" spans="1:21" x14ac:dyDescent="0.2">
      <c r="B346" t="s">
        <v>49</v>
      </c>
      <c r="C346" s="22"/>
      <c r="D346" s="22"/>
      <c r="E346" s="22"/>
      <c r="F346" s="22"/>
      <c r="G346" s="22"/>
      <c r="H346" s="22"/>
      <c r="I346" s="22"/>
      <c r="J346" s="22"/>
      <c r="K346" s="22" t="e">
        <f t="shared" ref="K346:U346" si="513">K345/G345-1</f>
        <v>#DIV/0!</v>
      </c>
      <c r="L346" s="22" t="e">
        <f t="shared" si="513"/>
        <v>#DIV/0!</v>
      </c>
      <c r="M346" s="22" t="e">
        <f t="shared" si="513"/>
        <v>#DIV/0!</v>
      </c>
      <c r="N346" s="22" t="e">
        <f t="shared" si="513"/>
        <v>#DIV/0!</v>
      </c>
      <c r="O346" s="22" t="e">
        <f t="shared" si="513"/>
        <v>#DIV/0!</v>
      </c>
      <c r="P346" s="22" t="e">
        <f t="shared" si="513"/>
        <v>#DIV/0!</v>
      </c>
      <c r="Q346" s="22" t="e">
        <f t="shared" si="513"/>
        <v>#DIV/0!</v>
      </c>
      <c r="R346" s="22" t="e">
        <f t="shared" si="513"/>
        <v>#DIV/0!</v>
      </c>
      <c r="S346" s="22" t="e">
        <f t="shared" si="513"/>
        <v>#DIV/0!</v>
      </c>
      <c r="T346" s="22" t="e">
        <f t="shared" si="513"/>
        <v>#DIV/0!</v>
      </c>
      <c r="U346" s="22" t="e">
        <f t="shared" si="513"/>
        <v>#DIV/0!</v>
      </c>
    </row>
    <row r="347" spans="1:21" x14ac:dyDescent="0.2">
      <c r="B347" t="s">
        <v>52</v>
      </c>
      <c r="C347" s="22"/>
      <c r="D347" s="22"/>
      <c r="E347" s="22"/>
      <c r="F347" s="22"/>
      <c r="G347" s="22"/>
      <c r="H347" s="22"/>
      <c r="I347" s="22"/>
      <c r="J347" s="22"/>
      <c r="K347" s="22"/>
      <c r="L347" s="22" t="e">
        <f t="shared" ref="L347:U347" si="514">L345/K345-1</f>
        <v>#DIV/0!</v>
      </c>
      <c r="M347" s="22" t="e">
        <f t="shared" si="514"/>
        <v>#DIV/0!</v>
      </c>
      <c r="N347" s="22" t="e">
        <f t="shared" si="514"/>
        <v>#DIV/0!</v>
      </c>
      <c r="O347" s="22" t="e">
        <f t="shared" si="514"/>
        <v>#DIV/0!</v>
      </c>
      <c r="P347" s="22" t="e">
        <f t="shared" si="514"/>
        <v>#DIV/0!</v>
      </c>
      <c r="Q347" s="22" t="e">
        <f t="shared" si="514"/>
        <v>#DIV/0!</v>
      </c>
      <c r="R347" s="22" t="e">
        <f t="shared" si="514"/>
        <v>#DIV/0!</v>
      </c>
      <c r="S347" s="22" t="e">
        <f t="shared" si="514"/>
        <v>#DIV/0!</v>
      </c>
      <c r="T347" s="22" t="e">
        <f t="shared" si="514"/>
        <v>#DIV/0!</v>
      </c>
      <c r="U347" s="22" t="e">
        <f t="shared" si="514"/>
        <v>#DIV/0!</v>
      </c>
    </row>
    <row r="348" spans="1:21" x14ac:dyDescent="0.2">
      <c r="A348" s="17"/>
      <c r="B348" s="17" t="s">
        <v>48</v>
      </c>
      <c r="C348" s="17"/>
      <c r="D348" s="17"/>
      <c r="E348" s="17"/>
      <c r="F348" s="17"/>
      <c r="G348" s="17"/>
      <c r="H348" s="17"/>
      <c r="I348" s="17"/>
      <c r="J348" s="17"/>
      <c r="K348" s="17">
        <v>27.4</v>
      </c>
      <c r="L348" s="17">
        <v>32.4</v>
      </c>
      <c r="M348" s="17">
        <v>32</v>
      </c>
      <c r="N348" s="17">
        <v>37.200000000000003</v>
      </c>
      <c r="O348" s="17">
        <v>24.3</v>
      </c>
      <c r="P348" s="17">
        <v>-20.7</v>
      </c>
      <c r="Q348" s="17">
        <v>20.399999999999999</v>
      </c>
      <c r="R348" s="17">
        <v>30.2</v>
      </c>
      <c r="S348" s="17">
        <v>34.299999999999997</v>
      </c>
      <c r="T348" s="17">
        <v>39.799999999999997</v>
      </c>
      <c r="U348" s="17">
        <v>46.3</v>
      </c>
    </row>
    <row r="349" spans="1:21" x14ac:dyDescent="0.2">
      <c r="B349" t="s">
        <v>49</v>
      </c>
      <c r="C349" s="22"/>
      <c r="D349" s="22"/>
      <c r="E349" s="22"/>
      <c r="F349" s="22"/>
      <c r="G349" s="22"/>
      <c r="H349" s="22"/>
      <c r="I349" s="22"/>
      <c r="J349" s="22"/>
      <c r="K349" s="22" t="e">
        <f t="shared" ref="K349:U349" si="515">K348/G348-1</f>
        <v>#DIV/0!</v>
      </c>
      <c r="L349" s="22" t="e">
        <f t="shared" si="515"/>
        <v>#DIV/0!</v>
      </c>
      <c r="M349" s="22" t="e">
        <f t="shared" si="515"/>
        <v>#DIV/0!</v>
      </c>
      <c r="N349" s="22" t="e">
        <f t="shared" si="515"/>
        <v>#DIV/0!</v>
      </c>
      <c r="O349" s="22">
        <f t="shared" si="515"/>
        <v>-0.11313868613138678</v>
      </c>
      <c r="P349" s="22">
        <f t="shared" si="515"/>
        <v>-1.6388888888888888</v>
      </c>
      <c r="Q349" s="22">
        <f t="shared" si="515"/>
        <v>-0.36250000000000004</v>
      </c>
      <c r="R349" s="22">
        <f t="shared" si="515"/>
        <v>-0.18817204301075274</v>
      </c>
      <c r="S349" s="22">
        <f t="shared" si="515"/>
        <v>0.41152263374485587</v>
      </c>
      <c r="T349" s="22">
        <f t="shared" si="515"/>
        <v>-2.9227053140096615</v>
      </c>
      <c r="U349" s="22">
        <f t="shared" si="515"/>
        <v>1.2696078431372548</v>
      </c>
    </row>
    <row r="350" spans="1:21" x14ac:dyDescent="0.2">
      <c r="B350" t="s">
        <v>52</v>
      </c>
      <c r="C350" s="22"/>
      <c r="D350" s="22"/>
      <c r="E350" s="22"/>
      <c r="F350" s="22"/>
      <c r="G350" s="22"/>
      <c r="H350" s="22"/>
      <c r="I350" s="22"/>
      <c r="J350" s="22"/>
      <c r="K350" s="22"/>
      <c r="L350" s="22">
        <f t="shared" ref="L350:U350" si="516">L348/K348-1</f>
        <v>0.18248175182481763</v>
      </c>
      <c r="M350" s="22">
        <f t="shared" si="516"/>
        <v>-1.2345679012345623E-2</v>
      </c>
      <c r="N350" s="22">
        <f t="shared" si="516"/>
        <v>0.16250000000000009</v>
      </c>
      <c r="O350" s="22">
        <f t="shared" si="516"/>
        <v>-0.34677419354838712</v>
      </c>
      <c r="P350" s="22">
        <f t="shared" si="516"/>
        <v>-1.8518518518518516</v>
      </c>
      <c r="Q350" s="22">
        <f t="shared" si="516"/>
        <v>-1.9855072463768115</v>
      </c>
      <c r="R350" s="22">
        <f t="shared" si="516"/>
        <v>0.48039215686274517</v>
      </c>
      <c r="S350" s="22">
        <f t="shared" si="516"/>
        <v>0.13576158940397343</v>
      </c>
      <c r="T350" s="22">
        <f t="shared" si="516"/>
        <v>0.16034985422740533</v>
      </c>
      <c r="U350" s="22">
        <f t="shared" si="516"/>
        <v>0.16331658291457285</v>
      </c>
    </row>
    <row r="351" spans="1:21" x14ac:dyDescent="0.2">
      <c r="B351" s="17" t="s">
        <v>50</v>
      </c>
      <c r="C351" s="17"/>
      <c r="D351" s="17"/>
      <c r="E351" s="17"/>
      <c r="F351" s="17"/>
      <c r="G351" s="23"/>
      <c r="H351" s="23"/>
      <c r="I351" s="23"/>
      <c r="J351" s="23"/>
      <c r="K351" s="23" t="e">
        <f t="shared" ref="K351:U351" si="517">AVERAGE(H348:K348)/AVERAGE(G348:J348)-1</f>
        <v>#DIV/0!</v>
      </c>
      <c r="L351" s="23">
        <f t="shared" si="517"/>
        <v>9.1240875912408814E-2</v>
      </c>
      <c r="M351" s="23">
        <f t="shared" si="517"/>
        <v>2.3411371237458178E-2</v>
      </c>
      <c r="N351" s="23">
        <f t="shared" si="517"/>
        <v>5.3921568627451011E-2</v>
      </c>
      <c r="O351" s="23">
        <f t="shared" si="517"/>
        <v>-2.4031007751937894E-2</v>
      </c>
      <c r="P351" s="23">
        <f t="shared" si="517"/>
        <v>-0.42176330420969033</v>
      </c>
      <c r="Q351" s="23">
        <f t="shared" si="517"/>
        <v>-0.15934065934065933</v>
      </c>
      <c r="R351" s="23">
        <f t="shared" si="517"/>
        <v>-0.11437908496732019</v>
      </c>
      <c r="S351" s="23">
        <f t="shared" si="517"/>
        <v>0.18450184501844991</v>
      </c>
      <c r="T351" s="23">
        <f t="shared" si="517"/>
        <v>0.94236760124610619</v>
      </c>
      <c r="U351" s="23">
        <f t="shared" si="517"/>
        <v>0.20769847634322369</v>
      </c>
    </row>
    <row r="352" spans="1:21" ht="13.5" thickBot="1" x14ac:dyDescent="0.25"/>
    <row r="353" spans="1:21" ht="13.5" thickBot="1" x14ac:dyDescent="0.25">
      <c r="A353" s="24" t="s">
        <v>0</v>
      </c>
      <c r="B353" s="25" t="s">
        <v>203</v>
      </c>
      <c r="C353" s="24" t="s">
        <v>30</v>
      </c>
      <c r="D353" s="24" t="s">
        <v>31</v>
      </c>
      <c r="E353" s="24" t="s">
        <v>32</v>
      </c>
      <c r="F353" s="24" t="s">
        <v>33</v>
      </c>
      <c r="G353" s="24" t="s">
        <v>34</v>
      </c>
      <c r="H353" s="24" t="s">
        <v>35</v>
      </c>
      <c r="I353" s="24" t="s">
        <v>36</v>
      </c>
      <c r="J353" s="24" t="s">
        <v>37</v>
      </c>
      <c r="K353" s="24" t="s">
        <v>38</v>
      </c>
      <c r="L353" s="24" t="s">
        <v>39</v>
      </c>
      <c r="M353" s="24" t="s">
        <v>40</v>
      </c>
      <c r="N353" s="24" t="s">
        <v>41</v>
      </c>
      <c r="O353" s="24" t="s">
        <v>42</v>
      </c>
      <c r="P353" s="24" t="s">
        <v>43</v>
      </c>
      <c r="Q353" s="24" t="s">
        <v>44</v>
      </c>
      <c r="R353" s="24" t="s">
        <v>45</v>
      </c>
      <c r="S353" s="24" t="s">
        <v>46</v>
      </c>
      <c r="T353" s="24" t="s">
        <v>47</v>
      </c>
      <c r="U353" s="24" t="s">
        <v>19</v>
      </c>
    </row>
    <row r="354" spans="1:21" x14ac:dyDescent="0.2">
      <c r="A354" s="17"/>
      <c r="B354" s="17" t="s">
        <v>51</v>
      </c>
      <c r="C354" s="17"/>
      <c r="D354" s="17"/>
      <c r="E354" s="17"/>
      <c r="F354" s="17"/>
      <c r="G354" s="17"/>
      <c r="H354" s="17"/>
      <c r="I354" s="17"/>
      <c r="J354" s="17"/>
      <c r="K354" s="17"/>
      <c r="L354" s="17"/>
      <c r="M354" s="17"/>
      <c r="N354" s="17"/>
      <c r="O354" s="17"/>
      <c r="P354" s="17"/>
      <c r="Q354" s="17"/>
      <c r="R354" s="17"/>
      <c r="S354" s="17"/>
      <c r="T354" s="17"/>
      <c r="U354" s="17"/>
    </row>
    <row r="355" spans="1:21" x14ac:dyDescent="0.2">
      <c r="B355" t="s">
        <v>49</v>
      </c>
      <c r="C355" s="22"/>
      <c r="D355" s="22"/>
      <c r="E355" s="22"/>
      <c r="F355" s="22"/>
      <c r="G355" s="22"/>
      <c r="H355" s="22"/>
      <c r="I355" s="22"/>
      <c r="J355" s="22"/>
      <c r="K355" s="22" t="e">
        <f t="shared" ref="K355:U355" si="518">K354/G354-1</f>
        <v>#DIV/0!</v>
      </c>
      <c r="L355" s="22" t="e">
        <f t="shared" si="518"/>
        <v>#DIV/0!</v>
      </c>
      <c r="M355" s="22" t="e">
        <f t="shared" si="518"/>
        <v>#DIV/0!</v>
      </c>
      <c r="N355" s="22" t="e">
        <f t="shared" si="518"/>
        <v>#DIV/0!</v>
      </c>
      <c r="O355" s="22" t="e">
        <f t="shared" si="518"/>
        <v>#DIV/0!</v>
      </c>
      <c r="P355" s="22" t="e">
        <f t="shared" si="518"/>
        <v>#DIV/0!</v>
      </c>
      <c r="Q355" s="22" t="e">
        <f t="shared" si="518"/>
        <v>#DIV/0!</v>
      </c>
      <c r="R355" s="22" t="e">
        <f t="shared" si="518"/>
        <v>#DIV/0!</v>
      </c>
      <c r="S355" s="22" t="e">
        <f t="shared" si="518"/>
        <v>#DIV/0!</v>
      </c>
      <c r="T355" s="22" t="e">
        <f t="shared" si="518"/>
        <v>#DIV/0!</v>
      </c>
      <c r="U355" s="22" t="e">
        <f t="shared" si="518"/>
        <v>#DIV/0!</v>
      </c>
    </row>
    <row r="356" spans="1:21" x14ac:dyDescent="0.2">
      <c r="B356" t="s">
        <v>52</v>
      </c>
      <c r="C356" s="22"/>
      <c r="D356" s="22"/>
      <c r="E356" s="22"/>
      <c r="F356" s="22"/>
      <c r="G356" s="22"/>
      <c r="H356" s="22"/>
      <c r="I356" s="22"/>
      <c r="J356" s="22"/>
      <c r="K356" s="22"/>
      <c r="L356" s="22" t="e">
        <f t="shared" ref="L356:U356" si="519">L354/K354-1</f>
        <v>#DIV/0!</v>
      </c>
      <c r="M356" s="22" t="e">
        <f t="shared" si="519"/>
        <v>#DIV/0!</v>
      </c>
      <c r="N356" s="22" t="e">
        <f t="shared" si="519"/>
        <v>#DIV/0!</v>
      </c>
      <c r="O356" s="22" t="e">
        <f t="shared" si="519"/>
        <v>#DIV/0!</v>
      </c>
      <c r="P356" s="22" t="e">
        <f t="shared" si="519"/>
        <v>#DIV/0!</v>
      </c>
      <c r="Q356" s="22" t="e">
        <f t="shared" si="519"/>
        <v>#DIV/0!</v>
      </c>
      <c r="R356" s="22" t="e">
        <f t="shared" si="519"/>
        <v>#DIV/0!</v>
      </c>
      <c r="S356" s="22" t="e">
        <f t="shared" si="519"/>
        <v>#DIV/0!</v>
      </c>
      <c r="T356" s="22" t="e">
        <f t="shared" si="519"/>
        <v>#DIV/0!</v>
      </c>
      <c r="U356" s="22" t="e">
        <f t="shared" si="519"/>
        <v>#DIV/0!</v>
      </c>
    </row>
    <row r="357" spans="1:21" x14ac:dyDescent="0.2">
      <c r="A357" s="17"/>
      <c r="B357" s="17" t="s">
        <v>48</v>
      </c>
      <c r="C357" s="17"/>
      <c r="D357" s="17"/>
      <c r="E357" s="17"/>
      <c r="F357" s="17"/>
      <c r="G357" s="17"/>
      <c r="H357" s="17"/>
      <c r="I357" s="17"/>
      <c r="J357" s="17"/>
      <c r="K357" s="17">
        <v>29.6</v>
      </c>
      <c r="L357" s="17">
        <v>37.9</v>
      </c>
      <c r="M357" s="17">
        <v>35.9</v>
      </c>
      <c r="N357" s="17">
        <v>10.3</v>
      </c>
      <c r="O357" s="17">
        <v>-62.5</v>
      </c>
      <c r="P357" s="17">
        <v>-48.9</v>
      </c>
      <c r="Q357" s="17">
        <v>-4.7</v>
      </c>
      <c r="R357" s="17">
        <v>12.7</v>
      </c>
      <c r="S357" s="17">
        <v>10.4</v>
      </c>
      <c r="T357" s="17">
        <v>-1.4</v>
      </c>
      <c r="U357" s="17">
        <v>11.3</v>
      </c>
    </row>
    <row r="358" spans="1:21" x14ac:dyDescent="0.2">
      <c r="B358" t="s">
        <v>49</v>
      </c>
      <c r="C358" s="22"/>
      <c r="D358" s="22"/>
      <c r="E358" s="22"/>
      <c r="F358" s="22"/>
      <c r="G358" s="22"/>
      <c r="H358" s="22"/>
      <c r="I358" s="22"/>
      <c r="J358" s="22"/>
      <c r="K358" s="22" t="e">
        <f t="shared" ref="K358:U358" si="520">K357/G357-1</f>
        <v>#DIV/0!</v>
      </c>
      <c r="L358" s="22" t="e">
        <f t="shared" si="520"/>
        <v>#DIV/0!</v>
      </c>
      <c r="M358" s="22" t="e">
        <f t="shared" si="520"/>
        <v>#DIV/0!</v>
      </c>
      <c r="N358" s="22" t="e">
        <f t="shared" si="520"/>
        <v>#DIV/0!</v>
      </c>
      <c r="O358" s="22">
        <f t="shared" si="520"/>
        <v>-3.1114864864864864</v>
      </c>
      <c r="P358" s="22">
        <f t="shared" si="520"/>
        <v>-2.2902374670184695</v>
      </c>
      <c r="Q358" s="22">
        <f t="shared" si="520"/>
        <v>-1.1309192200557103</v>
      </c>
      <c r="R358" s="22">
        <f t="shared" si="520"/>
        <v>0.23300970873786397</v>
      </c>
      <c r="S358" s="22">
        <f t="shared" si="520"/>
        <v>-1.1663999999999999</v>
      </c>
      <c r="T358" s="22">
        <f t="shared" si="520"/>
        <v>-0.97137014314928427</v>
      </c>
      <c r="U358" s="22">
        <f t="shared" si="520"/>
        <v>-3.4042553191489362</v>
      </c>
    </row>
    <row r="359" spans="1:21" x14ac:dyDescent="0.2">
      <c r="B359" t="s">
        <v>52</v>
      </c>
      <c r="C359" s="22"/>
      <c r="D359" s="22"/>
      <c r="E359" s="22"/>
      <c r="F359" s="22"/>
      <c r="G359" s="22"/>
      <c r="H359" s="22"/>
      <c r="I359" s="22"/>
      <c r="J359" s="22"/>
      <c r="K359" s="22"/>
      <c r="L359" s="22">
        <f t="shared" ref="L359:U359" si="521">L357/K357-1</f>
        <v>0.28040540540540526</v>
      </c>
      <c r="M359" s="22">
        <f t="shared" si="521"/>
        <v>-5.2770448548812632E-2</v>
      </c>
      <c r="N359" s="22">
        <f t="shared" si="521"/>
        <v>-0.71309192200557092</v>
      </c>
      <c r="O359" s="22">
        <f t="shared" si="521"/>
        <v>-7.0679611650485432</v>
      </c>
      <c r="P359" s="22">
        <f t="shared" si="521"/>
        <v>-0.21760000000000002</v>
      </c>
      <c r="Q359" s="22">
        <f t="shared" si="521"/>
        <v>-0.9038854805725971</v>
      </c>
      <c r="R359" s="22">
        <f t="shared" si="521"/>
        <v>-3.7021276595744679</v>
      </c>
      <c r="S359" s="22">
        <f t="shared" si="521"/>
        <v>-0.18110236220472431</v>
      </c>
      <c r="T359" s="22">
        <f t="shared" si="521"/>
        <v>-1.1346153846153846</v>
      </c>
      <c r="U359" s="22">
        <f t="shared" si="521"/>
        <v>-9.071428571428573</v>
      </c>
    </row>
    <row r="360" spans="1:21" x14ac:dyDescent="0.2">
      <c r="B360" s="17" t="s">
        <v>50</v>
      </c>
      <c r="C360" s="17"/>
      <c r="D360" s="17"/>
      <c r="E360" s="17"/>
      <c r="F360" s="17"/>
      <c r="G360" s="23"/>
      <c r="H360" s="23"/>
      <c r="I360" s="23"/>
      <c r="J360" s="23"/>
      <c r="K360" s="23" t="e">
        <f t="shared" ref="K360:U360" si="522">AVERAGE(H357:K357)/AVERAGE(G357:J357)-1</f>
        <v>#DIV/0!</v>
      </c>
      <c r="L360" s="23">
        <f t="shared" si="522"/>
        <v>0.14020270270270263</v>
      </c>
      <c r="M360" s="23">
        <f t="shared" si="522"/>
        <v>2.123456790123468E-2</v>
      </c>
      <c r="N360" s="23">
        <f t="shared" si="522"/>
        <v>-0.17529013539651839</v>
      </c>
      <c r="O360" s="23">
        <f t="shared" si="522"/>
        <v>-0.81002638522427439</v>
      </c>
      <c r="P360" s="23">
        <f t="shared" si="522"/>
        <v>-4.018518518518519</v>
      </c>
      <c r="Q360" s="23">
        <f t="shared" si="522"/>
        <v>0.62269938650306766</v>
      </c>
      <c r="R360" s="23">
        <f t="shared" si="522"/>
        <v>-2.2684310018903475E-2</v>
      </c>
      <c r="S360" s="23">
        <f t="shared" si="522"/>
        <v>-0.70502901353965175</v>
      </c>
      <c r="T360" s="23">
        <f t="shared" si="522"/>
        <v>-1.5573770491803276</v>
      </c>
      <c r="U360" s="23">
        <f t="shared" si="522"/>
        <v>0.94117647058823528</v>
      </c>
    </row>
    <row r="361" spans="1:21" ht="13.5" thickBot="1" x14ac:dyDescent="0.25"/>
    <row r="362" spans="1:21" ht="13.5" thickBot="1" x14ac:dyDescent="0.25">
      <c r="A362" s="24" t="s">
        <v>0</v>
      </c>
      <c r="B362" s="25" t="s">
        <v>150</v>
      </c>
      <c r="C362" s="24" t="s">
        <v>30</v>
      </c>
      <c r="D362" s="24" t="s">
        <v>31</v>
      </c>
      <c r="E362" s="24" t="s">
        <v>32</v>
      </c>
      <c r="F362" s="24" t="s">
        <v>33</v>
      </c>
      <c r="G362" s="24" t="s">
        <v>34</v>
      </c>
      <c r="H362" s="24" t="s">
        <v>35</v>
      </c>
      <c r="I362" s="24" t="s">
        <v>36</v>
      </c>
      <c r="J362" s="24" t="s">
        <v>37</v>
      </c>
      <c r="K362" s="24" t="s">
        <v>38</v>
      </c>
      <c r="L362" s="24" t="s">
        <v>39</v>
      </c>
      <c r="M362" s="24" t="s">
        <v>40</v>
      </c>
      <c r="N362" s="24" t="s">
        <v>41</v>
      </c>
      <c r="O362" s="24" t="s">
        <v>42</v>
      </c>
      <c r="P362" s="24" t="s">
        <v>43</v>
      </c>
      <c r="Q362" s="24" t="s">
        <v>44</v>
      </c>
      <c r="R362" s="24" t="s">
        <v>45</v>
      </c>
      <c r="S362" s="24" t="s">
        <v>46</v>
      </c>
      <c r="T362" s="24" t="s">
        <v>47</v>
      </c>
      <c r="U362" s="24" t="s">
        <v>19</v>
      </c>
    </row>
    <row r="363" spans="1:21" x14ac:dyDescent="0.2">
      <c r="A363" s="17"/>
      <c r="B363" s="17" t="s">
        <v>51</v>
      </c>
      <c r="C363" s="17"/>
      <c r="D363" s="17"/>
      <c r="E363" s="17"/>
      <c r="F363" s="17"/>
      <c r="G363" s="17"/>
      <c r="H363" s="17"/>
      <c r="I363" s="17"/>
      <c r="J363" s="17"/>
      <c r="K363" s="17"/>
      <c r="L363" s="17"/>
      <c r="M363" s="17"/>
      <c r="N363" s="17"/>
      <c r="O363" s="17"/>
      <c r="P363" s="17"/>
      <c r="Q363" s="17"/>
      <c r="R363" s="17"/>
      <c r="S363" s="17"/>
      <c r="T363" s="17"/>
      <c r="U363" s="17"/>
    </row>
    <row r="364" spans="1:21" x14ac:dyDescent="0.2">
      <c r="B364" t="s">
        <v>49</v>
      </c>
      <c r="C364" s="22"/>
      <c r="D364" s="22"/>
      <c r="E364" s="22"/>
      <c r="F364" s="22"/>
      <c r="G364" s="22"/>
      <c r="H364" s="22"/>
      <c r="I364" s="22"/>
      <c r="J364" s="22"/>
      <c r="K364" s="22" t="e">
        <f t="shared" ref="K364:U364" si="523">K363/G363-1</f>
        <v>#DIV/0!</v>
      </c>
      <c r="L364" s="22" t="e">
        <f t="shared" si="523"/>
        <v>#DIV/0!</v>
      </c>
      <c r="M364" s="22" t="e">
        <f t="shared" si="523"/>
        <v>#DIV/0!</v>
      </c>
      <c r="N364" s="22" t="e">
        <f t="shared" si="523"/>
        <v>#DIV/0!</v>
      </c>
      <c r="O364" s="22" t="e">
        <f t="shared" si="523"/>
        <v>#DIV/0!</v>
      </c>
      <c r="P364" s="22" t="e">
        <f t="shared" si="523"/>
        <v>#DIV/0!</v>
      </c>
      <c r="Q364" s="22" t="e">
        <f t="shared" si="523"/>
        <v>#DIV/0!</v>
      </c>
      <c r="R364" s="22" t="e">
        <f t="shared" si="523"/>
        <v>#DIV/0!</v>
      </c>
      <c r="S364" s="22" t="e">
        <f t="shared" si="523"/>
        <v>#DIV/0!</v>
      </c>
      <c r="T364" s="22" t="e">
        <f t="shared" si="523"/>
        <v>#DIV/0!</v>
      </c>
      <c r="U364" s="22" t="e">
        <f t="shared" si="523"/>
        <v>#DIV/0!</v>
      </c>
    </row>
    <row r="365" spans="1:21" x14ac:dyDescent="0.2">
      <c r="B365" t="s">
        <v>52</v>
      </c>
      <c r="C365" s="22"/>
      <c r="D365" s="22"/>
      <c r="E365" s="22"/>
      <c r="F365" s="22"/>
      <c r="G365" s="22"/>
      <c r="H365" s="22"/>
      <c r="I365" s="22"/>
      <c r="J365" s="22"/>
      <c r="K365" s="22"/>
      <c r="L365" s="22" t="e">
        <f t="shared" ref="L365:U365" si="524">L363/K363-1</f>
        <v>#DIV/0!</v>
      </c>
      <c r="M365" s="22" t="e">
        <f t="shared" si="524"/>
        <v>#DIV/0!</v>
      </c>
      <c r="N365" s="22" t="e">
        <f t="shared" si="524"/>
        <v>#DIV/0!</v>
      </c>
      <c r="O365" s="22" t="e">
        <f t="shared" si="524"/>
        <v>#DIV/0!</v>
      </c>
      <c r="P365" s="22" t="e">
        <f t="shared" si="524"/>
        <v>#DIV/0!</v>
      </c>
      <c r="Q365" s="22" t="e">
        <f t="shared" si="524"/>
        <v>#DIV/0!</v>
      </c>
      <c r="R365" s="22" t="e">
        <f t="shared" si="524"/>
        <v>#DIV/0!</v>
      </c>
      <c r="S365" s="22" t="e">
        <f t="shared" si="524"/>
        <v>#DIV/0!</v>
      </c>
      <c r="T365" s="22" t="e">
        <f t="shared" si="524"/>
        <v>#DIV/0!</v>
      </c>
      <c r="U365" s="22" t="e">
        <f t="shared" si="524"/>
        <v>#DIV/0!</v>
      </c>
    </row>
    <row r="366" spans="1:21" x14ac:dyDescent="0.2">
      <c r="A366" s="17"/>
      <c r="B366" s="17" t="s">
        <v>48</v>
      </c>
      <c r="C366" s="17"/>
      <c r="D366" s="17"/>
      <c r="E366" s="17"/>
      <c r="F366" s="17"/>
      <c r="G366" s="17"/>
      <c r="H366" s="17"/>
      <c r="I366" s="17"/>
      <c r="J366" s="17"/>
      <c r="K366" s="17">
        <v>90</v>
      </c>
      <c r="L366" s="17">
        <v>124</v>
      </c>
      <c r="M366" s="17">
        <v>91</v>
      </c>
      <c r="N366" s="17">
        <v>11</v>
      </c>
      <c r="O366" s="17">
        <v>70</v>
      </c>
      <c r="P366" s="17">
        <v>-5</v>
      </c>
      <c r="Q366" s="17">
        <v>-10</v>
      </c>
      <c r="R366" s="17">
        <v>156</v>
      </c>
      <c r="S366" s="17">
        <v>72</v>
      </c>
      <c r="T366" s="17">
        <v>26</v>
      </c>
      <c r="U366" s="17">
        <v>73</v>
      </c>
    </row>
    <row r="367" spans="1:21" x14ac:dyDescent="0.2">
      <c r="B367" t="s">
        <v>49</v>
      </c>
      <c r="C367" s="22"/>
      <c r="D367" s="22"/>
      <c r="E367" s="22"/>
      <c r="F367" s="22"/>
      <c r="G367" s="22"/>
      <c r="H367" s="22"/>
      <c r="I367" s="22"/>
      <c r="J367" s="22"/>
      <c r="K367" s="22" t="e">
        <f t="shared" ref="K367:U367" si="525">K366/G366-1</f>
        <v>#DIV/0!</v>
      </c>
      <c r="L367" s="22" t="e">
        <f t="shared" si="525"/>
        <v>#DIV/0!</v>
      </c>
      <c r="M367" s="22" t="e">
        <f t="shared" si="525"/>
        <v>#DIV/0!</v>
      </c>
      <c r="N367" s="22" t="e">
        <f t="shared" si="525"/>
        <v>#DIV/0!</v>
      </c>
      <c r="O367" s="22">
        <f t="shared" si="525"/>
        <v>-0.22222222222222221</v>
      </c>
      <c r="P367" s="22">
        <f t="shared" si="525"/>
        <v>-1.0403225806451613</v>
      </c>
      <c r="Q367" s="22">
        <f t="shared" si="525"/>
        <v>-1.1098901098901099</v>
      </c>
      <c r="R367" s="22">
        <f t="shared" si="525"/>
        <v>13.181818181818182</v>
      </c>
      <c r="S367" s="22">
        <f t="shared" si="525"/>
        <v>2.857142857142847E-2</v>
      </c>
      <c r="T367" s="22">
        <f t="shared" si="525"/>
        <v>-6.2</v>
      </c>
      <c r="U367" s="22">
        <f t="shared" si="525"/>
        <v>-8.3000000000000007</v>
      </c>
    </row>
    <row r="368" spans="1:21" x14ac:dyDescent="0.2">
      <c r="B368" t="s">
        <v>52</v>
      </c>
      <c r="C368" s="22"/>
      <c r="D368" s="22"/>
      <c r="E368" s="22"/>
      <c r="F368" s="22"/>
      <c r="G368" s="22"/>
      <c r="H368" s="22"/>
      <c r="I368" s="22"/>
      <c r="J368" s="22"/>
      <c r="K368" s="22"/>
      <c r="L368" s="22">
        <f t="shared" ref="L368:U368" si="526">L366/K366-1</f>
        <v>0.37777777777777777</v>
      </c>
      <c r="M368" s="22">
        <f t="shared" si="526"/>
        <v>-0.2661290322580645</v>
      </c>
      <c r="N368" s="22">
        <f t="shared" si="526"/>
        <v>-0.87912087912087911</v>
      </c>
      <c r="O368" s="22">
        <f t="shared" si="526"/>
        <v>5.3636363636363633</v>
      </c>
      <c r="P368" s="22">
        <f t="shared" si="526"/>
        <v>-1.0714285714285714</v>
      </c>
      <c r="Q368" s="22">
        <f t="shared" si="526"/>
        <v>1</v>
      </c>
      <c r="R368" s="22">
        <f t="shared" si="526"/>
        <v>-16.600000000000001</v>
      </c>
      <c r="S368" s="22">
        <f t="shared" si="526"/>
        <v>-0.53846153846153844</v>
      </c>
      <c r="T368" s="22">
        <f t="shared" si="526"/>
        <v>-0.63888888888888884</v>
      </c>
      <c r="U368" s="22">
        <f t="shared" si="526"/>
        <v>1.8076923076923075</v>
      </c>
    </row>
    <row r="369" spans="1:21" x14ac:dyDescent="0.2">
      <c r="B369" s="17" t="s">
        <v>50</v>
      </c>
      <c r="C369" s="17"/>
      <c r="D369" s="17"/>
      <c r="E369" s="17"/>
      <c r="F369" s="17"/>
      <c r="G369" s="23"/>
      <c r="H369" s="23"/>
      <c r="I369" s="23"/>
      <c r="J369" s="23"/>
      <c r="K369" s="23" t="e">
        <f t="shared" ref="K369:U369" si="527">AVERAGE(H366:K366)/AVERAGE(G366:J366)-1</f>
        <v>#DIV/0!</v>
      </c>
      <c r="L369" s="23">
        <f t="shared" si="527"/>
        <v>0.18888888888888888</v>
      </c>
      <c r="M369" s="23">
        <f t="shared" si="527"/>
        <v>-4.9844236760124616E-2</v>
      </c>
      <c r="N369" s="23">
        <f t="shared" si="527"/>
        <v>-0.22295081967213115</v>
      </c>
      <c r="O369" s="23">
        <f t="shared" si="527"/>
        <v>-6.3291139240506333E-2</v>
      </c>
      <c r="P369" s="23">
        <f t="shared" si="527"/>
        <v>-0.43581081081081086</v>
      </c>
      <c r="Q369" s="23">
        <f t="shared" si="527"/>
        <v>-0.60479041916167664</v>
      </c>
      <c r="R369" s="23">
        <f t="shared" si="527"/>
        <v>2.1969696969696968</v>
      </c>
      <c r="S369" s="23">
        <f t="shared" si="527"/>
        <v>9.4786729857820884E-3</v>
      </c>
      <c r="T369" s="23">
        <f t="shared" si="527"/>
        <v>0.14553990610328649</v>
      </c>
      <c r="U369" s="23">
        <f t="shared" si="527"/>
        <v>0.3401639344262295</v>
      </c>
    </row>
    <row r="370" spans="1:21" ht="13.5" thickBot="1" x14ac:dyDescent="0.25"/>
    <row r="371" spans="1:21" ht="13.5" thickBot="1" x14ac:dyDescent="0.25">
      <c r="A371" s="24" t="s">
        <v>0</v>
      </c>
      <c r="B371" s="25" t="s">
        <v>146</v>
      </c>
      <c r="C371" s="24" t="s">
        <v>30</v>
      </c>
      <c r="D371" s="24" t="s">
        <v>31</v>
      </c>
      <c r="E371" s="24" t="s">
        <v>32</v>
      </c>
      <c r="F371" s="24" t="s">
        <v>33</v>
      </c>
      <c r="G371" s="24" t="s">
        <v>34</v>
      </c>
      <c r="H371" s="24" t="s">
        <v>35</v>
      </c>
      <c r="I371" s="24" t="s">
        <v>36</v>
      </c>
      <c r="J371" s="24" t="s">
        <v>37</v>
      </c>
      <c r="K371" s="24" t="s">
        <v>38</v>
      </c>
      <c r="L371" s="24" t="s">
        <v>39</v>
      </c>
      <c r="M371" s="24" t="s">
        <v>40</v>
      </c>
      <c r="N371" s="24" t="s">
        <v>41</v>
      </c>
      <c r="O371" s="24" t="s">
        <v>42</v>
      </c>
      <c r="P371" s="24" t="s">
        <v>43</v>
      </c>
      <c r="Q371" s="24" t="s">
        <v>44</v>
      </c>
      <c r="R371" s="24" t="s">
        <v>45</v>
      </c>
      <c r="S371" s="24" t="s">
        <v>46</v>
      </c>
      <c r="T371" s="24" t="s">
        <v>47</v>
      </c>
      <c r="U371" s="24" t="s">
        <v>19</v>
      </c>
    </row>
    <row r="372" spans="1:21" x14ac:dyDescent="0.2">
      <c r="A372" s="17"/>
      <c r="B372" s="17" t="s">
        <v>51</v>
      </c>
      <c r="C372" s="17"/>
      <c r="D372" s="17"/>
      <c r="E372" s="17"/>
      <c r="F372" s="17"/>
      <c r="G372" s="17"/>
      <c r="H372" s="17"/>
      <c r="I372" s="17"/>
      <c r="J372" s="17"/>
      <c r="K372" s="17"/>
      <c r="L372" s="17"/>
      <c r="M372" s="17"/>
      <c r="N372" s="17"/>
      <c r="O372" s="17"/>
      <c r="P372" s="17"/>
      <c r="Q372" s="17"/>
      <c r="R372" s="17"/>
      <c r="S372" s="17"/>
      <c r="T372" s="17"/>
      <c r="U372" s="17"/>
    </row>
    <row r="373" spans="1:21" x14ac:dyDescent="0.2">
      <c r="B373" t="s">
        <v>49</v>
      </c>
      <c r="C373" s="22"/>
      <c r="D373" s="22"/>
      <c r="E373" s="22"/>
      <c r="F373" s="22"/>
      <c r="G373" s="22"/>
      <c r="H373" s="22"/>
      <c r="I373" s="22"/>
      <c r="J373" s="22"/>
      <c r="K373" s="22" t="e">
        <f t="shared" ref="K373:U373" si="528">K372/G372-1</f>
        <v>#DIV/0!</v>
      </c>
      <c r="L373" s="22" t="e">
        <f t="shared" si="528"/>
        <v>#DIV/0!</v>
      </c>
      <c r="M373" s="22" t="e">
        <f t="shared" si="528"/>
        <v>#DIV/0!</v>
      </c>
      <c r="N373" s="22" t="e">
        <f t="shared" si="528"/>
        <v>#DIV/0!</v>
      </c>
      <c r="O373" s="22" t="e">
        <f t="shared" si="528"/>
        <v>#DIV/0!</v>
      </c>
      <c r="P373" s="22" t="e">
        <f t="shared" si="528"/>
        <v>#DIV/0!</v>
      </c>
      <c r="Q373" s="22" t="e">
        <f t="shared" si="528"/>
        <v>#DIV/0!</v>
      </c>
      <c r="R373" s="22" t="e">
        <f t="shared" si="528"/>
        <v>#DIV/0!</v>
      </c>
      <c r="S373" s="22" t="e">
        <f t="shared" si="528"/>
        <v>#DIV/0!</v>
      </c>
      <c r="T373" s="22" t="e">
        <f t="shared" si="528"/>
        <v>#DIV/0!</v>
      </c>
      <c r="U373" s="22" t="e">
        <f t="shared" si="528"/>
        <v>#DIV/0!</v>
      </c>
    </row>
    <row r="374" spans="1:21" x14ac:dyDescent="0.2">
      <c r="B374" t="s">
        <v>52</v>
      </c>
      <c r="C374" s="22"/>
      <c r="D374" s="22"/>
      <c r="E374" s="22"/>
      <c r="F374" s="22"/>
      <c r="G374" s="22"/>
      <c r="H374" s="22"/>
      <c r="I374" s="22"/>
      <c r="J374" s="22"/>
      <c r="K374" s="22"/>
      <c r="L374" s="22" t="e">
        <f t="shared" ref="L374:U374" si="529">L372/K372-1</f>
        <v>#DIV/0!</v>
      </c>
      <c r="M374" s="22" t="e">
        <f t="shared" si="529"/>
        <v>#DIV/0!</v>
      </c>
      <c r="N374" s="22" t="e">
        <f t="shared" si="529"/>
        <v>#DIV/0!</v>
      </c>
      <c r="O374" s="22" t="e">
        <f t="shared" si="529"/>
        <v>#DIV/0!</v>
      </c>
      <c r="P374" s="22" t="e">
        <f t="shared" si="529"/>
        <v>#DIV/0!</v>
      </c>
      <c r="Q374" s="22" t="e">
        <f t="shared" si="529"/>
        <v>#DIV/0!</v>
      </c>
      <c r="R374" s="22" t="e">
        <f t="shared" si="529"/>
        <v>#DIV/0!</v>
      </c>
      <c r="S374" s="22" t="e">
        <f t="shared" si="529"/>
        <v>#DIV/0!</v>
      </c>
      <c r="T374" s="22" t="e">
        <f t="shared" si="529"/>
        <v>#DIV/0!</v>
      </c>
      <c r="U374" s="22" t="e">
        <f t="shared" si="529"/>
        <v>#DIV/0!</v>
      </c>
    </row>
    <row r="375" spans="1:21" x14ac:dyDescent="0.2">
      <c r="A375" s="17"/>
      <c r="B375" s="17" t="s">
        <v>48</v>
      </c>
      <c r="C375" s="17"/>
      <c r="D375" s="17"/>
      <c r="E375" s="17"/>
      <c r="F375" s="17"/>
      <c r="G375" s="17"/>
      <c r="H375" s="17"/>
      <c r="I375" s="17"/>
      <c r="J375" s="17"/>
      <c r="K375" s="17">
        <v>6.7</v>
      </c>
      <c r="L375" s="17">
        <v>20.8</v>
      </c>
      <c r="M375" s="17">
        <v>23.5</v>
      </c>
      <c r="N375" s="17">
        <v>5.4</v>
      </c>
      <c r="O375" s="17">
        <v>19</v>
      </c>
      <c r="P375" s="17">
        <v>30</v>
      </c>
      <c r="Q375" s="17">
        <v>20.6</v>
      </c>
      <c r="R375" s="17">
        <v>4.3</v>
      </c>
      <c r="S375" s="17">
        <v>19.3</v>
      </c>
      <c r="T375" s="17">
        <v>25.1</v>
      </c>
      <c r="U375" s="17">
        <v>27.9</v>
      </c>
    </row>
    <row r="376" spans="1:21" x14ac:dyDescent="0.2">
      <c r="B376" t="s">
        <v>49</v>
      </c>
      <c r="C376" s="22"/>
      <c r="D376" s="22"/>
      <c r="E376" s="22"/>
      <c r="F376" s="22"/>
      <c r="G376" s="22"/>
      <c r="H376" s="22"/>
      <c r="I376" s="22"/>
      <c r="J376" s="22"/>
      <c r="K376" s="22" t="e">
        <f t="shared" ref="K376:U376" si="530">K375/G375-1</f>
        <v>#DIV/0!</v>
      </c>
      <c r="L376" s="22" t="e">
        <f t="shared" si="530"/>
        <v>#DIV/0!</v>
      </c>
      <c r="M376" s="22" t="e">
        <f t="shared" si="530"/>
        <v>#DIV/0!</v>
      </c>
      <c r="N376" s="22" t="e">
        <f t="shared" si="530"/>
        <v>#DIV/0!</v>
      </c>
      <c r="O376" s="22">
        <f t="shared" si="530"/>
        <v>1.8358208955223878</v>
      </c>
      <c r="P376" s="22">
        <f t="shared" si="530"/>
        <v>0.44230769230769229</v>
      </c>
      <c r="Q376" s="22">
        <f t="shared" si="530"/>
        <v>-0.12340425531914889</v>
      </c>
      <c r="R376" s="22">
        <f t="shared" si="530"/>
        <v>-0.20370370370370383</v>
      </c>
      <c r="S376" s="22">
        <f t="shared" si="530"/>
        <v>1.5789473684210575E-2</v>
      </c>
      <c r="T376" s="22">
        <f t="shared" si="530"/>
        <v>-0.16333333333333333</v>
      </c>
      <c r="U376" s="22">
        <f t="shared" si="530"/>
        <v>0.35436893203883479</v>
      </c>
    </row>
    <row r="377" spans="1:21" x14ac:dyDescent="0.2">
      <c r="B377" t="s">
        <v>52</v>
      </c>
      <c r="C377" s="22"/>
      <c r="D377" s="22"/>
      <c r="E377" s="22"/>
      <c r="F377" s="22"/>
      <c r="G377" s="22"/>
      <c r="H377" s="22"/>
      <c r="I377" s="22"/>
      <c r="J377" s="22"/>
      <c r="K377" s="22"/>
      <c r="L377" s="22">
        <f t="shared" ref="L377:U377" si="531">L375/K375-1</f>
        <v>2.1044776119402986</v>
      </c>
      <c r="M377" s="22">
        <f t="shared" si="531"/>
        <v>0.12980769230769229</v>
      </c>
      <c r="N377" s="22">
        <f t="shared" si="531"/>
        <v>-0.77021276595744681</v>
      </c>
      <c r="O377" s="22">
        <f t="shared" si="531"/>
        <v>2.5185185185185182</v>
      </c>
      <c r="P377" s="22">
        <f t="shared" si="531"/>
        <v>0.57894736842105265</v>
      </c>
      <c r="Q377" s="22">
        <f t="shared" si="531"/>
        <v>-0.31333333333333324</v>
      </c>
      <c r="R377" s="22">
        <f t="shared" si="531"/>
        <v>-0.79126213592233008</v>
      </c>
      <c r="S377" s="22">
        <f t="shared" si="531"/>
        <v>3.4883720930232558</v>
      </c>
      <c r="T377" s="22">
        <f t="shared" si="531"/>
        <v>0.30051813471502586</v>
      </c>
      <c r="U377" s="22">
        <f t="shared" si="531"/>
        <v>0.11155378486055767</v>
      </c>
    </row>
    <row r="378" spans="1:21" x14ac:dyDescent="0.2">
      <c r="B378" s="17" t="s">
        <v>50</v>
      </c>
      <c r="C378" s="17"/>
      <c r="D378" s="17"/>
      <c r="E378" s="17"/>
      <c r="F378" s="17"/>
      <c r="G378" s="23"/>
      <c r="H378" s="23"/>
      <c r="I378" s="23"/>
      <c r="J378" s="23"/>
      <c r="K378" s="23" t="e">
        <f t="shared" ref="K378:U378" si="532">AVERAGE(H375:K375)/AVERAGE(G375:J375)-1</f>
        <v>#DIV/0!</v>
      </c>
      <c r="L378" s="23">
        <f t="shared" si="532"/>
        <v>1.0522388059701493</v>
      </c>
      <c r="M378" s="23">
        <f t="shared" si="532"/>
        <v>0.23636363636363633</v>
      </c>
      <c r="N378" s="23">
        <f t="shared" si="532"/>
        <v>-0.17058823529411771</v>
      </c>
      <c r="O378" s="23">
        <f t="shared" si="532"/>
        <v>0.21808510638297851</v>
      </c>
      <c r="P378" s="23">
        <f t="shared" si="532"/>
        <v>0.13391557496361006</v>
      </c>
      <c r="Q378" s="23">
        <f t="shared" si="532"/>
        <v>-3.7227214377406947E-2</v>
      </c>
      <c r="R378" s="23">
        <f t="shared" si="532"/>
        <v>-1.4666666666666828E-2</v>
      </c>
      <c r="S378" s="23">
        <f t="shared" si="532"/>
        <v>4.0595399188092518E-3</v>
      </c>
      <c r="T378" s="23">
        <f t="shared" si="532"/>
        <v>-6.6037735849056478E-2</v>
      </c>
      <c r="U378" s="23">
        <f t="shared" si="532"/>
        <v>0.10533910533910507</v>
      </c>
    </row>
    <row r="379" spans="1:21" ht="13.5" thickBot="1" x14ac:dyDescent="0.25"/>
    <row r="380" spans="1:21" ht="13.5" thickBot="1" x14ac:dyDescent="0.25">
      <c r="A380" s="24" t="s">
        <v>0</v>
      </c>
      <c r="B380" s="25" t="s">
        <v>142</v>
      </c>
      <c r="C380" s="24" t="s">
        <v>30</v>
      </c>
      <c r="D380" s="24" t="s">
        <v>31</v>
      </c>
      <c r="E380" s="24" t="s">
        <v>32</v>
      </c>
      <c r="F380" s="24" t="s">
        <v>33</v>
      </c>
      <c r="G380" s="24" t="s">
        <v>34</v>
      </c>
      <c r="H380" s="24" t="s">
        <v>35</v>
      </c>
      <c r="I380" s="24" t="s">
        <v>36</v>
      </c>
      <c r="J380" s="24" t="s">
        <v>37</v>
      </c>
      <c r="K380" s="24" t="s">
        <v>38</v>
      </c>
      <c r="L380" s="24" t="s">
        <v>39</v>
      </c>
      <c r="M380" s="24" t="s">
        <v>40</v>
      </c>
      <c r="N380" s="24" t="s">
        <v>41</v>
      </c>
      <c r="O380" s="24" t="s">
        <v>42</v>
      </c>
      <c r="P380" s="24" t="s">
        <v>43</v>
      </c>
      <c r="Q380" s="24" t="s">
        <v>44</v>
      </c>
      <c r="R380" s="24" t="s">
        <v>45</v>
      </c>
      <c r="S380" s="24" t="s">
        <v>46</v>
      </c>
      <c r="T380" s="24" t="s">
        <v>47</v>
      </c>
      <c r="U380" s="24" t="s">
        <v>19</v>
      </c>
    </row>
    <row r="381" spans="1:21" x14ac:dyDescent="0.2">
      <c r="A381" s="17"/>
      <c r="B381" s="17" t="s">
        <v>51</v>
      </c>
      <c r="C381" s="17"/>
      <c r="D381" s="17"/>
      <c r="E381" s="17"/>
      <c r="F381" s="17"/>
      <c r="G381" s="17"/>
      <c r="H381" s="17"/>
      <c r="I381" s="17"/>
      <c r="J381" s="17"/>
      <c r="K381" s="17"/>
      <c r="L381" s="17"/>
      <c r="M381" s="17"/>
      <c r="N381" s="17"/>
      <c r="O381" s="17"/>
      <c r="P381" s="17"/>
      <c r="Q381" s="17"/>
      <c r="R381" s="17"/>
      <c r="S381" s="17"/>
      <c r="T381" s="17"/>
      <c r="U381" s="17"/>
    </row>
    <row r="382" spans="1:21" x14ac:dyDescent="0.2">
      <c r="B382" t="s">
        <v>49</v>
      </c>
      <c r="C382" s="22"/>
      <c r="D382" s="22"/>
      <c r="E382" s="22"/>
      <c r="F382" s="22"/>
      <c r="G382" s="22"/>
      <c r="H382" s="22"/>
      <c r="I382" s="22"/>
      <c r="J382" s="22"/>
      <c r="K382" s="22" t="e">
        <f t="shared" ref="K382:U382" si="533">K381/G381-1</f>
        <v>#DIV/0!</v>
      </c>
      <c r="L382" s="22" t="e">
        <f t="shared" si="533"/>
        <v>#DIV/0!</v>
      </c>
      <c r="M382" s="22" t="e">
        <f t="shared" si="533"/>
        <v>#DIV/0!</v>
      </c>
      <c r="N382" s="22" t="e">
        <f t="shared" si="533"/>
        <v>#DIV/0!</v>
      </c>
      <c r="O382" s="22" t="e">
        <f t="shared" si="533"/>
        <v>#DIV/0!</v>
      </c>
      <c r="P382" s="22" t="e">
        <f t="shared" si="533"/>
        <v>#DIV/0!</v>
      </c>
      <c r="Q382" s="22" t="e">
        <f t="shared" si="533"/>
        <v>#DIV/0!</v>
      </c>
      <c r="R382" s="22" t="e">
        <f t="shared" si="533"/>
        <v>#DIV/0!</v>
      </c>
      <c r="S382" s="22" t="e">
        <f t="shared" si="533"/>
        <v>#DIV/0!</v>
      </c>
      <c r="T382" s="22" t="e">
        <f t="shared" si="533"/>
        <v>#DIV/0!</v>
      </c>
      <c r="U382" s="22" t="e">
        <f t="shared" si="533"/>
        <v>#DIV/0!</v>
      </c>
    </row>
    <row r="383" spans="1:21" x14ac:dyDescent="0.2">
      <c r="B383" t="s">
        <v>52</v>
      </c>
      <c r="C383" s="22"/>
      <c r="D383" s="22"/>
      <c r="E383" s="22"/>
      <c r="F383" s="22"/>
      <c r="G383" s="22"/>
      <c r="H383" s="22"/>
      <c r="I383" s="22"/>
      <c r="J383" s="22"/>
      <c r="K383" s="22"/>
      <c r="L383" s="22" t="e">
        <f t="shared" ref="L383:U383" si="534">L381/K381-1</f>
        <v>#DIV/0!</v>
      </c>
      <c r="M383" s="22" t="e">
        <f t="shared" si="534"/>
        <v>#DIV/0!</v>
      </c>
      <c r="N383" s="22" t="e">
        <f t="shared" si="534"/>
        <v>#DIV/0!</v>
      </c>
      <c r="O383" s="22" t="e">
        <f t="shared" si="534"/>
        <v>#DIV/0!</v>
      </c>
      <c r="P383" s="22" t="e">
        <f t="shared" si="534"/>
        <v>#DIV/0!</v>
      </c>
      <c r="Q383" s="22" t="e">
        <f t="shared" si="534"/>
        <v>#DIV/0!</v>
      </c>
      <c r="R383" s="22" t="e">
        <f t="shared" si="534"/>
        <v>#DIV/0!</v>
      </c>
      <c r="S383" s="22" t="e">
        <f t="shared" si="534"/>
        <v>#DIV/0!</v>
      </c>
      <c r="T383" s="22" t="e">
        <f t="shared" si="534"/>
        <v>#DIV/0!</v>
      </c>
      <c r="U383" s="22" t="e">
        <f t="shared" si="534"/>
        <v>#DIV/0!</v>
      </c>
    </row>
    <row r="384" spans="1:21" x14ac:dyDescent="0.2">
      <c r="A384" s="17"/>
      <c r="B384" s="17" t="s">
        <v>48</v>
      </c>
      <c r="C384" s="17"/>
      <c r="D384" s="17"/>
      <c r="E384" s="17"/>
      <c r="F384" s="17"/>
      <c r="G384" s="17"/>
      <c r="H384" s="17"/>
      <c r="I384" s="17"/>
      <c r="J384" s="17"/>
      <c r="K384" s="17">
        <v>227</v>
      </c>
      <c r="L384" s="17">
        <v>381</v>
      </c>
      <c r="M384" s="17">
        <v>494</v>
      </c>
      <c r="N384" s="17">
        <v>507</v>
      </c>
      <c r="O384" s="17">
        <v>299</v>
      </c>
      <c r="P384" s="17">
        <v>426</v>
      </c>
      <c r="Q384" s="17">
        <v>544</v>
      </c>
      <c r="R384" s="17">
        <v>594</v>
      </c>
      <c r="S384" s="17">
        <v>297</v>
      </c>
      <c r="T384" s="17">
        <v>457</v>
      </c>
      <c r="U384" s="17">
        <v>717</v>
      </c>
    </row>
    <row r="385" spans="1:21" x14ac:dyDescent="0.2">
      <c r="B385" t="s">
        <v>49</v>
      </c>
      <c r="C385" s="22"/>
      <c r="D385" s="22"/>
      <c r="E385" s="22"/>
      <c r="F385" s="22"/>
      <c r="G385" s="22"/>
      <c r="H385" s="22"/>
      <c r="I385" s="22"/>
      <c r="J385" s="22"/>
      <c r="K385" s="22" t="e">
        <f t="shared" ref="K385:U385" si="535">K384/G384-1</f>
        <v>#DIV/0!</v>
      </c>
      <c r="L385" s="22" t="e">
        <f t="shared" si="535"/>
        <v>#DIV/0!</v>
      </c>
      <c r="M385" s="22" t="e">
        <f t="shared" si="535"/>
        <v>#DIV/0!</v>
      </c>
      <c r="N385" s="22" t="e">
        <f t="shared" si="535"/>
        <v>#DIV/0!</v>
      </c>
      <c r="O385" s="22">
        <f t="shared" si="535"/>
        <v>0.31718061674008813</v>
      </c>
      <c r="P385" s="22">
        <f t="shared" si="535"/>
        <v>0.11811023622047245</v>
      </c>
      <c r="Q385" s="22">
        <f t="shared" si="535"/>
        <v>0.10121457489878538</v>
      </c>
      <c r="R385" s="22">
        <f t="shared" si="535"/>
        <v>0.17159763313609466</v>
      </c>
      <c r="S385" s="22">
        <f t="shared" si="535"/>
        <v>-6.6889632107023367E-3</v>
      </c>
      <c r="T385" s="22">
        <f t="shared" si="535"/>
        <v>7.2769953051643244E-2</v>
      </c>
      <c r="U385" s="22">
        <f t="shared" si="535"/>
        <v>0.31801470588235303</v>
      </c>
    </row>
    <row r="386" spans="1:21" x14ac:dyDescent="0.2">
      <c r="B386" t="s">
        <v>52</v>
      </c>
      <c r="C386" s="22"/>
      <c r="D386" s="22"/>
      <c r="E386" s="22"/>
      <c r="F386" s="22"/>
      <c r="G386" s="22"/>
      <c r="H386" s="22"/>
      <c r="I386" s="22"/>
      <c r="J386" s="22"/>
      <c r="K386" s="22"/>
      <c r="L386" s="22">
        <f t="shared" ref="L386:U386" si="536">L384/K384-1</f>
        <v>0.6784140969162995</v>
      </c>
      <c r="M386" s="22">
        <f t="shared" si="536"/>
        <v>0.29658792650918642</v>
      </c>
      <c r="N386" s="22">
        <f t="shared" si="536"/>
        <v>2.6315789473684292E-2</v>
      </c>
      <c r="O386" s="22">
        <f t="shared" si="536"/>
        <v>-0.41025641025641024</v>
      </c>
      <c r="P386" s="22">
        <f t="shared" si="536"/>
        <v>0.4247491638795986</v>
      </c>
      <c r="Q386" s="22">
        <f t="shared" si="536"/>
        <v>0.27699530516431925</v>
      </c>
      <c r="R386" s="22">
        <f t="shared" si="536"/>
        <v>9.1911764705882248E-2</v>
      </c>
      <c r="S386" s="22">
        <f t="shared" si="536"/>
        <v>-0.5</v>
      </c>
      <c r="T386" s="22">
        <f t="shared" si="536"/>
        <v>0.53872053872053871</v>
      </c>
      <c r="U386" s="22">
        <f t="shared" si="536"/>
        <v>0.56892778993435456</v>
      </c>
    </row>
    <row r="387" spans="1:21" x14ac:dyDescent="0.2">
      <c r="B387" s="17" t="s">
        <v>50</v>
      </c>
      <c r="C387" s="17"/>
      <c r="D387" s="17"/>
      <c r="E387" s="17"/>
      <c r="F387" s="17"/>
      <c r="G387" s="23"/>
      <c r="H387" s="23"/>
      <c r="I387" s="23"/>
      <c r="J387" s="23"/>
      <c r="K387" s="23" t="e">
        <f t="shared" ref="K387:U387" si="537">AVERAGE(H384:K384)/AVERAGE(G384:J384)-1</f>
        <v>#DIV/0!</v>
      </c>
      <c r="L387" s="23">
        <f t="shared" si="537"/>
        <v>0.33920704845814975</v>
      </c>
      <c r="M387" s="23">
        <f t="shared" si="537"/>
        <v>0.20833333333333326</v>
      </c>
      <c r="N387" s="23">
        <f t="shared" si="537"/>
        <v>9.5054446460980158E-2</v>
      </c>
      <c r="O387" s="23">
        <f t="shared" si="537"/>
        <v>4.4748290863890539E-2</v>
      </c>
      <c r="P387" s="23">
        <f t="shared" si="537"/>
        <v>2.6769779892920953E-2</v>
      </c>
      <c r="Q387" s="23">
        <f t="shared" si="537"/>
        <v>2.8968713789107703E-2</v>
      </c>
      <c r="R387" s="23">
        <f t="shared" si="537"/>
        <v>4.8986486486486402E-2</v>
      </c>
      <c r="S387" s="23">
        <f t="shared" si="537"/>
        <v>-1.0735373054213682E-3</v>
      </c>
      <c r="T387" s="23">
        <f t="shared" si="537"/>
        <v>1.6657710908113854E-2</v>
      </c>
      <c r="U387" s="23">
        <f t="shared" si="537"/>
        <v>9.1437632135306535E-2</v>
      </c>
    </row>
    <row r="389" spans="1:21" ht="13.5" thickBot="1" x14ac:dyDescent="0.25"/>
    <row r="390" spans="1:21" ht="13.5" thickBot="1" x14ac:dyDescent="0.25">
      <c r="A390" s="24" t="s">
        <v>0</v>
      </c>
      <c r="B390" s="25" t="s">
        <v>207</v>
      </c>
      <c r="C390" s="24" t="s">
        <v>30</v>
      </c>
      <c r="D390" s="24" t="s">
        <v>31</v>
      </c>
      <c r="E390" s="24" t="s">
        <v>32</v>
      </c>
      <c r="F390" s="24" t="s">
        <v>33</v>
      </c>
      <c r="G390" s="24" t="s">
        <v>34</v>
      </c>
      <c r="H390" s="24" t="s">
        <v>35</v>
      </c>
      <c r="I390" s="24" t="s">
        <v>36</v>
      </c>
      <c r="J390" s="24" t="s">
        <v>37</v>
      </c>
      <c r="K390" s="24" t="s">
        <v>38</v>
      </c>
      <c r="L390" s="24" t="s">
        <v>39</v>
      </c>
      <c r="M390" s="24" t="s">
        <v>40</v>
      </c>
      <c r="N390" s="24" t="s">
        <v>41</v>
      </c>
      <c r="O390" s="24" t="s">
        <v>42</v>
      </c>
      <c r="P390" s="24" t="s">
        <v>43</v>
      </c>
      <c r="Q390" s="24" t="s">
        <v>44</v>
      </c>
      <c r="R390" s="24" t="s">
        <v>45</v>
      </c>
      <c r="S390" s="24" t="s">
        <v>46</v>
      </c>
      <c r="T390" s="24" t="s">
        <v>47</v>
      </c>
      <c r="U390" s="24" t="s">
        <v>19</v>
      </c>
    </row>
    <row r="391" spans="1:21" x14ac:dyDescent="0.2">
      <c r="A391" s="17"/>
      <c r="B391" s="17" t="s">
        <v>51</v>
      </c>
      <c r="C391" s="17"/>
      <c r="D391" s="17"/>
      <c r="E391" s="17"/>
      <c r="F391" s="17"/>
      <c r="G391" s="17"/>
      <c r="H391" s="17"/>
      <c r="I391" s="17"/>
      <c r="J391" s="17"/>
      <c r="K391" s="17">
        <v>525.20000000000005</v>
      </c>
      <c r="L391" s="17">
        <v>533.29999999999995</v>
      </c>
      <c r="M391" s="17">
        <v>558.20000000000005</v>
      </c>
      <c r="N391" s="17">
        <v>608.4</v>
      </c>
      <c r="O391" s="17">
        <v>634.29999999999995</v>
      </c>
      <c r="P391" s="17">
        <v>678.1</v>
      </c>
      <c r="Q391" s="17">
        <v>725.5</v>
      </c>
      <c r="R391" s="17">
        <v>827.5</v>
      </c>
      <c r="S391" s="17">
        <v>883.9</v>
      </c>
      <c r="T391" s="17">
        <v>1003.7</v>
      </c>
      <c r="U391" s="17">
        <v>1181.0999999999999</v>
      </c>
    </row>
    <row r="392" spans="1:21" x14ac:dyDescent="0.2">
      <c r="B392" t="s">
        <v>49</v>
      </c>
      <c r="C392" s="22"/>
      <c r="D392" s="22"/>
      <c r="E392" s="22"/>
      <c r="F392" s="22"/>
      <c r="G392" s="22"/>
      <c r="H392" s="22"/>
      <c r="I392" s="22"/>
      <c r="J392" s="22"/>
      <c r="K392" s="22" t="e">
        <f t="shared" ref="K392" si="538">K391/G391-1</f>
        <v>#DIV/0!</v>
      </c>
      <c r="L392" s="22" t="e">
        <f t="shared" ref="L392" si="539">L391/H391-1</f>
        <v>#DIV/0!</v>
      </c>
      <c r="M392" s="22" t="e">
        <f t="shared" ref="M392" si="540">M391/I391-1</f>
        <v>#DIV/0!</v>
      </c>
      <c r="N392" s="22" t="e">
        <f t="shared" ref="N392" si="541">N391/J391-1</f>
        <v>#DIV/0!</v>
      </c>
      <c r="O392" s="22">
        <f t="shared" ref="O392" si="542">O391/K391-1</f>
        <v>0.20773038842345759</v>
      </c>
      <c r="P392" s="22">
        <f t="shared" ref="P392" si="543">P391/L391-1</f>
        <v>0.27151696981061324</v>
      </c>
      <c r="Q392" s="22">
        <f t="shared" ref="Q392" si="544">Q391/M391-1</f>
        <v>0.29971336438552476</v>
      </c>
      <c r="R392" s="22">
        <f t="shared" ref="R392" si="545">R391/N391-1</f>
        <v>0.36012491781722566</v>
      </c>
      <c r="S392" s="22">
        <f t="shared" ref="S392" si="546">S391/O391-1</f>
        <v>0.39350465079615327</v>
      </c>
      <c r="T392" s="22">
        <f t="shared" ref="T392" si="547">T391/P391-1</f>
        <v>0.48016516737944248</v>
      </c>
      <c r="U392" s="22">
        <f t="shared" ref="U392" si="548">U391/Q391-1</f>
        <v>0.62798070296347341</v>
      </c>
    </row>
    <row r="393" spans="1:21" x14ac:dyDescent="0.2">
      <c r="B393" t="s">
        <v>52</v>
      </c>
      <c r="C393" s="22"/>
      <c r="D393" s="22"/>
      <c r="E393" s="22"/>
      <c r="F393" s="22"/>
      <c r="G393" s="22"/>
      <c r="H393" s="22"/>
      <c r="I393" s="22"/>
      <c r="J393" s="22"/>
      <c r="K393" s="22"/>
      <c r="L393" s="22">
        <f t="shared" ref="L393:U393" si="549">L391/K391-1</f>
        <v>1.54226961157653E-2</v>
      </c>
      <c r="M393" s="22">
        <f t="shared" si="549"/>
        <v>4.6690418151134727E-2</v>
      </c>
      <c r="N393" s="22">
        <f t="shared" si="549"/>
        <v>8.9931924041562139E-2</v>
      </c>
      <c r="O393" s="22">
        <f t="shared" si="549"/>
        <v>4.2570677186061667E-2</v>
      </c>
      <c r="P393" s="22">
        <f t="shared" si="549"/>
        <v>6.9052498817594232E-2</v>
      </c>
      <c r="Q393" s="22">
        <f t="shared" si="549"/>
        <v>6.9901194514083498E-2</v>
      </c>
      <c r="R393" s="22">
        <f t="shared" si="549"/>
        <v>0.14059269469331492</v>
      </c>
      <c r="S393" s="22">
        <f t="shared" si="549"/>
        <v>6.8157099697885082E-2</v>
      </c>
      <c r="T393" s="22">
        <f t="shared" si="549"/>
        <v>0.13553569408304122</v>
      </c>
      <c r="U393" s="22">
        <f t="shared" si="549"/>
        <v>0.17674603965328273</v>
      </c>
    </row>
    <row r="394" spans="1:21" x14ac:dyDescent="0.2">
      <c r="A394" s="17"/>
      <c r="B394" s="17" t="s">
        <v>48</v>
      </c>
      <c r="C394" s="17"/>
      <c r="D394" s="17"/>
      <c r="E394" s="17"/>
      <c r="F394" s="17"/>
      <c r="G394" s="17"/>
      <c r="H394" s="17"/>
      <c r="I394" s="17"/>
      <c r="J394" s="17"/>
      <c r="K394" s="17">
        <v>4.0999999999999996</v>
      </c>
      <c r="L394" s="17">
        <v>10.1</v>
      </c>
      <c r="M394" s="17">
        <v>40</v>
      </c>
      <c r="N394" s="17">
        <v>65.8</v>
      </c>
      <c r="O394" s="17">
        <v>80.900000000000006</v>
      </c>
      <c r="P394" s="17">
        <v>105.3</v>
      </c>
      <c r="Q394" s="17">
        <v>113.1</v>
      </c>
      <c r="R394" s="17">
        <v>11</v>
      </c>
      <c r="S394" s="17">
        <v>176</v>
      </c>
      <c r="T394" s="17">
        <v>269.3</v>
      </c>
      <c r="U394" s="17">
        <v>393.3</v>
      </c>
    </row>
    <row r="395" spans="1:21" x14ac:dyDescent="0.2">
      <c r="B395" t="s">
        <v>49</v>
      </c>
      <c r="C395" s="22"/>
      <c r="D395" s="22"/>
      <c r="E395" s="22"/>
      <c r="F395" s="22"/>
      <c r="G395" s="22"/>
      <c r="H395" s="22"/>
      <c r="I395" s="22"/>
      <c r="J395" s="22"/>
      <c r="K395" s="22" t="e">
        <f t="shared" ref="K395" si="550">K394/G394-1</f>
        <v>#DIV/0!</v>
      </c>
      <c r="L395" s="22" t="e">
        <f t="shared" ref="L395" si="551">L394/H394-1</f>
        <v>#DIV/0!</v>
      </c>
      <c r="M395" s="22" t="e">
        <f t="shared" ref="M395" si="552">M394/I394-1</f>
        <v>#DIV/0!</v>
      </c>
      <c r="N395" s="22" t="e">
        <f t="shared" ref="N395" si="553">N394/J394-1</f>
        <v>#DIV/0!</v>
      </c>
      <c r="O395" s="22">
        <f t="shared" ref="O395" si="554">O394/K394-1</f>
        <v>18.731707317073173</v>
      </c>
      <c r="P395" s="22">
        <f t="shared" ref="P395" si="555">P394/L394-1</f>
        <v>9.4257425742574252</v>
      </c>
      <c r="Q395" s="22">
        <f t="shared" ref="Q395" si="556">Q394/M394-1</f>
        <v>1.8274999999999997</v>
      </c>
      <c r="R395" s="22">
        <f t="shared" ref="R395" si="557">R394/N394-1</f>
        <v>-0.8328267477203648</v>
      </c>
      <c r="S395" s="22">
        <f t="shared" ref="S395" si="558">S394/O394-1</f>
        <v>1.1755253399258341</v>
      </c>
      <c r="T395" s="22">
        <f t="shared" ref="T395" si="559">T394/P394-1</f>
        <v>1.5574548907882244</v>
      </c>
      <c r="U395" s="22">
        <f t="shared" ref="U395" si="560">U394/Q394-1</f>
        <v>2.477453580901857</v>
      </c>
    </row>
    <row r="396" spans="1:21" x14ac:dyDescent="0.2">
      <c r="B396" t="s">
        <v>52</v>
      </c>
      <c r="C396" s="22"/>
      <c r="D396" s="22"/>
      <c r="E396" s="22"/>
      <c r="F396" s="22"/>
      <c r="G396" s="22"/>
      <c r="H396" s="22"/>
      <c r="I396" s="22"/>
      <c r="J396" s="22"/>
      <c r="K396" s="22"/>
      <c r="L396" s="22">
        <f t="shared" ref="L396:U396" si="561">L394/K394-1</f>
        <v>1.4634146341463414</v>
      </c>
      <c r="M396" s="22">
        <f t="shared" si="561"/>
        <v>2.9603960396039604</v>
      </c>
      <c r="N396" s="22">
        <f t="shared" si="561"/>
        <v>0.64500000000000002</v>
      </c>
      <c r="O396" s="22">
        <f t="shared" si="561"/>
        <v>0.22948328267477214</v>
      </c>
      <c r="P396" s="22">
        <f t="shared" si="561"/>
        <v>0.30160692212608153</v>
      </c>
      <c r="Q396" s="22">
        <f t="shared" si="561"/>
        <v>7.4074074074073959E-2</v>
      </c>
      <c r="R396" s="22">
        <f t="shared" si="561"/>
        <v>-0.90274093722369586</v>
      </c>
      <c r="S396" s="22">
        <f t="shared" si="561"/>
        <v>15</v>
      </c>
      <c r="T396" s="22">
        <f t="shared" si="561"/>
        <v>0.53011363636363651</v>
      </c>
      <c r="U396" s="22">
        <f t="shared" si="561"/>
        <v>0.46045302636464913</v>
      </c>
    </row>
    <row r="397" spans="1:21" x14ac:dyDescent="0.2">
      <c r="B397" s="17" t="s">
        <v>50</v>
      </c>
      <c r="C397" s="17"/>
      <c r="D397" s="17"/>
      <c r="E397" s="17"/>
      <c r="F397" s="17"/>
      <c r="G397" s="23"/>
      <c r="H397" s="23"/>
      <c r="I397" s="23"/>
      <c r="J397" s="23"/>
      <c r="K397" s="23"/>
      <c r="L397" s="23"/>
      <c r="M397" s="23"/>
      <c r="N397" s="23"/>
      <c r="O397" s="23">
        <f>AVERAGE(L394:O394)/AVERAGE(K394:N394)-1</f>
        <v>0.64000000000000012</v>
      </c>
      <c r="P397" s="23">
        <f t="shared" ref="P397" si="562">AVERAGE(M394:P394)/AVERAGE(L394:O394)-1</f>
        <v>0.4837398373983739</v>
      </c>
      <c r="Q397" s="23">
        <f t="shared" ref="Q397" si="563">AVERAGE(N394:Q394)/AVERAGE(M394:P394)-1</f>
        <v>0.25034246575342478</v>
      </c>
      <c r="R397" s="23">
        <f t="shared" ref="R397" si="564">AVERAGE(O394:R394)/AVERAGE(N394:Q394)-1</f>
        <v>-0.15009586414680931</v>
      </c>
      <c r="S397" s="26">
        <f t="shared" ref="S397" si="565">AVERAGE(P394:S394)/AVERAGE(O394:R394)-1</f>
        <v>0.30647760232033527</v>
      </c>
      <c r="T397" s="26">
        <f t="shared" ref="T397" si="566">AVERAGE(Q394:T394)/AVERAGE(P394:S394)-1</f>
        <v>0.40453872718302941</v>
      </c>
      <c r="U397" s="26">
        <f t="shared" ref="U397" si="567">AVERAGE(R394:U394)/AVERAGE(Q394:T394)-1</f>
        <v>0.49209694415173844</v>
      </c>
    </row>
    <row r="398" spans="1:21" ht="13.5" thickBot="1" x14ac:dyDescent="0.25"/>
    <row r="399" spans="1:21" ht="13.5" thickBot="1" x14ac:dyDescent="0.25">
      <c r="A399" s="24" t="s">
        <v>0</v>
      </c>
      <c r="B399" s="25" t="s">
        <v>214</v>
      </c>
      <c r="C399" s="24" t="s">
        <v>30</v>
      </c>
      <c r="D399" s="24" t="s">
        <v>31</v>
      </c>
      <c r="E399" s="24" t="s">
        <v>32</v>
      </c>
      <c r="F399" s="24" t="s">
        <v>33</v>
      </c>
      <c r="G399" s="24" t="s">
        <v>34</v>
      </c>
      <c r="H399" s="24" t="s">
        <v>35</v>
      </c>
      <c r="I399" s="24" t="s">
        <v>36</v>
      </c>
      <c r="J399" s="24" t="s">
        <v>37</v>
      </c>
      <c r="K399" s="24" t="s">
        <v>38</v>
      </c>
      <c r="L399" s="24" t="s">
        <v>39</v>
      </c>
      <c r="M399" s="24" t="s">
        <v>40</v>
      </c>
      <c r="N399" s="24" t="s">
        <v>41</v>
      </c>
      <c r="O399" s="24" t="s">
        <v>42</v>
      </c>
      <c r="P399" s="24" t="s">
        <v>43</v>
      </c>
      <c r="Q399" s="24" t="s">
        <v>44</v>
      </c>
      <c r="R399" s="24" t="s">
        <v>45</v>
      </c>
      <c r="S399" s="24" t="s">
        <v>46</v>
      </c>
      <c r="T399" s="24" t="s">
        <v>47</v>
      </c>
      <c r="U399" s="24" t="s">
        <v>19</v>
      </c>
    </row>
    <row r="400" spans="1:21" x14ac:dyDescent="0.2">
      <c r="A400" s="17"/>
      <c r="B400" s="17" t="s">
        <v>51</v>
      </c>
      <c r="C400" s="17"/>
      <c r="D400" s="17"/>
      <c r="E400" s="17"/>
      <c r="F400" s="17"/>
      <c r="G400" s="17"/>
      <c r="H400" s="17"/>
      <c r="I400" s="17"/>
      <c r="J400" s="17"/>
      <c r="K400" s="17">
        <v>403.6</v>
      </c>
      <c r="L400" s="17">
        <v>522.29999999999995</v>
      </c>
      <c r="M400" s="17">
        <v>560.29999999999995</v>
      </c>
      <c r="N400" s="17">
        <v>486</v>
      </c>
      <c r="O400" s="17">
        <v>440.4</v>
      </c>
      <c r="P400" s="17">
        <v>582.79999999999995</v>
      </c>
      <c r="Q400" s="17">
        <v>593.70000000000005</v>
      </c>
      <c r="R400" s="17">
        <v>498.8</v>
      </c>
      <c r="S400" s="17">
        <v>430.9</v>
      </c>
      <c r="T400" s="17">
        <v>614.5</v>
      </c>
      <c r="U400" s="17">
        <v>689</v>
      </c>
    </row>
    <row r="401" spans="1:21" x14ac:dyDescent="0.2">
      <c r="B401" t="s">
        <v>49</v>
      </c>
      <c r="C401" s="22"/>
      <c r="D401" s="22"/>
      <c r="E401" s="22"/>
      <c r="F401" s="22"/>
      <c r="G401" s="22"/>
      <c r="H401" s="22"/>
      <c r="I401" s="22"/>
      <c r="J401" s="22"/>
      <c r="K401" s="22" t="e">
        <f t="shared" ref="K401" si="568">K400/G400-1</f>
        <v>#DIV/0!</v>
      </c>
      <c r="L401" s="22" t="e">
        <f t="shared" ref="L401" si="569">L400/H400-1</f>
        <v>#DIV/0!</v>
      </c>
      <c r="M401" s="22" t="e">
        <f t="shared" ref="M401" si="570">M400/I400-1</f>
        <v>#DIV/0!</v>
      </c>
      <c r="N401" s="22" t="e">
        <f t="shared" ref="N401" si="571">N400/J400-1</f>
        <v>#DIV/0!</v>
      </c>
      <c r="O401" s="22">
        <f t="shared" ref="O401" si="572">O400/K400-1</f>
        <v>9.1179385530227863E-2</v>
      </c>
      <c r="P401" s="22">
        <f t="shared" ref="P401" si="573">P400/L400-1</f>
        <v>0.11583381198544895</v>
      </c>
      <c r="Q401" s="22">
        <f t="shared" ref="Q401" si="574">Q400/M400-1</f>
        <v>5.9610922719971704E-2</v>
      </c>
      <c r="R401" s="22">
        <f t="shared" ref="R401" si="575">R400/N400-1</f>
        <v>2.6337448559670795E-2</v>
      </c>
      <c r="S401" s="22">
        <f t="shared" ref="S401" si="576">S400/O400-1</f>
        <v>-2.1571298819255236E-2</v>
      </c>
      <c r="T401" s="22">
        <f t="shared" ref="T401" si="577">T400/P400-1</f>
        <v>5.4392587508579338E-2</v>
      </c>
      <c r="U401" s="22">
        <f t="shared" ref="U401" si="578">U400/Q400-1</f>
        <v>0.16051878052888657</v>
      </c>
    </row>
    <row r="402" spans="1:21" x14ac:dyDescent="0.2">
      <c r="B402" t="s">
        <v>52</v>
      </c>
      <c r="C402" s="22"/>
      <c r="D402" s="22"/>
      <c r="E402" s="22"/>
      <c r="F402" s="22"/>
      <c r="G402" s="22"/>
      <c r="H402" s="22"/>
      <c r="I402" s="22"/>
      <c r="J402" s="22"/>
      <c r="K402" s="22"/>
      <c r="L402" s="22">
        <f t="shared" ref="L402:U402" si="579">L400/K400-1</f>
        <v>0.29410307234886002</v>
      </c>
      <c r="M402" s="22">
        <f t="shared" si="579"/>
        <v>7.2755121577637416E-2</v>
      </c>
      <c r="N402" s="22">
        <f t="shared" si="579"/>
        <v>-0.13260753167945738</v>
      </c>
      <c r="O402" s="22">
        <f t="shared" si="579"/>
        <v>-9.3827160493827222E-2</v>
      </c>
      <c r="P402" s="22">
        <f t="shared" si="579"/>
        <v>0.32334241598546765</v>
      </c>
      <c r="Q402" s="22">
        <f t="shared" si="579"/>
        <v>1.8702814001372747E-2</v>
      </c>
      <c r="R402" s="22">
        <f t="shared" si="579"/>
        <v>-0.15984503958228069</v>
      </c>
      <c r="S402" s="22">
        <f t="shared" si="579"/>
        <v>-0.13612670408981564</v>
      </c>
      <c r="T402" s="22">
        <f t="shared" si="579"/>
        <v>0.4260849385008123</v>
      </c>
      <c r="U402" s="22">
        <f t="shared" si="579"/>
        <v>0.12123677786818554</v>
      </c>
    </row>
    <row r="403" spans="1:21" x14ac:dyDescent="0.2">
      <c r="A403" s="17"/>
      <c r="B403" s="17" t="s">
        <v>48</v>
      </c>
      <c r="C403" s="17"/>
      <c r="D403" s="17"/>
      <c r="E403" s="17"/>
      <c r="F403" s="17"/>
      <c r="G403" s="17"/>
      <c r="H403" s="17"/>
      <c r="I403" s="17"/>
      <c r="J403" s="17"/>
      <c r="K403" s="17">
        <v>32.6</v>
      </c>
      <c r="L403" s="17">
        <v>60.3</v>
      </c>
      <c r="M403" s="17">
        <v>57.1</v>
      </c>
      <c r="N403" s="17">
        <v>55.8</v>
      </c>
      <c r="O403" s="17">
        <v>42.1</v>
      </c>
      <c r="P403" s="17">
        <v>72.7</v>
      </c>
      <c r="Q403" s="17">
        <v>87.5</v>
      </c>
      <c r="R403" s="17">
        <v>62.3</v>
      </c>
      <c r="S403" s="17">
        <v>56.1</v>
      </c>
      <c r="T403" s="17">
        <v>104.6</v>
      </c>
      <c r="U403" s="17">
        <v>125.3</v>
      </c>
    </row>
    <row r="404" spans="1:21" x14ac:dyDescent="0.2">
      <c r="B404" t="s">
        <v>49</v>
      </c>
      <c r="C404" s="22"/>
      <c r="D404" s="22"/>
      <c r="E404" s="22"/>
      <c r="F404" s="22"/>
      <c r="G404" s="22"/>
      <c r="H404" s="22"/>
      <c r="I404" s="22"/>
      <c r="J404" s="22"/>
      <c r="K404" s="22" t="e">
        <f t="shared" ref="K404" si="580">K403/G403-1</f>
        <v>#DIV/0!</v>
      </c>
      <c r="L404" s="22" t="e">
        <f t="shared" ref="L404" si="581">L403/H403-1</f>
        <v>#DIV/0!</v>
      </c>
      <c r="M404" s="22" t="e">
        <f t="shared" ref="M404" si="582">M403/I403-1</f>
        <v>#DIV/0!</v>
      </c>
      <c r="N404" s="22" t="e">
        <f t="shared" ref="N404" si="583">N403/J403-1</f>
        <v>#DIV/0!</v>
      </c>
      <c r="O404" s="22">
        <f t="shared" ref="O404" si="584">O403/K403-1</f>
        <v>0.29141104294478537</v>
      </c>
      <c r="P404" s="22">
        <f t="shared" ref="P404" si="585">P403/L403-1</f>
        <v>0.20563847429519089</v>
      </c>
      <c r="Q404" s="22">
        <f t="shared" ref="Q404" si="586">Q403/M403-1</f>
        <v>0.53239929947460585</v>
      </c>
      <c r="R404" s="22">
        <f t="shared" ref="R404" si="587">R403/N403-1</f>
        <v>0.11648745519713266</v>
      </c>
      <c r="S404" s="22">
        <f t="shared" ref="S404" si="588">S403/O403-1</f>
        <v>0.33254156769596199</v>
      </c>
      <c r="T404" s="22">
        <f t="shared" ref="T404" si="589">T403/P403-1</f>
        <v>0.43878954607977971</v>
      </c>
      <c r="U404" s="22">
        <f t="shared" ref="U404" si="590">U403/Q403-1</f>
        <v>0.43199999999999994</v>
      </c>
    </row>
    <row r="405" spans="1:21" x14ac:dyDescent="0.2">
      <c r="B405" t="s">
        <v>52</v>
      </c>
      <c r="C405" s="22"/>
      <c r="D405" s="22"/>
      <c r="E405" s="22"/>
      <c r="F405" s="22"/>
      <c r="G405" s="22"/>
      <c r="H405" s="22"/>
      <c r="I405" s="22"/>
      <c r="J405" s="22"/>
      <c r="K405" s="22"/>
      <c r="L405" s="22">
        <f t="shared" ref="L405:U405" si="591">L403/K403-1</f>
        <v>0.84969325153374209</v>
      </c>
      <c r="M405" s="22">
        <f t="shared" si="591"/>
        <v>-5.306799336650081E-2</v>
      </c>
      <c r="N405" s="22">
        <f t="shared" si="591"/>
        <v>-2.2767075306479923E-2</v>
      </c>
      <c r="O405" s="22">
        <f t="shared" si="591"/>
        <v>-0.24551971326164868</v>
      </c>
      <c r="P405" s="22">
        <f t="shared" si="591"/>
        <v>0.72684085510688834</v>
      </c>
      <c r="Q405" s="22">
        <f t="shared" si="591"/>
        <v>0.203576341127923</v>
      </c>
      <c r="R405" s="22">
        <f t="shared" si="591"/>
        <v>-0.28800000000000003</v>
      </c>
      <c r="S405" s="22">
        <f t="shared" si="591"/>
        <v>-9.9518459069020793E-2</v>
      </c>
      <c r="T405" s="22">
        <f t="shared" si="591"/>
        <v>0.86452762923351134</v>
      </c>
      <c r="U405" s="22">
        <f t="shared" si="591"/>
        <v>0.19789674952198855</v>
      </c>
    </row>
    <row r="406" spans="1:21" x14ac:dyDescent="0.2">
      <c r="B406" s="17" t="s">
        <v>50</v>
      </c>
      <c r="C406" s="17"/>
      <c r="D406" s="17"/>
      <c r="E406" s="17"/>
      <c r="F406" s="17"/>
      <c r="G406" s="23"/>
      <c r="H406" s="23"/>
      <c r="I406" s="23"/>
      <c r="J406" s="23"/>
      <c r="K406" s="23"/>
      <c r="L406" s="23"/>
      <c r="M406" s="23"/>
      <c r="N406" s="23"/>
      <c r="O406" s="23">
        <f>AVERAGE(L403:O403)/AVERAGE(K403:N403)-1</f>
        <v>4.6161321671525535E-2</v>
      </c>
      <c r="P406" s="23">
        <f t="shared" ref="P406" si="592">AVERAGE(M403:P403)/AVERAGE(L403:O403)-1</f>
        <v>5.7594054807245776E-2</v>
      </c>
      <c r="Q406" s="23">
        <f t="shared" ref="Q406" si="593">AVERAGE(N403:Q403)/AVERAGE(M403:P403)-1</f>
        <v>0.13350900307422053</v>
      </c>
      <c r="R406" s="23">
        <f t="shared" ref="R406" si="594">AVERAGE(O403:R403)/AVERAGE(N403:Q403)-1</f>
        <v>2.5184037194885711E-2</v>
      </c>
      <c r="S406" s="27">
        <f t="shared" ref="S406" si="595">AVERAGE(P403:S403)/AVERAGE(O403:R403)-1</f>
        <v>5.2910052910052796E-2</v>
      </c>
      <c r="T406" s="26">
        <f t="shared" ref="T406" si="596">AVERAGE(Q403:T403)/AVERAGE(P403:S403)-1</f>
        <v>0.11450107681263444</v>
      </c>
      <c r="U406" s="26">
        <f t="shared" ref="U406" si="597">AVERAGE(R403:U403)/AVERAGE(Q403:T403)-1</f>
        <v>0.12173913043478257</v>
      </c>
    </row>
    <row r="407" spans="1:21" ht="13.5" thickBot="1" x14ac:dyDescent="0.25"/>
    <row r="408" spans="1:21" ht="13.5" thickBot="1" x14ac:dyDescent="0.25">
      <c r="A408" s="24" t="s">
        <v>0</v>
      </c>
      <c r="B408" s="25" t="s">
        <v>218</v>
      </c>
      <c r="C408" s="24" t="s">
        <v>30</v>
      </c>
      <c r="D408" s="24" t="s">
        <v>31</v>
      </c>
      <c r="E408" s="24" t="s">
        <v>32</v>
      </c>
      <c r="F408" s="24" t="s">
        <v>33</v>
      </c>
      <c r="G408" s="24" t="s">
        <v>34</v>
      </c>
      <c r="H408" s="24" t="s">
        <v>35</v>
      </c>
      <c r="I408" s="24" t="s">
        <v>36</v>
      </c>
      <c r="J408" s="24" t="s">
        <v>37</v>
      </c>
      <c r="K408" s="24" t="s">
        <v>38</v>
      </c>
      <c r="L408" s="24" t="s">
        <v>39</v>
      </c>
      <c r="M408" s="24" t="s">
        <v>40</v>
      </c>
      <c r="N408" s="24" t="s">
        <v>41</v>
      </c>
      <c r="O408" s="24" t="s">
        <v>42</v>
      </c>
      <c r="P408" s="24" t="s">
        <v>43</v>
      </c>
      <c r="Q408" s="24" t="s">
        <v>44</v>
      </c>
      <c r="R408" s="24" t="s">
        <v>45</v>
      </c>
      <c r="S408" s="24" t="s">
        <v>46</v>
      </c>
      <c r="T408" s="24" t="s">
        <v>47</v>
      </c>
      <c r="U408" s="24" t="s">
        <v>19</v>
      </c>
    </row>
    <row r="409" spans="1:21" x14ac:dyDescent="0.2">
      <c r="A409" s="17"/>
      <c r="B409" s="17" t="s">
        <v>51</v>
      </c>
      <c r="C409" s="17"/>
      <c r="D409" s="17"/>
      <c r="E409" s="17"/>
      <c r="F409" s="17"/>
      <c r="G409" s="17"/>
      <c r="H409" s="17"/>
      <c r="I409" s="17"/>
      <c r="J409" s="17"/>
      <c r="K409" s="17"/>
      <c r="L409" s="17"/>
      <c r="M409" s="17">
        <v>8.6</v>
      </c>
      <c r="N409" s="17">
        <v>42.1</v>
      </c>
      <c r="O409" s="17">
        <v>45.3</v>
      </c>
      <c r="P409" s="17">
        <v>70.3</v>
      </c>
      <c r="Q409" s="17">
        <v>83.8</v>
      </c>
      <c r="R409" s="17">
        <v>91.1</v>
      </c>
      <c r="S409" s="17">
        <v>88.2</v>
      </c>
      <c r="T409" s="17">
        <v>96</v>
      </c>
      <c r="U409" s="17">
        <v>97.8</v>
      </c>
    </row>
    <row r="410" spans="1:21" x14ac:dyDescent="0.2">
      <c r="B410" t="s">
        <v>49</v>
      </c>
      <c r="C410" s="22"/>
      <c r="D410" s="22"/>
      <c r="E410" s="22"/>
      <c r="F410" s="22"/>
      <c r="G410" s="22"/>
      <c r="H410" s="22"/>
      <c r="I410" s="22"/>
      <c r="J410" s="22"/>
      <c r="K410" s="22" t="e">
        <f t="shared" ref="K410" si="598">K409/G409-1</f>
        <v>#DIV/0!</v>
      </c>
      <c r="L410" s="22" t="e">
        <f t="shared" ref="L410" si="599">L409/H409-1</f>
        <v>#DIV/0!</v>
      </c>
      <c r="M410" s="22" t="e">
        <f t="shared" ref="M410" si="600">M409/I409-1</f>
        <v>#DIV/0!</v>
      </c>
      <c r="N410" s="22" t="e">
        <f t="shared" ref="N410" si="601">N409/J409-1</f>
        <v>#DIV/0!</v>
      </c>
      <c r="O410" s="22" t="e">
        <f t="shared" ref="O410" si="602">O409/K409-1</f>
        <v>#DIV/0!</v>
      </c>
      <c r="P410" s="22" t="e">
        <f t="shared" ref="P410" si="603">P409/L409-1</f>
        <v>#DIV/0!</v>
      </c>
      <c r="Q410" s="22">
        <f t="shared" ref="Q410" si="604">Q409/M409-1</f>
        <v>8.7441860465116275</v>
      </c>
      <c r="R410" s="22">
        <f t="shared" ref="R410" si="605">R409/N409-1</f>
        <v>1.1638954869358669</v>
      </c>
      <c r="S410" s="22">
        <f t="shared" ref="S410" si="606">S409/O409-1</f>
        <v>0.94701986754966905</v>
      </c>
      <c r="T410" s="22">
        <f t="shared" ref="T410" si="607">T409/P409-1</f>
        <v>0.36557610241820782</v>
      </c>
      <c r="U410" s="22">
        <f t="shared" ref="U410" si="608">U409/Q409-1</f>
        <v>0.16706443914081137</v>
      </c>
    </row>
    <row r="411" spans="1:21" x14ac:dyDescent="0.2">
      <c r="B411" t="s">
        <v>52</v>
      </c>
      <c r="C411" s="22"/>
      <c r="D411" s="22"/>
      <c r="E411" s="22"/>
      <c r="F411" s="22"/>
      <c r="G411" s="22"/>
      <c r="H411" s="22"/>
      <c r="I411" s="22"/>
      <c r="J411" s="22"/>
      <c r="K411" s="22"/>
      <c r="L411" s="22" t="e">
        <f t="shared" ref="L411:U411" si="609">L409/K409-1</f>
        <v>#DIV/0!</v>
      </c>
      <c r="M411" s="22" t="e">
        <f t="shared" si="609"/>
        <v>#DIV/0!</v>
      </c>
      <c r="N411" s="22">
        <f t="shared" si="609"/>
        <v>3.895348837209303</v>
      </c>
      <c r="O411" s="22">
        <f t="shared" si="609"/>
        <v>7.6009501187648265E-2</v>
      </c>
      <c r="P411" s="22">
        <f t="shared" si="609"/>
        <v>0.55187637969094916</v>
      </c>
      <c r="Q411" s="22">
        <f t="shared" si="609"/>
        <v>0.19203413940256042</v>
      </c>
      <c r="R411" s="22">
        <f t="shared" si="609"/>
        <v>8.7112171837708807E-2</v>
      </c>
      <c r="S411" s="22">
        <f t="shared" si="609"/>
        <v>-3.1833150384193099E-2</v>
      </c>
      <c r="T411" s="22">
        <f t="shared" si="609"/>
        <v>8.843537414965974E-2</v>
      </c>
      <c r="U411" s="22">
        <f t="shared" si="609"/>
        <v>1.8750000000000044E-2</v>
      </c>
    </row>
    <row r="412" spans="1:21" x14ac:dyDescent="0.2">
      <c r="A412" s="17"/>
      <c r="B412" s="17" t="s">
        <v>48</v>
      </c>
      <c r="C412" s="17"/>
      <c r="D412" s="17"/>
      <c r="E412" s="17"/>
      <c r="F412" s="17"/>
      <c r="G412" s="17"/>
      <c r="H412" s="17"/>
      <c r="I412" s="17"/>
      <c r="J412" s="17"/>
      <c r="K412" s="17"/>
      <c r="L412" s="17"/>
      <c r="M412" s="17">
        <v>-26</v>
      </c>
      <c r="N412" s="17">
        <v>3.1</v>
      </c>
      <c r="O412" s="17">
        <v>-6.7</v>
      </c>
      <c r="P412" s="17">
        <v>8.6</v>
      </c>
      <c r="Q412" s="17">
        <v>22.4</v>
      </c>
      <c r="R412" s="17">
        <v>41.4</v>
      </c>
      <c r="S412" s="17">
        <v>36.200000000000003</v>
      </c>
      <c r="T412" s="17">
        <v>39.299999999999997</v>
      </c>
      <c r="U412" s="17">
        <v>41.4</v>
      </c>
    </row>
    <row r="413" spans="1:21" x14ac:dyDescent="0.2">
      <c r="B413" t="s">
        <v>49</v>
      </c>
      <c r="C413" s="22"/>
      <c r="D413" s="22"/>
      <c r="E413" s="22"/>
      <c r="F413" s="22"/>
      <c r="G413" s="22"/>
      <c r="H413" s="22"/>
      <c r="I413" s="22"/>
      <c r="J413" s="22"/>
      <c r="K413" s="22" t="e">
        <f t="shared" ref="K413" si="610">K412/G412-1</f>
        <v>#DIV/0!</v>
      </c>
      <c r="L413" s="22" t="e">
        <f t="shared" ref="L413" si="611">L412/H412-1</f>
        <v>#DIV/0!</v>
      </c>
      <c r="M413" s="22" t="e">
        <f t="shared" ref="M413" si="612">M412/I412-1</f>
        <v>#DIV/0!</v>
      </c>
      <c r="N413" s="22" t="e">
        <f t="shared" ref="N413" si="613">N412/J412-1</f>
        <v>#DIV/0!</v>
      </c>
      <c r="O413" s="22" t="e">
        <f t="shared" ref="O413" si="614">O412/K412-1</f>
        <v>#DIV/0!</v>
      </c>
      <c r="P413" s="22" t="e">
        <f t="shared" ref="P413" si="615">P412/L412-1</f>
        <v>#DIV/0!</v>
      </c>
      <c r="Q413" s="22">
        <f t="shared" ref="Q413" si="616">Q412/M412-1</f>
        <v>-1.8615384615384616</v>
      </c>
      <c r="R413" s="22">
        <f t="shared" ref="R413" si="617">R412/N412-1</f>
        <v>12.354838709677418</v>
      </c>
      <c r="S413" s="22">
        <f t="shared" ref="S413" si="618">S412/O412-1</f>
        <v>-6.4029850746268657</v>
      </c>
      <c r="T413" s="22">
        <f t="shared" ref="T413" si="619">T412/P412-1</f>
        <v>3.5697674418604652</v>
      </c>
      <c r="U413" s="22">
        <f t="shared" ref="U413" si="620">U412/Q412-1</f>
        <v>0.84821428571428581</v>
      </c>
    </row>
    <row r="414" spans="1:21" x14ac:dyDescent="0.2">
      <c r="B414" t="s">
        <v>52</v>
      </c>
      <c r="C414" s="22"/>
      <c r="D414" s="22"/>
      <c r="E414" s="22"/>
      <c r="F414" s="22"/>
      <c r="G414" s="22"/>
      <c r="H414" s="22"/>
      <c r="I414" s="22"/>
      <c r="J414" s="22"/>
      <c r="K414" s="22"/>
      <c r="L414" s="22" t="e">
        <f t="shared" ref="L414:U414" si="621">L412/K412-1</f>
        <v>#DIV/0!</v>
      </c>
      <c r="M414" s="22" t="e">
        <f t="shared" si="621"/>
        <v>#DIV/0!</v>
      </c>
      <c r="N414" s="22">
        <f t="shared" si="621"/>
        <v>-1.1192307692307693</v>
      </c>
      <c r="O414" s="22">
        <f t="shared" si="621"/>
        <v>-3.161290322580645</v>
      </c>
      <c r="P414" s="22">
        <f t="shared" si="621"/>
        <v>-2.2835820895522385</v>
      </c>
      <c r="Q414" s="22">
        <f t="shared" si="621"/>
        <v>1.6046511627906974</v>
      </c>
      <c r="R414" s="22">
        <f t="shared" si="621"/>
        <v>0.84821428571428581</v>
      </c>
      <c r="S414" s="22">
        <f t="shared" si="621"/>
        <v>-0.12560386473429941</v>
      </c>
      <c r="T414" s="22">
        <f t="shared" si="621"/>
        <v>8.5635359116021936E-2</v>
      </c>
      <c r="U414" s="22">
        <f t="shared" si="621"/>
        <v>5.3435114503816772E-2</v>
      </c>
    </row>
    <row r="415" spans="1:21" x14ac:dyDescent="0.2">
      <c r="B415" s="17" t="s">
        <v>50</v>
      </c>
      <c r="C415" s="17"/>
      <c r="D415" s="17"/>
      <c r="E415" s="17"/>
      <c r="F415" s="17"/>
      <c r="G415" s="23"/>
      <c r="H415" s="23"/>
      <c r="I415" s="23"/>
      <c r="J415" s="23"/>
      <c r="K415" s="23" t="e">
        <f t="shared" ref="K415" si="622">AVERAGE(H412:K412)/AVERAGE(G412:J412)-1</f>
        <v>#DIV/0!</v>
      </c>
      <c r="L415" s="23" t="e">
        <f t="shared" ref="L415" si="623">AVERAGE(I412:L412)/AVERAGE(H412:K412)-1</f>
        <v>#DIV/0!</v>
      </c>
      <c r="M415" s="23" t="e">
        <f t="shared" ref="M415" si="624">AVERAGE(J412:M412)/AVERAGE(I412:L412)-1</f>
        <v>#DIV/0!</v>
      </c>
      <c r="N415" s="23">
        <f t="shared" ref="N415" si="625">AVERAGE(K412:N412)/AVERAGE(J412:M412)-1</f>
        <v>-0.55961538461538463</v>
      </c>
      <c r="O415" s="23">
        <f t="shared" ref="O415" si="626">AVERAGE(L412:O412)/AVERAGE(K412:N412)-1</f>
        <v>-0.1382823871906842</v>
      </c>
      <c r="P415" s="23">
        <f t="shared" ref="P415" si="627">AVERAGE(M412:P412)/AVERAGE(L412:O412)-1</f>
        <v>-0.46790540540540537</v>
      </c>
      <c r="Q415" s="23">
        <f>AVERAGE(N412:Q412)/AVERAGE(M412:P412)-1</f>
        <v>-2.3047619047619046</v>
      </c>
      <c r="R415" s="26">
        <f>AVERAGE(O412:R412)/AVERAGE(N412:Q412)-1</f>
        <v>1.3978102189781021</v>
      </c>
      <c r="S415" s="26">
        <f t="shared" ref="S415" si="628">AVERAGE(P412:S412)/AVERAGE(O412:R412)-1</f>
        <v>0.65296803652968083</v>
      </c>
      <c r="T415" s="26">
        <f t="shared" ref="T415" si="629">AVERAGE(Q412:T412)/AVERAGE(P412:S412)-1</f>
        <v>0.28268876611418059</v>
      </c>
      <c r="U415" s="26">
        <f t="shared" ref="U415" si="630">AVERAGE(R412:U412)/AVERAGE(Q412:T412)-1</f>
        <v>0.13639626704953312</v>
      </c>
    </row>
    <row r="416" spans="1:21" ht="13.5" thickBot="1" x14ac:dyDescent="0.25"/>
    <row r="417" spans="1:21" ht="13.5" thickBot="1" x14ac:dyDescent="0.25">
      <c r="A417" s="24" t="s">
        <v>0</v>
      </c>
      <c r="B417" s="25" t="s">
        <v>222</v>
      </c>
      <c r="C417" s="24" t="s">
        <v>30</v>
      </c>
      <c r="D417" s="24" t="s">
        <v>31</v>
      </c>
      <c r="E417" s="24" t="s">
        <v>32</v>
      </c>
      <c r="F417" s="24" t="s">
        <v>33</v>
      </c>
      <c r="G417" s="24" t="s">
        <v>34</v>
      </c>
      <c r="H417" s="24" t="s">
        <v>35</v>
      </c>
      <c r="I417" s="24" t="s">
        <v>36</v>
      </c>
      <c r="J417" s="24" t="s">
        <v>37</v>
      </c>
      <c r="K417" s="24" t="s">
        <v>38</v>
      </c>
      <c r="L417" s="24" t="s">
        <v>39</v>
      </c>
      <c r="M417" s="24" t="s">
        <v>40</v>
      </c>
      <c r="N417" s="24" t="s">
        <v>41</v>
      </c>
      <c r="O417" s="24" t="s">
        <v>42</v>
      </c>
      <c r="P417" s="24" t="s">
        <v>43</v>
      </c>
      <c r="Q417" s="24" t="s">
        <v>44</v>
      </c>
      <c r="R417" s="24" t="s">
        <v>45</v>
      </c>
      <c r="S417" s="24" t="s">
        <v>46</v>
      </c>
      <c r="T417" s="24" t="s">
        <v>47</v>
      </c>
      <c r="U417" s="24" t="s">
        <v>19</v>
      </c>
    </row>
    <row r="418" spans="1:21" x14ac:dyDescent="0.2">
      <c r="A418" s="17"/>
      <c r="B418" s="17" t="s">
        <v>51</v>
      </c>
      <c r="C418" s="17"/>
      <c r="D418" s="17"/>
      <c r="E418" s="17"/>
      <c r="F418" s="17"/>
      <c r="G418" s="17"/>
      <c r="H418" s="17"/>
      <c r="I418" s="17"/>
      <c r="J418" s="17"/>
      <c r="K418" s="17">
        <v>132.19999999999999</v>
      </c>
      <c r="L418" s="17">
        <v>148.30000000000001</v>
      </c>
      <c r="M418" s="17">
        <v>148.9</v>
      </c>
      <c r="N418" s="17">
        <v>152.4</v>
      </c>
      <c r="O418" s="17">
        <v>164.8</v>
      </c>
      <c r="P418" s="17">
        <v>184.9</v>
      </c>
      <c r="Q418" s="17">
        <v>197.4</v>
      </c>
      <c r="R418" s="17">
        <v>231.6</v>
      </c>
      <c r="S418" s="17">
        <v>275.89999999999998</v>
      </c>
      <c r="T418" s="17">
        <v>280.10000000000002</v>
      </c>
      <c r="U418" s="17">
        <v>310.7</v>
      </c>
    </row>
    <row r="419" spans="1:21" x14ac:dyDescent="0.2">
      <c r="B419" t="s">
        <v>49</v>
      </c>
      <c r="C419" s="22"/>
      <c r="D419" s="22"/>
      <c r="E419" s="22"/>
      <c r="F419" s="22"/>
      <c r="G419" s="22"/>
      <c r="H419" s="22"/>
      <c r="I419" s="22"/>
      <c r="J419" s="22"/>
      <c r="K419" s="22" t="e">
        <f t="shared" ref="K419" si="631">K418/G418-1</f>
        <v>#DIV/0!</v>
      </c>
      <c r="L419" s="22" t="e">
        <f t="shared" ref="L419" si="632">L418/H418-1</f>
        <v>#DIV/0!</v>
      </c>
      <c r="M419" s="22" t="e">
        <f t="shared" ref="M419" si="633">M418/I418-1</f>
        <v>#DIV/0!</v>
      </c>
      <c r="N419" s="22" t="e">
        <f t="shared" ref="N419" si="634">N418/J418-1</f>
        <v>#DIV/0!</v>
      </c>
      <c r="O419" s="22">
        <f t="shared" ref="O419" si="635">O418/K418-1</f>
        <v>0.24659606656580957</v>
      </c>
      <c r="P419" s="22">
        <f t="shared" ref="P419" si="636">P418/L418-1</f>
        <v>0.24679703304113287</v>
      </c>
      <c r="Q419" s="22">
        <f t="shared" ref="Q419" si="637">Q418/M418-1</f>
        <v>0.32572196104768292</v>
      </c>
      <c r="R419" s="22">
        <f t="shared" ref="R419" si="638">R418/N418-1</f>
        <v>0.51968503937007871</v>
      </c>
      <c r="S419" s="22">
        <f t="shared" ref="S419" si="639">S418/O418-1</f>
        <v>0.67415048543689293</v>
      </c>
      <c r="T419" s="22">
        <f t="shared" ref="T419" si="640">T418/P418-1</f>
        <v>0.51487290427257992</v>
      </c>
      <c r="U419" s="22">
        <f t="shared" ref="U419" si="641">U418/Q418-1</f>
        <v>0.57396149949341435</v>
      </c>
    </row>
    <row r="420" spans="1:21" x14ac:dyDescent="0.2">
      <c r="B420" t="s">
        <v>52</v>
      </c>
      <c r="C420" s="22"/>
      <c r="D420" s="22"/>
      <c r="E420" s="22"/>
      <c r="F420" s="22"/>
      <c r="G420" s="22"/>
      <c r="H420" s="22"/>
      <c r="I420" s="22"/>
      <c r="J420" s="22"/>
      <c r="K420" s="22"/>
      <c r="L420" s="22">
        <f t="shared" ref="L420:U420" si="642">L418/K418-1</f>
        <v>0.12178517397882005</v>
      </c>
      <c r="M420" s="22">
        <f t="shared" si="642"/>
        <v>4.0458530006741711E-3</v>
      </c>
      <c r="N420" s="22">
        <f t="shared" si="642"/>
        <v>2.3505708529214298E-2</v>
      </c>
      <c r="O420" s="22">
        <f t="shared" si="642"/>
        <v>8.1364829396325389E-2</v>
      </c>
      <c r="P420" s="22">
        <f t="shared" si="642"/>
        <v>0.12196601941747565</v>
      </c>
      <c r="Q420" s="22">
        <f t="shared" si="642"/>
        <v>6.7604110329908096E-2</v>
      </c>
      <c r="R420" s="22">
        <f t="shared" si="642"/>
        <v>0.17325227963525824</v>
      </c>
      <c r="S420" s="22">
        <f t="shared" si="642"/>
        <v>0.19127806563039718</v>
      </c>
      <c r="T420" s="22">
        <f t="shared" si="642"/>
        <v>1.5222906850308249E-2</v>
      </c>
      <c r="U420" s="22">
        <f t="shared" si="642"/>
        <v>0.1092466976079971</v>
      </c>
    </row>
    <row r="421" spans="1:21" x14ac:dyDescent="0.2">
      <c r="A421" s="17"/>
      <c r="B421" s="17" t="s">
        <v>48</v>
      </c>
      <c r="C421" s="17"/>
      <c r="D421" s="17"/>
      <c r="E421" s="17"/>
      <c r="F421" s="17">
        <v>0.3</v>
      </c>
      <c r="G421" s="17">
        <v>-1.4</v>
      </c>
      <c r="H421" s="17">
        <v>-2.2000000000000002</v>
      </c>
      <c r="I421" s="17">
        <v>-0.9</v>
      </c>
      <c r="J421" s="17">
        <v>1.5</v>
      </c>
      <c r="K421" s="17">
        <v>-1</v>
      </c>
      <c r="L421" s="17">
        <v>4.5999999999999996</v>
      </c>
      <c r="M421" s="17">
        <v>5.3</v>
      </c>
      <c r="N421" s="17">
        <v>9.1</v>
      </c>
      <c r="O421" s="17">
        <v>8.3000000000000007</v>
      </c>
      <c r="P421" s="17">
        <v>10.199999999999999</v>
      </c>
      <c r="Q421" s="17">
        <v>12.1</v>
      </c>
      <c r="R421" s="17">
        <v>14.2</v>
      </c>
      <c r="S421" s="17">
        <v>15.7</v>
      </c>
      <c r="T421" s="17">
        <v>15.9</v>
      </c>
      <c r="U421" s="17">
        <v>19.899999999999999</v>
      </c>
    </row>
    <row r="422" spans="1:21" x14ac:dyDescent="0.2">
      <c r="B422" t="s">
        <v>49</v>
      </c>
      <c r="C422" s="22"/>
      <c r="D422" s="22"/>
      <c r="E422" s="22"/>
      <c r="F422" s="22"/>
      <c r="G422" s="22"/>
      <c r="H422" s="22"/>
      <c r="I422" s="22"/>
      <c r="J422" s="22"/>
      <c r="K422" s="22">
        <f t="shared" ref="K422" si="643">K421/G421-1</f>
        <v>-0.2857142857142857</v>
      </c>
      <c r="L422" s="22">
        <f t="shared" ref="L422" si="644">L421/H421-1</f>
        <v>-3.0909090909090904</v>
      </c>
      <c r="M422" s="22">
        <f t="shared" ref="M422" si="645">M421/I421-1</f>
        <v>-6.8888888888888884</v>
      </c>
      <c r="N422" s="22">
        <f t="shared" ref="N422" si="646">N421/J421-1</f>
        <v>5.0666666666666664</v>
      </c>
      <c r="O422" s="22">
        <f t="shared" ref="O422" si="647">O421/K421-1</f>
        <v>-9.3000000000000007</v>
      </c>
      <c r="P422" s="22">
        <f t="shared" ref="P422" si="648">P421/L421-1</f>
        <v>1.2173913043478262</v>
      </c>
      <c r="Q422" s="22">
        <f t="shared" ref="Q422" si="649">Q421/M421-1</f>
        <v>1.2830188679245285</v>
      </c>
      <c r="R422" s="22">
        <f t="shared" ref="R422" si="650">R421/N421-1</f>
        <v>0.56043956043956045</v>
      </c>
      <c r="S422" s="22">
        <f t="shared" ref="S422" si="651">S421/O421-1</f>
        <v>0.89156626506024073</v>
      </c>
      <c r="T422" s="22">
        <f t="shared" ref="T422" si="652">T421/P421-1</f>
        <v>0.55882352941176494</v>
      </c>
      <c r="U422" s="22">
        <f t="shared" ref="U422" si="653">U421/Q421-1</f>
        <v>0.64462809917355357</v>
      </c>
    </row>
    <row r="423" spans="1:21" x14ac:dyDescent="0.2">
      <c r="B423" t="s">
        <v>52</v>
      </c>
      <c r="C423" s="22"/>
      <c r="D423" s="22"/>
      <c r="E423" s="22"/>
      <c r="F423" s="22"/>
      <c r="G423" s="22"/>
      <c r="H423" s="22"/>
      <c r="I423" s="22"/>
      <c r="J423" s="22"/>
      <c r="K423" s="22"/>
      <c r="L423" s="22">
        <f t="shared" ref="L423:U423" si="654">L421/K421-1</f>
        <v>-5.6</v>
      </c>
      <c r="M423" s="22">
        <f t="shared" si="654"/>
        <v>0.15217391304347827</v>
      </c>
      <c r="N423" s="22">
        <f t="shared" si="654"/>
        <v>0.71698113207547176</v>
      </c>
      <c r="O423" s="22">
        <f t="shared" si="654"/>
        <v>-8.7912087912087822E-2</v>
      </c>
      <c r="P423" s="22">
        <f t="shared" si="654"/>
        <v>0.22891566265060215</v>
      </c>
      <c r="Q423" s="22">
        <f t="shared" si="654"/>
        <v>0.18627450980392157</v>
      </c>
      <c r="R423" s="22">
        <f t="shared" si="654"/>
        <v>0.17355371900826433</v>
      </c>
      <c r="S423" s="22">
        <f t="shared" si="654"/>
        <v>0.10563380281690149</v>
      </c>
      <c r="T423" s="22">
        <f t="shared" si="654"/>
        <v>1.2738853503184711E-2</v>
      </c>
      <c r="U423" s="22">
        <f t="shared" si="654"/>
        <v>0.2515723270440251</v>
      </c>
    </row>
    <row r="424" spans="1:21" x14ac:dyDescent="0.2">
      <c r="B424" s="17" t="s">
        <v>50</v>
      </c>
      <c r="C424" s="17"/>
      <c r="D424" s="17"/>
      <c r="E424" s="17"/>
      <c r="F424" s="17"/>
      <c r="G424" s="23"/>
      <c r="H424" s="23"/>
      <c r="I424" s="23"/>
      <c r="J424" s="23"/>
      <c r="K424" s="23">
        <f t="shared" ref="K424" si="655">AVERAGE(H421:K421)/AVERAGE(G421:J421)-1</f>
        <v>-0.1333333333333333</v>
      </c>
      <c r="L424" s="23">
        <f t="shared" ref="L424" si="656">AVERAGE(I421:L421)/AVERAGE(H421:K421)-1</f>
        <v>-2.615384615384615</v>
      </c>
      <c r="M424" s="26">
        <f>AVERAGE(J421:M421)/AVERAGE(I421:L421)-1</f>
        <v>1.4761904761904763</v>
      </c>
      <c r="N424" s="26">
        <f>AVERAGE(K421:N421)/AVERAGE(J421:M421)-1</f>
        <v>0.73076923076923106</v>
      </c>
      <c r="O424" s="26">
        <f t="shared" ref="O424" si="657">AVERAGE(L421:O421)/AVERAGE(K421:N421)-1</f>
        <v>0.51666666666666661</v>
      </c>
      <c r="P424" s="26">
        <f t="shared" ref="P424" si="658">AVERAGE(M421:P421)/AVERAGE(L421:O421)-1</f>
        <v>0.20512820512820507</v>
      </c>
      <c r="Q424" s="26">
        <f t="shared" ref="Q424" si="659">AVERAGE(N421:Q421)/AVERAGE(M421:P421)-1</f>
        <v>0.20668693009118533</v>
      </c>
      <c r="R424" s="26">
        <f t="shared" ref="R424" si="660">AVERAGE(O421:R421)/AVERAGE(N421:Q421)-1</f>
        <v>0.12846347607052899</v>
      </c>
      <c r="S424" s="26">
        <f t="shared" ref="S424" si="661">AVERAGE(P421:S421)/AVERAGE(O421:R421)-1</f>
        <v>0.16517857142857162</v>
      </c>
      <c r="T424" s="26">
        <f t="shared" ref="T424" si="662">AVERAGE(Q421:T421)/AVERAGE(P421:S421)-1</f>
        <v>0.10919540229885039</v>
      </c>
      <c r="U424" s="26">
        <f t="shared" ref="U424" si="663">AVERAGE(R421:U421)/AVERAGE(Q421:T421)-1</f>
        <v>0.13471502590673556</v>
      </c>
    </row>
    <row r="425" spans="1:21" ht="13.5" thickBot="1" x14ac:dyDescent="0.25"/>
    <row r="426" spans="1:21" ht="13.5" thickBot="1" x14ac:dyDescent="0.25">
      <c r="A426" s="24" t="s">
        <v>0</v>
      </c>
      <c r="B426" s="25" t="s">
        <v>228</v>
      </c>
      <c r="C426" s="24" t="s">
        <v>30</v>
      </c>
      <c r="D426" s="24" t="s">
        <v>31</v>
      </c>
      <c r="E426" s="24" t="s">
        <v>32</v>
      </c>
      <c r="F426" s="24" t="s">
        <v>33</v>
      </c>
      <c r="G426" s="24" t="s">
        <v>34</v>
      </c>
      <c r="H426" s="24" t="s">
        <v>35</v>
      </c>
      <c r="I426" s="24" t="s">
        <v>36</v>
      </c>
      <c r="J426" s="24" t="s">
        <v>37</v>
      </c>
      <c r="K426" s="24" t="s">
        <v>38</v>
      </c>
      <c r="L426" s="24" t="s">
        <v>39</v>
      </c>
      <c r="M426" s="24" t="s">
        <v>40</v>
      </c>
      <c r="N426" s="24" t="s">
        <v>41</v>
      </c>
      <c r="O426" s="24" t="s">
        <v>42</v>
      </c>
      <c r="P426" s="24" t="s">
        <v>43</v>
      </c>
      <c r="Q426" s="24" t="s">
        <v>44</v>
      </c>
      <c r="R426" s="24" t="s">
        <v>45</v>
      </c>
      <c r="S426" s="24" t="s">
        <v>46</v>
      </c>
      <c r="T426" s="24" t="s">
        <v>47</v>
      </c>
      <c r="U426" s="24" t="s">
        <v>19</v>
      </c>
    </row>
    <row r="427" spans="1:21" x14ac:dyDescent="0.2">
      <c r="A427" s="17"/>
      <c r="B427" s="17" t="s">
        <v>51</v>
      </c>
      <c r="C427" s="17"/>
      <c r="D427" s="17"/>
      <c r="E427" s="17"/>
      <c r="F427" s="17"/>
      <c r="G427" s="17"/>
      <c r="H427" s="17"/>
      <c r="I427" s="17"/>
      <c r="J427" s="17"/>
      <c r="K427" s="17">
        <v>300.7</v>
      </c>
      <c r="L427" s="17">
        <v>308.60000000000002</v>
      </c>
      <c r="M427" s="17">
        <v>313.8</v>
      </c>
      <c r="N427" s="17">
        <v>316.39999999999998</v>
      </c>
      <c r="O427" s="17">
        <v>310.10000000000002</v>
      </c>
      <c r="P427" s="17">
        <v>291.5</v>
      </c>
      <c r="Q427" s="17">
        <v>303.60000000000002</v>
      </c>
      <c r="R427" s="17">
        <v>309.10000000000002</v>
      </c>
      <c r="S427" s="17">
        <v>305.7</v>
      </c>
      <c r="T427" s="17">
        <v>306.7</v>
      </c>
      <c r="U427" s="17">
        <v>318</v>
      </c>
    </row>
    <row r="428" spans="1:21" x14ac:dyDescent="0.2">
      <c r="B428" t="s">
        <v>49</v>
      </c>
      <c r="C428" s="22"/>
      <c r="D428" s="22"/>
      <c r="E428" s="22"/>
      <c r="F428" s="22"/>
      <c r="G428" s="22"/>
      <c r="H428" s="22"/>
      <c r="I428" s="22"/>
      <c r="J428" s="22"/>
      <c r="K428" s="22" t="e">
        <f t="shared" ref="K428" si="664">K427/G427-1</f>
        <v>#DIV/0!</v>
      </c>
      <c r="L428" s="22" t="e">
        <f t="shared" ref="L428" si="665">L427/H427-1</f>
        <v>#DIV/0!</v>
      </c>
      <c r="M428" s="22" t="e">
        <f t="shared" ref="M428" si="666">M427/I427-1</f>
        <v>#DIV/0!</v>
      </c>
      <c r="N428" s="22" t="e">
        <f t="shared" ref="N428" si="667">N427/J427-1</f>
        <v>#DIV/0!</v>
      </c>
      <c r="O428" s="22">
        <f t="shared" ref="O428" si="668">O427/K427-1</f>
        <v>3.1260392417692184E-2</v>
      </c>
      <c r="P428" s="22">
        <f t="shared" ref="P428" si="669">P427/L427-1</f>
        <v>-5.5411535968891812E-2</v>
      </c>
      <c r="Q428" s="22">
        <f t="shared" ref="Q428" si="670">Q427/M427-1</f>
        <v>-3.2504780114722687E-2</v>
      </c>
      <c r="R428" s="22">
        <f t="shared" ref="R428" si="671">R427/N427-1</f>
        <v>-2.3072060682679973E-2</v>
      </c>
      <c r="S428" s="22">
        <f t="shared" ref="S428" si="672">S427/O427-1</f>
        <v>-1.4188971299580855E-2</v>
      </c>
      <c r="T428" s="22">
        <f t="shared" ref="T428" si="673">T427/P427-1</f>
        <v>5.2144082332761466E-2</v>
      </c>
      <c r="U428" s="22">
        <f t="shared" ref="U428" si="674">U427/Q427-1</f>
        <v>4.743083003952564E-2</v>
      </c>
    </row>
    <row r="429" spans="1:21" x14ac:dyDescent="0.2">
      <c r="B429" t="s">
        <v>52</v>
      </c>
      <c r="C429" s="22"/>
      <c r="D429" s="22"/>
      <c r="E429" s="22"/>
      <c r="F429" s="22"/>
      <c r="G429" s="22"/>
      <c r="H429" s="22"/>
      <c r="I429" s="22"/>
      <c r="J429" s="22"/>
      <c r="K429" s="22"/>
      <c r="L429" s="22">
        <f t="shared" ref="L429:U429" si="675">L427/K427-1</f>
        <v>2.62720319255072E-2</v>
      </c>
      <c r="M429" s="22">
        <f t="shared" si="675"/>
        <v>1.6850291639662895E-2</v>
      </c>
      <c r="N429" s="22">
        <f t="shared" si="675"/>
        <v>8.2855321861057263E-3</v>
      </c>
      <c r="O429" s="22">
        <f t="shared" si="675"/>
        <v>-1.9911504424778625E-2</v>
      </c>
      <c r="P429" s="22">
        <f t="shared" si="675"/>
        <v>-5.9980651402773422E-2</v>
      </c>
      <c r="Q429" s="22">
        <f t="shared" si="675"/>
        <v>4.1509433962264142E-2</v>
      </c>
      <c r="R429" s="22">
        <f t="shared" si="675"/>
        <v>1.8115942028985588E-2</v>
      </c>
      <c r="S429" s="22">
        <f t="shared" si="675"/>
        <v>-1.0999676480103582E-2</v>
      </c>
      <c r="T429" s="22">
        <f t="shared" si="675"/>
        <v>3.2711808963035161E-3</v>
      </c>
      <c r="U429" s="22">
        <f t="shared" si="675"/>
        <v>3.6843821323769177E-2</v>
      </c>
    </row>
    <row r="430" spans="1:21" x14ac:dyDescent="0.2">
      <c r="A430" s="17"/>
      <c r="B430" s="17" t="s">
        <v>48</v>
      </c>
      <c r="C430" s="17"/>
      <c r="D430" s="17"/>
      <c r="E430" s="17"/>
      <c r="F430" s="17"/>
      <c r="G430" s="17"/>
      <c r="H430" s="17"/>
      <c r="I430" s="17"/>
      <c r="J430" s="17"/>
      <c r="K430" s="17">
        <v>66.3</v>
      </c>
      <c r="L430" s="17">
        <v>59.6</v>
      </c>
      <c r="M430" s="17">
        <v>63.1</v>
      </c>
      <c r="N430" s="17">
        <v>70.099999999999994</v>
      </c>
      <c r="O430" s="17">
        <v>43</v>
      </c>
      <c r="P430" s="17">
        <v>-20</v>
      </c>
      <c r="Q430" s="17">
        <v>43.5</v>
      </c>
      <c r="R430" s="17">
        <v>30.9</v>
      </c>
      <c r="S430" s="17">
        <v>50.3</v>
      </c>
      <c r="T430" s="17">
        <v>53.7</v>
      </c>
      <c r="U430" s="17">
        <v>67.5</v>
      </c>
    </row>
    <row r="431" spans="1:21" x14ac:dyDescent="0.2">
      <c r="B431" t="s">
        <v>49</v>
      </c>
      <c r="C431" s="22"/>
      <c r="D431" s="22"/>
      <c r="E431" s="22"/>
      <c r="F431" s="22"/>
      <c r="G431" s="22"/>
      <c r="H431" s="22"/>
      <c r="I431" s="22"/>
      <c r="J431" s="22"/>
      <c r="K431" s="22" t="e">
        <f t="shared" ref="K431" si="676">K430/G430-1</f>
        <v>#DIV/0!</v>
      </c>
      <c r="L431" s="22" t="e">
        <f t="shared" ref="L431" si="677">L430/H430-1</f>
        <v>#DIV/0!</v>
      </c>
      <c r="M431" s="22" t="e">
        <f t="shared" ref="M431" si="678">M430/I430-1</f>
        <v>#DIV/0!</v>
      </c>
      <c r="N431" s="22" t="e">
        <f t="shared" ref="N431" si="679">N430/J430-1</f>
        <v>#DIV/0!</v>
      </c>
      <c r="O431" s="22">
        <f t="shared" ref="O431" si="680">O430/K430-1</f>
        <v>-0.35143288084464552</v>
      </c>
      <c r="P431" s="22">
        <f t="shared" ref="P431" si="681">P430/L430-1</f>
        <v>-1.3355704697986577</v>
      </c>
      <c r="Q431" s="22">
        <f t="shared" ref="Q431" si="682">Q430/M430-1</f>
        <v>-0.31061806656101432</v>
      </c>
      <c r="R431" s="22">
        <f t="shared" ref="R431" si="683">R430/N430-1</f>
        <v>-0.55920114122681874</v>
      </c>
      <c r="S431" s="22">
        <f t="shared" ref="S431" si="684">S430/O430-1</f>
        <v>0.16976744186046511</v>
      </c>
      <c r="T431" s="22">
        <f t="shared" ref="T431" si="685">T430/P430-1</f>
        <v>-3.6850000000000001</v>
      </c>
      <c r="U431" s="22">
        <f t="shared" ref="U431" si="686">U430/Q430-1</f>
        <v>0.55172413793103448</v>
      </c>
    </row>
    <row r="432" spans="1:21" x14ac:dyDescent="0.2">
      <c r="B432" t="s">
        <v>52</v>
      </c>
      <c r="C432" s="22"/>
      <c r="D432" s="22"/>
      <c r="E432" s="22"/>
      <c r="F432" s="22"/>
      <c r="G432" s="22"/>
      <c r="H432" s="22"/>
      <c r="I432" s="22"/>
      <c r="J432" s="22"/>
      <c r="K432" s="22"/>
      <c r="L432" s="22">
        <f t="shared" ref="L432:U432" si="687">L430/K430-1</f>
        <v>-0.10105580693815985</v>
      </c>
      <c r="M432" s="22">
        <f t="shared" si="687"/>
        <v>5.8724832214765099E-2</v>
      </c>
      <c r="N432" s="22">
        <f t="shared" si="687"/>
        <v>0.11093502377179076</v>
      </c>
      <c r="O432" s="22">
        <f t="shared" si="687"/>
        <v>-0.38659058487874465</v>
      </c>
      <c r="P432" s="22">
        <f t="shared" si="687"/>
        <v>-1.4651162790697674</v>
      </c>
      <c r="Q432" s="22">
        <f t="shared" si="687"/>
        <v>-3.1749999999999998</v>
      </c>
      <c r="R432" s="22">
        <f t="shared" si="687"/>
        <v>-0.28965517241379313</v>
      </c>
      <c r="S432" s="22">
        <f t="shared" si="687"/>
        <v>0.62783171521035608</v>
      </c>
      <c r="T432" s="22">
        <f t="shared" si="687"/>
        <v>6.7594433399602583E-2</v>
      </c>
      <c r="U432" s="22">
        <f t="shared" si="687"/>
        <v>0.25698324022346353</v>
      </c>
    </row>
    <row r="433" spans="1:21" x14ac:dyDescent="0.2">
      <c r="B433" s="17" t="s">
        <v>50</v>
      </c>
      <c r="C433" s="17"/>
      <c r="D433" s="17"/>
      <c r="E433" s="17"/>
      <c r="F433" s="17"/>
      <c r="G433" s="23"/>
      <c r="H433" s="23"/>
      <c r="I433" s="23"/>
      <c r="J433" s="23"/>
      <c r="K433" s="23" t="e">
        <f t="shared" ref="K433" si="688">AVERAGE(H430:K430)/AVERAGE(G430:J430)-1</f>
        <v>#DIV/0!</v>
      </c>
      <c r="L433" s="23">
        <f t="shared" ref="L433" si="689">AVERAGE(I430:L430)/AVERAGE(H430:K430)-1</f>
        <v>-5.0527903469079871E-2</v>
      </c>
      <c r="M433" s="23">
        <f t="shared" ref="M433" si="690">AVERAGE(J430:M430)/AVERAGE(I430:L430)-1</f>
        <v>7.9428117553614896E-4</v>
      </c>
      <c r="N433" s="23">
        <f t="shared" ref="N433" si="691">AVERAGE(K430:N430)/AVERAGE(J430:M430)-1</f>
        <v>2.8174603174603297E-2</v>
      </c>
      <c r="O433" s="23">
        <f t="shared" ref="O433" si="692">AVERAGE(L430:O430)/AVERAGE(K430:N430)-1</f>
        <v>-8.9926669239675849E-2</v>
      </c>
      <c r="P433" s="23">
        <f t="shared" ref="P433" si="693">AVERAGE(M430:P430)/AVERAGE(L430:O430)-1</f>
        <v>-0.33757421543681099</v>
      </c>
      <c r="Q433" s="23">
        <f t="shared" ref="Q433" si="694">AVERAGE(N430:Q430)/AVERAGE(M430:P430)-1</f>
        <v>-0.12548015364916776</v>
      </c>
      <c r="R433" s="23">
        <f t="shared" ref="R433" si="695">AVERAGE(O430:R430)/AVERAGE(N430:Q430)-1</f>
        <v>-0.28696925329428979</v>
      </c>
      <c r="S433" s="23">
        <f t="shared" ref="S433" si="696">AVERAGE(P430:S430)/AVERAGE(O430:R430)-1</f>
        <v>7.4948665297741135E-2</v>
      </c>
      <c r="T433" s="26">
        <f t="shared" ref="T433" si="697">AVERAGE(Q430:T430)/AVERAGE(P430:S430)-1</f>
        <v>0.70391595033428866</v>
      </c>
      <c r="U433" s="26">
        <f t="shared" ref="U433" si="698">AVERAGE(R430:U430)/AVERAGE(Q430:T430)-1</f>
        <v>0.13452914798206272</v>
      </c>
    </row>
    <row r="434" spans="1:21" ht="13.5" thickBot="1" x14ac:dyDescent="0.25">
      <c r="D434" s="46"/>
      <c r="E434" s="46"/>
    </row>
    <row r="435" spans="1:21" ht="13.5" thickBot="1" x14ac:dyDescent="0.25">
      <c r="A435" s="24" t="s">
        <v>0</v>
      </c>
      <c r="B435" s="25" t="s">
        <v>246</v>
      </c>
      <c r="C435" s="24" t="s">
        <v>30</v>
      </c>
      <c r="D435" s="24" t="s">
        <v>31</v>
      </c>
      <c r="E435" s="24" t="s">
        <v>32</v>
      </c>
      <c r="F435" s="24" t="s">
        <v>33</v>
      </c>
      <c r="G435" s="24" t="s">
        <v>34</v>
      </c>
      <c r="H435" s="24" t="s">
        <v>35</v>
      </c>
      <c r="I435" s="24" t="s">
        <v>36</v>
      </c>
      <c r="J435" s="24" t="s">
        <v>37</v>
      </c>
      <c r="K435" s="24" t="s">
        <v>38</v>
      </c>
      <c r="L435" s="24" t="s">
        <v>39</v>
      </c>
      <c r="M435" s="24" t="s">
        <v>40</v>
      </c>
      <c r="N435" s="24" t="s">
        <v>41</v>
      </c>
      <c r="O435" s="24" t="s">
        <v>42</v>
      </c>
      <c r="P435" s="24" t="s">
        <v>43</v>
      </c>
      <c r="Q435" s="24" t="s">
        <v>44</v>
      </c>
      <c r="R435" s="24" t="s">
        <v>45</v>
      </c>
      <c r="S435" s="24" t="s">
        <v>46</v>
      </c>
      <c r="T435" s="24" t="s">
        <v>47</v>
      </c>
      <c r="U435" s="24" t="s">
        <v>19</v>
      </c>
    </row>
    <row r="436" spans="1:21" x14ac:dyDescent="0.2">
      <c r="A436" s="17"/>
      <c r="B436" s="17" t="s">
        <v>51</v>
      </c>
      <c r="C436" s="17"/>
      <c r="D436" s="17"/>
      <c r="E436" s="17"/>
      <c r="F436" s="17"/>
      <c r="G436" s="17"/>
      <c r="H436" s="17"/>
      <c r="I436" s="17"/>
      <c r="J436" s="17"/>
      <c r="K436" s="17">
        <v>40.799999999999997</v>
      </c>
      <c r="L436" s="17">
        <v>34.9</v>
      </c>
      <c r="M436" s="17">
        <v>40.799999999999997</v>
      </c>
      <c r="N436" s="17">
        <v>48.9</v>
      </c>
      <c r="O436" s="17">
        <v>47</v>
      </c>
      <c r="P436" s="17">
        <v>56</v>
      </c>
      <c r="Q436" s="17">
        <v>70</v>
      </c>
      <c r="R436" s="17">
        <v>98.2</v>
      </c>
      <c r="S436" s="17">
        <v>104.9</v>
      </c>
      <c r="T436" s="17">
        <v>98.7</v>
      </c>
      <c r="U436" s="17">
        <v>116.8</v>
      </c>
    </row>
    <row r="437" spans="1:21" x14ac:dyDescent="0.2">
      <c r="B437" t="s">
        <v>49</v>
      </c>
      <c r="C437" s="22"/>
      <c r="D437" s="22"/>
      <c r="E437" s="22"/>
      <c r="F437" s="22"/>
      <c r="G437" s="22"/>
      <c r="H437" s="22"/>
      <c r="I437" s="22"/>
      <c r="J437" s="22"/>
      <c r="K437" s="22" t="e">
        <f t="shared" ref="K437" si="699">K436/G436-1</f>
        <v>#DIV/0!</v>
      </c>
      <c r="L437" s="22" t="e">
        <f t="shared" ref="L437" si="700">L436/H436-1</f>
        <v>#DIV/0!</v>
      </c>
      <c r="M437" s="22" t="e">
        <f t="shared" ref="M437" si="701">M436/I436-1</f>
        <v>#DIV/0!</v>
      </c>
      <c r="N437" s="22" t="e">
        <f t="shared" ref="N437" si="702">N436/J436-1</f>
        <v>#DIV/0!</v>
      </c>
      <c r="O437" s="22">
        <f t="shared" ref="O437" si="703">O436/K436-1</f>
        <v>0.15196078431372562</v>
      </c>
      <c r="P437" s="22">
        <f t="shared" ref="P437" si="704">P436/L436-1</f>
        <v>0.6045845272206305</v>
      </c>
      <c r="Q437" s="22">
        <f t="shared" ref="Q437" si="705">Q436/M436-1</f>
        <v>0.71568627450980404</v>
      </c>
      <c r="R437" s="22">
        <f t="shared" ref="R437" si="706">R436/N436-1</f>
        <v>1.0081799591002047</v>
      </c>
      <c r="S437" s="22">
        <f t="shared" ref="S437" si="707">S436/O436-1</f>
        <v>1.2319148936170214</v>
      </c>
      <c r="T437" s="22">
        <f t="shared" ref="T437" si="708">T436/P436-1</f>
        <v>0.76249999999999996</v>
      </c>
      <c r="U437" s="22">
        <f t="shared" ref="U437" si="709">U436/Q436-1</f>
        <v>0.66857142857142859</v>
      </c>
    </row>
    <row r="438" spans="1:21" x14ac:dyDescent="0.2">
      <c r="B438" t="s">
        <v>52</v>
      </c>
      <c r="C438" s="22"/>
      <c r="D438" s="22"/>
      <c r="E438" s="22"/>
      <c r="F438" s="22"/>
      <c r="G438" s="22"/>
      <c r="H438" s="22"/>
      <c r="I438" s="22"/>
      <c r="J438" s="22"/>
      <c r="K438" s="22"/>
      <c r="L438" s="22">
        <f t="shared" ref="L438:U438" si="710">L436/K436-1</f>
        <v>-0.14460784313725483</v>
      </c>
      <c r="M438" s="22">
        <f t="shared" si="710"/>
        <v>0.16905444126074487</v>
      </c>
      <c r="N438" s="22">
        <f t="shared" si="710"/>
        <v>0.19852941176470584</v>
      </c>
      <c r="O438" s="22">
        <f t="shared" si="710"/>
        <v>-3.8854805725971331E-2</v>
      </c>
      <c r="P438" s="22">
        <f t="shared" si="710"/>
        <v>0.1914893617021276</v>
      </c>
      <c r="Q438" s="22">
        <f t="shared" si="710"/>
        <v>0.25</v>
      </c>
      <c r="R438" s="22">
        <f t="shared" si="710"/>
        <v>0.4028571428571428</v>
      </c>
      <c r="S438" s="22">
        <f t="shared" si="710"/>
        <v>6.8228105906313674E-2</v>
      </c>
      <c r="T438" s="22">
        <f t="shared" si="710"/>
        <v>-5.9103908484270717E-2</v>
      </c>
      <c r="U438" s="22">
        <f t="shared" si="710"/>
        <v>0.18338399189463006</v>
      </c>
    </row>
    <row r="439" spans="1:21" x14ac:dyDescent="0.2">
      <c r="A439" s="17"/>
      <c r="B439" s="17" t="s">
        <v>48</v>
      </c>
      <c r="C439" s="17"/>
      <c r="D439" s="17"/>
      <c r="E439" s="17"/>
      <c r="F439" s="17"/>
      <c r="G439" s="17"/>
      <c r="H439" s="17">
        <v>-13.6</v>
      </c>
      <c r="I439" s="17">
        <v>6.5</v>
      </c>
      <c r="J439" s="17">
        <v>4.7</v>
      </c>
      <c r="K439" s="17">
        <v>5.4</v>
      </c>
      <c r="L439" s="17">
        <v>3.8</v>
      </c>
      <c r="M439" s="17">
        <v>5.3</v>
      </c>
      <c r="N439" s="17">
        <v>7.7</v>
      </c>
      <c r="O439" s="17">
        <v>13.8</v>
      </c>
      <c r="P439" s="17">
        <v>16.7</v>
      </c>
      <c r="Q439" s="17">
        <v>20.8</v>
      </c>
      <c r="R439" s="17">
        <v>30.9</v>
      </c>
      <c r="S439" s="17">
        <v>49.9</v>
      </c>
      <c r="T439" s="17">
        <v>36.1</v>
      </c>
      <c r="U439" s="17">
        <v>35.6</v>
      </c>
    </row>
    <row r="440" spans="1:21" x14ac:dyDescent="0.2">
      <c r="B440" t="s">
        <v>49</v>
      </c>
      <c r="C440" s="22"/>
      <c r="D440" s="22"/>
      <c r="E440" s="22"/>
      <c r="F440" s="22"/>
      <c r="G440" s="22"/>
      <c r="H440" s="22"/>
      <c r="I440" s="22"/>
      <c r="J440" s="22"/>
      <c r="K440" s="22" t="e">
        <f t="shared" ref="K440" si="711">K439/G439-1</f>
        <v>#DIV/0!</v>
      </c>
      <c r="L440" s="22">
        <f t="shared" ref="L440" si="712">L439/H439-1</f>
        <v>-1.2794117647058822</v>
      </c>
      <c r="M440" s="22">
        <f t="shared" ref="M440" si="713">M439/I439-1</f>
        <v>-0.18461538461538463</v>
      </c>
      <c r="N440" s="22">
        <f t="shared" ref="N440" si="714">N439/J439-1</f>
        <v>0.63829787234042556</v>
      </c>
      <c r="O440" s="22">
        <f t="shared" ref="O440" si="715">O439/K439-1</f>
        <v>1.5555555555555554</v>
      </c>
      <c r="P440" s="22">
        <f t="shared" ref="P440" si="716">P439/L439-1</f>
        <v>3.3947368421052628</v>
      </c>
      <c r="Q440" s="22">
        <f t="shared" ref="Q440" si="717">Q439/M439-1</f>
        <v>2.9245283018867929</v>
      </c>
      <c r="R440" s="22">
        <f t="shared" ref="R440" si="718">R439/N439-1</f>
        <v>3.0129870129870131</v>
      </c>
      <c r="S440" s="22">
        <f t="shared" ref="S440" si="719">S439/O439-1</f>
        <v>2.6159420289855069</v>
      </c>
      <c r="T440" s="22">
        <f t="shared" ref="T440" si="720">T439/P439-1</f>
        <v>1.1616766467065869</v>
      </c>
      <c r="U440" s="22">
        <f t="shared" ref="U440" si="721">U439/Q439-1</f>
        <v>0.71153846153846145</v>
      </c>
    </row>
    <row r="441" spans="1:21" x14ac:dyDescent="0.2">
      <c r="B441" t="s">
        <v>52</v>
      </c>
      <c r="C441" s="22"/>
      <c r="D441" s="22"/>
      <c r="E441" s="22"/>
      <c r="F441" s="22"/>
      <c r="G441" s="22"/>
      <c r="H441" s="22"/>
      <c r="I441" s="22"/>
      <c r="J441" s="22"/>
      <c r="K441" s="22"/>
      <c r="L441" s="22">
        <f t="shared" ref="L441:U441" si="722">L439/K439-1</f>
        <v>-0.29629629629629639</v>
      </c>
      <c r="M441" s="22">
        <f t="shared" si="722"/>
        <v>0.39473684210526327</v>
      </c>
      <c r="N441" s="22">
        <f t="shared" si="722"/>
        <v>0.4528301886792454</v>
      </c>
      <c r="O441" s="22">
        <f t="shared" si="722"/>
        <v>0.79220779220779236</v>
      </c>
      <c r="P441" s="22">
        <f t="shared" si="722"/>
        <v>0.21014492753623171</v>
      </c>
      <c r="Q441" s="22">
        <f t="shared" si="722"/>
        <v>0.24550898203592819</v>
      </c>
      <c r="R441" s="22">
        <f t="shared" si="722"/>
        <v>0.48557692307692291</v>
      </c>
      <c r="S441" s="22">
        <f t="shared" si="722"/>
        <v>0.61488673139158578</v>
      </c>
      <c r="T441" s="22">
        <f t="shared" si="722"/>
        <v>-0.27655310621242479</v>
      </c>
      <c r="U441" s="22">
        <f t="shared" si="722"/>
        <v>-1.3850415512465353E-2</v>
      </c>
    </row>
    <row r="442" spans="1:21" x14ac:dyDescent="0.2">
      <c r="B442" s="17" t="s">
        <v>50</v>
      </c>
      <c r="C442" s="17"/>
      <c r="D442" s="17"/>
      <c r="E442" s="17"/>
      <c r="F442" s="17"/>
      <c r="G442" s="23"/>
      <c r="H442" s="23"/>
      <c r="I442" s="23"/>
      <c r="J442" s="23"/>
      <c r="K442" s="23">
        <f t="shared" ref="K442" si="723">AVERAGE(H439:K439)/AVERAGE(G439:J439)-1</f>
        <v>-1.9375000000000004</v>
      </c>
      <c r="L442" s="23">
        <f t="shared" ref="L442" si="724">AVERAGE(I439:L439)/AVERAGE(H439:K439)-1</f>
        <v>5.7999999999999989</v>
      </c>
      <c r="M442" s="23">
        <f t="shared" ref="M442" si="725">AVERAGE(J439:M439)/AVERAGE(I439:L439)-1</f>
        <v>-5.8823529411764719E-2</v>
      </c>
      <c r="N442" s="26">
        <f>AVERAGE(K439:N439)/AVERAGE(J439:M439)-1</f>
        <v>0.15624999999999978</v>
      </c>
      <c r="O442" s="26">
        <f t="shared" ref="O442" si="726">AVERAGE(L439:O439)/AVERAGE(K439:N439)-1</f>
        <v>0.37837837837837851</v>
      </c>
      <c r="P442" s="26">
        <f t="shared" ref="P442" si="727">AVERAGE(M439:P439)/AVERAGE(L439:O439)-1</f>
        <v>0.42156862745098023</v>
      </c>
      <c r="Q442" s="26">
        <f t="shared" ref="Q442" si="728">AVERAGE(N439:Q439)/AVERAGE(M439:P439)-1</f>
        <v>0.35632183908045967</v>
      </c>
      <c r="R442" s="26">
        <f t="shared" ref="R442" si="729">AVERAGE(O439:R439)/AVERAGE(N439:Q439)-1</f>
        <v>0.39322033898305064</v>
      </c>
      <c r="S442" s="26">
        <f t="shared" ref="S442" si="730">AVERAGE(P439:S439)/AVERAGE(O439:R439)-1</f>
        <v>0.4391727493917279</v>
      </c>
      <c r="T442" s="26">
        <f t="shared" ref="T442" si="731">AVERAGE(Q439:T439)/AVERAGE(P439:S439)-1</f>
        <v>0.16398985629754836</v>
      </c>
      <c r="U442" s="26">
        <f t="shared" ref="U442" si="732">AVERAGE(R439:U439)/AVERAGE(Q439:T439)-1</f>
        <v>0.10748002904865661</v>
      </c>
    </row>
    <row r="443" spans="1:21" ht="13.5" thickBot="1" x14ac:dyDescent="0.25"/>
    <row r="444" spans="1:21" ht="13.5" thickBot="1" x14ac:dyDescent="0.25">
      <c r="A444" s="24" t="s">
        <v>0</v>
      </c>
      <c r="B444" s="25" t="s">
        <v>247</v>
      </c>
      <c r="C444" s="24" t="s">
        <v>30</v>
      </c>
      <c r="D444" s="24" t="s">
        <v>31</v>
      </c>
      <c r="E444" s="24" t="s">
        <v>32</v>
      </c>
      <c r="F444" s="24" t="s">
        <v>33</v>
      </c>
      <c r="G444" s="24" t="s">
        <v>34</v>
      </c>
      <c r="H444" s="24" t="s">
        <v>35</v>
      </c>
      <c r="I444" s="24" t="s">
        <v>36</v>
      </c>
      <c r="J444" s="24" t="s">
        <v>37</v>
      </c>
      <c r="K444" s="24" t="s">
        <v>38</v>
      </c>
      <c r="L444" s="24" t="s">
        <v>39</v>
      </c>
      <c r="M444" s="24" t="s">
        <v>40</v>
      </c>
      <c r="N444" s="24" t="s">
        <v>41</v>
      </c>
      <c r="O444" s="24" t="s">
        <v>42</v>
      </c>
      <c r="P444" s="24" t="s">
        <v>43</v>
      </c>
      <c r="Q444" s="24" t="s">
        <v>44</v>
      </c>
      <c r="R444" s="24" t="s">
        <v>45</v>
      </c>
      <c r="S444" s="24" t="s">
        <v>46</v>
      </c>
      <c r="T444" s="24" t="s">
        <v>47</v>
      </c>
      <c r="U444" s="24" t="s">
        <v>19</v>
      </c>
    </row>
    <row r="445" spans="1:21" x14ac:dyDescent="0.2">
      <c r="A445" s="17"/>
      <c r="B445" s="17" t="s">
        <v>51</v>
      </c>
      <c r="C445" s="17"/>
      <c r="D445" s="17"/>
      <c r="E445" s="17"/>
      <c r="F445" s="17"/>
      <c r="G445" s="17"/>
      <c r="H445" s="17"/>
      <c r="I445" s="17"/>
      <c r="J445" s="17"/>
      <c r="K445" s="17">
        <v>165.1</v>
      </c>
      <c r="L445" s="17">
        <v>169.8</v>
      </c>
      <c r="M445" s="17">
        <v>177.1</v>
      </c>
      <c r="N445" s="17">
        <v>180.9</v>
      </c>
      <c r="O445" s="17">
        <v>184.7</v>
      </c>
      <c r="P445" s="17">
        <v>192.5</v>
      </c>
      <c r="Q445" s="17">
        <v>198.5</v>
      </c>
      <c r="R445" s="17">
        <v>204.9</v>
      </c>
      <c r="S445" s="17">
        <v>210.7</v>
      </c>
      <c r="T445" s="17">
        <v>218.7</v>
      </c>
      <c r="U445" s="17">
        <v>229.6</v>
      </c>
    </row>
    <row r="446" spans="1:21" x14ac:dyDescent="0.2">
      <c r="B446" t="s">
        <v>49</v>
      </c>
      <c r="C446" s="22"/>
      <c r="D446" s="22"/>
      <c r="E446" s="22"/>
      <c r="F446" s="22"/>
      <c r="G446" s="22"/>
      <c r="H446" s="22"/>
      <c r="I446" s="22"/>
      <c r="J446" s="22"/>
      <c r="K446" s="22" t="e">
        <f t="shared" ref="K446" si="733">K445/G445-1</f>
        <v>#DIV/0!</v>
      </c>
      <c r="L446" s="22" t="e">
        <f t="shared" ref="L446" si="734">L445/H445-1</f>
        <v>#DIV/0!</v>
      </c>
      <c r="M446" s="22" t="e">
        <f t="shared" ref="M446" si="735">M445/I445-1</f>
        <v>#DIV/0!</v>
      </c>
      <c r="N446" s="22" t="e">
        <f t="shared" ref="N446" si="736">N445/J445-1</f>
        <v>#DIV/0!</v>
      </c>
      <c r="O446" s="22">
        <f t="shared" ref="O446" si="737">O445/K445-1</f>
        <v>0.1187159297395517</v>
      </c>
      <c r="P446" s="22">
        <f t="shared" ref="P446" si="738">P445/L445-1</f>
        <v>0.13368669022379254</v>
      </c>
      <c r="Q446" s="22">
        <f t="shared" ref="Q446" si="739">Q445/M445-1</f>
        <v>0.12083568605307748</v>
      </c>
      <c r="R446" s="22">
        <f t="shared" ref="R446" si="740">R445/N445-1</f>
        <v>0.13266998341625214</v>
      </c>
      <c r="S446" s="22">
        <f t="shared" ref="S446" si="741">S445/O445-1</f>
        <v>0.1407688142934489</v>
      </c>
      <c r="T446" s="22">
        <f t="shared" ref="T446" si="742">T445/P445-1</f>
        <v>0.13610389610389606</v>
      </c>
      <c r="U446" s="22">
        <f t="shared" ref="U446" si="743">U445/Q445-1</f>
        <v>0.15667506297229217</v>
      </c>
    </row>
    <row r="447" spans="1:21" x14ac:dyDescent="0.2">
      <c r="B447" t="s">
        <v>52</v>
      </c>
      <c r="C447" s="22"/>
      <c r="D447" s="22"/>
      <c r="E447" s="22"/>
      <c r="F447" s="22"/>
      <c r="G447" s="22"/>
      <c r="H447" s="22"/>
      <c r="I447" s="22"/>
      <c r="J447" s="22"/>
      <c r="K447" s="22"/>
      <c r="L447" s="22">
        <f t="shared" ref="L447:U447" si="744">L445/K445-1</f>
        <v>2.8467595396729273E-2</v>
      </c>
      <c r="M447" s="22">
        <f t="shared" si="744"/>
        <v>4.2991755005889143E-2</v>
      </c>
      <c r="N447" s="22">
        <f t="shared" si="744"/>
        <v>2.1456804065499879E-2</v>
      </c>
      <c r="O447" s="22">
        <f t="shared" si="744"/>
        <v>2.1006080707573149E-2</v>
      </c>
      <c r="P447" s="22">
        <f t="shared" si="744"/>
        <v>4.2230644288034691E-2</v>
      </c>
      <c r="Q447" s="22">
        <f t="shared" si="744"/>
        <v>3.1168831168831179E-2</v>
      </c>
      <c r="R447" s="22">
        <f t="shared" si="744"/>
        <v>3.2241813602015057E-2</v>
      </c>
      <c r="S447" s="22">
        <f t="shared" si="744"/>
        <v>2.8306490971205411E-2</v>
      </c>
      <c r="T447" s="22">
        <f t="shared" si="744"/>
        <v>3.7968675842430022E-2</v>
      </c>
      <c r="U447" s="22">
        <f t="shared" si="744"/>
        <v>4.9839963420210465E-2</v>
      </c>
    </row>
    <row r="448" spans="1:21" x14ac:dyDescent="0.2">
      <c r="A448" s="17"/>
      <c r="B448" s="17" t="s">
        <v>48</v>
      </c>
      <c r="C448" s="17"/>
      <c r="D448" s="17"/>
      <c r="E448" s="17"/>
      <c r="F448" s="17"/>
      <c r="G448" s="17"/>
      <c r="H448" s="17"/>
      <c r="I448" s="17"/>
      <c r="J448" s="17"/>
      <c r="K448" s="17">
        <v>-33.1</v>
      </c>
      <c r="L448" s="17">
        <v>-1.5</v>
      </c>
      <c r="M448" s="17">
        <v>35.5</v>
      </c>
      <c r="N448" s="17">
        <v>11</v>
      </c>
      <c r="O448" s="17">
        <v>11.5</v>
      </c>
      <c r="P448" s="17">
        <v>22.3</v>
      </c>
      <c r="Q448" s="17">
        <v>24.6</v>
      </c>
      <c r="R448" s="17">
        <v>32.5</v>
      </c>
      <c r="S448" s="17">
        <v>37.6</v>
      </c>
      <c r="T448" s="17">
        <v>35.6</v>
      </c>
      <c r="U448" s="17">
        <v>44.9</v>
      </c>
    </row>
    <row r="449" spans="1:23" x14ac:dyDescent="0.2">
      <c r="B449" t="s">
        <v>49</v>
      </c>
      <c r="C449" s="22"/>
      <c r="D449" s="22"/>
      <c r="E449" s="22"/>
      <c r="F449" s="22"/>
      <c r="G449" s="22"/>
      <c r="H449" s="22"/>
      <c r="I449" s="22"/>
      <c r="J449" s="22"/>
      <c r="K449" s="22" t="e">
        <f t="shared" ref="K449" si="745">K448/G448-1</f>
        <v>#DIV/0!</v>
      </c>
      <c r="L449" s="22" t="e">
        <f t="shared" ref="L449" si="746">L448/H448-1</f>
        <v>#DIV/0!</v>
      </c>
      <c r="M449" s="22" t="e">
        <f t="shared" ref="M449" si="747">M448/I448-1</f>
        <v>#DIV/0!</v>
      </c>
      <c r="N449" s="22" t="e">
        <f t="shared" ref="N449" si="748">N448/J448-1</f>
        <v>#DIV/0!</v>
      </c>
      <c r="O449" s="22">
        <f t="shared" ref="O449" si="749">O448/K448-1</f>
        <v>-1.3474320241691844</v>
      </c>
      <c r="P449" s="22">
        <f t="shared" ref="P449" si="750">P448/L448-1</f>
        <v>-15.866666666666667</v>
      </c>
      <c r="Q449" s="22">
        <f t="shared" ref="Q449" si="751">Q448/M448-1</f>
        <v>-0.30704225352112668</v>
      </c>
      <c r="R449" s="22">
        <f t="shared" ref="R449" si="752">R448/N448-1</f>
        <v>1.9545454545454546</v>
      </c>
      <c r="S449" s="22">
        <f t="shared" ref="S449" si="753">S448/O448-1</f>
        <v>2.2695652173913046</v>
      </c>
      <c r="T449" s="22">
        <f t="shared" ref="T449" si="754">T448/P448-1</f>
        <v>0.5964125560538116</v>
      </c>
      <c r="U449" s="22">
        <f t="shared" ref="U449" si="755">U448/Q448-1</f>
        <v>0.8252032520325201</v>
      </c>
    </row>
    <row r="450" spans="1:23" x14ac:dyDescent="0.2">
      <c r="B450" t="s">
        <v>52</v>
      </c>
      <c r="C450" s="22"/>
      <c r="D450" s="22"/>
      <c r="E450" s="22"/>
      <c r="F450" s="22"/>
      <c r="G450" s="22"/>
      <c r="H450" s="22"/>
      <c r="I450" s="22"/>
      <c r="J450" s="22"/>
      <c r="K450" s="22"/>
      <c r="L450" s="22">
        <f t="shared" ref="L450:U450" si="756">L448/K448-1</f>
        <v>-0.9546827794561934</v>
      </c>
      <c r="M450" s="22">
        <f t="shared" si="756"/>
        <v>-24.666666666666668</v>
      </c>
      <c r="N450" s="22">
        <f t="shared" si="756"/>
        <v>-0.6901408450704225</v>
      </c>
      <c r="O450" s="22">
        <f t="shared" si="756"/>
        <v>4.5454545454545414E-2</v>
      </c>
      <c r="P450" s="22">
        <f t="shared" si="756"/>
        <v>0.93913043478260883</v>
      </c>
      <c r="Q450" s="22">
        <f t="shared" si="756"/>
        <v>0.10313901345291487</v>
      </c>
      <c r="R450" s="22">
        <f t="shared" si="756"/>
        <v>0.32113821138211374</v>
      </c>
      <c r="S450" s="22">
        <f t="shared" si="756"/>
        <v>0.15692307692307694</v>
      </c>
      <c r="T450" s="22">
        <f t="shared" si="756"/>
        <v>-5.3191489361702149E-2</v>
      </c>
      <c r="U450" s="22">
        <f t="shared" si="756"/>
        <v>0.26123595505617958</v>
      </c>
    </row>
    <row r="451" spans="1:23" x14ac:dyDescent="0.2">
      <c r="B451" s="17" t="s">
        <v>50</v>
      </c>
      <c r="C451" s="17"/>
      <c r="D451" s="17"/>
      <c r="E451" s="17"/>
      <c r="F451" s="17"/>
      <c r="G451" s="23"/>
      <c r="H451" s="23"/>
      <c r="I451" s="23"/>
      <c r="J451" s="23"/>
      <c r="K451" s="23" t="e">
        <f t="shared" ref="K451" si="757">AVERAGE(H448:K448)/AVERAGE(G448:J448)-1</f>
        <v>#DIV/0!</v>
      </c>
      <c r="L451" s="23">
        <f t="shared" ref="L451" si="758">AVERAGE(I448:L448)/AVERAGE(H448:K448)-1</f>
        <v>-0.4773413897280967</v>
      </c>
      <c r="M451" s="23">
        <f t="shared" ref="M451" si="759">AVERAGE(J448:M448)/AVERAGE(I448:L448)-1</f>
        <v>-1.0173410404624277</v>
      </c>
      <c r="N451" s="23">
        <f t="shared" ref="N451" si="760">AVERAGE(K448:N448)/AVERAGE(J448:M448)-1</f>
        <v>8.9166666666666803</v>
      </c>
      <c r="O451" s="23">
        <f t="shared" ref="O451" si="761">AVERAGE(L448:O448)/AVERAGE(K448:N448)-1</f>
        <v>3.7478991596638664</v>
      </c>
      <c r="P451" s="23">
        <f t="shared" ref="P451" si="762">AVERAGE(M448:P448)/AVERAGE(L448:O448)-1</f>
        <v>0.4212389380530972</v>
      </c>
      <c r="Q451" s="23">
        <f>AVERAGE(N448:Q448)/AVERAGE(M448:P448)-1</f>
        <v>-0.13574097135740959</v>
      </c>
      <c r="R451" s="26">
        <f>AVERAGE(O448:R448)/AVERAGE(N448:Q448)-1</f>
        <v>0.30979827089337175</v>
      </c>
      <c r="S451" s="26">
        <f t="shared" ref="S451" si="763">AVERAGE(P448:S448)/AVERAGE(O448:R448)-1</f>
        <v>0.28712871287128694</v>
      </c>
      <c r="T451" s="26">
        <f t="shared" ref="T451" si="764">AVERAGE(Q448:T448)/AVERAGE(P448:S448)-1</f>
        <v>0.11367521367521372</v>
      </c>
      <c r="U451" s="26">
        <f t="shared" ref="U451" si="765">AVERAGE(R448:U448)/AVERAGE(Q448:T448)-1</f>
        <v>0.15579432079815803</v>
      </c>
    </row>
    <row r="452" spans="1:23" ht="13.5" thickBot="1" x14ac:dyDescent="0.25"/>
    <row r="453" spans="1:23" ht="13.5" thickBot="1" x14ac:dyDescent="0.25">
      <c r="A453" s="24" t="s">
        <v>0</v>
      </c>
      <c r="B453" s="25">
        <v>4385</v>
      </c>
      <c r="C453" s="24" t="s">
        <v>30</v>
      </c>
      <c r="D453" s="24" t="s">
        <v>31</v>
      </c>
      <c r="E453" s="24" t="s">
        <v>32</v>
      </c>
      <c r="F453" s="24" t="s">
        <v>33</v>
      </c>
      <c r="G453" s="24" t="s">
        <v>34</v>
      </c>
      <c r="H453" s="24" t="s">
        <v>35</v>
      </c>
      <c r="I453" s="24" t="s">
        <v>36</v>
      </c>
      <c r="J453" s="24" t="s">
        <v>37</v>
      </c>
      <c r="K453" s="24" t="s">
        <v>38</v>
      </c>
      <c r="L453" s="24" t="s">
        <v>39</v>
      </c>
      <c r="M453" s="24" t="s">
        <v>40</v>
      </c>
      <c r="N453" s="24" t="s">
        <v>41</v>
      </c>
      <c r="O453" s="24" t="s">
        <v>42</v>
      </c>
      <c r="P453" s="24" t="s">
        <v>43</v>
      </c>
      <c r="Q453" s="24" t="s">
        <v>44</v>
      </c>
      <c r="R453" s="24" t="s">
        <v>45</v>
      </c>
      <c r="S453" s="24" t="s">
        <v>46</v>
      </c>
      <c r="T453" s="24" t="s">
        <v>47</v>
      </c>
      <c r="U453" s="24" t="s">
        <v>19</v>
      </c>
    </row>
    <row r="454" spans="1:23" x14ac:dyDescent="0.2">
      <c r="A454" s="17"/>
      <c r="B454" s="17" t="s">
        <v>51</v>
      </c>
      <c r="C454" s="17"/>
      <c r="D454" s="17"/>
      <c r="E454" s="17"/>
      <c r="F454" s="17"/>
      <c r="G454" s="17"/>
      <c r="H454" s="17"/>
      <c r="I454" s="17"/>
      <c r="J454" s="17"/>
      <c r="K454" s="17">
        <v>43.6</v>
      </c>
      <c r="L454" s="17">
        <v>44.2</v>
      </c>
      <c r="M454" s="17">
        <v>44.3</v>
      </c>
      <c r="N454" s="17">
        <v>48.1</v>
      </c>
      <c r="O454" s="17">
        <v>48.5</v>
      </c>
      <c r="P454" s="17">
        <v>46.5</v>
      </c>
      <c r="Q454" s="17">
        <v>44.9</v>
      </c>
      <c r="R454" s="17">
        <v>49.2</v>
      </c>
      <c r="S454" s="17">
        <v>49.9</v>
      </c>
      <c r="T454" s="17">
        <v>48.6</v>
      </c>
      <c r="U454" s="17">
        <v>49.4</v>
      </c>
    </row>
    <row r="455" spans="1:23" x14ac:dyDescent="0.2">
      <c r="B455" t="s">
        <v>49</v>
      </c>
      <c r="C455" s="22"/>
      <c r="D455" s="22"/>
      <c r="E455" s="22"/>
      <c r="F455" s="22"/>
      <c r="G455" s="22"/>
      <c r="H455" s="22"/>
      <c r="I455" s="22"/>
      <c r="J455" s="22"/>
      <c r="K455" s="22" t="e">
        <f t="shared" ref="K455" si="766">K454/G454-1</f>
        <v>#DIV/0!</v>
      </c>
      <c r="L455" s="22" t="e">
        <f t="shared" ref="L455" si="767">L454/H454-1</f>
        <v>#DIV/0!</v>
      </c>
      <c r="M455" s="22" t="e">
        <f t="shared" ref="M455" si="768">M454/I454-1</f>
        <v>#DIV/0!</v>
      </c>
      <c r="N455" s="22" t="e">
        <f t="shared" ref="N455" si="769">N454/J454-1</f>
        <v>#DIV/0!</v>
      </c>
      <c r="O455" s="22">
        <f t="shared" ref="O455" si="770">O454/K454-1</f>
        <v>0.11238532110091737</v>
      </c>
      <c r="P455" s="22">
        <f t="shared" ref="P455" si="771">P454/L454-1</f>
        <v>5.2036199095022662E-2</v>
      </c>
      <c r="Q455" s="22">
        <f t="shared" ref="Q455" si="772">Q454/M454-1</f>
        <v>1.3544018058690765E-2</v>
      </c>
      <c r="R455" s="22">
        <f t="shared" ref="R455" si="773">R454/N454-1</f>
        <v>2.2869022869022926E-2</v>
      </c>
      <c r="S455" s="22">
        <f t="shared" ref="S455" si="774">S454/O454-1</f>
        <v>2.8865979381443196E-2</v>
      </c>
      <c r="T455" s="22">
        <f t="shared" ref="T455" si="775">T454/P454-1</f>
        <v>4.5161290322580649E-2</v>
      </c>
      <c r="U455" s="22">
        <f t="shared" ref="U455" si="776">U454/Q454-1</f>
        <v>0.10022271714922049</v>
      </c>
      <c r="W455" t="s">
        <v>282</v>
      </c>
    </row>
    <row r="456" spans="1:23" x14ac:dyDescent="0.2">
      <c r="B456" t="s">
        <v>52</v>
      </c>
      <c r="C456" s="22"/>
      <c r="D456" s="22"/>
      <c r="E456" s="22"/>
      <c r="F456" s="22"/>
      <c r="G456" s="22"/>
      <c r="H456" s="22"/>
      <c r="I456" s="22"/>
      <c r="J456" s="22"/>
      <c r="K456" s="22"/>
      <c r="L456" s="22">
        <f t="shared" ref="L456:U456" si="777">L454/K454-1</f>
        <v>1.3761467889908285E-2</v>
      </c>
      <c r="M456" s="22">
        <f t="shared" si="777"/>
        <v>2.2624434389137971E-3</v>
      </c>
      <c r="N456" s="22">
        <f t="shared" si="777"/>
        <v>8.5778781038374774E-2</v>
      </c>
      <c r="O456" s="22">
        <f t="shared" si="777"/>
        <v>8.3160083160083165E-3</v>
      </c>
      <c r="P456" s="22">
        <f t="shared" si="777"/>
        <v>-4.123711340206182E-2</v>
      </c>
      <c r="Q456" s="22">
        <f t="shared" si="777"/>
        <v>-3.4408602150537648E-2</v>
      </c>
      <c r="R456" s="22">
        <f t="shared" si="777"/>
        <v>9.5768374164810766E-2</v>
      </c>
      <c r="S456" s="22">
        <f t="shared" si="777"/>
        <v>1.4227642276422703E-2</v>
      </c>
      <c r="T456" s="22">
        <f t="shared" si="777"/>
        <v>-2.6052104208416749E-2</v>
      </c>
      <c r="U456" s="22">
        <f t="shared" si="777"/>
        <v>1.6460905349794164E-2</v>
      </c>
    </row>
    <row r="457" spans="1:23" x14ac:dyDescent="0.2">
      <c r="A457" s="17"/>
      <c r="B457" s="17" t="s">
        <v>48</v>
      </c>
      <c r="C457" s="17"/>
      <c r="D457" s="17"/>
      <c r="E457" s="17"/>
      <c r="F457" s="17"/>
      <c r="G457" s="17"/>
      <c r="H457" s="17"/>
      <c r="I457" s="17"/>
      <c r="J457" s="17"/>
      <c r="K457" s="17">
        <v>5.7</v>
      </c>
      <c r="L457" s="17">
        <v>5.5</v>
      </c>
      <c r="M457" s="17">
        <v>4.5</v>
      </c>
      <c r="N457" s="17">
        <v>3.3</v>
      </c>
      <c r="O457" s="17">
        <v>5</v>
      </c>
      <c r="P457" s="17">
        <v>5.6</v>
      </c>
      <c r="Q457" s="17">
        <v>4.3</v>
      </c>
      <c r="R457" s="17">
        <v>7.1</v>
      </c>
      <c r="S457" s="17">
        <v>8.9</v>
      </c>
      <c r="T457" s="17">
        <v>7.8</v>
      </c>
      <c r="U457" s="17">
        <v>8.9</v>
      </c>
    </row>
    <row r="458" spans="1:23" x14ac:dyDescent="0.2">
      <c r="B458" t="s">
        <v>49</v>
      </c>
      <c r="C458" s="22"/>
      <c r="D458" s="22"/>
      <c r="E458" s="22"/>
      <c r="F458" s="22"/>
      <c r="G458" s="22"/>
      <c r="H458" s="22"/>
      <c r="I458" s="22"/>
      <c r="J458" s="22"/>
      <c r="K458" s="22" t="e">
        <f t="shared" ref="K458" si="778">K457/G457-1</f>
        <v>#DIV/0!</v>
      </c>
      <c r="L458" s="22" t="e">
        <f t="shared" ref="L458" si="779">L457/H457-1</f>
        <v>#DIV/0!</v>
      </c>
      <c r="M458" s="22" t="e">
        <f t="shared" ref="M458" si="780">M457/I457-1</f>
        <v>#DIV/0!</v>
      </c>
      <c r="N458" s="22" t="e">
        <f t="shared" ref="N458" si="781">N457/J457-1</f>
        <v>#DIV/0!</v>
      </c>
      <c r="O458" s="22">
        <f t="shared" ref="O458" si="782">O457/K457-1</f>
        <v>-0.1228070175438597</v>
      </c>
      <c r="P458" s="22">
        <f t="shared" ref="P458" si="783">P457/L457-1</f>
        <v>1.8181818181818077E-2</v>
      </c>
      <c r="Q458" s="22">
        <f t="shared" ref="Q458" si="784">Q457/M457-1</f>
        <v>-4.4444444444444509E-2</v>
      </c>
      <c r="R458" s="22">
        <f t="shared" ref="R458" si="785">R457/N457-1</f>
        <v>1.1515151515151514</v>
      </c>
      <c r="S458" s="22">
        <f t="shared" ref="S458" si="786">S457/O457-1</f>
        <v>0.78</v>
      </c>
      <c r="T458" s="22">
        <f t="shared" ref="T458" si="787">T457/P457-1</f>
        <v>0.39285714285714302</v>
      </c>
      <c r="U458" s="22">
        <f t="shared" ref="U458" si="788">U457/Q457-1</f>
        <v>1.0697674418604652</v>
      </c>
    </row>
    <row r="459" spans="1:23" x14ac:dyDescent="0.2">
      <c r="B459" t="s">
        <v>52</v>
      </c>
      <c r="C459" s="22"/>
      <c r="D459" s="22"/>
      <c r="E459" s="22"/>
      <c r="F459" s="22"/>
      <c r="G459" s="22"/>
      <c r="H459" s="22"/>
      <c r="I459" s="22"/>
      <c r="J459" s="22"/>
      <c r="K459" s="22"/>
      <c r="L459" s="22">
        <f t="shared" ref="L459:U459" si="789">L457/K457-1</f>
        <v>-3.5087719298245612E-2</v>
      </c>
      <c r="M459" s="22">
        <f t="shared" si="789"/>
        <v>-0.18181818181818177</v>
      </c>
      <c r="N459" s="22">
        <f t="shared" si="789"/>
        <v>-0.26666666666666672</v>
      </c>
      <c r="O459" s="22">
        <f t="shared" si="789"/>
        <v>0.51515151515151514</v>
      </c>
      <c r="P459" s="22">
        <f t="shared" si="789"/>
        <v>0.11999999999999988</v>
      </c>
      <c r="Q459" s="22">
        <f t="shared" si="789"/>
        <v>-0.2321428571428571</v>
      </c>
      <c r="R459" s="22">
        <f t="shared" si="789"/>
        <v>0.65116279069767447</v>
      </c>
      <c r="S459" s="22">
        <f t="shared" si="789"/>
        <v>0.25352112676056349</v>
      </c>
      <c r="T459" s="22">
        <f t="shared" si="789"/>
        <v>-0.12359550561797761</v>
      </c>
      <c r="U459" s="22">
        <f t="shared" si="789"/>
        <v>0.14102564102564119</v>
      </c>
    </row>
    <row r="460" spans="1:23" x14ac:dyDescent="0.2">
      <c r="B460" s="17" t="s">
        <v>50</v>
      </c>
      <c r="C460" s="17"/>
      <c r="D460" s="17"/>
      <c r="E460" s="17"/>
      <c r="F460" s="17"/>
      <c r="G460" s="23"/>
      <c r="H460" s="23"/>
      <c r="I460" s="23"/>
      <c r="J460" s="23"/>
      <c r="K460" s="23" t="e">
        <f t="shared" ref="K460" si="790">AVERAGE(H457:K457)/AVERAGE(G457:J457)-1</f>
        <v>#DIV/0!</v>
      </c>
      <c r="L460" s="23">
        <f t="shared" ref="L460" si="791">AVERAGE(I457:L457)/AVERAGE(H457:K457)-1</f>
        <v>-1.7543859649122862E-2</v>
      </c>
      <c r="M460" s="23">
        <f t="shared" ref="M460" si="792">AVERAGE(J457:M457)/AVERAGE(I457:L457)-1</f>
        <v>-6.5476190476190355E-2</v>
      </c>
      <c r="N460" s="23">
        <f t="shared" ref="N460" si="793">AVERAGE(K457:N457)/AVERAGE(J457:M457)-1</f>
        <v>-9.2356687898089151E-2</v>
      </c>
      <c r="O460" s="23">
        <f t="shared" ref="O460" si="794">AVERAGE(L457:O457)/AVERAGE(K457:N457)-1</f>
        <v>-3.6842105263157898E-2</v>
      </c>
      <c r="P460" s="23">
        <f t="shared" ref="P460" si="795">AVERAGE(M457:P457)/AVERAGE(L457:O457)-1</f>
        <v>5.4644808743167239E-3</v>
      </c>
      <c r="Q460" s="23">
        <f t="shared" ref="Q460" si="796">AVERAGE(N457:Q457)/AVERAGE(M457:P457)-1</f>
        <v>-1.0869565217391242E-2</v>
      </c>
      <c r="R460" s="23">
        <f t="shared" ref="R460" si="797">AVERAGE(O457:R457)/AVERAGE(N457:Q457)-1</f>
        <v>0.20879120879120894</v>
      </c>
      <c r="S460" s="23">
        <f t="shared" ref="S460" si="798">AVERAGE(P457:S457)/AVERAGE(O457:R457)-1</f>
        <v>0.17727272727272725</v>
      </c>
      <c r="T460" s="23">
        <f t="shared" ref="T460" si="799">AVERAGE(Q457:T457)/AVERAGE(P457:S457)-1</f>
        <v>8.4942084942084994E-2</v>
      </c>
      <c r="U460" s="26">
        <f t="shared" ref="U460" si="800">AVERAGE(R457:U457)/AVERAGE(Q457:T457)-1</f>
        <v>0.1637010676156585</v>
      </c>
    </row>
    <row r="461" spans="1:23" ht="13.5" thickBot="1" x14ac:dyDescent="0.25"/>
    <row r="462" spans="1:23" ht="13.5" thickBot="1" x14ac:dyDescent="0.25">
      <c r="A462" s="24" t="s">
        <v>0</v>
      </c>
      <c r="B462" s="25">
        <v>1893</v>
      </c>
      <c r="C462" s="24" t="s">
        <v>30</v>
      </c>
      <c r="D462" s="24" t="s">
        <v>31</v>
      </c>
      <c r="E462" s="24" t="s">
        <v>32</v>
      </c>
      <c r="F462" s="24" t="s">
        <v>33</v>
      </c>
      <c r="G462" s="24" t="s">
        <v>34</v>
      </c>
      <c r="H462" s="24" t="s">
        <v>35</v>
      </c>
      <c r="I462" s="24" t="s">
        <v>36</v>
      </c>
      <c r="J462" s="24" t="s">
        <v>37</v>
      </c>
      <c r="K462" s="24" t="s">
        <v>38</v>
      </c>
      <c r="L462" s="24" t="s">
        <v>39</v>
      </c>
      <c r="M462" s="24" t="s">
        <v>40</v>
      </c>
      <c r="N462" s="24" t="s">
        <v>41</v>
      </c>
      <c r="O462" s="24" t="s">
        <v>42</v>
      </c>
      <c r="P462" s="24" t="s">
        <v>43</v>
      </c>
      <c r="Q462" s="24" t="s">
        <v>44</v>
      </c>
      <c r="R462" s="24" t="s">
        <v>45</v>
      </c>
      <c r="S462" s="24" t="s">
        <v>46</v>
      </c>
      <c r="T462" s="24" t="s">
        <v>47</v>
      </c>
      <c r="U462" s="24" t="s">
        <v>19</v>
      </c>
    </row>
    <row r="463" spans="1:23" x14ac:dyDescent="0.2">
      <c r="A463" s="17"/>
      <c r="B463" s="17" t="s">
        <v>51</v>
      </c>
      <c r="C463" s="17"/>
      <c r="D463" s="17"/>
      <c r="E463" s="17"/>
      <c r="F463" s="17"/>
      <c r="G463" s="17"/>
      <c r="H463" s="17"/>
      <c r="I463" s="17"/>
      <c r="J463" s="17"/>
      <c r="K463" s="17">
        <v>152</v>
      </c>
      <c r="L463" s="17">
        <v>123.8</v>
      </c>
      <c r="M463" s="17">
        <v>147.19999999999999</v>
      </c>
      <c r="N463" s="17">
        <v>152.9</v>
      </c>
      <c r="O463" s="17">
        <v>177</v>
      </c>
      <c r="P463" s="17">
        <v>154.30000000000001</v>
      </c>
      <c r="Q463" s="17">
        <v>163.9</v>
      </c>
      <c r="R463" s="17">
        <v>197.7</v>
      </c>
      <c r="S463" s="17">
        <v>187.1</v>
      </c>
      <c r="T463" s="17">
        <v>174.1</v>
      </c>
      <c r="U463" s="17">
        <v>204.8</v>
      </c>
    </row>
    <row r="464" spans="1:23" x14ac:dyDescent="0.2">
      <c r="B464" t="s">
        <v>49</v>
      </c>
      <c r="C464" s="22"/>
      <c r="D464" s="22"/>
      <c r="E464" s="22"/>
      <c r="F464" s="22"/>
      <c r="G464" s="22"/>
      <c r="H464" s="22"/>
      <c r="I464" s="22"/>
      <c r="J464" s="22"/>
      <c r="K464" s="22" t="e">
        <f t="shared" ref="K464" si="801">K463/G463-1</f>
        <v>#DIV/0!</v>
      </c>
      <c r="L464" s="22" t="e">
        <f t="shared" ref="L464" si="802">L463/H463-1</f>
        <v>#DIV/0!</v>
      </c>
      <c r="M464" s="22" t="e">
        <f t="shared" ref="M464" si="803">M463/I463-1</f>
        <v>#DIV/0!</v>
      </c>
      <c r="N464" s="22" t="e">
        <f t="shared" ref="N464" si="804">N463/J463-1</f>
        <v>#DIV/0!</v>
      </c>
      <c r="O464" s="22">
        <f t="shared" ref="O464" si="805">O463/K463-1</f>
        <v>0.16447368421052633</v>
      </c>
      <c r="P464" s="22">
        <f t="shared" ref="P464" si="806">P463/L463-1</f>
        <v>0.24636510500807773</v>
      </c>
      <c r="Q464" s="22">
        <f t="shared" ref="Q464" si="807">Q463/M463-1</f>
        <v>0.11345108695652195</v>
      </c>
      <c r="R464" s="22">
        <f t="shared" ref="R464" si="808">R463/N463-1</f>
        <v>0.29300196206671014</v>
      </c>
      <c r="S464" s="22">
        <f t="shared" ref="S464" si="809">S463/O463-1</f>
        <v>5.7062146892655319E-2</v>
      </c>
      <c r="T464" s="22">
        <f t="shared" ref="T464" si="810">T463/P463-1</f>
        <v>0.12832145171743337</v>
      </c>
      <c r="U464" s="22">
        <f t="shared" ref="U464" si="811">U463/Q463-1</f>
        <v>0.24954240390481996</v>
      </c>
    </row>
    <row r="465" spans="1:21" x14ac:dyDescent="0.2">
      <c r="B465" t="s">
        <v>52</v>
      </c>
      <c r="C465" s="22"/>
      <c r="D465" s="22"/>
      <c r="E465" s="22"/>
      <c r="F465" s="22"/>
      <c r="G465" s="22"/>
      <c r="H465" s="22"/>
      <c r="I465" s="22"/>
      <c r="J465" s="22"/>
      <c r="K465" s="22"/>
      <c r="L465" s="22">
        <f t="shared" ref="L465:U465" si="812">L463/K463-1</f>
        <v>-0.18552631578947365</v>
      </c>
      <c r="M465" s="22">
        <f t="shared" si="812"/>
        <v>0.18901453957996761</v>
      </c>
      <c r="N465" s="22">
        <f t="shared" si="812"/>
        <v>3.8722826086956541E-2</v>
      </c>
      <c r="O465" s="22">
        <f t="shared" si="812"/>
        <v>0.15761935905820801</v>
      </c>
      <c r="P465" s="22">
        <f t="shared" si="812"/>
        <v>-0.12824858757062141</v>
      </c>
      <c r="Q465" s="22">
        <f t="shared" si="812"/>
        <v>6.2216461438755699E-2</v>
      </c>
      <c r="R465" s="22">
        <f t="shared" si="812"/>
        <v>0.20622330689444768</v>
      </c>
      <c r="S465" s="22">
        <f t="shared" si="812"/>
        <v>-5.3616590794132502E-2</v>
      </c>
      <c r="T465" s="22">
        <f t="shared" si="812"/>
        <v>-6.9481560662747244E-2</v>
      </c>
      <c r="U465" s="22">
        <f t="shared" si="812"/>
        <v>0.17633543940264218</v>
      </c>
    </row>
    <row r="466" spans="1:21" x14ac:dyDescent="0.2">
      <c r="A466" s="17"/>
      <c r="B466" s="17" t="s">
        <v>48</v>
      </c>
      <c r="C466" s="17"/>
      <c r="D466" s="17"/>
      <c r="E466" s="17"/>
      <c r="F466" s="17"/>
      <c r="G466" s="17"/>
      <c r="H466" s="17"/>
      <c r="I466" s="17"/>
      <c r="J466" s="17"/>
      <c r="K466" s="17">
        <v>11.4</v>
      </c>
      <c r="L466" s="17">
        <v>6.4</v>
      </c>
      <c r="M466" s="17">
        <v>6.5</v>
      </c>
      <c r="N466" s="17">
        <v>7.8</v>
      </c>
      <c r="O466" s="17">
        <v>8</v>
      </c>
      <c r="P466" s="17">
        <v>7</v>
      </c>
      <c r="Q466" s="17">
        <v>8.1</v>
      </c>
      <c r="R466" s="17">
        <v>-0.3</v>
      </c>
      <c r="S466" s="17">
        <v>6.9</v>
      </c>
      <c r="T466" s="17">
        <v>10.3</v>
      </c>
      <c r="U466" s="17">
        <v>15.6</v>
      </c>
    </row>
    <row r="467" spans="1:21" x14ac:dyDescent="0.2">
      <c r="B467" t="s">
        <v>49</v>
      </c>
      <c r="C467" s="22"/>
      <c r="D467" s="22"/>
      <c r="E467" s="22"/>
      <c r="F467" s="22"/>
      <c r="G467" s="22"/>
      <c r="H467" s="22"/>
      <c r="I467" s="22"/>
      <c r="J467" s="22"/>
      <c r="K467" s="22" t="e">
        <f t="shared" ref="K467" si="813">K466/G466-1</f>
        <v>#DIV/0!</v>
      </c>
      <c r="L467" s="22" t="e">
        <f t="shared" ref="L467" si="814">L466/H466-1</f>
        <v>#DIV/0!</v>
      </c>
      <c r="M467" s="22" t="e">
        <f t="shared" ref="M467" si="815">M466/I466-1</f>
        <v>#DIV/0!</v>
      </c>
      <c r="N467" s="22" t="e">
        <f t="shared" ref="N467" si="816">N466/J466-1</f>
        <v>#DIV/0!</v>
      </c>
      <c r="O467" s="22">
        <f t="shared" ref="O467" si="817">O466/K466-1</f>
        <v>-0.29824561403508776</v>
      </c>
      <c r="P467" s="22">
        <f t="shared" ref="P467" si="818">P466/L466-1</f>
        <v>9.375E-2</v>
      </c>
      <c r="Q467" s="22">
        <f t="shared" ref="Q467" si="819">Q466/M466-1</f>
        <v>0.24615384615384617</v>
      </c>
      <c r="R467" s="22">
        <f t="shared" ref="R467" si="820">R466/N466-1</f>
        <v>-1.0384615384615385</v>
      </c>
      <c r="S467" s="22">
        <f t="shared" ref="S467" si="821">S466/O466-1</f>
        <v>-0.13749999999999996</v>
      </c>
      <c r="T467" s="22">
        <f t="shared" ref="T467" si="822">T466/P466-1</f>
        <v>0.47142857142857153</v>
      </c>
      <c r="U467" s="22">
        <f t="shared" ref="U467" si="823">U466/Q466-1</f>
        <v>0.92592592592592604</v>
      </c>
    </row>
    <row r="468" spans="1:21" x14ac:dyDescent="0.2">
      <c r="B468" t="s">
        <v>52</v>
      </c>
      <c r="C468" s="22"/>
      <c r="D468" s="22"/>
      <c r="E468" s="22"/>
      <c r="F468" s="22"/>
      <c r="G468" s="22"/>
      <c r="H468" s="22"/>
      <c r="I468" s="22"/>
      <c r="J468" s="22"/>
      <c r="K468" s="22"/>
      <c r="L468" s="22">
        <f t="shared" ref="L468:U468" si="824">L466/K466-1</f>
        <v>-0.43859649122807021</v>
      </c>
      <c r="M468" s="22">
        <f t="shared" si="824"/>
        <v>1.5625E-2</v>
      </c>
      <c r="N468" s="22">
        <f t="shared" si="824"/>
        <v>0.19999999999999996</v>
      </c>
      <c r="O468" s="22">
        <f t="shared" si="824"/>
        <v>2.5641025641025772E-2</v>
      </c>
      <c r="P468" s="22">
        <f t="shared" si="824"/>
        <v>-0.125</v>
      </c>
      <c r="Q468" s="22">
        <f t="shared" si="824"/>
        <v>0.15714285714285703</v>
      </c>
      <c r="R468" s="22">
        <f t="shared" si="824"/>
        <v>-1.037037037037037</v>
      </c>
      <c r="S468" s="22">
        <f t="shared" si="824"/>
        <v>-24.000000000000004</v>
      </c>
      <c r="T468" s="22">
        <f t="shared" si="824"/>
        <v>0.49275362318840576</v>
      </c>
      <c r="U468" s="22">
        <f t="shared" si="824"/>
        <v>0.51456310679611628</v>
      </c>
    </row>
    <row r="469" spans="1:21" x14ac:dyDescent="0.2">
      <c r="B469" s="17" t="s">
        <v>50</v>
      </c>
      <c r="C469" s="17"/>
      <c r="D469" s="17"/>
      <c r="E469" s="17"/>
      <c r="F469" s="17"/>
      <c r="G469" s="23"/>
      <c r="H469" s="23"/>
      <c r="I469" s="23"/>
      <c r="J469" s="23"/>
      <c r="K469" s="23" t="e">
        <f t="shared" ref="K469" si="825">AVERAGE(H466:K466)/AVERAGE(G466:J466)-1</f>
        <v>#DIV/0!</v>
      </c>
      <c r="L469" s="23">
        <f t="shared" ref="L469" si="826">AVERAGE(I466:L466)/AVERAGE(H466:K466)-1</f>
        <v>-0.2192982456140351</v>
      </c>
      <c r="M469" s="23">
        <f t="shared" ref="M469" si="827">AVERAGE(J466:M466)/AVERAGE(I466:L466)-1</f>
        <v>-8.9887640449438311E-2</v>
      </c>
      <c r="N469" s="23">
        <f t="shared" ref="N469" si="828">AVERAGE(K466:N466)/AVERAGE(J466:M466)-1</f>
        <v>-9.2592592592591894E-3</v>
      </c>
      <c r="O469" s="23">
        <f t="shared" ref="O469" si="829">AVERAGE(L466:O466)/AVERAGE(K466:N466)-1</f>
        <v>-0.10591900311526481</v>
      </c>
      <c r="P469" s="23">
        <f t="shared" ref="P469" si="830">AVERAGE(M466:P466)/AVERAGE(L466:O466)-1</f>
        <v>2.0905923344947785E-2</v>
      </c>
      <c r="Q469" s="23">
        <f t="shared" ref="Q469" si="831">AVERAGE(N466:Q466)/AVERAGE(M466:P466)-1</f>
        <v>5.4607508532423132E-2</v>
      </c>
      <c r="R469" s="23">
        <f t="shared" ref="R469" si="832">AVERAGE(O466:R466)/AVERAGE(N466:Q466)-1</f>
        <v>-0.26213592233009708</v>
      </c>
      <c r="S469" s="23">
        <f t="shared" ref="S469" si="833">AVERAGE(P466:S466)/AVERAGE(O466:R466)-1</f>
        <v>-4.8245614035087758E-2</v>
      </c>
      <c r="T469" s="26">
        <f t="shared" ref="T469" si="834">AVERAGE(Q466:T466)/AVERAGE(P466:S466)-1</f>
        <v>0.15207373271889413</v>
      </c>
      <c r="U469" s="26">
        <f t="shared" ref="U469" si="835">AVERAGE(R466:U466)/AVERAGE(Q466:T466)-1</f>
        <v>0.30000000000000004</v>
      </c>
    </row>
    <row r="470" spans="1:21" ht="13.5" thickBot="1" x14ac:dyDescent="0.25"/>
    <row r="471" spans="1:21" ht="13.5" thickBot="1" x14ac:dyDescent="0.25">
      <c r="A471" s="24" t="s">
        <v>0</v>
      </c>
      <c r="B471" s="25" t="s">
        <v>232</v>
      </c>
      <c r="C471" s="24" t="s">
        <v>30</v>
      </c>
      <c r="D471" s="24" t="s">
        <v>31</v>
      </c>
      <c r="E471" s="24" t="s">
        <v>32</v>
      </c>
      <c r="F471" s="24" t="s">
        <v>33</v>
      </c>
      <c r="G471" s="24" t="s">
        <v>34</v>
      </c>
      <c r="H471" s="24" t="s">
        <v>35</v>
      </c>
      <c r="I471" s="24" t="s">
        <v>36</v>
      </c>
      <c r="J471" s="24" t="s">
        <v>37</v>
      </c>
      <c r="K471" s="24" t="s">
        <v>38</v>
      </c>
      <c r="L471" s="24" t="s">
        <v>39</v>
      </c>
      <c r="M471" s="24" t="s">
        <v>40</v>
      </c>
      <c r="N471" s="24" t="s">
        <v>41</v>
      </c>
      <c r="O471" s="24" t="s">
        <v>42</v>
      </c>
      <c r="P471" s="24" t="s">
        <v>43</v>
      </c>
      <c r="Q471" s="24" t="s">
        <v>44</v>
      </c>
      <c r="R471" s="24" t="s">
        <v>45</v>
      </c>
      <c r="S471" s="24" t="s">
        <v>46</v>
      </c>
      <c r="T471" s="24" t="s">
        <v>47</v>
      </c>
      <c r="U471" s="24" t="s">
        <v>19</v>
      </c>
    </row>
    <row r="472" spans="1:21" x14ac:dyDescent="0.2">
      <c r="A472" s="17"/>
      <c r="B472" s="17" t="s">
        <v>51</v>
      </c>
      <c r="C472" s="17"/>
      <c r="D472" s="17"/>
      <c r="E472" s="17"/>
      <c r="F472" s="17"/>
      <c r="G472" s="17"/>
      <c r="H472" s="17"/>
      <c r="I472" s="17"/>
      <c r="J472" s="17"/>
      <c r="K472" s="17"/>
      <c r="L472" s="17"/>
      <c r="M472" s="17"/>
      <c r="N472" s="17"/>
      <c r="O472" s="17"/>
      <c r="P472" s="17"/>
      <c r="Q472" s="17"/>
      <c r="R472" s="17"/>
      <c r="S472" s="17"/>
      <c r="T472" s="17"/>
      <c r="U472" s="17"/>
    </row>
    <row r="473" spans="1:21" x14ac:dyDescent="0.2">
      <c r="B473" t="s">
        <v>49</v>
      </c>
      <c r="C473" s="22"/>
      <c r="D473" s="22"/>
      <c r="E473" s="22"/>
      <c r="F473" s="22"/>
      <c r="G473" s="22"/>
      <c r="H473" s="22"/>
      <c r="I473" s="22"/>
      <c r="J473" s="22"/>
      <c r="K473" s="22" t="e">
        <f t="shared" ref="K473:U473" si="836">K472/G472-1</f>
        <v>#DIV/0!</v>
      </c>
      <c r="L473" s="22" t="e">
        <f t="shared" si="836"/>
        <v>#DIV/0!</v>
      </c>
      <c r="M473" s="22" t="e">
        <f t="shared" si="836"/>
        <v>#DIV/0!</v>
      </c>
      <c r="N473" s="22" t="e">
        <f t="shared" si="836"/>
        <v>#DIV/0!</v>
      </c>
      <c r="O473" s="22" t="e">
        <f t="shared" si="836"/>
        <v>#DIV/0!</v>
      </c>
      <c r="P473" s="22" t="e">
        <f t="shared" si="836"/>
        <v>#DIV/0!</v>
      </c>
      <c r="Q473" s="22" t="e">
        <f t="shared" si="836"/>
        <v>#DIV/0!</v>
      </c>
      <c r="R473" s="22" t="e">
        <f t="shared" si="836"/>
        <v>#DIV/0!</v>
      </c>
      <c r="S473" s="22" t="e">
        <f t="shared" si="836"/>
        <v>#DIV/0!</v>
      </c>
      <c r="T473" s="22" t="e">
        <f t="shared" si="836"/>
        <v>#DIV/0!</v>
      </c>
      <c r="U473" s="22" t="e">
        <f t="shared" si="836"/>
        <v>#DIV/0!</v>
      </c>
    </row>
    <row r="474" spans="1:21" x14ac:dyDescent="0.2">
      <c r="B474" t="s">
        <v>52</v>
      </c>
      <c r="C474" s="22"/>
      <c r="D474" s="22"/>
      <c r="E474" s="22"/>
      <c r="F474" s="22"/>
      <c r="G474" s="22"/>
      <c r="H474" s="22"/>
      <c r="I474" s="22"/>
      <c r="J474" s="22"/>
      <c r="K474" s="22"/>
      <c r="L474" s="22" t="e">
        <f t="shared" ref="L474:U474" si="837">L472/K472-1</f>
        <v>#DIV/0!</v>
      </c>
      <c r="M474" s="22" t="e">
        <f t="shared" si="837"/>
        <v>#DIV/0!</v>
      </c>
      <c r="N474" s="22" t="e">
        <f t="shared" si="837"/>
        <v>#DIV/0!</v>
      </c>
      <c r="O474" s="22" t="e">
        <f t="shared" si="837"/>
        <v>#DIV/0!</v>
      </c>
      <c r="P474" s="22" t="e">
        <f t="shared" si="837"/>
        <v>#DIV/0!</v>
      </c>
      <c r="Q474" s="22" t="e">
        <f t="shared" si="837"/>
        <v>#DIV/0!</v>
      </c>
      <c r="R474" s="22" t="e">
        <f t="shared" si="837"/>
        <v>#DIV/0!</v>
      </c>
      <c r="S474" s="22" t="e">
        <f t="shared" si="837"/>
        <v>#DIV/0!</v>
      </c>
      <c r="T474" s="22" t="e">
        <f t="shared" si="837"/>
        <v>#DIV/0!</v>
      </c>
      <c r="U474" s="22" t="e">
        <f t="shared" si="837"/>
        <v>#DIV/0!</v>
      </c>
    </row>
    <row r="475" spans="1:21" x14ac:dyDescent="0.2">
      <c r="A475" s="17"/>
      <c r="B475" s="17" t="s">
        <v>48</v>
      </c>
      <c r="C475" s="17"/>
      <c r="D475" s="17"/>
      <c r="E475" s="17"/>
      <c r="F475" s="17"/>
      <c r="G475" s="17"/>
      <c r="H475" s="17"/>
      <c r="I475" s="17"/>
      <c r="J475" s="17"/>
      <c r="K475" s="17">
        <v>-2.4</v>
      </c>
      <c r="L475" s="17">
        <v>-13.4</v>
      </c>
      <c r="M475" s="17">
        <v>-29.4</v>
      </c>
      <c r="N475" s="17">
        <v>-6.8</v>
      </c>
      <c r="O475" s="17">
        <v>1.8</v>
      </c>
      <c r="P475" s="17">
        <v>6.3</v>
      </c>
      <c r="Q475" s="17">
        <v>11.7</v>
      </c>
      <c r="R475" s="17">
        <v>12</v>
      </c>
      <c r="S475" s="17">
        <v>8</v>
      </c>
      <c r="T475" s="17">
        <v>14.2</v>
      </c>
      <c r="U475" s="17">
        <v>17.5</v>
      </c>
    </row>
    <row r="476" spans="1:21" x14ac:dyDescent="0.2">
      <c r="B476" t="s">
        <v>49</v>
      </c>
      <c r="C476" s="22"/>
      <c r="D476" s="22"/>
      <c r="E476" s="22"/>
      <c r="F476" s="22"/>
      <c r="G476" s="22"/>
      <c r="H476" s="22"/>
      <c r="I476" s="22"/>
      <c r="J476" s="22"/>
      <c r="K476" s="22" t="e">
        <f t="shared" ref="K476:U476" si="838">K475/G475-1</f>
        <v>#DIV/0!</v>
      </c>
      <c r="L476" s="22" t="e">
        <f t="shared" si="838"/>
        <v>#DIV/0!</v>
      </c>
      <c r="M476" s="22" t="e">
        <f t="shared" si="838"/>
        <v>#DIV/0!</v>
      </c>
      <c r="N476" s="22" t="e">
        <f t="shared" si="838"/>
        <v>#DIV/0!</v>
      </c>
      <c r="O476" s="22">
        <f t="shared" si="838"/>
        <v>-1.75</v>
      </c>
      <c r="P476" s="22">
        <f t="shared" si="838"/>
        <v>-1.4701492537313432</v>
      </c>
      <c r="Q476" s="22">
        <f t="shared" si="838"/>
        <v>-1.3979591836734695</v>
      </c>
      <c r="R476" s="22">
        <f t="shared" si="838"/>
        <v>-2.7647058823529411</v>
      </c>
      <c r="S476" s="22">
        <f t="shared" si="838"/>
        <v>3.4444444444444446</v>
      </c>
      <c r="T476" s="22">
        <f t="shared" si="838"/>
        <v>1.253968253968254</v>
      </c>
      <c r="U476" s="22">
        <f t="shared" si="838"/>
        <v>0.49572649572649574</v>
      </c>
    </row>
    <row r="477" spans="1:21" x14ac:dyDescent="0.2">
      <c r="B477" t="s">
        <v>52</v>
      </c>
      <c r="C477" s="22"/>
      <c r="D477" s="22"/>
      <c r="E477" s="22"/>
      <c r="F477" s="22"/>
      <c r="G477" s="22"/>
      <c r="H477" s="22"/>
      <c r="I477" s="22"/>
      <c r="J477" s="22"/>
      <c r="K477" s="22"/>
      <c r="L477" s="22">
        <f t="shared" ref="L477:U477" si="839">L475/K475-1</f>
        <v>4.5833333333333339</v>
      </c>
      <c r="M477" s="22">
        <f t="shared" si="839"/>
        <v>1.1940298507462686</v>
      </c>
      <c r="N477" s="22">
        <f t="shared" si="839"/>
        <v>-0.76870748299319724</v>
      </c>
      <c r="O477" s="22">
        <f t="shared" si="839"/>
        <v>-1.2647058823529411</v>
      </c>
      <c r="P477" s="22">
        <f t="shared" si="839"/>
        <v>2.5</v>
      </c>
      <c r="Q477" s="22">
        <f t="shared" si="839"/>
        <v>0.85714285714285698</v>
      </c>
      <c r="R477" s="22">
        <f t="shared" si="839"/>
        <v>2.5641025641025772E-2</v>
      </c>
      <c r="S477" s="22">
        <f t="shared" si="839"/>
        <v>-0.33333333333333337</v>
      </c>
      <c r="T477" s="22">
        <f t="shared" si="839"/>
        <v>0.77499999999999991</v>
      </c>
      <c r="U477" s="22">
        <f t="shared" si="839"/>
        <v>0.23239436619718323</v>
      </c>
    </row>
    <row r="478" spans="1:21" x14ac:dyDescent="0.2">
      <c r="B478" s="17" t="s">
        <v>50</v>
      </c>
      <c r="C478" s="17"/>
      <c r="D478" s="17"/>
      <c r="E478" s="17"/>
      <c r="F478" s="17"/>
      <c r="G478" s="23"/>
      <c r="H478" s="23"/>
      <c r="I478" s="23"/>
      <c r="J478" s="23"/>
      <c r="K478" s="23" t="e">
        <f t="shared" ref="K478:U478" si="840">AVERAGE(H475:K475)/AVERAGE(G475:J475)-1</f>
        <v>#DIV/0!</v>
      </c>
      <c r="L478" s="23">
        <f t="shared" si="840"/>
        <v>2.291666666666667</v>
      </c>
      <c r="M478" s="23">
        <f t="shared" si="840"/>
        <v>0.90717299578059074</v>
      </c>
      <c r="N478" s="23">
        <f t="shared" si="840"/>
        <v>-0.13716814159292046</v>
      </c>
      <c r="O478" s="23">
        <f t="shared" si="840"/>
        <v>-8.0769230769230815E-2</v>
      </c>
      <c r="P478" s="23">
        <f t="shared" si="840"/>
        <v>-0.41213389121338917</v>
      </c>
      <c r="Q478" s="23">
        <f t="shared" si="840"/>
        <v>-1.4626334519572954</v>
      </c>
      <c r="R478" s="23">
        <f t="shared" si="840"/>
        <v>1.4461538461538459</v>
      </c>
      <c r="S478" s="23">
        <f t="shared" si="840"/>
        <v>0.19496855345911968</v>
      </c>
      <c r="T478" s="23">
        <f t="shared" si="840"/>
        <v>0.20789473684210513</v>
      </c>
      <c r="U478" s="23">
        <f t="shared" si="840"/>
        <v>0.12636165577342062</v>
      </c>
    </row>
    <row r="479" spans="1:21" ht="13.5" thickBot="1" x14ac:dyDescent="0.25"/>
    <row r="480" spans="1:21" ht="13.5" thickBot="1" x14ac:dyDescent="0.25">
      <c r="A480" s="24" t="s">
        <v>0</v>
      </c>
      <c r="B480" s="25" t="s">
        <v>320</v>
      </c>
      <c r="C480" s="24" t="s">
        <v>30</v>
      </c>
      <c r="D480" s="24" t="s">
        <v>31</v>
      </c>
      <c r="E480" s="24" t="s">
        <v>32</v>
      </c>
      <c r="F480" s="24" t="s">
        <v>33</v>
      </c>
      <c r="G480" s="24" t="s">
        <v>34</v>
      </c>
      <c r="H480" s="24" t="s">
        <v>35</v>
      </c>
      <c r="I480" s="24" t="s">
        <v>36</v>
      </c>
      <c r="J480" s="24" t="s">
        <v>37</v>
      </c>
      <c r="K480" s="24" t="s">
        <v>38</v>
      </c>
      <c r="L480" s="24" t="s">
        <v>39</v>
      </c>
      <c r="M480" s="24" t="s">
        <v>40</v>
      </c>
      <c r="N480" s="24" t="s">
        <v>41</v>
      </c>
      <c r="O480" s="24" t="s">
        <v>42</v>
      </c>
      <c r="P480" s="24" t="s">
        <v>43</v>
      </c>
      <c r="Q480" s="24" t="s">
        <v>44</v>
      </c>
      <c r="R480" s="24" t="s">
        <v>45</v>
      </c>
      <c r="S480" s="24" t="s">
        <v>46</v>
      </c>
      <c r="T480" s="24" t="s">
        <v>47</v>
      </c>
      <c r="U480" s="24" t="s">
        <v>19</v>
      </c>
    </row>
    <row r="481" spans="1:21" x14ac:dyDescent="0.2">
      <c r="A481" s="17"/>
      <c r="B481" s="17" t="s">
        <v>51</v>
      </c>
      <c r="C481" s="17"/>
      <c r="D481" s="17"/>
      <c r="E481" s="17"/>
      <c r="F481" s="17"/>
      <c r="G481" s="17"/>
      <c r="H481" s="17"/>
      <c r="I481" s="17"/>
      <c r="J481" s="17"/>
      <c r="K481" s="17"/>
      <c r="L481" s="17"/>
      <c r="M481" s="17"/>
      <c r="N481" s="17"/>
      <c r="O481" s="17"/>
      <c r="P481" s="17"/>
      <c r="Q481" s="17"/>
      <c r="R481" s="17"/>
      <c r="S481" s="17"/>
      <c r="T481" s="17"/>
      <c r="U481" s="17"/>
    </row>
    <row r="482" spans="1:21" x14ac:dyDescent="0.2">
      <c r="B482" t="s">
        <v>49</v>
      </c>
      <c r="C482" s="22"/>
      <c r="D482" s="22"/>
      <c r="E482" s="22"/>
      <c r="F482" s="22"/>
      <c r="G482" s="22"/>
      <c r="H482" s="22"/>
      <c r="I482" s="22"/>
      <c r="J482" s="22"/>
      <c r="K482" s="22" t="e">
        <f t="shared" ref="K482:U482" si="841">K481/G481-1</f>
        <v>#DIV/0!</v>
      </c>
      <c r="L482" s="22" t="e">
        <f t="shared" si="841"/>
        <v>#DIV/0!</v>
      </c>
      <c r="M482" s="22" t="e">
        <f t="shared" si="841"/>
        <v>#DIV/0!</v>
      </c>
      <c r="N482" s="22" t="e">
        <f t="shared" si="841"/>
        <v>#DIV/0!</v>
      </c>
      <c r="O482" s="22" t="e">
        <f t="shared" si="841"/>
        <v>#DIV/0!</v>
      </c>
      <c r="P482" s="22" t="e">
        <f t="shared" si="841"/>
        <v>#DIV/0!</v>
      </c>
      <c r="Q482" s="22" t="e">
        <f t="shared" si="841"/>
        <v>#DIV/0!</v>
      </c>
      <c r="R482" s="22" t="e">
        <f t="shared" si="841"/>
        <v>#DIV/0!</v>
      </c>
      <c r="S482" s="22" t="e">
        <f t="shared" si="841"/>
        <v>#DIV/0!</v>
      </c>
      <c r="T482" s="22" t="e">
        <f t="shared" si="841"/>
        <v>#DIV/0!</v>
      </c>
      <c r="U482" s="22" t="e">
        <f t="shared" si="841"/>
        <v>#DIV/0!</v>
      </c>
    </row>
    <row r="483" spans="1:21" x14ac:dyDescent="0.2">
      <c r="B483" t="s">
        <v>52</v>
      </c>
      <c r="C483" s="22"/>
      <c r="D483" s="22"/>
      <c r="E483" s="22"/>
      <c r="F483" s="22"/>
      <c r="G483" s="22"/>
      <c r="H483" s="22"/>
      <c r="I483" s="22"/>
      <c r="J483" s="22"/>
      <c r="K483" s="22"/>
      <c r="L483" s="22" t="e">
        <f t="shared" ref="L483:U483" si="842">L481/K481-1</f>
        <v>#DIV/0!</v>
      </c>
      <c r="M483" s="22" t="e">
        <f t="shared" si="842"/>
        <v>#DIV/0!</v>
      </c>
      <c r="N483" s="22" t="e">
        <f t="shared" si="842"/>
        <v>#DIV/0!</v>
      </c>
      <c r="O483" s="22" t="e">
        <f t="shared" si="842"/>
        <v>#DIV/0!</v>
      </c>
      <c r="P483" s="22" t="e">
        <f t="shared" si="842"/>
        <v>#DIV/0!</v>
      </c>
      <c r="Q483" s="22" t="e">
        <f t="shared" si="842"/>
        <v>#DIV/0!</v>
      </c>
      <c r="R483" s="22" t="e">
        <f t="shared" si="842"/>
        <v>#DIV/0!</v>
      </c>
      <c r="S483" s="22" t="e">
        <f t="shared" si="842"/>
        <v>#DIV/0!</v>
      </c>
      <c r="T483" s="22" t="e">
        <f t="shared" si="842"/>
        <v>#DIV/0!</v>
      </c>
      <c r="U483" s="22" t="e">
        <f t="shared" si="842"/>
        <v>#DIV/0!</v>
      </c>
    </row>
    <row r="484" spans="1:21" x14ac:dyDescent="0.2">
      <c r="A484" s="17"/>
      <c r="B484" s="17" t="s">
        <v>48</v>
      </c>
      <c r="C484" s="17"/>
      <c r="D484" s="17"/>
      <c r="E484" s="17"/>
      <c r="F484" s="17"/>
      <c r="G484" s="17"/>
      <c r="H484" s="17"/>
      <c r="I484" s="17"/>
      <c r="J484" s="17"/>
      <c r="K484" s="17"/>
      <c r="L484" s="17"/>
      <c r="M484" s="17"/>
      <c r="N484" s="17"/>
      <c r="O484" s="17"/>
      <c r="P484" s="17"/>
      <c r="Q484" s="17"/>
      <c r="R484" s="17"/>
      <c r="S484" s="17"/>
      <c r="T484" s="17"/>
      <c r="U484" s="17"/>
    </row>
    <row r="485" spans="1:21" x14ac:dyDescent="0.2">
      <c r="B485" t="s">
        <v>49</v>
      </c>
      <c r="C485" s="22"/>
      <c r="D485" s="22"/>
      <c r="E485" s="22"/>
      <c r="F485" s="22"/>
      <c r="G485" s="22"/>
      <c r="H485" s="22"/>
      <c r="I485" s="22"/>
      <c r="J485" s="22"/>
      <c r="K485" s="22" t="e">
        <f t="shared" ref="K485:U485" si="843">K484/G484-1</f>
        <v>#DIV/0!</v>
      </c>
      <c r="L485" s="22" t="e">
        <f t="shared" si="843"/>
        <v>#DIV/0!</v>
      </c>
      <c r="M485" s="22" t="e">
        <f t="shared" si="843"/>
        <v>#DIV/0!</v>
      </c>
      <c r="N485" s="22" t="e">
        <f t="shared" si="843"/>
        <v>#DIV/0!</v>
      </c>
      <c r="O485" s="22" t="e">
        <f t="shared" si="843"/>
        <v>#DIV/0!</v>
      </c>
      <c r="P485" s="22" t="e">
        <f t="shared" si="843"/>
        <v>#DIV/0!</v>
      </c>
      <c r="Q485" s="22" t="e">
        <f t="shared" si="843"/>
        <v>#DIV/0!</v>
      </c>
      <c r="R485" s="22" t="e">
        <f t="shared" si="843"/>
        <v>#DIV/0!</v>
      </c>
      <c r="S485" s="22" t="e">
        <f t="shared" si="843"/>
        <v>#DIV/0!</v>
      </c>
      <c r="T485" s="22" t="e">
        <f t="shared" si="843"/>
        <v>#DIV/0!</v>
      </c>
      <c r="U485" s="22" t="e">
        <f t="shared" si="843"/>
        <v>#DIV/0!</v>
      </c>
    </row>
    <row r="486" spans="1:21" x14ac:dyDescent="0.2">
      <c r="B486" t="s">
        <v>52</v>
      </c>
      <c r="C486" s="22"/>
      <c r="D486" s="22"/>
      <c r="E486" s="22"/>
      <c r="F486" s="22"/>
      <c r="G486" s="22"/>
      <c r="H486" s="22"/>
      <c r="I486" s="22"/>
      <c r="J486" s="22"/>
      <c r="K486" s="22"/>
      <c r="L486" s="22" t="e">
        <f t="shared" ref="L486:U486" si="844">L484/K484-1</f>
        <v>#DIV/0!</v>
      </c>
      <c r="M486" s="22" t="e">
        <f t="shared" si="844"/>
        <v>#DIV/0!</v>
      </c>
      <c r="N486" s="22" t="e">
        <f t="shared" si="844"/>
        <v>#DIV/0!</v>
      </c>
      <c r="O486" s="22" t="e">
        <f t="shared" si="844"/>
        <v>#DIV/0!</v>
      </c>
      <c r="P486" s="22" t="e">
        <f t="shared" si="844"/>
        <v>#DIV/0!</v>
      </c>
      <c r="Q486" s="22" t="e">
        <f t="shared" si="844"/>
        <v>#DIV/0!</v>
      </c>
      <c r="R486" s="22" t="e">
        <f t="shared" si="844"/>
        <v>#DIV/0!</v>
      </c>
      <c r="S486" s="22" t="e">
        <f t="shared" si="844"/>
        <v>#DIV/0!</v>
      </c>
      <c r="T486" s="22" t="e">
        <f t="shared" si="844"/>
        <v>#DIV/0!</v>
      </c>
      <c r="U486" s="22" t="e">
        <f t="shared" si="844"/>
        <v>#DIV/0!</v>
      </c>
    </row>
    <row r="487" spans="1:21" x14ac:dyDescent="0.2">
      <c r="B487" s="17" t="s">
        <v>50</v>
      </c>
      <c r="C487" s="17"/>
      <c r="D487" s="17"/>
      <c r="E487" s="17"/>
      <c r="F487" s="17"/>
      <c r="G487" s="23"/>
      <c r="H487" s="23"/>
      <c r="I487" s="23"/>
      <c r="J487" s="23"/>
      <c r="K487" s="23" t="e">
        <f t="shared" ref="K487:U487" si="845">AVERAGE(H484:K484)/AVERAGE(G484:J484)-1</f>
        <v>#DIV/0!</v>
      </c>
      <c r="L487" s="23" t="e">
        <f t="shared" si="845"/>
        <v>#DIV/0!</v>
      </c>
      <c r="M487" s="23" t="e">
        <f t="shared" si="845"/>
        <v>#DIV/0!</v>
      </c>
      <c r="N487" s="23" t="e">
        <f t="shared" si="845"/>
        <v>#DIV/0!</v>
      </c>
      <c r="O487" s="23" t="e">
        <f t="shared" si="845"/>
        <v>#DIV/0!</v>
      </c>
      <c r="P487" s="23" t="e">
        <f t="shared" si="845"/>
        <v>#DIV/0!</v>
      </c>
      <c r="Q487" s="23" t="e">
        <f t="shared" si="845"/>
        <v>#DIV/0!</v>
      </c>
      <c r="R487" s="23" t="e">
        <f t="shared" si="845"/>
        <v>#DIV/0!</v>
      </c>
      <c r="S487" s="23" t="e">
        <f t="shared" si="845"/>
        <v>#DIV/0!</v>
      </c>
      <c r="T487" s="23" t="e">
        <f t="shared" si="845"/>
        <v>#DIV/0!</v>
      </c>
      <c r="U487" s="23" t="e">
        <f t="shared" si="845"/>
        <v>#DIV/0!</v>
      </c>
    </row>
    <row r="488" spans="1:21" ht="13.5" thickBot="1" x14ac:dyDescent="0.25"/>
    <row r="489" spans="1:21" ht="13.5" thickBot="1" x14ac:dyDescent="0.25">
      <c r="A489" s="24" t="s">
        <v>0</v>
      </c>
      <c r="B489" s="25" t="s">
        <v>314</v>
      </c>
      <c r="C489" s="24" t="s">
        <v>30</v>
      </c>
      <c r="D489" s="24" t="s">
        <v>31</v>
      </c>
      <c r="E489" s="24" t="s">
        <v>32</v>
      </c>
      <c r="F489" s="24" t="s">
        <v>33</v>
      </c>
      <c r="G489" s="24" t="s">
        <v>34</v>
      </c>
      <c r="H489" s="24" t="s">
        <v>35</v>
      </c>
      <c r="I489" s="24" t="s">
        <v>36</v>
      </c>
      <c r="J489" s="24" t="s">
        <v>37</v>
      </c>
      <c r="K489" s="24" t="s">
        <v>38</v>
      </c>
      <c r="L489" s="24" t="s">
        <v>39</v>
      </c>
      <c r="M489" s="24" t="s">
        <v>40</v>
      </c>
      <c r="N489" s="24" t="s">
        <v>41</v>
      </c>
      <c r="O489" s="24" t="s">
        <v>42</v>
      </c>
      <c r="P489" s="24" t="s">
        <v>43</v>
      </c>
      <c r="Q489" s="24" t="s">
        <v>44</v>
      </c>
      <c r="R489" s="24" t="s">
        <v>45</v>
      </c>
      <c r="S489" s="24" t="s">
        <v>46</v>
      </c>
      <c r="T489" s="24" t="s">
        <v>47</v>
      </c>
      <c r="U489" s="24" t="s">
        <v>19</v>
      </c>
    </row>
    <row r="490" spans="1:21" x14ac:dyDescent="0.2">
      <c r="A490" s="17"/>
      <c r="B490" s="17" t="s">
        <v>51</v>
      </c>
      <c r="C490" s="17"/>
      <c r="D490" s="17"/>
      <c r="E490" s="17"/>
      <c r="F490" s="17"/>
      <c r="G490" s="17"/>
      <c r="H490" s="17"/>
      <c r="I490" s="17"/>
      <c r="J490" s="17"/>
      <c r="K490" s="17"/>
      <c r="L490" s="17"/>
      <c r="M490" s="17"/>
      <c r="N490" s="17"/>
      <c r="O490" s="17"/>
      <c r="P490" s="17"/>
      <c r="Q490" s="17"/>
      <c r="R490" s="17"/>
      <c r="S490" s="17"/>
      <c r="T490" s="17"/>
      <c r="U490" s="17"/>
    </row>
    <row r="491" spans="1:21" x14ac:dyDescent="0.2">
      <c r="B491" t="s">
        <v>49</v>
      </c>
      <c r="C491" s="22"/>
      <c r="D491" s="22"/>
      <c r="E491" s="22"/>
      <c r="F491" s="22"/>
      <c r="G491" s="22"/>
      <c r="H491" s="22"/>
      <c r="I491" s="22"/>
      <c r="J491" s="22"/>
      <c r="K491" s="22" t="e">
        <f t="shared" ref="K491:U491" si="846">K490/G490-1</f>
        <v>#DIV/0!</v>
      </c>
      <c r="L491" s="22" t="e">
        <f t="shared" si="846"/>
        <v>#DIV/0!</v>
      </c>
      <c r="M491" s="22" t="e">
        <f t="shared" si="846"/>
        <v>#DIV/0!</v>
      </c>
      <c r="N491" s="22" t="e">
        <f t="shared" si="846"/>
        <v>#DIV/0!</v>
      </c>
      <c r="O491" s="22" t="e">
        <f t="shared" si="846"/>
        <v>#DIV/0!</v>
      </c>
      <c r="P491" s="22" t="e">
        <f t="shared" si="846"/>
        <v>#DIV/0!</v>
      </c>
      <c r="Q491" s="22" t="e">
        <f t="shared" si="846"/>
        <v>#DIV/0!</v>
      </c>
      <c r="R491" s="22" t="e">
        <f t="shared" si="846"/>
        <v>#DIV/0!</v>
      </c>
      <c r="S491" s="22" t="e">
        <f t="shared" si="846"/>
        <v>#DIV/0!</v>
      </c>
      <c r="T491" s="22" t="e">
        <f t="shared" si="846"/>
        <v>#DIV/0!</v>
      </c>
      <c r="U491" s="22" t="e">
        <f t="shared" si="846"/>
        <v>#DIV/0!</v>
      </c>
    </row>
    <row r="492" spans="1:21" x14ac:dyDescent="0.2">
      <c r="B492" t="s">
        <v>52</v>
      </c>
      <c r="C492" s="22"/>
      <c r="D492" s="22"/>
      <c r="E492" s="22"/>
      <c r="F492" s="22"/>
      <c r="G492" s="22"/>
      <c r="H492" s="22"/>
      <c r="I492" s="22"/>
      <c r="J492" s="22"/>
      <c r="K492" s="22"/>
      <c r="L492" s="22" t="e">
        <f t="shared" ref="L492:U492" si="847">L490/K490-1</f>
        <v>#DIV/0!</v>
      </c>
      <c r="M492" s="22" t="e">
        <f t="shared" si="847"/>
        <v>#DIV/0!</v>
      </c>
      <c r="N492" s="22" t="e">
        <f t="shared" si="847"/>
        <v>#DIV/0!</v>
      </c>
      <c r="O492" s="22" t="e">
        <f t="shared" si="847"/>
        <v>#DIV/0!</v>
      </c>
      <c r="P492" s="22" t="e">
        <f t="shared" si="847"/>
        <v>#DIV/0!</v>
      </c>
      <c r="Q492" s="22" t="e">
        <f t="shared" si="847"/>
        <v>#DIV/0!</v>
      </c>
      <c r="R492" s="22" t="e">
        <f t="shared" si="847"/>
        <v>#DIV/0!</v>
      </c>
      <c r="S492" s="22" t="e">
        <f t="shared" si="847"/>
        <v>#DIV/0!</v>
      </c>
      <c r="T492" s="22" t="e">
        <f t="shared" si="847"/>
        <v>#DIV/0!</v>
      </c>
      <c r="U492" s="22" t="e">
        <f t="shared" si="847"/>
        <v>#DIV/0!</v>
      </c>
    </row>
    <row r="493" spans="1:21" x14ac:dyDescent="0.2">
      <c r="A493" s="17"/>
      <c r="B493" s="17" t="s">
        <v>48</v>
      </c>
      <c r="C493" s="17"/>
      <c r="D493" s="17"/>
      <c r="E493" s="17"/>
      <c r="F493" s="17"/>
      <c r="G493" s="17"/>
      <c r="H493" s="17"/>
      <c r="I493" s="17"/>
      <c r="J493" s="17"/>
      <c r="K493" s="17">
        <v>221</v>
      </c>
      <c r="L493" s="17">
        <v>53</v>
      </c>
      <c r="M493" s="17">
        <v>42</v>
      </c>
      <c r="N493" s="17">
        <v>10</v>
      </c>
      <c r="O493" s="17">
        <v>133</v>
      </c>
      <c r="P493" s="17">
        <v>115</v>
      </c>
      <c r="Q493" s="17">
        <v>-5</v>
      </c>
      <c r="R493" s="17">
        <v>8</v>
      </c>
      <c r="S493" s="17">
        <v>121</v>
      </c>
      <c r="T493" s="17">
        <v>85</v>
      </c>
      <c r="U493" s="17">
        <v>27</v>
      </c>
    </row>
    <row r="494" spans="1:21" x14ac:dyDescent="0.2">
      <c r="B494" t="s">
        <v>49</v>
      </c>
      <c r="C494" s="22"/>
      <c r="D494" s="22"/>
      <c r="E494" s="22"/>
      <c r="F494" s="22"/>
      <c r="G494" s="22"/>
      <c r="H494" s="22"/>
      <c r="I494" s="22"/>
      <c r="J494" s="22"/>
      <c r="K494" s="22" t="e">
        <f t="shared" ref="K494:U494" si="848">K493/G493-1</f>
        <v>#DIV/0!</v>
      </c>
      <c r="L494" s="22" t="e">
        <f t="shared" si="848"/>
        <v>#DIV/0!</v>
      </c>
      <c r="M494" s="22" t="e">
        <f t="shared" si="848"/>
        <v>#DIV/0!</v>
      </c>
      <c r="N494" s="22" t="e">
        <f t="shared" si="848"/>
        <v>#DIV/0!</v>
      </c>
      <c r="O494" s="22">
        <f t="shared" si="848"/>
        <v>-0.39819004524886881</v>
      </c>
      <c r="P494" s="22">
        <f t="shared" si="848"/>
        <v>1.1698113207547172</v>
      </c>
      <c r="Q494" s="22">
        <f t="shared" si="848"/>
        <v>-1.1190476190476191</v>
      </c>
      <c r="R494" s="22">
        <f t="shared" si="848"/>
        <v>-0.19999999999999996</v>
      </c>
      <c r="S494" s="22">
        <f t="shared" si="848"/>
        <v>-9.0225563909774431E-2</v>
      </c>
      <c r="T494" s="22">
        <f t="shared" si="848"/>
        <v>-0.26086956521739135</v>
      </c>
      <c r="U494" s="22">
        <f t="shared" si="848"/>
        <v>-6.4</v>
      </c>
    </row>
    <row r="495" spans="1:21" x14ac:dyDescent="0.2">
      <c r="B495" t="s">
        <v>52</v>
      </c>
      <c r="C495" s="22"/>
      <c r="D495" s="22"/>
      <c r="E495" s="22"/>
      <c r="F495" s="22"/>
      <c r="G495" s="22"/>
      <c r="H495" s="22"/>
      <c r="I495" s="22"/>
      <c r="J495" s="22"/>
      <c r="K495" s="22"/>
      <c r="L495" s="22">
        <f t="shared" ref="L495:U495" si="849">L493/K493-1</f>
        <v>-0.76018099547511309</v>
      </c>
      <c r="M495" s="22">
        <f t="shared" si="849"/>
        <v>-0.20754716981132071</v>
      </c>
      <c r="N495" s="22">
        <f t="shared" si="849"/>
        <v>-0.76190476190476186</v>
      </c>
      <c r="O495" s="22">
        <f t="shared" si="849"/>
        <v>12.3</v>
      </c>
      <c r="P495" s="22">
        <f t="shared" si="849"/>
        <v>-0.13533834586466165</v>
      </c>
      <c r="Q495" s="22">
        <f t="shared" si="849"/>
        <v>-1.0434782608695652</v>
      </c>
      <c r="R495" s="22">
        <f t="shared" si="849"/>
        <v>-2.6</v>
      </c>
      <c r="S495" s="22">
        <f t="shared" si="849"/>
        <v>14.125</v>
      </c>
      <c r="T495" s="22">
        <f t="shared" si="849"/>
        <v>-0.2975206611570248</v>
      </c>
      <c r="U495" s="22">
        <f t="shared" si="849"/>
        <v>-0.68235294117647061</v>
      </c>
    </row>
    <row r="496" spans="1:21" x14ac:dyDescent="0.2">
      <c r="B496" s="17" t="s">
        <v>50</v>
      </c>
      <c r="C496" s="17"/>
      <c r="D496" s="17"/>
      <c r="E496" s="17"/>
      <c r="F496" s="17"/>
      <c r="G496" s="23"/>
      <c r="H496" s="23"/>
      <c r="I496" s="23"/>
      <c r="J496" s="23"/>
      <c r="K496" s="23" t="e">
        <f t="shared" ref="K496:U496" si="850">AVERAGE(H493:K493)/AVERAGE(G493:J493)-1</f>
        <v>#DIV/0!</v>
      </c>
      <c r="L496" s="23">
        <f t="shared" si="850"/>
        <v>-0.38009049773755654</v>
      </c>
      <c r="M496" s="23">
        <f t="shared" si="850"/>
        <v>-0.23114355231143557</v>
      </c>
      <c r="N496" s="23">
        <f t="shared" si="850"/>
        <v>-0.22626582278481011</v>
      </c>
      <c r="O496" s="23">
        <f t="shared" si="850"/>
        <v>-0.26993865030674846</v>
      </c>
      <c r="P496" s="23">
        <f t="shared" si="850"/>
        <v>0.26050420168067223</v>
      </c>
      <c r="Q496" s="23">
        <f t="shared" si="850"/>
        <v>-0.15666666666666662</v>
      </c>
      <c r="R496" s="23">
        <f t="shared" si="850"/>
        <v>-7.905138339920903E-3</v>
      </c>
      <c r="S496" s="23">
        <f t="shared" si="850"/>
        <v>-4.7808764940239001E-2</v>
      </c>
      <c r="T496" s="23">
        <f t="shared" si="850"/>
        <v>-0.12552301255230125</v>
      </c>
      <c r="U496" s="23">
        <f t="shared" si="850"/>
        <v>0.15311004784688986</v>
      </c>
    </row>
    <row r="497" spans="1:21" ht="13.5" thickBot="1" x14ac:dyDescent="0.25"/>
    <row r="498" spans="1:21" ht="13.5" thickBot="1" x14ac:dyDescent="0.25">
      <c r="A498" s="24" t="s">
        <v>0</v>
      </c>
      <c r="B498" s="25" t="s">
        <v>302</v>
      </c>
      <c r="C498" s="24" t="s">
        <v>30</v>
      </c>
      <c r="D498" s="24" t="s">
        <v>31</v>
      </c>
      <c r="E498" s="24" t="s">
        <v>32</v>
      </c>
      <c r="F498" s="24" t="s">
        <v>33</v>
      </c>
      <c r="G498" s="24" t="s">
        <v>34</v>
      </c>
      <c r="H498" s="24" t="s">
        <v>35</v>
      </c>
      <c r="I498" s="24" t="s">
        <v>36</v>
      </c>
      <c r="J498" s="24" t="s">
        <v>37</v>
      </c>
      <c r="K498" s="24" t="s">
        <v>38</v>
      </c>
      <c r="L498" s="24" t="s">
        <v>39</v>
      </c>
      <c r="M498" s="24" t="s">
        <v>40</v>
      </c>
      <c r="N498" s="24" t="s">
        <v>41</v>
      </c>
      <c r="O498" s="24" t="s">
        <v>42</v>
      </c>
      <c r="P498" s="24" t="s">
        <v>43</v>
      </c>
      <c r="Q498" s="24" t="s">
        <v>44</v>
      </c>
      <c r="R498" s="24" t="s">
        <v>45</v>
      </c>
      <c r="S498" s="24" t="s">
        <v>46</v>
      </c>
      <c r="T498" s="24" t="s">
        <v>47</v>
      </c>
      <c r="U498" s="24" t="s">
        <v>19</v>
      </c>
    </row>
    <row r="499" spans="1:21" x14ac:dyDescent="0.2">
      <c r="A499" s="17"/>
      <c r="B499" s="17" t="s">
        <v>51</v>
      </c>
      <c r="C499" s="17"/>
      <c r="D499" s="17"/>
      <c r="E499" s="17"/>
      <c r="F499" s="17"/>
      <c r="G499" s="17"/>
      <c r="H499" s="17"/>
      <c r="I499" s="17"/>
      <c r="J499" s="17"/>
      <c r="K499" s="17"/>
      <c r="L499" s="17"/>
      <c r="M499" s="17"/>
      <c r="N499" s="17"/>
      <c r="O499" s="17"/>
      <c r="P499" s="17"/>
      <c r="Q499" s="17"/>
      <c r="R499" s="17"/>
      <c r="S499" s="17"/>
      <c r="T499" s="17"/>
      <c r="U499" s="17"/>
    </row>
    <row r="500" spans="1:21" x14ac:dyDescent="0.2">
      <c r="B500" t="s">
        <v>49</v>
      </c>
      <c r="C500" s="22"/>
      <c r="D500" s="22"/>
      <c r="E500" s="22"/>
      <c r="F500" s="22"/>
      <c r="G500" s="22"/>
      <c r="H500" s="22"/>
      <c r="I500" s="22"/>
      <c r="J500" s="22"/>
      <c r="K500" s="22" t="e">
        <f t="shared" ref="K500:U500" si="851">K499/G499-1</f>
        <v>#DIV/0!</v>
      </c>
      <c r="L500" s="22" t="e">
        <f t="shared" si="851"/>
        <v>#DIV/0!</v>
      </c>
      <c r="M500" s="22" t="e">
        <f t="shared" si="851"/>
        <v>#DIV/0!</v>
      </c>
      <c r="N500" s="22" t="e">
        <f t="shared" si="851"/>
        <v>#DIV/0!</v>
      </c>
      <c r="O500" s="22" t="e">
        <f t="shared" si="851"/>
        <v>#DIV/0!</v>
      </c>
      <c r="P500" s="22" t="e">
        <f t="shared" si="851"/>
        <v>#DIV/0!</v>
      </c>
      <c r="Q500" s="22" t="e">
        <f t="shared" si="851"/>
        <v>#DIV/0!</v>
      </c>
      <c r="R500" s="22" t="e">
        <f t="shared" si="851"/>
        <v>#DIV/0!</v>
      </c>
      <c r="S500" s="22" t="e">
        <f t="shared" si="851"/>
        <v>#DIV/0!</v>
      </c>
      <c r="T500" s="22" t="e">
        <f t="shared" si="851"/>
        <v>#DIV/0!</v>
      </c>
      <c r="U500" s="22" t="e">
        <f t="shared" si="851"/>
        <v>#DIV/0!</v>
      </c>
    </row>
    <row r="501" spans="1:21" x14ac:dyDescent="0.2">
      <c r="B501" t="s">
        <v>52</v>
      </c>
      <c r="C501" s="22"/>
      <c r="D501" s="22"/>
      <c r="E501" s="22"/>
      <c r="F501" s="22"/>
      <c r="G501" s="22"/>
      <c r="H501" s="22"/>
      <c r="I501" s="22"/>
      <c r="J501" s="22"/>
      <c r="K501" s="22"/>
      <c r="L501" s="22" t="e">
        <f t="shared" ref="L501:U501" si="852">L499/K499-1</f>
        <v>#DIV/0!</v>
      </c>
      <c r="M501" s="22" t="e">
        <f t="shared" si="852"/>
        <v>#DIV/0!</v>
      </c>
      <c r="N501" s="22" t="e">
        <f t="shared" si="852"/>
        <v>#DIV/0!</v>
      </c>
      <c r="O501" s="22" t="e">
        <f t="shared" si="852"/>
        <v>#DIV/0!</v>
      </c>
      <c r="P501" s="22" t="e">
        <f t="shared" si="852"/>
        <v>#DIV/0!</v>
      </c>
      <c r="Q501" s="22" t="e">
        <f t="shared" si="852"/>
        <v>#DIV/0!</v>
      </c>
      <c r="R501" s="22" t="e">
        <f t="shared" si="852"/>
        <v>#DIV/0!</v>
      </c>
      <c r="S501" s="22" t="e">
        <f t="shared" si="852"/>
        <v>#DIV/0!</v>
      </c>
      <c r="T501" s="22" t="e">
        <f t="shared" si="852"/>
        <v>#DIV/0!</v>
      </c>
      <c r="U501" s="22" t="e">
        <f t="shared" si="852"/>
        <v>#DIV/0!</v>
      </c>
    </row>
    <row r="502" spans="1:21" x14ac:dyDescent="0.2">
      <c r="A502" s="17"/>
      <c r="B502" s="17" t="s">
        <v>48</v>
      </c>
      <c r="C502" s="17"/>
      <c r="D502" s="17"/>
      <c r="E502" s="17"/>
      <c r="F502" s="17"/>
      <c r="G502" s="17"/>
      <c r="H502" s="17"/>
      <c r="I502" s="17"/>
      <c r="J502" s="17"/>
      <c r="K502" s="17">
        <v>1.6</v>
      </c>
      <c r="L502" s="17">
        <v>14.1</v>
      </c>
      <c r="M502" s="17">
        <v>8.6</v>
      </c>
      <c r="N502" s="17">
        <v>25.3</v>
      </c>
      <c r="O502" s="17">
        <v>-5.3</v>
      </c>
      <c r="P502" s="17">
        <v>5.9</v>
      </c>
      <c r="Q502" s="17">
        <v>84.2</v>
      </c>
      <c r="R502" s="17">
        <v>147.69999999999999</v>
      </c>
      <c r="S502" s="17">
        <v>4.3</v>
      </c>
      <c r="T502" s="17">
        <v>103.8</v>
      </c>
      <c r="U502" s="17">
        <v>205.17400000000001</v>
      </c>
    </row>
    <row r="503" spans="1:21" x14ac:dyDescent="0.2">
      <c r="B503" t="s">
        <v>49</v>
      </c>
      <c r="C503" s="22"/>
      <c r="D503" s="22"/>
      <c r="E503" s="22"/>
      <c r="F503" s="22"/>
      <c r="G503" s="22"/>
      <c r="H503" s="22"/>
      <c r="I503" s="22"/>
      <c r="J503" s="22"/>
      <c r="K503" s="22" t="e">
        <f t="shared" ref="K503:U503" si="853">K502/G502-1</f>
        <v>#DIV/0!</v>
      </c>
      <c r="L503" s="22" t="e">
        <f t="shared" si="853"/>
        <v>#DIV/0!</v>
      </c>
      <c r="M503" s="22" t="e">
        <f t="shared" si="853"/>
        <v>#DIV/0!</v>
      </c>
      <c r="N503" s="22" t="e">
        <f t="shared" si="853"/>
        <v>#DIV/0!</v>
      </c>
      <c r="O503" s="22">
        <f t="shared" si="853"/>
        <v>-4.3125</v>
      </c>
      <c r="P503" s="22">
        <f t="shared" si="853"/>
        <v>-0.58156028368794321</v>
      </c>
      <c r="Q503" s="22">
        <f t="shared" si="853"/>
        <v>8.7906976744186061</v>
      </c>
      <c r="R503" s="22">
        <f t="shared" si="853"/>
        <v>4.8379446640316202</v>
      </c>
      <c r="S503" s="22">
        <f t="shared" si="853"/>
        <v>-1.8113207547169812</v>
      </c>
      <c r="T503" s="22">
        <f t="shared" si="853"/>
        <v>16.593220338983048</v>
      </c>
      <c r="U503" s="22">
        <f t="shared" si="853"/>
        <v>1.4367458432304039</v>
      </c>
    </row>
    <row r="504" spans="1:21" x14ac:dyDescent="0.2">
      <c r="B504" t="s">
        <v>52</v>
      </c>
      <c r="C504" s="22"/>
      <c r="D504" s="22"/>
      <c r="E504" s="22"/>
      <c r="F504" s="22"/>
      <c r="G504" s="22"/>
      <c r="H504" s="22"/>
      <c r="I504" s="22"/>
      <c r="J504" s="22"/>
      <c r="K504" s="22"/>
      <c r="L504" s="22">
        <f t="shared" ref="L504:U504" si="854">L502/K502-1</f>
        <v>7.8125</v>
      </c>
      <c r="M504" s="22">
        <f t="shared" si="854"/>
        <v>-0.39007092198581561</v>
      </c>
      <c r="N504" s="22">
        <f t="shared" si="854"/>
        <v>1.9418604651162794</v>
      </c>
      <c r="O504" s="22">
        <f t="shared" si="854"/>
        <v>-1.209486166007905</v>
      </c>
      <c r="P504" s="22">
        <f t="shared" si="854"/>
        <v>-2.1132075471698117</v>
      </c>
      <c r="Q504" s="22">
        <f t="shared" si="854"/>
        <v>13.271186440677965</v>
      </c>
      <c r="R504" s="22">
        <f t="shared" si="854"/>
        <v>0.75415676959619926</v>
      </c>
      <c r="S504" s="22">
        <f t="shared" si="854"/>
        <v>-0.97088693297224105</v>
      </c>
      <c r="T504" s="22">
        <f t="shared" si="854"/>
        <v>23.13953488372093</v>
      </c>
      <c r="U504" s="22">
        <f t="shared" si="854"/>
        <v>0.97662813102119461</v>
      </c>
    </row>
    <row r="505" spans="1:21" x14ac:dyDescent="0.2">
      <c r="B505" s="17" t="s">
        <v>50</v>
      </c>
      <c r="C505" s="17"/>
      <c r="D505" s="17"/>
      <c r="E505" s="17"/>
      <c r="F505" s="17"/>
      <c r="G505" s="23"/>
      <c r="H505" s="23"/>
      <c r="I505" s="23"/>
      <c r="J505" s="23"/>
      <c r="K505" s="23" t="e">
        <f t="shared" ref="K505:U505" si="855">AVERAGE(H502:K502)/AVERAGE(G502:J502)-1</f>
        <v>#DIV/0!</v>
      </c>
      <c r="L505" s="23">
        <f t="shared" si="855"/>
        <v>3.9062499999999991</v>
      </c>
      <c r="M505" s="23">
        <f t="shared" si="855"/>
        <v>3.1847133757961776E-2</v>
      </c>
      <c r="N505" s="23">
        <f t="shared" si="855"/>
        <v>0.53086419753086411</v>
      </c>
      <c r="O505" s="23">
        <f t="shared" si="855"/>
        <v>-0.13911290322580627</v>
      </c>
      <c r="P505" s="23">
        <f t="shared" si="855"/>
        <v>-0.19203747072599542</v>
      </c>
      <c r="Q505" s="23">
        <f t="shared" si="855"/>
        <v>2.1913043478260867</v>
      </c>
      <c r="R505" s="23">
        <f t="shared" si="855"/>
        <v>1.111716621253406</v>
      </c>
      <c r="S505" s="23">
        <f t="shared" si="855"/>
        <v>4.1290322580645356E-2</v>
      </c>
      <c r="T505" s="23">
        <f t="shared" si="855"/>
        <v>0.40437835605121841</v>
      </c>
      <c r="U505" s="23">
        <f t="shared" si="855"/>
        <v>0.35580588235294131</v>
      </c>
    </row>
    <row r="506" spans="1:21" ht="13.5" thickBot="1" x14ac:dyDescent="0.25"/>
    <row r="507" spans="1:21" ht="13.5" thickBot="1" x14ac:dyDescent="0.25">
      <c r="A507" s="24" t="s">
        <v>0</v>
      </c>
      <c r="B507" s="25" t="s">
        <v>298</v>
      </c>
      <c r="C507" s="24" t="s">
        <v>30</v>
      </c>
      <c r="D507" s="24" t="s">
        <v>31</v>
      </c>
      <c r="E507" s="24" t="s">
        <v>32</v>
      </c>
      <c r="F507" s="24" t="s">
        <v>33</v>
      </c>
      <c r="G507" s="24" t="s">
        <v>34</v>
      </c>
      <c r="H507" s="24" t="s">
        <v>35</v>
      </c>
      <c r="I507" s="24" t="s">
        <v>36</v>
      </c>
      <c r="J507" s="24" t="s">
        <v>37</v>
      </c>
      <c r="K507" s="24" t="s">
        <v>38</v>
      </c>
      <c r="L507" s="24" t="s">
        <v>39</v>
      </c>
      <c r="M507" s="24" t="s">
        <v>40</v>
      </c>
      <c r="N507" s="24" t="s">
        <v>41</v>
      </c>
      <c r="O507" s="24" t="s">
        <v>42</v>
      </c>
      <c r="P507" s="24" t="s">
        <v>43</v>
      </c>
      <c r="Q507" s="24" t="s">
        <v>44</v>
      </c>
      <c r="R507" s="24" t="s">
        <v>45</v>
      </c>
      <c r="S507" s="24" t="s">
        <v>46</v>
      </c>
      <c r="T507" s="24" t="s">
        <v>47</v>
      </c>
      <c r="U507" s="24" t="s">
        <v>19</v>
      </c>
    </row>
    <row r="508" spans="1:21" x14ac:dyDescent="0.2">
      <c r="A508" s="17"/>
      <c r="B508" s="17" t="s">
        <v>51</v>
      </c>
      <c r="C508" s="17"/>
      <c r="D508" s="17"/>
      <c r="E508" s="17"/>
      <c r="F508" s="17"/>
      <c r="G508" s="17"/>
      <c r="H508" s="17"/>
      <c r="I508" s="17"/>
      <c r="J508" s="17"/>
      <c r="K508" s="17"/>
      <c r="L508" s="17"/>
      <c r="M508" s="17"/>
      <c r="N508" s="17"/>
      <c r="O508" s="17"/>
      <c r="P508" s="17"/>
      <c r="Q508" s="17"/>
      <c r="R508" s="17"/>
      <c r="S508" s="17"/>
      <c r="T508" s="17"/>
      <c r="U508" s="17"/>
    </row>
    <row r="509" spans="1:21" x14ac:dyDescent="0.2">
      <c r="B509" t="s">
        <v>49</v>
      </c>
      <c r="C509" s="22"/>
      <c r="D509" s="22"/>
      <c r="E509" s="22"/>
      <c r="F509" s="22"/>
      <c r="G509" s="22"/>
      <c r="H509" s="22"/>
      <c r="I509" s="22"/>
      <c r="J509" s="22"/>
      <c r="K509" s="22" t="e">
        <f t="shared" ref="K509:U509" si="856">K508/G508-1</f>
        <v>#DIV/0!</v>
      </c>
      <c r="L509" s="22" t="e">
        <f t="shared" si="856"/>
        <v>#DIV/0!</v>
      </c>
      <c r="M509" s="22" t="e">
        <f t="shared" si="856"/>
        <v>#DIV/0!</v>
      </c>
      <c r="N509" s="22" t="e">
        <f t="shared" si="856"/>
        <v>#DIV/0!</v>
      </c>
      <c r="O509" s="22" t="e">
        <f t="shared" si="856"/>
        <v>#DIV/0!</v>
      </c>
      <c r="P509" s="22" t="e">
        <f t="shared" si="856"/>
        <v>#DIV/0!</v>
      </c>
      <c r="Q509" s="22" t="e">
        <f t="shared" si="856"/>
        <v>#DIV/0!</v>
      </c>
      <c r="R509" s="22" t="e">
        <f t="shared" si="856"/>
        <v>#DIV/0!</v>
      </c>
      <c r="S509" s="22" t="e">
        <f t="shared" si="856"/>
        <v>#DIV/0!</v>
      </c>
      <c r="T509" s="22" t="e">
        <f t="shared" si="856"/>
        <v>#DIV/0!</v>
      </c>
      <c r="U509" s="22" t="e">
        <f t="shared" si="856"/>
        <v>#DIV/0!</v>
      </c>
    </row>
    <row r="510" spans="1:21" x14ac:dyDescent="0.2">
      <c r="B510" t="s">
        <v>52</v>
      </c>
      <c r="C510" s="22"/>
      <c r="D510" s="22"/>
      <c r="E510" s="22"/>
      <c r="F510" s="22"/>
      <c r="G510" s="22"/>
      <c r="H510" s="22"/>
      <c r="I510" s="22"/>
      <c r="J510" s="22"/>
      <c r="K510" s="22"/>
      <c r="L510" s="22" t="e">
        <f t="shared" ref="L510:U510" si="857">L508/K508-1</f>
        <v>#DIV/0!</v>
      </c>
      <c r="M510" s="22" t="e">
        <f t="shared" si="857"/>
        <v>#DIV/0!</v>
      </c>
      <c r="N510" s="22" t="e">
        <f t="shared" si="857"/>
        <v>#DIV/0!</v>
      </c>
      <c r="O510" s="22" t="e">
        <f t="shared" si="857"/>
        <v>#DIV/0!</v>
      </c>
      <c r="P510" s="22" t="e">
        <f t="shared" si="857"/>
        <v>#DIV/0!</v>
      </c>
      <c r="Q510" s="22" t="e">
        <f t="shared" si="857"/>
        <v>#DIV/0!</v>
      </c>
      <c r="R510" s="22" t="e">
        <f t="shared" si="857"/>
        <v>#DIV/0!</v>
      </c>
      <c r="S510" s="22" t="e">
        <f t="shared" si="857"/>
        <v>#DIV/0!</v>
      </c>
      <c r="T510" s="22" t="e">
        <f t="shared" si="857"/>
        <v>#DIV/0!</v>
      </c>
      <c r="U510" s="22" t="e">
        <f t="shared" si="857"/>
        <v>#DIV/0!</v>
      </c>
    </row>
    <row r="511" spans="1:21" x14ac:dyDescent="0.2">
      <c r="A511" s="17"/>
      <c r="B511" s="17" t="s">
        <v>48</v>
      </c>
      <c r="C511" s="17"/>
      <c r="D511" s="17"/>
      <c r="E511" s="17"/>
      <c r="F511" s="17"/>
      <c r="G511" s="17"/>
      <c r="H511" s="17"/>
      <c r="I511" s="17"/>
      <c r="J511" s="17"/>
      <c r="K511" s="17">
        <v>5.6</v>
      </c>
      <c r="L511" s="17">
        <v>4.8</v>
      </c>
      <c r="M511" s="17">
        <v>-12.6</v>
      </c>
      <c r="N511" s="17">
        <v>-42.4</v>
      </c>
      <c r="O511" s="17">
        <v>5.0999999999999996</v>
      </c>
      <c r="P511" s="17">
        <v>40.6</v>
      </c>
      <c r="Q511" s="17">
        <v>22.5</v>
      </c>
      <c r="R511" s="17">
        <v>38.1</v>
      </c>
      <c r="S511" s="17">
        <v>52.4</v>
      </c>
      <c r="T511" s="17">
        <v>93.8</v>
      </c>
      <c r="U511" s="17">
        <v>148.6</v>
      </c>
    </row>
    <row r="512" spans="1:21" x14ac:dyDescent="0.2">
      <c r="B512" t="s">
        <v>49</v>
      </c>
      <c r="C512" s="22"/>
      <c r="D512" s="22"/>
      <c r="E512" s="22"/>
      <c r="F512" s="22"/>
      <c r="G512" s="22"/>
      <c r="H512" s="22"/>
      <c r="I512" s="22"/>
      <c r="J512" s="22"/>
      <c r="K512" s="22" t="e">
        <f t="shared" ref="K512:U512" si="858">K511/G511-1</f>
        <v>#DIV/0!</v>
      </c>
      <c r="L512" s="22" t="e">
        <f t="shared" si="858"/>
        <v>#DIV/0!</v>
      </c>
      <c r="M512" s="22" t="e">
        <f t="shared" si="858"/>
        <v>#DIV/0!</v>
      </c>
      <c r="N512" s="22" t="e">
        <f t="shared" si="858"/>
        <v>#DIV/0!</v>
      </c>
      <c r="O512" s="22">
        <f t="shared" si="858"/>
        <v>-8.9285714285714302E-2</v>
      </c>
      <c r="P512" s="22">
        <f t="shared" si="858"/>
        <v>7.4583333333333339</v>
      </c>
      <c r="Q512" s="22">
        <f t="shared" si="858"/>
        <v>-2.7857142857142856</v>
      </c>
      <c r="R512" s="22">
        <f t="shared" si="858"/>
        <v>-1.8985849056603774</v>
      </c>
      <c r="S512" s="22">
        <f t="shared" si="858"/>
        <v>9.2745098039215694</v>
      </c>
      <c r="T512" s="22">
        <f t="shared" si="858"/>
        <v>1.3103448275862069</v>
      </c>
      <c r="U512" s="22">
        <f t="shared" si="858"/>
        <v>5.6044444444444439</v>
      </c>
    </row>
    <row r="513" spans="1:21" x14ac:dyDescent="0.2">
      <c r="B513" t="s">
        <v>52</v>
      </c>
      <c r="C513" s="22"/>
      <c r="D513" s="22"/>
      <c r="E513" s="22"/>
      <c r="F513" s="22"/>
      <c r="G513" s="22"/>
      <c r="H513" s="22"/>
      <c r="I513" s="22"/>
      <c r="J513" s="22"/>
      <c r="K513" s="22"/>
      <c r="L513" s="22">
        <f t="shared" ref="L513:U513" si="859">L511/K511-1</f>
        <v>-0.14285714285714279</v>
      </c>
      <c r="M513" s="22">
        <f t="shared" si="859"/>
        <v>-3.625</v>
      </c>
      <c r="N513" s="22">
        <f t="shared" si="859"/>
        <v>2.3650793650793651</v>
      </c>
      <c r="O513" s="22">
        <f t="shared" si="859"/>
        <v>-1.1202830188679245</v>
      </c>
      <c r="P513" s="22">
        <f t="shared" si="859"/>
        <v>6.9607843137254912</v>
      </c>
      <c r="Q513" s="22">
        <f t="shared" si="859"/>
        <v>-0.44581280788177347</v>
      </c>
      <c r="R513" s="22">
        <f t="shared" si="859"/>
        <v>0.69333333333333336</v>
      </c>
      <c r="S513" s="22">
        <f t="shared" si="859"/>
        <v>0.37532808398950124</v>
      </c>
      <c r="T513" s="22">
        <f t="shared" si="859"/>
        <v>0.79007633587786263</v>
      </c>
      <c r="U513" s="22">
        <f t="shared" si="859"/>
        <v>0.58422174840085295</v>
      </c>
    </row>
    <row r="514" spans="1:21" x14ac:dyDescent="0.2">
      <c r="B514" s="17" t="s">
        <v>50</v>
      </c>
      <c r="C514" s="17"/>
      <c r="D514" s="17"/>
      <c r="E514" s="17"/>
      <c r="F514" s="17"/>
      <c r="G514" s="23"/>
      <c r="H514" s="23"/>
      <c r="I514" s="23"/>
      <c r="J514" s="23"/>
      <c r="K514" s="23" t="e">
        <f t="shared" ref="K514:U514" si="860">AVERAGE(H511:K511)/AVERAGE(G511:J511)-1</f>
        <v>#DIV/0!</v>
      </c>
      <c r="L514" s="23">
        <f t="shared" si="860"/>
        <v>-7.1428571428571508E-2</v>
      </c>
      <c r="M514" s="23">
        <f t="shared" si="860"/>
        <v>-1.1410256410256412</v>
      </c>
      <c r="N514" s="23">
        <f t="shared" si="860"/>
        <v>14.204545454545446</v>
      </c>
      <c r="O514" s="23">
        <f t="shared" si="860"/>
        <v>1.1210762331838486E-2</v>
      </c>
      <c r="P514" s="23">
        <f t="shared" si="860"/>
        <v>-0.79379157427937919</v>
      </c>
      <c r="Q514" s="23">
        <f t="shared" si="860"/>
        <v>-3.7741935483870979</v>
      </c>
      <c r="R514" s="23">
        <f t="shared" si="860"/>
        <v>3.1201550387596892</v>
      </c>
      <c r="S514" s="23">
        <f t="shared" si="860"/>
        <v>0.44496707431796789</v>
      </c>
      <c r="T514" s="23">
        <f t="shared" si="860"/>
        <v>0.34635416666666674</v>
      </c>
      <c r="U514" s="23">
        <f t="shared" si="860"/>
        <v>0.60976789168278511</v>
      </c>
    </row>
    <row r="515" spans="1:21" ht="13.5" thickBot="1" x14ac:dyDescent="0.25"/>
    <row r="516" spans="1:21" ht="13.5" thickBot="1" x14ac:dyDescent="0.25">
      <c r="A516" s="24" t="s">
        <v>0</v>
      </c>
      <c r="B516" s="25" t="s">
        <v>294</v>
      </c>
      <c r="C516" s="24" t="s">
        <v>30</v>
      </c>
      <c r="D516" s="24" t="s">
        <v>31</v>
      </c>
      <c r="E516" s="24" t="s">
        <v>32</v>
      </c>
      <c r="F516" s="24" t="s">
        <v>33</v>
      </c>
      <c r="G516" s="24" t="s">
        <v>34</v>
      </c>
      <c r="H516" s="24" t="s">
        <v>35</v>
      </c>
      <c r="I516" s="24" t="s">
        <v>36</v>
      </c>
      <c r="J516" s="24" t="s">
        <v>37</v>
      </c>
      <c r="K516" s="24" t="s">
        <v>38</v>
      </c>
      <c r="L516" s="24" t="s">
        <v>39</v>
      </c>
      <c r="M516" s="24" t="s">
        <v>40</v>
      </c>
      <c r="N516" s="24" t="s">
        <v>41</v>
      </c>
      <c r="O516" s="24" t="s">
        <v>42</v>
      </c>
      <c r="P516" s="24" t="s">
        <v>43</v>
      </c>
      <c r="Q516" s="24" t="s">
        <v>44</v>
      </c>
      <c r="R516" s="24" t="s">
        <v>45</v>
      </c>
      <c r="S516" s="24" t="s">
        <v>46</v>
      </c>
      <c r="T516" s="24" t="s">
        <v>47</v>
      </c>
      <c r="U516" s="24" t="s">
        <v>19</v>
      </c>
    </row>
    <row r="517" spans="1:21" x14ac:dyDescent="0.2">
      <c r="A517" s="17"/>
      <c r="B517" s="17" t="s">
        <v>51</v>
      </c>
      <c r="C517" s="17"/>
      <c r="D517" s="17"/>
      <c r="E517" s="17"/>
      <c r="F517" s="17"/>
      <c r="G517" s="17"/>
      <c r="H517" s="17"/>
      <c r="I517" s="17"/>
      <c r="J517" s="17"/>
      <c r="K517" s="17"/>
      <c r="L517" s="17"/>
      <c r="M517" s="17"/>
      <c r="N517" s="17"/>
      <c r="O517" s="17"/>
      <c r="P517" s="17"/>
      <c r="Q517" s="17"/>
      <c r="R517" s="17"/>
      <c r="S517" s="17"/>
      <c r="T517" s="17"/>
      <c r="U517" s="17"/>
    </row>
    <row r="518" spans="1:21" x14ac:dyDescent="0.2">
      <c r="B518" t="s">
        <v>49</v>
      </c>
      <c r="C518" s="22"/>
      <c r="D518" s="22"/>
      <c r="E518" s="22"/>
      <c r="F518" s="22"/>
      <c r="G518" s="22"/>
      <c r="H518" s="22"/>
      <c r="I518" s="22"/>
      <c r="J518" s="22"/>
      <c r="K518" s="22" t="e">
        <f t="shared" ref="K518:U518" si="861">K517/G517-1</f>
        <v>#DIV/0!</v>
      </c>
      <c r="L518" s="22" t="e">
        <f t="shared" si="861"/>
        <v>#DIV/0!</v>
      </c>
      <c r="M518" s="22" t="e">
        <f t="shared" si="861"/>
        <v>#DIV/0!</v>
      </c>
      <c r="N518" s="22" t="e">
        <f t="shared" si="861"/>
        <v>#DIV/0!</v>
      </c>
      <c r="O518" s="22" t="e">
        <f t="shared" si="861"/>
        <v>#DIV/0!</v>
      </c>
      <c r="P518" s="22" t="e">
        <f t="shared" si="861"/>
        <v>#DIV/0!</v>
      </c>
      <c r="Q518" s="22" t="e">
        <f t="shared" si="861"/>
        <v>#DIV/0!</v>
      </c>
      <c r="R518" s="22" t="e">
        <f t="shared" si="861"/>
        <v>#DIV/0!</v>
      </c>
      <c r="S518" s="22" t="e">
        <f t="shared" si="861"/>
        <v>#DIV/0!</v>
      </c>
      <c r="T518" s="22" t="e">
        <f t="shared" si="861"/>
        <v>#DIV/0!</v>
      </c>
      <c r="U518" s="22" t="e">
        <f t="shared" si="861"/>
        <v>#DIV/0!</v>
      </c>
    </row>
    <row r="519" spans="1:21" x14ac:dyDescent="0.2">
      <c r="B519" t="s">
        <v>52</v>
      </c>
      <c r="C519" s="22"/>
      <c r="D519" s="22"/>
      <c r="E519" s="22"/>
      <c r="F519" s="22"/>
      <c r="G519" s="22"/>
      <c r="H519" s="22"/>
      <c r="I519" s="22"/>
      <c r="J519" s="22"/>
      <c r="K519" s="22"/>
      <c r="L519" s="22" t="e">
        <f t="shared" ref="L519:U519" si="862">L517/K517-1</f>
        <v>#DIV/0!</v>
      </c>
      <c r="M519" s="22" t="e">
        <f t="shared" si="862"/>
        <v>#DIV/0!</v>
      </c>
      <c r="N519" s="22" t="e">
        <f t="shared" si="862"/>
        <v>#DIV/0!</v>
      </c>
      <c r="O519" s="22" t="e">
        <f t="shared" si="862"/>
        <v>#DIV/0!</v>
      </c>
      <c r="P519" s="22" t="e">
        <f t="shared" si="862"/>
        <v>#DIV/0!</v>
      </c>
      <c r="Q519" s="22" t="e">
        <f t="shared" si="862"/>
        <v>#DIV/0!</v>
      </c>
      <c r="R519" s="22" t="e">
        <f t="shared" si="862"/>
        <v>#DIV/0!</v>
      </c>
      <c r="S519" s="22" t="e">
        <f t="shared" si="862"/>
        <v>#DIV/0!</v>
      </c>
      <c r="T519" s="22" t="e">
        <f t="shared" si="862"/>
        <v>#DIV/0!</v>
      </c>
      <c r="U519" s="22" t="e">
        <f t="shared" si="862"/>
        <v>#DIV/0!</v>
      </c>
    </row>
    <row r="520" spans="1:21" x14ac:dyDescent="0.2">
      <c r="A520" s="17"/>
      <c r="B520" s="17" t="s">
        <v>48</v>
      </c>
      <c r="C520" s="17"/>
      <c r="D520" s="17"/>
      <c r="E520" s="17"/>
      <c r="F520" s="17"/>
      <c r="G520" s="17"/>
      <c r="H520" s="17"/>
      <c r="I520" s="17"/>
      <c r="J520" s="17"/>
      <c r="K520" s="17">
        <v>133.5</v>
      </c>
      <c r="L520" s="17">
        <v>143.9</v>
      </c>
      <c r="M520" s="17">
        <v>128.30000000000001</v>
      </c>
      <c r="N520" s="17">
        <v>121.1</v>
      </c>
      <c r="O520" s="17">
        <v>111.2</v>
      </c>
      <c r="P520" s="17">
        <v>138.4</v>
      </c>
      <c r="Q520" s="17">
        <v>169.2</v>
      </c>
      <c r="R520" s="17">
        <v>178.8</v>
      </c>
      <c r="S520" s="17">
        <v>226.9</v>
      </c>
      <c r="T520" s="17">
        <v>261.39999999999998</v>
      </c>
      <c r="U520" s="17">
        <v>261.7</v>
      </c>
    </row>
    <row r="521" spans="1:21" x14ac:dyDescent="0.2">
      <c r="B521" t="s">
        <v>49</v>
      </c>
      <c r="C521" s="22"/>
      <c r="D521" s="22"/>
      <c r="E521" s="22"/>
      <c r="F521" s="22"/>
      <c r="G521" s="22"/>
      <c r="H521" s="22"/>
      <c r="I521" s="22"/>
      <c r="J521" s="22"/>
      <c r="K521" s="22" t="e">
        <f t="shared" ref="K521:U521" si="863">K520/G520-1</f>
        <v>#DIV/0!</v>
      </c>
      <c r="L521" s="22" t="e">
        <f t="shared" si="863"/>
        <v>#DIV/0!</v>
      </c>
      <c r="M521" s="22" t="e">
        <f t="shared" si="863"/>
        <v>#DIV/0!</v>
      </c>
      <c r="N521" s="22" t="e">
        <f t="shared" si="863"/>
        <v>#DIV/0!</v>
      </c>
      <c r="O521" s="22">
        <f t="shared" si="863"/>
        <v>-0.1670411985018726</v>
      </c>
      <c r="P521" s="22">
        <f t="shared" si="863"/>
        <v>-3.8220986796386414E-2</v>
      </c>
      <c r="Q521" s="22">
        <f t="shared" si="863"/>
        <v>0.31878409976617283</v>
      </c>
      <c r="R521" s="22">
        <f t="shared" si="863"/>
        <v>0.47646573080099097</v>
      </c>
      <c r="S521" s="22">
        <f t="shared" si="863"/>
        <v>1.0404676258992804</v>
      </c>
      <c r="T521" s="22">
        <f t="shared" si="863"/>
        <v>0.88872832369942167</v>
      </c>
      <c r="U521" s="22">
        <f t="shared" si="863"/>
        <v>0.54669030732860513</v>
      </c>
    </row>
    <row r="522" spans="1:21" x14ac:dyDescent="0.2">
      <c r="B522" t="s">
        <v>52</v>
      </c>
      <c r="C522" s="22"/>
      <c r="D522" s="22"/>
      <c r="E522" s="22"/>
      <c r="F522" s="22"/>
      <c r="G522" s="22"/>
      <c r="H522" s="22"/>
      <c r="I522" s="22"/>
      <c r="J522" s="22"/>
      <c r="K522" s="22"/>
      <c r="L522" s="22">
        <f t="shared" ref="L522:U522" si="864">L520/K520-1</f>
        <v>7.7902621722846455E-2</v>
      </c>
      <c r="M522" s="22">
        <f t="shared" si="864"/>
        <v>-0.108408617095205</v>
      </c>
      <c r="N522" s="22">
        <f t="shared" si="864"/>
        <v>-5.6118472330475622E-2</v>
      </c>
      <c r="O522" s="22">
        <f t="shared" si="864"/>
        <v>-8.1750619322873641E-2</v>
      </c>
      <c r="P522" s="22">
        <f t="shared" si="864"/>
        <v>0.24460431654676262</v>
      </c>
      <c r="Q522" s="22">
        <f t="shared" si="864"/>
        <v>0.22254335260115599</v>
      </c>
      <c r="R522" s="22">
        <f t="shared" si="864"/>
        <v>5.6737588652482351E-2</v>
      </c>
      <c r="S522" s="22">
        <f t="shared" si="864"/>
        <v>0.26901565995525711</v>
      </c>
      <c r="T522" s="22">
        <f t="shared" si="864"/>
        <v>0.15204936095196109</v>
      </c>
      <c r="U522" s="22">
        <f t="shared" si="864"/>
        <v>1.1476664116296664E-3</v>
      </c>
    </row>
    <row r="523" spans="1:21" x14ac:dyDescent="0.2">
      <c r="B523" s="17" t="s">
        <v>50</v>
      </c>
      <c r="C523" s="17"/>
      <c r="D523" s="17"/>
      <c r="E523" s="17"/>
      <c r="F523" s="17"/>
      <c r="G523" s="23"/>
      <c r="H523" s="23"/>
      <c r="I523" s="23"/>
      <c r="J523" s="23"/>
      <c r="K523" s="23" t="e">
        <f t="shared" ref="K523:U523" si="865">AVERAGE(H520:K520)/AVERAGE(G520:J520)-1</f>
        <v>#DIV/0!</v>
      </c>
      <c r="L523" s="23">
        <f t="shared" si="865"/>
        <v>3.8951310861423227E-2</v>
      </c>
      <c r="M523" s="23">
        <f t="shared" si="865"/>
        <v>-2.4993991828887285E-2</v>
      </c>
      <c r="N523" s="23">
        <f t="shared" si="865"/>
        <v>-2.6127680552132104E-2</v>
      </c>
      <c r="O523" s="23">
        <f t="shared" si="865"/>
        <v>-4.2331055429005171E-2</v>
      </c>
      <c r="P523" s="23">
        <f t="shared" si="865"/>
        <v>-1.0901883052527372E-2</v>
      </c>
      <c r="Q523" s="23">
        <f t="shared" si="865"/>
        <v>8.1963927855711605E-2</v>
      </c>
      <c r="R523" s="23">
        <f t="shared" si="865"/>
        <v>0.1068716428968326</v>
      </c>
      <c r="S523" s="23">
        <f t="shared" si="865"/>
        <v>0.19360776439089689</v>
      </c>
      <c r="T523" s="23">
        <f t="shared" si="865"/>
        <v>0.17243796439085912</v>
      </c>
      <c r="U523" s="23">
        <f t="shared" si="865"/>
        <v>0.11060624177926592</v>
      </c>
    </row>
    <row r="524" spans="1:21" ht="13.5" thickBot="1" x14ac:dyDescent="0.25"/>
    <row r="525" spans="1:21" ht="13.5" thickBot="1" x14ac:dyDescent="0.25">
      <c r="A525" s="24" t="s">
        <v>0</v>
      </c>
      <c r="B525" s="25">
        <v>6669</v>
      </c>
      <c r="C525" s="24" t="s">
        <v>30</v>
      </c>
      <c r="D525" s="24" t="s">
        <v>31</v>
      </c>
      <c r="E525" s="24" t="s">
        <v>32</v>
      </c>
      <c r="F525" s="24" t="s">
        <v>33</v>
      </c>
      <c r="G525" s="24" t="s">
        <v>34</v>
      </c>
      <c r="H525" s="24" t="s">
        <v>35</v>
      </c>
      <c r="I525" s="24" t="s">
        <v>36</v>
      </c>
      <c r="J525" s="24" t="s">
        <v>37</v>
      </c>
      <c r="K525" s="24" t="s">
        <v>38</v>
      </c>
      <c r="L525" s="24" t="s">
        <v>39</v>
      </c>
      <c r="M525" s="24" t="s">
        <v>40</v>
      </c>
      <c r="N525" s="24" t="s">
        <v>41</v>
      </c>
      <c r="O525" s="24" t="s">
        <v>42</v>
      </c>
      <c r="P525" s="24" t="s">
        <v>43</v>
      </c>
      <c r="Q525" s="24" t="s">
        <v>44</v>
      </c>
      <c r="R525" s="24" t="s">
        <v>45</v>
      </c>
      <c r="S525" s="24" t="s">
        <v>46</v>
      </c>
      <c r="T525" s="24" t="s">
        <v>47</v>
      </c>
      <c r="U525" s="24" t="s">
        <v>19</v>
      </c>
    </row>
    <row r="526" spans="1:21" x14ac:dyDescent="0.2">
      <c r="A526" s="17"/>
      <c r="B526" s="17" t="s">
        <v>51</v>
      </c>
      <c r="C526" s="17"/>
      <c r="D526" s="17"/>
      <c r="E526" s="17"/>
      <c r="F526" s="17"/>
      <c r="G526" s="17"/>
      <c r="H526" s="17"/>
      <c r="I526" s="17"/>
      <c r="J526" s="17"/>
      <c r="K526" s="17"/>
      <c r="L526" s="17"/>
      <c r="M526" s="17"/>
      <c r="N526" s="17"/>
      <c r="O526" s="17"/>
      <c r="P526" s="17"/>
      <c r="Q526" s="17"/>
      <c r="R526" s="17"/>
      <c r="S526" s="17"/>
      <c r="T526" s="17"/>
      <c r="U526" s="17"/>
    </row>
    <row r="527" spans="1:21" x14ac:dyDescent="0.2">
      <c r="B527" t="s">
        <v>49</v>
      </c>
      <c r="C527" s="22"/>
      <c r="D527" s="22"/>
      <c r="E527" s="22"/>
      <c r="F527" s="22"/>
      <c r="G527" s="22"/>
      <c r="H527" s="22"/>
      <c r="I527" s="22"/>
      <c r="J527" s="22"/>
      <c r="K527" s="22" t="e">
        <f t="shared" ref="K527:U527" si="866">K526/G526-1</f>
        <v>#DIV/0!</v>
      </c>
      <c r="L527" s="22" t="e">
        <f t="shared" si="866"/>
        <v>#DIV/0!</v>
      </c>
      <c r="M527" s="22" t="e">
        <f t="shared" si="866"/>
        <v>#DIV/0!</v>
      </c>
      <c r="N527" s="22" t="e">
        <f t="shared" si="866"/>
        <v>#DIV/0!</v>
      </c>
      <c r="O527" s="22" t="e">
        <f t="shared" si="866"/>
        <v>#DIV/0!</v>
      </c>
      <c r="P527" s="22" t="e">
        <f t="shared" si="866"/>
        <v>#DIV/0!</v>
      </c>
      <c r="Q527" s="22" t="e">
        <f t="shared" si="866"/>
        <v>#DIV/0!</v>
      </c>
      <c r="R527" s="22" t="e">
        <f t="shared" si="866"/>
        <v>#DIV/0!</v>
      </c>
      <c r="S527" s="22" t="e">
        <f t="shared" si="866"/>
        <v>#DIV/0!</v>
      </c>
      <c r="T527" s="22" t="e">
        <f t="shared" si="866"/>
        <v>#DIV/0!</v>
      </c>
      <c r="U527" s="22" t="e">
        <f t="shared" si="866"/>
        <v>#DIV/0!</v>
      </c>
    </row>
    <row r="528" spans="1:21" x14ac:dyDescent="0.2">
      <c r="B528" t="s">
        <v>52</v>
      </c>
      <c r="C528" s="22"/>
      <c r="D528" s="22"/>
      <c r="E528" s="22"/>
      <c r="F528" s="22"/>
      <c r="G528" s="22"/>
      <c r="H528" s="22"/>
      <c r="I528" s="22"/>
      <c r="J528" s="22"/>
      <c r="K528" s="22"/>
      <c r="L528" s="22" t="e">
        <f t="shared" ref="L528:U528" si="867">L526/K526-1</f>
        <v>#DIV/0!</v>
      </c>
      <c r="M528" s="22" t="e">
        <f t="shared" si="867"/>
        <v>#DIV/0!</v>
      </c>
      <c r="N528" s="22" t="e">
        <f t="shared" si="867"/>
        <v>#DIV/0!</v>
      </c>
      <c r="O528" s="22" t="e">
        <f t="shared" si="867"/>
        <v>#DIV/0!</v>
      </c>
      <c r="P528" s="22" t="e">
        <f t="shared" si="867"/>
        <v>#DIV/0!</v>
      </c>
      <c r="Q528" s="22" t="e">
        <f t="shared" si="867"/>
        <v>#DIV/0!</v>
      </c>
      <c r="R528" s="22" t="e">
        <f t="shared" si="867"/>
        <v>#DIV/0!</v>
      </c>
      <c r="S528" s="22" t="e">
        <f t="shared" si="867"/>
        <v>#DIV/0!</v>
      </c>
      <c r="T528" s="22" t="e">
        <f t="shared" si="867"/>
        <v>#DIV/0!</v>
      </c>
      <c r="U528" s="22" t="e">
        <f t="shared" si="867"/>
        <v>#DIV/0!</v>
      </c>
    </row>
    <row r="529" spans="1:21" x14ac:dyDescent="0.2">
      <c r="A529" s="17"/>
      <c r="B529" s="17" t="s">
        <v>48</v>
      </c>
      <c r="C529" s="17"/>
      <c r="D529" s="17"/>
      <c r="E529" s="17"/>
      <c r="F529" s="17"/>
      <c r="G529" s="17"/>
      <c r="H529" s="17"/>
      <c r="I529" s="17"/>
      <c r="J529" s="17"/>
      <c r="K529" s="17">
        <v>4480.6000000000004</v>
      </c>
      <c r="L529" s="17">
        <v>3492.4</v>
      </c>
      <c r="M529" s="17">
        <v>3251.8</v>
      </c>
      <c r="N529" s="17">
        <v>4645.8</v>
      </c>
      <c r="O529" s="17">
        <v>5856.5</v>
      </c>
      <c r="P529" s="17">
        <v>6206.6</v>
      </c>
      <c r="Q529" s="17">
        <v>7905</v>
      </c>
      <c r="R529" s="17">
        <v>8130.8</v>
      </c>
      <c r="S529" s="17">
        <v>11980.7</v>
      </c>
      <c r="T529" s="17">
        <v>15899.2</v>
      </c>
      <c r="U529" s="17">
        <v>19571.7</v>
      </c>
    </row>
    <row r="530" spans="1:21" x14ac:dyDescent="0.2">
      <c r="B530" t="s">
        <v>49</v>
      </c>
      <c r="C530" s="22"/>
      <c r="D530" s="22"/>
      <c r="E530" s="22"/>
      <c r="F530" s="22"/>
      <c r="G530" s="22"/>
      <c r="H530" s="22"/>
      <c r="I530" s="22"/>
      <c r="J530" s="22"/>
      <c r="K530" s="22" t="e">
        <f t="shared" ref="K530:U530" si="868">K529/G529-1</f>
        <v>#DIV/0!</v>
      </c>
      <c r="L530" s="22" t="e">
        <f t="shared" si="868"/>
        <v>#DIV/0!</v>
      </c>
      <c r="M530" s="22" t="e">
        <f t="shared" si="868"/>
        <v>#DIV/0!</v>
      </c>
      <c r="N530" s="22" t="e">
        <f t="shared" si="868"/>
        <v>#DIV/0!</v>
      </c>
      <c r="O530" s="22">
        <f t="shared" si="868"/>
        <v>0.30707940900772202</v>
      </c>
      <c r="P530" s="22">
        <f t="shared" si="868"/>
        <v>0.77717329057381757</v>
      </c>
      <c r="Q530" s="22">
        <f t="shared" si="868"/>
        <v>1.4309613137339317</v>
      </c>
      <c r="R530" s="22">
        <f t="shared" si="868"/>
        <v>0.75013991131774937</v>
      </c>
      <c r="S530" s="22">
        <f t="shared" si="868"/>
        <v>1.0457098949884744</v>
      </c>
      <c r="T530" s="22">
        <f t="shared" si="868"/>
        <v>1.5616601682080367</v>
      </c>
      <c r="U530" s="22">
        <f t="shared" si="868"/>
        <v>1.4758633776091084</v>
      </c>
    </row>
    <row r="531" spans="1:21" x14ac:dyDescent="0.2">
      <c r="B531" t="s">
        <v>52</v>
      </c>
      <c r="C531" s="22"/>
      <c r="D531" s="22"/>
      <c r="E531" s="22"/>
      <c r="F531" s="22"/>
      <c r="G531" s="22"/>
      <c r="H531" s="22"/>
      <c r="I531" s="22"/>
      <c r="J531" s="22"/>
      <c r="K531" s="22"/>
      <c r="L531" s="22">
        <f t="shared" ref="L531:U531" si="869">L529/K529-1</f>
        <v>-0.22055081908672947</v>
      </c>
      <c r="M531" s="22">
        <f t="shared" si="869"/>
        <v>-6.889245218188067E-2</v>
      </c>
      <c r="N531" s="22">
        <f t="shared" si="869"/>
        <v>0.42868565102404821</v>
      </c>
      <c r="O531" s="22">
        <f t="shared" si="869"/>
        <v>0.26060097292177886</v>
      </c>
      <c r="P531" s="22">
        <f t="shared" si="869"/>
        <v>5.9779731921796309E-2</v>
      </c>
      <c r="Q531" s="22">
        <f t="shared" si="869"/>
        <v>0.2736441852221827</v>
      </c>
      <c r="R531" s="22">
        <f t="shared" si="869"/>
        <v>2.8564199873497786E-2</v>
      </c>
      <c r="S531" s="22">
        <f t="shared" si="869"/>
        <v>0.47349584296748182</v>
      </c>
      <c r="T531" s="22">
        <f t="shared" si="869"/>
        <v>0.32706770055172063</v>
      </c>
      <c r="U531" s="22">
        <f t="shared" si="869"/>
        <v>0.23098646472778506</v>
      </c>
    </row>
    <row r="532" spans="1:21" x14ac:dyDescent="0.2">
      <c r="B532" s="17" t="s">
        <v>50</v>
      </c>
      <c r="C532" s="17"/>
      <c r="D532" s="17"/>
      <c r="E532" s="17"/>
      <c r="F532" s="17"/>
      <c r="G532" s="23"/>
      <c r="H532" s="23"/>
      <c r="I532" s="23"/>
      <c r="J532" s="23"/>
      <c r="K532" s="23" t="e">
        <f t="shared" ref="K532:U532" si="870">AVERAGE(H529:K529)/AVERAGE(G529:J529)-1</f>
        <v>#DIV/0!</v>
      </c>
      <c r="L532" s="23">
        <f t="shared" si="870"/>
        <v>-0.11027540954336479</v>
      </c>
      <c r="M532" s="23">
        <f t="shared" si="870"/>
        <v>-6.1432334127680899E-2</v>
      </c>
      <c r="N532" s="23">
        <f t="shared" si="870"/>
        <v>6.0415330339961493E-2</v>
      </c>
      <c r="O532" s="23">
        <f t="shared" si="870"/>
        <v>8.6694894963013525E-2</v>
      </c>
      <c r="P532" s="23">
        <f t="shared" si="870"/>
        <v>0.15737685907285548</v>
      </c>
      <c r="Q532" s="23">
        <f t="shared" si="870"/>
        <v>0.23311807702134701</v>
      </c>
      <c r="R532" s="23">
        <f t="shared" si="870"/>
        <v>0.14158666444569912</v>
      </c>
      <c r="S532" s="23">
        <f t="shared" si="870"/>
        <v>0.21795159241109108</v>
      </c>
      <c r="T532" s="23">
        <f t="shared" si="870"/>
        <v>0.28321806031598507</v>
      </c>
      <c r="U532" s="23">
        <f t="shared" si="870"/>
        <v>0.26566125554186759</v>
      </c>
    </row>
    <row r="533" spans="1:21" ht="13.5" thickBot="1" x14ac:dyDescent="0.25"/>
    <row r="534" spans="1:21" ht="13.5" thickBot="1" x14ac:dyDescent="0.25">
      <c r="A534" s="24" t="s">
        <v>0</v>
      </c>
      <c r="B534" s="25">
        <v>8439</v>
      </c>
      <c r="C534" s="24" t="s">
        <v>30</v>
      </c>
      <c r="D534" s="24" t="s">
        <v>31</v>
      </c>
      <c r="E534" s="24" t="s">
        <v>32</v>
      </c>
      <c r="F534" s="24" t="s">
        <v>33</v>
      </c>
      <c r="G534" s="24" t="s">
        <v>34</v>
      </c>
      <c r="H534" s="24" t="s">
        <v>35</v>
      </c>
      <c r="I534" s="24" t="s">
        <v>36</v>
      </c>
      <c r="J534" s="24" t="s">
        <v>37</v>
      </c>
      <c r="K534" s="24" t="s">
        <v>38</v>
      </c>
      <c r="L534" s="24" t="s">
        <v>39</v>
      </c>
      <c r="M534" s="24" t="s">
        <v>40</v>
      </c>
      <c r="N534" s="24" t="s">
        <v>41</v>
      </c>
      <c r="O534" s="24" t="s">
        <v>42</v>
      </c>
      <c r="P534" s="24" t="s">
        <v>43</v>
      </c>
      <c r="Q534" s="24" t="s">
        <v>44</v>
      </c>
      <c r="R534" s="24" t="s">
        <v>45</v>
      </c>
      <c r="S534" s="24" t="s">
        <v>46</v>
      </c>
      <c r="T534" s="24" t="s">
        <v>47</v>
      </c>
      <c r="U534" s="24" t="s">
        <v>19</v>
      </c>
    </row>
    <row r="535" spans="1:21" x14ac:dyDescent="0.2">
      <c r="A535" s="17"/>
      <c r="B535" s="17" t="s">
        <v>51</v>
      </c>
      <c r="C535" s="17"/>
      <c r="D535" s="17"/>
      <c r="E535" s="17"/>
      <c r="F535" s="17"/>
      <c r="G535" s="17"/>
      <c r="H535" s="17"/>
      <c r="I535" s="17"/>
      <c r="J535" s="17"/>
      <c r="K535" s="17"/>
      <c r="L535" s="17"/>
      <c r="M535" s="17"/>
      <c r="N535" s="17"/>
      <c r="O535" s="17"/>
      <c r="P535" s="17"/>
      <c r="Q535" s="17"/>
      <c r="R535" s="17"/>
      <c r="S535" s="17"/>
      <c r="T535" s="17"/>
      <c r="U535" s="17"/>
    </row>
    <row r="536" spans="1:21" x14ac:dyDescent="0.2">
      <c r="B536" t="s">
        <v>49</v>
      </c>
      <c r="C536" s="22"/>
      <c r="D536" s="22"/>
      <c r="E536" s="22"/>
      <c r="F536" s="22"/>
      <c r="G536" s="22"/>
      <c r="H536" s="22"/>
      <c r="I536" s="22"/>
      <c r="J536" s="22"/>
      <c r="K536" s="22" t="e">
        <f t="shared" ref="K536:U536" si="871">K535/G535-1</f>
        <v>#DIV/0!</v>
      </c>
      <c r="L536" s="22" t="e">
        <f t="shared" si="871"/>
        <v>#DIV/0!</v>
      </c>
      <c r="M536" s="22" t="e">
        <f t="shared" si="871"/>
        <v>#DIV/0!</v>
      </c>
      <c r="N536" s="22" t="e">
        <f t="shared" si="871"/>
        <v>#DIV/0!</v>
      </c>
      <c r="O536" s="22" t="e">
        <f t="shared" si="871"/>
        <v>#DIV/0!</v>
      </c>
      <c r="P536" s="22" t="e">
        <f t="shared" si="871"/>
        <v>#DIV/0!</v>
      </c>
      <c r="Q536" s="22" t="e">
        <f t="shared" si="871"/>
        <v>#DIV/0!</v>
      </c>
      <c r="R536" s="22" t="e">
        <f t="shared" si="871"/>
        <v>#DIV/0!</v>
      </c>
      <c r="S536" s="22" t="e">
        <f t="shared" si="871"/>
        <v>#DIV/0!</v>
      </c>
      <c r="T536" s="22" t="e">
        <f t="shared" si="871"/>
        <v>#DIV/0!</v>
      </c>
      <c r="U536" s="22" t="e">
        <f t="shared" si="871"/>
        <v>#DIV/0!</v>
      </c>
    </row>
    <row r="537" spans="1:21" x14ac:dyDescent="0.2">
      <c r="B537" t="s">
        <v>52</v>
      </c>
      <c r="C537" s="22"/>
      <c r="D537" s="22"/>
      <c r="E537" s="22"/>
      <c r="F537" s="22"/>
      <c r="G537" s="22"/>
      <c r="H537" s="22"/>
      <c r="I537" s="22"/>
      <c r="J537" s="22"/>
      <c r="K537" s="22"/>
      <c r="L537" s="22" t="e">
        <f t="shared" ref="L537:U537" si="872">L535/K535-1</f>
        <v>#DIV/0!</v>
      </c>
      <c r="M537" s="22" t="e">
        <f t="shared" si="872"/>
        <v>#DIV/0!</v>
      </c>
      <c r="N537" s="22" t="e">
        <f t="shared" si="872"/>
        <v>#DIV/0!</v>
      </c>
      <c r="O537" s="22" t="e">
        <f t="shared" si="872"/>
        <v>#DIV/0!</v>
      </c>
      <c r="P537" s="22" t="e">
        <f t="shared" si="872"/>
        <v>#DIV/0!</v>
      </c>
      <c r="Q537" s="22" t="e">
        <f t="shared" si="872"/>
        <v>#DIV/0!</v>
      </c>
      <c r="R537" s="22" t="e">
        <f t="shared" si="872"/>
        <v>#DIV/0!</v>
      </c>
      <c r="S537" s="22" t="e">
        <f t="shared" si="872"/>
        <v>#DIV/0!</v>
      </c>
      <c r="T537" s="22" t="e">
        <f t="shared" si="872"/>
        <v>#DIV/0!</v>
      </c>
      <c r="U537" s="22" t="e">
        <f t="shared" si="872"/>
        <v>#DIV/0!</v>
      </c>
    </row>
    <row r="538" spans="1:21" x14ac:dyDescent="0.2">
      <c r="A538" s="17"/>
      <c r="B538" s="17" t="s">
        <v>48</v>
      </c>
      <c r="C538" s="17"/>
      <c r="D538" s="17"/>
      <c r="E538" s="17"/>
      <c r="F538" s="17"/>
      <c r="G538" s="17"/>
      <c r="H538" s="17"/>
      <c r="I538" s="17"/>
      <c r="J538" s="17"/>
      <c r="K538" s="17">
        <v>22144</v>
      </c>
      <c r="L538" s="17">
        <v>28250</v>
      </c>
      <c r="M538" s="17">
        <v>24844</v>
      </c>
      <c r="N538" s="17">
        <v>28722</v>
      </c>
      <c r="O538" s="17">
        <v>22411</v>
      </c>
      <c r="P538" s="17">
        <v>34458</v>
      </c>
      <c r="Q538" s="17">
        <v>21840</v>
      </c>
      <c r="R538" s="17">
        <v>34159</v>
      </c>
      <c r="S538" s="17">
        <v>26604</v>
      </c>
      <c r="T538" s="17">
        <v>35313</v>
      </c>
      <c r="U538" s="17">
        <v>37207</v>
      </c>
    </row>
    <row r="539" spans="1:21" x14ac:dyDescent="0.2">
      <c r="B539" t="s">
        <v>49</v>
      </c>
      <c r="C539" s="22"/>
      <c r="D539" s="22"/>
      <c r="E539" s="22"/>
      <c r="F539" s="22"/>
      <c r="G539" s="22"/>
      <c r="H539" s="22"/>
      <c r="I539" s="22"/>
      <c r="J539" s="22"/>
      <c r="K539" s="22" t="e">
        <f t="shared" ref="K539:U539" si="873">K538/G538-1</f>
        <v>#DIV/0!</v>
      </c>
      <c r="L539" s="22" t="e">
        <f t="shared" si="873"/>
        <v>#DIV/0!</v>
      </c>
      <c r="M539" s="22" t="e">
        <f t="shared" si="873"/>
        <v>#DIV/0!</v>
      </c>
      <c r="N539" s="22" t="e">
        <f t="shared" si="873"/>
        <v>#DIV/0!</v>
      </c>
      <c r="O539" s="22">
        <f t="shared" si="873"/>
        <v>1.205744219653182E-2</v>
      </c>
      <c r="P539" s="22">
        <f t="shared" si="873"/>
        <v>0.21975221238938047</v>
      </c>
      <c r="Q539" s="22">
        <f t="shared" si="873"/>
        <v>-0.12091450652068914</v>
      </c>
      <c r="R539" s="22">
        <f t="shared" si="873"/>
        <v>0.18929740268783513</v>
      </c>
      <c r="S539" s="22">
        <f t="shared" si="873"/>
        <v>0.18709562268528845</v>
      </c>
      <c r="T539" s="22">
        <f t="shared" si="873"/>
        <v>2.4812815601601867E-2</v>
      </c>
      <c r="U539" s="22">
        <f t="shared" si="873"/>
        <v>0.70361721611721606</v>
      </c>
    </row>
    <row r="540" spans="1:21" x14ac:dyDescent="0.2">
      <c r="B540" t="s">
        <v>52</v>
      </c>
      <c r="C540" s="22"/>
      <c r="D540" s="22"/>
      <c r="E540" s="22"/>
      <c r="F540" s="22"/>
      <c r="G540" s="22"/>
      <c r="H540" s="22"/>
      <c r="I540" s="22"/>
      <c r="J540" s="22"/>
      <c r="K540" s="22"/>
      <c r="L540" s="22">
        <f t="shared" ref="L540:U540" si="874">L538/K538-1</f>
        <v>0.27574060693641611</v>
      </c>
      <c r="M540" s="22">
        <f t="shared" si="874"/>
        <v>-0.12056637168141593</v>
      </c>
      <c r="N540" s="22">
        <f t="shared" si="874"/>
        <v>0.15609402672677497</v>
      </c>
      <c r="O540" s="22">
        <f t="shared" si="874"/>
        <v>-0.21972703850706776</v>
      </c>
      <c r="P540" s="22">
        <f t="shared" si="874"/>
        <v>0.53754852527776542</v>
      </c>
      <c r="Q540" s="22">
        <f t="shared" si="874"/>
        <v>-0.36618492077311504</v>
      </c>
      <c r="R540" s="22">
        <f t="shared" si="874"/>
        <v>0.56405677655677655</v>
      </c>
      <c r="S540" s="22">
        <f t="shared" si="874"/>
        <v>-0.22117157996428471</v>
      </c>
      <c r="T540" s="22">
        <f t="shared" si="874"/>
        <v>0.32735678845286431</v>
      </c>
      <c r="U540" s="22">
        <f t="shared" si="874"/>
        <v>5.3634638801574486E-2</v>
      </c>
    </row>
    <row r="541" spans="1:21" x14ac:dyDescent="0.2">
      <c r="B541" s="17" t="s">
        <v>50</v>
      </c>
      <c r="C541" s="17"/>
      <c r="D541" s="17"/>
      <c r="E541" s="17"/>
      <c r="F541" s="17"/>
      <c r="G541" s="23"/>
      <c r="H541" s="23"/>
      <c r="I541" s="23"/>
      <c r="J541" s="23"/>
      <c r="K541" s="23" t="e">
        <f t="shared" ref="K541:U541" si="875">AVERAGE(H538:K538)/AVERAGE(G538:J538)-1</f>
        <v>#DIV/0!</v>
      </c>
      <c r="L541" s="23">
        <f t="shared" si="875"/>
        <v>0.13787030346820806</v>
      </c>
      <c r="M541" s="23">
        <f t="shared" si="875"/>
        <v>-4.6698681059914593E-3</v>
      </c>
      <c r="N541" s="23">
        <f t="shared" si="875"/>
        <v>3.6311438368909377E-2</v>
      </c>
      <c r="O541" s="23">
        <f t="shared" si="875"/>
        <v>2.5682954982686468E-3</v>
      </c>
      <c r="P541" s="23">
        <f t="shared" si="875"/>
        <v>5.9562301514962446E-2</v>
      </c>
      <c r="Q541" s="23">
        <f t="shared" si="875"/>
        <v>-2.7201521256847938E-2</v>
      </c>
      <c r="R541" s="23">
        <f t="shared" si="875"/>
        <v>5.0609228248829519E-2</v>
      </c>
      <c r="S541" s="23">
        <f t="shared" si="875"/>
        <v>3.7149590672289845E-2</v>
      </c>
      <c r="T541" s="23">
        <f t="shared" si="875"/>
        <v>7.3038842996386855E-3</v>
      </c>
      <c r="U541" s="23">
        <f t="shared" si="875"/>
        <v>0.13032158485701695</v>
      </c>
    </row>
    <row r="542" spans="1:21" ht="13.5" thickBot="1" x14ac:dyDescent="0.25"/>
    <row r="543" spans="1:21" ht="13.5" thickBot="1" x14ac:dyDescent="0.25">
      <c r="A543" s="24" t="s">
        <v>0</v>
      </c>
      <c r="B543" s="25" t="s">
        <v>319</v>
      </c>
      <c r="C543" s="24" t="s">
        <v>30</v>
      </c>
      <c r="D543" s="24" t="s">
        <v>31</v>
      </c>
      <c r="E543" s="24" t="s">
        <v>32</v>
      </c>
      <c r="F543" s="24" t="s">
        <v>33</v>
      </c>
      <c r="G543" s="24" t="s">
        <v>34</v>
      </c>
      <c r="H543" s="24" t="s">
        <v>35</v>
      </c>
      <c r="I543" s="24" t="s">
        <v>36</v>
      </c>
      <c r="J543" s="24" t="s">
        <v>37</v>
      </c>
      <c r="K543" s="24" t="s">
        <v>38</v>
      </c>
      <c r="L543" s="24" t="s">
        <v>39</v>
      </c>
      <c r="M543" s="24" t="s">
        <v>40</v>
      </c>
      <c r="N543" s="24" t="s">
        <v>41</v>
      </c>
      <c r="O543" s="24" t="s">
        <v>42</v>
      </c>
      <c r="P543" s="24" t="s">
        <v>43</v>
      </c>
      <c r="Q543" s="24" t="s">
        <v>44</v>
      </c>
      <c r="R543" s="24" t="s">
        <v>45</v>
      </c>
      <c r="S543" s="24" t="s">
        <v>46</v>
      </c>
      <c r="T543" s="24" t="s">
        <v>47</v>
      </c>
      <c r="U543" s="24" t="s">
        <v>19</v>
      </c>
    </row>
    <row r="544" spans="1:21" x14ac:dyDescent="0.2">
      <c r="A544" s="17"/>
      <c r="B544" s="17" t="s">
        <v>51</v>
      </c>
      <c r="C544" s="17"/>
      <c r="D544" s="17"/>
      <c r="E544" s="17"/>
      <c r="F544" s="17"/>
      <c r="G544" s="17"/>
      <c r="H544" s="17"/>
      <c r="I544" s="17"/>
      <c r="J544" s="17"/>
      <c r="K544" s="17"/>
      <c r="L544" s="17"/>
      <c r="M544" s="17"/>
      <c r="N544" s="17"/>
      <c r="O544" s="17"/>
      <c r="P544" s="17"/>
      <c r="Q544" s="17"/>
      <c r="R544" s="17"/>
      <c r="S544" s="17"/>
      <c r="T544" s="17"/>
      <c r="U544" s="17"/>
    </row>
    <row r="545" spans="1:30" x14ac:dyDescent="0.2">
      <c r="B545" t="s">
        <v>49</v>
      </c>
      <c r="C545" s="22"/>
      <c r="D545" s="22"/>
      <c r="E545" s="22"/>
      <c r="F545" s="22"/>
      <c r="G545" s="22"/>
      <c r="H545" s="22"/>
      <c r="I545" s="22"/>
      <c r="J545" s="22"/>
      <c r="K545" s="22" t="e">
        <f t="shared" ref="K545:U545" si="876">K544/G544-1</f>
        <v>#DIV/0!</v>
      </c>
      <c r="L545" s="22" t="e">
        <f t="shared" si="876"/>
        <v>#DIV/0!</v>
      </c>
      <c r="M545" s="22" t="e">
        <f t="shared" si="876"/>
        <v>#DIV/0!</v>
      </c>
      <c r="N545" s="22" t="e">
        <f t="shared" si="876"/>
        <v>#DIV/0!</v>
      </c>
      <c r="O545" s="22" t="e">
        <f t="shared" si="876"/>
        <v>#DIV/0!</v>
      </c>
      <c r="P545" s="22" t="e">
        <f t="shared" si="876"/>
        <v>#DIV/0!</v>
      </c>
      <c r="Q545" s="22" t="e">
        <f t="shared" si="876"/>
        <v>#DIV/0!</v>
      </c>
      <c r="R545" s="22" t="e">
        <f t="shared" si="876"/>
        <v>#DIV/0!</v>
      </c>
      <c r="S545" s="22" t="e">
        <f t="shared" si="876"/>
        <v>#DIV/0!</v>
      </c>
      <c r="T545" s="22" t="e">
        <f t="shared" si="876"/>
        <v>#DIV/0!</v>
      </c>
      <c r="U545" s="22" t="e">
        <f t="shared" si="876"/>
        <v>#DIV/0!</v>
      </c>
    </row>
    <row r="546" spans="1:30" x14ac:dyDescent="0.2">
      <c r="B546" t="s">
        <v>52</v>
      </c>
      <c r="C546" s="22"/>
      <c r="D546" s="22"/>
      <c r="E546" s="22"/>
      <c r="F546" s="22"/>
      <c r="G546" s="22"/>
      <c r="H546" s="22"/>
      <c r="I546" s="22"/>
      <c r="J546" s="22"/>
      <c r="K546" s="22"/>
      <c r="L546" s="22" t="e">
        <f t="shared" ref="L546:U546" si="877">L544/K544-1</f>
        <v>#DIV/0!</v>
      </c>
      <c r="M546" s="22" t="e">
        <f t="shared" si="877"/>
        <v>#DIV/0!</v>
      </c>
      <c r="N546" s="22" t="e">
        <f t="shared" si="877"/>
        <v>#DIV/0!</v>
      </c>
      <c r="O546" s="22" t="e">
        <f t="shared" si="877"/>
        <v>#DIV/0!</v>
      </c>
      <c r="P546" s="22" t="e">
        <f t="shared" si="877"/>
        <v>#DIV/0!</v>
      </c>
      <c r="Q546" s="22" t="e">
        <f t="shared" si="877"/>
        <v>#DIV/0!</v>
      </c>
      <c r="R546" s="22" t="e">
        <f t="shared" si="877"/>
        <v>#DIV/0!</v>
      </c>
      <c r="S546" s="22" t="e">
        <f t="shared" si="877"/>
        <v>#DIV/0!</v>
      </c>
      <c r="T546" s="22" t="e">
        <f t="shared" si="877"/>
        <v>#DIV/0!</v>
      </c>
      <c r="U546" s="22" t="e">
        <f t="shared" si="877"/>
        <v>#DIV/0!</v>
      </c>
    </row>
    <row r="547" spans="1:30" x14ac:dyDescent="0.2">
      <c r="A547" s="17"/>
      <c r="B547" s="17" t="s">
        <v>48</v>
      </c>
      <c r="C547" s="17"/>
      <c r="D547" s="17"/>
      <c r="E547" s="17"/>
      <c r="F547" s="17"/>
      <c r="G547" s="17"/>
      <c r="H547" s="17"/>
      <c r="I547" s="17"/>
      <c r="J547" s="17"/>
      <c r="K547" s="17">
        <v>60.8</v>
      </c>
      <c r="L547" s="17">
        <v>55.9</v>
      </c>
      <c r="M547" s="17">
        <v>50.7</v>
      </c>
      <c r="N547" s="17">
        <v>47.4</v>
      </c>
      <c r="O547" s="17">
        <v>58.2</v>
      </c>
      <c r="P547" s="17">
        <v>71.599999999999994</v>
      </c>
      <c r="Q547" s="17">
        <v>55.1</v>
      </c>
      <c r="R547" s="17">
        <v>47</v>
      </c>
      <c r="S547" s="17">
        <v>55.7</v>
      </c>
      <c r="T547" s="17">
        <v>74.2</v>
      </c>
      <c r="U547" s="17">
        <v>73.5</v>
      </c>
    </row>
    <row r="548" spans="1:30" x14ac:dyDescent="0.2">
      <c r="B548" t="s">
        <v>49</v>
      </c>
      <c r="C548" s="22"/>
      <c r="D548" s="22"/>
      <c r="E548" s="22"/>
      <c r="F548" s="22"/>
      <c r="G548" s="22"/>
      <c r="H548" s="22"/>
      <c r="I548" s="22"/>
      <c r="J548" s="22"/>
      <c r="K548" s="22" t="e">
        <f t="shared" ref="K548:U548" si="878">K547/G547-1</f>
        <v>#DIV/0!</v>
      </c>
      <c r="L548" s="22" t="e">
        <f t="shared" si="878"/>
        <v>#DIV/0!</v>
      </c>
      <c r="M548" s="22" t="e">
        <f t="shared" si="878"/>
        <v>#DIV/0!</v>
      </c>
      <c r="N548" s="22" t="e">
        <f t="shared" si="878"/>
        <v>#DIV/0!</v>
      </c>
      <c r="O548" s="22">
        <f t="shared" si="878"/>
        <v>-4.2763157894736725E-2</v>
      </c>
      <c r="P548" s="22">
        <f t="shared" si="878"/>
        <v>0.28085867620751337</v>
      </c>
      <c r="Q548" s="22">
        <f t="shared" si="878"/>
        <v>8.6785009861932938E-2</v>
      </c>
      <c r="R548" s="22">
        <f t="shared" si="878"/>
        <v>-8.4388185654008518E-3</v>
      </c>
      <c r="S548" s="22">
        <f t="shared" si="878"/>
        <v>-4.2955326460481058E-2</v>
      </c>
      <c r="T548" s="22">
        <f t="shared" si="878"/>
        <v>3.6312849162011274E-2</v>
      </c>
      <c r="U548" s="22">
        <f t="shared" si="878"/>
        <v>0.33393829401088926</v>
      </c>
    </row>
    <row r="549" spans="1:30" x14ac:dyDescent="0.2">
      <c r="B549" t="s">
        <v>52</v>
      </c>
      <c r="C549" s="22"/>
      <c r="D549" s="22"/>
      <c r="E549" s="22"/>
      <c r="F549" s="22"/>
      <c r="G549" s="22"/>
      <c r="H549" s="22"/>
      <c r="I549" s="22"/>
      <c r="J549" s="22"/>
      <c r="K549" s="22"/>
      <c r="L549" s="22">
        <f t="shared" ref="L549:U549" si="879">L547/K547-1</f>
        <v>-8.0592105263157854E-2</v>
      </c>
      <c r="M549" s="22">
        <f t="shared" si="879"/>
        <v>-9.3023255813953432E-2</v>
      </c>
      <c r="N549" s="22">
        <f t="shared" si="879"/>
        <v>-6.5088757396449815E-2</v>
      </c>
      <c r="O549" s="22">
        <f t="shared" si="879"/>
        <v>0.22784810126582289</v>
      </c>
      <c r="P549" s="22">
        <f t="shared" si="879"/>
        <v>0.23024054982817854</v>
      </c>
      <c r="Q549" s="22">
        <f t="shared" si="879"/>
        <v>-0.23044692737430161</v>
      </c>
      <c r="R549" s="22">
        <f t="shared" si="879"/>
        <v>-0.14700544464609799</v>
      </c>
      <c r="S549" s="22">
        <f t="shared" si="879"/>
        <v>0.18510638297872339</v>
      </c>
      <c r="T549" s="22">
        <f t="shared" si="879"/>
        <v>0.33213644524236985</v>
      </c>
      <c r="U549" s="22">
        <f t="shared" si="879"/>
        <v>-9.4339622641509413E-3</v>
      </c>
    </row>
    <row r="550" spans="1:30" x14ac:dyDescent="0.2">
      <c r="B550" s="17" t="s">
        <v>50</v>
      </c>
      <c r="C550" s="17"/>
      <c r="D550" s="17"/>
      <c r="E550" s="17"/>
      <c r="F550" s="17"/>
      <c r="G550" s="23"/>
      <c r="H550" s="23"/>
      <c r="I550" s="23"/>
      <c r="J550" s="23"/>
      <c r="K550" s="23" t="e">
        <f t="shared" ref="K550:U550" si="880">AVERAGE(H547:K547)/AVERAGE(G547:J547)-1</f>
        <v>#DIV/0!</v>
      </c>
      <c r="L550" s="23">
        <f t="shared" si="880"/>
        <v>-4.0296052631578982E-2</v>
      </c>
      <c r="M550" s="23">
        <f t="shared" si="880"/>
        <v>-4.3701799485861281E-2</v>
      </c>
      <c r="N550" s="23">
        <f t="shared" si="880"/>
        <v>-3.7634408602150393E-2</v>
      </c>
      <c r="O550" s="23">
        <f t="shared" si="880"/>
        <v>-1.2104283054003684E-2</v>
      </c>
      <c r="P550" s="23">
        <f t="shared" si="880"/>
        <v>7.3986804901036818E-2</v>
      </c>
      <c r="Q550" s="23">
        <f t="shared" si="880"/>
        <v>1.9306713470820469E-2</v>
      </c>
      <c r="R550" s="23">
        <f t="shared" si="880"/>
        <v>-1.7219113215668491E-3</v>
      </c>
      <c r="S550" s="23">
        <f t="shared" si="880"/>
        <v>-1.0780508840017355E-2</v>
      </c>
      <c r="T550" s="23">
        <f t="shared" si="880"/>
        <v>1.1333914559721103E-2</v>
      </c>
      <c r="U550" s="23">
        <f t="shared" si="880"/>
        <v>7.9310344827586254E-2</v>
      </c>
    </row>
    <row r="551" spans="1:30" ht="13.5" thickBot="1" x14ac:dyDescent="0.25"/>
    <row r="552" spans="1:30" ht="13.5" thickBot="1" x14ac:dyDescent="0.25">
      <c r="A552" s="24" t="s">
        <v>0</v>
      </c>
      <c r="B552" s="25">
        <v>5901</v>
      </c>
      <c r="C552" s="24" t="s">
        <v>30</v>
      </c>
      <c r="D552" s="24" t="s">
        <v>31</v>
      </c>
      <c r="E552" s="24" t="s">
        <v>32</v>
      </c>
      <c r="F552" s="24" t="s">
        <v>33</v>
      </c>
      <c r="G552" s="24" t="s">
        <v>34</v>
      </c>
      <c r="H552" s="24" t="s">
        <v>35</v>
      </c>
      <c r="I552" s="24" t="s">
        <v>36</v>
      </c>
      <c r="J552" s="24" t="s">
        <v>37</v>
      </c>
      <c r="K552" s="24" t="s">
        <v>38</v>
      </c>
      <c r="L552" s="24" t="s">
        <v>39</v>
      </c>
      <c r="M552" s="24" t="s">
        <v>40</v>
      </c>
      <c r="N552" s="24" t="s">
        <v>41</v>
      </c>
      <c r="O552" s="24" t="s">
        <v>42</v>
      </c>
      <c r="P552" s="24" t="s">
        <v>43</v>
      </c>
      <c r="Q552" s="24" t="s">
        <v>44</v>
      </c>
      <c r="R552" s="24" t="s">
        <v>45</v>
      </c>
      <c r="S552" s="24" t="s">
        <v>46</v>
      </c>
      <c r="T552" s="24" t="s">
        <v>47</v>
      </c>
      <c r="U552" s="24" t="s">
        <v>19</v>
      </c>
    </row>
    <row r="553" spans="1:30" x14ac:dyDescent="0.2">
      <c r="A553" s="17"/>
      <c r="B553" s="17" t="s">
        <v>51</v>
      </c>
      <c r="C553" s="17"/>
      <c r="D553" s="17"/>
      <c r="E553" s="17"/>
      <c r="F553" s="17"/>
      <c r="G553" s="17"/>
      <c r="H553" s="17"/>
      <c r="I553" s="17"/>
      <c r="J553" s="17"/>
      <c r="K553" s="17"/>
      <c r="L553" s="17"/>
      <c r="M553" s="17"/>
      <c r="N553" s="17"/>
      <c r="O553" s="17"/>
      <c r="P553" s="17"/>
      <c r="Q553" s="17"/>
      <c r="R553" s="17"/>
      <c r="S553" s="17"/>
      <c r="T553" s="17"/>
      <c r="U553" s="17"/>
    </row>
    <row r="554" spans="1:30" x14ac:dyDescent="0.2">
      <c r="B554" t="s">
        <v>49</v>
      </c>
      <c r="C554" s="22"/>
      <c r="D554" s="22"/>
      <c r="E554" s="22"/>
      <c r="F554" s="22"/>
      <c r="G554" s="22"/>
      <c r="H554" s="22"/>
      <c r="I554" s="22"/>
      <c r="J554" s="22"/>
      <c r="K554" s="22" t="e">
        <f t="shared" ref="K554:U554" si="881">K553/G553-1</f>
        <v>#DIV/0!</v>
      </c>
      <c r="L554" s="22" t="e">
        <f t="shared" si="881"/>
        <v>#DIV/0!</v>
      </c>
      <c r="M554" s="22" t="e">
        <f t="shared" si="881"/>
        <v>#DIV/0!</v>
      </c>
      <c r="N554" s="22" t="e">
        <f t="shared" si="881"/>
        <v>#DIV/0!</v>
      </c>
      <c r="O554" s="22" t="e">
        <f t="shared" si="881"/>
        <v>#DIV/0!</v>
      </c>
      <c r="P554" s="22" t="e">
        <f t="shared" si="881"/>
        <v>#DIV/0!</v>
      </c>
      <c r="Q554" s="22" t="e">
        <f t="shared" si="881"/>
        <v>#DIV/0!</v>
      </c>
      <c r="R554" s="22" t="e">
        <f t="shared" si="881"/>
        <v>#DIV/0!</v>
      </c>
      <c r="S554" s="22" t="e">
        <f t="shared" si="881"/>
        <v>#DIV/0!</v>
      </c>
      <c r="T554" s="22" t="e">
        <f t="shared" si="881"/>
        <v>#DIV/0!</v>
      </c>
      <c r="U554" s="22" t="e">
        <f t="shared" si="881"/>
        <v>#DIV/0!</v>
      </c>
      <c r="X554">
        <v>59.56</v>
      </c>
      <c r="Y554">
        <f>130.85-X554</f>
        <v>71.289999999999992</v>
      </c>
      <c r="Z554">
        <f>201.67-Y554-X554</f>
        <v>70.819999999999993</v>
      </c>
      <c r="AA554">
        <f>284.18-Z554-Y554-X554</f>
        <v>82.510000000000019</v>
      </c>
      <c r="AB554">
        <v>82.88</v>
      </c>
      <c r="AC554">
        <f>222.75-AB554</f>
        <v>139.87</v>
      </c>
      <c r="AD554">
        <v>150</v>
      </c>
    </row>
    <row r="555" spans="1:30" x14ac:dyDescent="0.2">
      <c r="B555" t="s">
        <v>52</v>
      </c>
      <c r="C555" s="22"/>
      <c r="D555" s="22"/>
      <c r="E555" s="22"/>
      <c r="F555" s="22"/>
      <c r="G555" s="22"/>
      <c r="H555" s="22"/>
      <c r="I555" s="22"/>
      <c r="J555" s="22"/>
      <c r="K555" s="22"/>
      <c r="L555" s="22" t="e">
        <f t="shared" ref="L555:U555" si="882">L553/K553-1</f>
        <v>#DIV/0!</v>
      </c>
      <c r="M555" s="22" t="e">
        <f t="shared" si="882"/>
        <v>#DIV/0!</v>
      </c>
      <c r="N555" s="22" t="e">
        <f t="shared" si="882"/>
        <v>#DIV/0!</v>
      </c>
      <c r="O555" s="22" t="e">
        <f t="shared" si="882"/>
        <v>#DIV/0!</v>
      </c>
      <c r="P555" s="22" t="e">
        <f t="shared" si="882"/>
        <v>#DIV/0!</v>
      </c>
      <c r="Q555" s="22" t="e">
        <f t="shared" si="882"/>
        <v>#DIV/0!</v>
      </c>
      <c r="R555" s="22" t="e">
        <f t="shared" si="882"/>
        <v>#DIV/0!</v>
      </c>
      <c r="S555" s="22" t="e">
        <f t="shared" si="882"/>
        <v>#DIV/0!</v>
      </c>
      <c r="T555" s="22" t="e">
        <f t="shared" si="882"/>
        <v>#DIV/0!</v>
      </c>
      <c r="U555" s="22" t="e">
        <f t="shared" si="882"/>
        <v>#DIV/0!</v>
      </c>
    </row>
    <row r="556" spans="1:30" x14ac:dyDescent="0.2">
      <c r="A556" s="17"/>
      <c r="B556" s="17" t="s">
        <v>48</v>
      </c>
      <c r="C556" s="17"/>
      <c r="D556" s="17"/>
      <c r="E556" s="17"/>
      <c r="F556" s="17"/>
      <c r="G556" s="17"/>
      <c r="H556" s="17"/>
      <c r="I556" s="17"/>
      <c r="J556" s="17"/>
      <c r="K556" s="17">
        <v>-762</v>
      </c>
      <c r="L556" s="17">
        <v>7534</v>
      </c>
      <c r="M556" s="17">
        <v>7383</v>
      </c>
      <c r="N556" s="17">
        <v>12144</v>
      </c>
      <c r="O556" s="17">
        <v>6791</v>
      </c>
      <c r="P556" s="17">
        <v>13467</v>
      </c>
      <c r="Q556" s="17">
        <v>4846</v>
      </c>
      <c r="R556" s="17">
        <v>12309</v>
      </c>
      <c r="S556" s="17">
        <v>2491</v>
      </c>
      <c r="T556" s="17">
        <v>15082</v>
      </c>
      <c r="U556" s="17">
        <v>15074</v>
      </c>
      <c r="X556" s="17" t="s">
        <v>321</v>
      </c>
      <c r="Y556" t="s">
        <v>322</v>
      </c>
      <c r="Z556" s="17" t="s">
        <v>323</v>
      </c>
      <c r="AA556" t="s">
        <v>324</v>
      </c>
      <c r="AB556" s="17" t="s">
        <v>325</v>
      </c>
      <c r="AC556" t="s">
        <v>326</v>
      </c>
    </row>
    <row r="557" spans="1:30" x14ac:dyDescent="0.2">
      <c r="B557" t="s">
        <v>49</v>
      </c>
      <c r="C557" s="22"/>
      <c r="D557" s="22"/>
      <c r="E557" s="22"/>
      <c r="F557" s="22"/>
      <c r="G557" s="22"/>
      <c r="H557" s="22"/>
      <c r="I557" s="22"/>
      <c r="J557" s="22"/>
      <c r="K557" s="22" t="e">
        <f t="shared" ref="K557:U557" si="883">K556/G556-1</f>
        <v>#DIV/0!</v>
      </c>
      <c r="L557" s="22" t="e">
        <f t="shared" si="883"/>
        <v>#DIV/0!</v>
      </c>
      <c r="M557" s="22" t="e">
        <f t="shared" si="883"/>
        <v>#DIV/0!</v>
      </c>
      <c r="N557" s="22" t="e">
        <f t="shared" si="883"/>
        <v>#DIV/0!</v>
      </c>
      <c r="O557" s="22">
        <f t="shared" si="883"/>
        <v>-9.9120734908136487</v>
      </c>
      <c r="P557" s="22">
        <f t="shared" si="883"/>
        <v>0.7874966817095832</v>
      </c>
      <c r="Q557" s="22">
        <f t="shared" si="883"/>
        <v>-0.34362725179466347</v>
      </c>
      <c r="R557" s="22">
        <f t="shared" si="883"/>
        <v>1.3586956521739024E-2</v>
      </c>
      <c r="S557" s="22">
        <f t="shared" si="883"/>
        <v>-0.63319098807244889</v>
      </c>
      <c r="T557" s="22">
        <f t="shared" si="883"/>
        <v>0.11992277418875763</v>
      </c>
      <c r="U557" s="22">
        <f t="shared" si="883"/>
        <v>2.1106066859265376</v>
      </c>
      <c r="W557" t="s">
        <v>333</v>
      </c>
      <c r="X557" s="51">
        <v>13.7</v>
      </c>
      <c r="Y557" s="51">
        <f>27-X557</f>
        <v>13.3</v>
      </c>
      <c r="Z557" s="51">
        <f>34.08-Y557-X557</f>
        <v>7.0799999999999983</v>
      </c>
      <c r="AA557" s="51">
        <f>52.74-Z557-Y557-X557</f>
        <v>18.66</v>
      </c>
      <c r="AB557" s="51">
        <v>14.5</v>
      </c>
      <c r="AC557" s="51">
        <f>33.82-AB557</f>
        <v>19.32</v>
      </c>
      <c r="AD557" s="51" cm="1">
        <f t="array" ref="AD557:AD559">AD554*AD563:AD565</f>
        <v>22.5</v>
      </c>
    </row>
    <row r="558" spans="1:30" x14ac:dyDescent="0.2">
      <c r="B558" t="s">
        <v>52</v>
      </c>
      <c r="C558" s="22"/>
      <c r="D558" s="22"/>
      <c r="E558" s="22"/>
      <c r="F558" s="22"/>
      <c r="G558" s="22"/>
      <c r="H558" s="22"/>
      <c r="I558" s="22"/>
      <c r="J558" s="22"/>
      <c r="K558" s="22"/>
      <c r="L558" s="22">
        <f t="shared" ref="L558:U558" si="884">L556/K556-1</f>
        <v>-10.887139107611549</v>
      </c>
      <c r="M558" s="22">
        <f t="shared" si="884"/>
        <v>-2.004247411733473E-2</v>
      </c>
      <c r="N558" s="22">
        <f t="shared" si="884"/>
        <v>0.64485981308411211</v>
      </c>
      <c r="O558" s="22">
        <f t="shared" si="884"/>
        <v>-0.44079380764163378</v>
      </c>
      <c r="P558" s="22">
        <f t="shared" si="884"/>
        <v>0.9830658224120159</v>
      </c>
      <c r="Q558" s="22">
        <f t="shared" si="884"/>
        <v>-0.64015742184599389</v>
      </c>
      <c r="R558" s="22">
        <f t="shared" si="884"/>
        <v>1.5400330169211722</v>
      </c>
      <c r="S558" s="22">
        <f t="shared" si="884"/>
        <v>-0.79762775205134451</v>
      </c>
      <c r="T558" s="22">
        <f t="shared" si="884"/>
        <v>5.0545965475712569</v>
      </c>
      <c r="U558" s="22">
        <f t="shared" si="884"/>
        <v>-5.3043362949212192E-4</v>
      </c>
      <c r="W558" t="s">
        <v>334</v>
      </c>
      <c r="X558" s="50">
        <v>9.3000000000000007</v>
      </c>
      <c r="Y558" s="50">
        <f>23.3-X558</f>
        <v>14</v>
      </c>
      <c r="Z558" s="50">
        <f>41.21-Y558-X558</f>
        <v>17.91</v>
      </c>
      <c r="AA558" s="50">
        <f>60.9-Z558-Y558-X558</f>
        <v>19.689999999999994</v>
      </c>
      <c r="AB558" s="50">
        <v>15.1</v>
      </c>
      <c r="AC558" s="50">
        <f>26.09-AB558</f>
        <v>10.99</v>
      </c>
      <c r="AD558" s="50">
        <v>15</v>
      </c>
    </row>
    <row r="559" spans="1:30" x14ac:dyDescent="0.2">
      <c r="B559" s="17" t="s">
        <v>50</v>
      </c>
      <c r="C559" s="17"/>
      <c r="D559" s="17"/>
      <c r="E559" s="17"/>
      <c r="F559" s="17"/>
      <c r="G559" s="23"/>
      <c r="H559" s="23"/>
      <c r="I559" s="23"/>
      <c r="J559" s="23"/>
      <c r="K559" s="23" t="e">
        <f t="shared" ref="K559:U559" si="885">AVERAGE(H556:K556)/AVERAGE(G556:J556)-1</f>
        <v>#DIV/0!</v>
      </c>
      <c r="L559" s="23">
        <f t="shared" si="885"/>
        <v>-5.4435695538057747</v>
      </c>
      <c r="M559" s="23">
        <f t="shared" si="885"/>
        <v>0.39348296908840319</v>
      </c>
      <c r="N559" s="23">
        <f t="shared" si="885"/>
        <v>0.39344754503708956</v>
      </c>
      <c r="O559" s="23">
        <f t="shared" si="885"/>
        <v>0.28719723183390999</v>
      </c>
      <c r="P559" s="23">
        <f t="shared" si="885"/>
        <v>0.17526290913387688</v>
      </c>
      <c r="Q559" s="23">
        <f t="shared" si="885"/>
        <v>-6.3767751665200434E-2</v>
      </c>
      <c r="R559" s="23">
        <f t="shared" si="885"/>
        <v>4.4297680412370699E-3</v>
      </c>
      <c r="S559" s="23">
        <f t="shared" si="885"/>
        <v>-0.11493331195039158</v>
      </c>
      <c r="T559" s="23">
        <f t="shared" si="885"/>
        <v>4.8772385467943158E-2</v>
      </c>
      <c r="U559" s="23">
        <f t="shared" si="885"/>
        <v>0.29451739230592033</v>
      </c>
      <c r="W559" t="s">
        <v>335</v>
      </c>
      <c r="X559" s="50"/>
      <c r="Y559" s="50"/>
      <c r="Z559" s="50"/>
      <c r="AA559" s="50">
        <v>29.97</v>
      </c>
      <c r="AB559" s="50">
        <v>7.8</v>
      </c>
      <c r="AC559" s="50">
        <f>22-AB559</f>
        <v>14.2</v>
      </c>
      <c r="AD559" s="50">
        <v>22.5</v>
      </c>
    </row>
    <row r="560" spans="1:30" ht="13.5" thickBot="1" x14ac:dyDescent="0.25">
      <c r="W560" t="s">
        <v>330</v>
      </c>
      <c r="AA560">
        <v>5.54</v>
      </c>
    </row>
    <row r="561" spans="1:30" ht="13.5" thickBot="1" x14ac:dyDescent="0.25">
      <c r="A561" s="24" t="s">
        <v>0</v>
      </c>
      <c r="B561" s="25">
        <v>1951</v>
      </c>
      <c r="C561" s="24" t="s">
        <v>30</v>
      </c>
      <c r="D561" s="24" t="s">
        <v>31</v>
      </c>
      <c r="E561" s="24" t="s">
        <v>32</v>
      </c>
      <c r="F561" s="24" t="s">
        <v>33</v>
      </c>
      <c r="G561" s="24" t="s">
        <v>34</v>
      </c>
      <c r="H561" s="24" t="s">
        <v>35</v>
      </c>
      <c r="I561" s="24" t="s">
        <v>36</v>
      </c>
      <c r="J561" s="24" t="s">
        <v>37</v>
      </c>
      <c r="K561" s="24" t="s">
        <v>38</v>
      </c>
      <c r="L561" s="24" t="s">
        <v>39</v>
      </c>
      <c r="M561" s="24" t="s">
        <v>40</v>
      </c>
      <c r="N561" s="24" t="s">
        <v>41</v>
      </c>
      <c r="O561" s="24" t="s">
        <v>42</v>
      </c>
      <c r="P561" s="24" t="s">
        <v>43</v>
      </c>
      <c r="Q561" s="24" t="s">
        <v>44</v>
      </c>
      <c r="R561" s="24" t="s">
        <v>45</v>
      </c>
      <c r="S561" s="24" t="s">
        <v>46</v>
      </c>
      <c r="T561" s="24" t="s">
        <v>47</v>
      </c>
      <c r="U561" s="24" t="s">
        <v>19</v>
      </c>
    </row>
    <row r="562" spans="1:30" x14ac:dyDescent="0.2">
      <c r="A562" s="17"/>
      <c r="B562" s="17" t="s">
        <v>51</v>
      </c>
      <c r="C562" s="17"/>
      <c r="D562" s="17"/>
      <c r="E562" s="17"/>
      <c r="F562" s="17"/>
      <c r="G562" s="17"/>
      <c r="H562" s="17"/>
      <c r="I562" s="17"/>
      <c r="J562" s="17"/>
      <c r="K562" s="17"/>
      <c r="L562" s="17"/>
      <c r="M562" s="17"/>
      <c r="N562" s="17"/>
      <c r="O562" s="17"/>
      <c r="P562" s="17"/>
      <c r="Q562" s="17"/>
      <c r="R562" s="17"/>
      <c r="S562" s="17"/>
      <c r="T562" s="17"/>
      <c r="U562" s="17"/>
    </row>
    <row r="563" spans="1:30" x14ac:dyDescent="0.2">
      <c r="B563" t="s">
        <v>49</v>
      </c>
      <c r="C563" s="22"/>
      <c r="D563" s="22"/>
      <c r="E563" s="22"/>
      <c r="F563" s="22"/>
      <c r="G563" s="22"/>
      <c r="H563" s="22"/>
      <c r="I563" s="22"/>
      <c r="J563" s="22"/>
      <c r="K563" s="22" t="e">
        <f t="shared" ref="K563:U563" si="886">K562/G562-1</f>
        <v>#DIV/0!</v>
      </c>
      <c r="L563" s="22" t="e">
        <f t="shared" si="886"/>
        <v>#DIV/0!</v>
      </c>
      <c r="M563" s="22" t="e">
        <f t="shared" si="886"/>
        <v>#DIV/0!</v>
      </c>
      <c r="N563" s="22" t="e">
        <f t="shared" si="886"/>
        <v>#DIV/0!</v>
      </c>
      <c r="O563" s="22" t="e">
        <f t="shared" si="886"/>
        <v>#DIV/0!</v>
      </c>
      <c r="P563" s="22" t="e">
        <f t="shared" si="886"/>
        <v>#DIV/0!</v>
      </c>
      <c r="Q563" s="22" t="e">
        <f t="shared" si="886"/>
        <v>#DIV/0!</v>
      </c>
      <c r="R563" s="22" t="e">
        <f t="shared" si="886"/>
        <v>#DIV/0!</v>
      </c>
      <c r="S563" s="22" t="e">
        <f t="shared" si="886"/>
        <v>#DIV/0!</v>
      </c>
      <c r="T563" s="22" t="e">
        <f t="shared" si="886"/>
        <v>#DIV/0!</v>
      </c>
      <c r="U563" s="22" t="e">
        <f t="shared" si="886"/>
        <v>#DIV/0!</v>
      </c>
      <c r="AD563" s="22">
        <v>0.15</v>
      </c>
    </row>
    <row r="564" spans="1:30" x14ac:dyDescent="0.2">
      <c r="B564" t="s">
        <v>52</v>
      </c>
      <c r="C564" s="22"/>
      <c r="D564" s="22"/>
      <c r="E564" s="22"/>
      <c r="F564" s="22"/>
      <c r="G564" s="22"/>
      <c r="H564" s="22"/>
      <c r="I564" s="22"/>
      <c r="J564" s="22"/>
      <c r="K564" s="22"/>
      <c r="L564" s="22" t="e">
        <f t="shared" ref="L564:U564" si="887">L562/K562-1</f>
        <v>#DIV/0!</v>
      </c>
      <c r="M564" s="22" t="e">
        <f t="shared" si="887"/>
        <v>#DIV/0!</v>
      </c>
      <c r="N564" s="22" t="e">
        <f t="shared" si="887"/>
        <v>#DIV/0!</v>
      </c>
      <c r="O564" s="22" t="e">
        <f t="shared" si="887"/>
        <v>#DIV/0!</v>
      </c>
      <c r="P564" s="22" t="e">
        <f t="shared" si="887"/>
        <v>#DIV/0!</v>
      </c>
      <c r="Q564" s="22" t="e">
        <f t="shared" si="887"/>
        <v>#DIV/0!</v>
      </c>
      <c r="R564" s="22" t="e">
        <f t="shared" si="887"/>
        <v>#DIV/0!</v>
      </c>
      <c r="S564" s="22" t="e">
        <f t="shared" si="887"/>
        <v>#DIV/0!</v>
      </c>
      <c r="T564" s="22" t="e">
        <f t="shared" si="887"/>
        <v>#DIV/0!</v>
      </c>
      <c r="U564" s="22" t="e">
        <f t="shared" si="887"/>
        <v>#DIV/0!</v>
      </c>
      <c r="AD564" s="22">
        <v>0.1</v>
      </c>
    </row>
    <row r="565" spans="1:30" x14ac:dyDescent="0.2">
      <c r="A565" s="17"/>
      <c r="B565" s="17" t="s">
        <v>48</v>
      </c>
      <c r="C565" s="17"/>
      <c r="D565" s="17"/>
      <c r="E565" s="17"/>
      <c r="F565" s="17"/>
      <c r="G565" s="17"/>
      <c r="H565" s="17"/>
      <c r="I565" s="17"/>
      <c r="J565" s="17"/>
      <c r="K565" s="17">
        <v>17287</v>
      </c>
      <c r="L565" s="17">
        <v>2495</v>
      </c>
      <c r="M565" s="17">
        <v>6717</v>
      </c>
      <c r="N565" s="17">
        <v>5919</v>
      </c>
      <c r="O565" s="17">
        <v>18406</v>
      </c>
      <c r="P565" s="17">
        <v>2939</v>
      </c>
      <c r="Q565" s="17">
        <v>7375</v>
      </c>
      <c r="R565" s="17">
        <v>9468</v>
      </c>
      <c r="S565" s="17">
        <v>22683</v>
      </c>
      <c r="T565" s="17">
        <v>5645</v>
      </c>
      <c r="U565" s="17">
        <v>10759</v>
      </c>
      <c r="W565" t="s">
        <v>328</v>
      </c>
      <c r="X565" s="49">
        <f>X557/X554</f>
        <v>0.23002014775016788</v>
      </c>
      <c r="Y565" s="49">
        <f>(Y557+X557)/(Y554+X554)</f>
        <v>0.20634314100114637</v>
      </c>
      <c r="Z565" s="49">
        <f>SUM(X557:Z557)/SUM(X554:Z554)</f>
        <v>0.16898894233153172</v>
      </c>
      <c r="AA565" s="49">
        <f>SUM(X557:AA557)/SUM(X554:AA554)</f>
        <v>0.18558660004222674</v>
      </c>
      <c r="AB565" s="49">
        <f>AB557/AB554</f>
        <v>0.17495173745173745</v>
      </c>
      <c r="AC565" s="49">
        <f>(AC557+AB557)/(AC554+AB554)</f>
        <v>0.15182940516273849</v>
      </c>
      <c r="AD565" s="22">
        <v>0.15</v>
      </c>
    </row>
    <row r="566" spans="1:30" x14ac:dyDescent="0.2">
      <c r="B566" t="s">
        <v>49</v>
      </c>
      <c r="C566" s="22"/>
      <c r="D566" s="22"/>
      <c r="E566" s="22"/>
      <c r="F566" s="22"/>
      <c r="G566" s="22"/>
      <c r="H566" s="22"/>
      <c r="I566" s="22"/>
      <c r="J566" s="22"/>
      <c r="K566" s="22" t="e">
        <f t="shared" ref="K566:U566" si="888">K565/G565-1</f>
        <v>#DIV/0!</v>
      </c>
      <c r="L566" s="22" t="e">
        <f t="shared" si="888"/>
        <v>#DIV/0!</v>
      </c>
      <c r="M566" s="22" t="e">
        <f t="shared" si="888"/>
        <v>#DIV/0!</v>
      </c>
      <c r="N566" s="22" t="e">
        <f t="shared" si="888"/>
        <v>#DIV/0!</v>
      </c>
      <c r="O566" s="22">
        <f t="shared" si="888"/>
        <v>6.4730722508243188E-2</v>
      </c>
      <c r="P566" s="22">
        <f t="shared" si="888"/>
        <v>0.17795591182364734</v>
      </c>
      <c r="Q566" s="22">
        <f t="shared" si="888"/>
        <v>9.7960398987643194E-2</v>
      </c>
      <c r="R566" s="22">
        <f t="shared" si="888"/>
        <v>0.59959452610238206</v>
      </c>
      <c r="S566" s="22">
        <f t="shared" si="888"/>
        <v>0.23236987938715625</v>
      </c>
      <c r="T566" s="22">
        <f t="shared" si="888"/>
        <v>0.92072133378700238</v>
      </c>
      <c r="U566" s="22">
        <f t="shared" si="888"/>
        <v>0.45884745762711865</v>
      </c>
      <c r="W566" s="24" t="s">
        <v>329</v>
      </c>
      <c r="X566" s="49">
        <f>X558/X554</f>
        <v>0.15614506380120888</v>
      </c>
      <c r="Y566" s="49">
        <f>(Y558+X558)/(Y554+X554)</f>
        <v>0.1780664883454337</v>
      </c>
      <c r="Z566" s="49">
        <f>SUM(X558:Z558)/SUM(X554:Z554)</f>
        <v>0.20434372985570487</v>
      </c>
      <c r="AA566" s="49">
        <f>SUM(X558:AA558)/SUM(X554:AA554)</f>
        <v>0.21430079527060311</v>
      </c>
      <c r="AB566" s="49">
        <f>AB558/AB554</f>
        <v>0.1821911196911197</v>
      </c>
      <c r="AC566" s="49">
        <f>(AC558+AB558)/(AC554+AB554)</f>
        <v>0.11712682379349046</v>
      </c>
    </row>
    <row r="567" spans="1:30" x14ac:dyDescent="0.2">
      <c r="B567" t="s">
        <v>52</v>
      </c>
      <c r="C567" s="22"/>
      <c r="D567" s="22"/>
      <c r="E567" s="22"/>
      <c r="F567" s="22"/>
      <c r="G567" s="22"/>
      <c r="H567" s="22"/>
      <c r="I567" s="22"/>
      <c r="J567" s="22"/>
      <c r="K567" s="22"/>
      <c r="L567" s="22">
        <f t="shared" ref="L567:U567" si="889">L565/K565-1</f>
        <v>-0.85567189217330941</v>
      </c>
      <c r="M567" s="22">
        <f t="shared" si="889"/>
        <v>1.6921843687374749</v>
      </c>
      <c r="N567" s="22">
        <f t="shared" si="889"/>
        <v>-0.11880303707012063</v>
      </c>
      <c r="O567" s="22">
        <f t="shared" si="889"/>
        <v>2.109646899814158</v>
      </c>
      <c r="P567" s="22">
        <f t="shared" si="889"/>
        <v>-0.84032380745409108</v>
      </c>
      <c r="Q567" s="22">
        <f t="shared" si="889"/>
        <v>1.5093569241238516</v>
      </c>
      <c r="R567" s="22">
        <f t="shared" si="889"/>
        <v>0.28379661016949154</v>
      </c>
      <c r="S567" s="22">
        <f t="shared" si="889"/>
        <v>1.3957541191381497</v>
      </c>
      <c r="T567" s="22">
        <f t="shared" si="889"/>
        <v>-0.75113521139179118</v>
      </c>
      <c r="U567" s="22">
        <f t="shared" si="889"/>
        <v>0.90593445527015048</v>
      </c>
      <c r="W567" t="s">
        <v>327</v>
      </c>
      <c r="X567">
        <f>X554-X557-X558</f>
        <v>36.56</v>
      </c>
      <c r="Y567">
        <f>Y554-Y557-Y558</f>
        <v>43.989999999999995</v>
      </c>
      <c r="Z567">
        <f>Z554-Z557-Z558</f>
        <v>45.83</v>
      </c>
      <c r="AA567">
        <f>AA554-AA557-AA558</f>
        <v>44.160000000000025</v>
      </c>
      <c r="AB567">
        <f>AB554-AB557-AB558</f>
        <v>53.279999999999994</v>
      </c>
      <c r="AC567">
        <f>AC554-AC557-AC558</f>
        <v>109.56000000000002</v>
      </c>
      <c r="AD567" s="50">
        <v>90</v>
      </c>
    </row>
    <row r="568" spans="1:30" x14ac:dyDescent="0.2">
      <c r="B568" s="17" t="s">
        <v>50</v>
      </c>
      <c r="C568" s="17"/>
      <c r="D568" s="17"/>
      <c r="E568" s="17"/>
      <c r="F568" s="17"/>
      <c r="G568" s="23"/>
      <c r="H568" s="23"/>
      <c r="I568" s="23"/>
      <c r="J568" s="23"/>
      <c r="K568" s="23" t="e">
        <f t="shared" ref="K568:U568" si="890">AVERAGE(H565:K565)/AVERAGE(G565:J565)-1</f>
        <v>#DIV/0!</v>
      </c>
      <c r="L568" s="23">
        <f t="shared" si="890"/>
        <v>-0.42783594608665476</v>
      </c>
      <c r="M568" s="23">
        <f t="shared" si="890"/>
        <v>-0.10696592862197962</v>
      </c>
      <c r="N568" s="23">
        <f t="shared" si="890"/>
        <v>-8.2474810370202656E-2</v>
      </c>
      <c r="O568" s="23">
        <f t="shared" si="890"/>
        <v>3.4517860447899285E-2</v>
      </c>
      <c r="P568" s="23">
        <f t="shared" si="890"/>
        <v>1.3239109043742703E-2</v>
      </c>
      <c r="Q568" s="23">
        <f t="shared" si="890"/>
        <v>1.9363762102351245E-2</v>
      </c>
      <c r="R568" s="23">
        <f t="shared" si="890"/>
        <v>0.1024567683824591</v>
      </c>
      <c r="S568" s="23">
        <f t="shared" si="890"/>
        <v>0.11199853357075518</v>
      </c>
      <c r="T568" s="23">
        <f t="shared" si="890"/>
        <v>6.3723066054397703E-2</v>
      </c>
      <c r="U568" s="23">
        <f t="shared" si="890"/>
        <v>7.4915321777246469E-2</v>
      </c>
      <c r="AC568">
        <v>90</v>
      </c>
    </row>
    <row r="569" spans="1:30" ht="13.5" thickBot="1" x14ac:dyDescent="0.25">
      <c r="W569" t="s">
        <v>331</v>
      </c>
    </row>
    <row r="570" spans="1:30" ht="13.5" thickBot="1" x14ac:dyDescent="0.25">
      <c r="A570" s="24" t="s">
        <v>0</v>
      </c>
      <c r="B570" s="25"/>
      <c r="C570" s="24" t="s">
        <v>30</v>
      </c>
      <c r="D570" s="24" t="s">
        <v>31</v>
      </c>
      <c r="E570" s="24" t="s">
        <v>32</v>
      </c>
      <c r="F570" s="24" t="s">
        <v>33</v>
      </c>
      <c r="G570" s="24" t="s">
        <v>34</v>
      </c>
      <c r="H570" s="24" t="s">
        <v>35</v>
      </c>
      <c r="I570" s="24" t="s">
        <v>36</v>
      </c>
      <c r="J570" s="24" t="s">
        <v>37</v>
      </c>
      <c r="K570" s="24" t="s">
        <v>38</v>
      </c>
      <c r="L570" s="24" t="s">
        <v>39</v>
      </c>
      <c r="M570" s="24" t="s">
        <v>40</v>
      </c>
      <c r="N570" s="24" t="s">
        <v>41</v>
      </c>
      <c r="O570" s="24" t="s">
        <v>42</v>
      </c>
      <c r="P570" s="24" t="s">
        <v>43</v>
      </c>
      <c r="Q570" s="24" t="s">
        <v>44</v>
      </c>
      <c r="R570" s="24" t="s">
        <v>45</v>
      </c>
      <c r="S570" s="24" t="s">
        <v>46</v>
      </c>
      <c r="T570" s="24" t="s">
        <v>47</v>
      </c>
      <c r="U570" s="24" t="s">
        <v>19</v>
      </c>
      <c r="W570" s="24" t="s">
        <v>332</v>
      </c>
    </row>
    <row r="571" spans="1:30" x14ac:dyDescent="0.2">
      <c r="A571" s="17"/>
      <c r="B571" s="17" t="s">
        <v>51</v>
      </c>
      <c r="C571" s="17"/>
      <c r="D571" s="17"/>
      <c r="E571" s="17"/>
      <c r="F571" s="17"/>
      <c r="G571" s="17"/>
      <c r="H571" s="17"/>
      <c r="I571" s="17"/>
      <c r="J571" s="17"/>
      <c r="K571" s="17"/>
      <c r="L571" s="17"/>
      <c r="M571" s="17"/>
      <c r="N571" s="17"/>
      <c r="O571" s="17"/>
      <c r="P571" s="17"/>
      <c r="Q571" s="17"/>
      <c r="R571" s="17"/>
      <c r="S571" s="17"/>
      <c r="T571" s="17"/>
      <c r="U571" s="17"/>
    </row>
    <row r="572" spans="1:30" x14ac:dyDescent="0.2">
      <c r="B572" t="s">
        <v>49</v>
      </c>
      <c r="C572" s="22"/>
      <c r="D572" s="22"/>
      <c r="E572" s="22"/>
      <c r="F572" s="22"/>
      <c r="G572" s="22"/>
      <c r="H572" s="22"/>
      <c r="I572" s="22"/>
      <c r="J572" s="22"/>
      <c r="K572" s="22" t="e">
        <f t="shared" ref="K572" si="891">K571/G571-1</f>
        <v>#DIV/0!</v>
      </c>
      <c r="L572" s="22" t="e">
        <f t="shared" ref="L572" si="892">L571/H571-1</f>
        <v>#DIV/0!</v>
      </c>
      <c r="M572" s="22" t="e">
        <f t="shared" ref="M572" si="893">M571/I571-1</f>
        <v>#DIV/0!</v>
      </c>
      <c r="N572" s="22" t="e">
        <f t="shared" ref="N572" si="894">N571/J571-1</f>
        <v>#DIV/0!</v>
      </c>
      <c r="O572" s="22" t="e">
        <f t="shared" ref="O572" si="895">O571/K571-1</f>
        <v>#DIV/0!</v>
      </c>
      <c r="P572" s="22" t="e">
        <f t="shared" ref="P572" si="896">P571/L571-1</f>
        <v>#DIV/0!</v>
      </c>
      <c r="Q572" s="22" t="e">
        <f t="shared" ref="Q572" si="897">Q571/M571-1</f>
        <v>#DIV/0!</v>
      </c>
      <c r="R572" s="22" t="e">
        <f t="shared" ref="R572" si="898">R571/N571-1</f>
        <v>#DIV/0!</v>
      </c>
      <c r="S572" s="22" t="e">
        <f t="shared" ref="S572" si="899">S571/O571-1</f>
        <v>#DIV/0!</v>
      </c>
      <c r="T572" s="22" t="e">
        <f t="shared" ref="T572" si="900">T571/P571-1</f>
        <v>#DIV/0!</v>
      </c>
      <c r="U572" s="22" t="e">
        <f t="shared" ref="U572" si="901">U571/Q571-1</f>
        <v>#DIV/0!</v>
      </c>
    </row>
    <row r="573" spans="1:30" x14ac:dyDescent="0.2">
      <c r="B573" t="s">
        <v>52</v>
      </c>
      <c r="C573" s="22"/>
      <c r="D573" s="22"/>
      <c r="E573" s="22"/>
      <c r="F573" s="22"/>
      <c r="G573" s="22"/>
      <c r="H573" s="22"/>
      <c r="I573" s="22"/>
      <c r="J573" s="22"/>
      <c r="K573" s="22"/>
      <c r="L573" s="22" t="e">
        <f t="shared" ref="L573" si="902">L571/K571-1</f>
        <v>#DIV/0!</v>
      </c>
      <c r="M573" s="22" t="e">
        <f t="shared" ref="M573" si="903">M571/L571-1</f>
        <v>#DIV/0!</v>
      </c>
      <c r="N573" s="22" t="e">
        <f t="shared" ref="N573" si="904">N571/M571-1</f>
        <v>#DIV/0!</v>
      </c>
      <c r="O573" s="22" t="e">
        <f t="shared" ref="O573" si="905">O571/N571-1</f>
        <v>#DIV/0!</v>
      </c>
      <c r="P573" s="22" t="e">
        <f t="shared" ref="P573" si="906">P571/O571-1</f>
        <v>#DIV/0!</v>
      </c>
      <c r="Q573" s="22" t="e">
        <f t="shared" ref="Q573" si="907">Q571/P571-1</f>
        <v>#DIV/0!</v>
      </c>
      <c r="R573" s="22" t="e">
        <f t="shared" ref="R573" si="908">R571/Q571-1</f>
        <v>#DIV/0!</v>
      </c>
      <c r="S573" s="22" t="e">
        <f t="shared" ref="S573" si="909">S571/R571-1</f>
        <v>#DIV/0!</v>
      </c>
      <c r="T573" s="22" t="e">
        <f t="shared" ref="T573" si="910">T571/S571-1</f>
        <v>#DIV/0!</v>
      </c>
      <c r="U573" s="22" t="e">
        <f t="shared" ref="U573" si="911">U571/T571-1</f>
        <v>#DIV/0!</v>
      </c>
    </row>
    <row r="574" spans="1:30" x14ac:dyDescent="0.2">
      <c r="A574" s="17"/>
      <c r="B574" s="17" t="s">
        <v>48</v>
      </c>
      <c r="C574" s="17"/>
      <c r="D574" s="17"/>
      <c r="E574" s="17"/>
      <c r="F574" s="17"/>
      <c r="G574" s="17"/>
      <c r="H574" s="17"/>
      <c r="I574" s="17"/>
      <c r="J574" s="17"/>
      <c r="K574" s="17"/>
      <c r="L574" s="17"/>
      <c r="M574" s="17"/>
      <c r="N574" s="17"/>
      <c r="O574" s="17"/>
      <c r="P574" s="17"/>
      <c r="Q574" s="17"/>
      <c r="R574" s="17"/>
      <c r="S574" s="17"/>
      <c r="T574" s="17"/>
      <c r="U574" s="17"/>
    </row>
    <row r="575" spans="1:30" x14ac:dyDescent="0.2">
      <c r="B575" t="s">
        <v>49</v>
      </c>
      <c r="C575" s="22"/>
      <c r="D575" s="22"/>
      <c r="E575" s="22"/>
      <c r="F575" s="22"/>
      <c r="G575" s="22"/>
      <c r="H575" s="22"/>
      <c r="I575" s="22"/>
      <c r="J575" s="22"/>
      <c r="K575" s="22" t="e">
        <f t="shared" ref="K575" si="912">K574/G574-1</f>
        <v>#DIV/0!</v>
      </c>
      <c r="L575" s="22" t="e">
        <f t="shared" ref="L575" si="913">L574/H574-1</f>
        <v>#DIV/0!</v>
      </c>
      <c r="M575" s="22" t="e">
        <f t="shared" ref="M575" si="914">M574/I574-1</f>
        <v>#DIV/0!</v>
      </c>
      <c r="N575" s="22" t="e">
        <f t="shared" ref="N575" si="915">N574/J574-1</f>
        <v>#DIV/0!</v>
      </c>
      <c r="O575" s="22" t="e">
        <f t="shared" ref="O575" si="916">O574/K574-1</f>
        <v>#DIV/0!</v>
      </c>
      <c r="P575" s="22" t="e">
        <f t="shared" ref="P575" si="917">P574/L574-1</f>
        <v>#DIV/0!</v>
      </c>
      <c r="Q575" s="22" t="e">
        <f t="shared" ref="Q575" si="918">Q574/M574-1</f>
        <v>#DIV/0!</v>
      </c>
      <c r="R575" s="22" t="e">
        <f t="shared" ref="R575" si="919">R574/N574-1</f>
        <v>#DIV/0!</v>
      </c>
      <c r="S575" s="22" t="e">
        <f t="shared" ref="S575" si="920">S574/O574-1</f>
        <v>#DIV/0!</v>
      </c>
      <c r="T575" s="22" t="e">
        <f t="shared" ref="T575" si="921">T574/P574-1</f>
        <v>#DIV/0!</v>
      </c>
      <c r="U575" s="22" t="e">
        <f t="shared" ref="U575" si="922">U574/Q574-1</f>
        <v>#DIV/0!</v>
      </c>
    </row>
    <row r="576" spans="1:30" x14ac:dyDescent="0.2">
      <c r="B576" t="s">
        <v>52</v>
      </c>
      <c r="C576" s="22"/>
      <c r="D576" s="22"/>
      <c r="E576" s="22"/>
      <c r="F576" s="22"/>
      <c r="G576" s="22"/>
      <c r="H576" s="22"/>
      <c r="I576" s="22"/>
      <c r="J576" s="22"/>
      <c r="K576" s="22"/>
      <c r="L576" s="22" t="e">
        <f t="shared" ref="L576" si="923">L574/K574-1</f>
        <v>#DIV/0!</v>
      </c>
      <c r="M576" s="22" t="e">
        <f t="shared" ref="M576" si="924">M574/L574-1</f>
        <v>#DIV/0!</v>
      </c>
      <c r="N576" s="22" t="e">
        <f t="shared" ref="N576" si="925">N574/M574-1</f>
        <v>#DIV/0!</v>
      </c>
      <c r="O576" s="22" t="e">
        <f t="shared" ref="O576" si="926">O574/N574-1</f>
        <v>#DIV/0!</v>
      </c>
      <c r="P576" s="22" t="e">
        <f t="shared" ref="P576" si="927">P574/O574-1</f>
        <v>#DIV/0!</v>
      </c>
      <c r="Q576" s="22" t="e">
        <f t="shared" ref="Q576" si="928">Q574/P574-1</f>
        <v>#DIV/0!</v>
      </c>
      <c r="R576" s="22" t="e">
        <f t="shared" ref="R576" si="929">R574/Q574-1</f>
        <v>#DIV/0!</v>
      </c>
      <c r="S576" s="22" t="e">
        <f t="shared" ref="S576" si="930">S574/R574-1</f>
        <v>#DIV/0!</v>
      </c>
      <c r="T576" s="22" t="e">
        <f t="shared" ref="T576" si="931">T574/S574-1</f>
        <v>#DIV/0!</v>
      </c>
      <c r="U576" s="22" t="e">
        <f t="shared" ref="U576" si="932">U574/T574-1</f>
        <v>#DIV/0!</v>
      </c>
    </row>
    <row r="577" spans="1:21" x14ac:dyDescent="0.2">
      <c r="B577" s="17" t="s">
        <v>50</v>
      </c>
      <c r="C577" s="17"/>
      <c r="D577" s="17"/>
      <c r="E577" s="17"/>
      <c r="F577" s="17"/>
      <c r="G577" s="23"/>
      <c r="H577" s="23"/>
      <c r="I577" s="23"/>
      <c r="J577" s="23"/>
      <c r="K577" s="23" t="e">
        <f t="shared" ref="K577" si="933">AVERAGE(H574:K574)/AVERAGE(G574:J574)-1</f>
        <v>#DIV/0!</v>
      </c>
      <c r="L577" s="23" t="e">
        <f t="shared" ref="L577" si="934">AVERAGE(I574:L574)/AVERAGE(H574:K574)-1</f>
        <v>#DIV/0!</v>
      </c>
      <c r="M577" s="23" t="e">
        <f t="shared" ref="M577" si="935">AVERAGE(J574:M574)/AVERAGE(I574:L574)-1</f>
        <v>#DIV/0!</v>
      </c>
      <c r="N577" s="23" t="e">
        <f t="shared" ref="N577" si="936">AVERAGE(K574:N574)/AVERAGE(J574:M574)-1</f>
        <v>#DIV/0!</v>
      </c>
      <c r="O577" s="23" t="e">
        <f t="shared" ref="O577" si="937">AVERAGE(L574:O574)/AVERAGE(K574:N574)-1</f>
        <v>#DIV/0!</v>
      </c>
      <c r="P577" s="23" t="e">
        <f t="shared" ref="P577" si="938">AVERAGE(M574:P574)/AVERAGE(L574:O574)-1</f>
        <v>#DIV/0!</v>
      </c>
      <c r="Q577" s="23" t="e">
        <f t="shared" ref="Q577" si="939">AVERAGE(N574:Q574)/AVERAGE(M574:P574)-1</f>
        <v>#DIV/0!</v>
      </c>
      <c r="R577" s="23" t="e">
        <f t="shared" ref="R577" si="940">AVERAGE(O574:R574)/AVERAGE(N574:Q574)-1</f>
        <v>#DIV/0!</v>
      </c>
      <c r="S577" s="23" t="e">
        <f t="shared" ref="S577" si="941">AVERAGE(P574:S574)/AVERAGE(O574:R574)-1</f>
        <v>#DIV/0!</v>
      </c>
      <c r="T577" s="23" t="e">
        <f t="shared" ref="T577" si="942">AVERAGE(Q574:T574)/AVERAGE(P574:S574)-1</f>
        <v>#DIV/0!</v>
      </c>
      <c r="U577" s="23" t="e">
        <f t="shared" ref="U577" si="943">AVERAGE(R574:U574)/AVERAGE(Q574:T574)-1</f>
        <v>#DIV/0!</v>
      </c>
    </row>
    <row r="578" spans="1:21" ht="13.5" thickBot="1" x14ac:dyDescent="0.25"/>
    <row r="579" spans="1:21" ht="13.5" thickBot="1" x14ac:dyDescent="0.25">
      <c r="A579" s="24" t="s">
        <v>0</v>
      </c>
      <c r="B579" s="25"/>
      <c r="C579" s="24" t="s">
        <v>30</v>
      </c>
      <c r="D579" s="24" t="s">
        <v>31</v>
      </c>
      <c r="E579" s="24" t="s">
        <v>32</v>
      </c>
      <c r="F579" s="24" t="s">
        <v>33</v>
      </c>
      <c r="G579" s="24" t="s">
        <v>34</v>
      </c>
      <c r="H579" s="24" t="s">
        <v>35</v>
      </c>
      <c r="I579" s="24" t="s">
        <v>36</v>
      </c>
      <c r="J579" s="24" t="s">
        <v>37</v>
      </c>
      <c r="K579" s="24" t="s">
        <v>38</v>
      </c>
      <c r="L579" s="24" t="s">
        <v>39</v>
      </c>
      <c r="M579" s="24" t="s">
        <v>40</v>
      </c>
      <c r="N579" s="24" t="s">
        <v>41</v>
      </c>
      <c r="O579" s="24" t="s">
        <v>42</v>
      </c>
      <c r="P579" s="24" t="s">
        <v>43</v>
      </c>
      <c r="Q579" s="24" t="s">
        <v>44</v>
      </c>
      <c r="R579" s="24" t="s">
        <v>45</v>
      </c>
      <c r="S579" s="24" t="s">
        <v>46</v>
      </c>
      <c r="T579" s="24" t="s">
        <v>47</v>
      </c>
      <c r="U579" s="24" t="s">
        <v>19</v>
      </c>
    </row>
    <row r="580" spans="1:21" x14ac:dyDescent="0.2">
      <c r="A580" s="17"/>
      <c r="B580" s="17" t="s">
        <v>51</v>
      </c>
      <c r="C580" s="17"/>
      <c r="D580" s="17"/>
      <c r="E580" s="17"/>
      <c r="F580" s="17"/>
      <c r="G580" s="17"/>
      <c r="H580" s="17"/>
      <c r="I580" s="17"/>
      <c r="J580" s="17"/>
      <c r="K580" s="17"/>
      <c r="L580" s="17"/>
      <c r="M580" s="17"/>
      <c r="N580" s="17"/>
      <c r="O580" s="17"/>
      <c r="P580" s="17"/>
      <c r="Q580" s="17"/>
      <c r="R580" s="17"/>
      <c r="S580" s="17"/>
      <c r="T580" s="17"/>
      <c r="U580" s="17"/>
    </row>
    <row r="581" spans="1:21" x14ac:dyDescent="0.2">
      <c r="B581" t="s">
        <v>49</v>
      </c>
      <c r="C581" s="22"/>
      <c r="D581" s="22"/>
      <c r="E581" s="22"/>
      <c r="F581" s="22"/>
      <c r="G581" s="22"/>
      <c r="H581" s="22"/>
      <c r="I581" s="22"/>
      <c r="J581" s="22"/>
      <c r="K581" s="22" t="e">
        <f t="shared" ref="K581" si="944">K580/G580-1</f>
        <v>#DIV/0!</v>
      </c>
      <c r="L581" s="22" t="e">
        <f t="shared" ref="L581" si="945">L580/H580-1</f>
        <v>#DIV/0!</v>
      </c>
      <c r="M581" s="22" t="e">
        <f t="shared" ref="M581" si="946">M580/I580-1</f>
        <v>#DIV/0!</v>
      </c>
      <c r="N581" s="22" t="e">
        <f t="shared" ref="N581" si="947">N580/J580-1</f>
        <v>#DIV/0!</v>
      </c>
      <c r="O581" s="22" t="e">
        <f t="shared" ref="O581" si="948">O580/K580-1</f>
        <v>#DIV/0!</v>
      </c>
      <c r="P581" s="22" t="e">
        <f t="shared" ref="P581" si="949">P580/L580-1</f>
        <v>#DIV/0!</v>
      </c>
      <c r="Q581" s="22" t="e">
        <f t="shared" ref="Q581" si="950">Q580/M580-1</f>
        <v>#DIV/0!</v>
      </c>
      <c r="R581" s="22" t="e">
        <f t="shared" ref="R581" si="951">R580/N580-1</f>
        <v>#DIV/0!</v>
      </c>
      <c r="S581" s="22" t="e">
        <f t="shared" ref="S581" si="952">S580/O580-1</f>
        <v>#DIV/0!</v>
      </c>
      <c r="T581" s="22" t="e">
        <f t="shared" ref="T581" si="953">T580/P580-1</f>
        <v>#DIV/0!</v>
      </c>
      <c r="U581" s="22" t="e">
        <f t="shared" ref="U581" si="954">U580/Q580-1</f>
        <v>#DIV/0!</v>
      </c>
    </row>
    <row r="582" spans="1:21" x14ac:dyDescent="0.2">
      <c r="B582" t="s">
        <v>52</v>
      </c>
      <c r="C582" s="22"/>
      <c r="D582" s="22"/>
      <c r="E582" s="22"/>
      <c r="F582" s="22"/>
      <c r="G582" s="22"/>
      <c r="H582" s="22"/>
      <c r="I582" s="22"/>
      <c r="J582" s="22"/>
      <c r="K582" s="22"/>
      <c r="L582" s="22" t="e">
        <f t="shared" ref="L582" si="955">L580/K580-1</f>
        <v>#DIV/0!</v>
      </c>
      <c r="M582" s="22" t="e">
        <f t="shared" ref="M582" si="956">M580/L580-1</f>
        <v>#DIV/0!</v>
      </c>
      <c r="N582" s="22" t="e">
        <f t="shared" ref="N582" si="957">N580/M580-1</f>
        <v>#DIV/0!</v>
      </c>
      <c r="O582" s="22" t="e">
        <f t="shared" ref="O582" si="958">O580/N580-1</f>
        <v>#DIV/0!</v>
      </c>
      <c r="P582" s="22" t="e">
        <f t="shared" ref="P582" si="959">P580/O580-1</f>
        <v>#DIV/0!</v>
      </c>
      <c r="Q582" s="22" t="e">
        <f t="shared" ref="Q582" si="960">Q580/P580-1</f>
        <v>#DIV/0!</v>
      </c>
      <c r="R582" s="22" t="e">
        <f t="shared" ref="R582" si="961">R580/Q580-1</f>
        <v>#DIV/0!</v>
      </c>
      <c r="S582" s="22" t="e">
        <f t="shared" ref="S582" si="962">S580/R580-1</f>
        <v>#DIV/0!</v>
      </c>
      <c r="T582" s="22" t="e">
        <f t="shared" ref="T582" si="963">T580/S580-1</f>
        <v>#DIV/0!</v>
      </c>
      <c r="U582" s="22" t="e">
        <f t="shared" ref="U582" si="964">U580/T580-1</f>
        <v>#DIV/0!</v>
      </c>
    </row>
    <row r="583" spans="1:21" x14ac:dyDescent="0.2">
      <c r="A583" s="17"/>
      <c r="B583" s="17" t="s">
        <v>48</v>
      </c>
      <c r="C583" s="17"/>
      <c r="D583" s="17"/>
      <c r="E583" s="17"/>
      <c r="F583" s="17"/>
      <c r="G583" s="17"/>
      <c r="H583" s="17"/>
      <c r="I583" s="17"/>
      <c r="J583" s="17"/>
      <c r="K583" s="17"/>
      <c r="L583" s="17"/>
      <c r="M583" s="17"/>
      <c r="N583" s="17"/>
      <c r="O583" s="17"/>
      <c r="P583" s="17"/>
      <c r="Q583" s="17"/>
      <c r="R583" s="17"/>
      <c r="S583" s="17"/>
      <c r="T583" s="17"/>
      <c r="U583" s="17"/>
    </row>
    <row r="584" spans="1:21" x14ac:dyDescent="0.2">
      <c r="B584" t="s">
        <v>49</v>
      </c>
      <c r="C584" s="22"/>
      <c r="D584" s="22"/>
      <c r="E584" s="22"/>
      <c r="F584" s="22"/>
      <c r="G584" s="22"/>
      <c r="H584" s="22"/>
      <c r="I584" s="22"/>
      <c r="J584" s="22"/>
      <c r="K584" s="22" t="e">
        <f t="shared" ref="K584" si="965">K583/G583-1</f>
        <v>#DIV/0!</v>
      </c>
      <c r="L584" s="22" t="e">
        <f t="shared" ref="L584" si="966">L583/H583-1</f>
        <v>#DIV/0!</v>
      </c>
      <c r="M584" s="22" t="e">
        <f t="shared" ref="M584" si="967">M583/I583-1</f>
        <v>#DIV/0!</v>
      </c>
      <c r="N584" s="22" t="e">
        <f t="shared" ref="N584" si="968">N583/J583-1</f>
        <v>#DIV/0!</v>
      </c>
      <c r="O584" s="22" t="e">
        <f t="shared" ref="O584" si="969">O583/K583-1</f>
        <v>#DIV/0!</v>
      </c>
      <c r="P584" s="22" t="e">
        <f t="shared" ref="P584" si="970">P583/L583-1</f>
        <v>#DIV/0!</v>
      </c>
      <c r="Q584" s="22" t="e">
        <f t="shared" ref="Q584" si="971">Q583/M583-1</f>
        <v>#DIV/0!</v>
      </c>
      <c r="R584" s="22" t="e">
        <f t="shared" ref="R584" si="972">R583/N583-1</f>
        <v>#DIV/0!</v>
      </c>
      <c r="S584" s="22" t="e">
        <f t="shared" ref="S584" si="973">S583/O583-1</f>
        <v>#DIV/0!</v>
      </c>
      <c r="T584" s="22" t="e">
        <f t="shared" ref="T584" si="974">T583/P583-1</f>
        <v>#DIV/0!</v>
      </c>
      <c r="U584" s="22" t="e">
        <f t="shared" ref="U584" si="975">U583/Q583-1</f>
        <v>#DIV/0!</v>
      </c>
    </row>
    <row r="585" spans="1:21" x14ac:dyDescent="0.2">
      <c r="B585" t="s">
        <v>52</v>
      </c>
      <c r="C585" s="22"/>
      <c r="D585" s="22"/>
      <c r="E585" s="22"/>
      <c r="F585" s="22"/>
      <c r="G585" s="22"/>
      <c r="H585" s="22"/>
      <c r="I585" s="22"/>
      <c r="J585" s="22"/>
      <c r="K585" s="22"/>
      <c r="L585" s="22" t="e">
        <f t="shared" ref="L585" si="976">L583/K583-1</f>
        <v>#DIV/0!</v>
      </c>
      <c r="M585" s="22" t="e">
        <f t="shared" ref="M585" si="977">M583/L583-1</f>
        <v>#DIV/0!</v>
      </c>
      <c r="N585" s="22" t="e">
        <f t="shared" ref="N585" si="978">N583/M583-1</f>
        <v>#DIV/0!</v>
      </c>
      <c r="O585" s="22" t="e">
        <f t="shared" ref="O585" si="979">O583/N583-1</f>
        <v>#DIV/0!</v>
      </c>
      <c r="P585" s="22" t="e">
        <f t="shared" ref="P585" si="980">P583/O583-1</f>
        <v>#DIV/0!</v>
      </c>
      <c r="Q585" s="22" t="e">
        <f t="shared" ref="Q585" si="981">Q583/P583-1</f>
        <v>#DIV/0!</v>
      </c>
      <c r="R585" s="22" t="e">
        <f t="shared" ref="R585" si="982">R583/Q583-1</f>
        <v>#DIV/0!</v>
      </c>
      <c r="S585" s="22" t="e">
        <f t="shared" ref="S585" si="983">S583/R583-1</f>
        <v>#DIV/0!</v>
      </c>
      <c r="T585" s="22" t="e">
        <f t="shared" ref="T585" si="984">T583/S583-1</f>
        <v>#DIV/0!</v>
      </c>
      <c r="U585" s="22" t="e">
        <f t="shared" ref="U585" si="985">U583/T583-1</f>
        <v>#DIV/0!</v>
      </c>
    </row>
    <row r="586" spans="1:21" x14ac:dyDescent="0.2">
      <c r="B586" s="17" t="s">
        <v>50</v>
      </c>
      <c r="C586" s="17"/>
      <c r="D586" s="17"/>
      <c r="E586" s="17"/>
      <c r="F586" s="17"/>
      <c r="G586" s="23"/>
      <c r="H586" s="23"/>
      <c r="I586" s="23"/>
      <c r="J586" s="23"/>
      <c r="K586" s="23" t="e">
        <f t="shared" ref="K586" si="986">AVERAGE(H583:K583)/AVERAGE(G583:J583)-1</f>
        <v>#DIV/0!</v>
      </c>
      <c r="L586" s="23" t="e">
        <f t="shared" ref="L586" si="987">AVERAGE(I583:L583)/AVERAGE(H583:K583)-1</f>
        <v>#DIV/0!</v>
      </c>
      <c r="M586" s="23" t="e">
        <f t="shared" ref="M586" si="988">AVERAGE(J583:M583)/AVERAGE(I583:L583)-1</f>
        <v>#DIV/0!</v>
      </c>
      <c r="N586" s="23" t="e">
        <f t="shared" ref="N586" si="989">AVERAGE(K583:N583)/AVERAGE(J583:M583)-1</f>
        <v>#DIV/0!</v>
      </c>
      <c r="O586" s="23" t="e">
        <f t="shared" ref="O586" si="990">AVERAGE(L583:O583)/AVERAGE(K583:N583)-1</f>
        <v>#DIV/0!</v>
      </c>
      <c r="P586" s="23" t="e">
        <f t="shared" ref="P586" si="991">AVERAGE(M583:P583)/AVERAGE(L583:O583)-1</f>
        <v>#DIV/0!</v>
      </c>
      <c r="Q586" s="23" t="e">
        <f t="shared" ref="Q586" si="992">AVERAGE(N583:Q583)/AVERAGE(M583:P583)-1</f>
        <v>#DIV/0!</v>
      </c>
      <c r="R586" s="23" t="e">
        <f t="shared" ref="R586" si="993">AVERAGE(O583:R583)/AVERAGE(N583:Q583)-1</f>
        <v>#DIV/0!</v>
      </c>
      <c r="S586" s="23" t="e">
        <f t="shared" ref="S586" si="994">AVERAGE(P583:S583)/AVERAGE(O583:R583)-1</f>
        <v>#DIV/0!</v>
      </c>
      <c r="T586" s="23" t="e">
        <f t="shared" ref="T586" si="995">AVERAGE(Q583:T583)/AVERAGE(P583:S583)-1</f>
        <v>#DIV/0!</v>
      </c>
      <c r="U586" s="23" t="e">
        <f t="shared" ref="U586" si="996">AVERAGE(R583:U583)/AVERAGE(Q583:T583)-1</f>
        <v>#DIV/0!</v>
      </c>
    </row>
    <row r="587" spans="1:21" ht="13.5" thickBot="1" x14ac:dyDescent="0.25"/>
    <row r="588" spans="1:21" ht="13.5" thickBot="1" x14ac:dyDescent="0.25">
      <c r="A588" s="24" t="s">
        <v>0</v>
      </c>
      <c r="B588" s="25"/>
      <c r="C588" s="24" t="s">
        <v>30</v>
      </c>
      <c r="D588" s="24" t="s">
        <v>31</v>
      </c>
      <c r="E588" s="24" t="s">
        <v>32</v>
      </c>
      <c r="F588" s="24" t="s">
        <v>33</v>
      </c>
      <c r="G588" s="24" t="s">
        <v>34</v>
      </c>
      <c r="H588" s="24" t="s">
        <v>35</v>
      </c>
      <c r="I588" s="24" t="s">
        <v>36</v>
      </c>
      <c r="J588" s="24" t="s">
        <v>37</v>
      </c>
      <c r="K588" s="24" t="s">
        <v>38</v>
      </c>
      <c r="L588" s="24" t="s">
        <v>39</v>
      </c>
      <c r="M588" s="24" t="s">
        <v>40</v>
      </c>
      <c r="N588" s="24" t="s">
        <v>41</v>
      </c>
      <c r="O588" s="24" t="s">
        <v>42</v>
      </c>
      <c r="P588" s="24" t="s">
        <v>43</v>
      </c>
      <c r="Q588" s="24" t="s">
        <v>44</v>
      </c>
      <c r="R588" s="24" t="s">
        <v>45</v>
      </c>
      <c r="S588" s="24" t="s">
        <v>46</v>
      </c>
      <c r="T588" s="24" t="s">
        <v>47</v>
      </c>
      <c r="U588" s="24" t="s">
        <v>19</v>
      </c>
    </row>
    <row r="589" spans="1:21" x14ac:dyDescent="0.2">
      <c r="A589" s="17"/>
      <c r="B589" s="17" t="s">
        <v>51</v>
      </c>
      <c r="C589" s="17"/>
      <c r="D589" s="17"/>
      <c r="E589" s="17"/>
      <c r="F589" s="17"/>
      <c r="G589" s="17"/>
      <c r="H589" s="17"/>
      <c r="I589" s="17"/>
      <c r="J589" s="17"/>
      <c r="K589" s="17"/>
      <c r="L589" s="17"/>
      <c r="M589" s="17"/>
      <c r="N589" s="17"/>
      <c r="O589" s="17"/>
      <c r="P589" s="17"/>
      <c r="Q589" s="17"/>
      <c r="R589" s="17"/>
      <c r="S589" s="17"/>
      <c r="T589" s="17"/>
      <c r="U589" s="17"/>
    </row>
    <row r="590" spans="1:21" x14ac:dyDescent="0.2">
      <c r="B590" t="s">
        <v>49</v>
      </c>
      <c r="C590" s="22"/>
      <c r="D590" s="22"/>
      <c r="E590" s="22"/>
      <c r="F590" s="22"/>
      <c r="G590" s="22"/>
      <c r="H590" s="22"/>
      <c r="I590" s="22"/>
      <c r="J590" s="22"/>
      <c r="K590" s="22" t="e">
        <f t="shared" ref="K590" si="997">K589/G589-1</f>
        <v>#DIV/0!</v>
      </c>
      <c r="L590" s="22" t="e">
        <f t="shared" ref="L590" si="998">L589/H589-1</f>
        <v>#DIV/0!</v>
      </c>
      <c r="M590" s="22" t="e">
        <f t="shared" ref="M590" si="999">M589/I589-1</f>
        <v>#DIV/0!</v>
      </c>
      <c r="N590" s="22" t="e">
        <f t="shared" ref="N590" si="1000">N589/J589-1</f>
        <v>#DIV/0!</v>
      </c>
      <c r="O590" s="22" t="e">
        <f t="shared" ref="O590" si="1001">O589/K589-1</f>
        <v>#DIV/0!</v>
      </c>
      <c r="P590" s="22" t="e">
        <f t="shared" ref="P590" si="1002">P589/L589-1</f>
        <v>#DIV/0!</v>
      </c>
      <c r="Q590" s="22" t="e">
        <f t="shared" ref="Q590" si="1003">Q589/M589-1</f>
        <v>#DIV/0!</v>
      </c>
      <c r="R590" s="22" t="e">
        <f t="shared" ref="R590" si="1004">R589/N589-1</f>
        <v>#DIV/0!</v>
      </c>
      <c r="S590" s="22" t="e">
        <f t="shared" ref="S590" si="1005">S589/O589-1</f>
        <v>#DIV/0!</v>
      </c>
      <c r="T590" s="22" t="e">
        <f t="shared" ref="T590" si="1006">T589/P589-1</f>
        <v>#DIV/0!</v>
      </c>
      <c r="U590" s="22" t="e">
        <f t="shared" ref="U590" si="1007">U589/Q589-1</f>
        <v>#DIV/0!</v>
      </c>
    </row>
    <row r="591" spans="1:21" x14ac:dyDescent="0.2">
      <c r="B591" t="s">
        <v>52</v>
      </c>
      <c r="C591" s="22"/>
      <c r="D591" s="22"/>
      <c r="E591" s="22"/>
      <c r="F591" s="22"/>
      <c r="G591" s="22"/>
      <c r="H591" s="22"/>
      <c r="I591" s="22"/>
      <c r="J591" s="22"/>
      <c r="K591" s="22"/>
      <c r="L591" s="22" t="e">
        <f t="shared" ref="L591" si="1008">L589/K589-1</f>
        <v>#DIV/0!</v>
      </c>
      <c r="M591" s="22" t="e">
        <f t="shared" ref="M591" si="1009">M589/L589-1</f>
        <v>#DIV/0!</v>
      </c>
      <c r="N591" s="22" t="e">
        <f t="shared" ref="N591" si="1010">N589/M589-1</f>
        <v>#DIV/0!</v>
      </c>
      <c r="O591" s="22" t="e">
        <f t="shared" ref="O591" si="1011">O589/N589-1</f>
        <v>#DIV/0!</v>
      </c>
      <c r="P591" s="22" t="e">
        <f t="shared" ref="P591" si="1012">P589/O589-1</f>
        <v>#DIV/0!</v>
      </c>
      <c r="Q591" s="22" t="e">
        <f t="shared" ref="Q591" si="1013">Q589/P589-1</f>
        <v>#DIV/0!</v>
      </c>
      <c r="R591" s="22" t="e">
        <f t="shared" ref="R591" si="1014">R589/Q589-1</f>
        <v>#DIV/0!</v>
      </c>
      <c r="S591" s="22" t="e">
        <f t="shared" ref="S591" si="1015">S589/R589-1</f>
        <v>#DIV/0!</v>
      </c>
      <c r="T591" s="22" t="e">
        <f t="shared" ref="T591" si="1016">T589/S589-1</f>
        <v>#DIV/0!</v>
      </c>
      <c r="U591" s="22" t="e">
        <f t="shared" ref="U591" si="1017">U589/T589-1</f>
        <v>#DIV/0!</v>
      </c>
    </row>
    <row r="592" spans="1:21" x14ac:dyDescent="0.2">
      <c r="A592" s="17"/>
      <c r="B592" s="17" t="s">
        <v>48</v>
      </c>
      <c r="C592" s="17"/>
      <c r="D592" s="17"/>
      <c r="E592" s="17"/>
      <c r="F592" s="17"/>
      <c r="G592" s="17"/>
      <c r="H592" s="17"/>
      <c r="I592" s="17"/>
      <c r="J592" s="17"/>
      <c r="K592" s="17"/>
      <c r="L592" s="17"/>
      <c r="M592" s="17"/>
      <c r="N592" s="17"/>
      <c r="O592" s="17"/>
      <c r="P592" s="17"/>
      <c r="Q592" s="17"/>
      <c r="R592" s="17"/>
      <c r="S592" s="17"/>
      <c r="T592" s="17"/>
      <c r="U592" s="17"/>
    </row>
    <row r="593" spans="1:21" x14ac:dyDescent="0.2">
      <c r="B593" t="s">
        <v>49</v>
      </c>
      <c r="C593" s="22"/>
      <c r="D593" s="22"/>
      <c r="E593" s="22"/>
      <c r="F593" s="22"/>
      <c r="G593" s="22"/>
      <c r="H593" s="22"/>
      <c r="I593" s="22"/>
      <c r="J593" s="22"/>
      <c r="K593" s="22" t="e">
        <f t="shared" ref="K593" si="1018">K592/G592-1</f>
        <v>#DIV/0!</v>
      </c>
      <c r="L593" s="22" t="e">
        <f t="shared" ref="L593" si="1019">L592/H592-1</f>
        <v>#DIV/0!</v>
      </c>
      <c r="M593" s="22" t="e">
        <f t="shared" ref="M593" si="1020">M592/I592-1</f>
        <v>#DIV/0!</v>
      </c>
      <c r="N593" s="22" t="e">
        <f t="shared" ref="N593" si="1021">N592/J592-1</f>
        <v>#DIV/0!</v>
      </c>
      <c r="O593" s="22" t="e">
        <f t="shared" ref="O593" si="1022">O592/K592-1</f>
        <v>#DIV/0!</v>
      </c>
      <c r="P593" s="22" t="e">
        <f t="shared" ref="P593" si="1023">P592/L592-1</f>
        <v>#DIV/0!</v>
      </c>
      <c r="Q593" s="22" t="e">
        <f t="shared" ref="Q593" si="1024">Q592/M592-1</f>
        <v>#DIV/0!</v>
      </c>
      <c r="R593" s="22" t="e">
        <f t="shared" ref="R593" si="1025">R592/N592-1</f>
        <v>#DIV/0!</v>
      </c>
      <c r="S593" s="22" t="e">
        <f t="shared" ref="S593" si="1026">S592/O592-1</f>
        <v>#DIV/0!</v>
      </c>
      <c r="T593" s="22" t="e">
        <f t="shared" ref="T593" si="1027">T592/P592-1</f>
        <v>#DIV/0!</v>
      </c>
      <c r="U593" s="22" t="e">
        <f t="shared" ref="U593" si="1028">U592/Q592-1</f>
        <v>#DIV/0!</v>
      </c>
    </row>
    <row r="594" spans="1:21" x14ac:dyDescent="0.2">
      <c r="B594" t="s">
        <v>52</v>
      </c>
      <c r="C594" s="22"/>
      <c r="D594" s="22"/>
      <c r="E594" s="22"/>
      <c r="F594" s="22"/>
      <c r="G594" s="22"/>
      <c r="H594" s="22"/>
      <c r="I594" s="22"/>
      <c r="J594" s="22"/>
      <c r="K594" s="22"/>
      <c r="L594" s="22" t="e">
        <f t="shared" ref="L594" si="1029">L592/K592-1</f>
        <v>#DIV/0!</v>
      </c>
      <c r="M594" s="22" t="e">
        <f t="shared" ref="M594" si="1030">M592/L592-1</f>
        <v>#DIV/0!</v>
      </c>
      <c r="N594" s="22" t="e">
        <f t="shared" ref="N594" si="1031">N592/M592-1</f>
        <v>#DIV/0!</v>
      </c>
      <c r="O594" s="22" t="e">
        <f t="shared" ref="O594" si="1032">O592/N592-1</f>
        <v>#DIV/0!</v>
      </c>
      <c r="P594" s="22" t="e">
        <f t="shared" ref="P594" si="1033">P592/O592-1</f>
        <v>#DIV/0!</v>
      </c>
      <c r="Q594" s="22" t="e">
        <f t="shared" ref="Q594" si="1034">Q592/P592-1</f>
        <v>#DIV/0!</v>
      </c>
      <c r="R594" s="22" t="e">
        <f t="shared" ref="R594" si="1035">R592/Q592-1</f>
        <v>#DIV/0!</v>
      </c>
      <c r="S594" s="22" t="e">
        <f t="shared" ref="S594" si="1036">S592/R592-1</f>
        <v>#DIV/0!</v>
      </c>
      <c r="T594" s="22" t="e">
        <f t="shared" ref="T594" si="1037">T592/S592-1</f>
        <v>#DIV/0!</v>
      </c>
      <c r="U594" s="22" t="e">
        <f t="shared" ref="U594" si="1038">U592/T592-1</f>
        <v>#DIV/0!</v>
      </c>
    </row>
    <row r="595" spans="1:21" x14ac:dyDescent="0.2">
      <c r="B595" s="17" t="s">
        <v>50</v>
      </c>
      <c r="C595" s="17"/>
      <c r="D595" s="17"/>
      <c r="E595" s="17"/>
      <c r="F595" s="17"/>
      <c r="G595" s="23"/>
      <c r="H595" s="23"/>
      <c r="I595" s="23"/>
      <c r="J595" s="23"/>
      <c r="K595" s="23" t="e">
        <f t="shared" ref="K595" si="1039">AVERAGE(H592:K592)/AVERAGE(G592:J592)-1</f>
        <v>#DIV/0!</v>
      </c>
      <c r="L595" s="23" t="e">
        <f t="shared" ref="L595" si="1040">AVERAGE(I592:L592)/AVERAGE(H592:K592)-1</f>
        <v>#DIV/0!</v>
      </c>
      <c r="M595" s="23" t="e">
        <f t="shared" ref="M595" si="1041">AVERAGE(J592:M592)/AVERAGE(I592:L592)-1</f>
        <v>#DIV/0!</v>
      </c>
      <c r="N595" s="23" t="e">
        <f t="shared" ref="N595" si="1042">AVERAGE(K592:N592)/AVERAGE(J592:M592)-1</f>
        <v>#DIV/0!</v>
      </c>
      <c r="O595" s="23" t="e">
        <f t="shared" ref="O595" si="1043">AVERAGE(L592:O592)/AVERAGE(K592:N592)-1</f>
        <v>#DIV/0!</v>
      </c>
      <c r="P595" s="23" t="e">
        <f t="shared" ref="P595" si="1044">AVERAGE(M592:P592)/AVERAGE(L592:O592)-1</f>
        <v>#DIV/0!</v>
      </c>
      <c r="Q595" s="23" t="e">
        <f t="shared" ref="Q595" si="1045">AVERAGE(N592:Q592)/AVERAGE(M592:P592)-1</f>
        <v>#DIV/0!</v>
      </c>
      <c r="R595" s="23" t="e">
        <f t="shared" ref="R595" si="1046">AVERAGE(O592:R592)/AVERAGE(N592:Q592)-1</f>
        <v>#DIV/0!</v>
      </c>
      <c r="S595" s="23" t="e">
        <f t="shared" ref="S595" si="1047">AVERAGE(P592:S592)/AVERAGE(O592:R592)-1</f>
        <v>#DIV/0!</v>
      </c>
      <c r="T595" s="23" t="e">
        <f t="shared" ref="T595" si="1048">AVERAGE(Q592:T592)/AVERAGE(P592:S592)-1</f>
        <v>#DIV/0!</v>
      </c>
      <c r="U595" s="23" t="e">
        <f t="shared" ref="U595" si="1049">AVERAGE(R592:U592)/AVERAGE(Q592:T592)-1</f>
        <v>#DIV/0!</v>
      </c>
    </row>
    <row r="596" spans="1:21" ht="13.5" thickBot="1" x14ac:dyDescent="0.25"/>
    <row r="597" spans="1:21" ht="13.5" thickBot="1" x14ac:dyDescent="0.25">
      <c r="A597" s="24" t="s">
        <v>0</v>
      </c>
      <c r="B597" s="25"/>
      <c r="C597" s="24" t="s">
        <v>30</v>
      </c>
      <c r="D597" s="24" t="s">
        <v>31</v>
      </c>
      <c r="E597" s="24" t="s">
        <v>32</v>
      </c>
      <c r="F597" s="24" t="s">
        <v>33</v>
      </c>
      <c r="G597" s="24" t="s">
        <v>34</v>
      </c>
      <c r="H597" s="24" t="s">
        <v>35</v>
      </c>
      <c r="I597" s="24" t="s">
        <v>36</v>
      </c>
      <c r="J597" s="24" t="s">
        <v>37</v>
      </c>
      <c r="K597" s="24" t="s">
        <v>38</v>
      </c>
      <c r="L597" s="24" t="s">
        <v>39</v>
      </c>
      <c r="M597" s="24" t="s">
        <v>40</v>
      </c>
      <c r="N597" s="24" t="s">
        <v>41</v>
      </c>
      <c r="O597" s="24" t="s">
        <v>42</v>
      </c>
      <c r="P597" s="24" t="s">
        <v>43</v>
      </c>
      <c r="Q597" s="24" t="s">
        <v>44</v>
      </c>
      <c r="R597" s="24" t="s">
        <v>45</v>
      </c>
      <c r="S597" s="24" t="s">
        <v>46</v>
      </c>
      <c r="T597" s="24" t="s">
        <v>47</v>
      </c>
      <c r="U597" s="24" t="s">
        <v>19</v>
      </c>
    </row>
    <row r="598" spans="1:21" x14ac:dyDescent="0.2">
      <c r="A598" s="17"/>
      <c r="B598" s="17" t="s">
        <v>51</v>
      </c>
      <c r="C598" s="17"/>
      <c r="D598" s="17"/>
      <c r="E598" s="17"/>
      <c r="F598" s="17"/>
      <c r="G598" s="17"/>
      <c r="H598" s="17"/>
      <c r="I598" s="17"/>
      <c r="J598" s="17"/>
      <c r="K598" s="17"/>
      <c r="L598" s="17"/>
      <c r="M598" s="17"/>
      <c r="N598" s="17"/>
      <c r="O598" s="17"/>
      <c r="P598" s="17"/>
      <c r="Q598" s="17"/>
      <c r="R598" s="17"/>
      <c r="S598" s="17"/>
      <c r="T598" s="17"/>
      <c r="U598" s="17"/>
    </row>
    <row r="599" spans="1:21" x14ac:dyDescent="0.2">
      <c r="B599" t="s">
        <v>49</v>
      </c>
      <c r="C599" s="22"/>
      <c r="D599" s="22"/>
      <c r="E599" s="22"/>
      <c r="F599" s="22"/>
      <c r="G599" s="22"/>
      <c r="H599" s="22"/>
      <c r="I599" s="22"/>
      <c r="J599" s="22"/>
      <c r="K599" s="22" t="e">
        <f t="shared" ref="K599" si="1050">K598/G598-1</f>
        <v>#DIV/0!</v>
      </c>
      <c r="L599" s="22" t="e">
        <f t="shared" ref="L599" si="1051">L598/H598-1</f>
        <v>#DIV/0!</v>
      </c>
      <c r="M599" s="22" t="e">
        <f t="shared" ref="M599" si="1052">M598/I598-1</f>
        <v>#DIV/0!</v>
      </c>
      <c r="N599" s="22" t="e">
        <f t="shared" ref="N599" si="1053">N598/J598-1</f>
        <v>#DIV/0!</v>
      </c>
      <c r="O599" s="22" t="e">
        <f t="shared" ref="O599" si="1054">O598/K598-1</f>
        <v>#DIV/0!</v>
      </c>
      <c r="P599" s="22" t="e">
        <f t="shared" ref="P599" si="1055">P598/L598-1</f>
        <v>#DIV/0!</v>
      </c>
      <c r="Q599" s="22" t="e">
        <f t="shared" ref="Q599" si="1056">Q598/M598-1</f>
        <v>#DIV/0!</v>
      </c>
      <c r="R599" s="22" t="e">
        <f t="shared" ref="R599" si="1057">R598/N598-1</f>
        <v>#DIV/0!</v>
      </c>
      <c r="S599" s="22" t="e">
        <f t="shared" ref="S599" si="1058">S598/O598-1</f>
        <v>#DIV/0!</v>
      </c>
      <c r="T599" s="22" t="e">
        <f t="shared" ref="T599" si="1059">T598/P598-1</f>
        <v>#DIV/0!</v>
      </c>
      <c r="U599" s="22" t="e">
        <f t="shared" ref="U599" si="1060">U598/Q598-1</f>
        <v>#DIV/0!</v>
      </c>
    </row>
    <row r="600" spans="1:21" x14ac:dyDescent="0.2">
      <c r="B600" t="s">
        <v>52</v>
      </c>
      <c r="C600" s="22"/>
      <c r="D600" s="22"/>
      <c r="E600" s="22"/>
      <c r="F600" s="22"/>
      <c r="G600" s="22"/>
      <c r="H600" s="22"/>
      <c r="I600" s="22"/>
      <c r="J600" s="22"/>
      <c r="K600" s="22"/>
      <c r="L600" s="22" t="e">
        <f t="shared" ref="L600" si="1061">L598/K598-1</f>
        <v>#DIV/0!</v>
      </c>
      <c r="M600" s="22" t="e">
        <f t="shared" ref="M600" si="1062">M598/L598-1</f>
        <v>#DIV/0!</v>
      </c>
      <c r="N600" s="22" t="e">
        <f t="shared" ref="N600" si="1063">N598/M598-1</f>
        <v>#DIV/0!</v>
      </c>
      <c r="O600" s="22" t="e">
        <f t="shared" ref="O600" si="1064">O598/N598-1</f>
        <v>#DIV/0!</v>
      </c>
      <c r="P600" s="22" t="e">
        <f t="shared" ref="P600" si="1065">P598/O598-1</f>
        <v>#DIV/0!</v>
      </c>
      <c r="Q600" s="22" t="e">
        <f t="shared" ref="Q600" si="1066">Q598/P598-1</f>
        <v>#DIV/0!</v>
      </c>
      <c r="R600" s="22" t="e">
        <f t="shared" ref="R600" si="1067">R598/Q598-1</f>
        <v>#DIV/0!</v>
      </c>
      <c r="S600" s="22" t="e">
        <f t="shared" ref="S600" si="1068">S598/R598-1</f>
        <v>#DIV/0!</v>
      </c>
      <c r="T600" s="22" t="e">
        <f t="shared" ref="T600" si="1069">T598/S598-1</f>
        <v>#DIV/0!</v>
      </c>
      <c r="U600" s="22" t="e">
        <f t="shared" ref="U600" si="1070">U598/T598-1</f>
        <v>#DIV/0!</v>
      </c>
    </row>
    <row r="601" spans="1:21" x14ac:dyDescent="0.2">
      <c r="A601" s="17"/>
      <c r="B601" s="17" t="s">
        <v>48</v>
      </c>
      <c r="C601" s="17"/>
      <c r="D601" s="17"/>
      <c r="E601" s="17"/>
      <c r="F601" s="17"/>
      <c r="G601" s="17"/>
      <c r="H601" s="17"/>
      <c r="I601" s="17"/>
      <c r="J601" s="17"/>
      <c r="K601" s="17"/>
      <c r="L601" s="17"/>
      <c r="M601" s="17"/>
      <c r="N601" s="17"/>
      <c r="O601" s="17"/>
      <c r="P601" s="17"/>
      <c r="Q601" s="17"/>
      <c r="R601" s="17"/>
      <c r="S601" s="17"/>
      <c r="T601" s="17"/>
      <c r="U601" s="17"/>
    </row>
    <row r="602" spans="1:21" x14ac:dyDescent="0.2">
      <c r="B602" t="s">
        <v>49</v>
      </c>
      <c r="C602" s="22"/>
      <c r="D602" s="22"/>
      <c r="E602" s="22"/>
      <c r="F602" s="22"/>
      <c r="G602" s="22"/>
      <c r="H602" s="22"/>
      <c r="I602" s="22"/>
      <c r="J602" s="22"/>
      <c r="K602" s="22" t="e">
        <f t="shared" ref="K602" si="1071">K601/G601-1</f>
        <v>#DIV/0!</v>
      </c>
      <c r="L602" s="22" t="e">
        <f t="shared" ref="L602" si="1072">L601/H601-1</f>
        <v>#DIV/0!</v>
      </c>
      <c r="M602" s="22" t="e">
        <f t="shared" ref="M602" si="1073">M601/I601-1</f>
        <v>#DIV/0!</v>
      </c>
      <c r="N602" s="22" t="e">
        <f t="shared" ref="N602" si="1074">N601/J601-1</f>
        <v>#DIV/0!</v>
      </c>
      <c r="O602" s="22" t="e">
        <f t="shared" ref="O602" si="1075">O601/K601-1</f>
        <v>#DIV/0!</v>
      </c>
      <c r="P602" s="22" t="e">
        <f t="shared" ref="P602" si="1076">P601/L601-1</f>
        <v>#DIV/0!</v>
      </c>
      <c r="Q602" s="22" t="e">
        <f t="shared" ref="Q602" si="1077">Q601/M601-1</f>
        <v>#DIV/0!</v>
      </c>
      <c r="R602" s="22" t="e">
        <f t="shared" ref="R602" si="1078">R601/N601-1</f>
        <v>#DIV/0!</v>
      </c>
      <c r="S602" s="22" t="e">
        <f t="shared" ref="S602" si="1079">S601/O601-1</f>
        <v>#DIV/0!</v>
      </c>
      <c r="T602" s="22" t="e">
        <f t="shared" ref="T602" si="1080">T601/P601-1</f>
        <v>#DIV/0!</v>
      </c>
      <c r="U602" s="22" t="e">
        <f t="shared" ref="U602" si="1081">U601/Q601-1</f>
        <v>#DIV/0!</v>
      </c>
    </row>
    <row r="603" spans="1:21" x14ac:dyDescent="0.2">
      <c r="B603" t="s">
        <v>52</v>
      </c>
      <c r="C603" s="22"/>
      <c r="D603" s="22"/>
      <c r="E603" s="22"/>
      <c r="F603" s="22"/>
      <c r="G603" s="22"/>
      <c r="H603" s="22"/>
      <c r="I603" s="22"/>
      <c r="J603" s="22"/>
      <c r="K603" s="22"/>
      <c r="L603" s="22" t="e">
        <f t="shared" ref="L603" si="1082">L601/K601-1</f>
        <v>#DIV/0!</v>
      </c>
      <c r="M603" s="22" t="e">
        <f t="shared" ref="M603" si="1083">M601/L601-1</f>
        <v>#DIV/0!</v>
      </c>
      <c r="N603" s="22" t="e">
        <f t="shared" ref="N603" si="1084">N601/M601-1</f>
        <v>#DIV/0!</v>
      </c>
      <c r="O603" s="22" t="e">
        <f t="shared" ref="O603" si="1085">O601/N601-1</f>
        <v>#DIV/0!</v>
      </c>
      <c r="P603" s="22" t="e">
        <f t="shared" ref="P603" si="1086">P601/O601-1</f>
        <v>#DIV/0!</v>
      </c>
      <c r="Q603" s="22" t="e">
        <f t="shared" ref="Q603" si="1087">Q601/P601-1</f>
        <v>#DIV/0!</v>
      </c>
      <c r="R603" s="22" t="e">
        <f t="shared" ref="R603" si="1088">R601/Q601-1</f>
        <v>#DIV/0!</v>
      </c>
      <c r="S603" s="22" t="e">
        <f t="shared" ref="S603" si="1089">S601/R601-1</f>
        <v>#DIV/0!</v>
      </c>
      <c r="T603" s="22" t="e">
        <f t="shared" ref="T603" si="1090">T601/S601-1</f>
        <v>#DIV/0!</v>
      </c>
      <c r="U603" s="22" t="e">
        <f t="shared" ref="U603" si="1091">U601/T601-1</f>
        <v>#DIV/0!</v>
      </c>
    </row>
    <row r="604" spans="1:21" x14ac:dyDescent="0.2">
      <c r="B604" s="17" t="s">
        <v>50</v>
      </c>
      <c r="C604" s="17"/>
      <c r="D604" s="17"/>
      <c r="E604" s="17"/>
      <c r="F604" s="17"/>
      <c r="G604" s="23"/>
      <c r="H604" s="23"/>
      <c r="I604" s="23"/>
      <c r="J604" s="23"/>
      <c r="K604" s="23" t="e">
        <f t="shared" ref="K604" si="1092">AVERAGE(H601:K601)/AVERAGE(G601:J601)-1</f>
        <v>#DIV/0!</v>
      </c>
      <c r="L604" s="23" t="e">
        <f t="shared" ref="L604" si="1093">AVERAGE(I601:L601)/AVERAGE(H601:K601)-1</f>
        <v>#DIV/0!</v>
      </c>
      <c r="M604" s="23" t="e">
        <f t="shared" ref="M604" si="1094">AVERAGE(J601:M601)/AVERAGE(I601:L601)-1</f>
        <v>#DIV/0!</v>
      </c>
      <c r="N604" s="23" t="e">
        <f t="shared" ref="N604" si="1095">AVERAGE(K601:N601)/AVERAGE(J601:M601)-1</f>
        <v>#DIV/0!</v>
      </c>
      <c r="O604" s="23" t="e">
        <f t="shared" ref="O604" si="1096">AVERAGE(L601:O601)/AVERAGE(K601:N601)-1</f>
        <v>#DIV/0!</v>
      </c>
      <c r="P604" s="23" t="e">
        <f t="shared" ref="P604" si="1097">AVERAGE(M601:P601)/AVERAGE(L601:O601)-1</f>
        <v>#DIV/0!</v>
      </c>
      <c r="Q604" s="23" t="e">
        <f t="shared" ref="Q604" si="1098">AVERAGE(N601:Q601)/AVERAGE(M601:P601)-1</f>
        <v>#DIV/0!</v>
      </c>
      <c r="R604" s="23" t="e">
        <f t="shared" ref="R604" si="1099">AVERAGE(O601:R601)/AVERAGE(N601:Q601)-1</f>
        <v>#DIV/0!</v>
      </c>
      <c r="S604" s="23" t="e">
        <f t="shared" ref="S604" si="1100">AVERAGE(P601:S601)/AVERAGE(O601:R601)-1</f>
        <v>#DIV/0!</v>
      </c>
      <c r="T604" s="23" t="e">
        <f t="shared" ref="T604" si="1101">AVERAGE(Q601:T601)/AVERAGE(P601:S601)-1</f>
        <v>#DIV/0!</v>
      </c>
      <c r="U604" s="23" t="e">
        <f t="shared" ref="U604" si="1102">AVERAGE(R601:U601)/AVERAGE(Q601:T601)-1</f>
        <v>#DIV/0!</v>
      </c>
    </row>
    <row r="605" spans="1:21" ht="13.5" thickBot="1" x14ac:dyDescent="0.25"/>
    <row r="606" spans="1:21" ht="13.5" thickBot="1" x14ac:dyDescent="0.25">
      <c r="A606" s="24" t="s">
        <v>0</v>
      </c>
      <c r="B606" s="25"/>
      <c r="C606" s="24" t="s">
        <v>30</v>
      </c>
      <c r="D606" s="24" t="s">
        <v>31</v>
      </c>
      <c r="E606" s="24" t="s">
        <v>32</v>
      </c>
      <c r="F606" s="24" t="s">
        <v>33</v>
      </c>
      <c r="G606" s="24" t="s">
        <v>34</v>
      </c>
      <c r="H606" s="24" t="s">
        <v>35</v>
      </c>
      <c r="I606" s="24" t="s">
        <v>36</v>
      </c>
      <c r="J606" s="24" t="s">
        <v>37</v>
      </c>
      <c r="K606" s="24" t="s">
        <v>38</v>
      </c>
      <c r="L606" s="24" t="s">
        <v>39</v>
      </c>
      <c r="M606" s="24" t="s">
        <v>40</v>
      </c>
      <c r="N606" s="24" t="s">
        <v>41</v>
      </c>
      <c r="O606" s="24" t="s">
        <v>42</v>
      </c>
      <c r="P606" s="24" t="s">
        <v>43</v>
      </c>
      <c r="Q606" s="24" t="s">
        <v>44</v>
      </c>
      <c r="R606" s="24" t="s">
        <v>45</v>
      </c>
      <c r="S606" s="24" t="s">
        <v>46</v>
      </c>
      <c r="T606" s="24" t="s">
        <v>47</v>
      </c>
      <c r="U606" s="24" t="s">
        <v>19</v>
      </c>
    </row>
    <row r="607" spans="1:21" x14ac:dyDescent="0.2">
      <c r="A607" s="17"/>
      <c r="B607" s="17" t="s">
        <v>51</v>
      </c>
      <c r="C607" s="17"/>
      <c r="D607" s="17"/>
      <c r="E607" s="17"/>
      <c r="F607" s="17"/>
      <c r="G607" s="17"/>
      <c r="H607" s="17"/>
      <c r="I607" s="17"/>
      <c r="J607" s="17"/>
      <c r="K607" s="17"/>
      <c r="L607" s="17"/>
      <c r="M607" s="17"/>
      <c r="N607" s="17"/>
      <c r="O607" s="17"/>
      <c r="P607" s="17"/>
      <c r="Q607" s="17"/>
      <c r="R607" s="17"/>
      <c r="S607" s="17"/>
      <c r="T607" s="17"/>
      <c r="U607" s="17"/>
    </row>
    <row r="608" spans="1:21" x14ac:dyDescent="0.2">
      <c r="B608" t="s">
        <v>49</v>
      </c>
      <c r="C608" s="22"/>
      <c r="D608" s="22"/>
      <c r="E608" s="22"/>
      <c r="F608" s="22"/>
      <c r="G608" s="22"/>
      <c r="H608" s="22"/>
      <c r="I608" s="22"/>
      <c r="J608" s="22"/>
      <c r="K608" s="22" t="e">
        <f t="shared" ref="K608" si="1103">K607/G607-1</f>
        <v>#DIV/0!</v>
      </c>
      <c r="L608" s="22" t="e">
        <f t="shared" ref="L608" si="1104">L607/H607-1</f>
        <v>#DIV/0!</v>
      </c>
      <c r="M608" s="22" t="e">
        <f t="shared" ref="M608" si="1105">M607/I607-1</f>
        <v>#DIV/0!</v>
      </c>
      <c r="N608" s="22" t="e">
        <f t="shared" ref="N608" si="1106">N607/J607-1</f>
        <v>#DIV/0!</v>
      </c>
      <c r="O608" s="22" t="e">
        <f t="shared" ref="O608" si="1107">O607/K607-1</f>
        <v>#DIV/0!</v>
      </c>
      <c r="P608" s="22" t="e">
        <f t="shared" ref="P608" si="1108">P607/L607-1</f>
        <v>#DIV/0!</v>
      </c>
      <c r="Q608" s="22" t="e">
        <f t="shared" ref="Q608" si="1109">Q607/M607-1</f>
        <v>#DIV/0!</v>
      </c>
      <c r="R608" s="22" t="e">
        <f t="shared" ref="R608" si="1110">R607/N607-1</f>
        <v>#DIV/0!</v>
      </c>
      <c r="S608" s="22" t="e">
        <f t="shared" ref="S608" si="1111">S607/O607-1</f>
        <v>#DIV/0!</v>
      </c>
      <c r="T608" s="22" t="e">
        <f t="shared" ref="T608" si="1112">T607/P607-1</f>
        <v>#DIV/0!</v>
      </c>
      <c r="U608" s="22" t="e">
        <f t="shared" ref="U608" si="1113">U607/Q607-1</f>
        <v>#DIV/0!</v>
      </c>
    </row>
    <row r="609" spans="1:21" x14ac:dyDescent="0.2">
      <c r="B609" t="s">
        <v>52</v>
      </c>
      <c r="C609" s="22"/>
      <c r="D609" s="22"/>
      <c r="E609" s="22"/>
      <c r="F609" s="22"/>
      <c r="G609" s="22"/>
      <c r="H609" s="22"/>
      <c r="I609" s="22"/>
      <c r="J609" s="22"/>
      <c r="K609" s="22"/>
      <c r="L609" s="22" t="e">
        <f t="shared" ref="L609" si="1114">L607/K607-1</f>
        <v>#DIV/0!</v>
      </c>
      <c r="M609" s="22" t="e">
        <f t="shared" ref="M609" si="1115">M607/L607-1</f>
        <v>#DIV/0!</v>
      </c>
      <c r="N609" s="22" t="e">
        <f t="shared" ref="N609" si="1116">N607/M607-1</f>
        <v>#DIV/0!</v>
      </c>
      <c r="O609" s="22" t="e">
        <f t="shared" ref="O609" si="1117">O607/N607-1</f>
        <v>#DIV/0!</v>
      </c>
      <c r="P609" s="22" t="e">
        <f t="shared" ref="P609" si="1118">P607/O607-1</f>
        <v>#DIV/0!</v>
      </c>
      <c r="Q609" s="22" t="e">
        <f t="shared" ref="Q609" si="1119">Q607/P607-1</f>
        <v>#DIV/0!</v>
      </c>
      <c r="R609" s="22" t="e">
        <f t="shared" ref="R609" si="1120">R607/Q607-1</f>
        <v>#DIV/0!</v>
      </c>
      <c r="S609" s="22" t="e">
        <f t="shared" ref="S609" si="1121">S607/R607-1</f>
        <v>#DIV/0!</v>
      </c>
      <c r="T609" s="22" t="e">
        <f t="shared" ref="T609" si="1122">T607/S607-1</f>
        <v>#DIV/0!</v>
      </c>
      <c r="U609" s="22" t="e">
        <f t="shared" ref="U609" si="1123">U607/T607-1</f>
        <v>#DIV/0!</v>
      </c>
    </row>
    <row r="610" spans="1:21" x14ac:dyDescent="0.2">
      <c r="A610" s="17"/>
      <c r="B610" s="17" t="s">
        <v>48</v>
      </c>
      <c r="C610" s="17"/>
      <c r="D610" s="17"/>
      <c r="E610" s="17"/>
      <c r="F610" s="17"/>
      <c r="G610" s="17"/>
      <c r="H610" s="17"/>
      <c r="I610" s="17"/>
      <c r="J610" s="17"/>
      <c r="K610" s="17"/>
      <c r="L610" s="17"/>
      <c r="M610" s="17"/>
      <c r="N610" s="17"/>
      <c r="O610" s="17"/>
      <c r="P610" s="17"/>
      <c r="Q610" s="17"/>
      <c r="R610" s="17"/>
      <c r="S610" s="17"/>
      <c r="T610" s="17"/>
      <c r="U610" s="17"/>
    </row>
    <row r="611" spans="1:21" x14ac:dyDescent="0.2">
      <c r="B611" t="s">
        <v>49</v>
      </c>
      <c r="C611" s="22"/>
      <c r="D611" s="22"/>
      <c r="E611" s="22"/>
      <c r="F611" s="22"/>
      <c r="G611" s="22"/>
      <c r="H611" s="22"/>
      <c r="I611" s="22"/>
      <c r="J611" s="22"/>
      <c r="K611" s="22" t="e">
        <f t="shared" ref="K611" si="1124">K610/G610-1</f>
        <v>#DIV/0!</v>
      </c>
      <c r="L611" s="22" t="e">
        <f t="shared" ref="L611" si="1125">L610/H610-1</f>
        <v>#DIV/0!</v>
      </c>
      <c r="M611" s="22" t="e">
        <f t="shared" ref="M611" si="1126">M610/I610-1</f>
        <v>#DIV/0!</v>
      </c>
      <c r="N611" s="22" t="e">
        <f t="shared" ref="N611" si="1127">N610/J610-1</f>
        <v>#DIV/0!</v>
      </c>
      <c r="O611" s="22" t="e">
        <f t="shared" ref="O611" si="1128">O610/K610-1</f>
        <v>#DIV/0!</v>
      </c>
      <c r="P611" s="22" t="e">
        <f t="shared" ref="P611" si="1129">P610/L610-1</f>
        <v>#DIV/0!</v>
      </c>
      <c r="Q611" s="22" t="e">
        <f t="shared" ref="Q611" si="1130">Q610/M610-1</f>
        <v>#DIV/0!</v>
      </c>
      <c r="R611" s="22" t="e">
        <f t="shared" ref="R611" si="1131">R610/N610-1</f>
        <v>#DIV/0!</v>
      </c>
      <c r="S611" s="22" t="e">
        <f t="shared" ref="S611" si="1132">S610/O610-1</f>
        <v>#DIV/0!</v>
      </c>
      <c r="T611" s="22" t="e">
        <f t="shared" ref="T611" si="1133">T610/P610-1</f>
        <v>#DIV/0!</v>
      </c>
      <c r="U611" s="22" t="e">
        <f t="shared" ref="U611" si="1134">U610/Q610-1</f>
        <v>#DIV/0!</v>
      </c>
    </row>
    <row r="612" spans="1:21" x14ac:dyDescent="0.2">
      <c r="B612" t="s">
        <v>52</v>
      </c>
      <c r="C612" s="22"/>
      <c r="D612" s="22"/>
      <c r="E612" s="22"/>
      <c r="F612" s="22"/>
      <c r="G612" s="22"/>
      <c r="H612" s="22"/>
      <c r="I612" s="22"/>
      <c r="J612" s="22"/>
      <c r="K612" s="22"/>
      <c r="L612" s="22" t="e">
        <f t="shared" ref="L612" si="1135">L610/K610-1</f>
        <v>#DIV/0!</v>
      </c>
      <c r="M612" s="22" t="e">
        <f t="shared" ref="M612" si="1136">M610/L610-1</f>
        <v>#DIV/0!</v>
      </c>
      <c r="N612" s="22" t="e">
        <f t="shared" ref="N612" si="1137">N610/M610-1</f>
        <v>#DIV/0!</v>
      </c>
      <c r="O612" s="22" t="e">
        <f t="shared" ref="O612" si="1138">O610/N610-1</f>
        <v>#DIV/0!</v>
      </c>
      <c r="P612" s="22" t="e">
        <f t="shared" ref="P612" si="1139">P610/O610-1</f>
        <v>#DIV/0!</v>
      </c>
      <c r="Q612" s="22" t="e">
        <f t="shared" ref="Q612" si="1140">Q610/P610-1</f>
        <v>#DIV/0!</v>
      </c>
      <c r="R612" s="22" t="e">
        <f t="shared" ref="R612" si="1141">R610/Q610-1</f>
        <v>#DIV/0!</v>
      </c>
      <c r="S612" s="22" t="e">
        <f t="shared" ref="S612" si="1142">S610/R610-1</f>
        <v>#DIV/0!</v>
      </c>
      <c r="T612" s="22" t="e">
        <f t="shared" ref="T612" si="1143">T610/S610-1</f>
        <v>#DIV/0!</v>
      </c>
      <c r="U612" s="22" t="e">
        <f t="shared" ref="U612" si="1144">U610/T610-1</f>
        <v>#DIV/0!</v>
      </c>
    </row>
    <row r="613" spans="1:21" x14ac:dyDescent="0.2">
      <c r="B613" s="17" t="s">
        <v>50</v>
      </c>
      <c r="C613" s="17"/>
      <c r="D613" s="17"/>
      <c r="E613" s="17"/>
      <c r="F613" s="17"/>
      <c r="G613" s="23"/>
      <c r="H613" s="23"/>
      <c r="I613" s="23"/>
      <c r="J613" s="23"/>
      <c r="K613" s="23" t="e">
        <f t="shared" ref="K613" si="1145">AVERAGE(H610:K610)/AVERAGE(G610:J610)-1</f>
        <v>#DIV/0!</v>
      </c>
      <c r="L613" s="23" t="e">
        <f t="shared" ref="L613" si="1146">AVERAGE(I610:L610)/AVERAGE(H610:K610)-1</f>
        <v>#DIV/0!</v>
      </c>
      <c r="M613" s="23" t="e">
        <f t="shared" ref="M613" si="1147">AVERAGE(J610:M610)/AVERAGE(I610:L610)-1</f>
        <v>#DIV/0!</v>
      </c>
      <c r="N613" s="23" t="e">
        <f t="shared" ref="N613" si="1148">AVERAGE(K610:N610)/AVERAGE(J610:M610)-1</f>
        <v>#DIV/0!</v>
      </c>
      <c r="O613" s="23" t="e">
        <f t="shared" ref="O613" si="1149">AVERAGE(L610:O610)/AVERAGE(K610:N610)-1</f>
        <v>#DIV/0!</v>
      </c>
      <c r="P613" s="23" t="e">
        <f t="shared" ref="P613" si="1150">AVERAGE(M610:P610)/AVERAGE(L610:O610)-1</f>
        <v>#DIV/0!</v>
      </c>
      <c r="Q613" s="23" t="e">
        <f t="shared" ref="Q613" si="1151">AVERAGE(N610:Q610)/AVERAGE(M610:P610)-1</f>
        <v>#DIV/0!</v>
      </c>
      <c r="R613" s="23" t="e">
        <f t="shared" ref="R613" si="1152">AVERAGE(O610:R610)/AVERAGE(N610:Q610)-1</f>
        <v>#DIV/0!</v>
      </c>
      <c r="S613" s="23" t="e">
        <f t="shared" ref="S613" si="1153">AVERAGE(P610:S610)/AVERAGE(O610:R610)-1</f>
        <v>#DIV/0!</v>
      </c>
      <c r="T613" s="23" t="e">
        <f t="shared" ref="T613" si="1154">AVERAGE(Q610:T610)/AVERAGE(P610:S610)-1</f>
        <v>#DIV/0!</v>
      </c>
      <c r="U613" s="23" t="e">
        <f t="shared" ref="U613" si="1155">AVERAGE(R610:U610)/AVERAGE(Q610:T610)-1</f>
        <v>#DIV/0!</v>
      </c>
    </row>
    <row r="614" spans="1:21" ht="13.5" thickBot="1" x14ac:dyDescent="0.25"/>
    <row r="615" spans="1:21" ht="13.5" thickBot="1" x14ac:dyDescent="0.25">
      <c r="A615" s="24" t="s">
        <v>0</v>
      </c>
      <c r="B615" s="25"/>
      <c r="C615" s="24" t="s">
        <v>30</v>
      </c>
      <c r="D615" s="24" t="s">
        <v>31</v>
      </c>
      <c r="E615" s="24" t="s">
        <v>32</v>
      </c>
      <c r="F615" s="24" t="s">
        <v>33</v>
      </c>
      <c r="G615" s="24" t="s">
        <v>34</v>
      </c>
      <c r="H615" s="24" t="s">
        <v>35</v>
      </c>
      <c r="I615" s="24" t="s">
        <v>36</v>
      </c>
      <c r="J615" s="24" t="s">
        <v>37</v>
      </c>
      <c r="K615" s="24" t="s">
        <v>38</v>
      </c>
      <c r="L615" s="24" t="s">
        <v>39</v>
      </c>
      <c r="M615" s="24" t="s">
        <v>40</v>
      </c>
      <c r="N615" s="24" t="s">
        <v>41</v>
      </c>
      <c r="O615" s="24" t="s">
        <v>42</v>
      </c>
      <c r="P615" s="24" t="s">
        <v>43</v>
      </c>
      <c r="Q615" s="24" t="s">
        <v>44</v>
      </c>
      <c r="R615" s="24" t="s">
        <v>45</v>
      </c>
      <c r="S615" s="24" t="s">
        <v>46</v>
      </c>
      <c r="T615" s="24" t="s">
        <v>47</v>
      </c>
      <c r="U615" s="24" t="s">
        <v>19</v>
      </c>
    </row>
    <row r="616" spans="1:21" x14ac:dyDescent="0.2">
      <c r="A616" s="17"/>
      <c r="B616" s="17" t="s">
        <v>51</v>
      </c>
      <c r="C616" s="17"/>
      <c r="D616" s="17"/>
      <c r="E616" s="17"/>
      <c r="F616" s="17"/>
      <c r="G616" s="17"/>
      <c r="H616" s="17"/>
      <c r="I616" s="17"/>
      <c r="J616" s="17"/>
      <c r="K616" s="17"/>
      <c r="L616" s="17"/>
      <c r="M616" s="17"/>
      <c r="N616" s="17"/>
      <c r="O616" s="17"/>
      <c r="P616" s="17"/>
      <c r="Q616" s="17"/>
      <c r="R616" s="17"/>
      <c r="S616" s="17"/>
      <c r="T616" s="17"/>
      <c r="U616" s="17"/>
    </row>
    <row r="617" spans="1:21" x14ac:dyDescent="0.2">
      <c r="B617" t="s">
        <v>49</v>
      </c>
      <c r="C617" s="22"/>
      <c r="D617" s="22"/>
      <c r="E617" s="22"/>
      <c r="F617" s="22"/>
      <c r="G617" s="22"/>
      <c r="H617" s="22"/>
      <c r="I617" s="22"/>
      <c r="J617" s="22"/>
      <c r="K617" s="22" t="e">
        <f t="shared" ref="K617" si="1156">K616/G616-1</f>
        <v>#DIV/0!</v>
      </c>
      <c r="L617" s="22" t="e">
        <f t="shared" ref="L617" si="1157">L616/H616-1</f>
        <v>#DIV/0!</v>
      </c>
      <c r="M617" s="22" t="e">
        <f t="shared" ref="M617" si="1158">M616/I616-1</f>
        <v>#DIV/0!</v>
      </c>
      <c r="N617" s="22" t="e">
        <f t="shared" ref="N617" si="1159">N616/J616-1</f>
        <v>#DIV/0!</v>
      </c>
      <c r="O617" s="22" t="e">
        <f t="shared" ref="O617" si="1160">O616/K616-1</f>
        <v>#DIV/0!</v>
      </c>
      <c r="P617" s="22" t="e">
        <f t="shared" ref="P617" si="1161">P616/L616-1</f>
        <v>#DIV/0!</v>
      </c>
      <c r="Q617" s="22" t="e">
        <f t="shared" ref="Q617" si="1162">Q616/M616-1</f>
        <v>#DIV/0!</v>
      </c>
      <c r="R617" s="22" t="e">
        <f t="shared" ref="R617" si="1163">R616/N616-1</f>
        <v>#DIV/0!</v>
      </c>
      <c r="S617" s="22" t="e">
        <f t="shared" ref="S617" si="1164">S616/O616-1</f>
        <v>#DIV/0!</v>
      </c>
      <c r="T617" s="22" t="e">
        <f t="shared" ref="T617" si="1165">T616/P616-1</f>
        <v>#DIV/0!</v>
      </c>
      <c r="U617" s="22" t="e">
        <f t="shared" ref="U617" si="1166">U616/Q616-1</f>
        <v>#DIV/0!</v>
      </c>
    </row>
    <row r="618" spans="1:21" x14ac:dyDescent="0.2">
      <c r="B618" t="s">
        <v>52</v>
      </c>
      <c r="C618" s="22"/>
      <c r="D618" s="22"/>
      <c r="E618" s="22"/>
      <c r="F618" s="22"/>
      <c r="G618" s="22"/>
      <c r="H618" s="22"/>
      <c r="I618" s="22"/>
      <c r="J618" s="22"/>
      <c r="K618" s="22"/>
      <c r="L618" s="22" t="e">
        <f t="shared" ref="L618" si="1167">L616/K616-1</f>
        <v>#DIV/0!</v>
      </c>
      <c r="M618" s="22" t="e">
        <f t="shared" ref="M618" si="1168">M616/L616-1</f>
        <v>#DIV/0!</v>
      </c>
      <c r="N618" s="22" t="e">
        <f t="shared" ref="N618" si="1169">N616/M616-1</f>
        <v>#DIV/0!</v>
      </c>
      <c r="O618" s="22" t="e">
        <f t="shared" ref="O618" si="1170">O616/N616-1</f>
        <v>#DIV/0!</v>
      </c>
      <c r="P618" s="22" t="e">
        <f t="shared" ref="P618" si="1171">P616/O616-1</f>
        <v>#DIV/0!</v>
      </c>
      <c r="Q618" s="22" t="e">
        <f t="shared" ref="Q618" si="1172">Q616/P616-1</f>
        <v>#DIV/0!</v>
      </c>
      <c r="R618" s="22" t="e">
        <f t="shared" ref="R618" si="1173">R616/Q616-1</f>
        <v>#DIV/0!</v>
      </c>
      <c r="S618" s="22" t="e">
        <f t="shared" ref="S618" si="1174">S616/R616-1</f>
        <v>#DIV/0!</v>
      </c>
      <c r="T618" s="22" t="e">
        <f t="shared" ref="T618" si="1175">T616/S616-1</f>
        <v>#DIV/0!</v>
      </c>
      <c r="U618" s="22" t="e">
        <f t="shared" ref="U618" si="1176">U616/T616-1</f>
        <v>#DIV/0!</v>
      </c>
    </row>
    <row r="619" spans="1:21" x14ac:dyDescent="0.2">
      <c r="A619" s="17"/>
      <c r="B619" s="17" t="s">
        <v>48</v>
      </c>
      <c r="C619" s="17"/>
      <c r="D619" s="17"/>
      <c r="E619" s="17"/>
      <c r="F619" s="17"/>
      <c r="G619" s="17"/>
      <c r="H619" s="17"/>
      <c r="I619" s="17"/>
      <c r="J619" s="17"/>
      <c r="K619" s="17"/>
      <c r="L619" s="17"/>
      <c r="M619" s="17"/>
      <c r="N619" s="17"/>
      <c r="O619" s="17"/>
      <c r="P619" s="17"/>
      <c r="Q619" s="17"/>
      <c r="R619" s="17"/>
      <c r="S619" s="17"/>
      <c r="T619" s="17"/>
      <c r="U619" s="17"/>
    </row>
    <row r="620" spans="1:21" x14ac:dyDescent="0.2">
      <c r="B620" t="s">
        <v>49</v>
      </c>
      <c r="C620" s="22"/>
      <c r="D620" s="22"/>
      <c r="E620" s="22"/>
      <c r="F620" s="22"/>
      <c r="G620" s="22"/>
      <c r="H620" s="22"/>
      <c r="I620" s="22"/>
      <c r="J620" s="22"/>
      <c r="K620" s="22" t="e">
        <f t="shared" ref="K620" si="1177">K619/G619-1</f>
        <v>#DIV/0!</v>
      </c>
      <c r="L620" s="22" t="e">
        <f t="shared" ref="L620" si="1178">L619/H619-1</f>
        <v>#DIV/0!</v>
      </c>
      <c r="M620" s="22" t="e">
        <f t="shared" ref="M620" si="1179">M619/I619-1</f>
        <v>#DIV/0!</v>
      </c>
      <c r="N620" s="22" t="e">
        <f t="shared" ref="N620" si="1180">N619/J619-1</f>
        <v>#DIV/0!</v>
      </c>
      <c r="O620" s="22" t="e">
        <f t="shared" ref="O620" si="1181">O619/K619-1</f>
        <v>#DIV/0!</v>
      </c>
      <c r="P620" s="22" t="e">
        <f t="shared" ref="P620" si="1182">P619/L619-1</f>
        <v>#DIV/0!</v>
      </c>
      <c r="Q620" s="22" t="e">
        <f t="shared" ref="Q620" si="1183">Q619/M619-1</f>
        <v>#DIV/0!</v>
      </c>
      <c r="R620" s="22" t="e">
        <f t="shared" ref="R620" si="1184">R619/N619-1</f>
        <v>#DIV/0!</v>
      </c>
      <c r="S620" s="22" t="e">
        <f t="shared" ref="S620" si="1185">S619/O619-1</f>
        <v>#DIV/0!</v>
      </c>
      <c r="T620" s="22" t="e">
        <f t="shared" ref="T620" si="1186">T619/P619-1</f>
        <v>#DIV/0!</v>
      </c>
      <c r="U620" s="22" t="e">
        <f t="shared" ref="U620" si="1187">U619/Q619-1</f>
        <v>#DIV/0!</v>
      </c>
    </row>
    <row r="621" spans="1:21" x14ac:dyDescent="0.2">
      <c r="B621" t="s">
        <v>52</v>
      </c>
      <c r="C621" s="22"/>
      <c r="D621" s="22"/>
      <c r="E621" s="22"/>
      <c r="F621" s="22"/>
      <c r="G621" s="22"/>
      <c r="H621" s="22"/>
      <c r="I621" s="22"/>
      <c r="J621" s="22"/>
      <c r="K621" s="22"/>
      <c r="L621" s="22" t="e">
        <f t="shared" ref="L621" si="1188">L619/K619-1</f>
        <v>#DIV/0!</v>
      </c>
      <c r="M621" s="22" t="e">
        <f t="shared" ref="M621" si="1189">M619/L619-1</f>
        <v>#DIV/0!</v>
      </c>
      <c r="N621" s="22" t="e">
        <f t="shared" ref="N621" si="1190">N619/M619-1</f>
        <v>#DIV/0!</v>
      </c>
      <c r="O621" s="22" t="e">
        <f t="shared" ref="O621" si="1191">O619/N619-1</f>
        <v>#DIV/0!</v>
      </c>
      <c r="P621" s="22" t="e">
        <f t="shared" ref="P621" si="1192">P619/O619-1</f>
        <v>#DIV/0!</v>
      </c>
      <c r="Q621" s="22" t="e">
        <f t="shared" ref="Q621" si="1193">Q619/P619-1</f>
        <v>#DIV/0!</v>
      </c>
      <c r="R621" s="22" t="e">
        <f t="shared" ref="R621" si="1194">R619/Q619-1</f>
        <v>#DIV/0!</v>
      </c>
      <c r="S621" s="22" t="e">
        <f t="shared" ref="S621" si="1195">S619/R619-1</f>
        <v>#DIV/0!</v>
      </c>
      <c r="T621" s="22" t="e">
        <f t="shared" ref="T621" si="1196">T619/S619-1</f>
        <v>#DIV/0!</v>
      </c>
      <c r="U621" s="22" t="e">
        <f t="shared" ref="U621" si="1197">U619/T619-1</f>
        <v>#DIV/0!</v>
      </c>
    </row>
    <row r="622" spans="1:21" x14ac:dyDescent="0.2">
      <c r="B622" s="17" t="s">
        <v>50</v>
      </c>
      <c r="C622" s="17"/>
      <c r="D622" s="17"/>
      <c r="E622" s="17"/>
      <c r="F622" s="17"/>
      <c r="G622" s="23"/>
      <c r="H622" s="23"/>
      <c r="I622" s="23"/>
      <c r="J622" s="23"/>
      <c r="K622" s="23" t="e">
        <f t="shared" ref="K622" si="1198">AVERAGE(H619:K619)/AVERAGE(G619:J619)-1</f>
        <v>#DIV/0!</v>
      </c>
      <c r="L622" s="23" t="e">
        <f t="shared" ref="L622" si="1199">AVERAGE(I619:L619)/AVERAGE(H619:K619)-1</f>
        <v>#DIV/0!</v>
      </c>
      <c r="M622" s="23" t="e">
        <f t="shared" ref="M622" si="1200">AVERAGE(J619:M619)/AVERAGE(I619:L619)-1</f>
        <v>#DIV/0!</v>
      </c>
      <c r="N622" s="23" t="e">
        <f t="shared" ref="N622" si="1201">AVERAGE(K619:N619)/AVERAGE(J619:M619)-1</f>
        <v>#DIV/0!</v>
      </c>
      <c r="O622" s="23" t="e">
        <f t="shared" ref="O622" si="1202">AVERAGE(L619:O619)/AVERAGE(K619:N619)-1</f>
        <v>#DIV/0!</v>
      </c>
      <c r="P622" s="23" t="e">
        <f t="shared" ref="P622" si="1203">AVERAGE(M619:P619)/AVERAGE(L619:O619)-1</f>
        <v>#DIV/0!</v>
      </c>
      <c r="Q622" s="23" t="e">
        <f t="shared" ref="Q622" si="1204">AVERAGE(N619:Q619)/AVERAGE(M619:P619)-1</f>
        <v>#DIV/0!</v>
      </c>
      <c r="R622" s="23" t="e">
        <f t="shared" ref="R622" si="1205">AVERAGE(O619:R619)/AVERAGE(N619:Q619)-1</f>
        <v>#DIV/0!</v>
      </c>
      <c r="S622" s="23" t="e">
        <f t="shared" ref="S622" si="1206">AVERAGE(P619:S619)/AVERAGE(O619:R619)-1</f>
        <v>#DIV/0!</v>
      </c>
      <c r="T622" s="23" t="e">
        <f t="shared" ref="T622" si="1207">AVERAGE(Q619:T619)/AVERAGE(P619:S619)-1</f>
        <v>#DIV/0!</v>
      </c>
      <c r="U622" s="23" t="e">
        <f t="shared" ref="U622" si="1208">AVERAGE(R619:U619)/AVERAGE(Q619:T619)-1</f>
        <v>#DIV/0!</v>
      </c>
    </row>
    <row r="623" spans="1:21" ht="13.5" thickBot="1" x14ac:dyDescent="0.25"/>
    <row r="624" spans="1:21" ht="13.5" thickBot="1" x14ac:dyDescent="0.25">
      <c r="A624" s="24" t="s">
        <v>0</v>
      </c>
      <c r="B624" s="25"/>
      <c r="C624" s="24" t="s">
        <v>30</v>
      </c>
      <c r="D624" s="24" t="s">
        <v>31</v>
      </c>
      <c r="E624" s="24" t="s">
        <v>32</v>
      </c>
      <c r="F624" s="24" t="s">
        <v>33</v>
      </c>
      <c r="G624" s="24" t="s">
        <v>34</v>
      </c>
      <c r="H624" s="24" t="s">
        <v>35</v>
      </c>
      <c r="I624" s="24" t="s">
        <v>36</v>
      </c>
      <c r="J624" s="24" t="s">
        <v>37</v>
      </c>
      <c r="K624" s="24" t="s">
        <v>38</v>
      </c>
      <c r="L624" s="24" t="s">
        <v>39</v>
      </c>
      <c r="M624" s="24" t="s">
        <v>40</v>
      </c>
      <c r="N624" s="24" t="s">
        <v>41</v>
      </c>
      <c r="O624" s="24" t="s">
        <v>42</v>
      </c>
      <c r="P624" s="24" t="s">
        <v>43</v>
      </c>
      <c r="Q624" s="24" t="s">
        <v>44</v>
      </c>
      <c r="R624" s="24" t="s">
        <v>45</v>
      </c>
      <c r="S624" s="24" t="s">
        <v>46</v>
      </c>
      <c r="T624" s="24" t="s">
        <v>47</v>
      </c>
      <c r="U624" s="24" t="s">
        <v>19</v>
      </c>
    </row>
    <row r="625" spans="1:21" x14ac:dyDescent="0.2">
      <c r="A625" s="17"/>
      <c r="B625" s="17" t="s">
        <v>51</v>
      </c>
      <c r="C625" s="17"/>
      <c r="D625" s="17"/>
      <c r="E625" s="17"/>
      <c r="F625" s="17"/>
      <c r="G625" s="17"/>
      <c r="H625" s="17"/>
      <c r="I625" s="17"/>
      <c r="J625" s="17"/>
      <c r="K625" s="17"/>
      <c r="L625" s="17"/>
      <c r="M625" s="17"/>
      <c r="N625" s="17"/>
      <c r="O625" s="17"/>
      <c r="P625" s="17"/>
      <c r="Q625" s="17"/>
      <c r="R625" s="17"/>
      <c r="S625" s="17"/>
      <c r="T625" s="17"/>
      <c r="U625" s="17"/>
    </row>
    <row r="626" spans="1:21" x14ac:dyDescent="0.2">
      <c r="B626" t="s">
        <v>49</v>
      </c>
      <c r="C626" s="22"/>
      <c r="D626" s="22"/>
      <c r="E626" s="22"/>
      <c r="F626" s="22"/>
      <c r="G626" s="22"/>
      <c r="H626" s="22"/>
      <c r="I626" s="22"/>
      <c r="J626" s="22"/>
      <c r="K626" s="22" t="e">
        <f t="shared" ref="K626" si="1209">K625/G625-1</f>
        <v>#DIV/0!</v>
      </c>
      <c r="L626" s="22" t="e">
        <f t="shared" ref="L626" si="1210">L625/H625-1</f>
        <v>#DIV/0!</v>
      </c>
      <c r="M626" s="22" t="e">
        <f t="shared" ref="M626" si="1211">M625/I625-1</f>
        <v>#DIV/0!</v>
      </c>
      <c r="N626" s="22" t="e">
        <f t="shared" ref="N626" si="1212">N625/J625-1</f>
        <v>#DIV/0!</v>
      </c>
      <c r="O626" s="22" t="e">
        <f t="shared" ref="O626" si="1213">O625/K625-1</f>
        <v>#DIV/0!</v>
      </c>
      <c r="P626" s="22" t="e">
        <f t="shared" ref="P626" si="1214">P625/L625-1</f>
        <v>#DIV/0!</v>
      </c>
      <c r="Q626" s="22" t="e">
        <f t="shared" ref="Q626" si="1215">Q625/M625-1</f>
        <v>#DIV/0!</v>
      </c>
      <c r="R626" s="22" t="e">
        <f t="shared" ref="R626" si="1216">R625/N625-1</f>
        <v>#DIV/0!</v>
      </c>
      <c r="S626" s="22" t="e">
        <f t="shared" ref="S626" si="1217">S625/O625-1</f>
        <v>#DIV/0!</v>
      </c>
      <c r="T626" s="22" t="e">
        <f t="shared" ref="T626" si="1218">T625/P625-1</f>
        <v>#DIV/0!</v>
      </c>
      <c r="U626" s="22" t="e">
        <f t="shared" ref="U626" si="1219">U625/Q625-1</f>
        <v>#DIV/0!</v>
      </c>
    </row>
    <row r="627" spans="1:21" x14ac:dyDescent="0.2">
      <c r="B627" t="s">
        <v>52</v>
      </c>
      <c r="C627" s="22"/>
      <c r="D627" s="22"/>
      <c r="E627" s="22"/>
      <c r="F627" s="22"/>
      <c r="G627" s="22"/>
      <c r="H627" s="22"/>
      <c r="I627" s="22"/>
      <c r="J627" s="22"/>
      <c r="K627" s="22"/>
      <c r="L627" s="22" t="e">
        <f t="shared" ref="L627" si="1220">L625/K625-1</f>
        <v>#DIV/0!</v>
      </c>
      <c r="M627" s="22" t="e">
        <f t="shared" ref="M627" si="1221">M625/L625-1</f>
        <v>#DIV/0!</v>
      </c>
      <c r="N627" s="22" t="e">
        <f t="shared" ref="N627" si="1222">N625/M625-1</f>
        <v>#DIV/0!</v>
      </c>
      <c r="O627" s="22" t="e">
        <f t="shared" ref="O627" si="1223">O625/N625-1</f>
        <v>#DIV/0!</v>
      </c>
      <c r="P627" s="22" t="e">
        <f t="shared" ref="P627" si="1224">P625/O625-1</f>
        <v>#DIV/0!</v>
      </c>
      <c r="Q627" s="22" t="e">
        <f t="shared" ref="Q627" si="1225">Q625/P625-1</f>
        <v>#DIV/0!</v>
      </c>
      <c r="R627" s="22" t="e">
        <f t="shared" ref="R627" si="1226">R625/Q625-1</f>
        <v>#DIV/0!</v>
      </c>
      <c r="S627" s="22" t="e">
        <f t="shared" ref="S627" si="1227">S625/R625-1</f>
        <v>#DIV/0!</v>
      </c>
      <c r="T627" s="22" t="e">
        <f t="shared" ref="T627" si="1228">T625/S625-1</f>
        <v>#DIV/0!</v>
      </c>
      <c r="U627" s="22" t="e">
        <f t="shared" ref="U627" si="1229">U625/T625-1</f>
        <v>#DIV/0!</v>
      </c>
    </row>
    <row r="628" spans="1:21" x14ac:dyDescent="0.2">
      <c r="A628" s="17"/>
      <c r="B628" s="17" t="s">
        <v>48</v>
      </c>
      <c r="C628" s="17"/>
      <c r="D628" s="17"/>
      <c r="E628" s="17"/>
      <c r="F628" s="17"/>
      <c r="G628" s="17"/>
      <c r="H628" s="17"/>
      <c r="I628" s="17"/>
      <c r="J628" s="17"/>
      <c r="K628" s="17"/>
      <c r="L628" s="17"/>
      <c r="M628" s="17"/>
      <c r="N628" s="17"/>
      <c r="O628" s="17"/>
      <c r="P628" s="17"/>
      <c r="Q628" s="17"/>
      <c r="R628" s="17"/>
      <c r="S628" s="17"/>
      <c r="T628" s="17"/>
      <c r="U628" s="17"/>
    </row>
    <row r="629" spans="1:21" x14ac:dyDescent="0.2">
      <c r="B629" t="s">
        <v>49</v>
      </c>
      <c r="C629" s="22"/>
      <c r="D629" s="22"/>
      <c r="E629" s="22"/>
      <c r="F629" s="22"/>
      <c r="G629" s="22"/>
      <c r="H629" s="22"/>
      <c r="I629" s="22"/>
      <c r="J629" s="22"/>
      <c r="K629" s="22" t="e">
        <f t="shared" ref="K629" si="1230">K628/G628-1</f>
        <v>#DIV/0!</v>
      </c>
      <c r="L629" s="22" t="e">
        <f t="shared" ref="L629" si="1231">L628/H628-1</f>
        <v>#DIV/0!</v>
      </c>
      <c r="M629" s="22" t="e">
        <f t="shared" ref="M629" si="1232">M628/I628-1</f>
        <v>#DIV/0!</v>
      </c>
      <c r="N629" s="22" t="e">
        <f t="shared" ref="N629" si="1233">N628/J628-1</f>
        <v>#DIV/0!</v>
      </c>
      <c r="O629" s="22" t="e">
        <f t="shared" ref="O629" si="1234">O628/K628-1</f>
        <v>#DIV/0!</v>
      </c>
      <c r="P629" s="22" t="e">
        <f t="shared" ref="P629" si="1235">P628/L628-1</f>
        <v>#DIV/0!</v>
      </c>
      <c r="Q629" s="22" t="e">
        <f t="shared" ref="Q629" si="1236">Q628/M628-1</f>
        <v>#DIV/0!</v>
      </c>
      <c r="R629" s="22" t="e">
        <f t="shared" ref="R629" si="1237">R628/N628-1</f>
        <v>#DIV/0!</v>
      </c>
      <c r="S629" s="22" t="e">
        <f t="shared" ref="S629" si="1238">S628/O628-1</f>
        <v>#DIV/0!</v>
      </c>
      <c r="T629" s="22" t="e">
        <f t="shared" ref="T629" si="1239">T628/P628-1</f>
        <v>#DIV/0!</v>
      </c>
      <c r="U629" s="22" t="e">
        <f t="shared" ref="U629" si="1240">U628/Q628-1</f>
        <v>#DIV/0!</v>
      </c>
    </row>
    <row r="630" spans="1:21" x14ac:dyDescent="0.2">
      <c r="B630" t="s">
        <v>52</v>
      </c>
      <c r="C630" s="22"/>
      <c r="D630" s="22"/>
      <c r="E630" s="22"/>
      <c r="F630" s="22"/>
      <c r="G630" s="22"/>
      <c r="H630" s="22"/>
      <c r="I630" s="22"/>
      <c r="J630" s="22"/>
      <c r="K630" s="22"/>
      <c r="L630" s="22" t="e">
        <f t="shared" ref="L630" si="1241">L628/K628-1</f>
        <v>#DIV/0!</v>
      </c>
      <c r="M630" s="22" t="e">
        <f t="shared" ref="M630" si="1242">M628/L628-1</f>
        <v>#DIV/0!</v>
      </c>
      <c r="N630" s="22" t="e">
        <f t="shared" ref="N630" si="1243">N628/M628-1</f>
        <v>#DIV/0!</v>
      </c>
      <c r="O630" s="22" t="e">
        <f t="shared" ref="O630" si="1244">O628/N628-1</f>
        <v>#DIV/0!</v>
      </c>
      <c r="P630" s="22" t="e">
        <f t="shared" ref="P630" si="1245">P628/O628-1</f>
        <v>#DIV/0!</v>
      </c>
      <c r="Q630" s="22" t="e">
        <f t="shared" ref="Q630" si="1246">Q628/P628-1</f>
        <v>#DIV/0!</v>
      </c>
      <c r="R630" s="22" t="e">
        <f t="shared" ref="R630" si="1247">R628/Q628-1</f>
        <v>#DIV/0!</v>
      </c>
      <c r="S630" s="22" t="e">
        <f t="shared" ref="S630" si="1248">S628/R628-1</f>
        <v>#DIV/0!</v>
      </c>
      <c r="T630" s="22" t="e">
        <f t="shared" ref="T630" si="1249">T628/S628-1</f>
        <v>#DIV/0!</v>
      </c>
      <c r="U630" s="22" t="e">
        <f t="shared" ref="U630" si="1250">U628/T628-1</f>
        <v>#DIV/0!</v>
      </c>
    </row>
    <row r="631" spans="1:21" x14ac:dyDescent="0.2">
      <c r="B631" s="17" t="s">
        <v>50</v>
      </c>
      <c r="C631" s="17"/>
      <c r="D631" s="17"/>
      <c r="E631" s="17"/>
      <c r="F631" s="17"/>
      <c r="G631" s="23"/>
      <c r="H631" s="23"/>
      <c r="I631" s="23"/>
      <c r="J631" s="23"/>
      <c r="K631" s="23" t="e">
        <f t="shared" ref="K631" si="1251">AVERAGE(H628:K628)/AVERAGE(G628:J628)-1</f>
        <v>#DIV/0!</v>
      </c>
      <c r="L631" s="23" t="e">
        <f t="shared" ref="L631" si="1252">AVERAGE(I628:L628)/AVERAGE(H628:K628)-1</f>
        <v>#DIV/0!</v>
      </c>
      <c r="M631" s="23" t="e">
        <f t="shared" ref="M631" si="1253">AVERAGE(J628:M628)/AVERAGE(I628:L628)-1</f>
        <v>#DIV/0!</v>
      </c>
      <c r="N631" s="23" t="e">
        <f t="shared" ref="N631" si="1254">AVERAGE(K628:N628)/AVERAGE(J628:M628)-1</f>
        <v>#DIV/0!</v>
      </c>
      <c r="O631" s="23" t="e">
        <f t="shared" ref="O631" si="1255">AVERAGE(L628:O628)/AVERAGE(K628:N628)-1</f>
        <v>#DIV/0!</v>
      </c>
      <c r="P631" s="23" t="e">
        <f t="shared" ref="P631" si="1256">AVERAGE(M628:P628)/AVERAGE(L628:O628)-1</f>
        <v>#DIV/0!</v>
      </c>
      <c r="Q631" s="23" t="e">
        <f t="shared" ref="Q631" si="1257">AVERAGE(N628:Q628)/AVERAGE(M628:P628)-1</f>
        <v>#DIV/0!</v>
      </c>
      <c r="R631" s="23" t="e">
        <f t="shared" ref="R631" si="1258">AVERAGE(O628:R628)/AVERAGE(N628:Q628)-1</f>
        <v>#DIV/0!</v>
      </c>
      <c r="S631" s="23" t="e">
        <f t="shared" ref="S631" si="1259">AVERAGE(P628:S628)/AVERAGE(O628:R628)-1</f>
        <v>#DIV/0!</v>
      </c>
      <c r="T631" s="23" t="e">
        <f t="shared" ref="T631" si="1260">AVERAGE(Q628:T628)/AVERAGE(P628:S628)-1</f>
        <v>#DIV/0!</v>
      </c>
      <c r="U631" s="23" t="e">
        <f t="shared" ref="U631" si="1261">AVERAGE(R628:U628)/AVERAGE(Q628:T628)-1</f>
        <v>#DIV/0!</v>
      </c>
    </row>
    <row r="632" spans="1:21" ht="13.5" thickBot="1" x14ac:dyDescent="0.25"/>
    <row r="633" spans="1:21" ht="13.5" thickBot="1" x14ac:dyDescent="0.25">
      <c r="A633" s="24" t="s">
        <v>0</v>
      </c>
      <c r="B633" s="25"/>
      <c r="C633" s="24" t="s">
        <v>30</v>
      </c>
      <c r="D633" s="24" t="s">
        <v>31</v>
      </c>
      <c r="E633" s="24" t="s">
        <v>32</v>
      </c>
      <c r="F633" s="24" t="s">
        <v>33</v>
      </c>
      <c r="G633" s="24" t="s">
        <v>34</v>
      </c>
      <c r="H633" s="24" t="s">
        <v>35</v>
      </c>
      <c r="I633" s="24" t="s">
        <v>36</v>
      </c>
      <c r="J633" s="24" t="s">
        <v>37</v>
      </c>
      <c r="K633" s="24" t="s">
        <v>38</v>
      </c>
      <c r="L633" s="24" t="s">
        <v>39</v>
      </c>
      <c r="M633" s="24" t="s">
        <v>40</v>
      </c>
      <c r="N633" s="24" t="s">
        <v>41</v>
      </c>
      <c r="O633" s="24" t="s">
        <v>42</v>
      </c>
      <c r="P633" s="24" t="s">
        <v>43</v>
      </c>
      <c r="Q633" s="24" t="s">
        <v>44</v>
      </c>
      <c r="R633" s="24" t="s">
        <v>45</v>
      </c>
      <c r="S633" s="24" t="s">
        <v>46</v>
      </c>
      <c r="T633" s="24" t="s">
        <v>47</v>
      </c>
      <c r="U633" s="24" t="s">
        <v>19</v>
      </c>
    </row>
    <row r="634" spans="1:21" x14ac:dyDescent="0.2">
      <c r="A634" s="17"/>
      <c r="B634" s="17" t="s">
        <v>51</v>
      </c>
      <c r="C634" s="17"/>
      <c r="D634" s="17"/>
      <c r="E634" s="17"/>
      <c r="F634" s="17"/>
      <c r="G634" s="17"/>
      <c r="H634" s="17"/>
      <c r="I634" s="17"/>
      <c r="J634" s="17"/>
      <c r="K634" s="17"/>
      <c r="L634" s="17"/>
      <c r="M634" s="17"/>
      <c r="N634" s="17"/>
      <c r="O634" s="17"/>
      <c r="P634" s="17"/>
      <c r="Q634" s="17"/>
      <c r="R634" s="17"/>
      <c r="S634" s="17"/>
      <c r="T634" s="17"/>
      <c r="U634" s="17"/>
    </row>
    <row r="635" spans="1:21" x14ac:dyDescent="0.2">
      <c r="B635" t="s">
        <v>49</v>
      </c>
      <c r="C635" s="22"/>
      <c r="D635" s="22"/>
      <c r="E635" s="22"/>
      <c r="F635" s="22"/>
      <c r="G635" s="22"/>
      <c r="H635" s="22"/>
      <c r="I635" s="22"/>
      <c r="J635" s="22"/>
      <c r="K635" s="22" t="e">
        <f t="shared" ref="K635" si="1262">K634/G634-1</f>
        <v>#DIV/0!</v>
      </c>
      <c r="L635" s="22" t="e">
        <f t="shared" ref="L635" si="1263">L634/H634-1</f>
        <v>#DIV/0!</v>
      </c>
      <c r="M635" s="22" t="e">
        <f t="shared" ref="M635" si="1264">M634/I634-1</f>
        <v>#DIV/0!</v>
      </c>
      <c r="N635" s="22" t="e">
        <f t="shared" ref="N635" si="1265">N634/J634-1</f>
        <v>#DIV/0!</v>
      </c>
      <c r="O635" s="22" t="e">
        <f t="shared" ref="O635" si="1266">O634/K634-1</f>
        <v>#DIV/0!</v>
      </c>
      <c r="P635" s="22" t="e">
        <f t="shared" ref="P635" si="1267">P634/L634-1</f>
        <v>#DIV/0!</v>
      </c>
      <c r="Q635" s="22" t="e">
        <f t="shared" ref="Q635" si="1268">Q634/M634-1</f>
        <v>#DIV/0!</v>
      </c>
      <c r="R635" s="22" t="e">
        <f t="shared" ref="R635" si="1269">R634/N634-1</f>
        <v>#DIV/0!</v>
      </c>
      <c r="S635" s="22" t="e">
        <f t="shared" ref="S635" si="1270">S634/O634-1</f>
        <v>#DIV/0!</v>
      </c>
      <c r="T635" s="22" t="e">
        <f t="shared" ref="T635" si="1271">T634/P634-1</f>
        <v>#DIV/0!</v>
      </c>
      <c r="U635" s="22" t="e">
        <f t="shared" ref="U635" si="1272">U634/Q634-1</f>
        <v>#DIV/0!</v>
      </c>
    </row>
    <row r="636" spans="1:21" x14ac:dyDescent="0.2">
      <c r="B636" t="s">
        <v>52</v>
      </c>
      <c r="C636" s="22"/>
      <c r="D636" s="22"/>
      <c r="E636" s="22"/>
      <c r="F636" s="22"/>
      <c r="G636" s="22"/>
      <c r="H636" s="22"/>
      <c r="I636" s="22"/>
      <c r="J636" s="22"/>
      <c r="K636" s="22"/>
      <c r="L636" s="22" t="e">
        <f t="shared" ref="L636" si="1273">L634/K634-1</f>
        <v>#DIV/0!</v>
      </c>
      <c r="M636" s="22" t="e">
        <f t="shared" ref="M636" si="1274">M634/L634-1</f>
        <v>#DIV/0!</v>
      </c>
      <c r="N636" s="22" t="e">
        <f t="shared" ref="N636" si="1275">N634/M634-1</f>
        <v>#DIV/0!</v>
      </c>
      <c r="O636" s="22" t="e">
        <f t="shared" ref="O636" si="1276">O634/N634-1</f>
        <v>#DIV/0!</v>
      </c>
      <c r="P636" s="22" t="e">
        <f t="shared" ref="P636" si="1277">P634/O634-1</f>
        <v>#DIV/0!</v>
      </c>
      <c r="Q636" s="22" t="e">
        <f t="shared" ref="Q636" si="1278">Q634/P634-1</f>
        <v>#DIV/0!</v>
      </c>
      <c r="R636" s="22" t="e">
        <f t="shared" ref="R636" si="1279">R634/Q634-1</f>
        <v>#DIV/0!</v>
      </c>
      <c r="S636" s="22" t="e">
        <f t="shared" ref="S636" si="1280">S634/R634-1</f>
        <v>#DIV/0!</v>
      </c>
      <c r="T636" s="22" t="e">
        <f t="shared" ref="T636" si="1281">T634/S634-1</f>
        <v>#DIV/0!</v>
      </c>
      <c r="U636" s="22" t="e">
        <f t="shared" ref="U636" si="1282">U634/T634-1</f>
        <v>#DIV/0!</v>
      </c>
    </row>
    <row r="637" spans="1:21" x14ac:dyDescent="0.2">
      <c r="A637" s="17"/>
      <c r="B637" s="17" t="s">
        <v>48</v>
      </c>
      <c r="C637" s="17"/>
      <c r="D637" s="17"/>
      <c r="E637" s="17"/>
      <c r="F637" s="17"/>
      <c r="G637" s="17"/>
      <c r="H637" s="17"/>
      <c r="I637" s="17"/>
      <c r="J637" s="17"/>
      <c r="K637" s="17"/>
      <c r="L637" s="17"/>
      <c r="M637" s="17"/>
      <c r="N637" s="17"/>
      <c r="O637" s="17"/>
      <c r="P637" s="17"/>
      <c r="Q637" s="17"/>
      <c r="R637" s="17"/>
      <c r="S637" s="17"/>
      <c r="T637" s="17"/>
      <c r="U637" s="17"/>
    </row>
    <row r="638" spans="1:21" x14ac:dyDescent="0.2">
      <c r="B638" t="s">
        <v>49</v>
      </c>
      <c r="C638" s="22"/>
      <c r="D638" s="22"/>
      <c r="E638" s="22"/>
      <c r="F638" s="22"/>
      <c r="G638" s="22"/>
      <c r="H638" s="22"/>
      <c r="I638" s="22"/>
      <c r="J638" s="22"/>
      <c r="K638" s="22" t="e">
        <f t="shared" ref="K638" si="1283">K637/G637-1</f>
        <v>#DIV/0!</v>
      </c>
      <c r="L638" s="22" t="e">
        <f t="shared" ref="L638" si="1284">L637/H637-1</f>
        <v>#DIV/0!</v>
      </c>
      <c r="M638" s="22" t="e">
        <f t="shared" ref="M638" si="1285">M637/I637-1</f>
        <v>#DIV/0!</v>
      </c>
      <c r="N638" s="22" t="e">
        <f t="shared" ref="N638" si="1286">N637/J637-1</f>
        <v>#DIV/0!</v>
      </c>
      <c r="O638" s="22" t="e">
        <f t="shared" ref="O638" si="1287">O637/K637-1</f>
        <v>#DIV/0!</v>
      </c>
      <c r="P638" s="22" t="e">
        <f t="shared" ref="P638" si="1288">P637/L637-1</f>
        <v>#DIV/0!</v>
      </c>
      <c r="Q638" s="22" t="e">
        <f t="shared" ref="Q638" si="1289">Q637/M637-1</f>
        <v>#DIV/0!</v>
      </c>
      <c r="R638" s="22" t="e">
        <f t="shared" ref="R638" si="1290">R637/N637-1</f>
        <v>#DIV/0!</v>
      </c>
      <c r="S638" s="22" t="e">
        <f t="shared" ref="S638" si="1291">S637/O637-1</f>
        <v>#DIV/0!</v>
      </c>
      <c r="T638" s="22" t="e">
        <f t="shared" ref="T638" si="1292">T637/P637-1</f>
        <v>#DIV/0!</v>
      </c>
      <c r="U638" s="22" t="e">
        <f t="shared" ref="U638" si="1293">U637/Q637-1</f>
        <v>#DIV/0!</v>
      </c>
    </row>
    <row r="639" spans="1:21" x14ac:dyDescent="0.2">
      <c r="B639" t="s">
        <v>52</v>
      </c>
      <c r="C639" s="22"/>
      <c r="D639" s="22"/>
      <c r="E639" s="22"/>
      <c r="F639" s="22"/>
      <c r="G639" s="22"/>
      <c r="H639" s="22"/>
      <c r="I639" s="22"/>
      <c r="J639" s="22"/>
      <c r="K639" s="22"/>
      <c r="L639" s="22" t="e">
        <f t="shared" ref="L639" si="1294">L637/K637-1</f>
        <v>#DIV/0!</v>
      </c>
      <c r="M639" s="22" t="e">
        <f t="shared" ref="M639" si="1295">M637/L637-1</f>
        <v>#DIV/0!</v>
      </c>
      <c r="N639" s="22" t="e">
        <f t="shared" ref="N639" si="1296">N637/M637-1</f>
        <v>#DIV/0!</v>
      </c>
      <c r="O639" s="22" t="e">
        <f t="shared" ref="O639" si="1297">O637/N637-1</f>
        <v>#DIV/0!</v>
      </c>
      <c r="P639" s="22" t="e">
        <f t="shared" ref="P639" si="1298">P637/O637-1</f>
        <v>#DIV/0!</v>
      </c>
      <c r="Q639" s="22" t="e">
        <f t="shared" ref="Q639" si="1299">Q637/P637-1</f>
        <v>#DIV/0!</v>
      </c>
      <c r="R639" s="22" t="e">
        <f t="shared" ref="R639" si="1300">R637/Q637-1</f>
        <v>#DIV/0!</v>
      </c>
      <c r="S639" s="22" t="e">
        <f t="shared" ref="S639" si="1301">S637/R637-1</f>
        <v>#DIV/0!</v>
      </c>
      <c r="T639" s="22" t="e">
        <f t="shared" ref="T639" si="1302">T637/S637-1</f>
        <v>#DIV/0!</v>
      </c>
      <c r="U639" s="22" t="e">
        <f t="shared" ref="U639" si="1303">U637/T637-1</f>
        <v>#DIV/0!</v>
      </c>
    </row>
    <row r="640" spans="1:21" x14ac:dyDescent="0.2">
      <c r="B640" s="17" t="s">
        <v>50</v>
      </c>
      <c r="C640" s="17"/>
      <c r="D640" s="17"/>
      <c r="E640" s="17"/>
      <c r="F640" s="17"/>
      <c r="G640" s="23"/>
      <c r="H640" s="23"/>
      <c r="I640" s="23"/>
      <c r="J640" s="23"/>
      <c r="K640" s="23" t="e">
        <f t="shared" ref="K640" si="1304">AVERAGE(H637:K637)/AVERAGE(G637:J637)-1</f>
        <v>#DIV/0!</v>
      </c>
      <c r="L640" s="23" t="e">
        <f t="shared" ref="L640" si="1305">AVERAGE(I637:L637)/AVERAGE(H637:K637)-1</f>
        <v>#DIV/0!</v>
      </c>
      <c r="M640" s="23" t="e">
        <f t="shared" ref="M640" si="1306">AVERAGE(J637:M637)/AVERAGE(I637:L637)-1</f>
        <v>#DIV/0!</v>
      </c>
      <c r="N640" s="23" t="e">
        <f t="shared" ref="N640" si="1307">AVERAGE(K637:N637)/AVERAGE(J637:M637)-1</f>
        <v>#DIV/0!</v>
      </c>
      <c r="O640" s="23" t="e">
        <f t="shared" ref="O640" si="1308">AVERAGE(L637:O637)/AVERAGE(K637:N637)-1</f>
        <v>#DIV/0!</v>
      </c>
      <c r="P640" s="23" t="e">
        <f t="shared" ref="P640" si="1309">AVERAGE(M637:P637)/AVERAGE(L637:O637)-1</f>
        <v>#DIV/0!</v>
      </c>
      <c r="Q640" s="23" t="e">
        <f t="shared" ref="Q640" si="1310">AVERAGE(N637:Q637)/AVERAGE(M637:P637)-1</f>
        <v>#DIV/0!</v>
      </c>
      <c r="R640" s="23" t="e">
        <f t="shared" ref="R640" si="1311">AVERAGE(O637:R637)/AVERAGE(N637:Q637)-1</f>
        <v>#DIV/0!</v>
      </c>
      <c r="S640" s="23" t="e">
        <f t="shared" ref="S640" si="1312">AVERAGE(P637:S637)/AVERAGE(O637:R637)-1</f>
        <v>#DIV/0!</v>
      </c>
      <c r="T640" s="23" t="e">
        <f t="shared" ref="T640" si="1313">AVERAGE(Q637:T637)/AVERAGE(P637:S637)-1</f>
        <v>#DIV/0!</v>
      </c>
      <c r="U640" s="23" t="e">
        <f t="shared" ref="U640" si="1314">AVERAGE(R637:U637)/AVERAGE(Q637:T637)-1</f>
        <v>#DIV/0!</v>
      </c>
    </row>
    <row r="641" spans="1:21" ht="13.5" thickBot="1" x14ac:dyDescent="0.25"/>
    <row r="642" spans="1:21" ht="13.5" thickBot="1" x14ac:dyDescent="0.25">
      <c r="A642" s="24" t="s">
        <v>0</v>
      </c>
      <c r="B642" s="25"/>
      <c r="C642" s="24" t="s">
        <v>30</v>
      </c>
      <c r="D642" s="24" t="s">
        <v>31</v>
      </c>
      <c r="E642" s="24" t="s">
        <v>32</v>
      </c>
      <c r="F642" s="24" t="s">
        <v>33</v>
      </c>
      <c r="G642" s="24" t="s">
        <v>34</v>
      </c>
      <c r="H642" s="24" t="s">
        <v>35</v>
      </c>
      <c r="I642" s="24" t="s">
        <v>36</v>
      </c>
      <c r="J642" s="24" t="s">
        <v>37</v>
      </c>
      <c r="K642" s="24" t="s">
        <v>38</v>
      </c>
      <c r="L642" s="24" t="s">
        <v>39</v>
      </c>
      <c r="M642" s="24" t="s">
        <v>40</v>
      </c>
      <c r="N642" s="24" t="s">
        <v>41</v>
      </c>
      <c r="O642" s="24" t="s">
        <v>42</v>
      </c>
      <c r="P642" s="24" t="s">
        <v>43</v>
      </c>
      <c r="Q642" s="24" t="s">
        <v>44</v>
      </c>
      <c r="R642" s="24" t="s">
        <v>45</v>
      </c>
      <c r="S642" s="24" t="s">
        <v>46</v>
      </c>
      <c r="T642" s="24" t="s">
        <v>47</v>
      </c>
      <c r="U642" s="24" t="s">
        <v>19</v>
      </c>
    </row>
    <row r="643" spans="1:21" x14ac:dyDescent="0.2">
      <c r="A643" s="17"/>
      <c r="B643" s="17" t="s">
        <v>51</v>
      </c>
      <c r="C643" s="17"/>
      <c r="D643" s="17"/>
      <c r="E643" s="17"/>
      <c r="F643" s="17"/>
      <c r="G643" s="17"/>
      <c r="H643" s="17"/>
      <c r="I643" s="17"/>
      <c r="J643" s="17"/>
      <c r="K643" s="17"/>
      <c r="L643" s="17"/>
      <c r="M643" s="17"/>
      <c r="N643" s="17"/>
      <c r="O643" s="17"/>
      <c r="P643" s="17"/>
      <c r="Q643" s="17"/>
      <c r="R643" s="17"/>
      <c r="S643" s="17"/>
      <c r="T643" s="17"/>
      <c r="U643" s="17"/>
    </row>
    <row r="644" spans="1:21" x14ac:dyDescent="0.2">
      <c r="B644" t="s">
        <v>49</v>
      </c>
      <c r="C644" s="22"/>
      <c r="D644" s="22"/>
      <c r="E644" s="22"/>
      <c r="F644" s="22"/>
      <c r="G644" s="22"/>
      <c r="H644" s="22"/>
      <c r="I644" s="22"/>
      <c r="J644" s="22"/>
      <c r="K644" s="22" t="e">
        <f t="shared" ref="K644" si="1315">K643/G643-1</f>
        <v>#DIV/0!</v>
      </c>
      <c r="L644" s="22" t="e">
        <f t="shared" ref="L644" si="1316">L643/H643-1</f>
        <v>#DIV/0!</v>
      </c>
      <c r="M644" s="22" t="e">
        <f t="shared" ref="M644" si="1317">M643/I643-1</f>
        <v>#DIV/0!</v>
      </c>
      <c r="N644" s="22" t="e">
        <f t="shared" ref="N644" si="1318">N643/J643-1</f>
        <v>#DIV/0!</v>
      </c>
      <c r="O644" s="22" t="e">
        <f t="shared" ref="O644" si="1319">O643/K643-1</f>
        <v>#DIV/0!</v>
      </c>
      <c r="P644" s="22" t="e">
        <f t="shared" ref="P644" si="1320">P643/L643-1</f>
        <v>#DIV/0!</v>
      </c>
      <c r="Q644" s="22" t="e">
        <f t="shared" ref="Q644" si="1321">Q643/M643-1</f>
        <v>#DIV/0!</v>
      </c>
      <c r="R644" s="22" t="e">
        <f t="shared" ref="R644" si="1322">R643/N643-1</f>
        <v>#DIV/0!</v>
      </c>
      <c r="S644" s="22" t="e">
        <f t="shared" ref="S644" si="1323">S643/O643-1</f>
        <v>#DIV/0!</v>
      </c>
      <c r="T644" s="22" t="e">
        <f t="shared" ref="T644" si="1324">T643/P643-1</f>
        <v>#DIV/0!</v>
      </c>
      <c r="U644" s="22" t="e">
        <f t="shared" ref="U644" si="1325">U643/Q643-1</f>
        <v>#DIV/0!</v>
      </c>
    </row>
    <row r="645" spans="1:21" x14ac:dyDescent="0.2">
      <c r="B645" t="s">
        <v>52</v>
      </c>
      <c r="C645" s="22"/>
      <c r="D645" s="22"/>
      <c r="E645" s="22"/>
      <c r="F645" s="22"/>
      <c r="G645" s="22"/>
      <c r="H645" s="22"/>
      <c r="I645" s="22"/>
      <c r="J645" s="22"/>
      <c r="K645" s="22"/>
      <c r="L645" s="22" t="e">
        <f t="shared" ref="L645" si="1326">L643/K643-1</f>
        <v>#DIV/0!</v>
      </c>
      <c r="M645" s="22" t="e">
        <f t="shared" ref="M645" si="1327">M643/L643-1</f>
        <v>#DIV/0!</v>
      </c>
      <c r="N645" s="22" t="e">
        <f t="shared" ref="N645" si="1328">N643/M643-1</f>
        <v>#DIV/0!</v>
      </c>
      <c r="O645" s="22" t="e">
        <f t="shared" ref="O645" si="1329">O643/N643-1</f>
        <v>#DIV/0!</v>
      </c>
      <c r="P645" s="22" t="e">
        <f t="shared" ref="P645" si="1330">P643/O643-1</f>
        <v>#DIV/0!</v>
      </c>
      <c r="Q645" s="22" t="e">
        <f t="shared" ref="Q645" si="1331">Q643/P643-1</f>
        <v>#DIV/0!</v>
      </c>
      <c r="R645" s="22" t="e">
        <f t="shared" ref="R645" si="1332">R643/Q643-1</f>
        <v>#DIV/0!</v>
      </c>
      <c r="S645" s="22" t="e">
        <f t="shared" ref="S645" si="1333">S643/R643-1</f>
        <v>#DIV/0!</v>
      </c>
      <c r="T645" s="22" t="e">
        <f t="shared" ref="T645" si="1334">T643/S643-1</f>
        <v>#DIV/0!</v>
      </c>
      <c r="U645" s="22" t="e">
        <f t="shared" ref="U645" si="1335">U643/T643-1</f>
        <v>#DIV/0!</v>
      </c>
    </row>
    <row r="646" spans="1:21" x14ac:dyDescent="0.2">
      <c r="A646" s="17"/>
      <c r="B646" s="17" t="s">
        <v>48</v>
      </c>
      <c r="C646" s="17"/>
      <c r="D646" s="17"/>
      <c r="E646" s="17"/>
      <c r="F646" s="17"/>
      <c r="G646" s="17"/>
      <c r="H646" s="17"/>
      <c r="I646" s="17"/>
      <c r="J646" s="17"/>
      <c r="K646" s="17"/>
      <c r="L646" s="17"/>
      <c r="M646" s="17"/>
      <c r="N646" s="17"/>
      <c r="O646" s="17"/>
      <c r="P646" s="17"/>
      <c r="Q646" s="17"/>
      <c r="R646" s="17"/>
      <c r="S646" s="17"/>
      <c r="T646" s="17"/>
      <c r="U646" s="17"/>
    </row>
    <row r="647" spans="1:21" x14ac:dyDescent="0.2">
      <c r="B647" t="s">
        <v>49</v>
      </c>
      <c r="C647" s="22"/>
      <c r="D647" s="22"/>
      <c r="E647" s="22"/>
      <c r="F647" s="22"/>
      <c r="G647" s="22"/>
      <c r="H647" s="22"/>
      <c r="I647" s="22"/>
      <c r="J647" s="22"/>
      <c r="K647" s="22" t="e">
        <f t="shared" ref="K647" si="1336">K646/G646-1</f>
        <v>#DIV/0!</v>
      </c>
      <c r="L647" s="22" t="e">
        <f t="shared" ref="L647" si="1337">L646/H646-1</f>
        <v>#DIV/0!</v>
      </c>
      <c r="M647" s="22" t="e">
        <f t="shared" ref="M647" si="1338">M646/I646-1</f>
        <v>#DIV/0!</v>
      </c>
      <c r="N647" s="22" t="e">
        <f t="shared" ref="N647" si="1339">N646/J646-1</f>
        <v>#DIV/0!</v>
      </c>
      <c r="O647" s="22" t="e">
        <f t="shared" ref="O647" si="1340">O646/K646-1</f>
        <v>#DIV/0!</v>
      </c>
      <c r="P647" s="22" t="e">
        <f t="shared" ref="P647" si="1341">P646/L646-1</f>
        <v>#DIV/0!</v>
      </c>
      <c r="Q647" s="22" t="e">
        <f t="shared" ref="Q647" si="1342">Q646/M646-1</f>
        <v>#DIV/0!</v>
      </c>
      <c r="R647" s="22" t="e">
        <f t="shared" ref="R647" si="1343">R646/N646-1</f>
        <v>#DIV/0!</v>
      </c>
      <c r="S647" s="22" t="e">
        <f t="shared" ref="S647" si="1344">S646/O646-1</f>
        <v>#DIV/0!</v>
      </c>
      <c r="T647" s="22" t="e">
        <f t="shared" ref="T647" si="1345">T646/P646-1</f>
        <v>#DIV/0!</v>
      </c>
      <c r="U647" s="22" t="e">
        <f t="shared" ref="U647" si="1346">U646/Q646-1</f>
        <v>#DIV/0!</v>
      </c>
    </row>
    <row r="648" spans="1:21" x14ac:dyDescent="0.2">
      <c r="B648" t="s">
        <v>52</v>
      </c>
      <c r="C648" s="22"/>
      <c r="D648" s="22"/>
      <c r="E648" s="22"/>
      <c r="F648" s="22"/>
      <c r="G648" s="22"/>
      <c r="H648" s="22"/>
      <c r="I648" s="22"/>
      <c r="J648" s="22"/>
      <c r="K648" s="22"/>
      <c r="L648" s="22" t="e">
        <f t="shared" ref="L648" si="1347">L646/K646-1</f>
        <v>#DIV/0!</v>
      </c>
      <c r="M648" s="22" t="e">
        <f t="shared" ref="M648" si="1348">M646/L646-1</f>
        <v>#DIV/0!</v>
      </c>
      <c r="N648" s="22" t="e">
        <f t="shared" ref="N648" si="1349">N646/M646-1</f>
        <v>#DIV/0!</v>
      </c>
      <c r="O648" s="22" t="e">
        <f t="shared" ref="O648" si="1350">O646/N646-1</f>
        <v>#DIV/0!</v>
      </c>
      <c r="P648" s="22" t="e">
        <f t="shared" ref="P648" si="1351">P646/O646-1</f>
        <v>#DIV/0!</v>
      </c>
      <c r="Q648" s="22" t="e">
        <f t="shared" ref="Q648" si="1352">Q646/P646-1</f>
        <v>#DIV/0!</v>
      </c>
      <c r="R648" s="22" t="e">
        <f t="shared" ref="R648" si="1353">R646/Q646-1</f>
        <v>#DIV/0!</v>
      </c>
      <c r="S648" s="22" t="e">
        <f t="shared" ref="S648" si="1354">S646/R646-1</f>
        <v>#DIV/0!</v>
      </c>
      <c r="T648" s="22" t="e">
        <f t="shared" ref="T648" si="1355">T646/S646-1</f>
        <v>#DIV/0!</v>
      </c>
      <c r="U648" s="22" t="e">
        <f t="shared" ref="U648" si="1356">U646/T646-1</f>
        <v>#DIV/0!</v>
      </c>
    </row>
    <row r="649" spans="1:21" x14ac:dyDescent="0.2">
      <c r="B649" s="17" t="s">
        <v>50</v>
      </c>
      <c r="C649" s="17"/>
      <c r="D649" s="17"/>
      <c r="E649" s="17"/>
      <c r="F649" s="17"/>
      <c r="G649" s="23"/>
      <c r="H649" s="23"/>
      <c r="I649" s="23"/>
      <c r="J649" s="23"/>
      <c r="K649" s="23" t="e">
        <f t="shared" ref="K649" si="1357">AVERAGE(H646:K646)/AVERAGE(G646:J646)-1</f>
        <v>#DIV/0!</v>
      </c>
      <c r="L649" s="23" t="e">
        <f t="shared" ref="L649" si="1358">AVERAGE(I646:L646)/AVERAGE(H646:K646)-1</f>
        <v>#DIV/0!</v>
      </c>
      <c r="M649" s="23" t="e">
        <f t="shared" ref="M649" si="1359">AVERAGE(J646:M646)/AVERAGE(I646:L646)-1</f>
        <v>#DIV/0!</v>
      </c>
      <c r="N649" s="23" t="e">
        <f t="shared" ref="N649" si="1360">AVERAGE(K646:N646)/AVERAGE(J646:M646)-1</f>
        <v>#DIV/0!</v>
      </c>
      <c r="O649" s="23" t="e">
        <f t="shared" ref="O649" si="1361">AVERAGE(L646:O646)/AVERAGE(K646:N646)-1</f>
        <v>#DIV/0!</v>
      </c>
      <c r="P649" s="23" t="e">
        <f t="shared" ref="P649" si="1362">AVERAGE(M646:P646)/AVERAGE(L646:O646)-1</f>
        <v>#DIV/0!</v>
      </c>
      <c r="Q649" s="23" t="e">
        <f t="shared" ref="Q649" si="1363">AVERAGE(N646:Q646)/AVERAGE(M646:P646)-1</f>
        <v>#DIV/0!</v>
      </c>
      <c r="R649" s="23" t="e">
        <f t="shared" ref="R649" si="1364">AVERAGE(O646:R646)/AVERAGE(N646:Q646)-1</f>
        <v>#DIV/0!</v>
      </c>
      <c r="S649" s="23" t="e">
        <f t="shared" ref="S649" si="1365">AVERAGE(P646:S646)/AVERAGE(O646:R646)-1</f>
        <v>#DIV/0!</v>
      </c>
      <c r="T649" s="23" t="e">
        <f t="shared" ref="T649" si="1366">AVERAGE(Q646:T646)/AVERAGE(P646:S646)-1</f>
        <v>#DIV/0!</v>
      </c>
      <c r="U649" s="23" t="e">
        <f t="shared" ref="U649" si="1367">AVERAGE(R646:U646)/AVERAGE(Q646:T646)-1</f>
        <v>#DIV/0!</v>
      </c>
    </row>
    <row r="650" spans="1:21" ht="13.5" thickBot="1" x14ac:dyDescent="0.25"/>
    <row r="651" spans="1:21" ht="13.5" thickBot="1" x14ac:dyDescent="0.25">
      <c r="A651" s="24" t="s">
        <v>0</v>
      </c>
      <c r="B651" s="25"/>
      <c r="C651" s="24" t="s">
        <v>30</v>
      </c>
      <c r="D651" s="24" t="s">
        <v>31</v>
      </c>
      <c r="E651" s="24" t="s">
        <v>32</v>
      </c>
      <c r="F651" s="24" t="s">
        <v>33</v>
      </c>
      <c r="G651" s="24" t="s">
        <v>34</v>
      </c>
      <c r="H651" s="24" t="s">
        <v>35</v>
      </c>
      <c r="I651" s="24" t="s">
        <v>36</v>
      </c>
      <c r="J651" s="24" t="s">
        <v>37</v>
      </c>
      <c r="K651" s="24" t="s">
        <v>38</v>
      </c>
      <c r="L651" s="24" t="s">
        <v>39</v>
      </c>
      <c r="M651" s="24" t="s">
        <v>40</v>
      </c>
      <c r="N651" s="24" t="s">
        <v>41</v>
      </c>
      <c r="O651" s="24" t="s">
        <v>42</v>
      </c>
      <c r="P651" s="24" t="s">
        <v>43</v>
      </c>
      <c r="Q651" s="24" t="s">
        <v>44</v>
      </c>
      <c r="R651" s="24" t="s">
        <v>45</v>
      </c>
      <c r="S651" s="24" t="s">
        <v>46</v>
      </c>
      <c r="T651" s="24" t="s">
        <v>47</v>
      </c>
      <c r="U651" s="24" t="s">
        <v>19</v>
      </c>
    </row>
    <row r="652" spans="1:21" x14ac:dyDescent="0.2">
      <c r="A652" s="17"/>
      <c r="B652" s="17" t="s">
        <v>51</v>
      </c>
      <c r="C652" s="17"/>
      <c r="D652" s="17"/>
      <c r="E652" s="17"/>
      <c r="F652" s="17"/>
      <c r="G652" s="17"/>
      <c r="H652" s="17"/>
      <c r="I652" s="17"/>
      <c r="J652" s="17"/>
      <c r="K652" s="17"/>
      <c r="L652" s="17"/>
      <c r="M652" s="17"/>
      <c r="N652" s="17"/>
      <c r="O652" s="17"/>
      <c r="P652" s="17"/>
      <c r="Q652" s="17"/>
      <c r="R652" s="17"/>
      <c r="S652" s="17"/>
      <c r="T652" s="17"/>
      <c r="U652" s="17"/>
    </row>
    <row r="653" spans="1:21" x14ac:dyDescent="0.2">
      <c r="B653" t="s">
        <v>49</v>
      </c>
      <c r="C653" s="22"/>
      <c r="D653" s="22"/>
      <c r="E653" s="22"/>
      <c r="F653" s="22"/>
      <c r="G653" s="22"/>
      <c r="H653" s="22"/>
      <c r="I653" s="22"/>
      <c r="J653" s="22"/>
      <c r="K653" s="22" t="e">
        <f t="shared" ref="K653" si="1368">K652/G652-1</f>
        <v>#DIV/0!</v>
      </c>
      <c r="L653" s="22" t="e">
        <f t="shared" ref="L653" si="1369">L652/H652-1</f>
        <v>#DIV/0!</v>
      </c>
      <c r="M653" s="22" t="e">
        <f t="shared" ref="M653" si="1370">M652/I652-1</f>
        <v>#DIV/0!</v>
      </c>
      <c r="N653" s="22" t="e">
        <f t="shared" ref="N653" si="1371">N652/J652-1</f>
        <v>#DIV/0!</v>
      </c>
      <c r="O653" s="22" t="e">
        <f t="shared" ref="O653" si="1372">O652/K652-1</f>
        <v>#DIV/0!</v>
      </c>
      <c r="P653" s="22" t="e">
        <f t="shared" ref="P653" si="1373">P652/L652-1</f>
        <v>#DIV/0!</v>
      </c>
      <c r="Q653" s="22" t="e">
        <f t="shared" ref="Q653" si="1374">Q652/M652-1</f>
        <v>#DIV/0!</v>
      </c>
      <c r="R653" s="22" t="e">
        <f t="shared" ref="R653" si="1375">R652/N652-1</f>
        <v>#DIV/0!</v>
      </c>
      <c r="S653" s="22" t="e">
        <f t="shared" ref="S653" si="1376">S652/O652-1</f>
        <v>#DIV/0!</v>
      </c>
      <c r="T653" s="22" t="e">
        <f t="shared" ref="T653" si="1377">T652/P652-1</f>
        <v>#DIV/0!</v>
      </c>
      <c r="U653" s="22" t="e">
        <f t="shared" ref="U653" si="1378">U652/Q652-1</f>
        <v>#DIV/0!</v>
      </c>
    </row>
    <row r="654" spans="1:21" x14ac:dyDescent="0.2">
      <c r="B654" t="s">
        <v>52</v>
      </c>
      <c r="C654" s="22"/>
      <c r="D654" s="22"/>
      <c r="E654" s="22"/>
      <c r="F654" s="22"/>
      <c r="G654" s="22"/>
      <c r="H654" s="22"/>
      <c r="I654" s="22"/>
      <c r="J654" s="22"/>
      <c r="K654" s="22"/>
      <c r="L654" s="22" t="e">
        <f t="shared" ref="L654" si="1379">L652/K652-1</f>
        <v>#DIV/0!</v>
      </c>
      <c r="M654" s="22" t="e">
        <f t="shared" ref="M654" si="1380">M652/L652-1</f>
        <v>#DIV/0!</v>
      </c>
      <c r="N654" s="22" t="e">
        <f t="shared" ref="N654" si="1381">N652/M652-1</f>
        <v>#DIV/0!</v>
      </c>
      <c r="O654" s="22" t="e">
        <f t="shared" ref="O654" si="1382">O652/N652-1</f>
        <v>#DIV/0!</v>
      </c>
      <c r="P654" s="22" t="e">
        <f t="shared" ref="P654" si="1383">P652/O652-1</f>
        <v>#DIV/0!</v>
      </c>
      <c r="Q654" s="22" t="e">
        <f t="shared" ref="Q654" si="1384">Q652/P652-1</f>
        <v>#DIV/0!</v>
      </c>
      <c r="R654" s="22" t="e">
        <f t="shared" ref="R654" si="1385">R652/Q652-1</f>
        <v>#DIV/0!</v>
      </c>
      <c r="S654" s="22" t="e">
        <f t="shared" ref="S654" si="1386">S652/R652-1</f>
        <v>#DIV/0!</v>
      </c>
      <c r="T654" s="22" t="e">
        <f t="shared" ref="T654" si="1387">T652/S652-1</f>
        <v>#DIV/0!</v>
      </c>
      <c r="U654" s="22" t="e">
        <f t="shared" ref="U654" si="1388">U652/T652-1</f>
        <v>#DIV/0!</v>
      </c>
    </row>
    <row r="655" spans="1:21" x14ac:dyDescent="0.2">
      <c r="A655" s="17"/>
      <c r="B655" s="17" t="s">
        <v>48</v>
      </c>
      <c r="C655" s="17"/>
      <c r="D655" s="17"/>
      <c r="E655" s="17"/>
      <c r="F655" s="17"/>
      <c r="G655" s="17"/>
      <c r="H655" s="17"/>
      <c r="I655" s="17"/>
      <c r="J655" s="17"/>
      <c r="K655" s="17"/>
      <c r="L655" s="17"/>
      <c r="M655" s="17"/>
      <c r="N655" s="17"/>
      <c r="O655" s="17"/>
      <c r="P655" s="17"/>
      <c r="Q655" s="17"/>
      <c r="R655" s="17"/>
      <c r="S655" s="17"/>
      <c r="T655" s="17"/>
      <c r="U655" s="17"/>
    </row>
    <row r="656" spans="1:21" x14ac:dyDescent="0.2">
      <c r="B656" t="s">
        <v>49</v>
      </c>
      <c r="C656" s="22"/>
      <c r="D656" s="22"/>
      <c r="E656" s="22"/>
      <c r="F656" s="22"/>
      <c r="G656" s="22"/>
      <c r="H656" s="22"/>
      <c r="I656" s="22"/>
      <c r="J656" s="22"/>
      <c r="K656" s="22" t="e">
        <f t="shared" ref="K656" si="1389">K655/G655-1</f>
        <v>#DIV/0!</v>
      </c>
      <c r="L656" s="22" t="e">
        <f t="shared" ref="L656" si="1390">L655/H655-1</f>
        <v>#DIV/0!</v>
      </c>
      <c r="M656" s="22" t="e">
        <f t="shared" ref="M656" si="1391">M655/I655-1</f>
        <v>#DIV/0!</v>
      </c>
      <c r="N656" s="22" t="e">
        <f t="shared" ref="N656" si="1392">N655/J655-1</f>
        <v>#DIV/0!</v>
      </c>
      <c r="O656" s="22" t="e">
        <f t="shared" ref="O656" si="1393">O655/K655-1</f>
        <v>#DIV/0!</v>
      </c>
      <c r="P656" s="22" t="e">
        <f t="shared" ref="P656" si="1394">P655/L655-1</f>
        <v>#DIV/0!</v>
      </c>
      <c r="Q656" s="22" t="e">
        <f t="shared" ref="Q656" si="1395">Q655/M655-1</f>
        <v>#DIV/0!</v>
      </c>
      <c r="R656" s="22" t="e">
        <f t="shared" ref="R656" si="1396">R655/N655-1</f>
        <v>#DIV/0!</v>
      </c>
      <c r="S656" s="22" t="e">
        <f t="shared" ref="S656" si="1397">S655/O655-1</f>
        <v>#DIV/0!</v>
      </c>
      <c r="T656" s="22" t="e">
        <f t="shared" ref="T656" si="1398">T655/P655-1</f>
        <v>#DIV/0!</v>
      </c>
      <c r="U656" s="22" t="e">
        <f t="shared" ref="U656" si="1399">U655/Q655-1</f>
        <v>#DIV/0!</v>
      </c>
    </row>
    <row r="657" spans="1:21" x14ac:dyDescent="0.2">
      <c r="B657" t="s">
        <v>52</v>
      </c>
      <c r="C657" s="22"/>
      <c r="D657" s="22"/>
      <c r="E657" s="22"/>
      <c r="F657" s="22"/>
      <c r="G657" s="22"/>
      <c r="H657" s="22"/>
      <c r="I657" s="22"/>
      <c r="J657" s="22"/>
      <c r="K657" s="22"/>
      <c r="L657" s="22" t="e">
        <f t="shared" ref="L657" si="1400">L655/K655-1</f>
        <v>#DIV/0!</v>
      </c>
      <c r="M657" s="22" t="e">
        <f t="shared" ref="M657" si="1401">M655/L655-1</f>
        <v>#DIV/0!</v>
      </c>
      <c r="N657" s="22" t="e">
        <f t="shared" ref="N657" si="1402">N655/M655-1</f>
        <v>#DIV/0!</v>
      </c>
      <c r="O657" s="22" t="e">
        <f t="shared" ref="O657" si="1403">O655/N655-1</f>
        <v>#DIV/0!</v>
      </c>
      <c r="P657" s="22" t="e">
        <f t="shared" ref="P657" si="1404">P655/O655-1</f>
        <v>#DIV/0!</v>
      </c>
      <c r="Q657" s="22" t="e">
        <f t="shared" ref="Q657" si="1405">Q655/P655-1</f>
        <v>#DIV/0!</v>
      </c>
      <c r="R657" s="22" t="e">
        <f t="shared" ref="R657" si="1406">R655/Q655-1</f>
        <v>#DIV/0!</v>
      </c>
      <c r="S657" s="22" t="e">
        <f t="shared" ref="S657" si="1407">S655/R655-1</f>
        <v>#DIV/0!</v>
      </c>
      <c r="T657" s="22" t="e">
        <f t="shared" ref="T657" si="1408">T655/S655-1</f>
        <v>#DIV/0!</v>
      </c>
      <c r="U657" s="22" t="e">
        <f t="shared" ref="U657" si="1409">U655/T655-1</f>
        <v>#DIV/0!</v>
      </c>
    </row>
    <row r="658" spans="1:21" x14ac:dyDescent="0.2">
      <c r="B658" s="17" t="s">
        <v>50</v>
      </c>
      <c r="C658" s="17"/>
      <c r="D658" s="17"/>
      <c r="E658" s="17"/>
      <c r="F658" s="17"/>
      <c r="G658" s="23"/>
      <c r="H658" s="23"/>
      <c r="I658" s="23"/>
      <c r="J658" s="23"/>
      <c r="K658" s="23" t="e">
        <f t="shared" ref="K658" si="1410">AVERAGE(H655:K655)/AVERAGE(G655:J655)-1</f>
        <v>#DIV/0!</v>
      </c>
      <c r="L658" s="23" t="e">
        <f t="shared" ref="L658" si="1411">AVERAGE(I655:L655)/AVERAGE(H655:K655)-1</f>
        <v>#DIV/0!</v>
      </c>
      <c r="M658" s="23" t="e">
        <f t="shared" ref="M658" si="1412">AVERAGE(J655:M655)/AVERAGE(I655:L655)-1</f>
        <v>#DIV/0!</v>
      </c>
      <c r="N658" s="23" t="e">
        <f t="shared" ref="N658" si="1413">AVERAGE(K655:N655)/AVERAGE(J655:M655)-1</f>
        <v>#DIV/0!</v>
      </c>
      <c r="O658" s="23" t="e">
        <f t="shared" ref="O658" si="1414">AVERAGE(L655:O655)/AVERAGE(K655:N655)-1</f>
        <v>#DIV/0!</v>
      </c>
      <c r="P658" s="23" t="e">
        <f t="shared" ref="P658" si="1415">AVERAGE(M655:P655)/AVERAGE(L655:O655)-1</f>
        <v>#DIV/0!</v>
      </c>
      <c r="Q658" s="23" t="e">
        <f t="shared" ref="Q658" si="1416">AVERAGE(N655:Q655)/AVERAGE(M655:P655)-1</f>
        <v>#DIV/0!</v>
      </c>
      <c r="R658" s="23" t="e">
        <f t="shared" ref="R658" si="1417">AVERAGE(O655:R655)/AVERAGE(N655:Q655)-1</f>
        <v>#DIV/0!</v>
      </c>
      <c r="S658" s="23" t="e">
        <f t="shared" ref="S658" si="1418">AVERAGE(P655:S655)/AVERAGE(O655:R655)-1</f>
        <v>#DIV/0!</v>
      </c>
      <c r="T658" s="23" t="e">
        <f t="shared" ref="T658" si="1419">AVERAGE(Q655:T655)/AVERAGE(P655:S655)-1</f>
        <v>#DIV/0!</v>
      </c>
      <c r="U658" s="23" t="e">
        <f t="shared" ref="U658" si="1420">AVERAGE(R655:U655)/AVERAGE(Q655:T655)-1</f>
        <v>#DIV/0!</v>
      </c>
    </row>
    <row r="659" spans="1:21" ht="13.5" thickBot="1" x14ac:dyDescent="0.25"/>
    <row r="660" spans="1:21" ht="13.5" thickBot="1" x14ac:dyDescent="0.25">
      <c r="A660" s="24" t="s">
        <v>0</v>
      </c>
      <c r="B660" s="25"/>
      <c r="C660" s="24" t="s">
        <v>30</v>
      </c>
      <c r="D660" s="24" t="s">
        <v>31</v>
      </c>
      <c r="E660" s="24" t="s">
        <v>32</v>
      </c>
      <c r="F660" s="24" t="s">
        <v>33</v>
      </c>
      <c r="G660" s="24" t="s">
        <v>34</v>
      </c>
      <c r="H660" s="24" t="s">
        <v>35</v>
      </c>
      <c r="I660" s="24" t="s">
        <v>36</v>
      </c>
      <c r="J660" s="24" t="s">
        <v>37</v>
      </c>
      <c r="K660" s="24" t="s">
        <v>38</v>
      </c>
      <c r="L660" s="24" t="s">
        <v>39</v>
      </c>
      <c r="M660" s="24" t="s">
        <v>40</v>
      </c>
      <c r="N660" s="24" t="s">
        <v>41</v>
      </c>
      <c r="O660" s="24" t="s">
        <v>42</v>
      </c>
      <c r="P660" s="24" t="s">
        <v>43</v>
      </c>
      <c r="Q660" s="24" t="s">
        <v>44</v>
      </c>
      <c r="R660" s="24" t="s">
        <v>45</v>
      </c>
      <c r="S660" s="24" t="s">
        <v>46</v>
      </c>
      <c r="T660" s="24" t="s">
        <v>47</v>
      </c>
      <c r="U660" s="24" t="s">
        <v>19</v>
      </c>
    </row>
    <row r="661" spans="1:21" x14ac:dyDescent="0.2">
      <c r="A661" s="17"/>
      <c r="B661" s="17" t="s">
        <v>51</v>
      </c>
      <c r="C661" s="17"/>
      <c r="D661" s="17"/>
      <c r="E661" s="17"/>
      <c r="F661" s="17"/>
      <c r="G661" s="17"/>
      <c r="H661" s="17"/>
      <c r="I661" s="17"/>
      <c r="J661" s="17"/>
      <c r="K661" s="17"/>
      <c r="L661" s="17"/>
      <c r="M661" s="17"/>
      <c r="N661" s="17"/>
      <c r="O661" s="17"/>
      <c r="P661" s="17"/>
      <c r="Q661" s="17"/>
      <c r="R661" s="17"/>
      <c r="S661" s="17"/>
      <c r="T661" s="17"/>
      <c r="U661" s="17"/>
    </row>
    <row r="662" spans="1:21" x14ac:dyDescent="0.2">
      <c r="B662" t="s">
        <v>49</v>
      </c>
      <c r="C662" s="22"/>
      <c r="D662" s="22"/>
      <c r="E662" s="22"/>
      <c r="F662" s="22"/>
      <c r="G662" s="22"/>
      <c r="H662" s="22"/>
      <c r="I662" s="22"/>
      <c r="J662" s="22"/>
      <c r="K662" s="22" t="e">
        <f t="shared" ref="K662" si="1421">K661/G661-1</f>
        <v>#DIV/0!</v>
      </c>
      <c r="L662" s="22" t="e">
        <f t="shared" ref="L662" si="1422">L661/H661-1</f>
        <v>#DIV/0!</v>
      </c>
      <c r="M662" s="22" t="e">
        <f t="shared" ref="M662" si="1423">M661/I661-1</f>
        <v>#DIV/0!</v>
      </c>
      <c r="N662" s="22" t="e">
        <f t="shared" ref="N662" si="1424">N661/J661-1</f>
        <v>#DIV/0!</v>
      </c>
      <c r="O662" s="22" t="e">
        <f t="shared" ref="O662" si="1425">O661/K661-1</f>
        <v>#DIV/0!</v>
      </c>
      <c r="P662" s="22" t="e">
        <f t="shared" ref="P662" si="1426">P661/L661-1</f>
        <v>#DIV/0!</v>
      </c>
      <c r="Q662" s="22" t="e">
        <f t="shared" ref="Q662" si="1427">Q661/M661-1</f>
        <v>#DIV/0!</v>
      </c>
      <c r="R662" s="22" t="e">
        <f t="shared" ref="R662" si="1428">R661/N661-1</f>
        <v>#DIV/0!</v>
      </c>
      <c r="S662" s="22" t="e">
        <f t="shared" ref="S662" si="1429">S661/O661-1</f>
        <v>#DIV/0!</v>
      </c>
      <c r="T662" s="22" t="e">
        <f t="shared" ref="T662" si="1430">T661/P661-1</f>
        <v>#DIV/0!</v>
      </c>
      <c r="U662" s="22" t="e">
        <f t="shared" ref="U662" si="1431">U661/Q661-1</f>
        <v>#DIV/0!</v>
      </c>
    </row>
    <row r="663" spans="1:21" x14ac:dyDescent="0.2">
      <c r="B663" t="s">
        <v>52</v>
      </c>
      <c r="C663" s="22"/>
      <c r="D663" s="22"/>
      <c r="E663" s="22"/>
      <c r="F663" s="22"/>
      <c r="G663" s="22"/>
      <c r="H663" s="22"/>
      <c r="I663" s="22"/>
      <c r="J663" s="22"/>
      <c r="K663" s="22"/>
      <c r="L663" s="22" t="e">
        <f t="shared" ref="L663" si="1432">L661/K661-1</f>
        <v>#DIV/0!</v>
      </c>
      <c r="M663" s="22" t="e">
        <f t="shared" ref="M663" si="1433">M661/L661-1</f>
        <v>#DIV/0!</v>
      </c>
      <c r="N663" s="22" t="e">
        <f t="shared" ref="N663" si="1434">N661/M661-1</f>
        <v>#DIV/0!</v>
      </c>
      <c r="O663" s="22" t="e">
        <f t="shared" ref="O663" si="1435">O661/N661-1</f>
        <v>#DIV/0!</v>
      </c>
      <c r="P663" s="22" t="e">
        <f t="shared" ref="P663" si="1436">P661/O661-1</f>
        <v>#DIV/0!</v>
      </c>
      <c r="Q663" s="22" t="e">
        <f t="shared" ref="Q663" si="1437">Q661/P661-1</f>
        <v>#DIV/0!</v>
      </c>
      <c r="R663" s="22" t="e">
        <f t="shared" ref="R663" si="1438">R661/Q661-1</f>
        <v>#DIV/0!</v>
      </c>
      <c r="S663" s="22" t="e">
        <f t="shared" ref="S663" si="1439">S661/R661-1</f>
        <v>#DIV/0!</v>
      </c>
      <c r="T663" s="22" t="e">
        <f t="shared" ref="T663" si="1440">T661/S661-1</f>
        <v>#DIV/0!</v>
      </c>
      <c r="U663" s="22" t="e">
        <f t="shared" ref="U663" si="1441">U661/T661-1</f>
        <v>#DIV/0!</v>
      </c>
    </row>
    <row r="664" spans="1:21" x14ac:dyDescent="0.2">
      <c r="A664" s="17"/>
      <c r="B664" s="17" t="s">
        <v>48</v>
      </c>
      <c r="C664" s="17"/>
      <c r="D664" s="17"/>
      <c r="E664" s="17"/>
      <c r="F664" s="17"/>
      <c r="G664" s="17"/>
      <c r="H664" s="17"/>
      <c r="I664" s="17"/>
      <c r="J664" s="17"/>
      <c r="K664" s="17"/>
      <c r="L664" s="17"/>
      <c r="M664" s="17"/>
      <c r="N664" s="17"/>
      <c r="O664" s="17"/>
      <c r="P664" s="17"/>
      <c r="Q664" s="17"/>
      <c r="R664" s="17"/>
      <c r="S664" s="17"/>
      <c r="T664" s="17"/>
      <c r="U664" s="17"/>
    </row>
    <row r="665" spans="1:21" x14ac:dyDescent="0.2">
      <c r="B665" t="s">
        <v>49</v>
      </c>
      <c r="C665" s="22"/>
      <c r="D665" s="22"/>
      <c r="E665" s="22"/>
      <c r="F665" s="22"/>
      <c r="G665" s="22"/>
      <c r="H665" s="22"/>
      <c r="I665" s="22"/>
      <c r="J665" s="22"/>
      <c r="K665" s="22" t="e">
        <f t="shared" ref="K665" si="1442">K664/G664-1</f>
        <v>#DIV/0!</v>
      </c>
      <c r="L665" s="22" t="e">
        <f t="shared" ref="L665" si="1443">L664/H664-1</f>
        <v>#DIV/0!</v>
      </c>
      <c r="M665" s="22" t="e">
        <f t="shared" ref="M665" si="1444">M664/I664-1</f>
        <v>#DIV/0!</v>
      </c>
      <c r="N665" s="22" t="e">
        <f t="shared" ref="N665" si="1445">N664/J664-1</f>
        <v>#DIV/0!</v>
      </c>
      <c r="O665" s="22" t="e">
        <f t="shared" ref="O665" si="1446">O664/K664-1</f>
        <v>#DIV/0!</v>
      </c>
      <c r="P665" s="22" t="e">
        <f t="shared" ref="P665" si="1447">P664/L664-1</f>
        <v>#DIV/0!</v>
      </c>
      <c r="Q665" s="22" t="e">
        <f t="shared" ref="Q665" si="1448">Q664/M664-1</f>
        <v>#DIV/0!</v>
      </c>
      <c r="R665" s="22" t="e">
        <f t="shared" ref="R665" si="1449">R664/N664-1</f>
        <v>#DIV/0!</v>
      </c>
      <c r="S665" s="22" t="e">
        <f t="shared" ref="S665" si="1450">S664/O664-1</f>
        <v>#DIV/0!</v>
      </c>
      <c r="T665" s="22" t="e">
        <f t="shared" ref="T665" si="1451">T664/P664-1</f>
        <v>#DIV/0!</v>
      </c>
      <c r="U665" s="22" t="e">
        <f t="shared" ref="U665" si="1452">U664/Q664-1</f>
        <v>#DIV/0!</v>
      </c>
    </row>
    <row r="666" spans="1:21" x14ac:dyDescent="0.2">
      <c r="B666" t="s">
        <v>52</v>
      </c>
      <c r="C666" s="22"/>
      <c r="D666" s="22"/>
      <c r="E666" s="22"/>
      <c r="F666" s="22"/>
      <c r="G666" s="22"/>
      <c r="H666" s="22"/>
      <c r="I666" s="22"/>
      <c r="J666" s="22"/>
      <c r="K666" s="22"/>
      <c r="L666" s="22" t="e">
        <f t="shared" ref="L666" si="1453">L664/K664-1</f>
        <v>#DIV/0!</v>
      </c>
      <c r="M666" s="22" t="e">
        <f t="shared" ref="M666" si="1454">M664/L664-1</f>
        <v>#DIV/0!</v>
      </c>
      <c r="N666" s="22" t="e">
        <f t="shared" ref="N666" si="1455">N664/M664-1</f>
        <v>#DIV/0!</v>
      </c>
      <c r="O666" s="22" t="e">
        <f t="shared" ref="O666" si="1456">O664/N664-1</f>
        <v>#DIV/0!</v>
      </c>
      <c r="P666" s="22" t="e">
        <f t="shared" ref="P666" si="1457">P664/O664-1</f>
        <v>#DIV/0!</v>
      </c>
      <c r="Q666" s="22" t="e">
        <f t="shared" ref="Q666" si="1458">Q664/P664-1</f>
        <v>#DIV/0!</v>
      </c>
      <c r="R666" s="22" t="e">
        <f t="shared" ref="R666" si="1459">R664/Q664-1</f>
        <v>#DIV/0!</v>
      </c>
      <c r="S666" s="22" t="e">
        <f t="shared" ref="S666" si="1460">S664/R664-1</f>
        <v>#DIV/0!</v>
      </c>
      <c r="T666" s="22" t="e">
        <f t="shared" ref="T666" si="1461">T664/S664-1</f>
        <v>#DIV/0!</v>
      </c>
      <c r="U666" s="22" t="e">
        <f t="shared" ref="U666" si="1462">U664/T664-1</f>
        <v>#DIV/0!</v>
      </c>
    </row>
    <row r="667" spans="1:21" x14ac:dyDescent="0.2">
      <c r="B667" s="17" t="s">
        <v>50</v>
      </c>
      <c r="C667" s="17"/>
      <c r="D667" s="17"/>
      <c r="E667" s="17"/>
      <c r="F667" s="17"/>
      <c r="G667" s="23"/>
      <c r="H667" s="23"/>
      <c r="I667" s="23"/>
      <c r="J667" s="23"/>
      <c r="K667" s="23" t="e">
        <f t="shared" ref="K667" si="1463">AVERAGE(H664:K664)/AVERAGE(G664:J664)-1</f>
        <v>#DIV/0!</v>
      </c>
      <c r="L667" s="23" t="e">
        <f t="shared" ref="L667" si="1464">AVERAGE(I664:L664)/AVERAGE(H664:K664)-1</f>
        <v>#DIV/0!</v>
      </c>
      <c r="M667" s="23" t="e">
        <f t="shared" ref="M667" si="1465">AVERAGE(J664:M664)/AVERAGE(I664:L664)-1</f>
        <v>#DIV/0!</v>
      </c>
      <c r="N667" s="23" t="e">
        <f t="shared" ref="N667" si="1466">AVERAGE(K664:N664)/AVERAGE(J664:M664)-1</f>
        <v>#DIV/0!</v>
      </c>
      <c r="O667" s="23" t="e">
        <f t="shared" ref="O667" si="1467">AVERAGE(L664:O664)/AVERAGE(K664:N664)-1</f>
        <v>#DIV/0!</v>
      </c>
      <c r="P667" s="23" t="e">
        <f t="shared" ref="P667" si="1468">AVERAGE(M664:P664)/AVERAGE(L664:O664)-1</f>
        <v>#DIV/0!</v>
      </c>
      <c r="Q667" s="23" t="e">
        <f t="shared" ref="Q667" si="1469">AVERAGE(N664:Q664)/AVERAGE(M664:P664)-1</f>
        <v>#DIV/0!</v>
      </c>
      <c r="R667" s="23" t="e">
        <f t="shared" ref="R667" si="1470">AVERAGE(O664:R664)/AVERAGE(N664:Q664)-1</f>
        <v>#DIV/0!</v>
      </c>
      <c r="S667" s="23" t="e">
        <f t="shared" ref="S667" si="1471">AVERAGE(P664:S664)/AVERAGE(O664:R664)-1</f>
        <v>#DIV/0!</v>
      </c>
      <c r="T667" s="23" t="e">
        <f t="shared" ref="T667" si="1472">AVERAGE(Q664:T664)/AVERAGE(P664:S664)-1</f>
        <v>#DIV/0!</v>
      </c>
      <c r="U667" s="23" t="e">
        <f t="shared" ref="U667" si="1473">AVERAGE(R664:U664)/AVERAGE(Q664:T664)-1</f>
        <v>#DIV/0!</v>
      </c>
    </row>
    <row r="668" spans="1:21" ht="13.5" thickBot="1" x14ac:dyDescent="0.25"/>
    <row r="669" spans="1:21" ht="13.5" thickBot="1" x14ac:dyDescent="0.25">
      <c r="A669" s="24" t="s">
        <v>0</v>
      </c>
      <c r="B669" s="25"/>
      <c r="C669" s="24" t="s">
        <v>30</v>
      </c>
      <c r="D669" s="24" t="s">
        <v>31</v>
      </c>
      <c r="E669" s="24" t="s">
        <v>32</v>
      </c>
      <c r="F669" s="24" t="s">
        <v>33</v>
      </c>
      <c r="G669" s="24" t="s">
        <v>34</v>
      </c>
      <c r="H669" s="24" t="s">
        <v>35</v>
      </c>
      <c r="I669" s="24" t="s">
        <v>36</v>
      </c>
      <c r="J669" s="24" t="s">
        <v>37</v>
      </c>
      <c r="K669" s="24" t="s">
        <v>38</v>
      </c>
      <c r="L669" s="24" t="s">
        <v>39</v>
      </c>
      <c r="M669" s="24" t="s">
        <v>40</v>
      </c>
      <c r="N669" s="24" t="s">
        <v>41</v>
      </c>
      <c r="O669" s="24" t="s">
        <v>42</v>
      </c>
      <c r="P669" s="24" t="s">
        <v>43</v>
      </c>
      <c r="Q669" s="24" t="s">
        <v>44</v>
      </c>
      <c r="R669" s="24" t="s">
        <v>45</v>
      </c>
      <c r="S669" s="24" t="s">
        <v>46</v>
      </c>
      <c r="T669" s="24" t="s">
        <v>47</v>
      </c>
      <c r="U669" s="24" t="s">
        <v>19</v>
      </c>
    </row>
    <row r="670" spans="1:21" x14ac:dyDescent="0.2">
      <c r="A670" s="17"/>
      <c r="B670" s="17" t="s">
        <v>51</v>
      </c>
      <c r="C670" s="17"/>
      <c r="D670" s="17"/>
      <c r="E670" s="17"/>
      <c r="F670" s="17"/>
      <c r="G670" s="17"/>
      <c r="H670" s="17"/>
      <c r="I670" s="17"/>
      <c r="J670" s="17"/>
      <c r="K670" s="17"/>
      <c r="L670" s="17"/>
      <c r="M670" s="17"/>
      <c r="N670" s="17"/>
      <c r="O670" s="17"/>
      <c r="P670" s="17"/>
      <c r="Q670" s="17"/>
      <c r="R670" s="17"/>
      <c r="S670" s="17"/>
      <c r="T670" s="17"/>
      <c r="U670" s="17"/>
    </row>
    <row r="671" spans="1:21" x14ac:dyDescent="0.2">
      <c r="B671" t="s">
        <v>49</v>
      </c>
      <c r="C671" s="22"/>
      <c r="D671" s="22"/>
      <c r="E671" s="22"/>
      <c r="F671" s="22"/>
      <c r="G671" s="22"/>
      <c r="H671" s="22"/>
      <c r="I671" s="22"/>
      <c r="J671" s="22"/>
      <c r="K671" s="22" t="e">
        <f t="shared" ref="K671" si="1474">K670/G670-1</f>
        <v>#DIV/0!</v>
      </c>
      <c r="L671" s="22" t="e">
        <f t="shared" ref="L671" si="1475">L670/H670-1</f>
        <v>#DIV/0!</v>
      </c>
      <c r="M671" s="22" t="e">
        <f t="shared" ref="M671" si="1476">M670/I670-1</f>
        <v>#DIV/0!</v>
      </c>
      <c r="N671" s="22" t="e">
        <f t="shared" ref="N671" si="1477">N670/J670-1</f>
        <v>#DIV/0!</v>
      </c>
      <c r="O671" s="22" t="e">
        <f t="shared" ref="O671" si="1478">O670/K670-1</f>
        <v>#DIV/0!</v>
      </c>
      <c r="P671" s="22" t="e">
        <f t="shared" ref="P671" si="1479">P670/L670-1</f>
        <v>#DIV/0!</v>
      </c>
      <c r="Q671" s="22" t="e">
        <f t="shared" ref="Q671" si="1480">Q670/M670-1</f>
        <v>#DIV/0!</v>
      </c>
      <c r="R671" s="22" t="e">
        <f t="shared" ref="R671" si="1481">R670/N670-1</f>
        <v>#DIV/0!</v>
      </c>
      <c r="S671" s="22" t="e">
        <f t="shared" ref="S671" si="1482">S670/O670-1</f>
        <v>#DIV/0!</v>
      </c>
      <c r="T671" s="22" t="e">
        <f t="shared" ref="T671" si="1483">T670/P670-1</f>
        <v>#DIV/0!</v>
      </c>
      <c r="U671" s="22" t="e">
        <f t="shared" ref="U671" si="1484">U670/Q670-1</f>
        <v>#DIV/0!</v>
      </c>
    </row>
    <row r="672" spans="1:21" x14ac:dyDescent="0.2">
      <c r="B672" t="s">
        <v>52</v>
      </c>
      <c r="C672" s="22"/>
      <c r="D672" s="22"/>
      <c r="E672" s="22"/>
      <c r="F672" s="22"/>
      <c r="G672" s="22"/>
      <c r="H672" s="22"/>
      <c r="I672" s="22"/>
      <c r="J672" s="22"/>
      <c r="K672" s="22"/>
      <c r="L672" s="22" t="e">
        <f t="shared" ref="L672" si="1485">L670/K670-1</f>
        <v>#DIV/0!</v>
      </c>
      <c r="M672" s="22" t="e">
        <f t="shared" ref="M672" si="1486">M670/L670-1</f>
        <v>#DIV/0!</v>
      </c>
      <c r="N672" s="22" t="e">
        <f t="shared" ref="N672" si="1487">N670/M670-1</f>
        <v>#DIV/0!</v>
      </c>
      <c r="O672" s="22" t="e">
        <f t="shared" ref="O672" si="1488">O670/N670-1</f>
        <v>#DIV/0!</v>
      </c>
      <c r="P672" s="22" t="e">
        <f t="shared" ref="P672" si="1489">P670/O670-1</f>
        <v>#DIV/0!</v>
      </c>
      <c r="Q672" s="22" t="e">
        <f t="shared" ref="Q672" si="1490">Q670/P670-1</f>
        <v>#DIV/0!</v>
      </c>
      <c r="R672" s="22" t="e">
        <f t="shared" ref="R672" si="1491">R670/Q670-1</f>
        <v>#DIV/0!</v>
      </c>
      <c r="S672" s="22" t="e">
        <f t="shared" ref="S672" si="1492">S670/R670-1</f>
        <v>#DIV/0!</v>
      </c>
      <c r="T672" s="22" t="e">
        <f t="shared" ref="T672" si="1493">T670/S670-1</f>
        <v>#DIV/0!</v>
      </c>
      <c r="U672" s="22" t="e">
        <f t="shared" ref="U672" si="1494">U670/T670-1</f>
        <v>#DIV/0!</v>
      </c>
    </row>
    <row r="673" spans="1:21" x14ac:dyDescent="0.2">
      <c r="A673" s="17"/>
      <c r="B673" s="17" t="s">
        <v>48</v>
      </c>
      <c r="C673" s="17"/>
      <c r="D673" s="17"/>
      <c r="E673" s="17"/>
      <c r="F673" s="17"/>
      <c r="G673" s="17"/>
      <c r="H673" s="17"/>
      <c r="I673" s="17"/>
      <c r="J673" s="17"/>
      <c r="K673" s="17"/>
      <c r="L673" s="17"/>
      <c r="M673" s="17"/>
      <c r="N673" s="17"/>
      <c r="O673" s="17"/>
      <c r="P673" s="17"/>
      <c r="Q673" s="17"/>
      <c r="R673" s="17"/>
      <c r="S673" s="17"/>
      <c r="T673" s="17"/>
      <c r="U673" s="17"/>
    </row>
    <row r="674" spans="1:21" x14ac:dyDescent="0.2">
      <c r="B674" t="s">
        <v>49</v>
      </c>
      <c r="C674" s="22"/>
      <c r="D674" s="22"/>
      <c r="E674" s="22"/>
      <c r="F674" s="22"/>
      <c r="G674" s="22"/>
      <c r="H674" s="22"/>
      <c r="I674" s="22"/>
      <c r="J674" s="22"/>
      <c r="K674" s="22" t="e">
        <f t="shared" ref="K674" si="1495">K673/G673-1</f>
        <v>#DIV/0!</v>
      </c>
      <c r="L674" s="22" t="e">
        <f t="shared" ref="L674" si="1496">L673/H673-1</f>
        <v>#DIV/0!</v>
      </c>
      <c r="M674" s="22" t="e">
        <f t="shared" ref="M674" si="1497">M673/I673-1</f>
        <v>#DIV/0!</v>
      </c>
      <c r="N674" s="22" t="e">
        <f t="shared" ref="N674" si="1498">N673/J673-1</f>
        <v>#DIV/0!</v>
      </c>
      <c r="O674" s="22" t="e">
        <f t="shared" ref="O674" si="1499">O673/K673-1</f>
        <v>#DIV/0!</v>
      </c>
      <c r="P674" s="22" t="e">
        <f t="shared" ref="P674" si="1500">P673/L673-1</f>
        <v>#DIV/0!</v>
      </c>
      <c r="Q674" s="22" t="e">
        <f t="shared" ref="Q674" si="1501">Q673/M673-1</f>
        <v>#DIV/0!</v>
      </c>
      <c r="R674" s="22" t="e">
        <f t="shared" ref="R674" si="1502">R673/N673-1</f>
        <v>#DIV/0!</v>
      </c>
      <c r="S674" s="22" t="e">
        <f t="shared" ref="S674" si="1503">S673/O673-1</f>
        <v>#DIV/0!</v>
      </c>
      <c r="T674" s="22" t="e">
        <f t="shared" ref="T674" si="1504">T673/P673-1</f>
        <v>#DIV/0!</v>
      </c>
      <c r="U674" s="22" t="e">
        <f t="shared" ref="U674" si="1505">U673/Q673-1</f>
        <v>#DIV/0!</v>
      </c>
    </row>
    <row r="675" spans="1:21" x14ac:dyDescent="0.2">
      <c r="B675" t="s">
        <v>52</v>
      </c>
      <c r="C675" s="22"/>
      <c r="D675" s="22"/>
      <c r="E675" s="22"/>
      <c r="F675" s="22"/>
      <c r="G675" s="22"/>
      <c r="H675" s="22"/>
      <c r="I675" s="22"/>
      <c r="J675" s="22"/>
      <c r="K675" s="22"/>
      <c r="L675" s="22" t="e">
        <f t="shared" ref="L675" si="1506">L673/K673-1</f>
        <v>#DIV/0!</v>
      </c>
      <c r="M675" s="22" t="e">
        <f t="shared" ref="M675" si="1507">M673/L673-1</f>
        <v>#DIV/0!</v>
      </c>
      <c r="N675" s="22" t="e">
        <f t="shared" ref="N675" si="1508">N673/M673-1</f>
        <v>#DIV/0!</v>
      </c>
      <c r="O675" s="22" t="e">
        <f t="shared" ref="O675" si="1509">O673/N673-1</f>
        <v>#DIV/0!</v>
      </c>
      <c r="P675" s="22" t="e">
        <f t="shared" ref="P675" si="1510">P673/O673-1</f>
        <v>#DIV/0!</v>
      </c>
      <c r="Q675" s="22" t="e">
        <f t="shared" ref="Q675" si="1511">Q673/P673-1</f>
        <v>#DIV/0!</v>
      </c>
      <c r="R675" s="22" t="e">
        <f t="shared" ref="R675" si="1512">R673/Q673-1</f>
        <v>#DIV/0!</v>
      </c>
      <c r="S675" s="22" t="e">
        <f t="shared" ref="S675" si="1513">S673/R673-1</f>
        <v>#DIV/0!</v>
      </c>
      <c r="T675" s="22" t="e">
        <f t="shared" ref="T675" si="1514">T673/S673-1</f>
        <v>#DIV/0!</v>
      </c>
      <c r="U675" s="22" t="e">
        <f t="shared" ref="U675" si="1515">U673/T673-1</f>
        <v>#DIV/0!</v>
      </c>
    </row>
    <row r="676" spans="1:21" x14ac:dyDescent="0.2">
      <c r="B676" s="17" t="s">
        <v>50</v>
      </c>
      <c r="C676" s="17"/>
      <c r="D676" s="17"/>
      <c r="E676" s="17"/>
      <c r="F676" s="17"/>
      <c r="G676" s="23"/>
      <c r="H676" s="23"/>
      <c r="I676" s="23"/>
      <c r="J676" s="23"/>
      <c r="K676" s="23" t="e">
        <f t="shared" ref="K676" si="1516">AVERAGE(H673:K673)/AVERAGE(G673:J673)-1</f>
        <v>#DIV/0!</v>
      </c>
      <c r="L676" s="23" t="e">
        <f t="shared" ref="L676" si="1517">AVERAGE(I673:L673)/AVERAGE(H673:K673)-1</f>
        <v>#DIV/0!</v>
      </c>
      <c r="M676" s="23" t="e">
        <f t="shared" ref="M676" si="1518">AVERAGE(J673:M673)/AVERAGE(I673:L673)-1</f>
        <v>#DIV/0!</v>
      </c>
      <c r="N676" s="23" t="e">
        <f t="shared" ref="N676" si="1519">AVERAGE(K673:N673)/AVERAGE(J673:M673)-1</f>
        <v>#DIV/0!</v>
      </c>
      <c r="O676" s="23" t="e">
        <f t="shared" ref="O676" si="1520">AVERAGE(L673:O673)/AVERAGE(K673:N673)-1</f>
        <v>#DIV/0!</v>
      </c>
      <c r="P676" s="23" t="e">
        <f t="shared" ref="P676" si="1521">AVERAGE(M673:P673)/AVERAGE(L673:O673)-1</f>
        <v>#DIV/0!</v>
      </c>
      <c r="Q676" s="23" t="e">
        <f t="shared" ref="Q676" si="1522">AVERAGE(N673:Q673)/AVERAGE(M673:P673)-1</f>
        <v>#DIV/0!</v>
      </c>
      <c r="R676" s="23" t="e">
        <f t="shared" ref="R676" si="1523">AVERAGE(O673:R673)/AVERAGE(N673:Q673)-1</f>
        <v>#DIV/0!</v>
      </c>
      <c r="S676" s="23" t="e">
        <f t="shared" ref="S676" si="1524">AVERAGE(P673:S673)/AVERAGE(O673:R673)-1</f>
        <v>#DIV/0!</v>
      </c>
      <c r="T676" s="23" t="e">
        <f t="shared" ref="T676" si="1525">AVERAGE(Q673:T673)/AVERAGE(P673:S673)-1</f>
        <v>#DIV/0!</v>
      </c>
      <c r="U676" s="23" t="e">
        <f t="shared" ref="U676" si="1526">AVERAGE(R673:U673)/AVERAGE(Q673:T673)-1</f>
        <v>#DIV/0!</v>
      </c>
    </row>
    <row r="677" spans="1:21" ht="13.5" thickBot="1" x14ac:dyDescent="0.25"/>
    <row r="678" spans="1:21" ht="13.5" thickBot="1" x14ac:dyDescent="0.25">
      <c r="A678" s="24" t="s">
        <v>0</v>
      </c>
      <c r="B678" s="25"/>
      <c r="C678" s="24" t="s">
        <v>30</v>
      </c>
      <c r="D678" s="24" t="s">
        <v>31</v>
      </c>
      <c r="E678" s="24" t="s">
        <v>32</v>
      </c>
      <c r="F678" s="24" t="s">
        <v>33</v>
      </c>
      <c r="G678" s="24" t="s">
        <v>34</v>
      </c>
      <c r="H678" s="24" t="s">
        <v>35</v>
      </c>
      <c r="I678" s="24" t="s">
        <v>36</v>
      </c>
      <c r="J678" s="24" t="s">
        <v>37</v>
      </c>
      <c r="K678" s="24" t="s">
        <v>38</v>
      </c>
      <c r="L678" s="24" t="s">
        <v>39</v>
      </c>
      <c r="M678" s="24" t="s">
        <v>40</v>
      </c>
      <c r="N678" s="24" t="s">
        <v>41</v>
      </c>
      <c r="O678" s="24" t="s">
        <v>42</v>
      </c>
      <c r="P678" s="24" t="s">
        <v>43</v>
      </c>
      <c r="Q678" s="24" t="s">
        <v>44</v>
      </c>
      <c r="R678" s="24" t="s">
        <v>45</v>
      </c>
      <c r="S678" s="24" t="s">
        <v>46</v>
      </c>
      <c r="T678" s="24" t="s">
        <v>47</v>
      </c>
      <c r="U678" s="24" t="s">
        <v>19</v>
      </c>
    </row>
    <row r="679" spans="1:21" x14ac:dyDescent="0.2">
      <c r="A679" s="17"/>
      <c r="B679" s="17" t="s">
        <v>51</v>
      </c>
      <c r="C679" s="17"/>
      <c r="D679" s="17"/>
      <c r="E679" s="17"/>
      <c r="F679" s="17"/>
      <c r="G679" s="17"/>
      <c r="H679" s="17"/>
      <c r="I679" s="17"/>
      <c r="J679" s="17"/>
      <c r="K679" s="17"/>
      <c r="L679" s="17"/>
      <c r="M679" s="17"/>
      <c r="N679" s="17"/>
      <c r="O679" s="17"/>
      <c r="P679" s="17"/>
      <c r="Q679" s="17"/>
      <c r="R679" s="17"/>
      <c r="S679" s="17"/>
      <c r="T679" s="17"/>
      <c r="U679" s="17"/>
    </row>
    <row r="680" spans="1:21" x14ac:dyDescent="0.2">
      <c r="B680" t="s">
        <v>49</v>
      </c>
      <c r="C680" s="22"/>
      <c r="D680" s="22"/>
      <c r="E680" s="22"/>
      <c r="F680" s="22"/>
      <c r="G680" s="22"/>
      <c r="H680" s="22"/>
      <c r="I680" s="22"/>
      <c r="J680" s="22"/>
      <c r="K680" s="22" t="e">
        <f t="shared" ref="K680" si="1527">K679/G679-1</f>
        <v>#DIV/0!</v>
      </c>
      <c r="L680" s="22" t="e">
        <f t="shared" ref="L680" si="1528">L679/H679-1</f>
        <v>#DIV/0!</v>
      </c>
      <c r="M680" s="22" t="e">
        <f t="shared" ref="M680" si="1529">M679/I679-1</f>
        <v>#DIV/0!</v>
      </c>
      <c r="N680" s="22" t="e">
        <f t="shared" ref="N680" si="1530">N679/J679-1</f>
        <v>#DIV/0!</v>
      </c>
      <c r="O680" s="22" t="e">
        <f t="shared" ref="O680" si="1531">O679/K679-1</f>
        <v>#DIV/0!</v>
      </c>
      <c r="P680" s="22" t="e">
        <f t="shared" ref="P680" si="1532">P679/L679-1</f>
        <v>#DIV/0!</v>
      </c>
      <c r="Q680" s="22" t="e">
        <f t="shared" ref="Q680" si="1533">Q679/M679-1</f>
        <v>#DIV/0!</v>
      </c>
      <c r="R680" s="22" t="e">
        <f t="shared" ref="R680" si="1534">R679/N679-1</f>
        <v>#DIV/0!</v>
      </c>
      <c r="S680" s="22" t="e">
        <f t="shared" ref="S680" si="1535">S679/O679-1</f>
        <v>#DIV/0!</v>
      </c>
      <c r="T680" s="22" t="e">
        <f t="shared" ref="T680" si="1536">T679/P679-1</f>
        <v>#DIV/0!</v>
      </c>
      <c r="U680" s="22" t="e">
        <f t="shared" ref="U680" si="1537">U679/Q679-1</f>
        <v>#DIV/0!</v>
      </c>
    </row>
    <row r="681" spans="1:21" x14ac:dyDescent="0.2">
      <c r="B681" t="s">
        <v>52</v>
      </c>
      <c r="C681" s="22"/>
      <c r="D681" s="22"/>
      <c r="E681" s="22"/>
      <c r="F681" s="22"/>
      <c r="G681" s="22"/>
      <c r="H681" s="22"/>
      <c r="I681" s="22"/>
      <c r="J681" s="22"/>
      <c r="K681" s="22"/>
      <c r="L681" s="22" t="e">
        <f t="shared" ref="L681" si="1538">L679/K679-1</f>
        <v>#DIV/0!</v>
      </c>
      <c r="M681" s="22" t="e">
        <f t="shared" ref="M681" si="1539">M679/L679-1</f>
        <v>#DIV/0!</v>
      </c>
      <c r="N681" s="22" t="e">
        <f t="shared" ref="N681" si="1540">N679/M679-1</f>
        <v>#DIV/0!</v>
      </c>
      <c r="O681" s="22" t="e">
        <f t="shared" ref="O681" si="1541">O679/N679-1</f>
        <v>#DIV/0!</v>
      </c>
      <c r="P681" s="22" t="e">
        <f t="shared" ref="P681" si="1542">P679/O679-1</f>
        <v>#DIV/0!</v>
      </c>
      <c r="Q681" s="22" t="e">
        <f t="shared" ref="Q681" si="1543">Q679/P679-1</f>
        <v>#DIV/0!</v>
      </c>
      <c r="R681" s="22" t="e">
        <f t="shared" ref="R681" si="1544">R679/Q679-1</f>
        <v>#DIV/0!</v>
      </c>
      <c r="S681" s="22" t="e">
        <f t="shared" ref="S681" si="1545">S679/R679-1</f>
        <v>#DIV/0!</v>
      </c>
      <c r="T681" s="22" t="e">
        <f t="shared" ref="T681" si="1546">T679/S679-1</f>
        <v>#DIV/0!</v>
      </c>
      <c r="U681" s="22" t="e">
        <f t="shared" ref="U681" si="1547">U679/T679-1</f>
        <v>#DIV/0!</v>
      </c>
    </row>
    <row r="682" spans="1:21" x14ac:dyDescent="0.2">
      <c r="A682" s="17"/>
      <c r="B682" s="17" t="s">
        <v>48</v>
      </c>
      <c r="C682" s="17"/>
      <c r="D682" s="17"/>
      <c r="E682" s="17"/>
      <c r="F682" s="17"/>
      <c r="G682" s="17"/>
      <c r="H682" s="17"/>
      <c r="I682" s="17"/>
      <c r="J682" s="17"/>
      <c r="K682" s="17"/>
      <c r="L682" s="17"/>
      <c r="M682" s="17"/>
      <c r="N682" s="17"/>
      <c r="O682" s="17"/>
      <c r="P682" s="17"/>
      <c r="Q682" s="17"/>
      <c r="R682" s="17"/>
      <c r="S682" s="17"/>
      <c r="T682" s="17"/>
      <c r="U682" s="17"/>
    </row>
    <row r="683" spans="1:21" x14ac:dyDescent="0.2">
      <c r="B683" t="s">
        <v>49</v>
      </c>
      <c r="C683" s="22"/>
      <c r="D683" s="22"/>
      <c r="E683" s="22"/>
      <c r="F683" s="22"/>
      <c r="G683" s="22"/>
      <c r="H683" s="22"/>
      <c r="I683" s="22"/>
      <c r="J683" s="22"/>
      <c r="K683" s="22" t="e">
        <f t="shared" ref="K683" si="1548">K682/G682-1</f>
        <v>#DIV/0!</v>
      </c>
      <c r="L683" s="22" t="e">
        <f t="shared" ref="L683" si="1549">L682/H682-1</f>
        <v>#DIV/0!</v>
      </c>
      <c r="M683" s="22" t="e">
        <f t="shared" ref="M683" si="1550">M682/I682-1</f>
        <v>#DIV/0!</v>
      </c>
      <c r="N683" s="22" t="e">
        <f t="shared" ref="N683" si="1551">N682/J682-1</f>
        <v>#DIV/0!</v>
      </c>
      <c r="O683" s="22" t="e">
        <f t="shared" ref="O683" si="1552">O682/K682-1</f>
        <v>#DIV/0!</v>
      </c>
      <c r="P683" s="22" t="e">
        <f t="shared" ref="P683" si="1553">P682/L682-1</f>
        <v>#DIV/0!</v>
      </c>
      <c r="Q683" s="22" t="e">
        <f t="shared" ref="Q683" si="1554">Q682/M682-1</f>
        <v>#DIV/0!</v>
      </c>
      <c r="R683" s="22" t="e">
        <f t="shared" ref="R683" si="1555">R682/N682-1</f>
        <v>#DIV/0!</v>
      </c>
      <c r="S683" s="22" t="e">
        <f t="shared" ref="S683" si="1556">S682/O682-1</f>
        <v>#DIV/0!</v>
      </c>
      <c r="T683" s="22" t="e">
        <f t="shared" ref="T683" si="1557">T682/P682-1</f>
        <v>#DIV/0!</v>
      </c>
      <c r="U683" s="22" t="e">
        <f t="shared" ref="U683" si="1558">U682/Q682-1</f>
        <v>#DIV/0!</v>
      </c>
    </row>
    <row r="684" spans="1:21" x14ac:dyDescent="0.2">
      <c r="B684" t="s">
        <v>52</v>
      </c>
      <c r="C684" s="22"/>
      <c r="D684" s="22"/>
      <c r="E684" s="22"/>
      <c r="F684" s="22"/>
      <c r="G684" s="22"/>
      <c r="H684" s="22"/>
      <c r="I684" s="22"/>
      <c r="J684" s="22"/>
      <c r="K684" s="22"/>
      <c r="L684" s="22" t="e">
        <f t="shared" ref="L684" si="1559">L682/K682-1</f>
        <v>#DIV/0!</v>
      </c>
      <c r="M684" s="22" t="e">
        <f t="shared" ref="M684" si="1560">M682/L682-1</f>
        <v>#DIV/0!</v>
      </c>
      <c r="N684" s="22" t="e">
        <f t="shared" ref="N684" si="1561">N682/M682-1</f>
        <v>#DIV/0!</v>
      </c>
      <c r="O684" s="22" t="e">
        <f t="shared" ref="O684" si="1562">O682/N682-1</f>
        <v>#DIV/0!</v>
      </c>
      <c r="P684" s="22" t="e">
        <f t="shared" ref="P684" si="1563">P682/O682-1</f>
        <v>#DIV/0!</v>
      </c>
      <c r="Q684" s="22" t="e">
        <f t="shared" ref="Q684" si="1564">Q682/P682-1</f>
        <v>#DIV/0!</v>
      </c>
      <c r="R684" s="22" t="e">
        <f t="shared" ref="R684" si="1565">R682/Q682-1</f>
        <v>#DIV/0!</v>
      </c>
      <c r="S684" s="22" t="e">
        <f t="shared" ref="S684" si="1566">S682/R682-1</f>
        <v>#DIV/0!</v>
      </c>
      <c r="T684" s="22" t="e">
        <f t="shared" ref="T684" si="1567">T682/S682-1</f>
        <v>#DIV/0!</v>
      </c>
      <c r="U684" s="22" t="e">
        <f t="shared" ref="U684" si="1568">U682/T682-1</f>
        <v>#DIV/0!</v>
      </c>
    </row>
    <row r="685" spans="1:21" x14ac:dyDescent="0.2">
      <c r="B685" s="17" t="s">
        <v>50</v>
      </c>
      <c r="C685" s="17"/>
      <c r="D685" s="17"/>
      <c r="E685" s="17"/>
      <c r="F685" s="17"/>
      <c r="G685" s="23"/>
      <c r="H685" s="23"/>
      <c r="I685" s="23"/>
      <c r="J685" s="23"/>
      <c r="K685" s="23" t="e">
        <f t="shared" ref="K685" si="1569">AVERAGE(H682:K682)/AVERAGE(G682:J682)-1</f>
        <v>#DIV/0!</v>
      </c>
      <c r="L685" s="23" t="e">
        <f t="shared" ref="L685" si="1570">AVERAGE(I682:L682)/AVERAGE(H682:K682)-1</f>
        <v>#DIV/0!</v>
      </c>
      <c r="M685" s="23" t="e">
        <f t="shared" ref="M685" si="1571">AVERAGE(J682:M682)/AVERAGE(I682:L682)-1</f>
        <v>#DIV/0!</v>
      </c>
      <c r="N685" s="23" t="e">
        <f t="shared" ref="N685" si="1572">AVERAGE(K682:N682)/AVERAGE(J682:M682)-1</f>
        <v>#DIV/0!</v>
      </c>
      <c r="O685" s="23" t="e">
        <f t="shared" ref="O685" si="1573">AVERAGE(L682:O682)/AVERAGE(K682:N682)-1</f>
        <v>#DIV/0!</v>
      </c>
      <c r="P685" s="23" t="e">
        <f t="shared" ref="P685" si="1574">AVERAGE(M682:P682)/AVERAGE(L682:O682)-1</f>
        <v>#DIV/0!</v>
      </c>
      <c r="Q685" s="23" t="e">
        <f t="shared" ref="Q685" si="1575">AVERAGE(N682:Q682)/AVERAGE(M682:P682)-1</f>
        <v>#DIV/0!</v>
      </c>
      <c r="R685" s="23" t="e">
        <f t="shared" ref="R685" si="1576">AVERAGE(O682:R682)/AVERAGE(N682:Q682)-1</f>
        <v>#DIV/0!</v>
      </c>
      <c r="S685" s="23" t="e">
        <f t="shared" ref="S685" si="1577">AVERAGE(P682:S682)/AVERAGE(O682:R682)-1</f>
        <v>#DIV/0!</v>
      </c>
      <c r="T685" s="23" t="e">
        <f t="shared" ref="T685" si="1578">AVERAGE(Q682:T682)/AVERAGE(P682:S682)-1</f>
        <v>#DIV/0!</v>
      </c>
      <c r="U685" s="23" t="e">
        <f t="shared" ref="U685" si="1579">AVERAGE(R682:U682)/AVERAGE(Q682:T682)-1</f>
        <v>#DIV/0!</v>
      </c>
    </row>
    <row r="686" spans="1:21" ht="13.5" thickBot="1" x14ac:dyDescent="0.25"/>
    <row r="687" spans="1:21" ht="13.5" thickBot="1" x14ac:dyDescent="0.25">
      <c r="A687" s="24" t="s">
        <v>0</v>
      </c>
      <c r="B687" s="25"/>
      <c r="C687" s="24" t="s">
        <v>30</v>
      </c>
      <c r="D687" s="24" t="s">
        <v>31</v>
      </c>
      <c r="E687" s="24" t="s">
        <v>32</v>
      </c>
      <c r="F687" s="24" t="s">
        <v>33</v>
      </c>
      <c r="G687" s="24" t="s">
        <v>34</v>
      </c>
      <c r="H687" s="24" t="s">
        <v>35</v>
      </c>
      <c r="I687" s="24" t="s">
        <v>36</v>
      </c>
      <c r="J687" s="24" t="s">
        <v>37</v>
      </c>
      <c r="K687" s="24" t="s">
        <v>38</v>
      </c>
      <c r="L687" s="24" t="s">
        <v>39</v>
      </c>
      <c r="M687" s="24" t="s">
        <v>40</v>
      </c>
      <c r="N687" s="24" t="s">
        <v>41</v>
      </c>
      <c r="O687" s="24" t="s">
        <v>42</v>
      </c>
      <c r="P687" s="24" t="s">
        <v>43</v>
      </c>
      <c r="Q687" s="24" t="s">
        <v>44</v>
      </c>
      <c r="R687" s="24" t="s">
        <v>45</v>
      </c>
      <c r="S687" s="24" t="s">
        <v>46</v>
      </c>
      <c r="T687" s="24" t="s">
        <v>47</v>
      </c>
      <c r="U687" s="24" t="s">
        <v>19</v>
      </c>
    </row>
    <row r="688" spans="1:21" x14ac:dyDescent="0.2">
      <c r="A688" s="17"/>
      <c r="B688" s="17" t="s">
        <v>51</v>
      </c>
      <c r="C688" s="17"/>
      <c r="D688" s="17"/>
      <c r="E688" s="17"/>
      <c r="F688" s="17"/>
      <c r="G688" s="17"/>
      <c r="H688" s="17"/>
      <c r="I688" s="17"/>
      <c r="J688" s="17"/>
      <c r="K688" s="17"/>
      <c r="L688" s="17"/>
      <c r="M688" s="17"/>
      <c r="N688" s="17"/>
      <c r="O688" s="17"/>
      <c r="P688" s="17"/>
      <c r="Q688" s="17"/>
      <c r="R688" s="17"/>
      <c r="S688" s="17"/>
      <c r="T688" s="17"/>
      <c r="U688" s="17"/>
    </row>
    <row r="689" spans="1:21" x14ac:dyDescent="0.2">
      <c r="B689" t="s">
        <v>49</v>
      </c>
      <c r="C689" s="22"/>
      <c r="D689" s="22"/>
      <c r="E689" s="22"/>
      <c r="F689" s="22"/>
      <c r="G689" s="22"/>
      <c r="H689" s="22"/>
      <c r="I689" s="22"/>
      <c r="J689" s="22"/>
      <c r="K689" s="22" t="e">
        <f t="shared" ref="K689" si="1580">K688/G688-1</f>
        <v>#DIV/0!</v>
      </c>
      <c r="L689" s="22" t="e">
        <f t="shared" ref="L689" si="1581">L688/H688-1</f>
        <v>#DIV/0!</v>
      </c>
      <c r="M689" s="22" t="e">
        <f t="shared" ref="M689" si="1582">M688/I688-1</f>
        <v>#DIV/0!</v>
      </c>
      <c r="N689" s="22" t="e">
        <f t="shared" ref="N689" si="1583">N688/J688-1</f>
        <v>#DIV/0!</v>
      </c>
      <c r="O689" s="22" t="e">
        <f t="shared" ref="O689" si="1584">O688/K688-1</f>
        <v>#DIV/0!</v>
      </c>
      <c r="P689" s="22" t="e">
        <f t="shared" ref="P689" si="1585">P688/L688-1</f>
        <v>#DIV/0!</v>
      </c>
      <c r="Q689" s="22" t="e">
        <f t="shared" ref="Q689" si="1586">Q688/M688-1</f>
        <v>#DIV/0!</v>
      </c>
      <c r="R689" s="22" t="e">
        <f t="shared" ref="R689" si="1587">R688/N688-1</f>
        <v>#DIV/0!</v>
      </c>
      <c r="S689" s="22" t="e">
        <f t="shared" ref="S689" si="1588">S688/O688-1</f>
        <v>#DIV/0!</v>
      </c>
      <c r="T689" s="22" t="e">
        <f t="shared" ref="T689" si="1589">T688/P688-1</f>
        <v>#DIV/0!</v>
      </c>
      <c r="U689" s="22" t="e">
        <f t="shared" ref="U689" si="1590">U688/Q688-1</f>
        <v>#DIV/0!</v>
      </c>
    </row>
    <row r="690" spans="1:21" x14ac:dyDescent="0.2">
      <c r="B690" t="s">
        <v>52</v>
      </c>
      <c r="C690" s="22"/>
      <c r="D690" s="22"/>
      <c r="E690" s="22"/>
      <c r="F690" s="22"/>
      <c r="G690" s="22"/>
      <c r="H690" s="22"/>
      <c r="I690" s="22"/>
      <c r="J690" s="22"/>
      <c r="K690" s="22"/>
      <c r="L690" s="22" t="e">
        <f t="shared" ref="L690" si="1591">L688/K688-1</f>
        <v>#DIV/0!</v>
      </c>
      <c r="M690" s="22" t="e">
        <f t="shared" ref="M690" si="1592">M688/L688-1</f>
        <v>#DIV/0!</v>
      </c>
      <c r="N690" s="22" t="e">
        <f t="shared" ref="N690" si="1593">N688/M688-1</f>
        <v>#DIV/0!</v>
      </c>
      <c r="O690" s="22" t="e">
        <f t="shared" ref="O690" si="1594">O688/N688-1</f>
        <v>#DIV/0!</v>
      </c>
      <c r="P690" s="22" t="e">
        <f t="shared" ref="P690" si="1595">P688/O688-1</f>
        <v>#DIV/0!</v>
      </c>
      <c r="Q690" s="22" t="e">
        <f t="shared" ref="Q690" si="1596">Q688/P688-1</f>
        <v>#DIV/0!</v>
      </c>
      <c r="R690" s="22" t="e">
        <f t="shared" ref="R690" si="1597">R688/Q688-1</f>
        <v>#DIV/0!</v>
      </c>
      <c r="S690" s="22" t="e">
        <f t="shared" ref="S690" si="1598">S688/R688-1</f>
        <v>#DIV/0!</v>
      </c>
      <c r="T690" s="22" t="e">
        <f t="shared" ref="T690" si="1599">T688/S688-1</f>
        <v>#DIV/0!</v>
      </c>
      <c r="U690" s="22" t="e">
        <f t="shared" ref="U690" si="1600">U688/T688-1</f>
        <v>#DIV/0!</v>
      </c>
    </row>
    <row r="691" spans="1:21" x14ac:dyDescent="0.2">
      <c r="A691" s="17"/>
      <c r="B691" s="17" t="s">
        <v>48</v>
      </c>
      <c r="C691" s="17"/>
      <c r="D691" s="17"/>
      <c r="E691" s="17"/>
      <c r="F691" s="17"/>
      <c r="G691" s="17"/>
      <c r="H691" s="17"/>
      <c r="I691" s="17"/>
      <c r="J691" s="17"/>
      <c r="K691" s="17"/>
      <c r="L691" s="17"/>
      <c r="M691" s="17"/>
      <c r="N691" s="17"/>
      <c r="O691" s="17"/>
      <c r="P691" s="17"/>
      <c r="Q691" s="17"/>
      <c r="R691" s="17"/>
      <c r="S691" s="17"/>
      <c r="T691" s="17"/>
      <c r="U691" s="17"/>
    </row>
    <row r="692" spans="1:21" x14ac:dyDescent="0.2">
      <c r="B692" t="s">
        <v>49</v>
      </c>
      <c r="C692" s="22"/>
      <c r="D692" s="22"/>
      <c r="E692" s="22"/>
      <c r="F692" s="22"/>
      <c r="G692" s="22"/>
      <c r="H692" s="22"/>
      <c r="I692" s="22"/>
      <c r="J692" s="22"/>
      <c r="K692" s="22" t="e">
        <f t="shared" ref="K692" si="1601">K691/G691-1</f>
        <v>#DIV/0!</v>
      </c>
      <c r="L692" s="22" t="e">
        <f t="shared" ref="L692" si="1602">L691/H691-1</f>
        <v>#DIV/0!</v>
      </c>
      <c r="M692" s="22" t="e">
        <f t="shared" ref="M692" si="1603">M691/I691-1</f>
        <v>#DIV/0!</v>
      </c>
      <c r="N692" s="22" t="e">
        <f t="shared" ref="N692" si="1604">N691/J691-1</f>
        <v>#DIV/0!</v>
      </c>
      <c r="O692" s="22" t="e">
        <f t="shared" ref="O692" si="1605">O691/K691-1</f>
        <v>#DIV/0!</v>
      </c>
      <c r="P692" s="22" t="e">
        <f t="shared" ref="P692" si="1606">P691/L691-1</f>
        <v>#DIV/0!</v>
      </c>
      <c r="Q692" s="22" t="e">
        <f t="shared" ref="Q692" si="1607">Q691/M691-1</f>
        <v>#DIV/0!</v>
      </c>
      <c r="R692" s="22" t="e">
        <f t="shared" ref="R692" si="1608">R691/N691-1</f>
        <v>#DIV/0!</v>
      </c>
      <c r="S692" s="22" t="e">
        <f t="shared" ref="S692" si="1609">S691/O691-1</f>
        <v>#DIV/0!</v>
      </c>
      <c r="T692" s="22" t="e">
        <f t="shared" ref="T692" si="1610">T691/P691-1</f>
        <v>#DIV/0!</v>
      </c>
      <c r="U692" s="22" t="e">
        <f t="shared" ref="U692" si="1611">U691/Q691-1</f>
        <v>#DIV/0!</v>
      </c>
    </row>
    <row r="693" spans="1:21" x14ac:dyDescent="0.2">
      <c r="B693" t="s">
        <v>52</v>
      </c>
      <c r="C693" s="22"/>
      <c r="D693" s="22"/>
      <c r="E693" s="22"/>
      <c r="F693" s="22"/>
      <c r="G693" s="22"/>
      <c r="H693" s="22"/>
      <c r="I693" s="22"/>
      <c r="J693" s="22"/>
      <c r="K693" s="22"/>
      <c r="L693" s="22" t="e">
        <f t="shared" ref="L693" si="1612">L691/K691-1</f>
        <v>#DIV/0!</v>
      </c>
      <c r="M693" s="22" t="e">
        <f t="shared" ref="M693" si="1613">M691/L691-1</f>
        <v>#DIV/0!</v>
      </c>
      <c r="N693" s="22" t="e">
        <f t="shared" ref="N693" si="1614">N691/M691-1</f>
        <v>#DIV/0!</v>
      </c>
      <c r="O693" s="22" t="e">
        <f t="shared" ref="O693" si="1615">O691/N691-1</f>
        <v>#DIV/0!</v>
      </c>
      <c r="P693" s="22" t="e">
        <f t="shared" ref="P693" si="1616">P691/O691-1</f>
        <v>#DIV/0!</v>
      </c>
      <c r="Q693" s="22" t="e">
        <f t="shared" ref="Q693" si="1617">Q691/P691-1</f>
        <v>#DIV/0!</v>
      </c>
      <c r="R693" s="22" t="e">
        <f t="shared" ref="R693" si="1618">R691/Q691-1</f>
        <v>#DIV/0!</v>
      </c>
      <c r="S693" s="22" t="e">
        <f t="shared" ref="S693" si="1619">S691/R691-1</f>
        <v>#DIV/0!</v>
      </c>
      <c r="T693" s="22" t="e">
        <f t="shared" ref="T693" si="1620">T691/S691-1</f>
        <v>#DIV/0!</v>
      </c>
      <c r="U693" s="22" t="e">
        <f t="shared" ref="U693" si="1621">U691/T691-1</f>
        <v>#DIV/0!</v>
      </c>
    </row>
    <row r="694" spans="1:21" x14ac:dyDescent="0.2">
      <c r="B694" s="17" t="s">
        <v>50</v>
      </c>
      <c r="C694" s="17"/>
      <c r="D694" s="17"/>
      <c r="E694" s="17"/>
      <c r="F694" s="17"/>
      <c r="G694" s="23"/>
      <c r="H694" s="23"/>
      <c r="I694" s="23"/>
      <c r="J694" s="23"/>
      <c r="K694" s="23" t="e">
        <f t="shared" ref="K694" si="1622">AVERAGE(H691:K691)/AVERAGE(G691:J691)-1</f>
        <v>#DIV/0!</v>
      </c>
      <c r="L694" s="23" t="e">
        <f t="shared" ref="L694" si="1623">AVERAGE(I691:L691)/AVERAGE(H691:K691)-1</f>
        <v>#DIV/0!</v>
      </c>
      <c r="M694" s="23" t="e">
        <f t="shared" ref="M694" si="1624">AVERAGE(J691:M691)/AVERAGE(I691:L691)-1</f>
        <v>#DIV/0!</v>
      </c>
      <c r="N694" s="23" t="e">
        <f t="shared" ref="N694" si="1625">AVERAGE(K691:N691)/AVERAGE(J691:M691)-1</f>
        <v>#DIV/0!</v>
      </c>
      <c r="O694" s="23" t="e">
        <f t="shared" ref="O694" si="1626">AVERAGE(L691:O691)/AVERAGE(K691:N691)-1</f>
        <v>#DIV/0!</v>
      </c>
      <c r="P694" s="23" t="e">
        <f t="shared" ref="P694" si="1627">AVERAGE(M691:P691)/AVERAGE(L691:O691)-1</f>
        <v>#DIV/0!</v>
      </c>
      <c r="Q694" s="23" t="e">
        <f t="shared" ref="Q694" si="1628">AVERAGE(N691:Q691)/AVERAGE(M691:P691)-1</f>
        <v>#DIV/0!</v>
      </c>
      <c r="R694" s="23" t="e">
        <f t="shared" ref="R694" si="1629">AVERAGE(O691:R691)/AVERAGE(N691:Q691)-1</f>
        <v>#DIV/0!</v>
      </c>
      <c r="S694" s="23" t="e">
        <f t="shared" ref="S694" si="1630">AVERAGE(P691:S691)/AVERAGE(O691:R691)-1</f>
        <v>#DIV/0!</v>
      </c>
      <c r="T694" s="23" t="e">
        <f t="shared" ref="T694" si="1631">AVERAGE(Q691:T691)/AVERAGE(P691:S691)-1</f>
        <v>#DIV/0!</v>
      </c>
      <c r="U694" s="23" t="e">
        <f t="shared" ref="U694" si="1632">AVERAGE(R691:U691)/AVERAGE(Q691:T691)-1</f>
        <v>#DIV/0!</v>
      </c>
    </row>
    <row r="695" spans="1:21" ht="13.5" thickBot="1" x14ac:dyDescent="0.25"/>
    <row r="696" spans="1:21" ht="13.5" thickBot="1" x14ac:dyDescent="0.25">
      <c r="A696" s="24" t="s">
        <v>0</v>
      </c>
      <c r="B696" s="25"/>
      <c r="C696" s="24" t="s">
        <v>30</v>
      </c>
      <c r="D696" s="24" t="s">
        <v>31</v>
      </c>
      <c r="E696" s="24" t="s">
        <v>32</v>
      </c>
      <c r="F696" s="24" t="s">
        <v>33</v>
      </c>
      <c r="G696" s="24" t="s">
        <v>34</v>
      </c>
      <c r="H696" s="24" t="s">
        <v>35</v>
      </c>
      <c r="I696" s="24" t="s">
        <v>36</v>
      </c>
      <c r="J696" s="24" t="s">
        <v>37</v>
      </c>
      <c r="K696" s="24" t="s">
        <v>38</v>
      </c>
      <c r="L696" s="24" t="s">
        <v>39</v>
      </c>
      <c r="M696" s="24" t="s">
        <v>40</v>
      </c>
      <c r="N696" s="24" t="s">
        <v>41</v>
      </c>
      <c r="O696" s="24" t="s">
        <v>42</v>
      </c>
      <c r="P696" s="24" t="s">
        <v>43</v>
      </c>
      <c r="Q696" s="24" t="s">
        <v>44</v>
      </c>
      <c r="R696" s="24" t="s">
        <v>45</v>
      </c>
      <c r="S696" s="24" t="s">
        <v>46</v>
      </c>
      <c r="T696" s="24" t="s">
        <v>47</v>
      </c>
      <c r="U696" s="24" t="s">
        <v>19</v>
      </c>
    </row>
    <row r="697" spans="1:21" x14ac:dyDescent="0.2">
      <c r="A697" s="17"/>
      <c r="B697" s="17" t="s">
        <v>51</v>
      </c>
      <c r="C697" s="17"/>
      <c r="D697" s="17"/>
      <c r="E697" s="17"/>
      <c r="F697" s="17"/>
      <c r="G697" s="17"/>
      <c r="H697" s="17"/>
      <c r="I697" s="17"/>
      <c r="J697" s="17"/>
      <c r="K697" s="17"/>
      <c r="L697" s="17"/>
      <c r="M697" s="17"/>
      <c r="N697" s="17"/>
      <c r="O697" s="17"/>
      <c r="P697" s="17"/>
      <c r="Q697" s="17"/>
      <c r="R697" s="17"/>
      <c r="S697" s="17"/>
      <c r="T697" s="17"/>
      <c r="U697" s="17"/>
    </row>
    <row r="698" spans="1:21" x14ac:dyDescent="0.2">
      <c r="B698" t="s">
        <v>49</v>
      </c>
      <c r="C698" s="22"/>
      <c r="D698" s="22"/>
      <c r="E698" s="22"/>
      <c r="F698" s="22"/>
      <c r="G698" s="22"/>
      <c r="H698" s="22"/>
      <c r="I698" s="22"/>
      <c r="J698" s="22"/>
      <c r="K698" s="22" t="e">
        <f t="shared" ref="K698" si="1633">K697/G697-1</f>
        <v>#DIV/0!</v>
      </c>
      <c r="L698" s="22" t="e">
        <f t="shared" ref="L698" si="1634">L697/H697-1</f>
        <v>#DIV/0!</v>
      </c>
      <c r="M698" s="22" t="e">
        <f t="shared" ref="M698" si="1635">M697/I697-1</f>
        <v>#DIV/0!</v>
      </c>
      <c r="N698" s="22" t="e">
        <f t="shared" ref="N698" si="1636">N697/J697-1</f>
        <v>#DIV/0!</v>
      </c>
      <c r="O698" s="22" t="e">
        <f t="shared" ref="O698" si="1637">O697/K697-1</f>
        <v>#DIV/0!</v>
      </c>
      <c r="P698" s="22" t="e">
        <f t="shared" ref="P698" si="1638">P697/L697-1</f>
        <v>#DIV/0!</v>
      </c>
      <c r="Q698" s="22" t="e">
        <f t="shared" ref="Q698" si="1639">Q697/M697-1</f>
        <v>#DIV/0!</v>
      </c>
      <c r="R698" s="22" t="e">
        <f t="shared" ref="R698" si="1640">R697/N697-1</f>
        <v>#DIV/0!</v>
      </c>
      <c r="S698" s="22" t="e">
        <f t="shared" ref="S698" si="1641">S697/O697-1</f>
        <v>#DIV/0!</v>
      </c>
      <c r="T698" s="22" t="e">
        <f t="shared" ref="T698" si="1642">T697/P697-1</f>
        <v>#DIV/0!</v>
      </c>
      <c r="U698" s="22" t="e">
        <f t="shared" ref="U698" si="1643">U697/Q697-1</f>
        <v>#DIV/0!</v>
      </c>
    </row>
    <row r="699" spans="1:21" x14ac:dyDescent="0.2">
      <c r="B699" t="s">
        <v>52</v>
      </c>
      <c r="C699" s="22"/>
      <c r="D699" s="22"/>
      <c r="E699" s="22"/>
      <c r="F699" s="22"/>
      <c r="G699" s="22"/>
      <c r="H699" s="22"/>
      <c r="I699" s="22"/>
      <c r="J699" s="22"/>
      <c r="K699" s="22"/>
      <c r="L699" s="22" t="e">
        <f t="shared" ref="L699" si="1644">L697/K697-1</f>
        <v>#DIV/0!</v>
      </c>
      <c r="M699" s="22" t="e">
        <f t="shared" ref="M699" si="1645">M697/L697-1</f>
        <v>#DIV/0!</v>
      </c>
      <c r="N699" s="22" t="e">
        <f t="shared" ref="N699" si="1646">N697/M697-1</f>
        <v>#DIV/0!</v>
      </c>
      <c r="O699" s="22" t="e">
        <f t="shared" ref="O699" si="1647">O697/N697-1</f>
        <v>#DIV/0!</v>
      </c>
      <c r="P699" s="22" t="e">
        <f t="shared" ref="P699" si="1648">P697/O697-1</f>
        <v>#DIV/0!</v>
      </c>
      <c r="Q699" s="22" t="e">
        <f t="shared" ref="Q699" si="1649">Q697/P697-1</f>
        <v>#DIV/0!</v>
      </c>
      <c r="R699" s="22" t="e">
        <f t="shared" ref="R699" si="1650">R697/Q697-1</f>
        <v>#DIV/0!</v>
      </c>
      <c r="S699" s="22" t="e">
        <f t="shared" ref="S699" si="1651">S697/R697-1</f>
        <v>#DIV/0!</v>
      </c>
      <c r="T699" s="22" t="e">
        <f t="shared" ref="T699" si="1652">T697/S697-1</f>
        <v>#DIV/0!</v>
      </c>
      <c r="U699" s="22" t="e">
        <f t="shared" ref="U699" si="1653">U697/T697-1</f>
        <v>#DIV/0!</v>
      </c>
    </row>
    <row r="700" spans="1:21" x14ac:dyDescent="0.2">
      <c r="A700" s="17"/>
      <c r="B700" s="17" t="s">
        <v>48</v>
      </c>
      <c r="C700" s="17"/>
      <c r="D700" s="17"/>
      <c r="E700" s="17"/>
      <c r="F700" s="17"/>
      <c r="G700" s="17"/>
      <c r="H700" s="17"/>
      <c r="I700" s="17"/>
      <c r="J700" s="17"/>
      <c r="K700" s="17"/>
      <c r="L700" s="17"/>
      <c r="M700" s="17"/>
      <c r="N700" s="17"/>
      <c r="O700" s="17"/>
      <c r="P700" s="17"/>
      <c r="Q700" s="17"/>
      <c r="R700" s="17"/>
      <c r="S700" s="17"/>
      <c r="T700" s="17"/>
      <c r="U700" s="17"/>
    </row>
    <row r="701" spans="1:21" x14ac:dyDescent="0.2">
      <c r="B701" t="s">
        <v>49</v>
      </c>
      <c r="C701" s="22"/>
      <c r="D701" s="22"/>
      <c r="E701" s="22"/>
      <c r="F701" s="22"/>
      <c r="G701" s="22"/>
      <c r="H701" s="22"/>
      <c r="I701" s="22"/>
      <c r="J701" s="22"/>
      <c r="K701" s="22" t="e">
        <f t="shared" ref="K701" si="1654">K700/G700-1</f>
        <v>#DIV/0!</v>
      </c>
      <c r="L701" s="22" t="e">
        <f t="shared" ref="L701" si="1655">L700/H700-1</f>
        <v>#DIV/0!</v>
      </c>
      <c r="M701" s="22" t="e">
        <f t="shared" ref="M701" si="1656">M700/I700-1</f>
        <v>#DIV/0!</v>
      </c>
      <c r="N701" s="22" t="e">
        <f t="shared" ref="N701" si="1657">N700/J700-1</f>
        <v>#DIV/0!</v>
      </c>
      <c r="O701" s="22" t="e">
        <f t="shared" ref="O701" si="1658">O700/K700-1</f>
        <v>#DIV/0!</v>
      </c>
      <c r="P701" s="22" t="e">
        <f t="shared" ref="P701" si="1659">P700/L700-1</f>
        <v>#DIV/0!</v>
      </c>
      <c r="Q701" s="22" t="e">
        <f t="shared" ref="Q701" si="1660">Q700/M700-1</f>
        <v>#DIV/0!</v>
      </c>
      <c r="R701" s="22" t="e">
        <f t="shared" ref="R701" si="1661">R700/N700-1</f>
        <v>#DIV/0!</v>
      </c>
      <c r="S701" s="22" t="e">
        <f t="shared" ref="S701" si="1662">S700/O700-1</f>
        <v>#DIV/0!</v>
      </c>
      <c r="T701" s="22" t="e">
        <f t="shared" ref="T701" si="1663">T700/P700-1</f>
        <v>#DIV/0!</v>
      </c>
      <c r="U701" s="22" t="e">
        <f t="shared" ref="U701" si="1664">U700/Q700-1</f>
        <v>#DIV/0!</v>
      </c>
    </row>
    <row r="702" spans="1:21" x14ac:dyDescent="0.2">
      <c r="B702" t="s">
        <v>52</v>
      </c>
      <c r="C702" s="22"/>
      <c r="D702" s="22"/>
      <c r="E702" s="22"/>
      <c r="F702" s="22"/>
      <c r="G702" s="22"/>
      <c r="H702" s="22"/>
      <c r="I702" s="22"/>
      <c r="J702" s="22"/>
      <c r="K702" s="22"/>
      <c r="L702" s="22" t="e">
        <f t="shared" ref="L702" si="1665">L700/K700-1</f>
        <v>#DIV/0!</v>
      </c>
      <c r="M702" s="22" t="e">
        <f t="shared" ref="M702" si="1666">M700/L700-1</f>
        <v>#DIV/0!</v>
      </c>
      <c r="N702" s="22" t="e">
        <f t="shared" ref="N702" si="1667">N700/M700-1</f>
        <v>#DIV/0!</v>
      </c>
      <c r="O702" s="22" t="e">
        <f t="shared" ref="O702" si="1668">O700/N700-1</f>
        <v>#DIV/0!</v>
      </c>
      <c r="P702" s="22" t="e">
        <f t="shared" ref="P702" si="1669">P700/O700-1</f>
        <v>#DIV/0!</v>
      </c>
      <c r="Q702" s="22" t="e">
        <f t="shared" ref="Q702" si="1670">Q700/P700-1</f>
        <v>#DIV/0!</v>
      </c>
      <c r="R702" s="22" t="e">
        <f t="shared" ref="R702" si="1671">R700/Q700-1</f>
        <v>#DIV/0!</v>
      </c>
      <c r="S702" s="22" t="e">
        <f t="shared" ref="S702" si="1672">S700/R700-1</f>
        <v>#DIV/0!</v>
      </c>
      <c r="T702" s="22" t="e">
        <f t="shared" ref="T702" si="1673">T700/S700-1</f>
        <v>#DIV/0!</v>
      </c>
      <c r="U702" s="22" t="e">
        <f t="shared" ref="U702" si="1674">U700/T700-1</f>
        <v>#DIV/0!</v>
      </c>
    </row>
    <row r="703" spans="1:21" x14ac:dyDescent="0.2">
      <c r="B703" s="17" t="s">
        <v>50</v>
      </c>
      <c r="C703" s="17"/>
      <c r="D703" s="17"/>
      <c r="E703" s="17"/>
      <c r="F703" s="17"/>
      <c r="G703" s="23"/>
      <c r="H703" s="23"/>
      <c r="I703" s="23"/>
      <c r="J703" s="23"/>
      <c r="K703" s="23" t="e">
        <f t="shared" ref="K703" si="1675">AVERAGE(H700:K700)/AVERAGE(G700:J700)-1</f>
        <v>#DIV/0!</v>
      </c>
      <c r="L703" s="23" t="e">
        <f t="shared" ref="L703" si="1676">AVERAGE(I700:L700)/AVERAGE(H700:K700)-1</f>
        <v>#DIV/0!</v>
      </c>
      <c r="M703" s="23" t="e">
        <f t="shared" ref="M703" si="1677">AVERAGE(J700:M700)/AVERAGE(I700:L700)-1</f>
        <v>#DIV/0!</v>
      </c>
      <c r="N703" s="23" t="e">
        <f t="shared" ref="N703" si="1678">AVERAGE(K700:N700)/AVERAGE(J700:M700)-1</f>
        <v>#DIV/0!</v>
      </c>
      <c r="O703" s="23" t="e">
        <f t="shared" ref="O703" si="1679">AVERAGE(L700:O700)/AVERAGE(K700:N700)-1</f>
        <v>#DIV/0!</v>
      </c>
      <c r="P703" s="23" t="e">
        <f t="shared" ref="P703" si="1680">AVERAGE(M700:P700)/AVERAGE(L700:O700)-1</f>
        <v>#DIV/0!</v>
      </c>
      <c r="Q703" s="23" t="e">
        <f t="shared" ref="Q703" si="1681">AVERAGE(N700:Q700)/AVERAGE(M700:P700)-1</f>
        <v>#DIV/0!</v>
      </c>
      <c r="R703" s="23" t="e">
        <f t="shared" ref="R703" si="1682">AVERAGE(O700:R700)/AVERAGE(N700:Q700)-1</f>
        <v>#DIV/0!</v>
      </c>
      <c r="S703" s="23" t="e">
        <f t="shared" ref="S703" si="1683">AVERAGE(P700:S700)/AVERAGE(O700:R700)-1</f>
        <v>#DIV/0!</v>
      </c>
      <c r="T703" s="23" t="e">
        <f t="shared" ref="T703" si="1684">AVERAGE(Q700:T700)/AVERAGE(P700:S700)-1</f>
        <v>#DIV/0!</v>
      </c>
      <c r="U703" s="23" t="e">
        <f t="shared" ref="U703" si="1685">AVERAGE(R700:U700)/AVERAGE(Q700:T700)-1</f>
        <v>#DIV/0!</v>
      </c>
    </row>
    <row r="704" spans="1:21" ht="13.5" thickBot="1" x14ac:dyDescent="0.25"/>
    <row r="705" spans="1:21" ht="13.5" thickBot="1" x14ac:dyDescent="0.25">
      <c r="A705" s="24" t="s">
        <v>0</v>
      </c>
      <c r="B705" s="25"/>
      <c r="C705" s="24" t="s">
        <v>30</v>
      </c>
      <c r="D705" s="24" t="s">
        <v>31</v>
      </c>
      <c r="E705" s="24" t="s">
        <v>32</v>
      </c>
      <c r="F705" s="24" t="s">
        <v>33</v>
      </c>
      <c r="G705" s="24" t="s">
        <v>34</v>
      </c>
      <c r="H705" s="24" t="s">
        <v>35</v>
      </c>
      <c r="I705" s="24" t="s">
        <v>36</v>
      </c>
      <c r="J705" s="24" t="s">
        <v>37</v>
      </c>
      <c r="K705" s="24" t="s">
        <v>38</v>
      </c>
      <c r="L705" s="24" t="s">
        <v>39</v>
      </c>
      <c r="M705" s="24" t="s">
        <v>40</v>
      </c>
      <c r="N705" s="24" t="s">
        <v>41</v>
      </c>
      <c r="O705" s="24" t="s">
        <v>42</v>
      </c>
      <c r="P705" s="24" t="s">
        <v>43</v>
      </c>
      <c r="Q705" s="24" t="s">
        <v>44</v>
      </c>
      <c r="R705" s="24" t="s">
        <v>45</v>
      </c>
      <c r="S705" s="24" t="s">
        <v>46</v>
      </c>
      <c r="T705" s="24" t="s">
        <v>47</v>
      </c>
      <c r="U705" s="24" t="s">
        <v>19</v>
      </c>
    </row>
    <row r="706" spans="1:21" x14ac:dyDescent="0.2">
      <c r="A706" s="17"/>
      <c r="B706" s="17" t="s">
        <v>51</v>
      </c>
      <c r="C706" s="17"/>
      <c r="D706" s="17"/>
      <c r="E706" s="17"/>
      <c r="F706" s="17"/>
      <c r="G706" s="17"/>
      <c r="H706" s="17"/>
      <c r="I706" s="17"/>
      <c r="J706" s="17"/>
      <c r="K706" s="17"/>
      <c r="L706" s="17"/>
      <c r="M706" s="17"/>
      <c r="N706" s="17"/>
      <c r="O706" s="17"/>
      <c r="P706" s="17"/>
      <c r="Q706" s="17"/>
      <c r="R706" s="17"/>
      <c r="S706" s="17"/>
      <c r="T706" s="17"/>
      <c r="U706" s="17"/>
    </row>
    <row r="707" spans="1:21" x14ac:dyDescent="0.2">
      <c r="B707" t="s">
        <v>49</v>
      </c>
      <c r="C707" s="22"/>
      <c r="D707" s="22"/>
      <c r="E707" s="22"/>
      <c r="F707" s="22"/>
      <c r="G707" s="22"/>
      <c r="H707" s="22"/>
      <c r="I707" s="22"/>
      <c r="J707" s="22"/>
      <c r="K707" s="22" t="e">
        <f t="shared" ref="K707" si="1686">K706/G706-1</f>
        <v>#DIV/0!</v>
      </c>
      <c r="L707" s="22" t="e">
        <f t="shared" ref="L707" si="1687">L706/H706-1</f>
        <v>#DIV/0!</v>
      </c>
      <c r="M707" s="22" t="e">
        <f t="shared" ref="M707" si="1688">M706/I706-1</f>
        <v>#DIV/0!</v>
      </c>
      <c r="N707" s="22" t="e">
        <f t="shared" ref="N707" si="1689">N706/J706-1</f>
        <v>#DIV/0!</v>
      </c>
      <c r="O707" s="22" t="e">
        <f t="shared" ref="O707" si="1690">O706/K706-1</f>
        <v>#DIV/0!</v>
      </c>
      <c r="P707" s="22" t="e">
        <f t="shared" ref="P707" si="1691">P706/L706-1</f>
        <v>#DIV/0!</v>
      </c>
      <c r="Q707" s="22" t="e">
        <f t="shared" ref="Q707" si="1692">Q706/M706-1</f>
        <v>#DIV/0!</v>
      </c>
      <c r="R707" s="22" t="e">
        <f t="shared" ref="R707" si="1693">R706/N706-1</f>
        <v>#DIV/0!</v>
      </c>
      <c r="S707" s="22" t="e">
        <f t="shared" ref="S707" si="1694">S706/O706-1</f>
        <v>#DIV/0!</v>
      </c>
      <c r="T707" s="22" t="e">
        <f t="shared" ref="T707" si="1695">T706/P706-1</f>
        <v>#DIV/0!</v>
      </c>
      <c r="U707" s="22" t="e">
        <f t="shared" ref="U707" si="1696">U706/Q706-1</f>
        <v>#DIV/0!</v>
      </c>
    </row>
    <row r="708" spans="1:21" x14ac:dyDescent="0.2">
      <c r="B708" t="s">
        <v>52</v>
      </c>
      <c r="C708" s="22"/>
      <c r="D708" s="22"/>
      <c r="E708" s="22"/>
      <c r="F708" s="22"/>
      <c r="G708" s="22"/>
      <c r="H708" s="22"/>
      <c r="I708" s="22"/>
      <c r="J708" s="22"/>
      <c r="K708" s="22"/>
      <c r="L708" s="22" t="e">
        <f t="shared" ref="L708" si="1697">L706/K706-1</f>
        <v>#DIV/0!</v>
      </c>
      <c r="M708" s="22" t="e">
        <f t="shared" ref="M708" si="1698">M706/L706-1</f>
        <v>#DIV/0!</v>
      </c>
      <c r="N708" s="22" t="e">
        <f t="shared" ref="N708" si="1699">N706/M706-1</f>
        <v>#DIV/0!</v>
      </c>
      <c r="O708" s="22" t="e">
        <f t="shared" ref="O708" si="1700">O706/N706-1</f>
        <v>#DIV/0!</v>
      </c>
      <c r="P708" s="22" t="e">
        <f t="shared" ref="P708" si="1701">P706/O706-1</f>
        <v>#DIV/0!</v>
      </c>
      <c r="Q708" s="22" t="e">
        <f t="shared" ref="Q708" si="1702">Q706/P706-1</f>
        <v>#DIV/0!</v>
      </c>
      <c r="R708" s="22" t="e">
        <f t="shared" ref="R708" si="1703">R706/Q706-1</f>
        <v>#DIV/0!</v>
      </c>
      <c r="S708" s="22" t="e">
        <f t="shared" ref="S708" si="1704">S706/R706-1</f>
        <v>#DIV/0!</v>
      </c>
      <c r="T708" s="22" t="e">
        <f t="shared" ref="T708" si="1705">T706/S706-1</f>
        <v>#DIV/0!</v>
      </c>
      <c r="U708" s="22" t="e">
        <f t="shared" ref="U708" si="1706">U706/T706-1</f>
        <v>#DIV/0!</v>
      </c>
    </row>
    <row r="709" spans="1:21" x14ac:dyDescent="0.2">
      <c r="A709" s="17"/>
      <c r="B709" s="17" t="s">
        <v>48</v>
      </c>
      <c r="C709" s="17"/>
      <c r="D709" s="17"/>
      <c r="E709" s="17"/>
      <c r="F709" s="17"/>
      <c r="G709" s="17"/>
      <c r="H709" s="17"/>
      <c r="I709" s="17"/>
      <c r="J709" s="17"/>
      <c r="K709" s="17"/>
      <c r="L709" s="17"/>
      <c r="M709" s="17"/>
      <c r="N709" s="17"/>
      <c r="O709" s="17"/>
      <c r="P709" s="17"/>
      <c r="Q709" s="17"/>
      <c r="R709" s="17"/>
      <c r="S709" s="17"/>
      <c r="T709" s="17"/>
      <c r="U709" s="17"/>
    </row>
    <row r="710" spans="1:21" x14ac:dyDescent="0.2">
      <c r="B710" t="s">
        <v>49</v>
      </c>
      <c r="C710" s="22"/>
      <c r="D710" s="22"/>
      <c r="E710" s="22"/>
      <c r="F710" s="22"/>
      <c r="G710" s="22"/>
      <c r="H710" s="22"/>
      <c r="I710" s="22"/>
      <c r="J710" s="22"/>
      <c r="K710" s="22" t="e">
        <f t="shared" ref="K710" si="1707">K709/G709-1</f>
        <v>#DIV/0!</v>
      </c>
      <c r="L710" s="22" t="e">
        <f t="shared" ref="L710" si="1708">L709/H709-1</f>
        <v>#DIV/0!</v>
      </c>
      <c r="M710" s="22" t="e">
        <f t="shared" ref="M710" si="1709">M709/I709-1</f>
        <v>#DIV/0!</v>
      </c>
      <c r="N710" s="22" t="e">
        <f t="shared" ref="N710" si="1710">N709/J709-1</f>
        <v>#DIV/0!</v>
      </c>
      <c r="O710" s="22" t="e">
        <f t="shared" ref="O710" si="1711">O709/K709-1</f>
        <v>#DIV/0!</v>
      </c>
      <c r="P710" s="22" t="e">
        <f t="shared" ref="P710" si="1712">P709/L709-1</f>
        <v>#DIV/0!</v>
      </c>
      <c r="Q710" s="22" t="e">
        <f t="shared" ref="Q710" si="1713">Q709/M709-1</f>
        <v>#DIV/0!</v>
      </c>
      <c r="R710" s="22" t="e">
        <f t="shared" ref="R710" si="1714">R709/N709-1</f>
        <v>#DIV/0!</v>
      </c>
      <c r="S710" s="22" t="e">
        <f t="shared" ref="S710" si="1715">S709/O709-1</f>
        <v>#DIV/0!</v>
      </c>
      <c r="T710" s="22" t="e">
        <f t="shared" ref="T710" si="1716">T709/P709-1</f>
        <v>#DIV/0!</v>
      </c>
      <c r="U710" s="22" t="e">
        <f t="shared" ref="U710" si="1717">U709/Q709-1</f>
        <v>#DIV/0!</v>
      </c>
    </row>
    <row r="711" spans="1:21" x14ac:dyDescent="0.2">
      <c r="B711" t="s">
        <v>52</v>
      </c>
      <c r="C711" s="22"/>
      <c r="D711" s="22"/>
      <c r="E711" s="22"/>
      <c r="F711" s="22"/>
      <c r="G711" s="22"/>
      <c r="H711" s="22"/>
      <c r="I711" s="22"/>
      <c r="J711" s="22"/>
      <c r="K711" s="22"/>
      <c r="L711" s="22" t="e">
        <f t="shared" ref="L711" si="1718">L709/K709-1</f>
        <v>#DIV/0!</v>
      </c>
      <c r="M711" s="22" t="e">
        <f t="shared" ref="M711" si="1719">M709/L709-1</f>
        <v>#DIV/0!</v>
      </c>
      <c r="N711" s="22" t="e">
        <f t="shared" ref="N711" si="1720">N709/M709-1</f>
        <v>#DIV/0!</v>
      </c>
      <c r="O711" s="22" t="e">
        <f t="shared" ref="O711" si="1721">O709/N709-1</f>
        <v>#DIV/0!</v>
      </c>
      <c r="P711" s="22" t="e">
        <f t="shared" ref="P711" si="1722">P709/O709-1</f>
        <v>#DIV/0!</v>
      </c>
      <c r="Q711" s="22" t="e">
        <f t="shared" ref="Q711" si="1723">Q709/P709-1</f>
        <v>#DIV/0!</v>
      </c>
      <c r="R711" s="22" t="e">
        <f t="shared" ref="R711" si="1724">R709/Q709-1</f>
        <v>#DIV/0!</v>
      </c>
      <c r="S711" s="22" t="e">
        <f t="shared" ref="S711" si="1725">S709/R709-1</f>
        <v>#DIV/0!</v>
      </c>
      <c r="T711" s="22" t="e">
        <f t="shared" ref="T711" si="1726">T709/S709-1</f>
        <v>#DIV/0!</v>
      </c>
      <c r="U711" s="22" t="e">
        <f t="shared" ref="U711" si="1727">U709/T709-1</f>
        <v>#DIV/0!</v>
      </c>
    </row>
    <row r="712" spans="1:21" x14ac:dyDescent="0.2">
      <c r="B712" s="17" t="s">
        <v>50</v>
      </c>
      <c r="C712" s="17"/>
      <c r="D712" s="17"/>
      <c r="E712" s="17"/>
      <c r="F712" s="17"/>
      <c r="G712" s="23"/>
      <c r="H712" s="23"/>
      <c r="I712" s="23"/>
      <c r="J712" s="23"/>
      <c r="K712" s="23" t="e">
        <f t="shared" ref="K712" si="1728">AVERAGE(H709:K709)/AVERAGE(G709:J709)-1</f>
        <v>#DIV/0!</v>
      </c>
      <c r="L712" s="23" t="e">
        <f t="shared" ref="L712" si="1729">AVERAGE(I709:L709)/AVERAGE(H709:K709)-1</f>
        <v>#DIV/0!</v>
      </c>
      <c r="M712" s="23" t="e">
        <f t="shared" ref="M712" si="1730">AVERAGE(J709:M709)/AVERAGE(I709:L709)-1</f>
        <v>#DIV/0!</v>
      </c>
      <c r="N712" s="23" t="e">
        <f t="shared" ref="N712" si="1731">AVERAGE(K709:N709)/AVERAGE(J709:M709)-1</f>
        <v>#DIV/0!</v>
      </c>
      <c r="O712" s="23" t="e">
        <f t="shared" ref="O712" si="1732">AVERAGE(L709:O709)/AVERAGE(K709:N709)-1</f>
        <v>#DIV/0!</v>
      </c>
      <c r="P712" s="23" t="e">
        <f t="shared" ref="P712" si="1733">AVERAGE(M709:P709)/AVERAGE(L709:O709)-1</f>
        <v>#DIV/0!</v>
      </c>
      <c r="Q712" s="23" t="e">
        <f t="shared" ref="Q712" si="1734">AVERAGE(N709:Q709)/AVERAGE(M709:P709)-1</f>
        <v>#DIV/0!</v>
      </c>
      <c r="R712" s="23" t="e">
        <f t="shared" ref="R712" si="1735">AVERAGE(O709:R709)/AVERAGE(N709:Q709)-1</f>
        <v>#DIV/0!</v>
      </c>
      <c r="S712" s="23" t="e">
        <f t="shared" ref="S712" si="1736">AVERAGE(P709:S709)/AVERAGE(O709:R709)-1</f>
        <v>#DIV/0!</v>
      </c>
      <c r="T712" s="23" t="e">
        <f t="shared" ref="T712" si="1737">AVERAGE(Q709:T709)/AVERAGE(P709:S709)-1</f>
        <v>#DIV/0!</v>
      </c>
      <c r="U712" s="23" t="e">
        <f t="shared" ref="U712" si="1738">AVERAGE(R709:U709)/AVERAGE(Q709:T709)-1</f>
        <v>#DIV/0!</v>
      </c>
    </row>
    <row r="713" spans="1:21" ht="13.5" thickBot="1" x14ac:dyDescent="0.25"/>
    <row r="714" spans="1:21" ht="13.5" thickBot="1" x14ac:dyDescent="0.25">
      <c r="A714" s="24" t="s">
        <v>0</v>
      </c>
      <c r="B714" s="25"/>
      <c r="C714" s="24" t="s">
        <v>30</v>
      </c>
      <c r="D714" s="24" t="s">
        <v>31</v>
      </c>
      <c r="E714" s="24" t="s">
        <v>32</v>
      </c>
      <c r="F714" s="24" t="s">
        <v>33</v>
      </c>
      <c r="G714" s="24" t="s">
        <v>34</v>
      </c>
      <c r="H714" s="24" t="s">
        <v>35</v>
      </c>
      <c r="I714" s="24" t="s">
        <v>36</v>
      </c>
      <c r="J714" s="24" t="s">
        <v>37</v>
      </c>
      <c r="K714" s="24" t="s">
        <v>38</v>
      </c>
      <c r="L714" s="24" t="s">
        <v>39</v>
      </c>
      <c r="M714" s="24" t="s">
        <v>40</v>
      </c>
      <c r="N714" s="24" t="s">
        <v>41</v>
      </c>
      <c r="O714" s="24" t="s">
        <v>42</v>
      </c>
      <c r="P714" s="24" t="s">
        <v>43</v>
      </c>
      <c r="Q714" s="24" t="s">
        <v>44</v>
      </c>
      <c r="R714" s="24" t="s">
        <v>45</v>
      </c>
      <c r="S714" s="24" t="s">
        <v>46</v>
      </c>
      <c r="T714" s="24" t="s">
        <v>47</v>
      </c>
      <c r="U714" s="24" t="s">
        <v>19</v>
      </c>
    </row>
    <row r="715" spans="1:21" x14ac:dyDescent="0.2">
      <c r="A715" s="17"/>
      <c r="B715" s="17" t="s">
        <v>51</v>
      </c>
      <c r="C715" s="17"/>
      <c r="D715" s="17"/>
      <c r="E715" s="17"/>
      <c r="F715" s="17"/>
      <c r="G715" s="17"/>
      <c r="H715" s="17"/>
      <c r="I715" s="17"/>
      <c r="J715" s="17"/>
      <c r="K715" s="17"/>
      <c r="L715" s="17"/>
      <c r="M715" s="17"/>
      <c r="N715" s="17"/>
      <c r="O715" s="17"/>
      <c r="P715" s="17"/>
      <c r="Q715" s="17"/>
      <c r="R715" s="17"/>
      <c r="S715" s="17"/>
      <c r="T715" s="17"/>
      <c r="U715" s="17"/>
    </row>
    <row r="716" spans="1:21" x14ac:dyDescent="0.2">
      <c r="B716" t="s">
        <v>49</v>
      </c>
      <c r="C716" s="22"/>
      <c r="D716" s="22"/>
      <c r="E716" s="22"/>
      <c r="F716" s="22"/>
      <c r="G716" s="22"/>
      <c r="H716" s="22"/>
      <c r="I716" s="22"/>
      <c r="J716" s="22"/>
      <c r="K716" s="22" t="e">
        <f t="shared" ref="K716" si="1739">K715/G715-1</f>
        <v>#DIV/0!</v>
      </c>
      <c r="L716" s="22" t="e">
        <f t="shared" ref="L716" si="1740">L715/H715-1</f>
        <v>#DIV/0!</v>
      </c>
      <c r="M716" s="22" t="e">
        <f t="shared" ref="M716" si="1741">M715/I715-1</f>
        <v>#DIV/0!</v>
      </c>
      <c r="N716" s="22" t="e">
        <f t="shared" ref="N716" si="1742">N715/J715-1</f>
        <v>#DIV/0!</v>
      </c>
      <c r="O716" s="22" t="e">
        <f t="shared" ref="O716" si="1743">O715/K715-1</f>
        <v>#DIV/0!</v>
      </c>
      <c r="P716" s="22" t="e">
        <f t="shared" ref="P716" si="1744">P715/L715-1</f>
        <v>#DIV/0!</v>
      </c>
      <c r="Q716" s="22" t="e">
        <f t="shared" ref="Q716" si="1745">Q715/M715-1</f>
        <v>#DIV/0!</v>
      </c>
      <c r="R716" s="22" t="e">
        <f t="shared" ref="R716" si="1746">R715/N715-1</f>
        <v>#DIV/0!</v>
      </c>
      <c r="S716" s="22" t="e">
        <f t="shared" ref="S716" si="1747">S715/O715-1</f>
        <v>#DIV/0!</v>
      </c>
      <c r="T716" s="22" t="e">
        <f t="shared" ref="T716" si="1748">T715/P715-1</f>
        <v>#DIV/0!</v>
      </c>
      <c r="U716" s="22" t="e">
        <f t="shared" ref="U716" si="1749">U715/Q715-1</f>
        <v>#DIV/0!</v>
      </c>
    </row>
    <row r="717" spans="1:21" x14ac:dyDescent="0.2">
      <c r="B717" t="s">
        <v>52</v>
      </c>
      <c r="C717" s="22"/>
      <c r="D717" s="22"/>
      <c r="E717" s="22"/>
      <c r="F717" s="22"/>
      <c r="G717" s="22"/>
      <c r="H717" s="22"/>
      <c r="I717" s="22"/>
      <c r="J717" s="22"/>
      <c r="K717" s="22"/>
      <c r="L717" s="22" t="e">
        <f t="shared" ref="L717" si="1750">L715/K715-1</f>
        <v>#DIV/0!</v>
      </c>
      <c r="M717" s="22" t="e">
        <f t="shared" ref="M717" si="1751">M715/L715-1</f>
        <v>#DIV/0!</v>
      </c>
      <c r="N717" s="22" t="e">
        <f t="shared" ref="N717" si="1752">N715/M715-1</f>
        <v>#DIV/0!</v>
      </c>
      <c r="O717" s="22" t="e">
        <f t="shared" ref="O717" si="1753">O715/N715-1</f>
        <v>#DIV/0!</v>
      </c>
      <c r="P717" s="22" t="e">
        <f t="shared" ref="P717" si="1754">P715/O715-1</f>
        <v>#DIV/0!</v>
      </c>
      <c r="Q717" s="22" t="e">
        <f t="shared" ref="Q717" si="1755">Q715/P715-1</f>
        <v>#DIV/0!</v>
      </c>
      <c r="R717" s="22" t="e">
        <f t="shared" ref="R717" si="1756">R715/Q715-1</f>
        <v>#DIV/0!</v>
      </c>
      <c r="S717" s="22" t="e">
        <f t="shared" ref="S717" si="1757">S715/R715-1</f>
        <v>#DIV/0!</v>
      </c>
      <c r="T717" s="22" t="e">
        <f t="shared" ref="T717" si="1758">T715/S715-1</f>
        <v>#DIV/0!</v>
      </c>
      <c r="U717" s="22" t="e">
        <f t="shared" ref="U717" si="1759">U715/T715-1</f>
        <v>#DIV/0!</v>
      </c>
    </row>
    <row r="718" spans="1:21" x14ac:dyDescent="0.2">
      <c r="A718" s="17"/>
      <c r="B718" s="17" t="s">
        <v>48</v>
      </c>
      <c r="C718" s="17"/>
      <c r="D718" s="17"/>
      <c r="E718" s="17"/>
      <c r="F718" s="17"/>
      <c r="G718" s="17"/>
      <c r="H718" s="17"/>
      <c r="I718" s="17"/>
      <c r="J718" s="17"/>
      <c r="K718" s="17"/>
      <c r="L718" s="17"/>
      <c r="M718" s="17"/>
      <c r="N718" s="17"/>
      <c r="O718" s="17"/>
      <c r="P718" s="17"/>
      <c r="Q718" s="17"/>
      <c r="R718" s="17"/>
      <c r="S718" s="17"/>
      <c r="T718" s="17"/>
      <c r="U718" s="17"/>
    </row>
    <row r="719" spans="1:21" x14ac:dyDescent="0.2">
      <c r="B719" t="s">
        <v>49</v>
      </c>
      <c r="C719" s="22"/>
      <c r="D719" s="22"/>
      <c r="E719" s="22"/>
      <c r="F719" s="22"/>
      <c r="G719" s="22"/>
      <c r="H719" s="22"/>
      <c r="I719" s="22"/>
      <c r="J719" s="22"/>
      <c r="K719" s="22" t="e">
        <f t="shared" ref="K719" si="1760">K718/G718-1</f>
        <v>#DIV/0!</v>
      </c>
      <c r="L719" s="22" t="e">
        <f t="shared" ref="L719" si="1761">L718/H718-1</f>
        <v>#DIV/0!</v>
      </c>
      <c r="M719" s="22" t="e">
        <f t="shared" ref="M719" si="1762">M718/I718-1</f>
        <v>#DIV/0!</v>
      </c>
      <c r="N719" s="22" t="e">
        <f t="shared" ref="N719" si="1763">N718/J718-1</f>
        <v>#DIV/0!</v>
      </c>
      <c r="O719" s="22" t="e">
        <f t="shared" ref="O719" si="1764">O718/K718-1</f>
        <v>#DIV/0!</v>
      </c>
      <c r="P719" s="22" t="e">
        <f t="shared" ref="P719" si="1765">P718/L718-1</f>
        <v>#DIV/0!</v>
      </c>
      <c r="Q719" s="22" t="e">
        <f t="shared" ref="Q719" si="1766">Q718/M718-1</f>
        <v>#DIV/0!</v>
      </c>
      <c r="R719" s="22" t="e">
        <f t="shared" ref="R719" si="1767">R718/N718-1</f>
        <v>#DIV/0!</v>
      </c>
      <c r="S719" s="22" t="e">
        <f t="shared" ref="S719" si="1768">S718/O718-1</f>
        <v>#DIV/0!</v>
      </c>
      <c r="T719" s="22" t="e">
        <f t="shared" ref="T719" si="1769">T718/P718-1</f>
        <v>#DIV/0!</v>
      </c>
      <c r="U719" s="22" t="e">
        <f t="shared" ref="U719" si="1770">U718/Q718-1</f>
        <v>#DIV/0!</v>
      </c>
    </row>
    <row r="720" spans="1:21" x14ac:dyDescent="0.2">
      <c r="B720" t="s">
        <v>52</v>
      </c>
      <c r="C720" s="22"/>
      <c r="D720" s="22"/>
      <c r="E720" s="22"/>
      <c r="F720" s="22"/>
      <c r="G720" s="22"/>
      <c r="H720" s="22"/>
      <c r="I720" s="22"/>
      <c r="J720" s="22"/>
      <c r="K720" s="22"/>
      <c r="L720" s="22" t="e">
        <f t="shared" ref="L720" si="1771">L718/K718-1</f>
        <v>#DIV/0!</v>
      </c>
      <c r="M720" s="22" t="e">
        <f t="shared" ref="M720" si="1772">M718/L718-1</f>
        <v>#DIV/0!</v>
      </c>
      <c r="N720" s="22" t="e">
        <f t="shared" ref="N720" si="1773">N718/M718-1</f>
        <v>#DIV/0!</v>
      </c>
      <c r="O720" s="22" t="e">
        <f t="shared" ref="O720" si="1774">O718/N718-1</f>
        <v>#DIV/0!</v>
      </c>
      <c r="P720" s="22" t="e">
        <f t="shared" ref="P720" si="1775">P718/O718-1</f>
        <v>#DIV/0!</v>
      </c>
      <c r="Q720" s="22" t="e">
        <f t="shared" ref="Q720" si="1776">Q718/P718-1</f>
        <v>#DIV/0!</v>
      </c>
      <c r="R720" s="22" t="e">
        <f t="shared" ref="R720" si="1777">R718/Q718-1</f>
        <v>#DIV/0!</v>
      </c>
      <c r="S720" s="22" t="e">
        <f t="shared" ref="S720" si="1778">S718/R718-1</f>
        <v>#DIV/0!</v>
      </c>
      <c r="T720" s="22" t="e">
        <f t="shared" ref="T720" si="1779">T718/S718-1</f>
        <v>#DIV/0!</v>
      </c>
      <c r="U720" s="22" t="e">
        <f t="shared" ref="U720" si="1780">U718/T718-1</f>
        <v>#DIV/0!</v>
      </c>
    </row>
    <row r="721" spans="1:21" x14ac:dyDescent="0.2">
      <c r="B721" s="17" t="s">
        <v>50</v>
      </c>
      <c r="C721" s="17"/>
      <c r="D721" s="17"/>
      <c r="E721" s="17"/>
      <c r="F721" s="17"/>
      <c r="G721" s="23"/>
      <c r="H721" s="23"/>
      <c r="I721" s="23"/>
      <c r="J721" s="23"/>
      <c r="K721" s="23" t="e">
        <f t="shared" ref="K721" si="1781">AVERAGE(H718:K718)/AVERAGE(G718:J718)-1</f>
        <v>#DIV/0!</v>
      </c>
      <c r="L721" s="23" t="e">
        <f t="shared" ref="L721" si="1782">AVERAGE(I718:L718)/AVERAGE(H718:K718)-1</f>
        <v>#DIV/0!</v>
      </c>
      <c r="M721" s="23" t="e">
        <f t="shared" ref="M721" si="1783">AVERAGE(J718:M718)/AVERAGE(I718:L718)-1</f>
        <v>#DIV/0!</v>
      </c>
      <c r="N721" s="23" t="e">
        <f t="shared" ref="N721" si="1784">AVERAGE(K718:N718)/AVERAGE(J718:M718)-1</f>
        <v>#DIV/0!</v>
      </c>
      <c r="O721" s="23" t="e">
        <f t="shared" ref="O721" si="1785">AVERAGE(L718:O718)/AVERAGE(K718:N718)-1</f>
        <v>#DIV/0!</v>
      </c>
      <c r="P721" s="23" t="e">
        <f t="shared" ref="P721" si="1786">AVERAGE(M718:P718)/AVERAGE(L718:O718)-1</f>
        <v>#DIV/0!</v>
      </c>
      <c r="Q721" s="23" t="e">
        <f t="shared" ref="Q721" si="1787">AVERAGE(N718:Q718)/AVERAGE(M718:P718)-1</f>
        <v>#DIV/0!</v>
      </c>
      <c r="R721" s="23" t="e">
        <f t="shared" ref="R721" si="1788">AVERAGE(O718:R718)/AVERAGE(N718:Q718)-1</f>
        <v>#DIV/0!</v>
      </c>
      <c r="S721" s="23" t="e">
        <f t="shared" ref="S721" si="1789">AVERAGE(P718:S718)/AVERAGE(O718:R718)-1</f>
        <v>#DIV/0!</v>
      </c>
      <c r="T721" s="23" t="e">
        <f t="shared" ref="T721" si="1790">AVERAGE(Q718:T718)/AVERAGE(P718:S718)-1</f>
        <v>#DIV/0!</v>
      </c>
      <c r="U721" s="23" t="e">
        <f t="shared" ref="U721" si="1791">AVERAGE(R718:U718)/AVERAGE(Q718:T718)-1</f>
        <v>#DIV/0!</v>
      </c>
    </row>
    <row r="722" spans="1:21" ht="13.5" thickBot="1" x14ac:dyDescent="0.25"/>
    <row r="723" spans="1:21" ht="13.5" thickBot="1" x14ac:dyDescent="0.25">
      <c r="A723" s="24" t="s">
        <v>0</v>
      </c>
      <c r="B723" s="25"/>
      <c r="C723" s="24" t="s">
        <v>30</v>
      </c>
      <c r="D723" s="24" t="s">
        <v>31</v>
      </c>
      <c r="E723" s="24" t="s">
        <v>32</v>
      </c>
      <c r="F723" s="24" t="s">
        <v>33</v>
      </c>
      <c r="G723" s="24" t="s">
        <v>34</v>
      </c>
      <c r="H723" s="24" t="s">
        <v>35</v>
      </c>
      <c r="I723" s="24" t="s">
        <v>36</v>
      </c>
      <c r="J723" s="24" t="s">
        <v>37</v>
      </c>
      <c r="K723" s="24" t="s">
        <v>38</v>
      </c>
      <c r="L723" s="24" t="s">
        <v>39</v>
      </c>
      <c r="M723" s="24" t="s">
        <v>40</v>
      </c>
      <c r="N723" s="24" t="s">
        <v>41</v>
      </c>
      <c r="O723" s="24" t="s">
        <v>42</v>
      </c>
      <c r="P723" s="24" t="s">
        <v>43</v>
      </c>
      <c r="Q723" s="24" t="s">
        <v>44</v>
      </c>
      <c r="R723" s="24" t="s">
        <v>45</v>
      </c>
      <c r="S723" s="24" t="s">
        <v>46</v>
      </c>
      <c r="T723" s="24" t="s">
        <v>47</v>
      </c>
      <c r="U723" s="24" t="s">
        <v>19</v>
      </c>
    </row>
    <row r="724" spans="1:21" x14ac:dyDescent="0.2">
      <c r="A724" s="17"/>
      <c r="B724" s="17" t="s">
        <v>51</v>
      </c>
      <c r="C724" s="17"/>
      <c r="D724" s="17"/>
      <c r="E724" s="17"/>
      <c r="F724" s="17"/>
      <c r="G724" s="17"/>
      <c r="H724" s="17"/>
      <c r="I724" s="17"/>
      <c r="J724" s="17"/>
      <c r="K724" s="17"/>
      <c r="L724" s="17"/>
      <c r="M724" s="17"/>
      <c r="N724" s="17"/>
      <c r="O724" s="17"/>
      <c r="P724" s="17"/>
      <c r="Q724" s="17"/>
      <c r="R724" s="17"/>
      <c r="S724" s="17"/>
      <c r="T724" s="17"/>
      <c r="U724" s="17"/>
    </row>
    <row r="725" spans="1:21" x14ac:dyDescent="0.2">
      <c r="B725" t="s">
        <v>49</v>
      </c>
      <c r="C725" s="22"/>
      <c r="D725" s="22"/>
      <c r="E725" s="22"/>
      <c r="F725" s="22"/>
      <c r="G725" s="22"/>
      <c r="H725" s="22"/>
      <c r="I725" s="22"/>
      <c r="J725" s="22"/>
      <c r="K725" s="22" t="e">
        <f t="shared" ref="K725" si="1792">K724/G724-1</f>
        <v>#DIV/0!</v>
      </c>
      <c r="L725" s="22" t="e">
        <f t="shared" ref="L725" si="1793">L724/H724-1</f>
        <v>#DIV/0!</v>
      </c>
      <c r="M725" s="22" t="e">
        <f t="shared" ref="M725" si="1794">M724/I724-1</f>
        <v>#DIV/0!</v>
      </c>
      <c r="N725" s="22" t="e">
        <f t="shared" ref="N725" si="1795">N724/J724-1</f>
        <v>#DIV/0!</v>
      </c>
      <c r="O725" s="22" t="e">
        <f t="shared" ref="O725" si="1796">O724/K724-1</f>
        <v>#DIV/0!</v>
      </c>
      <c r="P725" s="22" t="e">
        <f t="shared" ref="P725" si="1797">P724/L724-1</f>
        <v>#DIV/0!</v>
      </c>
      <c r="Q725" s="22" t="e">
        <f t="shared" ref="Q725" si="1798">Q724/M724-1</f>
        <v>#DIV/0!</v>
      </c>
      <c r="R725" s="22" t="e">
        <f t="shared" ref="R725" si="1799">R724/N724-1</f>
        <v>#DIV/0!</v>
      </c>
      <c r="S725" s="22" t="e">
        <f t="shared" ref="S725" si="1800">S724/O724-1</f>
        <v>#DIV/0!</v>
      </c>
      <c r="T725" s="22" t="e">
        <f t="shared" ref="T725" si="1801">T724/P724-1</f>
        <v>#DIV/0!</v>
      </c>
      <c r="U725" s="22" t="e">
        <f t="shared" ref="U725" si="1802">U724/Q724-1</f>
        <v>#DIV/0!</v>
      </c>
    </row>
    <row r="726" spans="1:21" x14ac:dyDescent="0.2">
      <c r="B726" t="s">
        <v>52</v>
      </c>
      <c r="C726" s="22"/>
      <c r="D726" s="22"/>
      <c r="E726" s="22"/>
      <c r="F726" s="22"/>
      <c r="G726" s="22"/>
      <c r="H726" s="22"/>
      <c r="I726" s="22"/>
      <c r="J726" s="22"/>
      <c r="K726" s="22"/>
      <c r="L726" s="22" t="e">
        <f t="shared" ref="L726" si="1803">L724/K724-1</f>
        <v>#DIV/0!</v>
      </c>
      <c r="M726" s="22" t="e">
        <f t="shared" ref="M726" si="1804">M724/L724-1</f>
        <v>#DIV/0!</v>
      </c>
      <c r="N726" s="22" t="e">
        <f t="shared" ref="N726" si="1805">N724/M724-1</f>
        <v>#DIV/0!</v>
      </c>
      <c r="O726" s="22" t="e">
        <f t="shared" ref="O726" si="1806">O724/N724-1</f>
        <v>#DIV/0!</v>
      </c>
      <c r="P726" s="22" t="e">
        <f t="shared" ref="P726" si="1807">P724/O724-1</f>
        <v>#DIV/0!</v>
      </c>
      <c r="Q726" s="22" t="e">
        <f t="shared" ref="Q726" si="1808">Q724/P724-1</f>
        <v>#DIV/0!</v>
      </c>
      <c r="R726" s="22" t="e">
        <f t="shared" ref="R726" si="1809">R724/Q724-1</f>
        <v>#DIV/0!</v>
      </c>
      <c r="S726" s="22" t="e">
        <f t="shared" ref="S726" si="1810">S724/R724-1</f>
        <v>#DIV/0!</v>
      </c>
      <c r="T726" s="22" t="e">
        <f t="shared" ref="T726" si="1811">T724/S724-1</f>
        <v>#DIV/0!</v>
      </c>
      <c r="U726" s="22" t="e">
        <f t="shared" ref="U726" si="1812">U724/T724-1</f>
        <v>#DIV/0!</v>
      </c>
    </row>
    <row r="727" spans="1:21" x14ac:dyDescent="0.2">
      <c r="A727" s="17"/>
      <c r="B727" s="17" t="s">
        <v>48</v>
      </c>
      <c r="C727" s="17"/>
      <c r="D727" s="17"/>
      <c r="E727" s="17"/>
      <c r="F727" s="17"/>
      <c r="G727" s="17"/>
      <c r="H727" s="17"/>
      <c r="I727" s="17"/>
      <c r="J727" s="17"/>
      <c r="K727" s="17"/>
      <c r="L727" s="17"/>
      <c r="M727" s="17"/>
      <c r="N727" s="17"/>
      <c r="O727" s="17"/>
      <c r="P727" s="17"/>
      <c r="Q727" s="17"/>
      <c r="R727" s="17"/>
      <c r="S727" s="17"/>
      <c r="T727" s="17"/>
      <c r="U727" s="17"/>
    </row>
    <row r="728" spans="1:21" x14ac:dyDescent="0.2">
      <c r="B728" t="s">
        <v>49</v>
      </c>
      <c r="C728" s="22"/>
      <c r="D728" s="22"/>
      <c r="E728" s="22"/>
      <c r="F728" s="22"/>
      <c r="G728" s="22"/>
      <c r="H728" s="22"/>
      <c r="I728" s="22"/>
      <c r="J728" s="22"/>
      <c r="K728" s="22" t="e">
        <f t="shared" ref="K728" si="1813">K727/G727-1</f>
        <v>#DIV/0!</v>
      </c>
      <c r="L728" s="22" t="e">
        <f t="shared" ref="L728" si="1814">L727/H727-1</f>
        <v>#DIV/0!</v>
      </c>
      <c r="M728" s="22" t="e">
        <f t="shared" ref="M728" si="1815">M727/I727-1</f>
        <v>#DIV/0!</v>
      </c>
      <c r="N728" s="22" t="e">
        <f t="shared" ref="N728" si="1816">N727/J727-1</f>
        <v>#DIV/0!</v>
      </c>
      <c r="O728" s="22" t="e">
        <f t="shared" ref="O728" si="1817">O727/K727-1</f>
        <v>#DIV/0!</v>
      </c>
      <c r="P728" s="22" t="e">
        <f t="shared" ref="P728" si="1818">P727/L727-1</f>
        <v>#DIV/0!</v>
      </c>
      <c r="Q728" s="22" t="e">
        <f t="shared" ref="Q728" si="1819">Q727/M727-1</f>
        <v>#DIV/0!</v>
      </c>
      <c r="R728" s="22" t="e">
        <f t="shared" ref="R728" si="1820">R727/N727-1</f>
        <v>#DIV/0!</v>
      </c>
      <c r="S728" s="22" t="e">
        <f t="shared" ref="S728" si="1821">S727/O727-1</f>
        <v>#DIV/0!</v>
      </c>
      <c r="T728" s="22" t="e">
        <f t="shared" ref="T728" si="1822">T727/P727-1</f>
        <v>#DIV/0!</v>
      </c>
      <c r="U728" s="22" t="e">
        <f t="shared" ref="U728" si="1823">U727/Q727-1</f>
        <v>#DIV/0!</v>
      </c>
    </row>
    <row r="729" spans="1:21" x14ac:dyDescent="0.2">
      <c r="B729" t="s">
        <v>52</v>
      </c>
      <c r="C729" s="22"/>
      <c r="D729" s="22"/>
      <c r="E729" s="22"/>
      <c r="F729" s="22"/>
      <c r="G729" s="22"/>
      <c r="H729" s="22"/>
      <c r="I729" s="22"/>
      <c r="J729" s="22"/>
      <c r="K729" s="22"/>
      <c r="L729" s="22" t="e">
        <f t="shared" ref="L729" si="1824">L727/K727-1</f>
        <v>#DIV/0!</v>
      </c>
      <c r="M729" s="22" t="e">
        <f t="shared" ref="M729" si="1825">M727/L727-1</f>
        <v>#DIV/0!</v>
      </c>
      <c r="N729" s="22" t="e">
        <f t="shared" ref="N729" si="1826">N727/M727-1</f>
        <v>#DIV/0!</v>
      </c>
      <c r="O729" s="22" t="e">
        <f t="shared" ref="O729" si="1827">O727/N727-1</f>
        <v>#DIV/0!</v>
      </c>
      <c r="P729" s="22" t="e">
        <f t="shared" ref="P729" si="1828">P727/O727-1</f>
        <v>#DIV/0!</v>
      </c>
      <c r="Q729" s="22" t="e">
        <f t="shared" ref="Q729" si="1829">Q727/P727-1</f>
        <v>#DIV/0!</v>
      </c>
      <c r="R729" s="22" t="e">
        <f t="shared" ref="R729" si="1830">R727/Q727-1</f>
        <v>#DIV/0!</v>
      </c>
      <c r="S729" s="22" t="e">
        <f t="shared" ref="S729" si="1831">S727/R727-1</f>
        <v>#DIV/0!</v>
      </c>
      <c r="T729" s="22" t="e">
        <f t="shared" ref="T729" si="1832">T727/S727-1</f>
        <v>#DIV/0!</v>
      </c>
      <c r="U729" s="22" t="e">
        <f t="shared" ref="U729" si="1833">U727/T727-1</f>
        <v>#DIV/0!</v>
      </c>
    </row>
    <row r="730" spans="1:21" x14ac:dyDescent="0.2">
      <c r="B730" s="17" t="s">
        <v>50</v>
      </c>
      <c r="C730" s="17"/>
      <c r="D730" s="17"/>
      <c r="E730" s="17"/>
      <c r="F730" s="17"/>
      <c r="G730" s="23"/>
      <c r="H730" s="23"/>
      <c r="I730" s="23"/>
      <c r="J730" s="23"/>
      <c r="K730" s="23" t="e">
        <f t="shared" ref="K730" si="1834">AVERAGE(H727:K727)/AVERAGE(G727:J727)-1</f>
        <v>#DIV/0!</v>
      </c>
      <c r="L730" s="23" t="e">
        <f t="shared" ref="L730" si="1835">AVERAGE(I727:L727)/AVERAGE(H727:K727)-1</f>
        <v>#DIV/0!</v>
      </c>
      <c r="M730" s="23" t="e">
        <f t="shared" ref="M730" si="1836">AVERAGE(J727:M727)/AVERAGE(I727:L727)-1</f>
        <v>#DIV/0!</v>
      </c>
      <c r="N730" s="23" t="e">
        <f t="shared" ref="N730" si="1837">AVERAGE(K727:N727)/AVERAGE(J727:M727)-1</f>
        <v>#DIV/0!</v>
      </c>
      <c r="O730" s="23" t="e">
        <f t="shared" ref="O730" si="1838">AVERAGE(L727:O727)/AVERAGE(K727:N727)-1</f>
        <v>#DIV/0!</v>
      </c>
      <c r="P730" s="23" t="e">
        <f t="shared" ref="P730" si="1839">AVERAGE(M727:P727)/AVERAGE(L727:O727)-1</f>
        <v>#DIV/0!</v>
      </c>
      <c r="Q730" s="23" t="e">
        <f t="shared" ref="Q730" si="1840">AVERAGE(N727:Q727)/AVERAGE(M727:P727)-1</f>
        <v>#DIV/0!</v>
      </c>
      <c r="R730" s="23" t="e">
        <f t="shared" ref="R730" si="1841">AVERAGE(O727:R727)/AVERAGE(N727:Q727)-1</f>
        <v>#DIV/0!</v>
      </c>
      <c r="S730" s="23" t="e">
        <f t="shared" ref="S730" si="1842">AVERAGE(P727:S727)/AVERAGE(O727:R727)-1</f>
        <v>#DIV/0!</v>
      </c>
      <c r="T730" s="23" t="e">
        <f t="shared" ref="T730" si="1843">AVERAGE(Q727:T727)/AVERAGE(P727:S727)-1</f>
        <v>#DIV/0!</v>
      </c>
      <c r="U730" s="23" t="e">
        <f t="shared" ref="U730" si="1844">AVERAGE(R727:U727)/AVERAGE(Q727:T727)-1</f>
        <v>#DIV/0!</v>
      </c>
    </row>
  </sheetData>
  <phoneticPr fontId="3" type="noConversion"/>
  <pageMargins left="0.7" right="0.7" top="0.75" bottom="0.75" header="0.3" footer="0.3"/>
  <pageSetup paperSize="9" orientation="portrait" r:id="rId1"/>
  <ignoredErrors>
    <ignoredError sqref="K22:V23 K25:V26 V24 K28:V28 K27:T27 V27 V31:V32 V30 K109:V109 V33 V29 V34:V108 V112:V113 V111 V115:V136 V137:V140 V110" evalError="1"/>
  </ignoredError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3Q25</vt:lpstr>
      <vt:lpstr>빨간줄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김용성[ 학부휴학 / 통계학과 ]</dc:creator>
  <cp:lastModifiedBy>YS K</cp:lastModifiedBy>
  <dcterms:created xsi:type="dcterms:W3CDTF">2025-10-15T12:47:28Z</dcterms:created>
  <dcterms:modified xsi:type="dcterms:W3CDTF">2025-11-11T12:50:45Z</dcterms:modified>
</cp:coreProperties>
</file>