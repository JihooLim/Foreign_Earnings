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f0858c7a0235c7be/페어웨이/OneDrive_2025-01-07/페어웨이자료/데일리/"/>
    </mc:Choice>
  </mc:AlternateContent>
  <xr:revisionPtr revIDLastSave="924" documentId="8_{B03C4A5F-ACD5-4236-8E7E-FDC282C57E67}" xr6:coauthVersionLast="47" xr6:coauthVersionMax="47" xr10:uidLastSave="{297352C4-DC4F-4FE5-9E56-ED785679C9D4}"/>
  <bookViews>
    <workbookView xWindow="-28920" yWindow="-120" windowWidth="29040" windowHeight="15840" activeTab="2" xr2:uid="{38A4D4EA-84AD-4EBC-8968-A503CDF533AB}"/>
  </bookViews>
  <sheets>
    <sheet name="순서" sheetId="1" r:id="rId1"/>
    <sheet name="2Q25" sheetId="2" r:id="rId2"/>
    <sheet name="3Q25" sheetId="6" r:id="rId3"/>
    <sheet name="3Q25 정리" sheetId="4" r:id="rId4"/>
    <sheet name="Sheet2" sheetId="5" r:id="rId5"/>
    <sheet name="사진" sheetId="3" r:id="rId6"/>
  </sheets>
  <definedNames>
    <definedName name="_xlnm._FilterDatabase" localSheetId="1" hidden="1">'2Q25'!$A$1:$S$125</definedName>
    <definedName name="_xlnm._FilterDatabase" localSheetId="2" hidden="1">'3Q25'!$A$1:$S$125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4" l="1"/>
  <c r="T9" i="4"/>
  <c r="S9" i="4"/>
  <c r="R9" i="4"/>
  <c r="Q9" i="4"/>
  <c r="P9" i="4"/>
  <c r="O9" i="4"/>
  <c r="N9" i="4"/>
  <c r="M9" i="4"/>
  <c r="L9" i="4"/>
  <c r="K9" i="4"/>
  <c r="U8" i="4"/>
  <c r="T8" i="4"/>
  <c r="S8" i="4"/>
  <c r="R8" i="4"/>
  <c r="Q8" i="4"/>
  <c r="P8" i="4"/>
  <c r="O8" i="4"/>
  <c r="N8" i="4"/>
  <c r="M8" i="4"/>
  <c r="L8" i="4"/>
  <c r="U7" i="4"/>
  <c r="T7" i="4"/>
  <c r="S7" i="4"/>
  <c r="R7" i="4"/>
  <c r="Q7" i="4"/>
  <c r="P7" i="4"/>
  <c r="O7" i="4"/>
  <c r="N7" i="4"/>
  <c r="M7" i="4"/>
  <c r="L7" i="4"/>
  <c r="K7" i="4"/>
  <c r="U5" i="4"/>
  <c r="T5" i="4"/>
  <c r="S5" i="4"/>
  <c r="R5" i="4"/>
  <c r="Q5" i="4"/>
  <c r="P5" i="4"/>
  <c r="O5" i="4"/>
  <c r="N5" i="4"/>
  <c r="M5" i="4"/>
  <c r="L5" i="4"/>
  <c r="U4" i="4"/>
  <c r="T4" i="4"/>
  <c r="S4" i="4"/>
  <c r="R4" i="4"/>
  <c r="Q4" i="4"/>
  <c r="P4" i="4"/>
  <c r="O4" i="4"/>
  <c r="N4" i="4"/>
  <c r="M4" i="4"/>
  <c r="L4" i="4"/>
  <c r="K4" i="4"/>
  <c r="M2" i="6"/>
  <c r="L2" i="6"/>
  <c r="J2" i="6"/>
  <c r="M126" i="6"/>
  <c r="L126" i="6"/>
  <c r="J126" i="6"/>
  <c r="M125" i="6"/>
  <c r="L125" i="6"/>
  <c r="J125" i="6"/>
  <c r="M124" i="6"/>
  <c r="L124" i="6"/>
  <c r="J124" i="6"/>
  <c r="M123" i="6"/>
  <c r="L123" i="6"/>
  <c r="J123" i="6"/>
  <c r="M122" i="6"/>
  <c r="L122" i="6"/>
  <c r="J122" i="6"/>
  <c r="M121" i="6"/>
  <c r="L121" i="6"/>
  <c r="J121" i="6"/>
  <c r="M120" i="6"/>
  <c r="L120" i="6"/>
  <c r="J120" i="6"/>
  <c r="M119" i="6"/>
  <c r="L119" i="6"/>
  <c r="J119" i="6"/>
  <c r="M118" i="6"/>
  <c r="L118" i="6"/>
  <c r="J118" i="6"/>
  <c r="M117" i="6"/>
  <c r="L117" i="6"/>
  <c r="J117" i="6"/>
  <c r="M116" i="6"/>
  <c r="L116" i="6"/>
  <c r="J116" i="6"/>
  <c r="M115" i="6"/>
  <c r="L115" i="6"/>
  <c r="J115" i="6"/>
  <c r="M114" i="6"/>
  <c r="L114" i="6"/>
  <c r="J114" i="6"/>
  <c r="M113" i="6"/>
  <c r="L113" i="6"/>
  <c r="J113" i="6"/>
  <c r="M112" i="6"/>
  <c r="L112" i="6"/>
  <c r="J112" i="6"/>
  <c r="M111" i="6"/>
  <c r="L111" i="6"/>
  <c r="J111" i="6"/>
  <c r="M110" i="6"/>
  <c r="L110" i="6"/>
  <c r="J110" i="6"/>
  <c r="M109" i="6"/>
  <c r="L109" i="6"/>
  <c r="J109" i="6"/>
  <c r="M108" i="6"/>
  <c r="L108" i="6"/>
  <c r="J108" i="6"/>
  <c r="M107" i="6"/>
  <c r="L107" i="6"/>
  <c r="J107" i="6"/>
  <c r="M106" i="6"/>
  <c r="L106" i="6"/>
  <c r="J106" i="6"/>
  <c r="M105" i="6"/>
  <c r="L105" i="6"/>
  <c r="J105" i="6"/>
  <c r="M104" i="6"/>
  <c r="L104" i="6"/>
  <c r="J104" i="6"/>
  <c r="M103" i="6"/>
  <c r="L103" i="6"/>
  <c r="J103" i="6"/>
  <c r="M102" i="6"/>
  <c r="L102" i="6"/>
  <c r="J102" i="6"/>
  <c r="M101" i="6"/>
  <c r="L101" i="6"/>
  <c r="J101" i="6"/>
  <c r="M100" i="6"/>
  <c r="L100" i="6"/>
  <c r="J100" i="6"/>
  <c r="M99" i="6"/>
  <c r="L99" i="6"/>
  <c r="J99" i="6"/>
  <c r="M98" i="6"/>
  <c r="L98" i="6"/>
  <c r="J98" i="6"/>
  <c r="M97" i="6"/>
  <c r="L97" i="6"/>
  <c r="J97" i="6"/>
  <c r="M96" i="6"/>
  <c r="L96" i="6"/>
  <c r="J96" i="6"/>
  <c r="M95" i="6"/>
  <c r="L95" i="6"/>
  <c r="J95" i="6"/>
  <c r="M94" i="6"/>
  <c r="L94" i="6"/>
  <c r="J94" i="6"/>
  <c r="M93" i="6"/>
  <c r="L93" i="6"/>
  <c r="J93" i="6"/>
  <c r="M92" i="6"/>
  <c r="L92" i="6"/>
  <c r="J92" i="6"/>
  <c r="M91" i="6"/>
  <c r="L91" i="6"/>
  <c r="J91" i="6"/>
  <c r="M90" i="6"/>
  <c r="L90" i="6"/>
  <c r="J90" i="6"/>
  <c r="M89" i="6"/>
  <c r="L89" i="6"/>
  <c r="J89" i="6"/>
  <c r="M88" i="6"/>
  <c r="L88" i="6"/>
  <c r="J88" i="6"/>
  <c r="M87" i="6"/>
  <c r="L87" i="6"/>
  <c r="J87" i="6"/>
  <c r="M86" i="6"/>
  <c r="L86" i="6"/>
  <c r="J86" i="6"/>
  <c r="M85" i="6"/>
  <c r="L85" i="6"/>
  <c r="J85" i="6"/>
  <c r="M84" i="6"/>
  <c r="L84" i="6"/>
  <c r="J84" i="6"/>
  <c r="M83" i="6"/>
  <c r="L83" i="6"/>
  <c r="J83" i="6"/>
  <c r="M82" i="6"/>
  <c r="L82" i="6"/>
  <c r="J82" i="6"/>
  <c r="M81" i="6"/>
  <c r="L81" i="6"/>
  <c r="J81" i="6"/>
  <c r="M80" i="6"/>
  <c r="L80" i="6"/>
  <c r="J80" i="6"/>
  <c r="M79" i="6"/>
  <c r="L79" i="6"/>
  <c r="J79" i="6"/>
  <c r="M78" i="6"/>
  <c r="L78" i="6"/>
  <c r="J78" i="6"/>
  <c r="M77" i="6"/>
  <c r="L77" i="6"/>
  <c r="J77" i="6"/>
  <c r="M76" i="6"/>
  <c r="L76" i="6"/>
  <c r="J76" i="6"/>
  <c r="M75" i="6"/>
  <c r="L75" i="6"/>
  <c r="J75" i="6"/>
  <c r="M74" i="6"/>
  <c r="L74" i="6"/>
  <c r="J74" i="6"/>
  <c r="M73" i="6"/>
  <c r="L73" i="6"/>
  <c r="J73" i="6"/>
  <c r="M72" i="6"/>
  <c r="L72" i="6"/>
  <c r="J72" i="6"/>
  <c r="M71" i="6"/>
  <c r="L71" i="6"/>
  <c r="J71" i="6"/>
  <c r="M70" i="6"/>
  <c r="L70" i="6"/>
  <c r="J70" i="6"/>
  <c r="M69" i="6"/>
  <c r="L69" i="6"/>
  <c r="J69" i="6"/>
  <c r="M68" i="6"/>
  <c r="L68" i="6"/>
  <c r="J68" i="6"/>
  <c r="M67" i="6"/>
  <c r="L67" i="6"/>
  <c r="J67" i="6"/>
  <c r="M66" i="6"/>
  <c r="L66" i="6"/>
  <c r="J66" i="6"/>
  <c r="M65" i="6"/>
  <c r="L65" i="6"/>
  <c r="J65" i="6"/>
  <c r="M64" i="6"/>
  <c r="L64" i="6"/>
  <c r="J64" i="6"/>
  <c r="M63" i="6"/>
  <c r="L63" i="6"/>
  <c r="J63" i="6"/>
  <c r="M62" i="6"/>
  <c r="L62" i="6"/>
  <c r="J62" i="6"/>
  <c r="M61" i="6"/>
  <c r="L61" i="6"/>
  <c r="J61" i="6"/>
  <c r="M60" i="6"/>
  <c r="L60" i="6"/>
  <c r="J60" i="6"/>
  <c r="M59" i="6"/>
  <c r="L59" i="6"/>
  <c r="J59" i="6"/>
  <c r="M58" i="6"/>
  <c r="L58" i="6"/>
  <c r="J58" i="6"/>
  <c r="M57" i="6"/>
  <c r="L57" i="6"/>
  <c r="J57" i="6"/>
  <c r="M56" i="6"/>
  <c r="L56" i="6"/>
  <c r="J56" i="6"/>
  <c r="M55" i="6"/>
  <c r="L55" i="6"/>
  <c r="J55" i="6"/>
  <c r="M54" i="6"/>
  <c r="L54" i="6"/>
  <c r="J54" i="6"/>
  <c r="M53" i="6"/>
  <c r="L53" i="6"/>
  <c r="J53" i="6"/>
  <c r="M52" i="6"/>
  <c r="L52" i="6"/>
  <c r="J52" i="6"/>
  <c r="M51" i="6"/>
  <c r="L51" i="6"/>
  <c r="J51" i="6"/>
  <c r="M50" i="6"/>
  <c r="L50" i="6"/>
  <c r="J50" i="6"/>
  <c r="M49" i="6"/>
  <c r="L49" i="6"/>
  <c r="J49" i="6"/>
  <c r="M48" i="6"/>
  <c r="L48" i="6"/>
  <c r="J48" i="6"/>
  <c r="M47" i="6"/>
  <c r="L47" i="6"/>
  <c r="J47" i="6"/>
  <c r="M46" i="6"/>
  <c r="L46" i="6"/>
  <c r="J46" i="6"/>
  <c r="M45" i="6"/>
  <c r="L45" i="6"/>
  <c r="J45" i="6"/>
  <c r="M44" i="6"/>
  <c r="L44" i="6"/>
  <c r="J44" i="6"/>
  <c r="M43" i="6"/>
  <c r="L43" i="6"/>
  <c r="J43" i="6"/>
  <c r="M42" i="6"/>
  <c r="L42" i="6"/>
  <c r="J42" i="6"/>
  <c r="M41" i="6"/>
  <c r="L41" i="6"/>
  <c r="J41" i="6"/>
  <c r="M40" i="6"/>
  <c r="L40" i="6"/>
  <c r="J40" i="6"/>
  <c r="M39" i="6"/>
  <c r="L39" i="6"/>
  <c r="J39" i="6"/>
  <c r="M38" i="6"/>
  <c r="L38" i="6"/>
  <c r="J38" i="6"/>
  <c r="M37" i="6"/>
  <c r="L37" i="6"/>
  <c r="J37" i="6"/>
  <c r="M36" i="6"/>
  <c r="L36" i="6"/>
  <c r="J36" i="6"/>
  <c r="M35" i="6"/>
  <c r="L35" i="6"/>
  <c r="J35" i="6"/>
  <c r="M34" i="6"/>
  <c r="L34" i="6"/>
  <c r="J34" i="6"/>
  <c r="M33" i="6"/>
  <c r="L33" i="6"/>
  <c r="J33" i="6"/>
  <c r="M32" i="6"/>
  <c r="L32" i="6"/>
  <c r="J32" i="6"/>
  <c r="M31" i="6"/>
  <c r="L31" i="6"/>
  <c r="J31" i="6"/>
  <c r="M30" i="6"/>
  <c r="L30" i="6"/>
  <c r="J30" i="6"/>
  <c r="M29" i="6"/>
  <c r="L29" i="6"/>
  <c r="J29" i="6"/>
  <c r="M28" i="6"/>
  <c r="L28" i="6"/>
  <c r="J28" i="6"/>
  <c r="M27" i="6"/>
  <c r="L27" i="6"/>
  <c r="J27" i="6"/>
  <c r="M26" i="6"/>
  <c r="L26" i="6"/>
  <c r="J26" i="6"/>
  <c r="M25" i="6"/>
  <c r="L25" i="6"/>
  <c r="J25" i="6"/>
  <c r="M24" i="6"/>
  <c r="L24" i="6"/>
  <c r="J24" i="6"/>
  <c r="M23" i="6"/>
  <c r="L23" i="6"/>
  <c r="J23" i="6"/>
  <c r="M22" i="6"/>
  <c r="L22" i="6"/>
  <c r="J22" i="6"/>
  <c r="M21" i="6"/>
  <c r="L21" i="6"/>
  <c r="J21" i="6"/>
  <c r="M20" i="6"/>
  <c r="L20" i="6"/>
  <c r="J20" i="6"/>
  <c r="M19" i="6"/>
  <c r="L19" i="6"/>
  <c r="J19" i="6"/>
  <c r="M18" i="6"/>
  <c r="L18" i="6"/>
  <c r="J18" i="6"/>
  <c r="M17" i="6"/>
  <c r="L17" i="6"/>
  <c r="J17" i="6"/>
  <c r="M16" i="6"/>
  <c r="L16" i="6"/>
  <c r="J16" i="6"/>
  <c r="M15" i="6"/>
  <c r="L15" i="6"/>
  <c r="J15" i="6"/>
  <c r="M14" i="6"/>
  <c r="L14" i="6"/>
  <c r="J14" i="6"/>
  <c r="M13" i="6"/>
  <c r="L13" i="6"/>
  <c r="J13" i="6"/>
  <c r="M12" i="6"/>
  <c r="L12" i="6"/>
  <c r="J12" i="6"/>
  <c r="M11" i="6"/>
  <c r="L11" i="6"/>
  <c r="J11" i="6"/>
  <c r="M10" i="6"/>
  <c r="L10" i="6"/>
  <c r="J10" i="6"/>
  <c r="M9" i="6"/>
  <c r="L9" i="6"/>
  <c r="J9" i="6"/>
  <c r="M8" i="6"/>
  <c r="L8" i="6"/>
  <c r="J8" i="6"/>
  <c r="M7" i="6"/>
  <c r="L7" i="6"/>
  <c r="J7" i="6"/>
  <c r="M6" i="6"/>
  <c r="L6" i="6"/>
  <c r="J6" i="6"/>
  <c r="M3" i="6"/>
  <c r="L3" i="6"/>
  <c r="J3" i="6"/>
  <c r="L126" i="2"/>
  <c r="M126" i="2"/>
  <c r="J126" i="2"/>
  <c r="L77" i="2"/>
  <c r="J43" i="2"/>
  <c r="M15" i="2"/>
  <c r="J17" i="2" l="1"/>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L15" i="2"/>
  <c r="M14" i="2"/>
  <c r="L14" i="2"/>
  <c r="M13" i="2"/>
  <c r="L13" i="2"/>
  <c r="M12" i="2"/>
  <c r="L12" i="2"/>
  <c r="M11" i="2"/>
  <c r="L11" i="2"/>
  <c r="M10" i="2"/>
  <c r="L10" i="2"/>
  <c r="M9" i="2"/>
  <c r="L9" i="2"/>
  <c r="M8" i="2"/>
  <c r="L8" i="2"/>
  <c r="M7" i="2"/>
  <c r="L7" i="2"/>
  <c r="M6" i="2"/>
  <c r="L6" i="2"/>
  <c r="M3" i="2"/>
  <c r="L3"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2" i="2"/>
  <c r="J41" i="2"/>
  <c r="J40" i="2"/>
  <c r="J39" i="2"/>
  <c r="J38" i="2"/>
  <c r="J37" i="2"/>
  <c r="J36" i="2"/>
  <c r="J35" i="2"/>
  <c r="J34" i="2"/>
  <c r="J33" i="2"/>
  <c r="J32" i="2"/>
  <c r="J31" i="2"/>
  <c r="J30" i="2"/>
  <c r="J29" i="2"/>
  <c r="J28" i="2"/>
  <c r="J27" i="2"/>
  <c r="J26" i="2"/>
  <c r="J25" i="2"/>
  <c r="J24" i="2"/>
  <c r="J23" i="2"/>
  <c r="J22" i="2"/>
  <c r="J21" i="2"/>
  <c r="J20" i="2"/>
  <c r="J19" i="2"/>
  <c r="J18" i="2"/>
  <c r="J16" i="2"/>
  <c r="J15" i="2"/>
  <c r="J14" i="2"/>
  <c r="J13" i="2"/>
  <c r="J12" i="2"/>
  <c r="J11" i="2"/>
  <c r="J10" i="2"/>
  <c r="J9" i="2"/>
  <c r="J8" i="2"/>
  <c r="J7" i="2"/>
  <c r="J6" i="2"/>
  <c r="J3" i="2"/>
  <c r="M2" i="2"/>
  <c r="L2" i="2"/>
  <c r="J2" i="2"/>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2" i="1"/>
  <c r="F23" i="1"/>
  <c r="F24" i="1"/>
  <c r="F25" i="1"/>
  <c r="F26" i="1"/>
  <c r="F27" i="1"/>
  <c r="E10" i="1"/>
  <c r="F10" i="1" s="1"/>
  <c r="E11" i="1"/>
  <c r="F11" i="1"/>
  <c r="F12" i="1"/>
  <c r="E13" i="1"/>
  <c r="F13" i="1"/>
  <c r="E16" i="1"/>
  <c r="F16" i="1" s="1"/>
  <c r="F17" i="1"/>
  <c r="E18" i="1"/>
  <c r="F18" i="1" s="1"/>
  <c r="E19" i="1"/>
  <c r="F19" i="1"/>
  <c r="F20" i="1"/>
  <c r="F30" i="1"/>
  <c r="F31" i="1"/>
  <c r="F32" i="1"/>
  <c r="F33" i="1"/>
  <c r="F34" i="1"/>
  <c r="F37" i="1"/>
  <c r="F38" i="1"/>
  <c r="F39" i="1"/>
  <c r="F40" i="1"/>
  <c r="F41" i="1"/>
  <c r="E44" i="1"/>
  <c r="F44" i="1" s="1"/>
  <c r="E45" i="1"/>
  <c r="F45" i="1" s="1"/>
  <c r="E46" i="1"/>
  <c r="F46" i="1" s="1"/>
  <c r="E47" i="1"/>
  <c r="F47" i="1" s="1"/>
  <c r="E48" i="1"/>
  <c r="F48" i="1" s="1"/>
  <c r="E51" i="1"/>
  <c r="F51" i="1" s="1"/>
  <c r="E52" i="1"/>
  <c r="F52" i="1" s="1"/>
  <c r="E53" i="1"/>
  <c r="F53" i="1" s="1"/>
  <c r="E54" i="1"/>
  <c r="F54" i="1" s="1"/>
  <c r="E55" i="1"/>
  <c r="F55" i="1" s="1"/>
  <c r="E58" i="1"/>
  <c r="F58" i="1" s="1"/>
  <c r="E59" i="1"/>
  <c r="F59" i="1" s="1"/>
  <c r="E60" i="1"/>
  <c r="F60" i="1" s="1"/>
  <c r="E61" i="1"/>
  <c r="F61" i="1"/>
  <c r="E62" i="1"/>
  <c r="F62" i="1" s="1"/>
  <c r="F9" i="1"/>
  <c r="F4" i="1"/>
  <c r="F5" i="1"/>
  <c r="F6" i="1"/>
  <c r="F3" i="1"/>
</calcChain>
</file>

<file path=xl/sharedStrings.xml><?xml version="1.0" encoding="utf-8"?>
<sst xmlns="http://schemas.openxmlformats.org/spreadsheetml/2006/main" count="1043" uniqueCount="562">
  <si>
    <t>용성</t>
    <phoneticPr fontId="1" type="noConversion"/>
  </si>
  <si>
    <t>수웅</t>
    <phoneticPr fontId="1" type="noConversion"/>
  </si>
  <si>
    <t>효진</t>
    <phoneticPr fontId="1" type="noConversion"/>
  </si>
  <si>
    <t>월</t>
    <phoneticPr fontId="1" type="noConversion"/>
  </si>
  <si>
    <t>화</t>
    <phoneticPr fontId="1" type="noConversion"/>
  </si>
  <si>
    <t>수</t>
    <phoneticPr fontId="1" type="noConversion"/>
  </si>
  <si>
    <t>목</t>
    <phoneticPr fontId="1" type="noConversion"/>
  </si>
  <si>
    <t>금</t>
    <phoneticPr fontId="1" type="noConversion"/>
  </si>
  <si>
    <t>토</t>
    <phoneticPr fontId="1" type="noConversion"/>
  </si>
  <si>
    <t>일</t>
    <phoneticPr fontId="1" type="noConversion"/>
  </si>
  <si>
    <t>기업명</t>
    <phoneticPr fontId="1" type="noConversion"/>
  </si>
  <si>
    <t>국가</t>
    <phoneticPr fontId="1" type="noConversion"/>
  </si>
  <si>
    <t>티커</t>
    <phoneticPr fontId="1" type="noConversion"/>
  </si>
  <si>
    <t>빨간줄</t>
    <phoneticPr fontId="1" type="noConversion"/>
  </si>
  <si>
    <t>흑전</t>
    <phoneticPr fontId="1" type="noConversion"/>
  </si>
  <si>
    <t>코멘트</t>
    <phoneticPr fontId="1" type="noConversion"/>
  </si>
  <si>
    <t>업종</t>
    <phoneticPr fontId="1" type="noConversion"/>
  </si>
  <si>
    <t>실발날짜</t>
    <phoneticPr fontId="1" type="noConversion"/>
  </si>
  <si>
    <t>담당자</t>
    <phoneticPr fontId="1" type="noConversion"/>
  </si>
  <si>
    <t>MEDP</t>
    <phoneticPr fontId="1" type="noConversion"/>
  </si>
  <si>
    <t>CALX</t>
    <phoneticPr fontId="1" type="noConversion"/>
  </si>
  <si>
    <t>UTDPLT</t>
    <phoneticPr fontId="1" type="noConversion"/>
  </si>
  <si>
    <t>MAHSCOOTER</t>
    <phoneticPr fontId="1" type="noConversion"/>
  </si>
  <si>
    <t>KO</t>
    <phoneticPr fontId="1" type="noConversion"/>
  </si>
  <si>
    <t>인도</t>
    <phoneticPr fontId="1" type="noConversion"/>
  </si>
  <si>
    <t>미국</t>
    <phoneticPr fontId="1" type="noConversion"/>
  </si>
  <si>
    <t>Calix, Inc.</t>
    <phoneticPr fontId="1" type="noConversion"/>
  </si>
  <si>
    <t>The Coca-Cola Company</t>
    <phoneticPr fontId="1" type="noConversion"/>
  </si>
  <si>
    <t>탑라인은 플랫한 수준(YoY +1.4%), 비용 개선되며 줄인 상황.</t>
    <phoneticPr fontId="1" type="noConversion"/>
  </si>
  <si>
    <t>소비재</t>
    <phoneticPr fontId="1" type="noConversion"/>
  </si>
  <si>
    <t>줄은 아닌데 실발후 45% 주가 상승. 임상 관련 발표가 같이 있었던 걸로 보임.</t>
    <phoneticPr fontId="1" type="noConversion"/>
  </si>
  <si>
    <t>제약, CRO</t>
    <phoneticPr fontId="1" type="noConversion"/>
  </si>
  <si>
    <t>말레이시아</t>
    <phoneticPr fontId="1" type="noConversion"/>
  </si>
  <si>
    <t>용성</t>
    <phoneticPr fontId="1" type="noConversion"/>
  </si>
  <si>
    <t>Maharashtra Scooters Ltd</t>
    <phoneticPr fontId="1" type="noConversion"/>
  </si>
  <si>
    <t>United Plantations Bhd</t>
    <phoneticPr fontId="1" type="noConversion"/>
  </si>
  <si>
    <t>Medpace Holdings, Inc.</t>
    <phoneticPr fontId="1" type="noConversion"/>
  </si>
  <si>
    <t>탑라인 YoY +34%, 팜유, 코코넛 및 기타 플랜테이션 작물의 재배 및 가공사업 영위</t>
    <phoneticPr fontId="1" type="noConversion"/>
  </si>
  <si>
    <t>농업</t>
    <phoneticPr fontId="1" type="noConversion"/>
  </si>
  <si>
    <t>스쿠터 OEM</t>
    <phoneticPr fontId="1" type="noConversion"/>
  </si>
  <si>
    <t>소규모 통신사 대상 클라우드 서비스 운영 회사. 이번분기 흑자전환 성공했으며 해외 매출 YoY 152% 늘며 비중 9%까지 확대하는 모습.</t>
    <phoneticPr fontId="1" type="noConversion"/>
  </si>
  <si>
    <t>3분기 연속 줄이지만 (193% -&gt; 69% -&gt; 22%) 감소추세. 실적보단 정책에 연동되는 느낌</t>
    <phoneticPr fontId="1" type="noConversion"/>
  </si>
  <si>
    <t>태양광</t>
    <phoneticPr fontId="1" type="noConversion"/>
  </si>
  <si>
    <t>미국</t>
    <phoneticPr fontId="1" type="noConversion"/>
  </si>
  <si>
    <t>ENPH</t>
    <phoneticPr fontId="1" type="noConversion"/>
  </si>
  <si>
    <t>Enphase Energy</t>
    <phoneticPr fontId="1" type="noConversion"/>
  </si>
  <si>
    <t>4분기 연속 줄이지만 (61% -&gt; 48% -&gt; 64% -&gt; 24%) 감소추세. 계란 값 연동</t>
    <phoneticPr fontId="1" type="noConversion"/>
  </si>
  <si>
    <t>계란</t>
    <phoneticPr fontId="1" type="noConversion"/>
  </si>
  <si>
    <t>CALM</t>
    <phoneticPr fontId="1" type="noConversion"/>
  </si>
  <si>
    <t>Cal Maine Foods</t>
    <phoneticPr fontId="1" type="noConversion"/>
  </si>
  <si>
    <t>계속해서 줄이었다가 1Q25 줄 탈락. 2Q25 다시 줄</t>
    <phoneticPr fontId="1" type="noConversion"/>
  </si>
  <si>
    <t>여행</t>
    <phoneticPr fontId="1" type="noConversion"/>
  </si>
  <si>
    <t>MMYT</t>
    <phoneticPr fontId="1" type="noConversion"/>
  </si>
  <si>
    <t>Make My Trip</t>
    <phoneticPr fontId="1" type="noConversion"/>
  </si>
  <si>
    <t>전형적인 씨클리컬</t>
    <phoneticPr fontId="1" type="noConversion"/>
  </si>
  <si>
    <t>석유화학</t>
    <phoneticPr fontId="1" type="noConversion"/>
  </si>
  <si>
    <t>RRC</t>
    <phoneticPr fontId="1" type="noConversion"/>
  </si>
  <si>
    <t>Range Resources</t>
    <phoneticPr fontId="1" type="noConversion"/>
  </si>
  <si>
    <t>턴어라운드</t>
    <phoneticPr fontId="1" type="noConversion"/>
  </si>
  <si>
    <t>홈빌더</t>
    <phoneticPr fontId="1" type="noConversion"/>
  </si>
  <si>
    <t>DHI</t>
    <phoneticPr fontId="1" type="noConversion"/>
  </si>
  <si>
    <t>D.R. Horton</t>
    <phoneticPr fontId="1" type="noConversion"/>
  </si>
  <si>
    <t>3분기 연속 줄이면서 (33% -&gt; 25% -&gt; 45%) 강도가 더 세지고 있음. 데이터센터와 에너지 산업을 위한 오프그리드 전력 솔루션 제공자. 3Q25 EBITDA 가이던스 상향</t>
    <phoneticPr fontId="1" type="noConversion"/>
  </si>
  <si>
    <t>오프그리드 전력 솔루션</t>
    <phoneticPr fontId="1" type="noConversion"/>
  </si>
  <si>
    <t>SEI</t>
    <phoneticPr fontId="1" type="noConversion"/>
  </si>
  <si>
    <t>Solaris energy</t>
    <phoneticPr fontId="1" type="noConversion"/>
  </si>
  <si>
    <t>줄은 아님. 매출 턴어라운드로 성장률이 최근 4개분기 -40.2% -&gt; -26.5% -&gt; 0.7% -&gt; 18.0%. 3Q25는 54.0% 예상. 데이터센터, 통신 인프라, 브로드밴드 장비에 사용되는 SoC를 설계하는 팹리스 반도체 기업</t>
    <phoneticPr fontId="1" type="noConversion"/>
  </si>
  <si>
    <t>SoC 반도체</t>
    <phoneticPr fontId="1" type="noConversion"/>
  </si>
  <si>
    <t>MXL</t>
    <phoneticPr fontId="1" type="noConversion"/>
  </si>
  <si>
    <t>Maxlinear</t>
    <phoneticPr fontId="1" type="noConversion"/>
  </si>
  <si>
    <t>석유시추와 해상풍력에 이용되는 해저로봇 업체. 2분기 연속 줄이었다가 2Q25에 줄 탈락. 하지만 하반기 해상풍력 띰이 있기 때문에 주가가 될 것 같음. 과거 주가추이가 베스타스, 씨에스윈드보다 살짝 후행해서 움직이는 추이</t>
    <phoneticPr fontId="1" type="noConversion"/>
  </si>
  <si>
    <t>해저탐사</t>
    <phoneticPr fontId="1" type="noConversion"/>
  </si>
  <si>
    <t>OII</t>
    <phoneticPr fontId="1" type="noConversion"/>
  </si>
  <si>
    <t>Oceaneering</t>
    <phoneticPr fontId="1" type="noConversion"/>
  </si>
  <si>
    <t>인수+기존사업 매각으로 손익계산서가 엉망임. 계속사업 순이익 기준으로 2분기 연속 줄. 인수 영향으로 최대매출, 최대이익 예상되므로 전고점 가야되지 않을까 싶음</t>
    <phoneticPr fontId="1" type="noConversion"/>
  </si>
  <si>
    <t>포장재</t>
    <phoneticPr fontId="1" type="noConversion"/>
  </si>
  <si>
    <t>SON</t>
    <phoneticPr fontId="1" type="noConversion"/>
  </si>
  <si>
    <t>Sonoco Products</t>
    <phoneticPr fontId="1" type="noConversion"/>
  </si>
  <si>
    <t>전력가 상승으로 가격 협상력 좋아짐, 전 사업부 마진율 개선 추세로 가이던스 상향.</t>
    <phoneticPr fontId="1" type="noConversion"/>
  </si>
  <si>
    <t>산업재</t>
    <phoneticPr fontId="1" type="noConversion"/>
  </si>
  <si>
    <t>GEV</t>
    <phoneticPr fontId="1" type="noConversion"/>
  </si>
  <si>
    <t>GE vernova</t>
    <phoneticPr fontId="1" type="noConversion"/>
  </si>
  <si>
    <t xml:space="preserve">1분기 탑라인 yy 47%, 2분기 57% 증가. 이익률도 좋아지는 국면, NTM 기준 36배. </t>
    <phoneticPr fontId="1" type="noConversion"/>
  </si>
  <si>
    <t>전기전자</t>
    <phoneticPr fontId="1" type="noConversion"/>
  </si>
  <si>
    <t>APH</t>
    <phoneticPr fontId="1" type="noConversion"/>
  </si>
  <si>
    <t>ampgenol corperation</t>
    <phoneticPr fontId="1" type="noConversion"/>
  </si>
  <si>
    <t>줄은 아닌데 실적 이후 주가 크게 상승. 컨센비트로 비용단에서 절감이 유의미했던거 같음.</t>
    <phoneticPr fontId="1" type="noConversion"/>
  </si>
  <si>
    <t>소비재(식품)</t>
    <phoneticPr fontId="1" type="noConversion"/>
  </si>
  <si>
    <t>LW</t>
    <phoneticPr fontId="1" type="noConversion"/>
  </si>
  <si>
    <t>lamb weston holdings inc</t>
    <phoneticPr fontId="1" type="noConversion"/>
  </si>
  <si>
    <t>제약 산업에 컨설팅, 임상 개발, 등 서비스 제공. 줄은 아닌데 실적 이후 주가 많이 오르는 중.</t>
    <phoneticPr fontId="1" type="noConversion"/>
  </si>
  <si>
    <t>제약</t>
    <phoneticPr fontId="1" type="noConversion"/>
  </si>
  <si>
    <t>ICLR</t>
    <phoneticPr fontId="1" type="noConversion"/>
  </si>
  <si>
    <t>ICON Public Limited Company</t>
    <phoneticPr fontId="1" type="noConversion"/>
  </si>
  <si>
    <t>시총(B$)</t>
    <phoneticPr fontId="1" type="noConversion"/>
  </si>
  <si>
    <t>Hokuhoku Financial</t>
  </si>
  <si>
    <t>일본</t>
  </si>
  <si>
    <t>2.7B</t>
  </si>
  <si>
    <t>효진</t>
  </si>
  <si>
    <t>은행</t>
  </si>
  <si>
    <t>금리인상 영향으로 이자수익 늘면서 NI기준 3분기 연속 줄 (30% -&gt; 18% -&gt; 17%). 보통주 기준 주주환원율은 25년 기준(25년 4월 ~26년 3월) 30.4% / 27년 기준 40% 목표. 최근 3개년 주주환원율(22~24년)은 23.3% -&gt; 40.5% -&gt; 26.4%</t>
  </si>
  <si>
    <t>German American Bancorp</t>
    <phoneticPr fontId="1" type="noConversion"/>
  </si>
  <si>
    <t>GABC</t>
    <phoneticPr fontId="1" type="noConversion"/>
  </si>
  <si>
    <t>1.52B</t>
    <phoneticPr fontId="1" type="noConversion"/>
  </si>
  <si>
    <t>은행</t>
    <phoneticPr fontId="1" type="noConversion"/>
  </si>
  <si>
    <t>Heartland Bancorp을 2월 1일에 합병하면서 대출 수익이 늘어났음. 이 영향으로 순이익 기준 2Q25 첫 줄.향후 2개 분기에도 합병 영향으로 순이익 증가할 것 같음</t>
    <phoneticPr fontId="1" type="noConversion"/>
  </si>
  <si>
    <t>Armstrong World Industries, Inc</t>
    <phoneticPr fontId="1" type="noConversion"/>
  </si>
  <si>
    <t>AWI</t>
    <phoneticPr fontId="1" type="noConversion"/>
  </si>
  <si>
    <t>최수웅</t>
    <phoneticPr fontId="1" type="noConversion"/>
  </si>
  <si>
    <t>건자재</t>
    <phoneticPr fontId="1" type="noConversion"/>
  </si>
  <si>
    <t>차트 좋음. 줄은 아닌데 탑라인 굳.
2Q 기준 7% 정도로 줄은 아닌데 탑라인 성장 좋고 마진도 29% 기록. 벽 및 천장 건축 자재를 설계하고 제조하는 기업.</t>
    <phoneticPr fontId="1" type="noConversion"/>
  </si>
  <si>
    <t>Nippon Television Holdings, Inc.</t>
    <phoneticPr fontId="1" type="noConversion"/>
  </si>
  <si>
    <t>일본</t>
    <phoneticPr fontId="1" type="noConversion"/>
  </si>
  <si>
    <t>Archrock . Inc</t>
    <phoneticPr fontId="1" type="noConversion"/>
  </si>
  <si>
    <t>aroc</t>
    <phoneticPr fontId="1" type="noConversion"/>
  </si>
  <si>
    <t xml:space="preserve">1분기까지  3번째줄. LNG관련 기업이고 8월 5일 실발 예정. </t>
    <phoneticPr fontId="1" type="noConversion"/>
  </si>
  <si>
    <t>GeneDx Holdings</t>
    <phoneticPr fontId="1" type="noConversion"/>
  </si>
  <si>
    <t>WGS</t>
    <phoneticPr fontId="1" type="noConversion"/>
  </si>
  <si>
    <t>2.62B</t>
    <phoneticPr fontId="1" type="noConversion"/>
  </si>
  <si>
    <t>희귀질환 진단</t>
    <phoneticPr fontId="1" type="noConversion"/>
  </si>
  <si>
    <r>
      <t xml:space="preserve">6개분기 연속 매출 성장률 40~60%대 유지하고 있고 4Q24와 2Q25에 흑전했음. 2Q25 곱4기준 POR 72배. GPM 69%정도의 회사인데 TAM이 아직 많이 남은 느낌. </t>
    </r>
    <r>
      <rPr>
        <b/>
        <sz val="10"/>
        <color theme="1"/>
        <rFont val="Pretendard"/>
        <family val="3"/>
        <charset val="129"/>
      </rPr>
      <t>잘될 것 같음</t>
    </r>
    <phoneticPr fontId="1" type="noConversion"/>
  </si>
  <si>
    <t>Lending Club</t>
    <phoneticPr fontId="1" type="noConversion"/>
  </si>
  <si>
    <t>LC</t>
    <phoneticPr fontId="1" type="noConversion"/>
  </si>
  <si>
    <t>1.5B</t>
    <phoneticPr fontId="1" type="noConversion"/>
  </si>
  <si>
    <t>대출 플랫폼</t>
    <phoneticPr fontId="1" type="noConversion"/>
  </si>
  <si>
    <t>2Q25 첫 줄. 최근 4개분기 매출 증가율이 11.3%(3Q24) -&gt; 20.2%(4Q24) -&gt; 24.7%(1Q25) -&gt; 32.6%(2Q25) 올라가고 있음. 2Q25 순익 곱4시 PER 10배. Peer 회사로 분류되는 UPST, SOFI 둘 다 실적흐름세는 유사함</t>
    <phoneticPr fontId="1" type="noConversion"/>
  </si>
  <si>
    <t>TriMas Corporation</t>
    <phoneticPr fontId="1" type="noConversion"/>
  </si>
  <si>
    <t>TRS</t>
    <phoneticPr fontId="1" type="noConversion"/>
  </si>
  <si>
    <t>1.42B</t>
    <phoneticPr fontId="1" type="noConversion"/>
  </si>
  <si>
    <t>포장재, 항공우주</t>
    <phoneticPr fontId="1" type="noConversion"/>
  </si>
  <si>
    <t>항공우주 쪽 서프영향. 최근 3개분기 매출 증가율 8.8%(4Q25) -&gt; 6.4%(1Q25) -&gt; 14.2%(2Q25) 가속화되고 있음. 항공우주 쪽 매출 +32%, 마진+650bp 개선. Airbus와의 계약은 26년부터 Ramp-up, 27년에 본격 증가 예정</t>
    <phoneticPr fontId="1" type="noConversion"/>
  </si>
  <si>
    <t>CECO Environmental</t>
    <phoneticPr fontId="1" type="noConversion"/>
  </si>
  <si>
    <t>CECO</t>
    <phoneticPr fontId="1" type="noConversion"/>
  </si>
  <si>
    <t>산업재(환경 서비스)</t>
    <phoneticPr fontId="1" type="noConversion"/>
  </si>
  <si>
    <t>발전(Power Gen)시장과 반도체, 천연가스, 산업용 수처리, 산업 리쇼어링 등이 전방시장에 해당함. QoQ로 계속해서 수주량이 record high 기록하고 있음. GE Vernova가 1차 수주사고 CECO는 2차 벤더에 해당</t>
    <phoneticPr fontId="1" type="noConversion"/>
  </si>
  <si>
    <t>Advantest Corporation</t>
    <phoneticPr fontId="1" type="noConversion"/>
  </si>
  <si>
    <t>일본</t>
    <phoneticPr fontId="1" type="noConversion"/>
  </si>
  <si>
    <t>용성</t>
    <phoneticPr fontId="1" type="noConversion"/>
  </si>
  <si>
    <t>Corning Incorporated</t>
    <phoneticPr fontId="1" type="noConversion"/>
  </si>
  <si>
    <t>GLW</t>
    <phoneticPr fontId="1" type="noConversion"/>
  </si>
  <si>
    <t>미국</t>
    <phoneticPr fontId="1" type="noConversion"/>
  </si>
  <si>
    <t>SoFi Technologies, Inc.</t>
    <phoneticPr fontId="1" type="noConversion"/>
  </si>
  <si>
    <t>SOFI</t>
    <phoneticPr fontId="1" type="noConversion"/>
  </si>
  <si>
    <t>FTAI Aviation Ltd.</t>
    <phoneticPr fontId="1" type="noConversion"/>
  </si>
  <si>
    <t>FTAI</t>
    <phoneticPr fontId="1" type="noConversion"/>
  </si>
  <si>
    <t>Elite Material Co., Ltd</t>
    <phoneticPr fontId="1" type="noConversion"/>
  </si>
  <si>
    <t>대만</t>
    <phoneticPr fontId="1" type="noConversion"/>
  </si>
  <si>
    <t>직전분기</t>
    <phoneticPr fontId="1" type="noConversion"/>
  </si>
  <si>
    <t>이번분기</t>
    <phoneticPr fontId="1" type="noConversion"/>
  </si>
  <si>
    <t>반도체 테스트용 부품 기업. 대만향 부품 수출 크게 증가하며 (YoY 4배) 주가 크게 상승 중인 상황. TSMC 실발 이후에 크게 오르고 동사 실발때는 셀온 나온 것으로 보임.</t>
    <phoneticPr fontId="1" type="noConversion"/>
  </si>
  <si>
    <t>미국 광섬유 업체. Gen AI 데이터센터 향 광섬유(전선) 매출 크게 증가 (YoY 2배) 하며 실적 빠르게 견인 하며 분기 최대 매출,이익 달성.</t>
    <phoneticPr fontId="1" type="noConversion"/>
  </si>
  <si>
    <t>미국 디지털 금융 서비스 플랫폼 업체. 회원수 증가, 신제품 출시에 따라 실적 크게 개선되었지만 이후 유상증자 발표하며 프리마켓 주가 하락 중.</t>
    <phoneticPr fontId="1" type="noConversion"/>
  </si>
  <si>
    <t>적자분기포함, 항공 운송 수요 증가 및 그에 따른 부품 수요 증가하며 두 사업부 모두 매출 크게 성장.</t>
    <phoneticPr fontId="1" type="noConversion"/>
  </si>
  <si>
    <t>CCL 1위 업체. 전방 수요 급증하며 1분기부터 탑라인 빠르게 늘며 주가 급등 중이며 높은 기술력 바탕으로 고성능 시장에서 점유율 높여가고 있음. NTM 기준 밸류도 22.7배로 매력적.</t>
    <phoneticPr fontId="1" type="noConversion"/>
  </si>
  <si>
    <t>반도체</t>
    <phoneticPr fontId="1" type="noConversion"/>
  </si>
  <si>
    <t>광섬유</t>
    <phoneticPr fontId="1" type="noConversion"/>
  </si>
  <si>
    <t>디지털금융</t>
    <phoneticPr fontId="1" type="noConversion"/>
  </si>
  <si>
    <t>항공기임대, 항공우주제품</t>
    <phoneticPr fontId="1" type="noConversion"/>
  </si>
  <si>
    <t>Astellas Pharma Inc.</t>
    <phoneticPr fontId="1" type="noConversion"/>
  </si>
  <si>
    <t>일본</t>
    <phoneticPr fontId="1" type="noConversion"/>
  </si>
  <si>
    <t>17.9B</t>
    <phoneticPr fontId="1" type="noConversion"/>
  </si>
  <si>
    <t>용성</t>
    <phoneticPr fontId="1" type="noConversion"/>
  </si>
  <si>
    <t>제약</t>
    <phoneticPr fontId="1" type="noConversion"/>
  </si>
  <si>
    <t>주요 파이프라인 매출 모두 빠르게 성장하며 호실적 달성, 주가도 NTM 기준 16.7%로 매력적인 구간.</t>
    <phoneticPr fontId="1" type="noConversion"/>
  </si>
  <si>
    <t>Udemy, Inc.</t>
    <phoneticPr fontId="1" type="noConversion"/>
  </si>
  <si>
    <t>UDMY</t>
    <phoneticPr fontId="1" type="noConversion"/>
  </si>
  <si>
    <t>미국</t>
    <phoneticPr fontId="1" type="noConversion"/>
  </si>
  <si>
    <t>1.04B</t>
    <phoneticPr fontId="1" type="noConversion"/>
  </si>
  <si>
    <t>온라인 러닝 플랫폼</t>
    <phoneticPr fontId="1" type="noConversion"/>
  </si>
  <si>
    <t>운영 효율성 개선하고 기업향 매출(구독형 모델) 증가하며 ipo 이후 첫 흑자분기 달성.</t>
    <phoneticPr fontId="1" type="noConversion"/>
  </si>
  <si>
    <t>Lam Research</t>
    <phoneticPr fontId="1" type="noConversion"/>
  </si>
  <si>
    <t>LRCX</t>
    <phoneticPr fontId="1" type="noConversion"/>
  </si>
  <si>
    <t>최근 4개분기 매출성장률 19.7%(3Q24) -&gt; 16.4%(4Q24) -&gt; 24.4%(1Q25) -&gt; 33.6%(2Q25) 가속화되고 있음</t>
    <phoneticPr fontId="1" type="noConversion"/>
  </si>
  <si>
    <t>Robinhood</t>
    <phoneticPr fontId="1" type="noConversion"/>
  </si>
  <si>
    <t>HOOD</t>
    <phoneticPr fontId="1" type="noConversion"/>
  </si>
  <si>
    <t xml:space="preserve">핀테크 </t>
    <phoneticPr fontId="1" type="noConversion"/>
  </si>
  <si>
    <t xml:space="preserve">5개 분기 연속 줄인 상황이고 줄 강도는 약해지고 있음. 최근 4개분기 매출성장률 36.4%(3Q24) -&gt; 115.3%(4Q24) -&gt; 50%(1Q25) -&gt; 45%(2Q25) </t>
    <phoneticPr fontId="1" type="noConversion"/>
  </si>
  <si>
    <t>Agnico Eagle</t>
    <phoneticPr fontId="1" type="noConversion"/>
  </si>
  <si>
    <t>AEM</t>
    <phoneticPr fontId="1" type="noConversion"/>
  </si>
  <si>
    <t>광산</t>
    <phoneticPr fontId="1" type="noConversion"/>
  </si>
  <si>
    <t>금 생산전문 광산회사. 금값에 연동되는 모습으로 보면 될 것 같음</t>
    <phoneticPr fontId="1" type="noConversion"/>
  </si>
  <si>
    <t>Carvana</t>
    <phoneticPr fontId="1" type="noConversion"/>
  </si>
  <si>
    <t>CVNA</t>
    <phoneticPr fontId="1" type="noConversion"/>
  </si>
  <si>
    <t>중고차 중개플랫폼</t>
    <phoneticPr fontId="1" type="noConversion"/>
  </si>
  <si>
    <t>최근 4개분기 매출성장률 31.8%(3Q24) -&gt; 46.3%(4Q24) -&gt; 38.3%(1Q25) -&gt; 42%(2Q25). 차 판매량 record high 기록. 4월부터 중고차 만하임지수 yoy로 올라가고 있음</t>
    <phoneticPr fontId="1" type="noConversion"/>
  </si>
  <si>
    <t>Waystar Holding Corp</t>
    <phoneticPr fontId="1" type="noConversion"/>
  </si>
  <si>
    <t>WAY</t>
    <phoneticPr fontId="1" type="noConversion"/>
  </si>
  <si>
    <t>Cognex Corporation</t>
    <phoneticPr fontId="1" type="noConversion"/>
  </si>
  <si>
    <t>CGNX</t>
    <phoneticPr fontId="1" type="noConversion"/>
  </si>
  <si>
    <t>Q2 Holdings, Inc.</t>
    <phoneticPr fontId="1" type="noConversion"/>
  </si>
  <si>
    <t>QTWO</t>
    <phoneticPr fontId="1" type="noConversion"/>
  </si>
  <si>
    <t>2분기 연속</t>
    <phoneticPr fontId="1" type="noConversion"/>
  </si>
  <si>
    <t>SPS Commerce, Inc.</t>
    <phoneticPr fontId="1" type="noConversion"/>
  </si>
  <si>
    <t>SPSC</t>
    <phoneticPr fontId="1" type="noConversion"/>
  </si>
  <si>
    <t>Virtu Financial, Inc</t>
    <phoneticPr fontId="1" type="noConversion"/>
  </si>
  <si>
    <t>VIRT</t>
    <phoneticPr fontId="1" type="noConversion"/>
  </si>
  <si>
    <t>TransMedics Group, Inc.</t>
    <phoneticPr fontId="1" type="noConversion"/>
  </si>
  <si>
    <t>TMDX</t>
    <phoneticPr fontId="1" type="noConversion"/>
  </si>
  <si>
    <t>VSE Corporation</t>
    <phoneticPr fontId="1" type="noConversion"/>
  </si>
  <si>
    <t>VSEC</t>
    <phoneticPr fontId="1" type="noConversion"/>
  </si>
  <si>
    <t>헬스케어</t>
    <phoneticPr fontId="1" type="noConversion"/>
  </si>
  <si>
    <t xml:space="preserve">클라우드 기반 소프트웨어를 제공하는 헬스케어 기술 기업. 분기 탑라인 15% 성장. </t>
    <phoneticPr fontId="1" type="noConversion"/>
  </si>
  <si>
    <t>소프트웨어</t>
    <phoneticPr fontId="1" type="noConversion"/>
  </si>
  <si>
    <t>공장 자동화의 핵심 기술인 '머신 비전(Machine Vision)을 생산. 이전까지 2연속 빨간줄. 실발 이후 10% 상승.</t>
    <phoneticPr fontId="1" type="noConversion"/>
  </si>
  <si>
    <t>금융</t>
    <phoneticPr fontId="1" type="noConversion"/>
  </si>
  <si>
    <t>금융 기관을 위한 디지털 뱅킹 및 대출 솔루션을 제공하는 회사. 줄은아닌데 2분기 연속 턴이후 이익폭 강해지는 중. 이번분기 탑라인 12.8% 성장.</t>
    <phoneticPr fontId="1" type="noConversion"/>
  </si>
  <si>
    <t xml:space="preserve">클라우드 기반 공급망 관리 소프트웨어 업체. 탑라인 22% 증가. </t>
    <phoneticPr fontId="1" type="noConversion"/>
  </si>
  <si>
    <t>글로벌 금융 시장에 유동성을 공급하고 투명한 거래 솔루션을 제공함. Market maker 느낌. 2분기 연속 탑라인 40.7%, 46% 증가.</t>
    <phoneticPr fontId="1" type="noConversion"/>
  </si>
  <si>
    <t>장기 이식 치료 관련 의료 회사. OCS라는 플랫폼을 개발하고 독점함. 6연줄. 탑라인 1분기 64%, 2분기 37% 증가</t>
    <phoneticPr fontId="1" type="noConversion"/>
  </si>
  <si>
    <t>서비스</t>
    <phoneticPr fontId="1" type="noConversion"/>
  </si>
  <si>
    <t>항공 및 기타 복잡한 자산의 애프터마켓 유통 및 유지보수, 수리, 오버홀(MRO) 서비스를 제공. 2분기 매출 41% 증가.</t>
    <phoneticPr fontId="1" type="noConversion"/>
  </si>
  <si>
    <t>Clorox Company</t>
    <phoneticPr fontId="1" type="noConversion"/>
  </si>
  <si>
    <t>CLX</t>
    <phoneticPr fontId="1" type="noConversion"/>
  </si>
  <si>
    <t>Carpenter Technology</t>
    <phoneticPr fontId="1" type="noConversion"/>
  </si>
  <si>
    <t>CRS</t>
    <phoneticPr fontId="1" type="noConversion"/>
  </si>
  <si>
    <t>Alphatec Holdings</t>
    <phoneticPr fontId="1" type="noConversion"/>
  </si>
  <si>
    <t>ATEC</t>
    <phoneticPr fontId="1" type="noConversion"/>
  </si>
  <si>
    <t>Innodata</t>
    <phoneticPr fontId="1" type="noConversion"/>
  </si>
  <si>
    <t>INOD</t>
    <phoneticPr fontId="1" type="noConversion"/>
  </si>
  <si>
    <t>Distribution Solutions</t>
    <phoneticPr fontId="1" type="noConversion"/>
  </si>
  <si>
    <t>DSGR</t>
    <phoneticPr fontId="1" type="noConversion"/>
  </si>
  <si>
    <t>Omnicell</t>
    <phoneticPr fontId="1" type="noConversion"/>
  </si>
  <si>
    <t>OMCL</t>
    <phoneticPr fontId="1" type="noConversion"/>
  </si>
  <si>
    <t>MTG</t>
    <phoneticPr fontId="1" type="noConversion"/>
  </si>
  <si>
    <t>Aurinia Pharmaceuticals</t>
    <phoneticPr fontId="1" type="noConversion"/>
  </si>
  <si>
    <t>AUPH</t>
    <phoneticPr fontId="1" type="noConversion"/>
  </si>
  <si>
    <t>생활용품</t>
    <phoneticPr fontId="1" type="noConversion"/>
  </si>
  <si>
    <t>특수금속 및 합금소재</t>
    <phoneticPr fontId="1" type="noConversion"/>
  </si>
  <si>
    <t>척추관련 의료기기</t>
    <phoneticPr fontId="1" type="noConversion"/>
  </si>
  <si>
    <t>AI데이터 아웃소싱</t>
    <phoneticPr fontId="1" type="noConversion"/>
  </si>
  <si>
    <t>특수 산업용 유통</t>
    <phoneticPr fontId="1" type="noConversion"/>
  </si>
  <si>
    <t>의약품 관리 자동화</t>
    <phoneticPr fontId="1" type="noConversion"/>
  </si>
  <si>
    <t>뷰티 및 웰니스 제품</t>
    <phoneticPr fontId="1" type="noConversion"/>
  </si>
  <si>
    <t>매출(2Q25 +4.4%)은 거의 안 늘었고 판관비단에서 개선이 나오고 있는 상황. 크게 매력적이지는 않은 것 같음</t>
    <phoneticPr fontId="1" type="noConversion"/>
  </si>
  <si>
    <t>매출은 이번분기에 역성장했고 매출 쇼크. GPM 개선 영향으로 줄 이어진 것</t>
    <phoneticPr fontId="1" type="noConversion"/>
  </si>
  <si>
    <t>아직 적자구간인데 2Q25에 적자 폭을 꽤 줄였음(2Q24 -35M -&gt; 2Q25 -13M). 지금 추세면 4Q25 정도에 흑전 가능할 것 같음. 분기 평균 20%대 매출성장</t>
    <phoneticPr fontId="1" type="noConversion"/>
  </si>
  <si>
    <t>인공지능 모델을 학습시키기 위한 고품질 데이터를 제공하는 기업. 최근 4개분기 매출성장률 135.6%(3Q24) -&gt; 126.6%(4Q24) -&gt; 120.1%(1Q25) -&gt; 79.4%(2Q25)로 감소했음</t>
    <phoneticPr fontId="1" type="noConversion"/>
  </si>
  <si>
    <t>특수 산업군에 특화된 유통을 하는 회사이며 Lawson, Gexpro, TestEquity가 주요 브랜드. 매출 성장률은 10% 중반대인데 판관비가 거의 늘지않는 구조. 매출 성장률 유지된다면 3Q25에는 줄이 강화되는 모습일 것</t>
    <phoneticPr fontId="1" type="noConversion"/>
  </si>
  <si>
    <t>최근 3개분기 매출성장률 18.6%(4Q24) -&gt; 9.6%(1Q25) -&gt; 5%(2Q25). 병원 및 약국의 약물 보관, 분배, 추적과정을 자동화하는 장비 및 소프트웨어 판매함. GPM이 소폭 개선되면서 판관비가 크게 늘지 않는 구조</t>
    <phoneticPr fontId="1" type="noConversion"/>
  </si>
  <si>
    <t>최근 3개분기 매출성장률 38.6%(4Q24) -&gt; 47.1%(1Q25) -&gt; 31.2%(2Q25)로 성장률은 약간 내려왔음. OP의 경우 계절적으로 2Q가 QoQ 빠지는 분기임. 드라이기 및 뷰티제품 트렌드가 빠지는지 체크해볼 것. 현재 밸류는 곱4기준 POR 15배 수준</t>
    <phoneticPr fontId="1" type="noConversion"/>
  </si>
  <si>
    <t>매출 성장률은 20-30%대로 무난한 성장 보여주고 있음. GPM도 개선되면서 판관비도 크게 늘지 않는 구조. 단점은 제품 매출이 거의 LUPKYNIS에서 나온다는 점. 니치마켓이기 때문에 적응증을 계속 넓혀가려고 회사는 노력중임. 곱 4기준 POR 15배 수준의 밸류</t>
    <phoneticPr fontId="1" type="noConversion"/>
  </si>
  <si>
    <t>TAL Education Group</t>
    <phoneticPr fontId="1" type="noConversion"/>
  </si>
  <si>
    <t>TAL</t>
    <phoneticPr fontId="1" type="noConversion"/>
  </si>
  <si>
    <t>6.08B</t>
    <phoneticPr fontId="1" type="noConversion"/>
  </si>
  <si>
    <t>Ibiden Co.,Ltd</t>
    <phoneticPr fontId="1" type="noConversion"/>
  </si>
  <si>
    <t>5.92B</t>
    <phoneticPr fontId="1" type="noConversion"/>
  </si>
  <si>
    <t>InterDigital, Inc.</t>
    <phoneticPr fontId="1" type="noConversion"/>
  </si>
  <si>
    <t>IDCC</t>
    <phoneticPr fontId="1" type="noConversion"/>
  </si>
  <si>
    <t>5.82B</t>
    <phoneticPr fontId="1" type="noConversion"/>
  </si>
  <si>
    <t>5.61B</t>
    <phoneticPr fontId="1" type="noConversion"/>
  </si>
  <si>
    <t>Shake Shack Inc.</t>
    <phoneticPr fontId="1" type="noConversion"/>
  </si>
  <si>
    <t>SHAK</t>
    <phoneticPr fontId="1" type="noConversion"/>
  </si>
  <si>
    <t>5.53B</t>
    <phoneticPr fontId="1" type="noConversion"/>
  </si>
  <si>
    <t>Boot Barn Holdings, Inc</t>
    <phoneticPr fontId="1" type="noConversion"/>
  </si>
  <si>
    <t>BOOT</t>
    <phoneticPr fontId="1" type="noConversion"/>
  </si>
  <si>
    <t>5.34B</t>
    <phoneticPr fontId="1" type="noConversion"/>
  </si>
  <si>
    <t>Studio City International Holdings Limited</t>
    <phoneticPr fontId="1" type="noConversion"/>
  </si>
  <si>
    <t>MSC</t>
    <phoneticPr fontId="1" type="noConversion"/>
  </si>
  <si>
    <t>0.87B</t>
    <phoneticPr fontId="1" type="noConversion"/>
  </si>
  <si>
    <t>중국 온라인 사교육</t>
    <phoneticPr fontId="1" type="noConversion"/>
  </si>
  <si>
    <t>PCB, 세라믹</t>
    <phoneticPr fontId="1" type="noConversion"/>
  </si>
  <si>
    <t>전자통신</t>
    <phoneticPr fontId="1" type="noConversion"/>
  </si>
  <si>
    <t>TV광고,애니메이션</t>
    <phoneticPr fontId="1" type="noConversion"/>
  </si>
  <si>
    <t>음식</t>
    <phoneticPr fontId="1" type="noConversion"/>
  </si>
  <si>
    <t>의류</t>
    <phoneticPr fontId="1" type="noConversion"/>
  </si>
  <si>
    <t>마카오 호텔카지노</t>
    <phoneticPr fontId="1" type="noConversion"/>
  </si>
  <si>
    <t>중국에서 학생 대상으로 온라인 사교육 제공하는 업체. 21년 중국의 핵심과목 사교육 규제로 주가 크게 하락. 
이후 가입자수 꾸준히 늘고 온라인 디바이스로 사업 확장하며 매출 YoY +39% 증가하며 흑전. 5월 저가형, 프리미엄형 디바이스 추가하며 SKU 확대.</t>
    <phoneticPr fontId="1" type="noConversion"/>
  </si>
  <si>
    <t>반도체, 전자산업 회복하며 PCB 매출 크게 증가하며 영업이익 , opm  yoy크게 증가(12.8% -&gt; 18.1%). 
세라믹 부분은 DPF 판매 둔화되며 전년 대비 절반 수준의 매출 보이며 해당 세그먼트 이익 크게 감소. 가이던스도 HoH로 OP 하락이여서 주가 하락 중.</t>
    <phoneticPr fontId="1" type="noConversion"/>
  </si>
  <si>
    <t>전자통신 특허 라이선스 기반으로 수익 창출. 비즈니스 특성상 마진 매우 높고 삼성과의 8년, 10억달러 이상 규모 계약 체결해 탑라인 붙으며 빨간줄. 
CE&amp;IOT 향 라이선스 계약 증가하며 추가적인 업사이드 기대 가능.</t>
    <phoneticPr fontId="1" type="noConversion"/>
  </si>
  <si>
    <t>디지털 광고 강세와 애니·이벤트/IP 비즈니스 확대하며 탑라인, OP  증가. 향후 애니 OTT 진출, 지브리 스튜디오 콘서트 확대하며 성장할 계획.</t>
    <phoneticPr fontId="1" type="noConversion"/>
  </si>
  <si>
    <t>적자분기, 탑라인 yoy 13% 성장 (전분기는 10%) GPM 개선되며 호실적 달성. 다만 3분기 가이던스가 컨센을 미달하며 피크아웃 우려로 주가 실발 이후 크게 하락.</t>
    <phoneticPr fontId="1" type="noConversion"/>
  </si>
  <si>
    <t>홀드율 증가 (30% -&gt; 34%)로 카지노 매출 크게 증가하며 상승. 비게이밍 매출은 YoY 7% 정도라 일회성으로 파악되어 주가는 크게 반응 없었음.</t>
    <phoneticPr fontId="1" type="noConversion"/>
  </si>
  <si>
    <t>줄은아님. 리테일, 이커머스쪽 모두 고르게 성장하며 탑라인 20% 증가 OP 40%증가. 3분기에도 동일매장 성장률 11.7%(직전분기 9.5%)증가하며 현재 상태도 좋음. 
향후 점포 확장 계획도 적극적인 상황(연간 65~70개. 2분기는 14개 오픈).</t>
    <phoneticPr fontId="1" type="noConversion"/>
  </si>
  <si>
    <t>Arthur J. Gallagher &amp; Co.</t>
    <phoneticPr fontId="1" type="noConversion"/>
  </si>
  <si>
    <t>AJG</t>
    <phoneticPr fontId="1" type="noConversion"/>
  </si>
  <si>
    <t>Alnylam Pharmaceuticals, Inc</t>
    <phoneticPr fontId="1" type="noConversion"/>
  </si>
  <si>
    <t>ALNY</t>
    <phoneticPr fontId="1" type="noConversion"/>
  </si>
  <si>
    <t>Reddit, Inc.</t>
    <phoneticPr fontId="1" type="noConversion"/>
  </si>
  <si>
    <t>RDDT</t>
    <phoneticPr fontId="1" type="noConversion"/>
  </si>
  <si>
    <t>바이오</t>
    <phoneticPr fontId="1" type="noConversion"/>
  </si>
  <si>
    <t>빅테크</t>
    <phoneticPr fontId="1" type="noConversion"/>
  </si>
  <si>
    <t>보험중개, 컨설팅 회사. 탑라인 연속으로 14.5%, 16% 상승.</t>
    <phoneticPr fontId="1" type="noConversion"/>
  </si>
  <si>
    <t>RNA 신약 개발 회사. 2분기 적자인데 줄 기록. 탑라인 17% 성장했고 이익변동 심한데 차트 좋음.</t>
    <phoneticPr fontId="1" type="noConversion"/>
  </si>
  <si>
    <t>탑라인 엑셀 + 첫줄. 광고주 수급 확대와 가격, 예산 모두 상향됨. 컨콜 내용 좋고 도메인 트레픽도 다시 신고가.</t>
    <phoneticPr fontId="1" type="noConversion"/>
  </si>
  <si>
    <t>Cinemark Holdings, Inc.</t>
    <phoneticPr fontId="1" type="noConversion"/>
  </si>
  <si>
    <t>CNK</t>
    <phoneticPr fontId="1" type="noConversion"/>
  </si>
  <si>
    <t>미국</t>
    <phoneticPr fontId="1" type="noConversion"/>
  </si>
  <si>
    <t>2.98B</t>
    <phoneticPr fontId="1" type="noConversion"/>
  </si>
  <si>
    <t>영화상영</t>
    <phoneticPr fontId="1" type="noConversion"/>
  </si>
  <si>
    <t>드래곤길들이기 리메이크, 마블 썬더볼츠, 마인크래프트 영화 등이 몰리면서 일회적으로 탑라인 크게 증가. 
내년 어벤져스, 스파이더맨, 미니언즈, 토이스토리 등 블록버스트 급 영화 예정되어 있기에 좋은 흐름일 것이라고 소통 중.</t>
    <phoneticPr fontId="1" type="noConversion"/>
  </si>
  <si>
    <t>Coca-Cola Bottlers Japan Holdings Inc.</t>
    <phoneticPr fontId="1" type="noConversion"/>
  </si>
  <si>
    <t>Interface, Inc.</t>
    <phoneticPr fontId="1" type="noConversion"/>
  </si>
  <si>
    <t>TILE</t>
    <phoneticPr fontId="1" type="noConversion"/>
  </si>
  <si>
    <t>일본 내에서 코카콜라 음료의 제조, 포장, 유통, 판매를 담당하는 회사. 탑라인 성장 1.4%로 거의 없음. 이익률 변동이 심한편.</t>
    <phoneticPr fontId="1" type="noConversion"/>
  </si>
  <si>
    <t>바닥재 전문 기업. 첫줄이지만 탑라인 yy 8.3% 상승. 이익변동이 조금 있는 편.</t>
    <phoneticPr fontId="1" type="noConversion"/>
  </si>
  <si>
    <t>Paymentus Holdings, Inc.</t>
    <phoneticPr fontId="1" type="noConversion"/>
  </si>
  <si>
    <t>PAY</t>
    <phoneticPr fontId="1" type="noConversion"/>
  </si>
  <si>
    <t>3.54B</t>
    <phoneticPr fontId="1" type="noConversion"/>
  </si>
  <si>
    <t>Freshpet, Inc.</t>
    <phoneticPr fontId="1" type="noConversion"/>
  </si>
  <si>
    <t>FRPT</t>
    <phoneticPr fontId="1" type="noConversion"/>
  </si>
  <si>
    <t>미국</t>
    <phoneticPr fontId="1" type="noConversion"/>
  </si>
  <si>
    <t>3.21B</t>
    <phoneticPr fontId="1" type="noConversion"/>
  </si>
  <si>
    <t>CommScope Holding Company, Inc</t>
    <phoneticPr fontId="1" type="noConversion"/>
  </si>
  <si>
    <t>COMM</t>
    <phoneticPr fontId="1" type="noConversion"/>
  </si>
  <si>
    <t>1.69B</t>
    <phoneticPr fontId="1" type="noConversion"/>
  </si>
  <si>
    <t>전자청구서 결제 대행</t>
    <phoneticPr fontId="1" type="noConversion"/>
  </si>
  <si>
    <t>애완동물 사료</t>
    <phoneticPr fontId="1" type="noConversion"/>
  </si>
  <si>
    <t>통신 장비 판매 기업</t>
    <phoneticPr fontId="1" type="noConversion"/>
  </si>
  <si>
    <t>대형 고객사 계약 성공하며 장기적으로 매출 확보하고 있으며 해당 시장 침투율 3% 수준으로 추가적인 업사이드도 많이 남은 상황.</t>
    <phoneticPr fontId="1" type="noConversion"/>
  </si>
  <si>
    <t>미국 냉장 애완동물 사료 시장 점유율 95% 기업. 작년 4분기부터 탑라인 성장이 일어나고 있지 않아 주가는 많이 낮은 상황. 이번분기도 줄인지만 적자 분기 포함되어서 줄임.</t>
    <phoneticPr fontId="1" type="noConversion"/>
  </si>
  <si>
    <t>기존 사업부고객사 확장 및 수익성 개선으로 흑자 전환 했으며 CCS(광섬유 케이블) 사업부는 Amphenol에 매각한다고 발표해 IR 이후 주가 86% 급등.</t>
    <phoneticPr fontId="1" type="noConversion"/>
  </si>
  <si>
    <t>NTN Corporation</t>
    <phoneticPr fontId="1" type="noConversion"/>
  </si>
  <si>
    <t>EverQuote, Inc</t>
    <phoneticPr fontId="1" type="noConversion"/>
  </si>
  <si>
    <t>EVER</t>
    <phoneticPr fontId="1" type="noConversion"/>
  </si>
  <si>
    <t>자동차 부품</t>
    <phoneticPr fontId="1" type="noConversion"/>
  </si>
  <si>
    <t>탑라인은 -5.9%로 역성장. 정밀기기 및 부품 제조사이며 베어링 분야에서 세계 탑티어 회사. 자동차에 메인으로 들어감.</t>
    <phoneticPr fontId="1" type="noConversion"/>
  </si>
  <si>
    <t>탑라인 이전분기 yy 83%, 이번 33% 성장. 흑전한 이후 이익 지속 좋아지는 중. 보험사인데 AI관련해서 실적이 좋아지는거 같음.</t>
    <phoneticPr fontId="1" type="noConversion"/>
  </si>
  <si>
    <t>Resideo Technologies, Inc</t>
    <phoneticPr fontId="1" type="noConversion"/>
  </si>
  <si>
    <t>REZI</t>
    <phoneticPr fontId="1" type="noConversion"/>
  </si>
  <si>
    <t>미국</t>
    <phoneticPr fontId="1" type="noConversion"/>
  </si>
  <si>
    <t>3.77B</t>
    <phoneticPr fontId="1" type="noConversion"/>
  </si>
  <si>
    <t>Champion Homes, Inc.</t>
    <phoneticPr fontId="1" type="noConversion"/>
  </si>
  <si>
    <t>SKY</t>
    <phoneticPr fontId="1" type="noConversion"/>
  </si>
  <si>
    <t>3.71B</t>
    <phoneticPr fontId="1" type="noConversion"/>
  </si>
  <si>
    <t>주거용 보안 / 보안장비 유통</t>
    <phoneticPr fontId="1" type="noConversion"/>
  </si>
  <si>
    <t>모듈러주택, 주택공급</t>
    <phoneticPr fontId="1" type="noConversion"/>
  </si>
  <si>
    <t>ADI 사업부 신제품 강세와 Snap One 인수로 이커머스 매출 늘어나며 탑라인, 마진 모두 개선되는 긍정적인 흐름. 3Q, 연간 가이던스 상향했으며 상향된 가이던스로 다음 컨센 줄.</t>
    <phoneticPr fontId="1" type="noConversion"/>
  </si>
  <si>
    <t>줄은 아니지만 실발후 주가 흐름이 좋음. 미국 주택 출하, ASP 모두 성장함에 따라 탑라인, 마진 증가. 캐나다 주택 사업도 비중은 적지만 yoy 50% 증가하며 긍정적.</t>
    <phoneticPr fontId="1" type="noConversion"/>
  </si>
  <si>
    <t>Palantir Technologies</t>
    <phoneticPr fontId="1" type="noConversion"/>
  </si>
  <si>
    <t>PLTR</t>
    <phoneticPr fontId="1" type="noConversion"/>
  </si>
  <si>
    <t>Coterra Energy</t>
    <phoneticPr fontId="1" type="noConversion"/>
  </si>
  <si>
    <t>CTRA</t>
    <phoneticPr fontId="1" type="noConversion"/>
  </si>
  <si>
    <t>Hims &amp; Hers</t>
    <phoneticPr fontId="1" type="noConversion"/>
  </si>
  <si>
    <t>HIMS</t>
    <phoneticPr fontId="1" type="noConversion"/>
  </si>
  <si>
    <t>BioMarin Pharmaceutical</t>
    <phoneticPr fontId="1" type="noConversion"/>
  </si>
  <si>
    <t>BMRN</t>
    <phoneticPr fontId="1" type="noConversion"/>
  </si>
  <si>
    <t>Sterling Infrastructure</t>
    <phoneticPr fontId="1" type="noConversion"/>
  </si>
  <si>
    <t>STRL</t>
    <phoneticPr fontId="1" type="noConversion"/>
  </si>
  <si>
    <t>TG Therapeutics</t>
    <phoneticPr fontId="1" type="noConversion"/>
  </si>
  <si>
    <t>TGTX</t>
    <phoneticPr fontId="1" type="noConversion"/>
  </si>
  <si>
    <t>Primoris Services</t>
    <phoneticPr fontId="1" type="noConversion"/>
  </si>
  <si>
    <t>PRIM</t>
    <phoneticPr fontId="1" type="noConversion"/>
  </si>
  <si>
    <t>Lindblad Expeditions</t>
    <phoneticPr fontId="1" type="noConversion"/>
  </si>
  <si>
    <t>LIND</t>
    <phoneticPr fontId="1" type="noConversion"/>
  </si>
  <si>
    <t>AI 소프트웨어</t>
    <phoneticPr fontId="1" type="noConversion"/>
  </si>
  <si>
    <t>유틸리티</t>
    <phoneticPr fontId="1" type="noConversion"/>
  </si>
  <si>
    <t>비만약 플랫폼</t>
    <phoneticPr fontId="1" type="noConversion"/>
  </si>
  <si>
    <t>제약(희귀병)</t>
    <phoneticPr fontId="1" type="noConversion"/>
  </si>
  <si>
    <t>인프라</t>
    <phoneticPr fontId="1" type="noConversion"/>
  </si>
  <si>
    <t>크루즈</t>
    <phoneticPr fontId="1" type="noConversion"/>
  </si>
  <si>
    <t>줄이 4Q24에 끊어졌다가 2Q25가 두번째 줄이 된 것. 최근 4개분기 매출성장률 30%(3Q24) -&gt; 36%(4Q24) -&gt; 39.3%(1Q25) -&gt; 48%(2Q25)로 가속화되고 있음</t>
    <phoneticPr fontId="1" type="noConversion"/>
  </si>
  <si>
    <t xml:space="preserve">셰일 자산을 개발하여 석유, 천연가스, 액체 천연가스(NGL)을 생산 및 판매하는 회사. 최근 3개분기 매출성장률 -12.6%(4Q24) -&gt; 32.9%(1Q25) -&gt; 54.6%(2Q25). </t>
    <phoneticPr fontId="1" type="noConversion"/>
  </si>
  <si>
    <t>노보와의 파트너십 끊어지면서 매출이 QQ로 빠졌고 그러면서 줄 강도가 약해졌음. 복합약을 통해서 다시 멘징하면 괜찮을 것 같음. 최근 4개분기 매출성장률 77.1%(3Q24) -&gt; 95.1%(4Q24) -&gt; 110.7%(1Q25) -&gt; 72.6%(2Q25)</t>
    <phoneticPr fontId="1" type="noConversion"/>
  </si>
  <si>
    <t>2Q 곱4하면 POR 11배 수준. 최근 4개분기 매출성장률 28.3%(3Q24) -&gt; 15.6%(4Q24) -&gt; 14.8%(1Q25) -&gt; 15.9%(2Q25)도 양호한 상황임. 희귀병을 타겟으로 하기 때문에 TAM이 작다고 생각하는건지 왜 저평가 받는지 모르겠음</t>
    <phoneticPr fontId="1" type="noConversion"/>
  </si>
  <si>
    <t>첫 줄임. 매출은 5.4% 늘고 GPM이 YoY로 400bp 개선되었는데 고마진에 해당하는 데이터센터 수주 영향임. 2Q25 컨콜 내용에 따르면 E-인프라 백로그 중 데이터센터가 62%를 차지하며 데이터센터 Capex의 상당 부분을 수주할 수 있다고 함. 다만 회사의 분기별 백로그는 YoY로 오히려 감소하고 있음</t>
    <phoneticPr fontId="1" type="noConversion"/>
  </si>
  <si>
    <t>애널들은 EPS 0.3~0.32$을 예상했는데 실제로 0.17$을 발표했음. 최근 3개분기 매출성장률 146%(4Q24) -&gt; 90.4%(1Q25) -&gt; 92.1%(2Q25)이므로 주가가 많이 빠지면 다시 봐볼만 할 듯함</t>
    <phoneticPr fontId="1" type="noConversion"/>
  </si>
  <si>
    <t>첫 줄이고 2Q 곱4기준 POR 11배수준임. 최근 4개분기 매출성장률 7.8%(3Q24) -&gt; 14.9%(4Q24) -&gt; 16.7%(1Q25) -&gt; 20.9%(2Q25)로 가속화되고 있음. 상반기보다 하반기에 수주가 집중될 것(특히 4Q)이며 재생에너지 중심임. 전력망(송배전) 수주와 데이터센터 수주도 긍정적. 전력망의 경우 수익성이 높은 송전비중 확대할 것</t>
    <phoneticPr fontId="1" type="noConversion"/>
  </si>
  <si>
    <t>최근 3개분기 매출성장률 18.5%(4Q24) -&gt; 17%(1Q25) -&gt; 23%(2Q25)로 양호한 상황. 가격인상과 함께 탑승률이 78% -&gt; 86%로 증가했음. 하반기는 성장을 위한 투자로 비용이 많이 나오지만 26년 실적이 좋을 것. 27년에는 비수익 일수가 38% 줄어들고 신규 선박 추가도 고려하고 있음. "lindblad expeditions" 구글트렌드 신고가</t>
    <phoneticPr fontId="1" type="noConversion"/>
  </si>
  <si>
    <t>amgen</t>
    <phoneticPr fontId="1" type="noConversion"/>
  </si>
  <si>
    <t>AMGM</t>
    <phoneticPr fontId="1" type="noConversion"/>
  </si>
  <si>
    <t>aritsa</t>
    <phoneticPr fontId="1" type="noConversion"/>
  </si>
  <si>
    <t>ANET</t>
    <phoneticPr fontId="1" type="noConversion"/>
  </si>
  <si>
    <t>toast, Inc</t>
    <phoneticPr fontId="1" type="noConversion"/>
  </si>
  <si>
    <t>TOST</t>
    <phoneticPr fontId="1" type="noConversion"/>
  </si>
  <si>
    <t>astera labs</t>
    <phoneticPr fontId="1" type="noConversion"/>
  </si>
  <si>
    <t>ALAB</t>
    <phoneticPr fontId="1" type="noConversion"/>
  </si>
  <si>
    <t>클라우드 네트워킹</t>
    <phoneticPr fontId="1" type="noConversion"/>
  </si>
  <si>
    <t>핀테크</t>
    <phoneticPr fontId="1" type="noConversion"/>
  </si>
  <si>
    <t>탑라인 9.4% 증가. 일반내과, 희귀질환 분야 제약들이 모두 호실적을 기록.</t>
    <phoneticPr fontId="1" type="noConversion"/>
  </si>
  <si>
    <t>탑라인 30.4% 증가. 첫줄. 이더넷 관련주이고 빅테크 ai 캐팩스 줄지 않으면 AI 사이클에서 계속 갈만한 기업.</t>
    <phoneticPr fontId="1" type="noConversion"/>
  </si>
  <si>
    <t>레스토랑 운영을 위한 클라우드 기반의 올인원 플랫폼을 제공. 탑라인 24.8% 증가.</t>
    <phoneticPr fontId="1" type="noConversion"/>
  </si>
  <si>
    <t xml:space="preserve">최근 2분기 연속 흑전이라 줄은 아니지만, 차트 전고점 막 뚫었고 탑라인 149% 성장. </t>
    <phoneticPr fontId="1" type="noConversion"/>
  </si>
  <si>
    <t>Uber Technologies, Inc.</t>
    <phoneticPr fontId="1" type="noConversion"/>
  </si>
  <si>
    <t>UBER</t>
    <phoneticPr fontId="1" type="noConversion"/>
  </si>
  <si>
    <t>미국</t>
    <phoneticPr fontId="1" type="noConversion"/>
  </si>
  <si>
    <t>181.74B</t>
    <phoneticPr fontId="1" type="noConversion"/>
  </si>
  <si>
    <t>AppLovin Corporation</t>
    <phoneticPr fontId="1" type="noConversion"/>
  </si>
  <si>
    <t>APP</t>
    <phoneticPr fontId="1" type="noConversion"/>
  </si>
  <si>
    <t>128.31B</t>
    <phoneticPr fontId="1" type="noConversion"/>
  </si>
  <si>
    <t>DoorDash, Inc.</t>
    <phoneticPr fontId="1" type="noConversion"/>
  </si>
  <si>
    <t>DASH</t>
    <phoneticPr fontId="1" type="noConversion"/>
  </si>
  <si>
    <t>105.24B</t>
    <phoneticPr fontId="1" type="noConversion"/>
  </si>
  <si>
    <t>DraftKings Inc.</t>
    <phoneticPr fontId="1" type="noConversion"/>
  </si>
  <si>
    <t>DKNG</t>
    <phoneticPr fontId="1" type="noConversion"/>
  </si>
  <si>
    <t>21.7B</t>
    <phoneticPr fontId="1" type="noConversion"/>
  </si>
  <si>
    <t>Duolingo, Inc.</t>
    <phoneticPr fontId="1" type="noConversion"/>
  </si>
  <si>
    <t>DUOL</t>
    <phoneticPr fontId="1" type="noConversion"/>
  </si>
  <si>
    <t>15.27B</t>
    <phoneticPr fontId="1" type="noConversion"/>
  </si>
  <si>
    <t xml:space="preserve">자율주행, </t>
    <phoneticPr fontId="1" type="noConversion"/>
  </si>
  <si>
    <t>애드테크</t>
    <phoneticPr fontId="1" type="noConversion"/>
  </si>
  <si>
    <t>배달앱</t>
    <phoneticPr fontId="1" type="noConversion"/>
  </si>
  <si>
    <t>언어학습앱</t>
    <phoneticPr fontId="1" type="noConversion"/>
  </si>
  <si>
    <t>uber 운영 지역 확장하며 이용자수, 회원수 꾸준히 증가하며 OP yoy 82% 증가. Waymo 자율 주행 운영 지역 점진적으로 추가 되고 있음.  줄 강도는 약해지고 있음.</t>
    <phoneticPr fontId="1" type="noConversion"/>
  </si>
  <si>
    <t>주문수 매분기 꾸준히 yoy 20% 성장하며 첫 줄. 적자분기 포함. 역사적 신고가 갱신.</t>
    <phoneticPr fontId="1" type="noConversion"/>
  </si>
  <si>
    <t>MAU yoy 24% 증가. Paid subscribers yoy 37% 증가하며 호실적. 루이싱 커피와 협업을 통해 중국 내 인지도 빠르게 높이며 신규지역 확장하려는 계획.</t>
    <phoneticPr fontId="1" type="noConversion"/>
  </si>
  <si>
    <t>Soleno Therapeutics</t>
    <phoneticPr fontId="1" type="noConversion"/>
  </si>
  <si>
    <t>SLNO</t>
    <phoneticPr fontId="1" type="noConversion"/>
  </si>
  <si>
    <t>Hecla Mining Company</t>
    <phoneticPr fontId="1" type="noConversion"/>
  </si>
  <si>
    <t>HL</t>
    <phoneticPr fontId="1" type="noConversion"/>
  </si>
  <si>
    <t xml:space="preserve">Remitly Global </t>
    <phoneticPr fontId="1" type="noConversion"/>
  </si>
  <si>
    <t>RELY</t>
    <phoneticPr fontId="1" type="noConversion"/>
  </si>
  <si>
    <t>Magnite</t>
    <phoneticPr fontId="1" type="noConversion"/>
  </si>
  <si>
    <t>MGNI</t>
    <phoneticPr fontId="1" type="noConversion"/>
  </si>
  <si>
    <t>Dave</t>
    <phoneticPr fontId="1" type="noConversion"/>
  </si>
  <si>
    <t>DAVE</t>
    <phoneticPr fontId="1" type="noConversion"/>
  </si>
  <si>
    <t>Inter &amp; Co</t>
    <phoneticPr fontId="1" type="noConversion"/>
  </si>
  <si>
    <t>INTR</t>
    <phoneticPr fontId="1" type="noConversion"/>
  </si>
  <si>
    <t>송금 플랫폼</t>
    <phoneticPr fontId="1" type="noConversion"/>
  </si>
  <si>
    <t>CTV 및 디지털 광고</t>
    <phoneticPr fontId="1" type="noConversion"/>
  </si>
  <si>
    <t>온라인 금융 플랫폼</t>
    <phoneticPr fontId="1" type="noConversion"/>
  </si>
  <si>
    <t>아직 적자지만 포텐이 있어보임. 이번 분기 처음으로 매출 나왔는데 분기 적자 수준이 -6.5M임. 전세계 환자 수가 2만명 정도인데 2Q25 환자 수가 646명 수준임. 비용 구조 가볍게 가져가고 있어서 생각보다 빠르게 턴어라운드 가능할 것</t>
    <phoneticPr fontId="1" type="noConversion"/>
  </si>
  <si>
    <t>이번 분기가 3번째 줄인데 실제 실적과 주가가 상관이 없어보임. 원자재 가격에 더 빠르게 연동되는 느낌</t>
    <phoneticPr fontId="1" type="noConversion"/>
  </si>
  <si>
    <t>1Q25부터 흑전을 했고 2Q25 곱4 기준 POR 57.5배 수준. 매출 성장률은 꾸준히 30%대 보여주고 있음. 매출비중은 미국 65%, 미국 외 35%. 미국 -&gt; 국외 송금에 대한 송금세(1%) 영향으로 주가가 계속 흘러내렸음. 송금세는 26년 1월 1일부터 시행</t>
    <phoneticPr fontId="1" type="noConversion"/>
  </si>
  <si>
    <t>최근 3개분기 매출성장률 3.8%(4Q24) -&gt; 4.3%(1Q25) -&gt; 6.4%(2Q25)이 약해서 3Q25에는 줄 탈락할 가능성이 높아보임. CTV(넷플릭스, Roku, Paramount) 등과 협업해 스트리밍 광고 인벤토리 판매하고 있음</t>
    <phoneticPr fontId="1" type="noConversion"/>
  </si>
  <si>
    <t>최근 3개분기 매출성장률 37.8%(4Q24) -&gt; 46.7%(1Q25) -&gt; 64.5%(2Q25)로 가속화되고 있음. 저소득층 대상 단기유동성 대출과 수수료 없는 체크카드를 기반으로 수익창출. 28일 연체율(최근 4개분기 1.78% -&gt; 1.66% -&gt; 1.50% -&gt; 2.21%)이 2Q25에 급격히 올라가면서 시장이 우려한 것 같음</t>
    <phoneticPr fontId="1" type="noConversion"/>
  </si>
  <si>
    <t>브라질 핀테크 회사로 Nubank가 Peer. 2Q25 순익 곱4 기준 PER 14배. 최근 4개분기 매출성장률 40.5%(3Q24) -&gt; 45.3%(4Q24) -&gt; 33.8%(1Q25) -&gt; 35.6%(2Q25)</t>
    <phoneticPr fontId="1" type="noConversion"/>
  </si>
  <si>
    <t>CareTrust REIT, Inc</t>
    <phoneticPr fontId="1" type="noConversion"/>
  </si>
  <si>
    <t>CTRE</t>
    <phoneticPr fontId="1" type="noConversion"/>
  </si>
  <si>
    <t>리츠</t>
    <phoneticPr fontId="1" type="noConversion"/>
  </si>
  <si>
    <t>헬스케어 관련 부동산에 투자하고 임대하는 부동산투자신탁</t>
    <phoneticPr fontId="1" type="noConversion"/>
  </si>
  <si>
    <t>Yonex</t>
    <phoneticPr fontId="1" type="noConversion"/>
  </si>
  <si>
    <t>Dai-Dan</t>
    <phoneticPr fontId="1" type="noConversion"/>
  </si>
  <si>
    <t>ANI Pharmaceuticals</t>
    <phoneticPr fontId="1" type="noConversion"/>
  </si>
  <si>
    <t>ANIP</t>
    <phoneticPr fontId="1" type="noConversion"/>
  </si>
  <si>
    <t xml:space="preserve">미국 </t>
    <phoneticPr fontId="1" type="noConversion"/>
  </si>
  <si>
    <t>Heiwa Corporation</t>
    <phoneticPr fontId="1" type="noConversion"/>
  </si>
  <si>
    <t>Cybozu</t>
    <phoneticPr fontId="1" type="noConversion"/>
  </si>
  <si>
    <t>Seiko</t>
    <phoneticPr fontId="1" type="noConversion"/>
  </si>
  <si>
    <t>스포츠용품</t>
    <phoneticPr fontId="1" type="noConversion"/>
  </si>
  <si>
    <t>엔지니어링 및 건설</t>
    <phoneticPr fontId="1" type="noConversion"/>
  </si>
  <si>
    <t>제약(희귀질환, 제네릭)</t>
    <phoneticPr fontId="1" type="noConversion"/>
  </si>
  <si>
    <t>골프장 및 파친코 기계제조</t>
    <phoneticPr fontId="1" type="noConversion"/>
  </si>
  <si>
    <t>시계 및 전자제품</t>
    <phoneticPr fontId="1" type="noConversion"/>
  </si>
  <si>
    <t>최근 3개분기 매출성장률 26.8%(4Q24) -&gt; 16.8%(1Q25) -&gt; 28.3%(2Q25)로 이번분기 더 강해졌음. GPM도 180bp 개선되었고 OPM은 500bp 개선되었음. 2Q25 곱4 시 POR 11.4배. 지역별로는 일본 +18%, 아시아+39%, 북미+34%, 유럽+7%. 'Yonex'와 'Yonex ezone' 구글트렌드 신고가임</t>
    <phoneticPr fontId="1" type="noConversion"/>
  </si>
  <si>
    <t>최근 3개분기 매출성장률 66.5%(4Q24) -&gt; 32.7%(1Q25) -&gt; 35.7%(2Q25). GPM 1,140bp 개선되었고 OPM은 1,220bp 개선되었음. 신규수주는 yoy-11.2%. 수익성이 좋은 대형 프로젝트가 이번 분기에 인식된 영향이며 향후에 어떤 흐름일지는 잘 모르겠음. 팔로업하기 쉽지 않을 듯</t>
    <phoneticPr fontId="1" type="noConversion"/>
  </si>
  <si>
    <t xml:space="preserve">최근 3개분기 매출성장률 44.8%(4Q24) -&gt; 43.4%(1Q25) -&gt; 53.1%(2Q25). 희귀질환 매출 yoy+111%(매출비중 49%), 제네릭 매출 yoy+22%(매출비중 43%). 희귀질환 판매팀 확대했고 프리필드 주사기 4월에 출시하면서 환자 편의성 확대했음. GPM은 연간 63~64% 유지가능하며 중장기적으로 개선여지 있음. </t>
    <phoneticPr fontId="1" type="noConversion"/>
  </si>
  <si>
    <t>4월 1일부로 인수한 Accordia 골프장 영향으로 2Q25 매출 97.4% 성장했음. 인수 영향으로 차입금이 늘어남에 따라 OP와 NI의 차이가 큰 상황. 올해 가이던스 기준으로 POR  3.7배, PER 7배. 골프장 밸류에이션을 어떻게 줘야될지 잘 모르겠음</t>
    <phoneticPr fontId="1" type="noConversion"/>
  </si>
  <si>
    <t>최근 3개분기 매출성장률 22.6%(4Q24) -&gt; 26.8%(1Q25) -&gt; 27.3%(2Q25)로 준수한 성장 보이고 있음. 2Q25 곱4 기준 POR 21배 수준이며 이미 컨센이 분기 매출 20~30% 성장으로 잡혀있는 상황. 매출의 57.4%를 차지하는 'kintone'은 구글트렌드 신고가</t>
    <phoneticPr fontId="1" type="noConversion"/>
  </si>
  <si>
    <t>2Q25 곱4 기준 POR 5.5배 수준임. 전사 매출비중은 일본 55%, 미국 12%, 유럽 11%, 기타 22%. 최근 3개분기 매출성장률 9.6%(4Q24) -&gt; 1.5%(1Q25) -&gt; 4.2%(2Q25)인데 북미매출은 0% -&gt; 10% -&gt; 20%로 점점 가속화되고 있음. Seiko, Seiko 5 sports, Grand seiko, Seiko presage, King seiko, Seiko prospex 전부 다 구글트렌드 신고가. 기존에 DS 사업부 이익률이 안 좋았는데 고마진 제품(CGM향 배터리) 믹스가 올라가면서 OPM이  3.3% -&gt; 6.7%로 개선되었음</t>
    <phoneticPr fontId="1" type="noConversion"/>
  </si>
  <si>
    <t>snario company</t>
    <phoneticPr fontId="1" type="noConversion"/>
  </si>
  <si>
    <t xml:space="preserve">연속줄 계속 나오는중. 일본 로열티 매출 yy 50% 증가, 유럽향 그로스 yy 200% 수준. </t>
    <phoneticPr fontId="1" type="noConversion"/>
  </si>
  <si>
    <t>JAPAN MATERIAL Co., Ltd</t>
    <phoneticPr fontId="1" type="noConversion"/>
  </si>
  <si>
    <t>일본</t>
    <phoneticPr fontId="1" type="noConversion"/>
  </si>
  <si>
    <t>1B</t>
    <phoneticPr fontId="1" type="noConversion"/>
  </si>
  <si>
    <t>Embecta Corp.</t>
    <phoneticPr fontId="1" type="noConversion"/>
  </si>
  <si>
    <t>EMBC</t>
    <phoneticPr fontId="1" type="noConversion"/>
  </si>
  <si>
    <t>미국</t>
    <phoneticPr fontId="1" type="noConversion"/>
  </si>
  <si>
    <t>0.7B</t>
    <phoneticPr fontId="1" type="noConversion"/>
  </si>
  <si>
    <t>반도체용 특수가스</t>
    <phoneticPr fontId="1" type="noConversion"/>
  </si>
  <si>
    <t>주사 니들</t>
    <phoneticPr fontId="1" type="noConversion"/>
  </si>
  <si>
    <t>일본 고객 비중이 90% 이상이며, 신규 팹 투자(라피더스·TSMC Japan) 지속되며 일본 내 반도체 공장 향 수요 지속되며 탑라인, op 모두 증가.</t>
    <phoneticPr fontId="1" type="noConversion"/>
  </si>
  <si>
    <t>GLP-1 주사제 사용량 늘어나면서 주사 니들 생산하는 동사 수혜 받으며 탑라인, OP 상승 중.</t>
    <phoneticPr fontId="1" type="noConversion"/>
  </si>
  <si>
    <t>Hallador Energy Company</t>
    <phoneticPr fontId="1" type="noConversion"/>
  </si>
  <si>
    <t>HNRG</t>
    <phoneticPr fontId="1" type="noConversion"/>
  </si>
  <si>
    <t>Lincoln Educational Services</t>
    <phoneticPr fontId="1" type="noConversion"/>
  </si>
  <si>
    <t>LINC</t>
    <phoneticPr fontId="1" type="noConversion"/>
  </si>
  <si>
    <t>석탄채굴 및 화력발전</t>
    <phoneticPr fontId="1" type="noConversion"/>
  </si>
  <si>
    <t>직업 중심 교육서비스</t>
    <phoneticPr fontId="1" type="noConversion"/>
  </si>
  <si>
    <t>흑전. 최근 3개분기 매출성장률 -21.2%(4Q24) -&gt; 5.6%(1Q25) -&gt; 9.7%(2Q25)로 개선되고 있음. 2Q25 곱4 기준 POR 17.7배. 석탄 쪽 규제를 완화시켜주면서 주가가 급등했음. 26년 전력 및 석탄 단가 인상예정이며 기존 발전소를 석탄+천연가스 이원 연료 체계로 전환하는 것을 검토하고 있음. 현재 다수와 PPA 계약관련 협상 지속하고 있음. 트럼프 발언에 주가가 출렁출렁할 듯</t>
    <phoneticPr fontId="1" type="noConversion"/>
  </si>
  <si>
    <t>최근 3개분기 매출성장률 16.4%(4Q24) -&gt; 13.7%(1Q25) -&gt; 13.2%(2Q25)로 양호한 상황. 3Q25 신규학생 수 YoY flat 가이던스 제시하면서 주가 폭락했음. 4Q25는 신규학생 수 18~20% 성장예상. 신규학생 수가 선행지표이기 때문에 예민하게 반응한 느낌</t>
    <phoneticPr fontId="1" type="noConversion"/>
  </si>
  <si>
    <t>Life360, Inc.</t>
    <phoneticPr fontId="1" type="noConversion"/>
  </si>
  <si>
    <t>호주</t>
    <phoneticPr fontId="1" type="noConversion"/>
  </si>
  <si>
    <t>5.75B</t>
    <phoneticPr fontId="1" type="noConversion"/>
  </si>
  <si>
    <t>Mercury Systems, Inc</t>
    <phoneticPr fontId="1" type="noConversion"/>
  </si>
  <si>
    <t>MRCY</t>
    <phoneticPr fontId="1" type="noConversion"/>
  </si>
  <si>
    <t>미국</t>
    <phoneticPr fontId="1" type="noConversion"/>
  </si>
  <si>
    <t>3.16B</t>
    <phoneticPr fontId="1" type="noConversion"/>
  </si>
  <si>
    <t>위치추적 서비스</t>
    <phoneticPr fontId="1" type="noConversion"/>
  </si>
  <si>
    <t>방산 부품</t>
    <phoneticPr fontId="1" type="noConversion"/>
  </si>
  <si>
    <t>구독 수익, MAU 모두 크게 성장하며 매출 yoy +36% 증가. 가이던스도 함께 상향하며 해외 지역 침투 가속화할 것이라고 소통 중.</t>
    <phoneticPr fontId="1" type="noConversion"/>
  </si>
  <si>
    <t>탑라인 꾸준히 증가하며 백로그 저마진 수주 잔고 줄어들며 수익성 개선하며 흑자전환, 향후에도 믹스 개선되며 수익성 가속화 될 전망.</t>
    <phoneticPr fontId="1" type="noConversion"/>
  </si>
  <si>
    <t>Sea Limited</t>
    <phoneticPr fontId="1" type="noConversion"/>
  </si>
  <si>
    <t>SE</t>
    <phoneticPr fontId="1" type="noConversion"/>
  </si>
  <si>
    <t xml:space="preserve">Tencent music </t>
    <phoneticPr fontId="1" type="noConversion"/>
  </si>
  <si>
    <t>TME</t>
    <phoneticPr fontId="1" type="noConversion"/>
  </si>
  <si>
    <t>On running</t>
    <phoneticPr fontId="1" type="noConversion"/>
  </si>
  <si>
    <t>ONON</t>
    <phoneticPr fontId="1" type="noConversion"/>
  </si>
  <si>
    <t>이커머스 플랫폼(쇼피)</t>
    <phoneticPr fontId="1" type="noConversion"/>
  </si>
  <si>
    <t>음악 플랫폼</t>
    <phoneticPr fontId="1" type="noConversion"/>
  </si>
  <si>
    <t>신발</t>
    <phoneticPr fontId="1" type="noConversion"/>
  </si>
  <si>
    <t>최근 3개분기 매출성장률 36.9%(4Q24) -&gt; 29.6%(1Q25) -&gt; 38.5%(2Q25)로 엑셀되고 있는 상황. E커머스(Shopee, 매출비중 72%) +34%, 디지털 은행(SeaMoney, 매출비중 17%)+70%, 게임(Garena)+28%  성장하면서 셋 다 좋은 상황. E커머스 3Q25 성장률은 상반기와 유사하다고 함. 광고 take rate 현재 2%인데 장기적으로 4~5% 가능할 것. 게임 쪽 가이던스 상향했음</t>
    <phoneticPr fontId="1" type="noConversion"/>
  </si>
  <si>
    <t>최근 3개분기 매출성장률 8.2%(4Q24) -&gt; 8.7%(1Q25) -&gt; 17.9%(2Q25)로 엑셀되고 있는 상황. 2Q25 곱4 기준 POR 23.6배. 콘서트/아티스트 굿즈 매출 확대되고 있으며 2Q25 YoY 2배이상 성장했고, 장기적인 핵심 성장 축임. 다만 GP 마진은 낮기 때문에 전체 마진 소폭 압박할 것. 버블의 경우 향후 중국 아티스트 참여 확대될 것. 콘서트/아티스트 굿즈 매출이 많이 늘어났음에도 GPM이 240bp 개선되었음. 향후에 앱스토어 수수료도 인하되면 GPM은 점점 더 좋아질 것 같음</t>
    <phoneticPr fontId="1" type="noConversion"/>
  </si>
  <si>
    <t>최근 3개분기 매출성장률 35.7%(4Q24) -&gt; 43%(1Q25) -&gt; 31.9%(2Q25)로 1Q25대비는 디셀. 2Q25 곱4 기준 POR 43.7배. 미주지역 성장세가 확실히 둔화된 느낌(28.2% -&gt; 32.7% -&gt; 16.8%)인 반면 유럽(31.4% -&gt; 33.6% -&gt; 42.9%)과 APAC 성장세는 좋은 상황(116% -&gt; 130.2% -&gt; 101.4%). 미주 매출비중이 58%인게 문제라고 봄</t>
    <phoneticPr fontId="1" type="noConversion"/>
  </si>
  <si>
    <t>Caris Life Sciences</t>
    <phoneticPr fontId="1" type="noConversion"/>
  </si>
  <si>
    <t>CAI</t>
    <phoneticPr fontId="1" type="noConversion"/>
  </si>
  <si>
    <t>Lumentum Holdings</t>
    <phoneticPr fontId="1" type="noConversion"/>
  </si>
  <si>
    <t>LITE</t>
    <phoneticPr fontId="1" type="noConversion"/>
  </si>
  <si>
    <t>Everus Construction</t>
    <phoneticPr fontId="1" type="noConversion"/>
  </si>
  <si>
    <t>ECG</t>
    <phoneticPr fontId="1" type="noConversion"/>
  </si>
  <si>
    <t>분자진단</t>
    <phoneticPr fontId="1" type="noConversion"/>
  </si>
  <si>
    <t>데이터센터 부품</t>
    <phoneticPr fontId="1" type="noConversion"/>
  </si>
  <si>
    <t>데이터센터 인프라</t>
    <phoneticPr fontId="1" type="noConversion"/>
  </si>
  <si>
    <t>최근 2개분기 매출성장률 50% (1Q25) -&gt; 81.3%(2Q25)로 가속화 되고 있음. 줄은 아니지만 적자 폭을 1Q25 -58M -&gt; 2Q25 -18M로 크게 줄였음. 매출성장에는 Q+22%, P+52.3%의 영향인데 2H25 상업보험 적용확대 가능성이 있음. 이로 인해 P, Q가 한번 더 올라갈 가능성이 있음. 그 외에 TAM 확장 시나리오(잔존 암 진단, 모니터링 시장까지 진입)가 추가로 발생할 때마다 주가는 퀀텀 점프할 것 같음</t>
    <phoneticPr fontId="1" type="noConversion"/>
  </si>
  <si>
    <t>최근 3개분기 매출성장률 9.7%(4Q24) -&gt; 16%(1Q25) -&gt; 55.9%(2Q25)로 가속화 되고 있음. 줄은 아니지만 적자 폭을 1Q25 -38M -&gt; 2Q25 -8M로 크게 줄였음. 데이터센터의 광 전송, 스위칭 인프라를 구성하는 핵심 부품을 판매하고 있음. 26년까지 공급제약이 우위이며 EML 제품의 경우 수급이 타이트하기 때문에 가격이 인상될 여지가 있음. 데이터센터 인프라와 관련된 주식들의 시세가 나고 있는 상황</t>
    <phoneticPr fontId="1" type="noConversion"/>
  </si>
  <si>
    <t>최근 3개분기 매출성장률 19.5%(4Q24) -&gt; 32.1%(1Q25) -&gt; 31%(2Q25)로 양호한 상황. 다만 2Q25에 매출이 일부 조기인식 됨에 따라 하반기는 성장률이 둔화될 것. 분기 백로그 YoY+24%(역사상 2위)이며 데이터센터 시공 수혜를 받고 있음</t>
    <phoneticPr fontId="1" type="noConversion"/>
  </si>
  <si>
    <t>홍콩</t>
  </si>
  <si>
    <t>자동차 부품</t>
  </si>
  <si>
    <t>최근 3개반기 매출성장률 -0.1%(1H24) -&gt; 3.4%(2H24) -&gt; 6.8%(1H25)로 가속화 되고 있음. 매출은 지역별로 북미+2%, EMEASA+11%, APAC+17%. GPM은 150bp 개선되었고 OPM은 219bp 개선되었음.  지역별 EBITDA%는 북미 7.6%(-20bp), APAC 16.9%(-70bp), EMEASA 8.8%(+680bp)</t>
    <phoneticPr fontId="1" type="noConversion"/>
  </si>
  <si>
    <t>PTC</t>
    <phoneticPr fontId="1" type="noConversion"/>
  </si>
  <si>
    <t>Astellas Pharma</t>
    <phoneticPr fontId="1" type="noConversion"/>
  </si>
  <si>
    <t>Alignment Healthcare</t>
    <phoneticPr fontId="1" type="noConversion"/>
  </si>
  <si>
    <t>ALHC</t>
    <phoneticPr fontId="1" type="noConversion"/>
  </si>
  <si>
    <t>Zeon Corporation</t>
    <phoneticPr fontId="1" type="noConversion"/>
  </si>
  <si>
    <t>Nippon Electric</t>
    <phoneticPr fontId="1" type="noConversion"/>
  </si>
  <si>
    <t>American Superconductor</t>
    <phoneticPr fontId="1" type="noConversion"/>
  </si>
  <si>
    <t>AMSC</t>
    <phoneticPr fontId="1" type="noConversion"/>
  </si>
  <si>
    <t>Simplex Holdings</t>
    <phoneticPr fontId="1" type="noConversion"/>
  </si>
  <si>
    <t>Rush Street Interactive</t>
    <phoneticPr fontId="1" type="noConversion"/>
  </si>
  <si>
    <t>RSI</t>
    <phoneticPr fontId="1" type="noConversion"/>
  </si>
  <si>
    <t>노인 의료서비스</t>
    <phoneticPr fontId="1" type="noConversion"/>
  </si>
  <si>
    <t>화학</t>
    <phoneticPr fontId="1" type="noConversion"/>
  </si>
  <si>
    <t>소재</t>
    <phoneticPr fontId="1" type="noConversion"/>
  </si>
  <si>
    <t>인프라 전력솔루션</t>
    <phoneticPr fontId="1" type="noConversion"/>
  </si>
  <si>
    <t>디지털 전환 솔루션</t>
    <phoneticPr fontId="1" type="noConversion"/>
  </si>
  <si>
    <t>온라인 카지노</t>
    <phoneticPr fontId="1" type="noConversion"/>
  </si>
  <si>
    <r>
      <t xml:space="preserve">첫 줄. 최근 4개분기 매출성장률 14.6%(3Q24) -&gt; 2.7%(4Q24) -&gt; 5.5%(1Q25) -&gt; </t>
    </r>
    <r>
      <rPr>
        <b/>
        <sz val="10"/>
        <color rgb="FFFF0000"/>
        <rFont val="Pretendard"/>
        <family val="3"/>
        <charset val="129"/>
      </rPr>
      <t>25.3%(2Q25)</t>
    </r>
    <r>
      <rPr>
        <b/>
        <sz val="10"/>
        <color theme="1"/>
        <rFont val="Pretendard"/>
        <family val="3"/>
        <charset val="129"/>
      </rPr>
      <t>.</t>
    </r>
    <r>
      <rPr>
        <sz val="10"/>
        <color theme="1"/>
        <rFont val="Pretendard"/>
        <family val="2"/>
        <charset val="129"/>
      </rPr>
      <t xml:space="preserve"> 생성형 AI가 도입되면서 수혜를 받는 소프트웨어처럼 느껴짐. CAD, PLM, ALM</t>
    </r>
    <phoneticPr fontId="1" type="noConversion"/>
  </si>
  <si>
    <t>제약회사인데 매출 증가보다는 비용을 확 줄이면서 좋은 모습을 보이고 있음</t>
    <phoneticPr fontId="1" type="noConversion"/>
  </si>
  <si>
    <t>이번 분기 첫 흑전. 메디케어 관련해서 B2G쪽 사업을 영위하는것 같고 올라갈 수 있는 OPM 캡이 15% 수준으로 보임. 2Q25 OPM 2.2%. 매출성장률은 40~50%대 유지하고 있음</t>
    <phoneticPr fontId="1" type="noConversion"/>
  </si>
  <si>
    <t>매출은 줄었는데 고마진 제품(COP, 광학필름, 배터리소재 등) 출하가 늘면서 GPM이 개선되었음</t>
    <phoneticPr fontId="1" type="noConversion"/>
  </si>
  <si>
    <t>매출은 거의 플랫인데 제품 믹스가 개선되면서 GPM이 개선되고 있음</t>
    <phoneticPr fontId="1" type="noConversion"/>
  </si>
  <si>
    <t>매출 비중 그리드 80%, 풍력 20%. 최근 3개분기 매출성장률 56%(4Q24) -&gt; 58.6%(1Q25) -&gt; 79.6%(2Q25) 가속화되고 있음. 전력망 테마에서 매우 강력한 회사.Capa도 여력있고, 현재는 1교대로 돌리고 있어서 2교대 전환 가능함</t>
    <phoneticPr fontId="1" type="noConversion"/>
  </si>
  <si>
    <t>컨설팅 및 디지털 전환시스템을 구축해주고 있음. 최근 3개분기 매출성장률 17.6%(4Q24) -&gt; 23.4%(1Q25) -&gt; 22.9%(2Q25). 고마진에 해당하는 컨설팅 쪽이 빠르게 성장하고 있음(2Q25 +58.9%)</t>
    <phoneticPr fontId="1" type="noConversion"/>
  </si>
  <si>
    <t>미국 및 라틴에서 온라인 카지노 및 스포츠 베팅회사 운영. 최근 3개분기 매출성장률 31.1%(4Q24) -&gt; 20.7%(1Q25) -&gt; 22.2%(2Q25). 북미 MAU +21%, 라틴 MAU +42%. 미국에서 iCasino 합법적으로 이용할 수 있는 성인이 12%에 불과함</t>
    <phoneticPr fontId="1" type="noConversion"/>
  </si>
  <si>
    <t>정리하는 날짜</t>
    <phoneticPr fontId="1" type="noConversion"/>
  </si>
  <si>
    <t>실발전날 주가</t>
    <phoneticPr fontId="1" type="noConversion"/>
  </si>
  <si>
    <t>실발당일 주가</t>
    <phoneticPr fontId="1" type="noConversion"/>
  </si>
  <si>
    <t>상승률</t>
    <phoneticPr fontId="1" type="noConversion"/>
  </si>
  <si>
    <t>상승률(전날대비)</t>
    <phoneticPr fontId="1" type="noConversion"/>
  </si>
  <si>
    <t>상승률(당일대비)</t>
    <phoneticPr fontId="1" type="noConversion"/>
  </si>
  <si>
    <t>현재 주가(10/14)</t>
    <phoneticPr fontId="1" type="noConversion"/>
  </si>
  <si>
    <t>실발분기</t>
    <phoneticPr fontId="1" type="noConversion"/>
  </si>
  <si>
    <t>2Q25</t>
    <phoneticPr fontId="1" type="noConversion"/>
  </si>
  <si>
    <t>Nexteer Automotive Group</t>
    <phoneticPr fontId="1" type="noConversion"/>
  </si>
  <si>
    <t>Foxconn Interconnect Technology Ltd</t>
    <phoneticPr fontId="1" type="noConversion"/>
  </si>
  <si>
    <t>홍콩</t>
    <phoneticPr fontId="1" type="noConversion"/>
  </si>
  <si>
    <t>3Q25</t>
    <phoneticPr fontId="1" type="noConversion"/>
  </si>
  <si>
    <t>Zhejiang China Commodities City Group</t>
    <phoneticPr fontId="1" type="noConversion"/>
  </si>
  <si>
    <t>중국</t>
    <phoneticPr fontId="1" type="noConversion"/>
  </si>
  <si>
    <t>임대 및 운영서비스</t>
    <phoneticPr fontId="1" type="noConversion"/>
  </si>
  <si>
    <t>중국 이우시장에 입점한 업체들에게 서비스 운영 수수료 및 임대료를 받는 회사. 글로벌 디지털무역센터가 6월 전면 개방되면서 3분기에 관련 매출이 많이 붙었고, 10월 14일 기준 입점률이 약 20% 수준임. 따라서 4Q25에도 신규 입점업체 실적이 붙으면서 매출이 좋을 것으로 예상됨. 이번 분기 첫줄이며 구글트렌드 "yiwu"도 좋은 상황임</t>
    <phoneticPr fontId="1" type="noConversion"/>
  </si>
  <si>
    <t>1Q21</t>
    <phoneticPr fontId="1" type="noConversion"/>
  </si>
  <si>
    <t>2Q21</t>
    <phoneticPr fontId="1" type="noConversion"/>
  </si>
  <si>
    <t>3Q21</t>
    <phoneticPr fontId="1" type="noConversion"/>
  </si>
  <si>
    <t>4Q21</t>
    <phoneticPr fontId="1" type="noConversion"/>
  </si>
  <si>
    <t>1Q22</t>
    <phoneticPr fontId="1" type="noConversion"/>
  </si>
  <si>
    <t>2Q22</t>
    <phoneticPr fontId="1" type="noConversion"/>
  </si>
  <si>
    <t>3Q22</t>
    <phoneticPr fontId="1" type="noConversion"/>
  </si>
  <si>
    <t>4Q22</t>
    <phoneticPr fontId="1" type="noConversion"/>
  </si>
  <si>
    <t>1Q23</t>
    <phoneticPr fontId="1" type="noConversion"/>
  </si>
  <si>
    <t>2Q23</t>
    <phoneticPr fontId="1" type="noConversion"/>
  </si>
  <si>
    <t>3Q23</t>
    <phoneticPr fontId="1" type="noConversion"/>
  </si>
  <si>
    <t>4Q23</t>
    <phoneticPr fontId="1" type="noConversion"/>
  </si>
  <si>
    <t>1Q24</t>
    <phoneticPr fontId="1" type="noConversion"/>
  </si>
  <si>
    <t>2Q24</t>
    <phoneticPr fontId="1" type="noConversion"/>
  </si>
  <si>
    <t>3Q24</t>
    <phoneticPr fontId="1" type="noConversion"/>
  </si>
  <si>
    <t>4Q24</t>
    <phoneticPr fontId="1" type="noConversion"/>
  </si>
  <si>
    <t>1Q25</t>
    <phoneticPr fontId="1" type="noConversion"/>
  </si>
  <si>
    <t>revenue</t>
    <phoneticPr fontId="1" type="noConversion"/>
  </si>
  <si>
    <t>yoy</t>
    <phoneticPr fontId="1" type="noConversion"/>
  </si>
  <si>
    <t>qoq</t>
    <phoneticPr fontId="1" type="noConversion"/>
  </si>
  <si>
    <t>op</t>
    <phoneticPr fontId="1" type="noConversion"/>
  </si>
  <si>
    <t>delta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</si>
</sst>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0.0%"/>
    <numFmt numFmtId="177" formatCode="#,##0_ "/>
    <numFmt numFmtId="178" formatCode="#,##0.0_ ;[Red]\-#,##0.0\ "/>
    <numFmt numFmtId="179" formatCode="mm&quot;월&quot;\ dd&quot;일&quot;"/>
    <numFmt numFmtId="180" formatCode="#,##0.00_);[Red]\(#,##0.00\)"/>
    <numFmt numFmtId="181" formatCode="#,##0_ ;[Red]\-#,##0\ "/>
  </numFmts>
  <fonts count="6" x14ac:knownFonts="1">
    <font>
      <sz val="10"/>
      <color theme="1"/>
      <name val="Pretendard"/>
      <family val="2"/>
      <charset val="129"/>
    </font>
    <font>
      <sz val="8"/>
      <name val="Pretendard"/>
      <family val="2"/>
      <charset val="129"/>
    </font>
    <font>
      <b/>
      <sz val="10"/>
      <color theme="1"/>
      <name val="Pretendard"/>
      <family val="3"/>
      <charset val="129"/>
    </font>
    <font>
      <sz val="10"/>
      <color theme="1"/>
      <name val="Pretendard"/>
      <family val="3"/>
      <charset val="129"/>
    </font>
    <font>
      <sz val="10"/>
      <color theme="1"/>
      <name val="Pretendard"/>
      <family val="2"/>
      <charset val="129"/>
    </font>
    <font>
      <b/>
      <sz val="10"/>
      <color rgb="FFFF0000"/>
      <name val="Pretendard"/>
      <family val="3"/>
      <charset val="129"/>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alignment vertical="center"/>
    </xf>
    <xf numFmtId="41" fontId="4" fillId="0" borderId="0" applyFont="0" applyFill="0" applyBorder="0" applyAlignment="0" applyProtection="0">
      <alignment vertical="center"/>
    </xf>
  </cellStyleXfs>
  <cellXfs count="43">
    <xf numFmtId="0" fontId="0" fillId="0" borderId="0" xfId="0">
      <alignment vertical="center"/>
    </xf>
    <xf numFmtId="0" fontId="2" fillId="0" borderId="0" xfId="0" applyFont="1">
      <alignment vertical="center"/>
    </xf>
    <xf numFmtId="0" fontId="0" fillId="0" borderId="0" xfId="0" applyAlignment="1">
      <alignment horizontal="center" vertical="center"/>
    </xf>
    <xf numFmtId="14" fontId="0" fillId="0" borderId="0" xfId="0" applyNumberFormat="1" applyAlignment="1">
      <alignment horizontal="center" vertical="center"/>
    </xf>
    <xf numFmtId="14" fontId="0" fillId="2" borderId="0" xfId="0" applyNumberFormat="1" applyFill="1" applyAlignment="1">
      <alignment horizontal="center" vertical="center"/>
    </xf>
    <xf numFmtId="0" fontId="2" fillId="2" borderId="0" xfId="0" applyFont="1" applyFill="1" applyAlignment="1">
      <alignment horizontal="center" vertical="center"/>
    </xf>
    <xf numFmtId="0" fontId="0" fillId="2" borderId="0" xfId="0" applyFill="1">
      <alignment vertical="center"/>
    </xf>
    <xf numFmtId="0" fontId="3" fillId="0" borderId="0" xfId="0" applyFont="1" applyAlignment="1">
      <alignment horizontal="center" vertical="center"/>
    </xf>
    <xf numFmtId="0" fontId="3" fillId="3" borderId="0" xfId="0" applyFont="1" applyFill="1" applyAlignment="1">
      <alignment horizontal="center" vertical="center"/>
    </xf>
    <xf numFmtId="177" fontId="0" fillId="0" borderId="0" xfId="0" applyNumberFormat="1" applyAlignment="1">
      <alignment horizontal="center" vertical="center"/>
    </xf>
    <xf numFmtId="0" fontId="0" fillId="0" borderId="0" xfId="0" applyAlignment="1">
      <alignment vertical="center" wrapText="1"/>
    </xf>
    <xf numFmtId="176" fontId="0" fillId="0" borderId="0" xfId="0" applyNumberFormat="1" applyAlignment="1">
      <alignment horizontal="center" vertical="center"/>
    </xf>
    <xf numFmtId="0" fontId="0" fillId="3" borderId="0" xfId="0" applyFill="1" applyAlignment="1">
      <alignment horizontal="center" vertical="center"/>
    </xf>
    <xf numFmtId="9" fontId="0" fillId="0" borderId="0" xfId="0" applyNumberFormat="1" applyAlignment="1">
      <alignment horizontal="center" vertical="center"/>
    </xf>
    <xf numFmtId="178" fontId="0" fillId="0" borderId="0" xfId="1" applyNumberFormat="1" applyFont="1" applyAlignment="1">
      <alignment horizontal="center" vertical="center"/>
    </xf>
    <xf numFmtId="0" fontId="3" fillId="0" borderId="0" xfId="0" applyFont="1" applyAlignment="1">
      <alignment horizontal="center" vertical="center" wrapText="1"/>
    </xf>
    <xf numFmtId="10" fontId="0" fillId="0" borderId="0" xfId="0" applyNumberFormat="1" applyAlignment="1">
      <alignment horizontal="center" vertical="center"/>
    </xf>
    <xf numFmtId="0" fontId="2" fillId="2" borderId="0" xfId="0" applyFont="1" applyFill="1">
      <alignment vertical="center"/>
    </xf>
    <xf numFmtId="179" fontId="0" fillId="0" borderId="0" xfId="0" applyNumberForma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14" fontId="2" fillId="0" borderId="0" xfId="0" applyNumberFormat="1" applyFont="1" applyAlignment="1">
      <alignment horizontal="center" vertical="center"/>
    </xf>
    <xf numFmtId="176" fontId="2" fillId="0" borderId="0" xfId="0" applyNumberFormat="1" applyFont="1" applyAlignment="1">
      <alignment horizontal="center" vertical="center"/>
    </xf>
    <xf numFmtId="178" fontId="2" fillId="0" borderId="0" xfId="1" applyNumberFormat="1" applyFont="1" applyAlignment="1">
      <alignment horizontal="center" vertical="center"/>
    </xf>
    <xf numFmtId="14" fontId="2" fillId="2" borderId="0" xfId="0" applyNumberFormat="1" applyFont="1" applyFill="1" applyAlignment="1">
      <alignment horizontal="center" vertical="center"/>
    </xf>
    <xf numFmtId="0" fontId="3" fillId="2" borderId="0" xfId="0" applyFont="1" applyFill="1" applyAlignment="1">
      <alignment horizontal="center" vertical="center"/>
    </xf>
    <xf numFmtId="0" fontId="3" fillId="0" borderId="0" xfId="0" applyFont="1">
      <alignment vertical="center"/>
    </xf>
    <xf numFmtId="0" fontId="3" fillId="2" borderId="0" xfId="0" applyFont="1" applyFill="1">
      <alignment vertical="center"/>
    </xf>
    <xf numFmtId="180" fontId="2" fillId="2" borderId="0" xfId="0" applyNumberFormat="1" applyFont="1" applyFill="1" applyAlignment="1">
      <alignment horizontal="center" vertical="center"/>
    </xf>
    <xf numFmtId="180" fontId="0" fillId="2" borderId="0" xfId="0" applyNumberFormat="1" applyFill="1" applyAlignment="1">
      <alignment horizontal="center" vertical="center"/>
    </xf>
    <xf numFmtId="9" fontId="0" fillId="4" borderId="0" xfId="0" applyNumberFormat="1" applyFill="1" applyAlignment="1">
      <alignment horizontal="center" vertical="center"/>
    </xf>
    <xf numFmtId="0" fontId="2" fillId="5" borderId="0" xfId="0" applyFont="1" applyFill="1" applyAlignment="1">
      <alignment horizontal="center" vertical="center"/>
    </xf>
    <xf numFmtId="180" fontId="2" fillId="5" borderId="0" xfId="0" applyNumberFormat="1" applyFont="1" applyFill="1" applyAlignment="1">
      <alignment horizontal="center" vertical="center"/>
    </xf>
    <xf numFmtId="9" fontId="2" fillId="5" borderId="0" xfId="0" applyNumberFormat="1" applyFont="1" applyFill="1" applyAlignment="1">
      <alignment horizontal="center" vertical="center"/>
    </xf>
    <xf numFmtId="0" fontId="2" fillId="5" borderId="0" xfId="0" applyFont="1" applyFill="1">
      <alignment vertical="center"/>
    </xf>
    <xf numFmtId="0" fontId="0" fillId="5" borderId="0" xfId="0" applyFill="1">
      <alignment vertical="center"/>
    </xf>
    <xf numFmtId="9" fontId="0" fillId="3" borderId="0" xfId="0" applyNumberFormat="1" applyFill="1" applyAlignment="1">
      <alignment horizontal="center" vertical="center"/>
    </xf>
    <xf numFmtId="9" fontId="0" fillId="3" borderId="1" xfId="0" applyNumberFormat="1" applyFill="1"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181" fontId="2" fillId="0" borderId="0" xfId="0" applyNumberFormat="1" applyFont="1">
      <alignment vertical="center"/>
    </xf>
    <xf numFmtId="9" fontId="0" fillId="0" borderId="0" xfId="0" applyNumberFormat="1">
      <alignment vertical="center"/>
    </xf>
    <xf numFmtId="176" fontId="2" fillId="0" borderId="0" xfId="0" applyNumberFormat="1" applyFont="1">
      <alignment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21</xdr:col>
      <xdr:colOff>666750</xdr:colOff>
      <xdr:row>1</xdr:row>
      <xdr:rowOff>19051</xdr:rowOff>
    </xdr:from>
    <xdr:to>
      <xdr:col>33</xdr:col>
      <xdr:colOff>95250</xdr:colOff>
      <xdr:row>31</xdr:row>
      <xdr:rowOff>66675</xdr:rowOff>
    </xdr:to>
    <xdr:sp macro="" textlink="">
      <xdr:nvSpPr>
        <xdr:cNvPr id="2" name="TextBox 1">
          <a:extLst>
            <a:ext uri="{FF2B5EF4-FFF2-40B4-BE49-F238E27FC236}">
              <a16:creationId xmlns:a16="http://schemas.microsoft.com/office/drawing/2014/main" id="{3E54398B-0DB2-6B3C-B33F-B9C06E524381}"/>
            </a:ext>
          </a:extLst>
        </xdr:cNvPr>
        <xdr:cNvSpPr txBox="1"/>
      </xdr:nvSpPr>
      <xdr:spPr>
        <a:xfrm>
          <a:off x="16592550" y="180976"/>
          <a:ext cx="7658100" cy="4905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종목</a:t>
          </a:r>
          <a:r>
            <a:rPr lang="en-US" altLang="ko-KR" sz="1100"/>
            <a:t>: </a:t>
          </a:r>
          <a:r>
            <a:rPr lang="ko-KR" altLang="en-US" sz="1100"/>
            <a:t>시총 </a:t>
          </a:r>
          <a:r>
            <a:rPr lang="en-US" altLang="ko-KR" sz="1100"/>
            <a:t>500M$ </a:t>
          </a:r>
          <a:r>
            <a:rPr lang="ko-KR" altLang="en-US" sz="1100"/>
            <a:t>이상</a:t>
          </a:r>
          <a:r>
            <a:rPr lang="en-US" altLang="ko-KR" sz="1100"/>
            <a:t>, </a:t>
          </a:r>
          <a:r>
            <a:rPr lang="ko-KR" altLang="en-US" sz="1100"/>
            <a:t>빨간줄 </a:t>
          </a:r>
          <a:r>
            <a:rPr lang="en-US" altLang="ko-KR" sz="1100"/>
            <a:t>or </a:t>
          </a:r>
          <a:r>
            <a:rPr lang="ko-KR" altLang="en-US" sz="1100"/>
            <a:t>흑전인 종목 </a:t>
          </a:r>
          <a:r>
            <a:rPr lang="en-US" altLang="ko-KR" sz="1100"/>
            <a:t>(</a:t>
          </a:r>
          <a:r>
            <a:rPr lang="ko-KR" altLang="en-US" sz="1100"/>
            <a:t>실발 다음날 정리해 공유 후 취합</a:t>
          </a:r>
          <a:r>
            <a:rPr lang="en-US" altLang="ko-KR" sz="1100"/>
            <a:t>)</a:t>
          </a:r>
          <a:br>
            <a:rPr lang="en-US" altLang="ko-KR" sz="1100"/>
          </a:br>
          <a:br>
            <a:rPr lang="en-US" altLang="ko-KR" sz="1100"/>
          </a:br>
          <a:br>
            <a:rPr lang="en-US" altLang="ko-KR" sz="1100"/>
          </a:br>
          <a:br>
            <a:rPr lang="en-US" altLang="ko-KR" sz="1100"/>
          </a:br>
          <a:r>
            <a:rPr lang="ko-KR" altLang="en-US" sz="1100"/>
            <a:t>실발후 주가</a:t>
          </a:r>
          <a:r>
            <a:rPr lang="en-US" altLang="ko-KR" sz="1100"/>
            <a:t>: </a:t>
          </a:r>
          <a:r>
            <a:rPr lang="ko-KR" altLang="en-US" sz="1100"/>
            <a:t>실발한 날짜에서 시가 대비 종가가 몇 </a:t>
          </a:r>
          <a:r>
            <a:rPr lang="en-US" altLang="ko-KR" sz="1100"/>
            <a:t>% </a:t>
          </a:r>
          <a:r>
            <a:rPr lang="ko-KR" altLang="en-US" sz="1100"/>
            <a:t>올랐는지</a:t>
          </a:r>
          <a:r>
            <a:rPr lang="en-US" altLang="ko-KR" sz="1100"/>
            <a:t>/</a:t>
          </a:r>
          <a:r>
            <a:rPr lang="ko-KR" altLang="en-US" sz="1100"/>
            <a:t>내렸는지</a:t>
          </a:r>
          <a:endParaRPr lang="en-US" altLang="ko-KR" sz="1100"/>
        </a:p>
        <a:p>
          <a:endParaRPr lang="en-US" altLang="ko-KR" sz="1100"/>
        </a:p>
        <a:p>
          <a:r>
            <a:rPr lang="ko-KR" altLang="en-US" sz="1100"/>
            <a:t>빨간줄</a:t>
          </a:r>
          <a:r>
            <a:rPr lang="en-US" altLang="ko-KR" sz="1100"/>
            <a:t>: </a:t>
          </a:r>
          <a:r>
            <a:rPr lang="ko-KR" altLang="en-US" sz="1100"/>
            <a:t>첫번쨰줄이면 </a:t>
          </a:r>
          <a:r>
            <a:rPr lang="en-US" altLang="ko-KR" sz="1100"/>
            <a:t>1, </a:t>
          </a:r>
          <a:r>
            <a:rPr lang="ko-KR" altLang="en-US" sz="1100"/>
            <a:t>두번째 줄이면</a:t>
          </a:r>
          <a:r>
            <a:rPr lang="en-US" altLang="ko-KR" sz="1100" baseline="0"/>
            <a:t> 2, </a:t>
          </a:r>
          <a:r>
            <a:rPr lang="ko-KR" altLang="en-US" sz="1100" baseline="0"/>
            <a:t>그 이상이면 </a:t>
          </a:r>
          <a:r>
            <a:rPr lang="en-US" altLang="ko-KR" sz="1100" baseline="0"/>
            <a:t>3</a:t>
          </a:r>
        </a:p>
        <a:p>
          <a:endParaRPr lang="en-US" altLang="ko-KR" sz="1100" baseline="0"/>
        </a:p>
        <a:p>
          <a:r>
            <a:rPr lang="ko-KR" altLang="en-US" sz="1100" baseline="0"/>
            <a:t>흑전</a:t>
          </a:r>
          <a:r>
            <a:rPr lang="en-US" altLang="ko-KR" sz="1100" baseline="0"/>
            <a:t>: </a:t>
          </a:r>
          <a:r>
            <a:rPr lang="ko-KR" altLang="en-US" sz="1100" baseline="0"/>
            <a:t>흑전이면</a:t>
          </a:r>
          <a:r>
            <a:rPr lang="en-US" altLang="ko-KR" sz="1100" baseline="0"/>
            <a:t> 1, </a:t>
          </a:r>
          <a:r>
            <a:rPr lang="ko-KR" altLang="en-US" sz="1100" baseline="0"/>
            <a:t>흑전아니고 줄이면 그냥 공란으로 기입</a:t>
          </a:r>
          <a:endParaRPr lang="en-US" altLang="ko-KR" sz="1100" baseline="0"/>
        </a:p>
        <a:p>
          <a:endParaRPr lang="en-US" altLang="ko-KR" sz="1100" baseline="0"/>
        </a:p>
        <a:p>
          <a:r>
            <a:rPr lang="ko-KR" altLang="en-US" sz="1100" baseline="0"/>
            <a:t>업종</a:t>
          </a:r>
          <a:r>
            <a:rPr lang="en-US" altLang="ko-KR" sz="1100" baseline="0"/>
            <a:t>: </a:t>
          </a:r>
          <a:r>
            <a:rPr lang="ko-KR" altLang="en-US" sz="1100" baseline="0"/>
            <a:t>주말에 공부하면서 기입</a:t>
          </a:r>
          <a:r>
            <a:rPr lang="en-US" altLang="ko-KR" sz="1100" baseline="0"/>
            <a:t>(</a:t>
          </a:r>
          <a:r>
            <a:rPr lang="ko-KR" altLang="en-US" sz="1100" baseline="0"/>
            <a:t>소비재</a:t>
          </a:r>
          <a:r>
            <a:rPr lang="en-US" altLang="ko-KR" sz="1100" baseline="0"/>
            <a:t>/</a:t>
          </a:r>
          <a:r>
            <a:rPr lang="ko-KR" altLang="en-US" sz="1100" baseline="0"/>
            <a:t>테크</a:t>
          </a:r>
          <a:r>
            <a:rPr lang="en-US" altLang="ko-KR" sz="1100" baseline="0"/>
            <a:t>/</a:t>
          </a:r>
          <a:r>
            <a:rPr lang="ko-KR" altLang="en-US" sz="1100" baseline="0"/>
            <a:t>이차전지</a:t>
          </a:r>
          <a:r>
            <a:rPr lang="en-US" altLang="ko-KR" sz="1100" baseline="0"/>
            <a:t>/</a:t>
          </a:r>
          <a:r>
            <a:rPr lang="ko-KR" altLang="en-US" sz="1100" baseline="0"/>
            <a:t>플랫폼 등등 세부적인 분류 정해볼 것</a:t>
          </a:r>
          <a:r>
            <a:rPr lang="en-US" altLang="ko-KR" sz="1100" baseline="0"/>
            <a:t>)</a:t>
          </a:r>
          <a:br>
            <a:rPr lang="en-US" altLang="ko-KR" sz="1100" baseline="0"/>
          </a:br>
          <a:br>
            <a:rPr lang="en-US" altLang="ko-KR" sz="1100" baseline="0"/>
          </a:br>
          <a:r>
            <a:rPr lang="ko-KR" altLang="en-US" sz="1100" baseline="0"/>
            <a:t>사진</a:t>
          </a:r>
          <a:r>
            <a:rPr lang="en-US" altLang="ko-KR" sz="1100" baseline="0"/>
            <a:t>: </a:t>
          </a:r>
          <a:r>
            <a:rPr lang="ko-KR" altLang="en-US" sz="1100" baseline="0"/>
            <a:t>빨간줄 사진</a:t>
          </a:r>
          <a:r>
            <a:rPr lang="en-US" altLang="ko-KR" sz="1100" baseline="0"/>
            <a:t>, </a:t>
          </a:r>
          <a:r>
            <a:rPr lang="ko-KR" altLang="en-US" sz="1100" baseline="0"/>
            <a:t>주가 사진</a:t>
          </a:r>
          <a:r>
            <a:rPr lang="en-US" altLang="ko-KR" sz="1100" baseline="0"/>
            <a:t>(</a:t>
          </a:r>
          <a:r>
            <a:rPr lang="ko-KR" altLang="en-US" sz="1100" baseline="0"/>
            <a:t>주봉기준</a:t>
          </a:r>
          <a:r>
            <a:rPr lang="en-US" altLang="ko-KR" sz="1100" baseline="0"/>
            <a:t>) </a:t>
          </a:r>
          <a:r>
            <a:rPr lang="ko-KR" altLang="en-US" sz="1100" baseline="0"/>
            <a:t>사진 탭에 순서대로 추가</a:t>
          </a:r>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666750</xdr:colOff>
      <xdr:row>1</xdr:row>
      <xdr:rowOff>19051</xdr:rowOff>
    </xdr:from>
    <xdr:to>
      <xdr:col>33</xdr:col>
      <xdr:colOff>95250</xdr:colOff>
      <xdr:row>31</xdr:row>
      <xdr:rowOff>66675</xdr:rowOff>
    </xdr:to>
    <xdr:sp macro="" textlink="">
      <xdr:nvSpPr>
        <xdr:cNvPr id="2" name="TextBox 1">
          <a:extLst>
            <a:ext uri="{FF2B5EF4-FFF2-40B4-BE49-F238E27FC236}">
              <a16:creationId xmlns:a16="http://schemas.microsoft.com/office/drawing/2014/main" id="{85F5525F-1608-43F1-97E2-C1F9BE9A88AC}"/>
            </a:ext>
          </a:extLst>
        </xdr:cNvPr>
        <xdr:cNvSpPr txBox="1"/>
      </xdr:nvSpPr>
      <xdr:spPr>
        <a:xfrm>
          <a:off x="39062025" y="180976"/>
          <a:ext cx="7658100" cy="4705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종목</a:t>
          </a:r>
          <a:r>
            <a:rPr lang="en-US" altLang="ko-KR" sz="1100"/>
            <a:t>: </a:t>
          </a:r>
          <a:r>
            <a:rPr lang="ko-KR" altLang="en-US" sz="1100"/>
            <a:t>시총 </a:t>
          </a:r>
          <a:r>
            <a:rPr lang="en-US" altLang="ko-KR" sz="1100"/>
            <a:t>500M$ </a:t>
          </a:r>
          <a:r>
            <a:rPr lang="ko-KR" altLang="en-US" sz="1100"/>
            <a:t>이상</a:t>
          </a:r>
          <a:r>
            <a:rPr lang="en-US" altLang="ko-KR" sz="1100"/>
            <a:t>, </a:t>
          </a:r>
          <a:r>
            <a:rPr lang="ko-KR" altLang="en-US" sz="1100"/>
            <a:t>빨간줄 </a:t>
          </a:r>
          <a:r>
            <a:rPr lang="en-US" altLang="ko-KR" sz="1100"/>
            <a:t>or </a:t>
          </a:r>
          <a:r>
            <a:rPr lang="ko-KR" altLang="en-US" sz="1100"/>
            <a:t>흑전인 종목 </a:t>
          </a:r>
          <a:r>
            <a:rPr lang="en-US" altLang="ko-KR" sz="1100"/>
            <a:t>(</a:t>
          </a:r>
          <a:r>
            <a:rPr lang="ko-KR" altLang="en-US" sz="1100"/>
            <a:t>실발 다음날 정리해 공유 후 취합</a:t>
          </a:r>
          <a:r>
            <a:rPr lang="en-US" altLang="ko-KR" sz="1100"/>
            <a:t>)</a:t>
          </a:r>
          <a:br>
            <a:rPr lang="en-US" altLang="ko-KR" sz="1100"/>
          </a:br>
          <a:br>
            <a:rPr lang="en-US" altLang="ko-KR" sz="1100"/>
          </a:br>
          <a:br>
            <a:rPr lang="en-US" altLang="ko-KR" sz="1100"/>
          </a:br>
          <a:br>
            <a:rPr lang="en-US" altLang="ko-KR" sz="1100"/>
          </a:br>
          <a:r>
            <a:rPr lang="ko-KR" altLang="en-US" sz="1100"/>
            <a:t>실발후 주가</a:t>
          </a:r>
          <a:r>
            <a:rPr lang="en-US" altLang="ko-KR" sz="1100"/>
            <a:t>: </a:t>
          </a:r>
          <a:r>
            <a:rPr lang="ko-KR" altLang="en-US" sz="1100"/>
            <a:t>실발한 날짜에서 시가 대비 종가가 몇 </a:t>
          </a:r>
          <a:r>
            <a:rPr lang="en-US" altLang="ko-KR" sz="1100"/>
            <a:t>% </a:t>
          </a:r>
          <a:r>
            <a:rPr lang="ko-KR" altLang="en-US" sz="1100"/>
            <a:t>올랐는지</a:t>
          </a:r>
          <a:r>
            <a:rPr lang="en-US" altLang="ko-KR" sz="1100"/>
            <a:t>/</a:t>
          </a:r>
          <a:r>
            <a:rPr lang="ko-KR" altLang="en-US" sz="1100"/>
            <a:t>내렸는지</a:t>
          </a:r>
          <a:endParaRPr lang="en-US" altLang="ko-KR" sz="1100"/>
        </a:p>
        <a:p>
          <a:endParaRPr lang="en-US" altLang="ko-KR" sz="1100"/>
        </a:p>
        <a:p>
          <a:r>
            <a:rPr lang="ko-KR" altLang="en-US" sz="1100"/>
            <a:t>빨간줄</a:t>
          </a:r>
          <a:r>
            <a:rPr lang="en-US" altLang="ko-KR" sz="1100"/>
            <a:t>: </a:t>
          </a:r>
          <a:r>
            <a:rPr lang="ko-KR" altLang="en-US" sz="1100"/>
            <a:t>첫번쨰줄이면 </a:t>
          </a:r>
          <a:r>
            <a:rPr lang="en-US" altLang="ko-KR" sz="1100"/>
            <a:t>1, </a:t>
          </a:r>
          <a:r>
            <a:rPr lang="ko-KR" altLang="en-US" sz="1100"/>
            <a:t>두번째 줄이면</a:t>
          </a:r>
          <a:r>
            <a:rPr lang="en-US" altLang="ko-KR" sz="1100" baseline="0"/>
            <a:t> 2, </a:t>
          </a:r>
          <a:r>
            <a:rPr lang="ko-KR" altLang="en-US" sz="1100" baseline="0"/>
            <a:t>그 이상이면 </a:t>
          </a:r>
          <a:r>
            <a:rPr lang="en-US" altLang="ko-KR" sz="1100" baseline="0"/>
            <a:t>3</a:t>
          </a:r>
        </a:p>
        <a:p>
          <a:endParaRPr lang="en-US" altLang="ko-KR" sz="1100" baseline="0"/>
        </a:p>
        <a:p>
          <a:r>
            <a:rPr lang="ko-KR" altLang="en-US" sz="1100" baseline="0"/>
            <a:t>흑전</a:t>
          </a:r>
          <a:r>
            <a:rPr lang="en-US" altLang="ko-KR" sz="1100" baseline="0"/>
            <a:t>: </a:t>
          </a:r>
          <a:r>
            <a:rPr lang="ko-KR" altLang="en-US" sz="1100" baseline="0"/>
            <a:t>흑전이면</a:t>
          </a:r>
          <a:r>
            <a:rPr lang="en-US" altLang="ko-KR" sz="1100" baseline="0"/>
            <a:t> 1, </a:t>
          </a:r>
          <a:r>
            <a:rPr lang="ko-KR" altLang="en-US" sz="1100" baseline="0"/>
            <a:t>흑전아니고 줄이면 그냥 공란으로 기입</a:t>
          </a:r>
          <a:endParaRPr lang="en-US" altLang="ko-KR" sz="1100" baseline="0"/>
        </a:p>
        <a:p>
          <a:endParaRPr lang="en-US" altLang="ko-KR" sz="1100" baseline="0"/>
        </a:p>
        <a:p>
          <a:r>
            <a:rPr lang="ko-KR" altLang="en-US" sz="1100" baseline="0"/>
            <a:t>업종</a:t>
          </a:r>
          <a:r>
            <a:rPr lang="en-US" altLang="ko-KR" sz="1100" baseline="0"/>
            <a:t>: </a:t>
          </a:r>
          <a:r>
            <a:rPr lang="ko-KR" altLang="en-US" sz="1100" baseline="0"/>
            <a:t>주말에 공부하면서 기입</a:t>
          </a:r>
          <a:r>
            <a:rPr lang="en-US" altLang="ko-KR" sz="1100" baseline="0"/>
            <a:t>(</a:t>
          </a:r>
          <a:r>
            <a:rPr lang="ko-KR" altLang="en-US" sz="1100" baseline="0"/>
            <a:t>소비재</a:t>
          </a:r>
          <a:r>
            <a:rPr lang="en-US" altLang="ko-KR" sz="1100" baseline="0"/>
            <a:t>/</a:t>
          </a:r>
          <a:r>
            <a:rPr lang="ko-KR" altLang="en-US" sz="1100" baseline="0"/>
            <a:t>테크</a:t>
          </a:r>
          <a:r>
            <a:rPr lang="en-US" altLang="ko-KR" sz="1100" baseline="0"/>
            <a:t>/</a:t>
          </a:r>
          <a:r>
            <a:rPr lang="ko-KR" altLang="en-US" sz="1100" baseline="0"/>
            <a:t>이차전지</a:t>
          </a:r>
          <a:r>
            <a:rPr lang="en-US" altLang="ko-KR" sz="1100" baseline="0"/>
            <a:t>/</a:t>
          </a:r>
          <a:r>
            <a:rPr lang="ko-KR" altLang="en-US" sz="1100" baseline="0"/>
            <a:t>플랫폼 등등 세부적인 분류 정해볼 것</a:t>
          </a:r>
          <a:r>
            <a:rPr lang="en-US" altLang="ko-KR" sz="1100" baseline="0"/>
            <a:t>)</a:t>
          </a:r>
          <a:br>
            <a:rPr lang="en-US" altLang="ko-KR" sz="1100" baseline="0"/>
          </a:br>
          <a:br>
            <a:rPr lang="en-US" altLang="ko-KR" sz="1100" baseline="0"/>
          </a:br>
          <a:r>
            <a:rPr lang="ko-KR" altLang="en-US" sz="1100" baseline="0"/>
            <a:t>사진</a:t>
          </a:r>
          <a:r>
            <a:rPr lang="en-US" altLang="ko-KR" sz="1100" baseline="0"/>
            <a:t>: </a:t>
          </a:r>
          <a:r>
            <a:rPr lang="ko-KR" altLang="en-US" sz="1100" baseline="0"/>
            <a:t>빨간줄 사진</a:t>
          </a:r>
          <a:r>
            <a:rPr lang="en-US" altLang="ko-KR" sz="1100" baseline="0"/>
            <a:t>, </a:t>
          </a:r>
          <a:r>
            <a:rPr lang="ko-KR" altLang="en-US" sz="1100" baseline="0"/>
            <a:t>주가 사진</a:t>
          </a:r>
          <a:r>
            <a:rPr lang="en-US" altLang="ko-KR" sz="1100" baseline="0"/>
            <a:t>(</a:t>
          </a:r>
          <a:r>
            <a:rPr lang="ko-KR" altLang="en-US" sz="1100" baseline="0"/>
            <a:t>주봉기준</a:t>
          </a:r>
          <a:r>
            <a:rPr lang="en-US" altLang="ko-KR" sz="1100" baseline="0"/>
            <a:t>) </a:t>
          </a:r>
          <a:r>
            <a:rPr lang="ko-KR" altLang="en-US" sz="1100" baseline="0"/>
            <a:t>사진 탭에 순서대로 추가</a:t>
          </a:r>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152400</xdr:colOff>
      <xdr:row>0</xdr:row>
      <xdr:rowOff>104776</xdr:rowOff>
    </xdr:from>
    <xdr:to>
      <xdr:col>22</xdr:col>
      <xdr:colOff>644087</xdr:colOff>
      <xdr:row>15</xdr:row>
      <xdr:rowOff>19051</xdr:rowOff>
    </xdr:to>
    <xdr:pic>
      <xdr:nvPicPr>
        <xdr:cNvPr id="3" name="그림 2">
          <a:extLst>
            <a:ext uri="{FF2B5EF4-FFF2-40B4-BE49-F238E27FC236}">
              <a16:creationId xmlns:a16="http://schemas.microsoft.com/office/drawing/2014/main" id="{370AF2F9-C38F-5005-D1CC-3742C9A0EE4C}"/>
            </a:ext>
          </a:extLst>
        </xdr:cNvPr>
        <xdr:cNvPicPr>
          <a:picLocks noChangeAspect="1"/>
        </xdr:cNvPicPr>
      </xdr:nvPicPr>
      <xdr:blipFill>
        <a:blip xmlns:r="http://schemas.openxmlformats.org/officeDocument/2006/relationships" r:embed="rId1"/>
        <a:stretch>
          <a:fillRect/>
        </a:stretch>
      </xdr:blipFill>
      <xdr:spPr>
        <a:xfrm>
          <a:off x="10439400" y="104776"/>
          <a:ext cx="5292287" cy="2343150"/>
        </a:xfrm>
        <a:prstGeom prst="rect">
          <a:avLst/>
        </a:prstGeom>
      </xdr:spPr>
    </xdr:pic>
    <xdr:clientData/>
  </xdr:twoCellAnchor>
  <xdr:twoCellAnchor editAs="oneCell">
    <xdr:from>
      <xdr:col>0</xdr:col>
      <xdr:colOff>0</xdr:colOff>
      <xdr:row>1</xdr:row>
      <xdr:rowOff>19050</xdr:rowOff>
    </xdr:from>
    <xdr:to>
      <xdr:col>15</xdr:col>
      <xdr:colOff>111476</xdr:colOff>
      <xdr:row>14</xdr:row>
      <xdr:rowOff>66674</xdr:rowOff>
    </xdr:to>
    <xdr:pic>
      <xdr:nvPicPr>
        <xdr:cNvPr id="5" name="그림 4">
          <a:extLst>
            <a:ext uri="{FF2B5EF4-FFF2-40B4-BE49-F238E27FC236}">
              <a16:creationId xmlns:a16="http://schemas.microsoft.com/office/drawing/2014/main" id="{F02C7BF7-FB9F-68E7-1F9A-FFC4DD0CA3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975"/>
          <a:ext cx="10398476" cy="2152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15</xdr:row>
      <xdr:rowOff>0</xdr:rowOff>
    </xdr:from>
    <xdr:to>
      <xdr:col>15</xdr:col>
      <xdr:colOff>53671</xdr:colOff>
      <xdr:row>28</xdr:row>
      <xdr:rowOff>152400</xdr:rowOff>
    </xdr:to>
    <xdr:pic>
      <xdr:nvPicPr>
        <xdr:cNvPr id="6" name="그림 5">
          <a:extLst>
            <a:ext uri="{FF2B5EF4-FFF2-40B4-BE49-F238E27FC236}">
              <a16:creationId xmlns:a16="http://schemas.microsoft.com/office/drawing/2014/main" id="{B90D1004-FE92-D06B-13BF-71CD206BD2B9}"/>
            </a:ext>
          </a:extLst>
        </xdr:cNvPr>
        <xdr:cNvPicPr>
          <a:picLocks noChangeAspect="1"/>
        </xdr:cNvPicPr>
      </xdr:nvPicPr>
      <xdr:blipFill>
        <a:blip xmlns:r="http://schemas.openxmlformats.org/officeDocument/2006/relationships" r:embed="rId3"/>
        <a:stretch>
          <a:fillRect/>
        </a:stretch>
      </xdr:blipFill>
      <xdr:spPr>
        <a:xfrm>
          <a:off x="1" y="2428875"/>
          <a:ext cx="10340670" cy="2257425"/>
        </a:xfrm>
        <a:prstGeom prst="rect">
          <a:avLst/>
        </a:prstGeom>
      </xdr:spPr>
    </xdr:pic>
    <xdr:clientData/>
  </xdr:twoCellAnchor>
  <xdr:twoCellAnchor editAs="oneCell">
    <xdr:from>
      <xdr:col>15</xdr:col>
      <xdr:colOff>57150</xdr:colOff>
      <xdr:row>15</xdr:row>
      <xdr:rowOff>85725</xdr:rowOff>
    </xdr:from>
    <xdr:to>
      <xdr:col>20</xdr:col>
      <xdr:colOff>571500</xdr:colOff>
      <xdr:row>30</xdr:row>
      <xdr:rowOff>29891</xdr:rowOff>
    </xdr:to>
    <xdr:pic>
      <xdr:nvPicPr>
        <xdr:cNvPr id="7" name="그림 6">
          <a:extLst>
            <a:ext uri="{FF2B5EF4-FFF2-40B4-BE49-F238E27FC236}">
              <a16:creationId xmlns:a16="http://schemas.microsoft.com/office/drawing/2014/main" id="{A6DD1520-7056-3060-E93E-C99AECBB5F97}"/>
            </a:ext>
          </a:extLst>
        </xdr:cNvPr>
        <xdr:cNvPicPr>
          <a:picLocks noChangeAspect="1"/>
        </xdr:cNvPicPr>
      </xdr:nvPicPr>
      <xdr:blipFill>
        <a:blip xmlns:r="http://schemas.openxmlformats.org/officeDocument/2006/relationships" r:embed="rId4"/>
        <a:stretch>
          <a:fillRect/>
        </a:stretch>
      </xdr:blipFill>
      <xdr:spPr>
        <a:xfrm>
          <a:off x="10344150" y="2514600"/>
          <a:ext cx="3943350" cy="237304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29EE6-2B26-44C9-A6B3-86B9AF31B84E}">
  <dimension ref="A1:F83"/>
  <sheetViews>
    <sheetView workbookViewId="0">
      <selection sqref="A1:F34"/>
    </sheetView>
  </sheetViews>
  <sheetFormatPr defaultRowHeight="12.75" x14ac:dyDescent="0.2"/>
  <cols>
    <col min="1" max="1" width="10.625" style="2" bestFit="1" customWidth="1"/>
    <col min="2" max="2" width="11.25" style="19" customWidth="1"/>
    <col min="3" max="3" width="9" style="7"/>
    <col min="6" max="6" width="9" style="26"/>
  </cols>
  <sheetData>
    <row r="1" spans="1:6" x14ac:dyDescent="0.2">
      <c r="A1" s="2" t="s">
        <v>17</v>
      </c>
      <c r="B1" s="19" t="s">
        <v>523</v>
      </c>
      <c r="D1" s="1" t="s">
        <v>0</v>
      </c>
      <c r="E1" s="1" t="s">
        <v>1</v>
      </c>
      <c r="F1" s="26" t="s">
        <v>2</v>
      </c>
    </row>
    <row r="2" spans="1:6" x14ac:dyDescent="0.2">
      <c r="A2" s="4">
        <v>45943</v>
      </c>
      <c r="B2" s="24">
        <f>A2+1</f>
        <v>45944</v>
      </c>
      <c r="C2" s="5" t="s">
        <v>3</v>
      </c>
      <c r="D2" s="17">
        <v>1</v>
      </c>
      <c r="E2" s="17">
        <v>2</v>
      </c>
      <c r="F2" s="17">
        <v>3</v>
      </c>
    </row>
    <row r="3" spans="1:6" x14ac:dyDescent="0.2">
      <c r="A3" s="4">
        <v>45944</v>
      </c>
      <c r="B3" s="24">
        <f t="shared" ref="B3:B64" si="0">A3+1</f>
        <v>45945</v>
      </c>
      <c r="C3" s="25" t="s">
        <v>4</v>
      </c>
      <c r="D3" s="6">
        <v>2</v>
      </c>
      <c r="E3" s="6">
        <v>3</v>
      </c>
      <c r="F3" s="27">
        <f>6-D3-E3</f>
        <v>1</v>
      </c>
    </row>
    <row r="4" spans="1:6" x14ac:dyDescent="0.2">
      <c r="A4" s="4">
        <v>45945</v>
      </c>
      <c r="B4" s="24">
        <f t="shared" si="0"/>
        <v>45946</v>
      </c>
      <c r="C4" s="25" t="s">
        <v>5</v>
      </c>
      <c r="D4" s="6">
        <v>3</v>
      </c>
      <c r="E4" s="6">
        <v>1</v>
      </c>
      <c r="F4" s="27">
        <f t="shared" ref="F4:F9" si="1">6-D4-E4</f>
        <v>2</v>
      </c>
    </row>
    <row r="5" spans="1:6" x14ac:dyDescent="0.2">
      <c r="A5" s="4">
        <v>45946</v>
      </c>
      <c r="B5" s="24">
        <f t="shared" si="0"/>
        <v>45947</v>
      </c>
      <c r="C5" s="25" t="s">
        <v>6</v>
      </c>
      <c r="D5" s="6">
        <v>1</v>
      </c>
      <c r="E5" s="6">
        <v>2</v>
      </c>
      <c r="F5" s="27">
        <f t="shared" si="1"/>
        <v>3</v>
      </c>
    </row>
    <row r="6" spans="1:6" x14ac:dyDescent="0.2">
      <c r="A6" s="4">
        <v>45947</v>
      </c>
      <c r="B6" s="24">
        <f t="shared" si="0"/>
        <v>45948</v>
      </c>
      <c r="C6" s="25" t="s">
        <v>7</v>
      </c>
      <c r="D6" s="6">
        <v>2</v>
      </c>
      <c r="E6" s="6">
        <v>3</v>
      </c>
      <c r="F6" s="27">
        <f t="shared" si="1"/>
        <v>1</v>
      </c>
    </row>
    <row r="7" spans="1:6" x14ac:dyDescent="0.2">
      <c r="A7" s="4">
        <v>45948</v>
      </c>
      <c r="B7" s="24">
        <f t="shared" si="0"/>
        <v>45949</v>
      </c>
      <c r="C7" s="7" t="s">
        <v>8</v>
      </c>
    </row>
    <row r="8" spans="1:6" x14ac:dyDescent="0.2">
      <c r="A8" s="4">
        <v>45949</v>
      </c>
      <c r="B8" s="24">
        <f t="shared" si="0"/>
        <v>45950</v>
      </c>
      <c r="C8" s="7" t="s">
        <v>9</v>
      </c>
    </row>
    <row r="9" spans="1:6" x14ac:dyDescent="0.2">
      <c r="A9" s="4">
        <v>45950</v>
      </c>
      <c r="B9" s="24">
        <f t="shared" si="0"/>
        <v>45951</v>
      </c>
      <c r="C9" s="25" t="s">
        <v>3</v>
      </c>
      <c r="D9" s="6">
        <v>3</v>
      </c>
      <c r="E9" s="6">
        <v>1</v>
      </c>
      <c r="F9" s="27">
        <f t="shared" si="1"/>
        <v>2</v>
      </c>
    </row>
    <row r="10" spans="1:6" x14ac:dyDescent="0.2">
      <c r="A10" s="4">
        <v>45951</v>
      </c>
      <c r="B10" s="24">
        <f t="shared" si="0"/>
        <v>45952</v>
      </c>
      <c r="C10" s="25" t="s">
        <v>4</v>
      </c>
      <c r="D10" s="6">
        <v>1</v>
      </c>
      <c r="E10" s="6">
        <f t="shared" ref="E10:E62" si="2">D10+1</f>
        <v>2</v>
      </c>
      <c r="F10" s="27">
        <f t="shared" ref="F10:F62" si="3">6-D10-E10</f>
        <v>3</v>
      </c>
    </row>
    <row r="11" spans="1:6" x14ac:dyDescent="0.2">
      <c r="A11" s="4">
        <v>45952</v>
      </c>
      <c r="B11" s="24">
        <f t="shared" si="0"/>
        <v>45953</v>
      </c>
      <c r="C11" s="25" t="s">
        <v>5</v>
      </c>
      <c r="D11" s="6">
        <v>2</v>
      </c>
      <c r="E11" s="6">
        <f t="shared" si="2"/>
        <v>3</v>
      </c>
      <c r="F11" s="27">
        <f t="shared" si="3"/>
        <v>1</v>
      </c>
    </row>
    <row r="12" spans="1:6" x14ac:dyDescent="0.2">
      <c r="A12" s="4">
        <v>45953</v>
      </c>
      <c r="B12" s="24">
        <f t="shared" si="0"/>
        <v>45954</v>
      </c>
      <c r="C12" s="25" t="s">
        <v>6</v>
      </c>
      <c r="D12" s="6">
        <v>3</v>
      </c>
      <c r="E12" s="6">
        <v>1</v>
      </c>
      <c r="F12" s="27">
        <f t="shared" si="3"/>
        <v>2</v>
      </c>
    </row>
    <row r="13" spans="1:6" x14ac:dyDescent="0.2">
      <c r="A13" s="4">
        <v>45954</v>
      </c>
      <c r="B13" s="24">
        <f t="shared" si="0"/>
        <v>45955</v>
      </c>
      <c r="C13" s="25" t="s">
        <v>7</v>
      </c>
      <c r="D13" s="6">
        <v>1</v>
      </c>
      <c r="E13" s="6">
        <f t="shared" si="2"/>
        <v>2</v>
      </c>
      <c r="F13" s="27">
        <f t="shared" si="3"/>
        <v>3</v>
      </c>
    </row>
    <row r="14" spans="1:6" x14ac:dyDescent="0.2">
      <c r="A14" s="4">
        <v>45955</v>
      </c>
      <c r="B14" s="24">
        <f t="shared" si="0"/>
        <v>45956</v>
      </c>
      <c r="C14" s="7" t="s">
        <v>8</v>
      </c>
    </row>
    <row r="15" spans="1:6" x14ac:dyDescent="0.2">
      <c r="A15" s="4">
        <v>45956</v>
      </c>
      <c r="B15" s="24">
        <f t="shared" si="0"/>
        <v>45957</v>
      </c>
      <c r="C15" s="7" t="s">
        <v>9</v>
      </c>
    </row>
    <row r="16" spans="1:6" x14ac:dyDescent="0.2">
      <c r="A16" s="4">
        <v>45957</v>
      </c>
      <c r="B16" s="24">
        <f t="shared" si="0"/>
        <v>45958</v>
      </c>
      <c r="C16" s="25" t="s">
        <v>3</v>
      </c>
      <c r="D16" s="6">
        <v>2</v>
      </c>
      <c r="E16" s="6">
        <f t="shared" si="2"/>
        <v>3</v>
      </c>
      <c r="F16" s="27">
        <f t="shared" si="3"/>
        <v>1</v>
      </c>
    </row>
    <row r="17" spans="1:6" x14ac:dyDescent="0.2">
      <c r="A17" s="4">
        <v>45958</v>
      </c>
      <c r="B17" s="24">
        <f t="shared" si="0"/>
        <v>45959</v>
      </c>
      <c r="C17" s="25" t="s">
        <v>4</v>
      </c>
      <c r="D17" s="6">
        <v>3</v>
      </c>
      <c r="E17" s="6">
        <v>1</v>
      </c>
      <c r="F17" s="27">
        <f t="shared" si="3"/>
        <v>2</v>
      </c>
    </row>
    <row r="18" spans="1:6" x14ac:dyDescent="0.2">
      <c r="A18" s="4">
        <v>45959</v>
      </c>
      <c r="B18" s="24">
        <f t="shared" si="0"/>
        <v>45960</v>
      </c>
      <c r="C18" s="25" t="s">
        <v>5</v>
      </c>
      <c r="D18" s="6">
        <v>1</v>
      </c>
      <c r="E18" s="6">
        <f t="shared" si="2"/>
        <v>2</v>
      </c>
      <c r="F18" s="27">
        <f t="shared" si="3"/>
        <v>3</v>
      </c>
    </row>
    <row r="19" spans="1:6" x14ac:dyDescent="0.2">
      <c r="A19" s="4">
        <v>45960</v>
      </c>
      <c r="B19" s="24">
        <f t="shared" si="0"/>
        <v>45961</v>
      </c>
      <c r="C19" s="25" t="s">
        <v>6</v>
      </c>
      <c r="D19" s="6">
        <v>2</v>
      </c>
      <c r="E19" s="6">
        <f t="shared" si="2"/>
        <v>3</v>
      </c>
      <c r="F19" s="27">
        <f t="shared" si="3"/>
        <v>1</v>
      </c>
    </row>
    <row r="20" spans="1:6" x14ac:dyDescent="0.2">
      <c r="A20" s="4">
        <v>45961</v>
      </c>
      <c r="B20" s="24">
        <f t="shared" si="0"/>
        <v>45962</v>
      </c>
      <c r="C20" s="25" t="s">
        <v>7</v>
      </c>
      <c r="D20" s="6">
        <v>3</v>
      </c>
      <c r="E20" s="6">
        <v>1</v>
      </c>
      <c r="F20" s="27">
        <f t="shared" si="3"/>
        <v>2</v>
      </c>
    </row>
    <row r="21" spans="1:6" x14ac:dyDescent="0.2">
      <c r="A21" s="4">
        <v>45962</v>
      </c>
      <c r="B21" s="24">
        <f t="shared" si="0"/>
        <v>45963</v>
      </c>
      <c r="C21" s="7" t="s">
        <v>8</v>
      </c>
    </row>
    <row r="22" spans="1:6" x14ac:dyDescent="0.2">
      <c r="A22" s="4">
        <v>45963</v>
      </c>
      <c r="B22" s="24">
        <f t="shared" si="0"/>
        <v>45964</v>
      </c>
      <c r="C22" s="7" t="s">
        <v>9</v>
      </c>
    </row>
    <row r="23" spans="1:6" x14ac:dyDescent="0.2">
      <c r="A23" s="4">
        <v>45964</v>
      </c>
      <c r="B23" s="24">
        <f t="shared" si="0"/>
        <v>45965</v>
      </c>
      <c r="C23" s="25" t="s">
        <v>3</v>
      </c>
      <c r="D23" s="6">
        <v>1</v>
      </c>
      <c r="E23" s="6">
        <v>2</v>
      </c>
      <c r="F23" s="27">
        <f t="shared" si="3"/>
        <v>3</v>
      </c>
    </row>
    <row r="24" spans="1:6" x14ac:dyDescent="0.2">
      <c r="A24" s="4">
        <v>45965</v>
      </c>
      <c r="B24" s="24">
        <f t="shared" si="0"/>
        <v>45966</v>
      </c>
      <c r="C24" s="25" t="s">
        <v>4</v>
      </c>
      <c r="D24" s="6">
        <v>2</v>
      </c>
      <c r="E24" s="6">
        <v>3</v>
      </c>
      <c r="F24" s="27">
        <f t="shared" si="3"/>
        <v>1</v>
      </c>
    </row>
    <row r="25" spans="1:6" x14ac:dyDescent="0.2">
      <c r="A25" s="4">
        <v>45966</v>
      </c>
      <c r="B25" s="24">
        <f t="shared" si="0"/>
        <v>45967</v>
      </c>
      <c r="C25" s="25" t="s">
        <v>5</v>
      </c>
      <c r="D25" s="6">
        <v>3</v>
      </c>
      <c r="E25" s="6">
        <v>1</v>
      </c>
      <c r="F25" s="27">
        <f t="shared" si="3"/>
        <v>2</v>
      </c>
    </row>
    <row r="26" spans="1:6" x14ac:dyDescent="0.2">
      <c r="A26" s="4">
        <v>45967</v>
      </c>
      <c r="B26" s="24">
        <f t="shared" si="0"/>
        <v>45968</v>
      </c>
      <c r="C26" s="25" t="s">
        <v>6</v>
      </c>
      <c r="D26" s="6">
        <v>1</v>
      </c>
      <c r="E26" s="6">
        <v>2</v>
      </c>
      <c r="F26" s="27">
        <f t="shared" si="3"/>
        <v>3</v>
      </c>
    </row>
    <row r="27" spans="1:6" x14ac:dyDescent="0.2">
      <c r="A27" s="4">
        <v>45968</v>
      </c>
      <c r="B27" s="24">
        <f t="shared" si="0"/>
        <v>45969</v>
      </c>
      <c r="C27" s="25" t="s">
        <v>7</v>
      </c>
      <c r="D27" s="6">
        <v>2</v>
      </c>
      <c r="E27" s="6">
        <v>3</v>
      </c>
      <c r="F27" s="27">
        <f t="shared" si="3"/>
        <v>1</v>
      </c>
    </row>
    <row r="28" spans="1:6" x14ac:dyDescent="0.2">
      <c r="A28" s="4">
        <v>45969</v>
      </c>
      <c r="B28" s="24">
        <f t="shared" si="0"/>
        <v>45970</v>
      </c>
      <c r="C28" s="7" t="s">
        <v>8</v>
      </c>
    </row>
    <row r="29" spans="1:6" x14ac:dyDescent="0.2">
      <c r="A29" s="4">
        <v>45970</v>
      </c>
      <c r="B29" s="24">
        <f t="shared" si="0"/>
        <v>45971</v>
      </c>
      <c r="C29" s="7" t="s">
        <v>9</v>
      </c>
    </row>
    <row r="30" spans="1:6" x14ac:dyDescent="0.2">
      <c r="A30" s="4">
        <v>45971</v>
      </c>
      <c r="B30" s="24">
        <f t="shared" si="0"/>
        <v>45972</v>
      </c>
      <c r="C30" s="25" t="s">
        <v>3</v>
      </c>
      <c r="D30" s="6">
        <v>3</v>
      </c>
      <c r="E30" s="6">
        <v>1</v>
      </c>
      <c r="F30" s="27">
        <f t="shared" si="3"/>
        <v>2</v>
      </c>
    </row>
    <row r="31" spans="1:6" x14ac:dyDescent="0.2">
      <c r="A31" s="4">
        <v>45972</v>
      </c>
      <c r="B31" s="24">
        <f t="shared" si="0"/>
        <v>45973</v>
      </c>
      <c r="C31" s="25" t="s">
        <v>4</v>
      </c>
      <c r="D31" s="6">
        <v>1</v>
      </c>
      <c r="E31" s="6">
        <v>2</v>
      </c>
      <c r="F31" s="27">
        <f t="shared" si="3"/>
        <v>3</v>
      </c>
    </row>
    <row r="32" spans="1:6" x14ac:dyDescent="0.2">
      <c r="A32" s="4">
        <v>45973</v>
      </c>
      <c r="B32" s="24">
        <f t="shared" si="0"/>
        <v>45974</v>
      </c>
      <c r="C32" s="25" t="s">
        <v>5</v>
      </c>
      <c r="D32" s="6">
        <v>2</v>
      </c>
      <c r="E32" s="6">
        <v>3</v>
      </c>
      <c r="F32" s="27">
        <f t="shared" si="3"/>
        <v>1</v>
      </c>
    </row>
    <row r="33" spans="1:6" x14ac:dyDescent="0.2">
      <c r="A33" s="4">
        <v>45974</v>
      </c>
      <c r="B33" s="24">
        <f t="shared" si="0"/>
        <v>45975</v>
      </c>
      <c r="C33" s="25" t="s">
        <v>6</v>
      </c>
      <c r="D33" s="6">
        <v>3</v>
      </c>
      <c r="E33" s="6">
        <v>1</v>
      </c>
      <c r="F33" s="27">
        <f t="shared" si="3"/>
        <v>2</v>
      </c>
    </row>
    <row r="34" spans="1:6" x14ac:dyDescent="0.2">
      <c r="A34" s="4">
        <v>45975</v>
      </c>
      <c r="B34" s="24">
        <f t="shared" si="0"/>
        <v>45976</v>
      </c>
      <c r="C34" s="25" t="s">
        <v>7</v>
      </c>
      <c r="D34" s="6">
        <v>1</v>
      </c>
      <c r="E34" s="6">
        <v>2</v>
      </c>
      <c r="F34" s="27">
        <f t="shared" si="3"/>
        <v>3</v>
      </c>
    </row>
    <row r="35" spans="1:6" x14ac:dyDescent="0.2">
      <c r="A35" s="4">
        <v>45976</v>
      </c>
      <c r="B35" s="24">
        <f t="shared" si="0"/>
        <v>45977</v>
      </c>
      <c r="C35" s="7" t="s">
        <v>8</v>
      </c>
    </row>
    <row r="36" spans="1:6" x14ac:dyDescent="0.2">
      <c r="A36" s="4">
        <v>45977</v>
      </c>
      <c r="B36" s="24">
        <f t="shared" si="0"/>
        <v>45978</v>
      </c>
      <c r="C36" s="7" t="s">
        <v>9</v>
      </c>
    </row>
    <row r="37" spans="1:6" x14ac:dyDescent="0.2">
      <c r="A37" s="4">
        <v>45978</v>
      </c>
      <c r="B37" s="24">
        <f t="shared" si="0"/>
        <v>45979</v>
      </c>
      <c r="C37" s="25" t="s">
        <v>3</v>
      </c>
      <c r="D37" s="6">
        <v>2</v>
      </c>
      <c r="E37" s="6">
        <v>3</v>
      </c>
      <c r="F37" s="27">
        <f t="shared" si="3"/>
        <v>1</v>
      </c>
    </row>
    <row r="38" spans="1:6" x14ac:dyDescent="0.2">
      <c r="A38" s="4">
        <v>45979</v>
      </c>
      <c r="B38" s="24">
        <f t="shared" si="0"/>
        <v>45980</v>
      </c>
      <c r="C38" s="25" t="s">
        <v>4</v>
      </c>
      <c r="D38" s="6">
        <v>3</v>
      </c>
      <c r="E38" s="6">
        <v>1</v>
      </c>
      <c r="F38" s="27">
        <f t="shared" si="3"/>
        <v>2</v>
      </c>
    </row>
    <row r="39" spans="1:6" x14ac:dyDescent="0.2">
      <c r="A39" s="4">
        <v>45980</v>
      </c>
      <c r="B39" s="24">
        <f t="shared" si="0"/>
        <v>45981</v>
      </c>
      <c r="C39" s="25" t="s">
        <v>5</v>
      </c>
      <c r="D39" s="6">
        <v>1</v>
      </c>
      <c r="E39" s="6">
        <v>2</v>
      </c>
      <c r="F39" s="27">
        <f t="shared" si="3"/>
        <v>3</v>
      </c>
    </row>
    <row r="40" spans="1:6" x14ac:dyDescent="0.2">
      <c r="A40" s="4">
        <v>45981</v>
      </c>
      <c r="B40" s="24">
        <f t="shared" si="0"/>
        <v>45982</v>
      </c>
      <c r="C40" s="25" t="s">
        <v>6</v>
      </c>
      <c r="D40" s="6">
        <v>2</v>
      </c>
      <c r="E40" s="6">
        <v>3</v>
      </c>
      <c r="F40" s="27">
        <f t="shared" si="3"/>
        <v>1</v>
      </c>
    </row>
    <row r="41" spans="1:6" x14ac:dyDescent="0.2">
      <c r="A41" s="4">
        <v>45982</v>
      </c>
      <c r="B41" s="24">
        <f t="shared" si="0"/>
        <v>45983</v>
      </c>
      <c r="C41" s="25" t="s">
        <v>7</v>
      </c>
      <c r="D41" s="6">
        <v>3</v>
      </c>
      <c r="E41" s="6">
        <v>1</v>
      </c>
      <c r="F41" s="27">
        <f t="shared" si="3"/>
        <v>2</v>
      </c>
    </row>
    <row r="42" spans="1:6" x14ac:dyDescent="0.2">
      <c r="A42" s="4">
        <v>45983</v>
      </c>
      <c r="B42" s="24">
        <f t="shared" si="0"/>
        <v>45984</v>
      </c>
      <c r="C42" s="7" t="s">
        <v>8</v>
      </c>
    </row>
    <row r="43" spans="1:6" x14ac:dyDescent="0.2">
      <c r="A43" s="4">
        <v>45984</v>
      </c>
      <c r="B43" s="24">
        <f t="shared" si="0"/>
        <v>45985</v>
      </c>
      <c r="C43" s="7" t="s">
        <v>9</v>
      </c>
    </row>
    <row r="44" spans="1:6" x14ac:dyDescent="0.2">
      <c r="A44" s="4">
        <v>45985</v>
      </c>
      <c r="B44" s="24">
        <f t="shared" si="0"/>
        <v>45986</v>
      </c>
      <c r="C44" s="25" t="s">
        <v>3</v>
      </c>
      <c r="D44" s="6"/>
      <c r="E44" s="6">
        <f t="shared" si="2"/>
        <v>1</v>
      </c>
      <c r="F44" s="27">
        <f t="shared" si="3"/>
        <v>5</v>
      </c>
    </row>
    <row r="45" spans="1:6" x14ac:dyDescent="0.2">
      <c r="A45" s="4">
        <v>45986</v>
      </c>
      <c r="B45" s="24">
        <f t="shared" si="0"/>
        <v>45987</v>
      </c>
      <c r="C45" s="25" t="s">
        <v>4</v>
      </c>
      <c r="D45" s="6"/>
      <c r="E45" s="6">
        <f t="shared" si="2"/>
        <v>1</v>
      </c>
      <c r="F45" s="27">
        <f t="shared" si="3"/>
        <v>5</v>
      </c>
    </row>
    <row r="46" spans="1:6" x14ac:dyDescent="0.2">
      <c r="A46" s="4">
        <v>45987</v>
      </c>
      <c r="B46" s="24">
        <f t="shared" si="0"/>
        <v>45988</v>
      </c>
      <c r="C46" s="25" t="s">
        <v>5</v>
      </c>
      <c r="D46" s="6"/>
      <c r="E46" s="6">
        <f t="shared" si="2"/>
        <v>1</v>
      </c>
      <c r="F46" s="27">
        <f t="shared" si="3"/>
        <v>5</v>
      </c>
    </row>
    <row r="47" spans="1:6" x14ac:dyDescent="0.2">
      <c r="A47" s="4">
        <v>45988</v>
      </c>
      <c r="B47" s="24">
        <f t="shared" si="0"/>
        <v>45989</v>
      </c>
      <c r="C47" s="25" t="s">
        <v>6</v>
      </c>
      <c r="D47" s="6"/>
      <c r="E47" s="6">
        <f t="shared" si="2"/>
        <v>1</v>
      </c>
      <c r="F47" s="27">
        <f t="shared" si="3"/>
        <v>5</v>
      </c>
    </row>
    <row r="48" spans="1:6" x14ac:dyDescent="0.2">
      <c r="A48" s="4">
        <v>45989</v>
      </c>
      <c r="B48" s="24">
        <f t="shared" si="0"/>
        <v>45990</v>
      </c>
      <c r="C48" s="25" t="s">
        <v>7</v>
      </c>
      <c r="D48" s="6"/>
      <c r="E48" s="6">
        <f t="shared" si="2"/>
        <v>1</v>
      </c>
      <c r="F48" s="27">
        <f t="shared" si="3"/>
        <v>5</v>
      </c>
    </row>
    <row r="49" spans="1:6" x14ac:dyDescent="0.2">
      <c r="A49" s="4">
        <v>45990</v>
      </c>
      <c r="B49" s="24">
        <f t="shared" si="0"/>
        <v>45991</v>
      </c>
      <c r="C49" s="7" t="s">
        <v>8</v>
      </c>
    </row>
    <row r="50" spans="1:6" x14ac:dyDescent="0.2">
      <c r="A50" s="4">
        <v>45991</v>
      </c>
      <c r="B50" s="24">
        <f t="shared" si="0"/>
        <v>45992</v>
      </c>
      <c r="C50" s="7" t="s">
        <v>9</v>
      </c>
    </row>
    <row r="51" spans="1:6" x14ac:dyDescent="0.2">
      <c r="A51" s="4">
        <v>45992</v>
      </c>
      <c r="B51" s="24">
        <f t="shared" si="0"/>
        <v>45993</v>
      </c>
      <c r="C51" s="25" t="s">
        <v>3</v>
      </c>
      <c r="D51" s="6"/>
      <c r="E51" s="6">
        <f t="shared" si="2"/>
        <v>1</v>
      </c>
      <c r="F51" s="27">
        <f t="shared" si="3"/>
        <v>5</v>
      </c>
    </row>
    <row r="52" spans="1:6" x14ac:dyDescent="0.2">
      <c r="A52" s="4">
        <v>45993</v>
      </c>
      <c r="B52" s="24">
        <f t="shared" si="0"/>
        <v>45994</v>
      </c>
      <c r="C52" s="25" t="s">
        <v>4</v>
      </c>
      <c r="D52" s="6"/>
      <c r="E52" s="6">
        <f t="shared" si="2"/>
        <v>1</v>
      </c>
      <c r="F52" s="27">
        <f t="shared" si="3"/>
        <v>5</v>
      </c>
    </row>
    <row r="53" spans="1:6" x14ac:dyDescent="0.2">
      <c r="A53" s="4">
        <v>45994</v>
      </c>
      <c r="B53" s="24">
        <f t="shared" si="0"/>
        <v>45995</v>
      </c>
      <c r="C53" s="25" t="s">
        <v>5</v>
      </c>
      <c r="D53" s="6"/>
      <c r="E53" s="6">
        <f t="shared" si="2"/>
        <v>1</v>
      </c>
      <c r="F53" s="27">
        <f t="shared" si="3"/>
        <v>5</v>
      </c>
    </row>
    <row r="54" spans="1:6" x14ac:dyDescent="0.2">
      <c r="A54" s="4">
        <v>45995</v>
      </c>
      <c r="B54" s="24">
        <f t="shared" si="0"/>
        <v>45996</v>
      </c>
      <c r="C54" s="25" t="s">
        <v>6</v>
      </c>
      <c r="D54" s="6"/>
      <c r="E54" s="6">
        <f t="shared" si="2"/>
        <v>1</v>
      </c>
      <c r="F54" s="27">
        <f t="shared" si="3"/>
        <v>5</v>
      </c>
    </row>
    <row r="55" spans="1:6" x14ac:dyDescent="0.2">
      <c r="A55" s="4">
        <v>45996</v>
      </c>
      <c r="B55" s="24">
        <f t="shared" si="0"/>
        <v>45997</v>
      </c>
      <c r="C55" s="25" t="s">
        <v>7</v>
      </c>
      <c r="D55" s="6"/>
      <c r="E55" s="6">
        <f t="shared" si="2"/>
        <v>1</v>
      </c>
      <c r="F55" s="27">
        <f t="shared" si="3"/>
        <v>5</v>
      </c>
    </row>
    <row r="56" spans="1:6" x14ac:dyDescent="0.2">
      <c r="A56" s="4">
        <v>45997</v>
      </c>
      <c r="B56" s="24">
        <f t="shared" si="0"/>
        <v>45998</v>
      </c>
      <c r="C56" s="7" t="s">
        <v>8</v>
      </c>
    </row>
    <row r="57" spans="1:6" x14ac:dyDescent="0.2">
      <c r="A57" s="4">
        <v>45998</v>
      </c>
      <c r="B57" s="24">
        <f t="shared" si="0"/>
        <v>45999</v>
      </c>
      <c r="C57" s="7" t="s">
        <v>9</v>
      </c>
    </row>
    <row r="58" spans="1:6" x14ac:dyDescent="0.2">
      <c r="A58" s="4">
        <v>45999</v>
      </c>
      <c r="B58" s="24">
        <f t="shared" si="0"/>
        <v>46000</v>
      </c>
      <c r="C58" s="25" t="s">
        <v>3</v>
      </c>
      <c r="D58" s="6"/>
      <c r="E58" s="6">
        <f t="shared" si="2"/>
        <v>1</v>
      </c>
      <c r="F58" s="27">
        <f t="shared" si="3"/>
        <v>5</v>
      </c>
    </row>
    <row r="59" spans="1:6" x14ac:dyDescent="0.2">
      <c r="A59" s="4">
        <v>46000</v>
      </c>
      <c r="B59" s="24">
        <f t="shared" si="0"/>
        <v>46001</v>
      </c>
      <c r="C59" s="25" t="s">
        <v>4</v>
      </c>
      <c r="D59" s="6"/>
      <c r="E59" s="6">
        <f t="shared" si="2"/>
        <v>1</v>
      </c>
      <c r="F59" s="27">
        <f t="shared" si="3"/>
        <v>5</v>
      </c>
    </row>
    <row r="60" spans="1:6" x14ac:dyDescent="0.2">
      <c r="A60" s="4">
        <v>46001</v>
      </c>
      <c r="B60" s="24">
        <f t="shared" si="0"/>
        <v>46002</v>
      </c>
      <c r="C60" s="25" t="s">
        <v>5</v>
      </c>
      <c r="D60" s="6"/>
      <c r="E60" s="6">
        <f t="shared" si="2"/>
        <v>1</v>
      </c>
      <c r="F60" s="27">
        <f t="shared" si="3"/>
        <v>5</v>
      </c>
    </row>
    <row r="61" spans="1:6" x14ac:dyDescent="0.2">
      <c r="A61" s="4">
        <v>46002</v>
      </c>
      <c r="B61" s="24">
        <f t="shared" si="0"/>
        <v>46003</v>
      </c>
      <c r="C61" s="25" t="s">
        <v>6</v>
      </c>
      <c r="D61" s="6"/>
      <c r="E61" s="6">
        <f t="shared" si="2"/>
        <v>1</v>
      </c>
      <c r="F61" s="27">
        <f t="shared" si="3"/>
        <v>5</v>
      </c>
    </row>
    <row r="62" spans="1:6" x14ac:dyDescent="0.2">
      <c r="A62" s="4">
        <v>46003</v>
      </c>
      <c r="B62" s="24">
        <f t="shared" si="0"/>
        <v>46004</v>
      </c>
      <c r="C62" s="25" t="s">
        <v>7</v>
      </c>
      <c r="D62" s="6"/>
      <c r="E62" s="6">
        <f t="shared" si="2"/>
        <v>1</v>
      </c>
      <c r="F62" s="27">
        <f t="shared" si="3"/>
        <v>5</v>
      </c>
    </row>
    <row r="63" spans="1:6" x14ac:dyDescent="0.2">
      <c r="A63" s="4">
        <v>46004</v>
      </c>
      <c r="B63" s="24">
        <f t="shared" si="0"/>
        <v>46005</v>
      </c>
      <c r="C63" s="7" t="s">
        <v>8</v>
      </c>
    </row>
    <row r="64" spans="1:6" x14ac:dyDescent="0.2">
      <c r="A64" s="4">
        <v>46005</v>
      </c>
      <c r="B64" s="24">
        <f t="shared" si="0"/>
        <v>46006</v>
      </c>
      <c r="C64" s="7" t="s">
        <v>9</v>
      </c>
    </row>
    <row r="65" spans="1:2" x14ac:dyDescent="0.2">
      <c r="A65" s="4">
        <v>46006</v>
      </c>
      <c r="B65" s="24"/>
    </row>
    <row r="66" spans="1:2" x14ac:dyDescent="0.2">
      <c r="A66" s="4">
        <v>46007</v>
      </c>
      <c r="B66" s="24"/>
    </row>
    <row r="67" spans="1:2" x14ac:dyDescent="0.2">
      <c r="A67" s="4">
        <v>46008</v>
      </c>
      <c r="B67" s="24"/>
    </row>
    <row r="68" spans="1:2" x14ac:dyDescent="0.2">
      <c r="A68" s="4">
        <v>46009</v>
      </c>
      <c r="B68" s="24"/>
    </row>
    <row r="69" spans="1:2" x14ac:dyDescent="0.2">
      <c r="A69" s="4">
        <v>46010</v>
      </c>
      <c r="B69" s="24"/>
    </row>
    <row r="70" spans="1:2" x14ac:dyDescent="0.2">
      <c r="A70" s="4">
        <v>46011</v>
      </c>
      <c r="B70" s="24"/>
    </row>
    <row r="71" spans="1:2" x14ac:dyDescent="0.2">
      <c r="A71" s="4">
        <v>46012</v>
      </c>
      <c r="B71" s="24"/>
    </row>
    <row r="72" spans="1:2" x14ac:dyDescent="0.2">
      <c r="A72" s="4">
        <v>46013</v>
      </c>
      <c r="B72" s="24"/>
    </row>
    <row r="73" spans="1:2" x14ac:dyDescent="0.2">
      <c r="A73" s="4">
        <v>46014</v>
      </c>
      <c r="B73" s="24"/>
    </row>
    <row r="74" spans="1:2" x14ac:dyDescent="0.2">
      <c r="A74" s="4">
        <v>46015</v>
      </c>
      <c r="B74" s="24"/>
    </row>
    <row r="75" spans="1:2" x14ac:dyDescent="0.2">
      <c r="A75" s="4">
        <v>46016</v>
      </c>
      <c r="B75" s="24"/>
    </row>
    <row r="76" spans="1:2" x14ac:dyDescent="0.2">
      <c r="A76" s="4">
        <v>46017</v>
      </c>
      <c r="B76" s="24"/>
    </row>
    <row r="77" spans="1:2" x14ac:dyDescent="0.2">
      <c r="A77" s="4">
        <v>46018</v>
      </c>
      <c r="B77" s="24"/>
    </row>
    <row r="78" spans="1:2" x14ac:dyDescent="0.2">
      <c r="A78" s="4">
        <v>46019</v>
      </c>
      <c r="B78" s="24"/>
    </row>
    <row r="79" spans="1:2" x14ac:dyDescent="0.2">
      <c r="A79" s="4">
        <v>46020</v>
      </c>
      <c r="B79" s="24"/>
    </row>
    <row r="80" spans="1:2" x14ac:dyDescent="0.2">
      <c r="A80" s="4">
        <v>46021</v>
      </c>
      <c r="B80" s="24"/>
    </row>
    <row r="81" spans="1:2" x14ac:dyDescent="0.2">
      <c r="A81" s="4">
        <v>46022</v>
      </c>
      <c r="B81" s="24"/>
    </row>
    <row r="82" spans="1:2" x14ac:dyDescent="0.2">
      <c r="A82" s="4">
        <v>46023</v>
      </c>
      <c r="B82" s="24"/>
    </row>
    <row r="83" spans="1:2" x14ac:dyDescent="0.2">
      <c r="A83" s="3">
        <v>45940</v>
      </c>
      <c r="B83" s="2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245D-748A-4A32-82C2-92BFB51F2A5C}">
  <sheetPr filterMode="1"/>
  <dimension ref="A1:U128"/>
  <sheetViews>
    <sheetView topLeftCell="E1" zoomScale="110" zoomScaleNormal="110" workbookViewId="0">
      <selection activeCell="B26" sqref="B26"/>
    </sheetView>
  </sheetViews>
  <sheetFormatPr defaultRowHeight="12.75" outlineLevelCol="1" x14ac:dyDescent="0.2"/>
  <cols>
    <col min="1" max="1" width="34.875" style="7" customWidth="1"/>
    <col min="2" max="2" width="21.5" style="2" customWidth="1"/>
    <col min="3" max="3" width="9" style="2"/>
    <col min="4" max="6" width="9" style="2" customWidth="1" outlineLevel="1"/>
    <col min="7" max="7" width="11.375" style="2" customWidth="1"/>
    <col min="8" max="9" width="11.375" style="29" customWidth="1"/>
    <col min="10" max="10" width="8.75" style="30" customWidth="1"/>
    <col min="11" max="11" width="13.25" style="29" customWidth="1"/>
    <col min="12" max="12" width="13.75" style="30" customWidth="1"/>
    <col min="13" max="13" width="13.75" style="36" customWidth="1"/>
    <col min="14" max="17" width="9" style="2"/>
    <col min="18" max="18" width="18.375" style="2" customWidth="1"/>
    <col min="19" max="19" width="255.5" customWidth="1"/>
  </cols>
  <sheetData>
    <row r="1" spans="1:21" s="35" customFormat="1" x14ac:dyDescent="0.2">
      <c r="A1" s="31" t="s">
        <v>10</v>
      </c>
      <c r="B1" s="31" t="s">
        <v>12</v>
      </c>
      <c r="C1" s="31" t="s">
        <v>11</v>
      </c>
      <c r="D1" s="5" t="s">
        <v>94</v>
      </c>
      <c r="E1" s="5" t="s">
        <v>18</v>
      </c>
      <c r="F1" s="31" t="s">
        <v>530</v>
      </c>
      <c r="G1" s="31" t="s">
        <v>17</v>
      </c>
      <c r="H1" s="32" t="s">
        <v>524</v>
      </c>
      <c r="I1" s="32" t="s">
        <v>525</v>
      </c>
      <c r="J1" s="33" t="s">
        <v>526</v>
      </c>
      <c r="K1" s="32" t="s">
        <v>529</v>
      </c>
      <c r="L1" s="33" t="s">
        <v>527</v>
      </c>
      <c r="M1" s="33" t="s">
        <v>528</v>
      </c>
      <c r="N1" s="31" t="s">
        <v>13</v>
      </c>
      <c r="O1" s="31" t="s">
        <v>14</v>
      </c>
      <c r="P1" s="31" t="s">
        <v>147</v>
      </c>
      <c r="Q1" s="31" t="s">
        <v>148</v>
      </c>
      <c r="R1" s="31" t="s">
        <v>16</v>
      </c>
      <c r="S1" s="34" t="s">
        <v>15</v>
      </c>
      <c r="T1" s="34"/>
      <c r="U1" s="34"/>
    </row>
    <row r="2" spans="1:21" x14ac:dyDescent="0.2">
      <c r="A2" s="7" t="s">
        <v>36</v>
      </c>
      <c r="B2" s="2" t="s">
        <v>19</v>
      </c>
      <c r="C2" s="2" t="s">
        <v>25</v>
      </c>
      <c r="D2" s="9">
        <v>12.29</v>
      </c>
      <c r="E2" s="2" t="s">
        <v>33</v>
      </c>
      <c r="F2" s="2" t="s">
        <v>531</v>
      </c>
      <c r="G2" s="3">
        <v>45859</v>
      </c>
      <c r="H2" s="29">
        <v>308.88</v>
      </c>
      <c r="I2" s="29">
        <v>477.73</v>
      </c>
      <c r="J2" s="30">
        <f>I2/H2-1</f>
        <v>0.54665242165242178</v>
      </c>
      <c r="K2" s="29">
        <v>527.4</v>
      </c>
      <c r="L2" s="30">
        <f>K2/H2-1</f>
        <v>0.70745920745920743</v>
      </c>
      <c r="M2" s="36">
        <f>K2/I2-1</f>
        <v>0.10397086220249929</v>
      </c>
      <c r="R2" s="2" t="s">
        <v>31</v>
      </c>
      <c r="S2" t="s">
        <v>30</v>
      </c>
    </row>
    <row r="3" spans="1:21" x14ac:dyDescent="0.2">
      <c r="A3" s="7" t="s">
        <v>26</v>
      </c>
      <c r="B3" s="2" t="s">
        <v>20</v>
      </c>
      <c r="C3" s="2" t="s">
        <v>25</v>
      </c>
      <c r="D3" s="9">
        <v>3.66</v>
      </c>
      <c r="E3" s="2" t="s">
        <v>33</v>
      </c>
      <c r="F3" s="2" t="s">
        <v>531</v>
      </c>
      <c r="G3" s="3">
        <v>45859</v>
      </c>
      <c r="H3" s="29">
        <v>53.73</v>
      </c>
      <c r="I3" s="29">
        <v>55.42</v>
      </c>
      <c r="J3" s="30">
        <f>I3/H3-1</f>
        <v>3.1453564116880717E-2</v>
      </c>
      <c r="K3" s="29">
        <v>58.62</v>
      </c>
      <c r="L3" s="30">
        <f>K3/H3-1</f>
        <v>9.1010608598548259E-2</v>
      </c>
      <c r="M3" s="36">
        <f>K3/I3-1</f>
        <v>5.7740887766149385E-2</v>
      </c>
      <c r="O3" s="2">
        <v>1</v>
      </c>
      <c r="S3" t="s">
        <v>40</v>
      </c>
    </row>
    <row r="4" spans="1:21" hidden="1" x14ac:dyDescent="0.2">
      <c r="A4" s="7" t="s">
        <v>35</v>
      </c>
      <c r="B4" s="2" t="s">
        <v>21</v>
      </c>
      <c r="C4" s="2" t="s">
        <v>32</v>
      </c>
      <c r="D4" s="9">
        <v>29.28</v>
      </c>
      <c r="E4" s="2" t="s">
        <v>33</v>
      </c>
      <c r="G4" s="3">
        <v>45859</v>
      </c>
      <c r="H4" s="3"/>
      <c r="I4" s="3"/>
      <c r="J4" s="3"/>
      <c r="K4" s="3"/>
      <c r="L4" s="3"/>
      <c r="M4" s="3"/>
      <c r="N4" s="2">
        <v>1</v>
      </c>
      <c r="R4" s="2" t="s">
        <v>38</v>
      </c>
      <c r="S4" t="s">
        <v>37</v>
      </c>
    </row>
    <row r="5" spans="1:21" hidden="1" x14ac:dyDescent="0.2">
      <c r="A5" s="7" t="s">
        <v>34</v>
      </c>
      <c r="B5" s="2" t="s">
        <v>22</v>
      </c>
      <c r="C5" s="2" t="s">
        <v>24</v>
      </c>
      <c r="D5" s="9">
        <v>168.57</v>
      </c>
      <c r="E5" s="2" t="s">
        <v>33</v>
      </c>
      <c r="G5" s="3">
        <v>45859</v>
      </c>
      <c r="H5" s="3"/>
      <c r="I5" s="3"/>
      <c r="J5" s="3"/>
      <c r="K5" s="3"/>
      <c r="L5" s="3"/>
      <c r="M5" s="3"/>
      <c r="N5" s="2">
        <v>2</v>
      </c>
      <c r="R5" s="2" t="s">
        <v>39</v>
      </c>
    </row>
    <row r="6" spans="1:21" x14ac:dyDescent="0.2">
      <c r="A6" s="7" t="s">
        <v>61</v>
      </c>
      <c r="B6" s="2" t="s">
        <v>60</v>
      </c>
      <c r="C6" s="2" t="s">
        <v>43</v>
      </c>
      <c r="D6" s="9">
        <v>0</v>
      </c>
      <c r="E6" s="2" t="s">
        <v>2</v>
      </c>
      <c r="F6" s="2" t="s">
        <v>531</v>
      </c>
      <c r="G6" s="3">
        <v>45860</v>
      </c>
      <c r="H6" s="29">
        <v>131.22</v>
      </c>
      <c r="I6" s="29">
        <v>153.5</v>
      </c>
      <c r="J6" s="30">
        <f t="shared" ref="J6:J69" si="0">I6/H6-1</f>
        <v>0.16979119036732215</v>
      </c>
      <c r="K6" s="29">
        <v>152.59</v>
      </c>
      <c r="L6" s="30">
        <f t="shared" ref="L6:L69" si="1">K6/H6-1</f>
        <v>0.16285627190976992</v>
      </c>
      <c r="M6" s="36">
        <f t="shared" ref="M6:M69" si="2">K6/I6-1</f>
        <v>-5.9283387622149908E-3</v>
      </c>
      <c r="R6" s="2" t="s">
        <v>59</v>
      </c>
      <c r="S6" t="s">
        <v>58</v>
      </c>
    </row>
    <row r="7" spans="1:21" x14ac:dyDescent="0.2">
      <c r="A7" s="7" t="s">
        <v>57</v>
      </c>
      <c r="B7" s="7" t="s">
        <v>56</v>
      </c>
      <c r="C7" s="2" t="s">
        <v>43</v>
      </c>
      <c r="D7" s="9">
        <v>0</v>
      </c>
      <c r="E7" s="2" t="s">
        <v>2</v>
      </c>
      <c r="F7" s="2" t="s">
        <v>531</v>
      </c>
      <c r="G7" s="3">
        <v>45860</v>
      </c>
      <c r="H7" s="29">
        <v>35.72</v>
      </c>
      <c r="I7" s="29">
        <v>36.25</v>
      </c>
      <c r="J7" s="30">
        <f t="shared" si="0"/>
        <v>1.4837625979843283E-2</v>
      </c>
      <c r="K7" s="29">
        <v>36.979999999999997</v>
      </c>
      <c r="L7" s="30">
        <f t="shared" si="1"/>
        <v>3.5274356103023541E-2</v>
      </c>
      <c r="M7" s="36">
        <f t="shared" si="2"/>
        <v>2.0137931034482692E-2</v>
      </c>
      <c r="N7" s="2">
        <v>1</v>
      </c>
      <c r="R7" s="2" t="s">
        <v>55</v>
      </c>
      <c r="S7" t="s">
        <v>54</v>
      </c>
    </row>
    <row r="8" spans="1:21" x14ac:dyDescent="0.2">
      <c r="A8" s="7" t="s">
        <v>53</v>
      </c>
      <c r="B8" s="7" t="s">
        <v>52</v>
      </c>
      <c r="C8" s="2" t="s">
        <v>43</v>
      </c>
      <c r="D8" s="9">
        <v>0</v>
      </c>
      <c r="E8" s="2" t="s">
        <v>2</v>
      </c>
      <c r="F8" s="2" t="s">
        <v>531</v>
      </c>
      <c r="G8" s="3">
        <v>45860</v>
      </c>
      <c r="H8" s="29">
        <v>97.7</v>
      </c>
      <c r="I8" s="29">
        <v>100.4</v>
      </c>
      <c r="J8" s="30">
        <f t="shared" si="0"/>
        <v>2.763561924257929E-2</v>
      </c>
      <c r="K8" s="29">
        <v>92.25</v>
      </c>
      <c r="L8" s="30">
        <f t="shared" si="1"/>
        <v>-5.5783009211873069E-2</v>
      </c>
      <c r="M8" s="36">
        <f t="shared" si="2"/>
        <v>-8.1175298804780915E-2</v>
      </c>
      <c r="N8" s="2">
        <v>1</v>
      </c>
      <c r="R8" s="2" t="s">
        <v>51</v>
      </c>
      <c r="S8" t="s">
        <v>50</v>
      </c>
    </row>
    <row r="9" spans="1:21" x14ac:dyDescent="0.2">
      <c r="A9" s="7" t="s">
        <v>49</v>
      </c>
      <c r="B9" s="7" t="s">
        <v>48</v>
      </c>
      <c r="C9" s="2" t="s">
        <v>43</v>
      </c>
      <c r="D9" s="9">
        <v>0</v>
      </c>
      <c r="E9" s="2" t="s">
        <v>2</v>
      </c>
      <c r="F9" s="2" t="s">
        <v>531</v>
      </c>
      <c r="G9" s="3">
        <v>45860</v>
      </c>
      <c r="H9" s="29">
        <v>104.71</v>
      </c>
      <c r="I9" s="29">
        <v>119.16</v>
      </c>
      <c r="J9" s="30">
        <f t="shared" si="0"/>
        <v>0.13800019100372451</v>
      </c>
      <c r="K9" s="29">
        <v>92.01</v>
      </c>
      <c r="L9" s="30">
        <f t="shared" si="1"/>
        <v>-0.12128736510361937</v>
      </c>
      <c r="M9" s="36">
        <f t="shared" si="2"/>
        <v>-0.22784491440080556</v>
      </c>
      <c r="N9" s="2">
        <v>3</v>
      </c>
      <c r="R9" s="2" t="s">
        <v>47</v>
      </c>
      <c r="S9" t="s">
        <v>46</v>
      </c>
    </row>
    <row r="10" spans="1:21" s="1" customFormat="1" x14ac:dyDescent="0.2">
      <c r="A10" s="19" t="s">
        <v>45</v>
      </c>
      <c r="B10" s="19" t="s">
        <v>44</v>
      </c>
      <c r="C10" s="19" t="s">
        <v>43</v>
      </c>
      <c r="D10" s="20">
        <v>0</v>
      </c>
      <c r="E10" s="19" t="s">
        <v>2</v>
      </c>
      <c r="F10" s="2" t="s">
        <v>531</v>
      </c>
      <c r="G10" s="21">
        <v>45860</v>
      </c>
      <c r="H10" s="28">
        <v>42.5</v>
      </c>
      <c r="I10" s="28">
        <v>36.479999999999997</v>
      </c>
      <c r="J10" s="30">
        <f t="shared" si="0"/>
        <v>-0.14164705882352946</v>
      </c>
      <c r="K10" s="28">
        <v>34.82</v>
      </c>
      <c r="L10" s="30">
        <f t="shared" si="1"/>
        <v>-0.18070588235294116</v>
      </c>
      <c r="M10" s="36">
        <f t="shared" si="2"/>
        <v>-4.5504385964912242E-2</v>
      </c>
      <c r="N10" s="19">
        <v>3</v>
      </c>
      <c r="O10" s="19"/>
      <c r="P10" s="19"/>
      <c r="Q10" s="19"/>
      <c r="R10" s="19" t="s">
        <v>42</v>
      </c>
      <c r="S10" s="1" t="s">
        <v>41</v>
      </c>
    </row>
    <row r="11" spans="1:21" x14ac:dyDescent="0.2">
      <c r="A11" s="7" t="s">
        <v>27</v>
      </c>
      <c r="B11" s="2" t="s">
        <v>23</v>
      </c>
      <c r="C11" s="2" t="s">
        <v>25</v>
      </c>
      <c r="D11" s="9">
        <v>297.68</v>
      </c>
      <c r="E11" s="2" t="s">
        <v>33</v>
      </c>
      <c r="F11" s="2" t="s">
        <v>531</v>
      </c>
      <c r="G11" s="3">
        <v>45860</v>
      </c>
      <c r="H11" s="29">
        <v>69.66</v>
      </c>
      <c r="I11" s="29">
        <v>69.16</v>
      </c>
      <c r="J11" s="30">
        <f t="shared" si="0"/>
        <v>-7.1777203560149383E-3</v>
      </c>
      <c r="K11" s="29">
        <v>66.8</v>
      </c>
      <c r="L11" s="30">
        <f t="shared" si="1"/>
        <v>-4.1056560436405376E-2</v>
      </c>
      <c r="M11" s="36">
        <f t="shared" si="2"/>
        <v>-3.4123770965876266E-2</v>
      </c>
      <c r="N11" s="2">
        <v>2</v>
      </c>
      <c r="R11" s="2" t="s">
        <v>29</v>
      </c>
      <c r="S11" t="s">
        <v>28</v>
      </c>
    </row>
    <row r="12" spans="1:21" x14ac:dyDescent="0.2">
      <c r="A12" s="7" t="s">
        <v>77</v>
      </c>
      <c r="B12" s="2" t="s">
        <v>76</v>
      </c>
      <c r="C12" s="2" t="s">
        <v>43</v>
      </c>
      <c r="D12" s="9">
        <v>0</v>
      </c>
      <c r="E12" s="2" t="s">
        <v>2</v>
      </c>
      <c r="F12" s="2" t="s">
        <v>531</v>
      </c>
      <c r="G12" s="3">
        <v>45861</v>
      </c>
      <c r="H12" s="29">
        <v>48.58</v>
      </c>
      <c r="I12" s="29">
        <v>48.33</v>
      </c>
      <c r="J12" s="30">
        <f t="shared" si="0"/>
        <v>-5.1461506792919165E-3</v>
      </c>
      <c r="K12" s="29">
        <v>39.49</v>
      </c>
      <c r="L12" s="30">
        <f t="shared" si="1"/>
        <v>-0.18711403869905308</v>
      </c>
      <c r="M12" s="36">
        <f t="shared" si="2"/>
        <v>-0.18290916614938957</v>
      </c>
      <c r="N12" s="2">
        <v>2</v>
      </c>
      <c r="R12" s="2" t="s">
        <v>75</v>
      </c>
      <c r="S12" t="s">
        <v>74</v>
      </c>
    </row>
    <row r="13" spans="1:21" s="1" customFormat="1" x14ac:dyDescent="0.2">
      <c r="A13" s="19" t="s">
        <v>73</v>
      </c>
      <c r="B13" s="19" t="s">
        <v>72</v>
      </c>
      <c r="C13" s="19" t="s">
        <v>43</v>
      </c>
      <c r="D13" s="20">
        <v>0</v>
      </c>
      <c r="E13" s="19" t="s">
        <v>2</v>
      </c>
      <c r="F13" s="2" t="s">
        <v>531</v>
      </c>
      <c r="G13" s="21">
        <v>45861</v>
      </c>
      <c r="H13" s="28">
        <v>21.13</v>
      </c>
      <c r="I13" s="28">
        <v>22.43</v>
      </c>
      <c r="J13" s="30">
        <f t="shared" si="0"/>
        <v>6.1523899668717519E-2</v>
      </c>
      <c r="K13" s="28">
        <v>22.61</v>
      </c>
      <c r="L13" s="30">
        <f t="shared" si="1"/>
        <v>7.0042593469001435E-2</v>
      </c>
      <c r="M13" s="36">
        <f t="shared" si="2"/>
        <v>8.0249665626392908E-3</v>
      </c>
      <c r="N13" s="19"/>
      <c r="O13" s="19"/>
      <c r="P13" s="19"/>
      <c r="Q13" s="19"/>
      <c r="R13" s="19" t="s">
        <v>71</v>
      </c>
      <c r="S13" s="1" t="s">
        <v>70</v>
      </c>
    </row>
    <row r="14" spans="1:21" ht="13.5" thickBot="1" x14ac:dyDescent="0.25">
      <c r="A14" s="7" t="s">
        <v>69</v>
      </c>
      <c r="B14" s="2" t="s">
        <v>68</v>
      </c>
      <c r="C14" s="2" t="s">
        <v>43</v>
      </c>
      <c r="D14" s="9">
        <v>0</v>
      </c>
      <c r="E14" s="2" t="s">
        <v>2</v>
      </c>
      <c r="F14" s="2" t="s">
        <v>531</v>
      </c>
      <c r="G14" s="3">
        <v>45861</v>
      </c>
      <c r="H14" s="29">
        <v>15.32</v>
      </c>
      <c r="I14" s="29">
        <v>17.25</v>
      </c>
      <c r="J14" s="30">
        <f t="shared" si="0"/>
        <v>0.12597911227154035</v>
      </c>
      <c r="K14" s="29">
        <v>15.76</v>
      </c>
      <c r="L14" s="30">
        <f t="shared" si="1"/>
        <v>2.8720626631853818E-2</v>
      </c>
      <c r="M14" s="36">
        <f t="shared" si="2"/>
        <v>-8.6376811594202962E-2</v>
      </c>
      <c r="R14" s="2" t="s">
        <v>67</v>
      </c>
      <c r="S14" t="s">
        <v>66</v>
      </c>
    </row>
    <row r="15" spans="1:21" s="1" customFormat="1" ht="13.5" thickBot="1" x14ac:dyDescent="0.25">
      <c r="A15" s="19" t="s">
        <v>65</v>
      </c>
      <c r="B15" s="19" t="s">
        <v>64</v>
      </c>
      <c r="C15" s="19" t="s">
        <v>43</v>
      </c>
      <c r="D15" s="20">
        <v>0</v>
      </c>
      <c r="E15" s="19" t="s">
        <v>2</v>
      </c>
      <c r="F15" s="2" t="s">
        <v>531</v>
      </c>
      <c r="G15" s="21">
        <v>45861</v>
      </c>
      <c r="H15" s="28">
        <v>28.27</v>
      </c>
      <c r="I15" s="28">
        <v>29.41</v>
      </c>
      <c r="J15" s="30">
        <f t="shared" si="0"/>
        <v>4.032543332154237E-2</v>
      </c>
      <c r="K15" s="28">
        <v>51.92</v>
      </c>
      <c r="L15" s="30">
        <f t="shared" si="1"/>
        <v>0.83657587548638146</v>
      </c>
      <c r="M15" s="37">
        <f>K15/I15-1</f>
        <v>0.76538592315538945</v>
      </c>
      <c r="N15" s="19">
        <v>3</v>
      </c>
      <c r="O15" s="19"/>
      <c r="P15" s="19"/>
      <c r="Q15" s="19"/>
      <c r="R15" s="19" t="s">
        <v>63</v>
      </c>
      <c r="S15" s="1" t="s">
        <v>62</v>
      </c>
    </row>
    <row r="16" spans="1:21" s="1" customFormat="1" ht="13.5" thickBot="1" x14ac:dyDescent="0.25">
      <c r="A16" s="19" t="s">
        <v>81</v>
      </c>
      <c r="B16" s="19" t="s">
        <v>80</v>
      </c>
      <c r="C16" s="19" t="s">
        <v>43</v>
      </c>
      <c r="D16" s="20">
        <v>171.24</v>
      </c>
      <c r="E16" s="19" t="s">
        <v>1</v>
      </c>
      <c r="F16" s="2" t="s">
        <v>531</v>
      </c>
      <c r="G16" s="21">
        <v>45861</v>
      </c>
      <c r="H16" s="28">
        <v>548.99</v>
      </c>
      <c r="I16" s="28">
        <v>629.03</v>
      </c>
      <c r="J16" s="30">
        <f t="shared" si="0"/>
        <v>0.14579500537350398</v>
      </c>
      <c r="K16" s="28">
        <v>648.25</v>
      </c>
      <c r="L16" s="30">
        <f t="shared" si="1"/>
        <v>0.18080475054190415</v>
      </c>
      <c r="M16" s="36">
        <f t="shared" si="2"/>
        <v>3.0554981479420817E-2</v>
      </c>
      <c r="N16" s="19">
        <v>2</v>
      </c>
      <c r="O16" s="19"/>
      <c r="P16" s="19"/>
      <c r="Q16" s="19"/>
      <c r="R16" s="19" t="s">
        <v>79</v>
      </c>
      <c r="S16" s="1" t="s">
        <v>78</v>
      </c>
    </row>
    <row r="17" spans="1:19" ht="13.5" thickBot="1" x14ac:dyDescent="0.25">
      <c r="A17" s="8" t="s">
        <v>85</v>
      </c>
      <c r="B17" s="2" t="s">
        <v>84</v>
      </c>
      <c r="C17" s="2" t="s">
        <v>43</v>
      </c>
      <c r="D17" s="9">
        <v>121.82</v>
      </c>
      <c r="E17" s="2" t="s">
        <v>1</v>
      </c>
      <c r="F17" s="2" t="s">
        <v>531</v>
      </c>
      <c r="G17" s="3">
        <v>45861</v>
      </c>
      <c r="H17" s="29">
        <v>100.71</v>
      </c>
      <c r="I17" s="29">
        <v>104.46</v>
      </c>
      <c r="J17" s="30">
        <f>I17/H17-1</f>
        <v>3.7235627047959463E-2</v>
      </c>
      <c r="K17" s="29">
        <v>123.91</v>
      </c>
      <c r="L17" s="30">
        <f t="shared" si="1"/>
        <v>0.23036441267004282</v>
      </c>
      <c r="M17" s="37">
        <f t="shared" si="2"/>
        <v>0.18619567298487461</v>
      </c>
      <c r="N17" s="2">
        <v>1</v>
      </c>
      <c r="R17" s="2" t="s">
        <v>83</v>
      </c>
      <c r="S17" t="s">
        <v>82</v>
      </c>
    </row>
    <row r="18" spans="1:19" x14ac:dyDescent="0.2">
      <c r="A18" s="7" t="s">
        <v>93</v>
      </c>
      <c r="B18" s="2" t="s">
        <v>92</v>
      </c>
      <c r="C18" s="2" t="s">
        <v>43</v>
      </c>
      <c r="D18" s="9">
        <v>13.34</v>
      </c>
      <c r="E18" s="2" t="s">
        <v>1</v>
      </c>
      <c r="F18" s="2" t="s">
        <v>531</v>
      </c>
      <c r="G18" s="3">
        <v>45861</v>
      </c>
      <c r="H18" s="29">
        <v>167.89</v>
      </c>
      <c r="I18" s="29">
        <v>195.01</v>
      </c>
      <c r="J18" s="30">
        <f t="shared" si="0"/>
        <v>0.1615343379593781</v>
      </c>
      <c r="K18" s="29">
        <v>186.05</v>
      </c>
      <c r="L18" s="30">
        <f t="shared" si="1"/>
        <v>0.10816606111144211</v>
      </c>
      <c r="M18" s="36">
        <f t="shared" si="2"/>
        <v>-4.5946361725039631E-2</v>
      </c>
      <c r="R18" s="2" t="s">
        <v>91</v>
      </c>
      <c r="S18" t="s">
        <v>90</v>
      </c>
    </row>
    <row r="19" spans="1:19" x14ac:dyDescent="0.2">
      <c r="A19" s="7" t="s">
        <v>89</v>
      </c>
      <c r="B19" s="2" t="s">
        <v>88</v>
      </c>
      <c r="C19" s="2" t="s">
        <v>43</v>
      </c>
      <c r="D19" s="9">
        <v>12.02</v>
      </c>
      <c r="E19" s="2" t="s">
        <v>1</v>
      </c>
      <c r="F19" s="2" t="s">
        <v>531</v>
      </c>
      <c r="G19" s="3">
        <v>45861</v>
      </c>
      <c r="H19" s="29">
        <v>49.17</v>
      </c>
      <c r="I19" s="29">
        <v>57.19</v>
      </c>
      <c r="J19" s="30">
        <f t="shared" si="0"/>
        <v>0.16310758592637775</v>
      </c>
      <c r="K19" s="29">
        <v>63.81</v>
      </c>
      <c r="L19" s="30">
        <f t="shared" si="1"/>
        <v>0.29774252593044537</v>
      </c>
      <c r="M19" s="36">
        <f t="shared" si="2"/>
        <v>0.11575450253540831</v>
      </c>
      <c r="R19" s="2" t="s">
        <v>87</v>
      </c>
      <c r="S19" t="s">
        <v>86</v>
      </c>
    </row>
    <row r="20" spans="1:19" x14ac:dyDescent="0.2">
      <c r="A20" s="7" t="s">
        <v>95</v>
      </c>
      <c r="B20" s="2">
        <v>8377</v>
      </c>
      <c r="C20" s="2" t="s">
        <v>96</v>
      </c>
      <c r="D20" s="2" t="s">
        <v>97</v>
      </c>
      <c r="E20" s="2" t="s">
        <v>98</v>
      </c>
      <c r="F20" s="2" t="s">
        <v>531</v>
      </c>
      <c r="G20" s="3">
        <v>45863</v>
      </c>
      <c r="H20" s="29">
        <v>3338</v>
      </c>
      <c r="I20" s="29">
        <v>3381</v>
      </c>
      <c r="J20" s="30">
        <f t="shared" si="0"/>
        <v>1.2881965248651817E-2</v>
      </c>
      <c r="K20" s="29">
        <v>3610</v>
      </c>
      <c r="L20" s="30">
        <f t="shared" si="1"/>
        <v>8.148591971240271E-2</v>
      </c>
      <c r="M20" s="36">
        <f t="shared" si="2"/>
        <v>6.7731440402247767E-2</v>
      </c>
      <c r="N20" s="2">
        <v>3</v>
      </c>
      <c r="R20" s="2" t="s">
        <v>99</v>
      </c>
      <c r="S20" t="s">
        <v>100</v>
      </c>
    </row>
    <row r="21" spans="1:19" x14ac:dyDescent="0.2">
      <c r="A21" s="7" t="s">
        <v>101</v>
      </c>
      <c r="B21" s="2" t="s">
        <v>102</v>
      </c>
      <c r="C21" s="2" t="s">
        <v>25</v>
      </c>
      <c r="D21" s="2" t="s">
        <v>103</v>
      </c>
      <c r="E21" s="2" t="s">
        <v>2</v>
      </c>
      <c r="F21" s="2" t="s">
        <v>531</v>
      </c>
      <c r="G21" s="3">
        <v>45866</v>
      </c>
      <c r="H21" s="29">
        <v>39.92</v>
      </c>
      <c r="I21" s="29">
        <v>40.17</v>
      </c>
      <c r="J21" s="30">
        <f t="shared" si="0"/>
        <v>6.262525050100276E-3</v>
      </c>
      <c r="K21" s="29">
        <v>38.04</v>
      </c>
      <c r="L21" s="30">
        <f t="shared" si="1"/>
        <v>-4.709418837675361E-2</v>
      </c>
      <c r="M21" s="36">
        <f t="shared" si="2"/>
        <v>-5.3024645257655045E-2</v>
      </c>
      <c r="N21" s="2">
        <v>1</v>
      </c>
      <c r="R21" s="2" t="s">
        <v>104</v>
      </c>
      <c r="S21" t="s">
        <v>105</v>
      </c>
    </row>
    <row r="22" spans="1:19" ht="14.25" customHeight="1" x14ac:dyDescent="0.2">
      <c r="A22" s="7" t="s">
        <v>106</v>
      </c>
      <c r="B22" s="2" t="s">
        <v>107</v>
      </c>
      <c r="C22" s="2" t="s">
        <v>25</v>
      </c>
      <c r="D22" s="2">
        <v>8.02</v>
      </c>
      <c r="E22" s="2" t="s">
        <v>108</v>
      </c>
      <c r="F22" s="2" t="s">
        <v>531</v>
      </c>
      <c r="G22" s="3">
        <v>45867</v>
      </c>
      <c r="H22" s="29">
        <v>168.82</v>
      </c>
      <c r="I22" s="29">
        <v>184.66</v>
      </c>
      <c r="J22" s="30">
        <f t="shared" si="0"/>
        <v>9.382774552778117E-2</v>
      </c>
      <c r="K22" s="29">
        <v>195.85</v>
      </c>
      <c r="L22" s="30">
        <f t="shared" si="1"/>
        <v>0.16011136121312641</v>
      </c>
      <c r="M22" s="36">
        <f t="shared" si="2"/>
        <v>6.059785551824981E-2</v>
      </c>
      <c r="R22" s="3" t="s">
        <v>109</v>
      </c>
      <c r="S22" s="10" t="s">
        <v>110</v>
      </c>
    </row>
    <row r="23" spans="1:19" ht="12.75" customHeight="1" thickBot="1" x14ac:dyDescent="0.25">
      <c r="A23" s="7" t="s">
        <v>113</v>
      </c>
      <c r="B23" s="2" t="s">
        <v>114</v>
      </c>
      <c r="C23" s="2" t="s">
        <v>25</v>
      </c>
      <c r="D23" s="2">
        <v>4.18</v>
      </c>
      <c r="E23" s="2" t="s">
        <v>108</v>
      </c>
      <c r="F23" s="2" t="s">
        <v>531</v>
      </c>
      <c r="G23" s="3">
        <v>45867</v>
      </c>
      <c r="H23" s="29">
        <v>23.29</v>
      </c>
      <c r="I23" s="29">
        <v>23.65</v>
      </c>
      <c r="J23" s="30">
        <f t="shared" si="0"/>
        <v>1.545727780163153E-2</v>
      </c>
      <c r="K23" s="29">
        <v>24.14</v>
      </c>
      <c r="L23" s="30">
        <f t="shared" si="1"/>
        <v>3.649635036496357E-2</v>
      </c>
      <c r="M23" s="36">
        <f t="shared" si="2"/>
        <v>2.0718816067653467E-2</v>
      </c>
      <c r="N23" s="12">
        <v>3</v>
      </c>
      <c r="R23" s="2" t="s">
        <v>79</v>
      </c>
      <c r="S23" t="s">
        <v>115</v>
      </c>
    </row>
    <row r="24" spans="1:19" ht="13.5" thickBot="1" x14ac:dyDescent="0.25">
      <c r="A24" s="7" t="s">
        <v>116</v>
      </c>
      <c r="B24" s="2" t="s">
        <v>117</v>
      </c>
      <c r="C24" s="2" t="s">
        <v>25</v>
      </c>
      <c r="D24" s="2" t="s">
        <v>118</v>
      </c>
      <c r="E24" s="2" t="s">
        <v>2</v>
      </c>
      <c r="F24" s="2" t="s">
        <v>531</v>
      </c>
      <c r="G24" s="3">
        <v>45867</v>
      </c>
      <c r="H24" s="29">
        <v>84.91</v>
      </c>
      <c r="I24" s="29">
        <v>91.78</v>
      </c>
      <c r="J24" s="30">
        <f t="shared" si="0"/>
        <v>8.0909197974325719E-2</v>
      </c>
      <c r="K24" s="29">
        <v>120.87</v>
      </c>
      <c r="L24" s="30">
        <f t="shared" si="1"/>
        <v>0.42350724296313746</v>
      </c>
      <c r="M24" s="37">
        <f t="shared" si="2"/>
        <v>0.31695358465896706</v>
      </c>
      <c r="O24" s="2">
        <v>1</v>
      </c>
      <c r="R24" s="2" t="s">
        <v>119</v>
      </c>
      <c r="S24" t="s">
        <v>120</v>
      </c>
    </row>
    <row r="25" spans="1:19" x14ac:dyDescent="0.2">
      <c r="A25" s="7" t="s">
        <v>121</v>
      </c>
      <c r="B25" s="2" t="s">
        <v>122</v>
      </c>
      <c r="C25" s="2" t="s">
        <v>25</v>
      </c>
      <c r="D25" s="2" t="s">
        <v>123</v>
      </c>
      <c r="E25" s="2" t="s">
        <v>2</v>
      </c>
      <c r="F25" s="2" t="s">
        <v>531</v>
      </c>
      <c r="G25" s="3">
        <v>45867</v>
      </c>
      <c r="H25" s="29">
        <v>13.11</v>
      </c>
      <c r="I25" s="29">
        <v>15.89</v>
      </c>
      <c r="J25" s="30">
        <f t="shared" si="0"/>
        <v>0.21205186880244109</v>
      </c>
      <c r="K25" s="29">
        <v>15.33</v>
      </c>
      <c r="L25" s="30">
        <f t="shared" si="1"/>
        <v>0.16933638443935939</v>
      </c>
      <c r="M25" s="36">
        <f t="shared" si="2"/>
        <v>-3.524229074889873E-2</v>
      </c>
      <c r="N25" s="2">
        <v>1</v>
      </c>
      <c r="R25" s="2" t="s">
        <v>124</v>
      </c>
      <c r="S25" t="s">
        <v>125</v>
      </c>
    </row>
    <row r="26" spans="1:19" ht="13.5" thickBot="1" x14ac:dyDescent="0.25">
      <c r="A26" s="7" t="s">
        <v>126</v>
      </c>
      <c r="B26" s="2" t="s">
        <v>127</v>
      </c>
      <c r="C26" s="2" t="s">
        <v>25</v>
      </c>
      <c r="D26" s="2" t="s">
        <v>128</v>
      </c>
      <c r="E26" s="2" t="s">
        <v>2</v>
      </c>
      <c r="F26" s="2" t="s">
        <v>531</v>
      </c>
      <c r="G26" s="3">
        <v>45867</v>
      </c>
      <c r="H26" s="29">
        <v>31.48</v>
      </c>
      <c r="I26" s="29">
        <v>34.869999999999997</v>
      </c>
      <c r="J26" s="30">
        <f t="shared" si="0"/>
        <v>0.10768742058449798</v>
      </c>
      <c r="K26" s="29">
        <v>35.880000000000003</v>
      </c>
      <c r="L26" s="30">
        <f t="shared" si="1"/>
        <v>0.13977128335451083</v>
      </c>
      <c r="M26" s="36">
        <f t="shared" si="2"/>
        <v>2.896472612560963E-2</v>
      </c>
      <c r="N26" s="2">
        <v>1</v>
      </c>
      <c r="R26" s="2" t="s">
        <v>129</v>
      </c>
      <c r="S26" t="s">
        <v>130</v>
      </c>
    </row>
    <row r="27" spans="1:19" s="1" customFormat="1" ht="13.5" thickBot="1" x14ac:dyDescent="0.25">
      <c r="A27" s="19" t="s">
        <v>131</v>
      </c>
      <c r="B27" s="19" t="s">
        <v>132</v>
      </c>
      <c r="C27" s="19" t="s">
        <v>25</v>
      </c>
      <c r="D27" s="19" t="s">
        <v>128</v>
      </c>
      <c r="E27" s="19" t="s">
        <v>2</v>
      </c>
      <c r="F27" s="2" t="s">
        <v>531</v>
      </c>
      <c r="G27" s="21">
        <v>45867</v>
      </c>
      <c r="H27" s="28">
        <v>34.71</v>
      </c>
      <c r="I27" s="28">
        <v>40.35</v>
      </c>
      <c r="J27" s="30">
        <f t="shared" si="0"/>
        <v>0.16248919619706137</v>
      </c>
      <c r="K27" s="28">
        <v>48.52</v>
      </c>
      <c r="L27" s="30">
        <f t="shared" si="1"/>
        <v>0.39786804955344279</v>
      </c>
      <c r="M27" s="37">
        <f t="shared" si="2"/>
        <v>0.20247831474597278</v>
      </c>
      <c r="N27" s="19">
        <v>1</v>
      </c>
      <c r="O27" s="19"/>
      <c r="P27" s="19"/>
      <c r="Q27" s="19"/>
      <c r="R27" s="19" t="s">
        <v>133</v>
      </c>
      <c r="S27" s="1" t="s">
        <v>134</v>
      </c>
    </row>
    <row r="28" spans="1:19" ht="13.5" thickBot="1" x14ac:dyDescent="0.25">
      <c r="A28" s="7" t="s">
        <v>135</v>
      </c>
      <c r="B28" s="2">
        <v>6857</v>
      </c>
      <c r="C28" s="2" t="s">
        <v>136</v>
      </c>
      <c r="D28" s="2">
        <v>56.9</v>
      </c>
      <c r="E28" s="2" t="s">
        <v>137</v>
      </c>
      <c r="F28" s="2" t="s">
        <v>531</v>
      </c>
      <c r="G28" s="3">
        <v>45867</v>
      </c>
      <c r="H28" s="29">
        <v>10465</v>
      </c>
      <c r="I28" s="29">
        <v>10355</v>
      </c>
      <c r="J28" s="30">
        <f t="shared" si="0"/>
        <v>-1.0511227902532227E-2</v>
      </c>
      <c r="K28" s="29">
        <v>17310</v>
      </c>
      <c r="L28" s="30">
        <f t="shared" si="1"/>
        <v>0.65408504538939316</v>
      </c>
      <c r="M28" s="37">
        <f t="shared" si="2"/>
        <v>0.6716562047320136</v>
      </c>
      <c r="N28" s="2">
        <v>5</v>
      </c>
      <c r="P28" s="13">
        <v>0.27800000000000002</v>
      </c>
      <c r="Q28" s="13">
        <v>0.37</v>
      </c>
      <c r="R28" s="2" t="s">
        <v>154</v>
      </c>
      <c r="S28" t="s">
        <v>149</v>
      </c>
    </row>
    <row r="29" spans="1:19" ht="13.5" thickBot="1" x14ac:dyDescent="0.25">
      <c r="A29" s="7" t="s">
        <v>138</v>
      </c>
      <c r="B29" s="2" t="s">
        <v>139</v>
      </c>
      <c r="C29" s="2" t="s">
        <v>140</v>
      </c>
      <c r="D29" s="2">
        <v>47.41</v>
      </c>
      <c r="E29" s="2" t="s">
        <v>137</v>
      </c>
      <c r="F29" s="2" t="s">
        <v>531</v>
      </c>
      <c r="G29" s="3">
        <v>45867</v>
      </c>
      <c r="H29" s="29">
        <v>55.41</v>
      </c>
      <c r="I29" s="29">
        <v>61.98</v>
      </c>
      <c r="J29" s="30">
        <f t="shared" si="0"/>
        <v>0.11857065511640497</v>
      </c>
      <c r="K29" s="29">
        <v>85.5</v>
      </c>
      <c r="L29" s="30">
        <f t="shared" si="1"/>
        <v>0.5430427720628046</v>
      </c>
      <c r="M29" s="37">
        <f t="shared" si="2"/>
        <v>0.37947725072604066</v>
      </c>
      <c r="N29" s="2">
        <v>3</v>
      </c>
      <c r="P29" s="13">
        <v>0.13800000000000001</v>
      </c>
      <c r="Q29" s="13">
        <v>0.153</v>
      </c>
      <c r="R29" s="2" t="s">
        <v>155</v>
      </c>
      <c r="S29" t="s">
        <v>150</v>
      </c>
    </row>
    <row r="30" spans="1:19" ht="13.5" thickBot="1" x14ac:dyDescent="0.25">
      <c r="A30" s="7" t="s">
        <v>141</v>
      </c>
      <c r="B30" s="2" t="s">
        <v>142</v>
      </c>
      <c r="C30" s="2" t="s">
        <v>140</v>
      </c>
      <c r="D30" s="2">
        <v>23.43</v>
      </c>
      <c r="E30" s="2" t="s">
        <v>137</v>
      </c>
      <c r="F30" s="2" t="s">
        <v>531</v>
      </c>
      <c r="G30" s="3">
        <v>45867</v>
      </c>
      <c r="H30" s="29">
        <v>21.02</v>
      </c>
      <c r="I30" s="29">
        <v>22.4</v>
      </c>
      <c r="J30" s="30">
        <f t="shared" si="0"/>
        <v>6.565176022835395E-2</v>
      </c>
      <c r="K30" s="29">
        <v>27.14</v>
      </c>
      <c r="L30" s="30">
        <f t="shared" si="1"/>
        <v>0.29115128449096095</v>
      </c>
      <c r="M30" s="37">
        <f t="shared" si="2"/>
        <v>0.21160714285714288</v>
      </c>
      <c r="N30" s="2">
        <v>1</v>
      </c>
      <c r="P30" s="13">
        <v>-6.0999999999999999E-2</v>
      </c>
      <c r="Q30" s="13">
        <v>0.436</v>
      </c>
      <c r="R30" s="2" t="s">
        <v>156</v>
      </c>
      <c r="S30" t="s">
        <v>151</v>
      </c>
    </row>
    <row r="31" spans="1:19" ht="13.5" thickBot="1" x14ac:dyDescent="0.25">
      <c r="A31" s="7" t="s">
        <v>143</v>
      </c>
      <c r="B31" s="2" t="s">
        <v>144</v>
      </c>
      <c r="C31" s="2" t="s">
        <v>140</v>
      </c>
      <c r="D31" s="2">
        <v>12.02</v>
      </c>
      <c r="E31" s="2" t="s">
        <v>137</v>
      </c>
      <c r="F31" s="2" t="s">
        <v>531</v>
      </c>
      <c r="G31" s="3">
        <v>45867</v>
      </c>
      <c r="H31" s="29">
        <v>114.14</v>
      </c>
      <c r="I31" s="29">
        <v>144.46</v>
      </c>
      <c r="J31" s="30">
        <f t="shared" si="0"/>
        <v>0.26563868932889445</v>
      </c>
      <c r="K31" s="29">
        <v>169.1</v>
      </c>
      <c r="L31" s="30">
        <f t="shared" si="1"/>
        <v>0.48151393026108291</v>
      </c>
      <c r="M31" s="37">
        <f t="shared" si="2"/>
        <v>0.17056624671189247</v>
      </c>
      <c r="N31" s="2">
        <v>3</v>
      </c>
      <c r="P31" s="13">
        <v>0.23100000000000001</v>
      </c>
      <c r="Q31" s="13">
        <v>1.1739999999999999</v>
      </c>
      <c r="R31" s="2" t="s">
        <v>157</v>
      </c>
      <c r="S31" t="s">
        <v>152</v>
      </c>
    </row>
    <row r="32" spans="1:19" ht="13.5" thickBot="1" x14ac:dyDescent="0.25">
      <c r="A32" s="7" t="s">
        <v>145</v>
      </c>
      <c r="B32" s="2">
        <v>2383</v>
      </c>
      <c r="C32" s="2" t="s">
        <v>146</v>
      </c>
      <c r="D32" s="2">
        <v>11.68</v>
      </c>
      <c r="E32" s="2" t="s">
        <v>137</v>
      </c>
      <c r="F32" s="2" t="s">
        <v>531</v>
      </c>
      <c r="G32" s="3">
        <v>45867</v>
      </c>
      <c r="H32" s="29">
        <v>1025</v>
      </c>
      <c r="I32" s="29">
        <v>1015</v>
      </c>
      <c r="J32" s="30">
        <f t="shared" si="0"/>
        <v>-9.7560975609756184E-3</v>
      </c>
      <c r="K32" s="29">
        <v>1235</v>
      </c>
      <c r="L32" s="30">
        <f t="shared" si="1"/>
        <v>0.20487804878048776</v>
      </c>
      <c r="M32" s="37">
        <f t="shared" si="2"/>
        <v>0.21674876847290636</v>
      </c>
      <c r="N32" s="2">
        <v>2</v>
      </c>
      <c r="P32" s="13">
        <v>0.17499999999999999</v>
      </c>
      <c r="Q32" s="13">
        <v>0.11600000000000001</v>
      </c>
      <c r="R32" s="2" t="s">
        <v>154</v>
      </c>
      <c r="S32" t="s">
        <v>153</v>
      </c>
    </row>
    <row r="33" spans="1:19" x14ac:dyDescent="0.2">
      <c r="A33" s="7" t="s">
        <v>158</v>
      </c>
      <c r="B33" s="2">
        <v>4503</v>
      </c>
      <c r="C33" s="2" t="s">
        <v>159</v>
      </c>
      <c r="D33" s="2" t="s">
        <v>160</v>
      </c>
      <c r="E33" s="2" t="s">
        <v>161</v>
      </c>
      <c r="F33" s="2" t="s">
        <v>531</v>
      </c>
      <c r="G33" s="3">
        <v>45868</v>
      </c>
      <c r="H33" s="29">
        <v>1488</v>
      </c>
      <c r="I33" s="29">
        <v>1578</v>
      </c>
      <c r="J33" s="30">
        <f t="shared" si="0"/>
        <v>6.0483870967741993E-2</v>
      </c>
      <c r="K33" s="29">
        <v>1575.5</v>
      </c>
      <c r="L33" s="30">
        <f t="shared" si="1"/>
        <v>5.8803763440860246E-2</v>
      </c>
      <c r="M33" s="36">
        <f t="shared" si="2"/>
        <v>-1.5842839036754874E-3</v>
      </c>
      <c r="N33" s="2">
        <v>3</v>
      </c>
      <c r="P33" s="13">
        <v>0.36299999999999999</v>
      </c>
      <c r="Q33" s="13">
        <v>0.17699999999999999</v>
      </c>
      <c r="R33" s="2" t="s">
        <v>162</v>
      </c>
      <c r="S33" t="s">
        <v>163</v>
      </c>
    </row>
    <row r="34" spans="1:19" ht="13.5" thickBot="1" x14ac:dyDescent="0.25">
      <c r="A34" s="7" t="s">
        <v>164</v>
      </c>
      <c r="B34" s="2" t="s">
        <v>165</v>
      </c>
      <c r="C34" s="2" t="s">
        <v>166</v>
      </c>
      <c r="D34" s="2" t="s">
        <v>167</v>
      </c>
      <c r="E34" s="2" t="s">
        <v>161</v>
      </c>
      <c r="F34" s="2" t="s">
        <v>531</v>
      </c>
      <c r="G34" s="3">
        <v>45868</v>
      </c>
      <c r="H34" s="29">
        <v>6.99</v>
      </c>
      <c r="I34" s="29">
        <v>7.61</v>
      </c>
      <c r="J34" s="30">
        <f t="shared" si="0"/>
        <v>8.8698140200286213E-2</v>
      </c>
      <c r="K34" s="29">
        <v>6.41</v>
      </c>
      <c r="L34" s="30">
        <f t="shared" si="1"/>
        <v>-8.2975679542203196E-2</v>
      </c>
      <c r="M34" s="36">
        <f t="shared" si="2"/>
        <v>-0.1576872536136662</v>
      </c>
      <c r="O34" s="2">
        <v>1</v>
      </c>
      <c r="P34" s="13">
        <v>-4.3</v>
      </c>
      <c r="Q34" s="13">
        <v>0.39600000000000002</v>
      </c>
      <c r="R34" s="2" t="s">
        <v>168</v>
      </c>
      <c r="S34" t="s">
        <v>169</v>
      </c>
    </row>
    <row r="35" spans="1:19" ht="13.5" thickBot="1" x14ac:dyDescent="0.25">
      <c r="A35" s="7" t="s">
        <v>170</v>
      </c>
      <c r="B35" s="2" t="s">
        <v>171</v>
      </c>
      <c r="C35" s="2" t="s">
        <v>25</v>
      </c>
      <c r="D35" s="14">
        <v>126.75</v>
      </c>
      <c r="E35" s="2" t="s">
        <v>2</v>
      </c>
      <c r="F35" s="2" t="s">
        <v>531</v>
      </c>
      <c r="G35" s="3">
        <v>45868</v>
      </c>
      <c r="H35" s="29">
        <v>99.09</v>
      </c>
      <c r="I35" s="29">
        <v>94.84</v>
      </c>
      <c r="J35" s="30">
        <f t="shared" si="0"/>
        <v>-4.2890301745887593E-2</v>
      </c>
      <c r="K35" s="29">
        <v>137.81</v>
      </c>
      <c r="L35" s="30">
        <f t="shared" si="1"/>
        <v>0.39075587849429816</v>
      </c>
      <c r="M35" s="37">
        <f t="shared" si="2"/>
        <v>0.45307886967524258</v>
      </c>
      <c r="N35" s="2">
        <v>1</v>
      </c>
      <c r="P35" s="13">
        <v>9.8000000000000004E-2</v>
      </c>
      <c r="Q35" s="13">
        <v>0.106</v>
      </c>
      <c r="R35" s="2" t="s">
        <v>154</v>
      </c>
      <c r="S35" t="s">
        <v>172</v>
      </c>
    </row>
    <row r="36" spans="1:19" ht="13.5" thickBot="1" x14ac:dyDescent="0.25">
      <c r="A36" s="7" t="s">
        <v>173</v>
      </c>
      <c r="B36" s="2" t="s">
        <v>174</v>
      </c>
      <c r="C36" s="2" t="s">
        <v>25</v>
      </c>
      <c r="D36" s="14">
        <v>93.63</v>
      </c>
      <c r="E36" s="2" t="s">
        <v>2</v>
      </c>
      <c r="F36" s="2" t="s">
        <v>531</v>
      </c>
      <c r="G36" s="3">
        <v>45868</v>
      </c>
      <c r="H36" s="29">
        <v>103.32</v>
      </c>
      <c r="I36" s="29">
        <v>106.1</v>
      </c>
      <c r="J36" s="30">
        <f t="shared" si="0"/>
        <v>2.6906697638404919E-2</v>
      </c>
      <c r="K36" s="29">
        <v>140.68</v>
      </c>
      <c r="L36" s="30">
        <f t="shared" si="1"/>
        <v>0.36159504452187385</v>
      </c>
      <c r="M36" s="37">
        <f t="shared" si="2"/>
        <v>0.32591894439208313</v>
      </c>
      <c r="N36" s="2">
        <v>3</v>
      </c>
      <c r="P36" s="13">
        <v>0.21052631578947367</v>
      </c>
      <c r="Q36" s="13">
        <v>0.20508613617719451</v>
      </c>
      <c r="R36" s="2" t="s">
        <v>175</v>
      </c>
      <c r="S36" t="s">
        <v>176</v>
      </c>
    </row>
    <row r="37" spans="1:19" ht="13.5" thickBot="1" x14ac:dyDescent="0.25">
      <c r="A37" s="7" t="s">
        <v>177</v>
      </c>
      <c r="B37" s="2" t="s">
        <v>178</v>
      </c>
      <c r="C37" s="2" t="s">
        <v>25</v>
      </c>
      <c r="D37" s="14">
        <v>62.02</v>
      </c>
      <c r="E37" s="2" t="s">
        <v>2</v>
      </c>
      <c r="F37" s="2" t="s">
        <v>531</v>
      </c>
      <c r="G37" s="3">
        <v>45868</v>
      </c>
      <c r="H37" s="29">
        <v>123.74</v>
      </c>
      <c r="I37" s="29">
        <v>126.3</v>
      </c>
      <c r="J37" s="30">
        <f t="shared" si="0"/>
        <v>2.0688540488120299E-2</v>
      </c>
      <c r="K37" s="29">
        <v>172.1</v>
      </c>
      <c r="L37" s="30">
        <f t="shared" si="1"/>
        <v>0.39081946015839675</v>
      </c>
      <c r="M37" s="37">
        <f t="shared" si="2"/>
        <v>0.36262866191607279</v>
      </c>
      <c r="N37" s="2">
        <v>3</v>
      </c>
      <c r="P37" s="13">
        <v>0.2340163661765684</v>
      </c>
      <c r="Q37" s="13">
        <v>0.19265708817424576</v>
      </c>
      <c r="R37" s="2" t="s">
        <v>179</v>
      </c>
      <c r="S37" t="s">
        <v>180</v>
      </c>
    </row>
    <row r="38" spans="1:19" x14ac:dyDescent="0.2">
      <c r="A38" s="7" t="s">
        <v>181</v>
      </c>
      <c r="B38" s="2" t="s">
        <v>182</v>
      </c>
      <c r="C38" s="2" t="s">
        <v>25</v>
      </c>
      <c r="D38" s="14">
        <v>71.44</v>
      </c>
      <c r="E38" s="2" t="s">
        <v>2</v>
      </c>
      <c r="F38" s="2" t="s">
        <v>531</v>
      </c>
      <c r="G38" s="3">
        <v>45868</v>
      </c>
      <c r="H38" s="29">
        <v>333.59</v>
      </c>
      <c r="I38" s="29">
        <v>390.17</v>
      </c>
      <c r="J38" s="30">
        <f t="shared" si="0"/>
        <v>0.16960940076141395</v>
      </c>
      <c r="K38" s="29">
        <v>338.28</v>
      </c>
      <c r="L38" s="30">
        <f t="shared" si="1"/>
        <v>1.4059174435684607E-2</v>
      </c>
      <c r="M38" s="36">
        <f t="shared" si="2"/>
        <v>-0.13299331060819652</v>
      </c>
      <c r="N38" s="2">
        <v>3</v>
      </c>
      <c r="P38" s="13">
        <v>0.26161616161616164</v>
      </c>
      <c r="Q38" s="13">
        <v>0.20096076861489198</v>
      </c>
      <c r="R38" s="2" t="s">
        <v>183</v>
      </c>
      <c r="S38" t="s">
        <v>184</v>
      </c>
    </row>
    <row r="39" spans="1:19" x14ac:dyDescent="0.2">
      <c r="A39" s="7" t="s">
        <v>498</v>
      </c>
      <c r="B39" s="2" t="s">
        <v>498</v>
      </c>
      <c r="C39" s="2" t="s">
        <v>25</v>
      </c>
      <c r="D39" s="14">
        <v>25.96</v>
      </c>
      <c r="E39" s="2" t="s">
        <v>2</v>
      </c>
      <c r="F39" s="2" t="s">
        <v>531</v>
      </c>
      <c r="G39" s="18">
        <v>45868</v>
      </c>
      <c r="H39" s="29">
        <v>202.51</v>
      </c>
      <c r="I39" s="29">
        <v>214.81</v>
      </c>
      <c r="J39" s="30">
        <f t="shared" si="0"/>
        <v>6.0737741346106322E-2</v>
      </c>
      <c r="K39" s="29">
        <v>202.48</v>
      </c>
      <c r="L39" s="30">
        <f t="shared" si="1"/>
        <v>-1.4814083255143551E-4</v>
      </c>
      <c r="M39" s="36">
        <f t="shared" si="2"/>
        <v>-5.7399562403985027E-2</v>
      </c>
      <c r="N39" s="2">
        <v>1</v>
      </c>
      <c r="P39" s="11">
        <v>8.2736267485499893E-2</v>
      </c>
      <c r="Q39" s="11">
        <v>0.17934142114384732</v>
      </c>
      <c r="R39" s="2" t="s">
        <v>202</v>
      </c>
      <c r="S39" t="s">
        <v>515</v>
      </c>
    </row>
    <row r="40" spans="1:19" ht="13.5" thickBot="1" x14ac:dyDescent="0.25">
      <c r="A40" s="7" t="s">
        <v>499</v>
      </c>
      <c r="B40" s="2">
        <v>4503</v>
      </c>
      <c r="C40" s="2" t="s">
        <v>112</v>
      </c>
      <c r="D40" s="14">
        <v>18.899999999999999</v>
      </c>
      <c r="E40" s="2" t="s">
        <v>2</v>
      </c>
      <c r="F40" s="2" t="s">
        <v>531</v>
      </c>
      <c r="G40" s="18">
        <v>45868</v>
      </c>
      <c r="H40" s="29">
        <v>1488</v>
      </c>
      <c r="I40" s="29">
        <v>1578.5</v>
      </c>
      <c r="J40" s="30">
        <f t="shared" si="0"/>
        <v>6.0819892473118253E-2</v>
      </c>
      <c r="K40" s="29">
        <v>1577.5</v>
      </c>
      <c r="L40" s="30">
        <f t="shared" si="1"/>
        <v>6.014784946236551E-2</v>
      </c>
      <c r="M40" s="36">
        <f t="shared" si="2"/>
        <v>-6.3351282863477465E-4</v>
      </c>
      <c r="N40" s="2">
        <v>3</v>
      </c>
      <c r="P40" s="11">
        <v>0.11208944855690306</v>
      </c>
      <c r="Q40" s="11">
        <v>0.20180631813479755</v>
      </c>
      <c r="R40" s="2" t="s">
        <v>91</v>
      </c>
      <c r="S40" t="s">
        <v>516</v>
      </c>
    </row>
    <row r="41" spans="1:19" ht="13.5" thickBot="1" x14ac:dyDescent="0.25">
      <c r="A41" s="7" t="s">
        <v>500</v>
      </c>
      <c r="B41" s="2" t="s">
        <v>501</v>
      </c>
      <c r="C41" s="2" t="s">
        <v>25</v>
      </c>
      <c r="D41" s="14">
        <v>2.71</v>
      </c>
      <c r="E41" s="2" t="s">
        <v>2</v>
      </c>
      <c r="F41" s="2" t="s">
        <v>531</v>
      </c>
      <c r="G41" s="18">
        <v>45868</v>
      </c>
      <c r="H41" s="29">
        <v>11.78</v>
      </c>
      <c r="I41" s="29">
        <v>13</v>
      </c>
      <c r="J41" s="30">
        <f t="shared" si="0"/>
        <v>0.10356536502546687</v>
      </c>
      <c r="K41" s="29">
        <v>17.309999999999999</v>
      </c>
      <c r="L41" s="30">
        <f t="shared" si="1"/>
        <v>0.46943972835314085</v>
      </c>
      <c r="M41" s="37">
        <f t="shared" si="2"/>
        <v>0.33153846153846134</v>
      </c>
      <c r="O41" s="2">
        <v>1</v>
      </c>
      <c r="P41" s="16"/>
      <c r="Q41" s="13"/>
      <c r="R41" s="2" t="s">
        <v>509</v>
      </c>
      <c r="S41" t="s">
        <v>517</v>
      </c>
    </row>
    <row r="42" spans="1:19" ht="13.5" thickBot="1" x14ac:dyDescent="0.25">
      <c r="A42" s="7" t="s">
        <v>502</v>
      </c>
      <c r="B42" s="2">
        <v>4205</v>
      </c>
      <c r="C42" s="2" t="s">
        <v>112</v>
      </c>
      <c r="D42" s="14">
        <v>2.29</v>
      </c>
      <c r="E42" s="2" t="s">
        <v>2</v>
      </c>
      <c r="F42" s="2" t="s">
        <v>531</v>
      </c>
      <c r="G42" s="18">
        <v>45868</v>
      </c>
      <c r="H42" s="29">
        <v>1595.5</v>
      </c>
      <c r="I42" s="29">
        <v>1604</v>
      </c>
      <c r="J42" s="30">
        <f t="shared" si="0"/>
        <v>5.3274835474772519E-3</v>
      </c>
      <c r="K42" s="29">
        <v>1612.5</v>
      </c>
      <c r="L42" s="30">
        <f t="shared" si="1"/>
        <v>1.0654967094954504E-2</v>
      </c>
      <c r="M42" s="36">
        <f t="shared" si="2"/>
        <v>5.2992518703240954E-3</v>
      </c>
      <c r="N42" s="2">
        <v>1</v>
      </c>
      <c r="P42" s="11">
        <v>2.4088565143701945E-2</v>
      </c>
      <c r="Q42" s="11">
        <v>0.12095496320292964</v>
      </c>
      <c r="R42" s="2" t="s">
        <v>510</v>
      </c>
      <c r="S42" t="s">
        <v>518</v>
      </c>
    </row>
    <row r="43" spans="1:19" ht="13.5" thickBot="1" x14ac:dyDescent="0.25">
      <c r="A43" s="7" t="s">
        <v>503</v>
      </c>
      <c r="B43" s="2">
        <v>5214</v>
      </c>
      <c r="C43" s="2" t="s">
        <v>112</v>
      </c>
      <c r="D43" s="14">
        <v>2.4</v>
      </c>
      <c r="E43" s="2" t="s">
        <v>2</v>
      </c>
      <c r="F43" s="2" t="s">
        <v>531</v>
      </c>
      <c r="G43" s="18">
        <v>45868</v>
      </c>
      <c r="H43" s="29">
        <v>3774</v>
      </c>
      <c r="I43" s="29">
        <v>4055</v>
      </c>
      <c r="J43" s="30">
        <f t="shared" si="0"/>
        <v>7.44568097509275E-2</v>
      </c>
      <c r="K43" s="29">
        <v>4815</v>
      </c>
      <c r="L43" s="30">
        <f t="shared" si="1"/>
        <v>0.27583465818759945</v>
      </c>
      <c r="M43" s="37">
        <f t="shared" si="2"/>
        <v>0.18742293464858206</v>
      </c>
      <c r="N43" s="2">
        <v>2</v>
      </c>
      <c r="P43" s="11">
        <v>1.3333333333333335</v>
      </c>
      <c r="Q43" s="11">
        <v>0.59783913565426139</v>
      </c>
      <c r="R43" s="2" t="s">
        <v>511</v>
      </c>
      <c r="S43" t="s">
        <v>519</v>
      </c>
    </row>
    <row r="44" spans="1:19" x14ac:dyDescent="0.2">
      <c r="A44" s="7" t="s">
        <v>504</v>
      </c>
      <c r="B44" s="2" t="s">
        <v>505</v>
      </c>
      <c r="C44" s="2" t="s">
        <v>25</v>
      </c>
      <c r="D44" s="14">
        <v>2.46</v>
      </c>
      <c r="E44" s="2" t="s">
        <v>2</v>
      </c>
      <c r="F44" s="2" t="s">
        <v>531</v>
      </c>
      <c r="G44" s="18">
        <v>45868</v>
      </c>
      <c r="H44" s="29">
        <v>43.94</v>
      </c>
      <c r="I44" s="29">
        <v>56.85</v>
      </c>
      <c r="J44" s="30">
        <f t="shared" si="0"/>
        <v>0.29380974055530285</v>
      </c>
      <c r="K44" s="29">
        <v>61.57</v>
      </c>
      <c r="L44" s="30">
        <f t="shared" si="1"/>
        <v>0.40122894856622682</v>
      </c>
      <c r="M44" s="36">
        <f t="shared" si="2"/>
        <v>8.3025505716798564E-2</v>
      </c>
      <c r="N44" s="2">
        <v>3</v>
      </c>
      <c r="P44" s="11">
        <v>0.41176470588235281</v>
      </c>
      <c r="Q44" s="11">
        <v>0.70055555555555538</v>
      </c>
      <c r="R44" s="2" t="s">
        <v>512</v>
      </c>
      <c r="S44" t="s">
        <v>520</v>
      </c>
    </row>
    <row r="45" spans="1:19" x14ac:dyDescent="0.2">
      <c r="A45" s="7" t="s">
        <v>506</v>
      </c>
      <c r="B45" s="2">
        <v>4373</v>
      </c>
      <c r="C45" s="2" t="s">
        <v>112</v>
      </c>
      <c r="D45" s="14">
        <v>1.6</v>
      </c>
      <c r="E45" s="2" t="s">
        <v>2</v>
      </c>
      <c r="F45" s="2" t="s">
        <v>531</v>
      </c>
      <c r="G45" s="18">
        <v>45868</v>
      </c>
      <c r="H45" s="29">
        <v>3760</v>
      </c>
      <c r="I45" s="29">
        <v>4020</v>
      </c>
      <c r="J45" s="30">
        <f t="shared" si="0"/>
        <v>6.9148936170212671E-2</v>
      </c>
      <c r="K45" s="29">
        <v>4070</v>
      </c>
      <c r="L45" s="30">
        <f t="shared" si="1"/>
        <v>8.2446808510638236E-2</v>
      </c>
      <c r="M45" s="36">
        <f t="shared" si="2"/>
        <v>1.2437810945273631E-2</v>
      </c>
      <c r="N45" s="2">
        <v>2</v>
      </c>
      <c r="P45" s="11">
        <v>0.14449228184395668</v>
      </c>
      <c r="Q45" s="11">
        <v>0.14570144049912837</v>
      </c>
      <c r="R45" s="2" t="s">
        <v>513</v>
      </c>
      <c r="S45" t="s">
        <v>521</v>
      </c>
    </row>
    <row r="46" spans="1:19" x14ac:dyDescent="0.2">
      <c r="A46" s="7" t="s">
        <v>507</v>
      </c>
      <c r="B46" s="2" t="s">
        <v>508</v>
      </c>
      <c r="C46" s="2" t="s">
        <v>25</v>
      </c>
      <c r="D46" s="14">
        <v>4.46</v>
      </c>
      <c r="E46" s="2" t="s">
        <v>2</v>
      </c>
      <c r="F46" s="2" t="s">
        <v>531</v>
      </c>
      <c r="G46" s="18">
        <v>45868</v>
      </c>
      <c r="H46" s="29">
        <v>16.059999999999999</v>
      </c>
      <c r="I46" s="29">
        <v>20.16</v>
      </c>
      <c r="J46" s="30">
        <f t="shared" si="0"/>
        <v>0.25529265255292666</v>
      </c>
      <c r="K46" s="29">
        <v>18.899999999999999</v>
      </c>
      <c r="L46" s="30">
        <f t="shared" si="1"/>
        <v>0.17683686176836866</v>
      </c>
      <c r="M46" s="36">
        <f t="shared" si="2"/>
        <v>-6.2500000000000111E-2</v>
      </c>
      <c r="N46" s="2">
        <v>3</v>
      </c>
      <c r="P46" s="11">
        <v>0.53909465020576142</v>
      </c>
      <c r="Q46" s="11">
        <v>0.53743315508021405</v>
      </c>
      <c r="R46" s="2" t="s">
        <v>514</v>
      </c>
      <c r="S46" t="s">
        <v>522</v>
      </c>
    </row>
    <row r="47" spans="1:19" x14ac:dyDescent="0.2">
      <c r="A47" s="7" t="s">
        <v>185</v>
      </c>
      <c r="B47" s="2" t="s">
        <v>186</v>
      </c>
      <c r="C47" s="2" t="s">
        <v>25</v>
      </c>
      <c r="D47" s="2">
        <v>6.21</v>
      </c>
      <c r="E47" s="2" t="s">
        <v>108</v>
      </c>
      <c r="F47" s="2" t="s">
        <v>531</v>
      </c>
      <c r="G47" s="3">
        <v>45868</v>
      </c>
      <c r="H47" s="29">
        <v>35.64</v>
      </c>
      <c r="I47" s="29">
        <v>36.979999999999997</v>
      </c>
      <c r="J47" s="30">
        <f t="shared" si="0"/>
        <v>3.7598204264870816E-2</v>
      </c>
      <c r="K47" s="29">
        <v>36.17</v>
      </c>
      <c r="L47" s="30">
        <f t="shared" si="1"/>
        <v>1.4870931537598331E-2</v>
      </c>
      <c r="M47" s="36">
        <f t="shared" si="2"/>
        <v>-2.1903731746890087E-2</v>
      </c>
      <c r="N47" s="2">
        <v>3</v>
      </c>
      <c r="P47" s="13">
        <v>0.21</v>
      </c>
      <c r="Q47" s="13">
        <v>0.33</v>
      </c>
      <c r="R47" s="2" t="s">
        <v>200</v>
      </c>
      <c r="S47" t="s">
        <v>201</v>
      </c>
    </row>
    <row r="48" spans="1:19" x14ac:dyDescent="0.2">
      <c r="A48" s="7" t="s">
        <v>187</v>
      </c>
      <c r="B48" s="2" t="s">
        <v>188</v>
      </c>
      <c r="C48" s="2" t="s">
        <v>25</v>
      </c>
      <c r="D48" s="2">
        <v>5.67</v>
      </c>
      <c r="E48" s="2" t="s">
        <v>108</v>
      </c>
      <c r="F48" s="2" t="s">
        <v>531</v>
      </c>
      <c r="G48" s="3">
        <v>45868</v>
      </c>
      <c r="H48" s="29">
        <v>33.76</v>
      </c>
      <c r="I48" s="29">
        <v>40.770000000000003</v>
      </c>
      <c r="J48" s="30">
        <f t="shared" si="0"/>
        <v>0.20764218009478697</v>
      </c>
      <c r="K48" s="29">
        <v>43.74</v>
      </c>
      <c r="L48" s="30">
        <f t="shared" si="1"/>
        <v>0.29561611374407604</v>
      </c>
      <c r="M48" s="36">
        <f t="shared" si="2"/>
        <v>7.2847682119205226E-2</v>
      </c>
      <c r="P48" s="13">
        <v>0.1</v>
      </c>
      <c r="Q48" s="13">
        <v>0</v>
      </c>
      <c r="R48" s="2" t="s">
        <v>202</v>
      </c>
      <c r="S48" t="s">
        <v>203</v>
      </c>
    </row>
    <row r="49" spans="1:19" x14ac:dyDescent="0.2">
      <c r="A49" s="7" t="s">
        <v>189</v>
      </c>
      <c r="B49" s="2" t="s">
        <v>190</v>
      </c>
      <c r="C49" s="2" t="s">
        <v>25</v>
      </c>
      <c r="D49" s="2">
        <v>5.61</v>
      </c>
      <c r="E49" s="2" t="s">
        <v>108</v>
      </c>
      <c r="F49" s="2" t="s">
        <v>531</v>
      </c>
      <c r="G49" s="3">
        <v>45868</v>
      </c>
      <c r="H49" s="29">
        <v>89.99</v>
      </c>
      <c r="I49" s="29">
        <v>81.2</v>
      </c>
      <c r="J49" s="30">
        <f t="shared" si="0"/>
        <v>-9.7677519724413742E-2</v>
      </c>
      <c r="K49" s="29">
        <v>61.58</v>
      </c>
      <c r="L49" s="30">
        <f t="shared" si="1"/>
        <v>-0.31570174463829315</v>
      </c>
      <c r="M49" s="36">
        <f t="shared" si="2"/>
        <v>-0.2416256157635468</v>
      </c>
      <c r="O49" s="2" t="s">
        <v>191</v>
      </c>
      <c r="P49" s="13">
        <v>0</v>
      </c>
      <c r="Q49" s="13">
        <v>0</v>
      </c>
      <c r="R49" s="2" t="s">
        <v>204</v>
      </c>
      <c r="S49" t="s">
        <v>205</v>
      </c>
    </row>
    <row r="50" spans="1:19" x14ac:dyDescent="0.2">
      <c r="A50" s="7" t="s">
        <v>192</v>
      </c>
      <c r="B50" s="2" t="s">
        <v>193</v>
      </c>
      <c r="C50" s="2" t="s">
        <v>25</v>
      </c>
      <c r="D50" s="2">
        <v>5.3</v>
      </c>
      <c r="E50" s="2" t="s">
        <v>108</v>
      </c>
      <c r="F50" s="2" t="s">
        <v>531</v>
      </c>
      <c r="G50" s="3">
        <v>45868</v>
      </c>
      <c r="H50" s="29">
        <v>139.56</v>
      </c>
      <c r="I50" s="29">
        <v>108.86</v>
      </c>
      <c r="J50" s="30">
        <f t="shared" si="0"/>
        <v>-0.21997707079392381</v>
      </c>
      <c r="K50" s="29">
        <v>108.09</v>
      </c>
      <c r="L50" s="30">
        <f t="shared" si="1"/>
        <v>-0.22549441100601886</v>
      </c>
      <c r="M50" s="36">
        <f t="shared" si="2"/>
        <v>-7.073305162594079E-3</v>
      </c>
      <c r="N50" s="2">
        <v>2</v>
      </c>
      <c r="P50" s="13">
        <v>0.12</v>
      </c>
      <c r="Q50" s="13">
        <v>0.28999999999999998</v>
      </c>
      <c r="R50" s="2" t="s">
        <v>202</v>
      </c>
      <c r="S50" t="s">
        <v>206</v>
      </c>
    </row>
    <row r="51" spans="1:19" x14ac:dyDescent="0.2">
      <c r="A51" s="7" t="s">
        <v>194</v>
      </c>
      <c r="B51" s="2" t="s">
        <v>195</v>
      </c>
      <c r="C51" s="2" t="s">
        <v>25</v>
      </c>
      <c r="D51" s="2">
        <v>3.79</v>
      </c>
      <c r="E51" s="2" t="s">
        <v>108</v>
      </c>
      <c r="F51" s="2" t="s">
        <v>531</v>
      </c>
      <c r="G51" s="3">
        <v>45868</v>
      </c>
      <c r="H51" s="29">
        <v>44.04</v>
      </c>
      <c r="I51" s="29">
        <v>44.79</v>
      </c>
      <c r="J51" s="30">
        <f t="shared" si="0"/>
        <v>1.7029972752043543E-2</v>
      </c>
      <c r="K51" s="29">
        <v>32.99</v>
      </c>
      <c r="L51" s="30">
        <f t="shared" si="1"/>
        <v>-0.25090826521344223</v>
      </c>
      <c r="M51" s="36">
        <f t="shared" si="2"/>
        <v>-0.26345166331770475</v>
      </c>
      <c r="N51" s="2">
        <v>3</v>
      </c>
      <c r="P51" s="13">
        <v>0.13</v>
      </c>
      <c r="Q51" s="13">
        <v>0.25</v>
      </c>
      <c r="R51" s="2" t="s">
        <v>204</v>
      </c>
      <c r="S51" t="s">
        <v>207</v>
      </c>
    </row>
    <row r="52" spans="1:19" x14ac:dyDescent="0.2">
      <c r="A52" s="7" t="s">
        <v>196</v>
      </c>
      <c r="B52" s="2" t="s">
        <v>197</v>
      </c>
      <c r="C52" s="2" t="s">
        <v>25</v>
      </c>
      <c r="D52" s="2">
        <v>3.64</v>
      </c>
      <c r="E52" s="2" t="s">
        <v>108</v>
      </c>
      <c r="F52" s="2" t="s">
        <v>531</v>
      </c>
      <c r="G52" s="3">
        <v>45868</v>
      </c>
      <c r="H52" s="29">
        <v>107.7</v>
      </c>
      <c r="I52" s="29">
        <v>118.97</v>
      </c>
      <c r="J52" s="30">
        <f t="shared" si="0"/>
        <v>0.10464252553389031</v>
      </c>
      <c r="K52" s="29">
        <v>111.71</v>
      </c>
      <c r="L52" s="30">
        <f t="shared" si="1"/>
        <v>3.7233054781801167E-2</v>
      </c>
      <c r="M52" s="36">
        <f t="shared" si="2"/>
        <v>-6.1023787509456251E-2</v>
      </c>
      <c r="N52" s="2">
        <v>6</v>
      </c>
      <c r="P52" s="13">
        <v>0.4</v>
      </c>
      <c r="Q52" s="13">
        <v>0.46</v>
      </c>
      <c r="R52" s="2" t="s">
        <v>200</v>
      </c>
      <c r="S52" t="s">
        <v>208</v>
      </c>
    </row>
    <row r="53" spans="1:19" x14ac:dyDescent="0.2">
      <c r="A53" s="7" t="s">
        <v>198</v>
      </c>
      <c r="B53" s="2" t="s">
        <v>199</v>
      </c>
      <c r="C53" s="2" t="s">
        <v>25</v>
      </c>
      <c r="D53" s="2">
        <v>2.92</v>
      </c>
      <c r="E53" s="2" t="s">
        <v>108</v>
      </c>
      <c r="F53" s="2" t="s">
        <v>531</v>
      </c>
      <c r="G53" s="3">
        <v>45868</v>
      </c>
      <c r="H53" s="29">
        <v>141.47999999999999</v>
      </c>
      <c r="I53" s="29">
        <v>156.54</v>
      </c>
      <c r="J53" s="30">
        <f t="shared" si="0"/>
        <v>0.10644614079728587</v>
      </c>
      <c r="K53" s="29">
        <v>157.72999999999999</v>
      </c>
      <c r="L53" s="30">
        <f t="shared" si="1"/>
        <v>0.1148572236358496</v>
      </c>
      <c r="M53" s="36">
        <f t="shared" si="2"/>
        <v>7.6018908905071125E-3</v>
      </c>
      <c r="N53" s="2">
        <v>2</v>
      </c>
      <c r="P53" s="13">
        <v>0.14000000000000001</v>
      </c>
      <c r="Q53" s="13">
        <v>0.26</v>
      </c>
      <c r="R53" s="2" t="s">
        <v>209</v>
      </c>
      <c r="S53" t="s">
        <v>210</v>
      </c>
    </row>
    <row r="54" spans="1:19" x14ac:dyDescent="0.2">
      <c r="A54" s="7" t="s">
        <v>211</v>
      </c>
      <c r="B54" s="2" t="s">
        <v>212</v>
      </c>
      <c r="C54" s="2" t="s">
        <v>25</v>
      </c>
      <c r="D54" s="14">
        <v>15.48</v>
      </c>
      <c r="E54" s="2" t="s">
        <v>2</v>
      </c>
      <c r="F54" s="2" t="s">
        <v>531</v>
      </c>
      <c r="G54" s="3">
        <v>45869</v>
      </c>
      <c r="H54" s="29">
        <v>126.18</v>
      </c>
      <c r="I54" s="29">
        <v>125.56</v>
      </c>
      <c r="J54" s="30">
        <f t="shared" si="0"/>
        <v>-4.9136154699636059E-3</v>
      </c>
      <c r="K54" s="29">
        <v>120.37</v>
      </c>
      <c r="L54" s="30">
        <f t="shared" si="1"/>
        <v>-4.604533206530359E-2</v>
      </c>
      <c r="M54" s="36">
        <f t="shared" si="2"/>
        <v>-4.1334820006371453E-2</v>
      </c>
      <c r="N54" s="2">
        <v>3</v>
      </c>
      <c r="P54" s="11">
        <v>0.37482319660537478</v>
      </c>
      <c r="Q54" s="11">
        <v>0.11111111111111116</v>
      </c>
      <c r="R54" s="2" t="s">
        <v>226</v>
      </c>
      <c r="S54" t="s">
        <v>233</v>
      </c>
    </row>
    <row r="55" spans="1:19" x14ac:dyDescent="0.2">
      <c r="A55" s="7" t="s">
        <v>213</v>
      </c>
      <c r="B55" s="2" t="s">
        <v>214</v>
      </c>
      <c r="C55" s="2" t="s">
        <v>25</v>
      </c>
      <c r="D55" s="14">
        <v>12.41</v>
      </c>
      <c r="E55" s="2" t="s">
        <v>2</v>
      </c>
      <c r="F55" s="2" t="s">
        <v>531</v>
      </c>
      <c r="G55" s="3">
        <v>45869</v>
      </c>
      <c r="H55" s="29">
        <v>283.63</v>
      </c>
      <c r="I55" s="29">
        <v>249.39</v>
      </c>
      <c r="J55" s="30">
        <f t="shared" si="0"/>
        <v>-0.12072065719423197</v>
      </c>
      <c r="K55" s="29">
        <v>241.99</v>
      </c>
      <c r="L55" s="30">
        <f t="shared" si="1"/>
        <v>-0.14681098614391985</v>
      </c>
      <c r="M55" s="36">
        <f t="shared" si="2"/>
        <v>-2.9672400657604459E-2</v>
      </c>
      <c r="N55" s="2">
        <v>3</v>
      </c>
      <c r="P55" s="11">
        <v>0.15478869717429378</v>
      </c>
      <c r="Q55" s="11">
        <v>0.12970983109571255</v>
      </c>
      <c r="R55" s="2" t="s">
        <v>227</v>
      </c>
      <c r="S55" t="s">
        <v>234</v>
      </c>
    </row>
    <row r="56" spans="1:19" ht="13.5" thickBot="1" x14ac:dyDescent="0.25">
      <c r="A56" s="7" t="s">
        <v>215</v>
      </c>
      <c r="B56" s="2" t="s">
        <v>216</v>
      </c>
      <c r="C56" s="2" t="s">
        <v>25</v>
      </c>
      <c r="D56" s="14">
        <v>1.55</v>
      </c>
      <c r="E56" s="2" t="s">
        <v>2</v>
      </c>
      <c r="F56" s="2" t="s">
        <v>531</v>
      </c>
      <c r="G56" s="3">
        <v>45869</v>
      </c>
      <c r="H56" s="29">
        <v>10.58</v>
      </c>
      <c r="I56" s="29">
        <v>13.77</v>
      </c>
      <c r="J56" s="30">
        <f t="shared" si="0"/>
        <v>0.30151228733459345</v>
      </c>
      <c r="K56" s="29">
        <v>13.24</v>
      </c>
      <c r="L56" s="30">
        <f t="shared" si="1"/>
        <v>0.25141776937618143</v>
      </c>
      <c r="M56" s="36">
        <f t="shared" si="2"/>
        <v>-3.8489469862018844E-2</v>
      </c>
      <c r="P56" s="16"/>
      <c r="Q56" s="16"/>
      <c r="R56" s="2" t="s">
        <v>228</v>
      </c>
      <c r="S56" t="s">
        <v>235</v>
      </c>
    </row>
    <row r="57" spans="1:19" ht="13.5" thickBot="1" x14ac:dyDescent="0.25">
      <c r="A57" s="7" t="s">
        <v>217</v>
      </c>
      <c r="B57" s="2" t="s">
        <v>218</v>
      </c>
      <c r="C57" s="2" t="s">
        <v>25</v>
      </c>
      <c r="D57" s="14">
        <v>1.74</v>
      </c>
      <c r="E57" s="2" t="s">
        <v>2</v>
      </c>
      <c r="F57" s="2" t="s">
        <v>531</v>
      </c>
      <c r="G57" s="3">
        <v>45869</v>
      </c>
      <c r="H57" s="29">
        <v>54.9</v>
      </c>
      <c r="I57" s="29">
        <v>44.954999999999998</v>
      </c>
      <c r="J57" s="30">
        <f t="shared" si="0"/>
        <v>-0.18114754098360653</v>
      </c>
      <c r="K57" s="29">
        <v>81.86</v>
      </c>
      <c r="L57" s="30">
        <f t="shared" si="1"/>
        <v>0.49107468123861575</v>
      </c>
      <c r="M57" s="37">
        <f t="shared" si="2"/>
        <v>0.82093204315426549</v>
      </c>
      <c r="N57" s="2">
        <v>3</v>
      </c>
      <c r="P57" s="11">
        <v>0.2880658436213992</v>
      </c>
      <c r="Q57" s="11">
        <v>0.27476038338658171</v>
      </c>
      <c r="R57" s="2" t="s">
        <v>229</v>
      </c>
      <c r="S57" t="s">
        <v>236</v>
      </c>
    </row>
    <row r="58" spans="1:19" x14ac:dyDescent="0.2">
      <c r="A58" s="7" t="s">
        <v>219</v>
      </c>
      <c r="B58" s="2" t="s">
        <v>220</v>
      </c>
      <c r="C58" s="2" t="s">
        <v>25</v>
      </c>
      <c r="D58" s="14">
        <v>1.39</v>
      </c>
      <c r="E58" s="2" t="s">
        <v>2</v>
      </c>
      <c r="F58" s="2" t="s">
        <v>531</v>
      </c>
      <c r="G58" s="3">
        <v>45869</v>
      </c>
      <c r="H58" s="29">
        <v>28.84</v>
      </c>
      <c r="I58" s="29">
        <v>29.97</v>
      </c>
      <c r="J58" s="30">
        <f t="shared" si="0"/>
        <v>3.9181692094313325E-2</v>
      </c>
      <c r="K58" s="29">
        <v>28.05</v>
      </c>
      <c r="L58" s="30">
        <f t="shared" si="1"/>
        <v>-2.7392510402219128E-2</v>
      </c>
      <c r="M58" s="36">
        <f t="shared" si="2"/>
        <v>-6.4064064064063952E-2</v>
      </c>
      <c r="N58" s="2">
        <v>3</v>
      </c>
      <c r="P58" s="11">
        <v>0.30892857142857144</v>
      </c>
      <c r="Q58" s="11">
        <v>0.17189631650750359</v>
      </c>
      <c r="R58" s="2" t="s">
        <v>230</v>
      </c>
      <c r="S58" t="s">
        <v>237</v>
      </c>
    </row>
    <row r="59" spans="1:19" x14ac:dyDescent="0.2">
      <c r="A59" s="7" t="s">
        <v>221</v>
      </c>
      <c r="B59" s="2" t="s">
        <v>222</v>
      </c>
      <c r="C59" s="2" t="s">
        <v>25</v>
      </c>
      <c r="D59" s="14">
        <v>1.45</v>
      </c>
      <c r="E59" s="2" t="s">
        <v>2</v>
      </c>
      <c r="F59" s="2" t="s">
        <v>531</v>
      </c>
      <c r="G59" s="3">
        <v>45869</v>
      </c>
      <c r="H59" s="29">
        <v>29.7</v>
      </c>
      <c r="I59" s="29">
        <v>31.01</v>
      </c>
      <c r="J59" s="30">
        <f t="shared" si="0"/>
        <v>4.4107744107744207E-2</v>
      </c>
      <c r="K59" s="29">
        <v>29.46</v>
      </c>
      <c r="L59" s="30">
        <f t="shared" si="1"/>
        <v>-8.0808080808080218E-3</v>
      </c>
      <c r="M59" s="36">
        <f t="shared" si="2"/>
        <v>-4.9983876168977814E-2</v>
      </c>
      <c r="N59" s="2">
        <v>2</v>
      </c>
      <c r="P59" s="11">
        <v>25.500000000000103</v>
      </c>
      <c r="Q59" s="11">
        <v>0.46226415094339579</v>
      </c>
      <c r="R59" s="2" t="s">
        <v>231</v>
      </c>
      <c r="S59" t="s">
        <v>238</v>
      </c>
    </row>
    <row r="60" spans="1:19" ht="13.5" thickBot="1" x14ac:dyDescent="0.25">
      <c r="A60" s="7" t="s">
        <v>223</v>
      </c>
      <c r="B60" s="2">
        <v>7806</v>
      </c>
      <c r="C60" s="2" t="s">
        <v>112</v>
      </c>
      <c r="D60" s="14">
        <v>1.18</v>
      </c>
      <c r="E60" s="2" t="s">
        <v>2</v>
      </c>
      <c r="F60" s="2" t="s">
        <v>531</v>
      </c>
      <c r="G60" s="3">
        <v>45870</v>
      </c>
      <c r="H60" s="29">
        <v>4920</v>
      </c>
      <c r="I60" s="29">
        <v>4450</v>
      </c>
      <c r="J60" s="30">
        <f t="shared" si="0"/>
        <v>-9.5528455284552893E-2</v>
      </c>
      <c r="K60" s="29">
        <v>4045</v>
      </c>
      <c r="L60" s="30">
        <f t="shared" si="1"/>
        <v>-0.17784552845528456</v>
      </c>
      <c r="M60" s="36">
        <f t="shared" si="2"/>
        <v>-9.1011235955056224E-2</v>
      </c>
      <c r="N60" s="2">
        <v>3</v>
      </c>
      <c r="P60" s="11">
        <v>0.54049416609471512</v>
      </c>
      <c r="Q60" s="11">
        <v>0.25027845845399876</v>
      </c>
      <c r="R60" s="2" t="s">
        <v>232</v>
      </c>
      <c r="S60" t="s">
        <v>239</v>
      </c>
    </row>
    <row r="61" spans="1:19" ht="13.5" thickBot="1" x14ac:dyDescent="0.25">
      <c r="A61" s="7" t="s">
        <v>224</v>
      </c>
      <c r="B61" s="2" t="s">
        <v>225</v>
      </c>
      <c r="C61" s="2" t="s">
        <v>25</v>
      </c>
      <c r="D61" s="14">
        <v>1.25</v>
      </c>
      <c r="E61" s="2" t="s">
        <v>2</v>
      </c>
      <c r="F61" s="2" t="s">
        <v>531</v>
      </c>
      <c r="G61" s="3">
        <v>45869</v>
      </c>
      <c r="H61" s="29">
        <v>9.0500000000000007</v>
      </c>
      <c r="I61" s="29">
        <v>9.2449999999999992</v>
      </c>
      <c r="J61" s="30">
        <f t="shared" si="0"/>
        <v>2.1546961325966674E-2</v>
      </c>
      <c r="K61" s="29">
        <v>11.1</v>
      </c>
      <c r="L61" s="30">
        <f t="shared" si="1"/>
        <v>0.22651933701657434</v>
      </c>
      <c r="M61" s="37">
        <f t="shared" si="2"/>
        <v>0.20064899945916714</v>
      </c>
      <c r="N61" s="2">
        <v>2</v>
      </c>
      <c r="P61" s="11">
        <v>2.4</v>
      </c>
      <c r="Q61" s="11">
        <v>0.48195294117647047</v>
      </c>
      <c r="R61" s="2" t="s">
        <v>91</v>
      </c>
      <c r="S61" t="s">
        <v>240</v>
      </c>
    </row>
    <row r="62" spans="1:19" ht="12.75" customHeight="1" thickBot="1" x14ac:dyDescent="0.25">
      <c r="A62" s="7" t="s">
        <v>241</v>
      </c>
      <c r="B62" s="2" t="s">
        <v>242</v>
      </c>
      <c r="C62" s="2" t="s">
        <v>25</v>
      </c>
      <c r="D62" s="2" t="s">
        <v>243</v>
      </c>
      <c r="E62" s="2" t="s">
        <v>0</v>
      </c>
      <c r="F62" s="2" t="s">
        <v>531</v>
      </c>
      <c r="G62" s="3">
        <v>45869</v>
      </c>
      <c r="H62" s="29">
        <v>10.09</v>
      </c>
      <c r="I62" s="29">
        <v>10.94</v>
      </c>
      <c r="J62" s="30">
        <f t="shared" si="0"/>
        <v>8.4241823587710485E-2</v>
      </c>
      <c r="K62" s="29">
        <v>10.51</v>
      </c>
      <c r="L62" s="30">
        <f t="shared" si="1"/>
        <v>4.1625371655104049E-2</v>
      </c>
      <c r="M62" s="36">
        <f t="shared" si="2"/>
        <v>-3.9305301645338186E-2</v>
      </c>
      <c r="O62" s="2">
        <v>1</v>
      </c>
      <c r="R62" s="2" t="s">
        <v>259</v>
      </c>
      <c r="S62" s="10" t="s">
        <v>266</v>
      </c>
    </row>
    <row r="63" spans="1:19" ht="12.75" customHeight="1" thickBot="1" x14ac:dyDescent="0.25">
      <c r="A63" s="15" t="s">
        <v>244</v>
      </c>
      <c r="B63" s="2">
        <v>4062</v>
      </c>
      <c r="C63" s="2" t="s">
        <v>112</v>
      </c>
      <c r="D63" s="2" t="s">
        <v>245</v>
      </c>
      <c r="E63" s="2" t="s">
        <v>0</v>
      </c>
      <c r="F63" s="2" t="s">
        <v>531</v>
      </c>
      <c r="G63" s="3">
        <v>45869</v>
      </c>
      <c r="H63" s="29">
        <v>6460</v>
      </c>
      <c r="I63" s="29">
        <v>6286</v>
      </c>
      <c r="J63" s="30">
        <f t="shared" si="0"/>
        <v>-2.6934984520123884E-2</v>
      </c>
      <c r="K63" s="29">
        <v>9736</v>
      </c>
      <c r="L63" s="30">
        <f t="shared" si="1"/>
        <v>0.50712074303405563</v>
      </c>
      <c r="M63" s="37">
        <f t="shared" si="2"/>
        <v>0.54883868915049305</v>
      </c>
      <c r="N63" s="2">
        <v>1</v>
      </c>
      <c r="P63" s="16">
        <v>2.4E-2</v>
      </c>
      <c r="Q63" s="16">
        <v>0.13800000000000001</v>
      </c>
      <c r="R63" s="2" t="s">
        <v>260</v>
      </c>
      <c r="S63" s="10" t="s">
        <v>267</v>
      </c>
    </row>
    <row r="64" spans="1:19" ht="13.5" customHeight="1" thickBot="1" x14ac:dyDescent="0.25">
      <c r="A64" s="7" t="s">
        <v>246</v>
      </c>
      <c r="B64" s="7" t="s">
        <v>247</v>
      </c>
      <c r="C64" s="2" t="s">
        <v>25</v>
      </c>
      <c r="D64" s="2" t="s">
        <v>248</v>
      </c>
      <c r="E64" s="2" t="s">
        <v>0</v>
      </c>
      <c r="F64" s="2" t="s">
        <v>531</v>
      </c>
      <c r="G64" s="3">
        <v>45869</v>
      </c>
      <c r="H64" s="29">
        <v>245.18</v>
      </c>
      <c r="I64" s="29">
        <v>258.2</v>
      </c>
      <c r="J64" s="30">
        <f t="shared" si="0"/>
        <v>5.3103842075209906E-2</v>
      </c>
      <c r="K64" s="29">
        <v>356.72</v>
      </c>
      <c r="L64" s="30">
        <f t="shared" si="1"/>
        <v>0.4549310710498411</v>
      </c>
      <c r="M64" s="37">
        <f t="shared" si="2"/>
        <v>0.38156467854376475</v>
      </c>
      <c r="N64" s="2">
        <v>1</v>
      </c>
      <c r="P64" s="16">
        <v>6.4000000000000001E-2</v>
      </c>
      <c r="Q64" s="16">
        <v>0.153</v>
      </c>
      <c r="R64" s="2" t="s">
        <v>261</v>
      </c>
      <c r="S64" s="10" t="s">
        <v>268</v>
      </c>
    </row>
    <row r="65" spans="1:19" x14ac:dyDescent="0.2">
      <c r="A65" s="7" t="s">
        <v>111</v>
      </c>
      <c r="B65" s="2">
        <v>9404</v>
      </c>
      <c r="C65" s="2" t="s">
        <v>112</v>
      </c>
      <c r="D65" s="2" t="s">
        <v>249</v>
      </c>
      <c r="E65" s="2" t="s">
        <v>0</v>
      </c>
      <c r="F65" s="2" t="s">
        <v>531</v>
      </c>
      <c r="G65" s="3">
        <v>45869</v>
      </c>
      <c r="H65" s="29">
        <v>3291</v>
      </c>
      <c r="I65" s="29">
        <v>3484</v>
      </c>
      <c r="J65" s="30">
        <f>I65/H65-1</f>
        <v>5.8644788817988402E-2</v>
      </c>
      <c r="K65" s="29">
        <v>3708</v>
      </c>
      <c r="L65" s="30">
        <f>K65/H65-1</f>
        <v>0.12670920692798537</v>
      </c>
      <c r="M65" s="36">
        <f t="shared" si="2"/>
        <v>6.429391504018378E-2</v>
      </c>
      <c r="N65" s="2">
        <v>2</v>
      </c>
      <c r="P65" s="16">
        <v>0.20899999999999999</v>
      </c>
      <c r="Q65" s="16">
        <v>0.156</v>
      </c>
      <c r="R65" s="2" t="s">
        <v>262</v>
      </c>
      <c r="S65" s="10" t="s">
        <v>269</v>
      </c>
    </row>
    <row r="66" spans="1:19" x14ac:dyDescent="0.2">
      <c r="A66" s="7" t="s">
        <v>250</v>
      </c>
      <c r="B66" s="2" t="s">
        <v>251</v>
      </c>
      <c r="C66" s="2" t="s">
        <v>25</v>
      </c>
      <c r="D66" s="2" t="s">
        <v>252</v>
      </c>
      <c r="E66" s="2" t="s">
        <v>0</v>
      </c>
      <c r="F66" s="2" t="s">
        <v>531</v>
      </c>
      <c r="G66" s="3">
        <v>45869</v>
      </c>
      <c r="H66" s="29">
        <v>140.91</v>
      </c>
      <c r="I66" s="29">
        <v>120.34</v>
      </c>
      <c r="J66" s="30">
        <f>I66/H66-1</f>
        <v>-0.14597970335675248</v>
      </c>
      <c r="K66" s="29">
        <v>91.4</v>
      </c>
      <c r="L66" s="30">
        <f>K66/H66-1</f>
        <v>-0.35135902349017101</v>
      </c>
      <c r="M66" s="36">
        <f t="shared" si="2"/>
        <v>-0.24048529167359145</v>
      </c>
      <c r="N66" s="2">
        <v>2</v>
      </c>
      <c r="P66" s="13">
        <v>0.93300000000000005</v>
      </c>
      <c r="Q66" s="13">
        <v>2</v>
      </c>
      <c r="R66" s="2" t="s">
        <v>263</v>
      </c>
      <c r="S66" s="10" t="s">
        <v>270</v>
      </c>
    </row>
    <row r="67" spans="1:19" ht="13.5" customHeight="1" x14ac:dyDescent="0.2">
      <c r="A67" s="2" t="s">
        <v>253</v>
      </c>
      <c r="B67" s="2" t="s">
        <v>254</v>
      </c>
      <c r="C67" s="2" t="s">
        <v>25</v>
      </c>
      <c r="D67" s="2" t="s">
        <v>255</v>
      </c>
      <c r="E67" s="2" t="s">
        <v>0</v>
      </c>
      <c r="F67" s="2" t="s">
        <v>531</v>
      </c>
      <c r="G67" s="3">
        <v>45869</v>
      </c>
      <c r="H67" s="29">
        <v>171.9</v>
      </c>
      <c r="I67" s="29">
        <v>170.89</v>
      </c>
      <c r="J67" s="30">
        <f t="shared" si="0"/>
        <v>-5.875509016870395E-3</v>
      </c>
      <c r="K67" s="29">
        <v>177.5</v>
      </c>
      <c r="L67" s="30">
        <f t="shared" si="1"/>
        <v>3.2577079697498457E-2</v>
      </c>
      <c r="M67" s="36">
        <f t="shared" si="2"/>
        <v>3.8679852536719572E-2</v>
      </c>
      <c r="P67" s="13">
        <v>0.05</v>
      </c>
      <c r="Q67" s="13">
        <v>8.5999999999999993E-2</v>
      </c>
      <c r="R67" s="2" t="s">
        <v>264</v>
      </c>
      <c r="S67" s="10" t="s">
        <v>272</v>
      </c>
    </row>
    <row r="68" spans="1:19" x14ac:dyDescent="0.2">
      <c r="A68" s="7" t="s">
        <v>256</v>
      </c>
      <c r="B68" s="2" t="s">
        <v>257</v>
      </c>
      <c r="C68" s="2" t="s">
        <v>25</v>
      </c>
      <c r="D68" s="2" t="s">
        <v>258</v>
      </c>
      <c r="E68" s="2" t="s">
        <v>0</v>
      </c>
      <c r="F68" s="2" t="s">
        <v>531</v>
      </c>
      <c r="G68" s="3">
        <v>45869</v>
      </c>
      <c r="H68" s="29">
        <v>4.57</v>
      </c>
      <c r="I68" s="29">
        <v>4.8</v>
      </c>
      <c r="J68" s="30">
        <f t="shared" si="0"/>
        <v>5.032822757111588E-2</v>
      </c>
      <c r="K68" s="29">
        <v>4.01</v>
      </c>
      <c r="L68" s="30">
        <f t="shared" si="1"/>
        <v>-0.12253829321663035</v>
      </c>
      <c r="M68" s="36">
        <f t="shared" si="2"/>
        <v>-0.1645833333333333</v>
      </c>
      <c r="N68" s="2">
        <v>1</v>
      </c>
      <c r="P68" s="13">
        <v>-2.1000000000000001E-2</v>
      </c>
      <c r="Q68" s="13">
        <v>0.53800000000000003</v>
      </c>
      <c r="R68" s="2" t="s">
        <v>265</v>
      </c>
      <c r="S68" s="10" t="s">
        <v>271</v>
      </c>
    </row>
    <row r="69" spans="1:19" ht="13.5" thickBot="1" x14ac:dyDescent="0.25">
      <c r="A69" s="7" t="s">
        <v>273</v>
      </c>
      <c r="B69" s="2" t="s">
        <v>274</v>
      </c>
      <c r="C69" s="2" t="s">
        <v>25</v>
      </c>
      <c r="D69" s="2">
        <v>73.2</v>
      </c>
      <c r="E69" s="2" t="s">
        <v>108</v>
      </c>
      <c r="F69" s="2" t="s">
        <v>531</v>
      </c>
      <c r="G69" s="3">
        <v>45869</v>
      </c>
      <c r="H69" s="29">
        <v>285.83999999999997</v>
      </c>
      <c r="I69" s="29">
        <v>287.25</v>
      </c>
      <c r="J69" s="30">
        <f t="shared" si="0"/>
        <v>4.9328295549959655E-3</v>
      </c>
      <c r="K69" s="29">
        <v>298</v>
      </c>
      <c r="L69" s="30">
        <f t="shared" si="1"/>
        <v>4.2541281835992262E-2</v>
      </c>
      <c r="M69" s="36">
        <f t="shared" si="2"/>
        <v>3.7423846823324558E-2</v>
      </c>
      <c r="N69" s="2">
        <v>2</v>
      </c>
      <c r="P69" s="13">
        <v>0.12</v>
      </c>
      <c r="Q69" s="13">
        <v>0.23</v>
      </c>
      <c r="R69" s="2" t="s">
        <v>204</v>
      </c>
      <c r="S69" t="s">
        <v>281</v>
      </c>
    </row>
    <row r="70" spans="1:19" ht="13.5" thickBot="1" x14ac:dyDescent="0.25">
      <c r="A70" s="7" t="s">
        <v>275</v>
      </c>
      <c r="B70" s="2" t="s">
        <v>276</v>
      </c>
      <c r="C70" s="2" t="s">
        <v>25</v>
      </c>
      <c r="D70" s="2">
        <v>44.31</v>
      </c>
      <c r="E70" s="2" t="s">
        <v>108</v>
      </c>
      <c r="F70" s="2" t="s">
        <v>531</v>
      </c>
      <c r="G70" s="3">
        <v>45869</v>
      </c>
      <c r="H70" s="29">
        <v>339.8</v>
      </c>
      <c r="I70" s="29">
        <v>392.24</v>
      </c>
      <c r="J70" s="30">
        <f t="shared" ref="J70:J126" si="3">I70/H70-1</f>
        <v>0.15432607416127131</v>
      </c>
      <c r="K70" s="29">
        <v>464.95</v>
      </c>
      <c r="L70" s="30">
        <f t="shared" ref="L70:L126" si="4">K70/H70-1</f>
        <v>0.36830488522660376</v>
      </c>
      <c r="M70" s="37">
        <f t="shared" ref="M70:M126" si="5">K70/I70-1</f>
        <v>0.18537120130532325</v>
      </c>
      <c r="N70" s="2">
        <v>1</v>
      </c>
      <c r="P70" s="13">
        <v>-0.35</v>
      </c>
      <c r="Q70" s="13">
        <v>0.56000000000000005</v>
      </c>
      <c r="R70" s="2" t="s">
        <v>279</v>
      </c>
      <c r="S70" t="s">
        <v>282</v>
      </c>
    </row>
    <row r="71" spans="1:19" x14ac:dyDescent="0.2">
      <c r="A71" s="7" t="s">
        <v>277</v>
      </c>
      <c r="B71" s="2" t="s">
        <v>278</v>
      </c>
      <c r="C71" s="2" t="s">
        <v>25</v>
      </c>
      <c r="D71" s="2">
        <v>29.63</v>
      </c>
      <c r="E71" s="2" t="s">
        <v>108</v>
      </c>
      <c r="F71" s="2" t="s">
        <v>531</v>
      </c>
      <c r="G71" s="3">
        <v>45869</v>
      </c>
      <c r="H71" s="29">
        <v>160.59</v>
      </c>
      <c r="I71" s="29">
        <v>188.64</v>
      </c>
      <c r="J71" s="30">
        <f t="shared" si="3"/>
        <v>0.17466841023724999</v>
      </c>
      <c r="K71" s="29">
        <v>203.68</v>
      </c>
      <c r="L71" s="30">
        <f t="shared" si="4"/>
        <v>0.2683230587209664</v>
      </c>
      <c r="M71" s="36">
        <f t="shared" si="5"/>
        <v>7.9728583545377596E-2</v>
      </c>
      <c r="N71" s="2">
        <v>1</v>
      </c>
      <c r="P71" s="13">
        <v>-1.06</v>
      </c>
      <c r="Q71" s="13">
        <v>3.02</v>
      </c>
      <c r="R71" s="2" t="s">
        <v>280</v>
      </c>
      <c r="S71" t="s">
        <v>283</v>
      </c>
    </row>
    <row r="72" spans="1:19" ht="15" customHeight="1" x14ac:dyDescent="0.2">
      <c r="A72" s="7" t="s">
        <v>284</v>
      </c>
      <c r="B72" s="2" t="s">
        <v>285</v>
      </c>
      <c r="C72" s="2" t="s">
        <v>286</v>
      </c>
      <c r="D72" s="2" t="s">
        <v>287</v>
      </c>
      <c r="E72" s="2" t="s">
        <v>0</v>
      </c>
      <c r="F72" s="2" t="s">
        <v>531</v>
      </c>
      <c r="G72" s="3">
        <v>45870</v>
      </c>
      <c r="H72" s="29">
        <v>26.87</v>
      </c>
      <c r="I72" s="29">
        <v>25.87</v>
      </c>
      <c r="J72" s="30">
        <f t="shared" si="3"/>
        <v>-3.7216226274655706E-2</v>
      </c>
      <c r="K72" s="29">
        <v>25.09</v>
      </c>
      <c r="L72" s="30">
        <f t="shared" si="4"/>
        <v>-6.6244882768887292E-2</v>
      </c>
      <c r="M72" s="36">
        <f t="shared" si="5"/>
        <v>-3.0150753768844241E-2</v>
      </c>
      <c r="N72" s="2">
        <v>1</v>
      </c>
      <c r="P72" s="13">
        <v>-0.10199999999999999</v>
      </c>
      <c r="Q72" s="13">
        <v>0.28100000000000003</v>
      </c>
      <c r="R72" s="2" t="s">
        <v>288</v>
      </c>
      <c r="S72" s="10" t="s">
        <v>289</v>
      </c>
    </row>
    <row r="73" spans="1:19" s="1" customFormat="1" x14ac:dyDescent="0.2">
      <c r="A73" s="7" t="s">
        <v>290</v>
      </c>
      <c r="B73" s="2">
        <v>2579</v>
      </c>
      <c r="C73" s="2" t="s">
        <v>112</v>
      </c>
      <c r="D73" s="2">
        <v>2.4900000000000002</v>
      </c>
      <c r="E73" s="2" t="s">
        <v>108</v>
      </c>
      <c r="F73" s="2" t="s">
        <v>531</v>
      </c>
      <c r="G73" s="3">
        <v>45870</v>
      </c>
      <c r="H73" s="29">
        <v>2228</v>
      </c>
      <c r="I73" s="29">
        <v>2580.5</v>
      </c>
      <c r="J73" s="30">
        <f t="shared" si="3"/>
        <v>0.15821364452423703</v>
      </c>
      <c r="K73" s="29">
        <v>2518.5</v>
      </c>
      <c r="L73" s="30">
        <f t="shared" si="4"/>
        <v>0.13038599640933568</v>
      </c>
      <c r="M73" s="36">
        <f t="shared" si="5"/>
        <v>-2.4026351482270836E-2</v>
      </c>
      <c r="N73" s="2">
        <v>1</v>
      </c>
      <c r="O73" s="2"/>
      <c r="P73" s="13">
        <v>0.09</v>
      </c>
      <c r="Q73" s="13">
        <v>0.25</v>
      </c>
      <c r="R73" s="2" t="s">
        <v>29</v>
      </c>
      <c r="S73" t="s">
        <v>293</v>
      </c>
    </row>
    <row r="74" spans="1:19" x14ac:dyDescent="0.2">
      <c r="A74" s="15" t="s">
        <v>291</v>
      </c>
      <c r="B74" s="2" t="s">
        <v>292</v>
      </c>
      <c r="C74" s="2" t="s">
        <v>25</v>
      </c>
      <c r="D74" s="2">
        <v>1.44</v>
      </c>
      <c r="E74" s="2" t="s">
        <v>108</v>
      </c>
      <c r="F74" s="2" t="s">
        <v>531</v>
      </c>
      <c r="G74" s="3">
        <v>45870</v>
      </c>
      <c r="H74" s="29">
        <v>20.62</v>
      </c>
      <c r="I74" s="29">
        <v>24.61</v>
      </c>
      <c r="J74" s="30">
        <f t="shared" si="3"/>
        <v>0.19350145489815707</v>
      </c>
      <c r="K74" s="29">
        <v>26.61</v>
      </c>
      <c r="L74" s="30">
        <f t="shared" si="4"/>
        <v>0.29049466537342372</v>
      </c>
      <c r="M74" s="36">
        <f t="shared" si="5"/>
        <v>8.1267777326290203E-2</v>
      </c>
      <c r="N74" s="2">
        <v>1</v>
      </c>
      <c r="P74" s="13">
        <v>-0.01</v>
      </c>
      <c r="Q74" s="13">
        <v>0.1</v>
      </c>
      <c r="R74" s="2" t="s">
        <v>109</v>
      </c>
      <c r="S74" t="s">
        <v>294</v>
      </c>
    </row>
    <row r="75" spans="1:19" x14ac:dyDescent="0.2">
      <c r="A75" s="7" t="s">
        <v>295</v>
      </c>
      <c r="B75" s="2" t="s">
        <v>296</v>
      </c>
      <c r="C75" s="2" t="s">
        <v>25</v>
      </c>
      <c r="D75" s="2" t="s">
        <v>297</v>
      </c>
      <c r="E75" s="2" t="s">
        <v>0</v>
      </c>
      <c r="F75" s="2" t="s">
        <v>531</v>
      </c>
      <c r="G75" s="3">
        <v>45873</v>
      </c>
      <c r="H75" s="29">
        <v>28.29</v>
      </c>
      <c r="I75" s="29">
        <v>29.33</v>
      </c>
      <c r="J75" s="30">
        <f t="shared" si="3"/>
        <v>3.6762106751502266E-2</v>
      </c>
      <c r="K75" s="29">
        <v>28.65</v>
      </c>
      <c r="L75" s="30">
        <f t="shared" si="4"/>
        <v>1.2725344644750836E-2</v>
      </c>
      <c r="M75" s="36">
        <f t="shared" si="5"/>
        <v>-2.3184452778724829E-2</v>
      </c>
      <c r="N75" s="2">
        <v>8</v>
      </c>
      <c r="P75" s="13">
        <v>0.12</v>
      </c>
      <c r="Q75" s="13">
        <v>0.11</v>
      </c>
      <c r="R75" s="2" t="s">
        <v>305</v>
      </c>
      <c r="S75" s="10" t="s">
        <v>308</v>
      </c>
    </row>
    <row r="76" spans="1:19" x14ac:dyDescent="0.2">
      <c r="A76" s="7" t="s">
        <v>298</v>
      </c>
      <c r="B76" s="2" t="s">
        <v>299</v>
      </c>
      <c r="C76" s="2" t="s">
        <v>300</v>
      </c>
      <c r="D76" s="2" t="s">
        <v>301</v>
      </c>
      <c r="E76" s="2" t="s">
        <v>0</v>
      </c>
      <c r="F76" s="2" t="s">
        <v>531</v>
      </c>
      <c r="G76" s="3">
        <v>45873</v>
      </c>
      <c r="H76" s="29">
        <v>65.849999999999994</v>
      </c>
      <c r="I76" s="29">
        <v>69.989999999999995</v>
      </c>
      <c r="J76" s="30">
        <f t="shared" si="3"/>
        <v>6.2870159453302987E-2</v>
      </c>
      <c r="K76" s="29">
        <v>48.4</v>
      </c>
      <c r="L76" s="30">
        <f t="shared" si="4"/>
        <v>-0.26499620349278663</v>
      </c>
      <c r="M76" s="36">
        <f t="shared" si="5"/>
        <v>-0.30847263894842114</v>
      </c>
      <c r="N76" s="2">
        <v>1</v>
      </c>
      <c r="P76" s="13">
        <v>-0.52</v>
      </c>
      <c r="Q76" s="13">
        <v>1.07</v>
      </c>
      <c r="R76" s="2" t="s">
        <v>306</v>
      </c>
      <c r="S76" t="s">
        <v>309</v>
      </c>
    </row>
    <row r="77" spans="1:19" x14ac:dyDescent="0.2">
      <c r="A77" s="7" t="s">
        <v>302</v>
      </c>
      <c r="B77" s="2" t="s">
        <v>303</v>
      </c>
      <c r="C77" s="2" t="s">
        <v>300</v>
      </c>
      <c r="D77" s="2" t="s">
        <v>304</v>
      </c>
      <c r="E77" s="2" t="s">
        <v>0</v>
      </c>
      <c r="F77" s="2" t="s">
        <v>531</v>
      </c>
      <c r="G77" s="3">
        <v>45873</v>
      </c>
      <c r="H77" s="29">
        <v>7.79</v>
      </c>
      <c r="I77" s="29">
        <v>14.51</v>
      </c>
      <c r="J77" s="30">
        <f t="shared" si="3"/>
        <v>0.86264441591784324</v>
      </c>
      <c r="K77" s="29">
        <v>15.2</v>
      </c>
      <c r="L77" s="30">
        <f t="shared" si="4"/>
        <v>0.95121951219512191</v>
      </c>
      <c r="M77" s="36">
        <f t="shared" si="5"/>
        <v>4.755341144038594E-2</v>
      </c>
      <c r="N77" s="2">
        <v>3</v>
      </c>
      <c r="P77" s="16">
        <v>0.72799999999999998</v>
      </c>
      <c r="Q77" s="16">
        <v>0.32300000000000001</v>
      </c>
      <c r="R77" s="2" t="s">
        <v>307</v>
      </c>
      <c r="S77" s="10" t="s">
        <v>310</v>
      </c>
    </row>
    <row r="78" spans="1:19" x14ac:dyDescent="0.2">
      <c r="A78" s="7" t="s">
        <v>311</v>
      </c>
      <c r="B78" s="2">
        <v>6472</v>
      </c>
      <c r="C78" s="2" t="s">
        <v>112</v>
      </c>
      <c r="D78" s="2">
        <v>0.87</v>
      </c>
      <c r="E78" s="2" t="s">
        <v>108</v>
      </c>
      <c r="F78" s="2" t="s">
        <v>531</v>
      </c>
      <c r="G78" s="3">
        <v>45873</v>
      </c>
      <c r="H78" s="29">
        <v>259.2</v>
      </c>
      <c r="I78" s="29">
        <v>298.2</v>
      </c>
      <c r="J78" s="30">
        <f t="shared" si="3"/>
        <v>0.15046296296296302</v>
      </c>
      <c r="K78" s="29">
        <v>336</v>
      </c>
      <c r="L78" s="30">
        <f t="shared" si="4"/>
        <v>0.29629629629629628</v>
      </c>
      <c r="M78" s="36">
        <f t="shared" si="5"/>
        <v>0.12676056338028174</v>
      </c>
      <c r="N78" s="2">
        <v>1</v>
      </c>
      <c r="P78" s="13">
        <v>-0.15</v>
      </c>
      <c r="Q78" s="13">
        <v>0.11</v>
      </c>
      <c r="R78" s="2" t="s">
        <v>314</v>
      </c>
      <c r="S78" t="s">
        <v>315</v>
      </c>
    </row>
    <row r="79" spans="1:19" x14ac:dyDescent="0.2">
      <c r="A79" s="15" t="s">
        <v>312</v>
      </c>
      <c r="B79" s="2" t="s">
        <v>313</v>
      </c>
      <c r="C79" s="2" t="s">
        <v>25</v>
      </c>
      <c r="D79" s="2">
        <v>0.93</v>
      </c>
      <c r="E79" s="2" t="s">
        <v>108</v>
      </c>
      <c r="F79" s="2" t="s">
        <v>531</v>
      </c>
      <c r="G79" s="3">
        <v>45873</v>
      </c>
      <c r="H79" s="29">
        <v>25.76</v>
      </c>
      <c r="I79" s="29">
        <v>23.76</v>
      </c>
      <c r="J79" s="30">
        <f t="shared" si="3"/>
        <v>-7.7639751552795011E-2</v>
      </c>
      <c r="K79" s="29">
        <v>20.149999999999999</v>
      </c>
      <c r="L79" s="30">
        <f t="shared" si="4"/>
        <v>-0.21777950310559013</v>
      </c>
      <c r="M79" s="36">
        <f t="shared" si="5"/>
        <v>-0.15193602693602704</v>
      </c>
      <c r="N79" s="2">
        <v>3</v>
      </c>
      <c r="P79" s="13">
        <v>0.19</v>
      </c>
      <c r="Q79" s="13">
        <v>0.21</v>
      </c>
      <c r="R79" s="2" t="s">
        <v>204</v>
      </c>
      <c r="S79" t="s">
        <v>316</v>
      </c>
    </row>
    <row r="80" spans="1:19" x14ac:dyDescent="0.2">
      <c r="A80" s="7" t="s">
        <v>328</v>
      </c>
      <c r="B80" s="2" t="s">
        <v>329</v>
      </c>
      <c r="C80" s="2" t="s">
        <v>25</v>
      </c>
      <c r="D80" s="14">
        <v>379.14</v>
      </c>
      <c r="E80" s="2" t="s">
        <v>2</v>
      </c>
      <c r="F80" s="2" t="s">
        <v>531</v>
      </c>
      <c r="G80" s="3">
        <v>45873</v>
      </c>
      <c r="H80" s="29">
        <v>160.66</v>
      </c>
      <c r="I80" s="29">
        <v>173.27</v>
      </c>
      <c r="J80" s="30">
        <f t="shared" si="3"/>
        <v>7.8488733972364111E-2</v>
      </c>
      <c r="K80" s="29">
        <v>177.21</v>
      </c>
      <c r="L80" s="30">
        <f t="shared" si="4"/>
        <v>0.10301257313581491</v>
      </c>
      <c r="M80" s="36">
        <f t="shared" si="5"/>
        <v>2.2739077739943436E-2</v>
      </c>
      <c r="N80" s="2">
        <v>2</v>
      </c>
      <c r="P80" s="11">
        <v>0.30647760232033527</v>
      </c>
      <c r="Q80" s="11">
        <v>0.40453872718302941</v>
      </c>
      <c r="R80" s="2" t="s">
        <v>344</v>
      </c>
      <c r="S80" t="s">
        <v>350</v>
      </c>
    </row>
    <row r="81" spans="1:19" x14ac:dyDescent="0.2">
      <c r="A81" s="19" t="s">
        <v>330</v>
      </c>
      <c r="B81" s="19" t="s">
        <v>331</v>
      </c>
      <c r="C81" s="19" t="s">
        <v>25</v>
      </c>
      <c r="D81" s="23">
        <v>18.260000000000002</v>
      </c>
      <c r="E81" s="19" t="s">
        <v>2</v>
      </c>
      <c r="F81" s="2" t="s">
        <v>531</v>
      </c>
      <c r="G81" s="21">
        <v>45873</v>
      </c>
      <c r="H81" s="28">
        <v>23.93</v>
      </c>
      <c r="I81" s="28">
        <v>24.32</v>
      </c>
      <c r="J81" s="30">
        <f t="shared" si="3"/>
        <v>1.6297534475553821E-2</v>
      </c>
      <c r="K81" s="28">
        <v>23.17</v>
      </c>
      <c r="L81" s="30">
        <f t="shared" si="4"/>
        <v>-3.1759297952360988E-2</v>
      </c>
      <c r="M81" s="36">
        <f t="shared" si="5"/>
        <v>-4.7286184210526216E-2</v>
      </c>
      <c r="N81" s="19">
        <v>2</v>
      </c>
      <c r="O81" s="19"/>
      <c r="P81" s="22">
        <v>0.18831168831168821</v>
      </c>
      <c r="Q81" s="22">
        <v>0.24833029751062541</v>
      </c>
      <c r="R81" s="19" t="s">
        <v>345</v>
      </c>
      <c r="S81" s="1" t="s">
        <v>351</v>
      </c>
    </row>
    <row r="82" spans="1:19" x14ac:dyDescent="0.2">
      <c r="A82" s="7" t="s">
        <v>332</v>
      </c>
      <c r="B82" s="2" t="s">
        <v>333</v>
      </c>
      <c r="C82" s="2" t="s">
        <v>25</v>
      </c>
      <c r="D82" s="14">
        <v>13.29</v>
      </c>
      <c r="E82" s="2" t="s">
        <v>2</v>
      </c>
      <c r="F82" s="2" t="s">
        <v>531</v>
      </c>
      <c r="G82" s="3">
        <v>45873</v>
      </c>
      <c r="H82" s="29">
        <v>63.35</v>
      </c>
      <c r="I82" s="29">
        <v>55.52</v>
      </c>
      <c r="J82" s="30">
        <f t="shared" si="3"/>
        <v>-0.12359905288082085</v>
      </c>
      <c r="K82" s="29">
        <v>54.73</v>
      </c>
      <c r="L82" s="30">
        <f t="shared" si="4"/>
        <v>-0.13606945540647208</v>
      </c>
      <c r="M82" s="36">
        <f t="shared" si="5"/>
        <v>-1.4229106628242172E-2</v>
      </c>
      <c r="N82" s="2">
        <v>3</v>
      </c>
      <c r="P82" s="11">
        <v>0.77544426494345742</v>
      </c>
      <c r="Q82" s="11">
        <v>0.14285714285714279</v>
      </c>
      <c r="R82" s="2" t="s">
        <v>346</v>
      </c>
      <c r="S82" t="s">
        <v>352</v>
      </c>
    </row>
    <row r="83" spans="1:19" ht="13.5" thickBot="1" x14ac:dyDescent="0.25">
      <c r="A83" s="7" t="s">
        <v>334</v>
      </c>
      <c r="B83" s="2" t="s">
        <v>335</v>
      </c>
      <c r="C83" s="2" t="s">
        <v>25</v>
      </c>
      <c r="D83" s="14">
        <v>12.14</v>
      </c>
      <c r="E83" s="2" t="s">
        <v>2</v>
      </c>
      <c r="F83" s="2" t="s">
        <v>531</v>
      </c>
      <c r="G83" s="3">
        <v>45873</v>
      </c>
      <c r="H83" s="29">
        <v>58.14</v>
      </c>
      <c r="I83" s="29">
        <v>60.31</v>
      </c>
      <c r="J83" s="30">
        <f t="shared" si="3"/>
        <v>3.7323701410388654E-2</v>
      </c>
      <c r="K83" s="29">
        <v>52.45</v>
      </c>
      <c r="L83" s="30">
        <f t="shared" si="4"/>
        <v>-9.7867217062263423E-2</v>
      </c>
      <c r="M83" s="36">
        <f t="shared" si="5"/>
        <v>-0.13032664566406893</v>
      </c>
      <c r="N83" s="2">
        <v>3</v>
      </c>
      <c r="P83" s="11">
        <v>0.27957877348750793</v>
      </c>
      <c r="Q83" s="11">
        <v>0.25238018395998063</v>
      </c>
      <c r="R83" s="2" t="s">
        <v>347</v>
      </c>
      <c r="S83" t="s">
        <v>353</v>
      </c>
    </row>
    <row r="84" spans="1:19" ht="13.5" thickBot="1" x14ac:dyDescent="0.25">
      <c r="A84" s="7" t="s">
        <v>336</v>
      </c>
      <c r="B84" s="2" t="s">
        <v>337</v>
      </c>
      <c r="C84" s="2" t="s">
        <v>25</v>
      </c>
      <c r="D84" s="14">
        <v>9.0399999999999991</v>
      </c>
      <c r="E84" s="2" t="s">
        <v>2</v>
      </c>
      <c r="F84" s="2" t="s">
        <v>531</v>
      </c>
      <c r="G84" s="3">
        <v>45873</v>
      </c>
      <c r="H84" s="29">
        <v>271.14</v>
      </c>
      <c r="I84" s="29">
        <v>296.58</v>
      </c>
      <c r="J84" s="30">
        <f t="shared" si="3"/>
        <v>9.3826067714096073E-2</v>
      </c>
      <c r="K84" s="29">
        <v>355.27</v>
      </c>
      <c r="L84" s="30">
        <f t="shared" si="4"/>
        <v>0.31028251087998826</v>
      </c>
      <c r="M84" s="37">
        <f t="shared" si="5"/>
        <v>0.19788927102299558</v>
      </c>
      <c r="N84" s="2">
        <v>1</v>
      </c>
      <c r="P84" s="11">
        <v>5.4495912806539648E-2</v>
      </c>
      <c r="Q84" s="11">
        <v>0.14617940199335533</v>
      </c>
      <c r="R84" s="2" t="s">
        <v>348</v>
      </c>
      <c r="S84" t="s">
        <v>354</v>
      </c>
    </row>
    <row r="85" spans="1:19" ht="13.5" thickBot="1" x14ac:dyDescent="0.25">
      <c r="A85" s="7" t="s">
        <v>338</v>
      </c>
      <c r="B85" s="2" t="s">
        <v>339</v>
      </c>
      <c r="C85" s="2" t="s">
        <v>25</v>
      </c>
      <c r="D85" s="14">
        <v>4.49</v>
      </c>
      <c r="E85" s="2" t="s">
        <v>2</v>
      </c>
      <c r="F85" s="2" t="s">
        <v>531</v>
      </c>
      <c r="G85" s="3">
        <v>45873</v>
      </c>
      <c r="H85" s="29">
        <v>35.020000000000003</v>
      </c>
      <c r="I85" s="29">
        <v>28.72</v>
      </c>
      <c r="J85" s="30">
        <f t="shared" si="3"/>
        <v>-0.17989720159908629</v>
      </c>
      <c r="K85" s="29">
        <v>34.22</v>
      </c>
      <c r="L85" s="30">
        <f t="shared" si="4"/>
        <v>-2.2844089091947573E-2</v>
      </c>
      <c r="M85" s="37">
        <f t="shared" si="5"/>
        <v>0.1915041782729805</v>
      </c>
      <c r="N85" s="2">
        <v>2</v>
      </c>
      <c r="P85" s="11">
        <v>0.42822966507177052</v>
      </c>
      <c r="Q85" s="11">
        <v>0.43551088777219404</v>
      </c>
      <c r="R85" s="2" t="s">
        <v>91</v>
      </c>
      <c r="S85" t="s">
        <v>355</v>
      </c>
    </row>
    <row r="86" spans="1:19" ht="13.5" thickBot="1" x14ac:dyDescent="0.25">
      <c r="A86" s="7" t="s">
        <v>340</v>
      </c>
      <c r="B86" s="2" t="s">
        <v>341</v>
      </c>
      <c r="C86" s="2" t="s">
        <v>25</v>
      </c>
      <c r="D86" s="14">
        <v>5.63</v>
      </c>
      <c r="E86" s="2" t="s">
        <v>2</v>
      </c>
      <c r="F86" s="2" t="s">
        <v>531</v>
      </c>
      <c r="G86" s="3">
        <v>45873</v>
      </c>
      <c r="H86" s="29">
        <v>93.09</v>
      </c>
      <c r="I86" s="29">
        <v>108.59</v>
      </c>
      <c r="J86" s="30">
        <f t="shared" si="3"/>
        <v>0.16650553228058862</v>
      </c>
      <c r="K86" s="29">
        <v>136.47999999999999</v>
      </c>
      <c r="L86" s="30">
        <f t="shared" si="4"/>
        <v>0.46610806746159605</v>
      </c>
      <c r="M86" s="37">
        <f t="shared" si="5"/>
        <v>0.25683764619209848</v>
      </c>
      <c r="N86" s="2">
        <v>1</v>
      </c>
      <c r="P86" s="11">
        <v>8.2519685039369906E-2</v>
      </c>
      <c r="Q86" s="11">
        <v>0.11783532150130971</v>
      </c>
      <c r="R86" s="2" t="s">
        <v>348</v>
      </c>
      <c r="S86" t="s">
        <v>356</v>
      </c>
    </row>
    <row r="87" spans="1:19" ht="13.5" thickBot="1" x14ac:dyDescent="0.25">
      <c r="A87" s="7" t="s">
        <v>342</v>
      </c>
      <c r="B87" s="2" t="s">
        <v>343</v>
      </c>
      <c r="C87" s="2" t="s">
        <v>25</v>
      </c>
      <c r="D87" s="14">
        <v>0.73199000000000003</v>
      </c>
      <c r="E87" s="2" t="s">
        <v>2</v>
      </c>
      <c r="F87" s="2" t="s">
        <v>531</v>
      </c>
      <c r="G87" s="3">
        <v>45873</v>
      </c>
      <c r="H87" s="29">
        <v>12.35</v>
      </c>
      <c r="I87" s="29">
        <v>13.63</v>
      </c>
      <c r="J87" s="30">
        <f t="shared" si="3"/>
        <v>0.10364372469635641</v>
      </c>
      <c r="K87" s="29">
        <v>11.82</v>
      </c>
      <c r="L87" s="30">
        <f t="shared" si="4"/>
        <v>-4.2914979757084915E-2</v>
      </c>
      <c r="M87" s="36">
        <f t="shared" si="5"/>
        <v>-0.13279530447542187</v>
      </c>
      <c r="N87" s="2">
        <v>3</v>
      </c>
      <c r="P87" s="11">
        <v>0.125</v>
      </c>
      <c r="Q87" s="11">
        <v>0.51851851851851838</v>
      </c>
      <c r="R87" s="2" t="s">
        <v>349</v>
      </c>
      <c r="S87" t="s">
        <v>357</v>
      </c>
    </row>
    <row r="88" spans="1:19" ht="13.5" thickBot="1" x14ac:dyDescent="0.25">
      <c r="A88" s="7" t="s">
        <v>317</v>
      </c>
      <c r="B88" s="2" t="s">
        <v>318</v>
      </c>
      <c r="C88" s="2" t="s">
        <v>319</v>
      </c>
      <c r="D88" s="2" t="s">
        <v>320</v>
      </c>
      <c r="E88" s="2" t="s">
        <v>0</v>
      </c>
      <c r="F88" s="2" t="s">
        <v>531</v>
      </c>
      <c r="G88" s="3">
        <v>45874</v>
      </c>
      <c r="H88" s="29">
        <v>26.23</v>
      </c>
      <c r="I88" s="29">
        <v>28.54</v>
      </c>
      <c r="J88" s="30">
        <f t="shared" si="3"/>
        <v>8.8067098741898553E-2</v>
      </c>
      <c r="K88" s="29">
        <v>40.380000000000003</v>
      </c>
      <c r="L88" s="30">
        <f t="shared" si="4"/>
        <v>0.539458635150591</v>
      </c>
      <c r="M88" s="37">
        <f t="shared" si="5"/>
        <v>0.41485634197617394</v>
      </c>
      <c r="N88" s="2">
        <v>1</v>
      </c>
      <c r="P88" s="16">
        <v>1.4999999999999999E-2</v>
      </c>
      <c r="Q88" s="16">
        <v>0.104</v>
      </c>
      <c r="R88" s="2" t="s">
        <v>324</v>
      </c>
      <c r="S88" s="10" t="s">
        <v>326</v>
      </c>
    </row>
    <row r="89" spans="1:19" x14ac:dyDescent="0.2">
      <c r="A89" s="7" t="s">
        <v>321</v>
      </c>
      <c r="B89" s="2" t="s">
        <v>322</v>
      </c>
      <c r="C89" s="2" t="s">
        <v>319</v>
      </c>
      <c r="D89" s="2" t="s">
        <v>323</v>
      </c>
      <c r="E89" s="2" t="s">
        <v>0</v>
      </c>
      <c r="F89" s="2" t="s">
        <v>531</v>
      </c>
      <c r="G89" s="3">
        <v>45874</v>
      </c>
      <c r="H89" s="29">
        <v>66.180000000000007</v>
      </c>
      <c r="I89" s="29">
        <v>69.150000000000006</v>
      </c>
      <c r="J89" s="30">
        <f t="shared" si="3"/>
        <v>4.4877606527651936E-2</v>
      </c>
      <c r="K89" s="29">
        <v>66.48</v>
      </c>
      <c r="L89" s="30">
        <f t="shared" si="4"/>
        <v>4.5330915684496098E-3</v>
      </c>
      <c r="M89" s="36">
        <f t="shared" si="5"/>
        <v>-3.8611713665943626E-2</v>
      </c>
      <c r="P89" s="16">
        <v>0.17</v>
      </c>
      <c r="Q89" s="16">
        <v>9.7000000000000003E-2</v>
      </c>
      <c r="R89" s="2" t="s">
        <v>325</v>
      </c>
      <c r="S89" t="s">
        <v>327</v>
      </c>
    </row>
    <row r="90" spans="1:19" x14ac:dyDescent="0.2">
      <c r="A90" s="7" t="s">
        <v>358</v>
      </c>
      <c r="B90" s="2" t="s">
        <v>359</v>
      </c>
      <c r="C90" s="2" t="s">
        <v>25</v>
      </c>
      <c r="D90" s="2">
        <v>161.35</v>
      </c>
      <c r="E90" s="2" t="s">
        <v>108</v>
      </c>
      <c r="F90" s="2" t="s">
        <v>531</v>
      </c>
      <c r="G90" s="3">
        <v>45874</v>
      </c>
      <c r="H90" s="29">
        <v>301.94</v>
      </c>
      <c r="I90" s="29">
        <v>300.08</v>
      </c>
      <c r="J90" s="30">
        <f t="shared" si="3"/>
        <v>-6.1601642710472637E-3</v>
      </c>
      <c r="K90" s="29">
        <v>292.39999999999998</v>
      </c>
      <c r="L90" s="30">
        <f t="shared" si="4"/>
        <v>-3.1595681261177733E-2</v>
      </c>
      <c r="M90" s="36">
        <f t="shared" si="5"/>
        <v>-2.5593175153292513E-2</v>
      </c>
      <c r="N90" s="2">
        <v>1</v>
      </c>
      <c r="P90" s="11">
        <v>0.03</v>
      </c>
      <c r="Q90" s="11">
        <v>0.1</v>
      </c>
      <c r="R90" s="2" t="s">
        <v>91</v>
      </c>
      <c r="S90" t="s">
        <v>368</v>
      </c>
    </row>
    <row r="91" spans="1:19" x14ac:dyDescent="0.2">
      <c r="A91" s="15" t="s">
        <v>360</v>
      </c>
      <c r="B91" s="2" t="s">
        <v>361</v>
      </c>
      <c r="C91" s="2" t="s">
        <v>25</v>
      </c>
      <c r="D91" s="2">
        <v>148.35</v>
      </c>
      <c r="E91" s="2" t="s">
        <v>108</v>
      </c>
      <c r="F91" s="2" t="s">
        <v>531</v>
      </c>
      <c r="G91" s="3">
        <v>45874</v>
      </c>
      <c r="H91" s="29">
        <v>118.12</v>
      </c>
      <c r="I91" s="29">
        <v>138.78</v>
      </c>
      <c r="J91" s="30">
        <f t="shared" si="3"/>
        <v>0.17490687436505237</v>
      </c>
      <c r="K91" s="29">
        <v>147.44999999999999</v>
      </c>
      <c r="L91" s="30">
        <f t="shared" si="4"/>
        <v>0.24830680663731775</v>
      </c>
      <c r="M91" s="36">
        <f t="shared" si="5"/>
        <v>6.2472978815391267E-2</v>
      </c>
      <c r="N91" s="2">
        <v>1</v>
      </c>
      <c r="P91" s="11">
        <v>7.0000000000000007E-2</v>
      </c>
      <c r="Q91" s="11">
        <v>0.1</v>
      </c>
      <c r="R91" s="2" t="s">
        <v>366</v>
      </c>
      <c r="S91" t="s">
        <v>369</v>
      </c>
    </row>
    <row r="92" spans="1:19" x14ac:dyDescent="0.2">
      <c r="A92" s="7" t="s">
        <v>362</v>
      </c>
      <c r="B92" s="2" t="s">
        <v>363</v>
      </c>
      <c r="C92" s="2" t="s">
        <v>25</v>
      </c>
      <c r="D92" s="2">
        <v>27.57</v>
      </c>
      <c r="E92" s="2" t="s">
        <v>108</v>
      </c>
      <c r="F92" s="2" t="s">
        <v>531</v>
      </c>
      <c r="G92" s="3">
        <v>45874</v>
      </c>
      <c r="H92" s="29">
        <v>47.71</v>
      </c>
      <c r="I92" s="29">
        <v>45.94</v>
      </c>
      <c r="J92" s="30">
        <f t="shared" si="3"/>
        <v>-3.7099140641374984E-2</v>
      </c>
      <c r="K92" s="29">
        <v>35.840000000000003</v>
      </c>
      <c r="L92" s="30">
        <f t="shared" si="4"/>
        <v>-0.24879480192831682</v>
      </c>
      <c r="M92" s="36">
        <f t="shared" si="5"/>
        <v>-0.2198519808445798</v>
      </c>
      <c r="N92" s="2">
        <v>2</v>
      </c>
      <c r="P92" s="11">
        <v>6.6</v>
      </c>
      <c r="Q92" s="11">
        <v>0.6</v>
      </c>
      <c r="R92" s="2" t="s">
        <v>367</v>
      </c>
      <c r="S92" t="s">
        <v>370</v>
      </c>
    </row>
    <row r="93" spans="1:19" x14ac:dyDescent="0.2">
      <c r="A93" s="2" t="s">
        <v>364</v>
      </c>
      <c r="B93" s="2" t="s">
        <v>365</v>
      </c>
      <c r="C93" s="2" t="s">
        <v>25</v>
      </c>
      <c r="D93" s="2">
        <v>22.35</v>
      </c>
      <c r="E93" s="2" t="s">
        <v>108</v>
      </c>
      <c r="F93" s="2" t="s">
        <v>531</v>
      </c>
      <c r="G93" s="3">
        <v>45874</v>
      </c>
      <c r="H93" s="29">
        <v>135.54</v>
      </c>
      <c r="I93" s="29">
        <v>174.39</v>
      </c>
      <c r="J93" s="30">
        <f t="shared" si="3"/>
        <v>0.28663125276671098</v>
      </c>
      <c r="K93" s="29">
        <v>199.53</v>
      </c>
      <c r="L93" s="30">
        <f t="shared" si="4"/>
        <v>0.47211155378486058</v>
      </c>
      <c r="M93" s="36">
        <f t="shared" si="5"/>
        <v>0.14415964218131783</v>
      </c>
      <c r="R93" s="2" t="s">
        <v>154</v>
      </c>
      <c r="S93" t="s">
        <v>371</v>
      </c>
    </row>
    <row r="94" spans="1:19" ht="13.5" thickBot="1" x14ac:dyDescent="0.25">
      <c r="A94" s="7" t="s">
        <v>372</v>
      </c>
      <c r="B94" s="2" t="s">
        <v>373</v>
      </c>
      <c r="C94" s="2" t="s">
        <v>374</v>
      </c>
      <c r="D94" s="2" t="s">
        <v>375</v>
      </c>
      <c r="E94" s="2" t="s">
        <v>0</v>
      </c>
      <c r="F94" s="2" t="s">
        <v>531</v>
      </c>
      <c r="G94" s="3">
        <v>45875</v>
      </c>
      <c r="H94" s="29">
        <v>88.43</v>
      </c>
      <c r="I94" s="29">
        <v>89.39</v>
      </c>
      <c r="J94" s="30">
        <f t="shared" si="3"/>
        <v>1.085604432884768E-2</v>
      </c>
      <c r="K94" s="29">
        <v>94.08</v>
      </c>
      <c r="L94" s="30">
        <f t="shared" si="4"/>
        <v>6.389234422707224E-2</v>
      </c>
      <c r="M94" s="36">
        <f t="shared" si="5"/>
        <v>5.2466718872357099E-2</v>
      </c>
      <c r="N94" s="2">
        <v>8</v>
      </c>
      <c r="P94" s="13">
        <v>0.13</v>
      </c>
      <c r="Q94" s="13">
        <v>0.11</v>
      </c>
      <c r="R94" s="2" t="s">
        <v>388</v>
      </c>
      <c r="S94" t="s">
        <v>392</v>
      </c>
    </row>
    <row r="95" spans="1:19" ht="13.5" thickBot="1" x14ac:dyDescent="0.25">
      <c r="A95" s="7" t="s">
        <v>376</v>
      </c>
      <c r="B95" s="2" t="s">
        <v>377</v>
      </c>
      <c r="C95" s="2" t="s">
        <v>374</v>
      </c>
      <c r="D95" s="2" t="s">
        <v>378</v>
      </c>
      <c r="E95" s="2" t="s">
        <v>0</v>
      </c>
      <c r="F95" s="2" t="s">
        <v>531</v>
      </c>
      <c r="G95" s="3">
        <v>45875</v>
      </c>
      <c r="H95" s="29">
        <v>377.93</v>
      </c>
      <c r="I95" s="29">
        <v>390.57</v>
      </c>
      <c r="J95" s="30">
        <f t="shared" si="3"/>
        <v>3.3445347021935135E-2</v>
      </c>
      <c r="K95" s="29">
        <v>590.11</v>
      </c>
      <c r="L95" s="30">
        <f t="shared" si="4"/>
        <v>0.56142671923372056</v>
      </c>
      <c r="M95" s="37">
        <f t="shared" si="5"/>
        <v>0.51089433392221628</v>
      </c>
      <c r="N95" s="2">
        <v>9</v>
      </c>
      <c r="P95" s="13">
        <v>0.17</v>
      </c>
      <c r="Q95" s="13">
        <v>0.25</v>
      </c>
      <c r="R95" s="2" t="s">
        <v>389</v>
      </c>
    </row>
    <row r="96" spans="1:19" x14ac:dyDescent="0.2">
      <c r="A96" s="7" t="s">
        <v>379</v>
      </c>
      <c r="B96" s="2" t="s">
        <v>380</v>
      </c>
      <c r="C96" s="2" t="s">
        <v>374</v>
      </c>
      <c r="D96" s="2" t="s">
        <v>381</v>
      </c>
      <c r="E96" s="2" t="s">
        <v>0</v>
      </c>
      <c r="F96" s="2" t="s">
        <v>531</v>
      </c>
      <c r="G96" s="3">
        <v>45875</v>
      </c>
      <c r="H96" s="29">
        <v>258.08</v>
      </c>
      <c r="I96" s="29">
        <v>270.99</v>
      </c>
      <c r="J96" s="30">
        <f t="shared" si="3"/>
        <v>5.0023248605083781E-2</v>
      </c>
      <c r="K96" s="29">
        <v>273.52</v>
      </c>
      <c r="L96" s="30">
        <f t="shared" si="4"/>
        <v>5.9826410415375175E-2</v>
      </c>
      <c r="M96" s="36">
        <f t="shared" si="5"/>
        <v>9.3361378648657567E-3</v>
      </c>
      <c r="N96" s="2">
        <v>1</v>
      </c>
      <c r="P96" s="13">
        <v>-6</v>
      </c>
      <c r="Q96" s="13">
        <v>2.0099999999999998</v>
      </c>
      <c r="R96" s="2" t="s">
        <v>390</v>
      </c>
      <c r="S96" t="s">
        <v>393</v>
      </c>
    </row>
    <row r="97" spans="1:19" x14ac:dyDescent="0.2">
      <c r="A97" s="7" t="s">
        <v>382</v>
      </c>
      <c r="B97" s="7" t="s">
        <v>383</v>
      </c>
      <c r="C97" s="7" t="s">
        <v>374</v>
      </c>
      <c r="D97" s="7" t="s">
        <v>384</v>
      </c>
      <c r="E97" s="2" t="s">
        <v>0</v>
      </c>
      <c r="F97" s="2" t="s">
        <v>531</v>
      </c>
      <c r="G97" s="3">
        <v>45875</v>
      </c>
      <c r="H97" s="29">
        <v>44.94</v>
      </c>
      <c r="I97" s="29">
        <v>45.36</v>
      </c>
      <c r="J97" s="30">
        <f t="shared" si="3"/>
        <v>9.3457943925234765E-3</v>
      </c>
      <c r="K97" s="29">
        <v>32.58</v>
      </c>
      <c r="L97" s="30">
        <f t="shared" si="4"/>
        <v>-0.27503337783711612</v>
      </c>
      <c r="M97" s="36">
        <f t="shared" si="5"/>
        <v>-0.28174603174603174</v>
      </c>
      <c r="O97" s="2">
        <v>1</v>
      </c>
    </row>
    <row r="98" spans="1:19" x14ac:dyDescent="0.2">
      <c r="A98" s="7" t="s">
        <v>385</v>
      </c>
      <c r="B98" s="2" t="s">
        <v>386</v>
      </c>
      <c r="C98" s="2" t="s">
        <v>374</v>
      </c>
      <c r="D98" s="2" t="s">
        <v>387</v>
      </c>
      <c r="E98" s="2" t="s">
        <v>0</v>
      </c>
      <c r="F98" s="2" t="s">
        <v>531</v>
      </c>
      <c r="G98" s="3">
        <v>45875</v>
      </c>
      <c r="H98" s="29">
        <v>343.61</v>
      </c>
      <c r="I98" s="29">
        <v>390.84</v>
      </c>
      <c r="J98" s="30">
        <f t="shared" si="3"/>
        <v>0.1374523442274671</v>
      </c>
      <c r="K98" s="29">
        <v>330</v>
      </c>
      <c r="L98" s="30">
        <f t="shared" si="4"/>
        <v>-3.9608858880707865E-2</v>
      </c>
      <c r="M98" s="36">
        <f t="shared" si="5"/>
        <v>-0.15566472213693583</v>
      </c>
      <c r="N98" s="2">
        <v>1</v>
      </c>
      <c r="P98" s="13">
        <v>7.0000000000000007E-2</v>
      </c>
      <c r="Q98" s="13">
        <v>0.21</v>
      </c>
      <c r="R98" s="2" t="s">
        <v>391</v>
      </c>
      <c r="S98" t="s">
        <v>394</v>
      </c>
    </row>
    <row r="99" spans="1:19" ht="13.5" thickBot="1" x14ac:dyDescent="0.25">
      <c r="A99" s="7" t="s">
        <v>395</v>
      </c>
      <c r="B99" s="2" t="s">
        <v>396</v>
      </c>
      <c r="C99" s="2" t="s">
        <v>25</v>
      </c>
      <c r="D99" s="14">
        <v>4.21</v>
      </c>
      <c r="E99" s="2" t="s">
        <v>2</v>
      </c>
      <c r="F99" s="2" t="s">
        <v>531</v>
      </c>
      <c r="G99" s="3">
        <v>45875</v>
      </c>
      <c r="H99" s="29">
        <v>81.19</v>
      </c>
      <c r="I99" s="29">
        <v>78.709999999999994</v>
      </c>
      <c r="J99" s="30">
        <f t="shared" si="3"/>
        <v>-3.0545633698731423E-2</v>
      </c>
      <c r="K99" s="29">
        <v>64.27</v>
      </c>
      <c r="L99" s="30">
        <f t="shared" si="4"/>
        <v>-0.20840004926715117</v>
      </c>
      <c r="M99" s="36">
        <f t="shared" si="5"/>
        <v>-0.18345826451530933</v>
      </c>
      <c r="R99" s="2" t="s">
        <v>347</v>
      </c>
      <c r="S99" t="s">
        <v>410</v>
      </c>
    </row>
    <row r="100" spans="1:19" ht="13.5" thickBot="1" x14ac:dyDescent="0.25">
      <c r="A100" s="7" t="s">
        <v>397</v>
      </c>
      <c r="B100" s="2" t="s">
        <v>398</v>
      </c>
      <c r="C100" s="2" t="s">
        <v>25</v>
      </c>
      <c r="D100" s="14">
        <v>3.86</v>
      </c>
      <c r="E100" s="2" t="s">
        <v>2</v>
      </c>
      <c r="F100" s="2" t="s">
        <v>531</v>
      </c>
      <c r="G100" s="3">
        <v>45875</v>
      </c>
      <c r="H100" s="29">
        <v>6.11</v>
      </c>
      <c r="I100" s="29">
        <v>7.22</v>
      </c>
      <c r="J100" s="30">
        <f t="shared" si="3"/>
        <v>0.18166939443535179</v>
      </c>
      <c r="K100" s="29">
        <v>13.48</v>
      </c>
      <c r="L100" s="30">
        <f t="shared" si="4"/>
        <v>1.2062193126022911</v>
      </c>
      <c r="M100" s="37">
        <f t="shared" si="5"/>
        <v>0.86703601108033257</v>
      </c>
      <c r="N100" s="2">
        <v>3</v>
      </c>
      <c r="P100" s="11">
        <v>0.44496707431796789</v>
      </c>
      <c r="Q100" s="11">
        <v>0.34635416666666674</v>
      </c>
      <c r="R100" s="2" t="s">
        <v>179</v>
      </c>
      <c r="S100" t="s">
        <v>411</v>
      </c>
    </row>
    <row r="101" spans="1:19" x14ac:dyDescent="0.2">
      <c r="A101" s="7" t="s">
        <v>399</v>
      </c>
      <c r="B101" s="2" t="s">
        <v>400</v>
      </c>
      <c r="C101" s="2" t="s">
        <v>25</v>
      </c>
      <c r="D101" s="14">
        <v>3.36</v>
      </c>
      <c r="E101" s="2" t="s">
        <v>2</v>
      </c>
      <c r="F101" s="2" t="s">
        <v>531</v>
      </c>
      <c r="G101" s="3">
        <v>45875</v>
      </c>
      <c r="H101" s="29">
        <v>16.47</v>
      </c>
      <c r="I101" s="29">
        <v>18.95</v>
      </c>
      <c r="J101" s="30">
        <f t="shared" si="3"/>
        <v>0.1505768063145112</v>
      </c>
      <c r="K101" s="29">
        <v>14.85</v>
      </c>
      <c r="L101" s="30">
        <f t="shared" si="4"/>
        <v>-9.8360655737704916E-2</v>
      </c>
      <c r="M101" s="36">
        <f t="shared" si="5"/>
        <v>-0.21635883905013187</v>
      </c>
      <c r="O101" s="2">
        <v>1</v>
      </c>
      <c r="R101" s="2" t="s">
        <v>407</v>
      </c>
      <c r="S101" t="s">
        <v>412</v>
      </c>
    </row>
    <row r="102" spans="1:19" x14ac:dyDescent="0.2">
      <c r="A102" s="7" t="s">
        <v>401</v>
      </c>
      <c r="B102" s="2" t="s">
        <v>402</v>
      </c>
      <c r="C102" s="2" t="s">
        <v>25</v>
      </c>
      <c r="D102" s="14">
        <v>3.17</v>
      </c>
      <c r="E102" s="2" t="s">
        <v>2</v>
      </c>
      <c r="F102" s="2" t="s">
        <v>531</v>
      </c>
      <c r="G102" s="3">
        <v>45875</v>
      </c>
      <c r="H102" s="29">
        <v>22.48</v>
      </c>
      <c r="I102" s="29">
        <v>21.75</v>
      </c>
      <c r="J102" s="30">
        <f t="shared" si="3"/>
        <v>-3.247330960854089E-2</v>
      </c>
      <c r="K102" s="29">
        <v>17.96</v>
      </c>
      <c r="L102" s="30">
        <f t="shared" si="4"/>
        <v>-0.20106761565836295</v>
      </c>
      <c r="M102" s="36">
        <f t="shared" si="5"/>
        <v>-0.17425287356321839</v>
      </c>
      <c r="N102" s="2">
        <v>3</v>
      </c>
      <c r="P102" s="11">
        <v>0.2426614481409004</v>
      </c>
      <c r="Q102" s="11">
        <v>0.19527559055118116</v>
      </c>
      <c r="R102" s="2" t="s">
        <v>408</v>
      </c>
      <c r="S102" t="s">
        <v>413</v>
      </c>
    </row>
    <row r="103" spans="1:19" x14ac:dyDescent="0.2">
      <c r="A103" s="7" t="s">
        <v>403</v>
      </c>
      <c r="B103" s="2" t="s">
        <v>404</v>
      </c>
      <c r="C103" s="2" t="s">
        <v>25</v>
      </c>
      <c r="D103" s="14">
        <v>2.62</v>
      </c>
      <c r="E103" s="2" t="s">
        <v>2</v>
      </c>
      <c r="F103" s="2" t="s">
        <v>531</v>
      </c>
      <c r="G103" s="3">
        <v>45875</v>
      </c>
      <c r="H103" s="29">
        <v>238.83</v>
      </c>
      <c r="I103" s="29">
        <v>196.11</v>
      </c>
      <c r="J103" s="30">
        <f t="shared" si="3"/>
        <v>-0.17887200100489886</v>
      </c>
      <c r="K103" s="29">
        <v>216.25</v>
      </c>
      <c r="L103" s="30">
        <f t="shared" si="4"/>
        <v>-9.4544236486203581E-2</v>
      </c>
      <c r="M103" s="36">
        <f t="shared" si="5"/>
        <v>0.10269746570802085</v>
      </c>
      <c r="N103" s="2">
        <v>3</v>
      </c>
      <c r="P103" s="11">
        <v>0.855907780979827</v>
      </c>
      <c r="Q103" s="11">
        <v>0.54968944099378891</v>
      </c>
      <c r="R103" s="2" t="s">
        <v>409</v>
      </c>
      <c r="S103" t="s">
        <v>414</v>
      </c>
    </row>
    <row r="104" spans="1:19" x14ac:dyDescent="0.2">
      <c r="A104" s="7" t="s">
        <v>405</v>
      </c>
      <c r="B104" s="7" t="s">
        <v>406</v>
      </c>
      <c r="C104" s="2" t="s">
        <v>25</v>
      </c>
      <c r="D104" s="14">
        <v>3.27</v>
      </c>
      <c r="E104" s="2" t="s">
        <v>2</v>
      </c>
      <c r="F104" s="2" t="s">
        <v>531</v>
      </c>
      <c r="G104" s="3">
        <v>45875</v>
      </c>
      <c r="H104" s="29">
        <v>6.53</v>
      </c>
      <c r="I104" s="29">
        <v>7.46</v>
      </c>
      <c r="J104" s="30">
        <f t="shared" si="3"/>
        <v>0.14241960183767222</v>
      </c>
      <c r="K104" s="29">
        <v>8.68</v>
      </c>
      <c r="L104" s="30">
        <f t="shared" si="4"/>
        <v>0.32924961715160794</v>
      </c>
      <c r="M104" s="36">
        <f t="shared" si="5"/>
        <v>0.16353887399463796</v>
      </c>
      <c r="N104" s="2">
        <v>3</v>
      </c>
      <c r="P104" s="11">
        <v>0.11441798941798931</v>
      </c>
      <c r="Q104" s="11">
        <v>0.10741839762611272</v>
      </c>
      <c r="R104" s="2" t="s">
        <v>175</v>
      </c>
      <c r="S104" t="s">
        <v>415</v>
      </c>
    </row>
    <row r="105" spans="1:19" x14ac:dyDescent="0.2">
      <c r="A105" s="15" t="s">
        <v>416</v>
      </c>
      <c r="B105" s="2" t="s">
        <v>417</v>
      </c>
      <c r="C105" s="2" t="s">
        <v>25</v>
      </c>
      <c r="D105" s="2">
        <v>6.2</v>
      </c>
      <c r="E105" s="2" t="s">
        <v>108</v>
      </c>
      <c r="F105" s="2" t="s">
        <v>531</v>
      </c>
      <c r="G105" s="18">
        <v>45876</v>
      </c>
      <c r="H105" s="29">
        <v>32.549999999999997</v>
      </c>
      <c r="I105" s="29">
        <v>32.9</v>
      </c>
      <c r="J105" s="30">
        <f t="shared" si="3"/>
        <v>1.0752688172043001E-2</v>
      </c>
      <c r="K105" s="29">
        <v>32.21</v>
      </c>
      <c r="L105" s="30">
        <f t="shared" si="4"/>
        <v>-1.0445468509984512E-2</v>
      </c>
      <c r="M105" s="36">
        <f t="shared" si="5"/>
        <v>-2.0972644376899607E-2</v>
      </c>
      <c r="N105" s="2">
        <v>2</v>
      </c>
      <c r="P105" s="13">
        <v>0.15</v>
      </c>
      <c r="Q105" s="13">
        <v>0.15</v>
      </c>
      <c r="R105" s="2" t="s">
        <v>418</v>
      </c>
      <c r="S105" t="s">
        <v>419</v>
      </c>
    </row>
    <row r="106" spans="1:19" x14ac:dyDescent="0.2">
      <c r="A106" s="7" t="s">
        <v>420</v>
      </c>
      <c r="B106" s="2">
        <v>7906</v>
      </c>
      <c r="C106" s="2" t="s">
        <v>112</v>
      </c>
      <c r="D106" s="14">
        <v>1.9430000000000001</v>
      </c>
      <c r="E106" s="2" t="s">
        <v>2</v>
      </c>
      <c r="F106" s="2" t="s">
        <v>531</v>
      </c>
      <c r="G106" s="3">
        <v>45877</v>
      </c>
      <c r="H106" s="29">
        <v>3090</v>
      </c>
      <c r="I106" s="29">
        <v>3790</v>
      </c>
      <c r="J106" s="30">
        <f t="shared" si="3"/>
        <v>0.22653721682847894</v>
      </c>
      <c r="K106" s="29">
        <v>3875</v>
      </c>
      <c r="L106" s="30">
        <f t="shared" si="4"/>
        <v>0.25404530744336573</v>
      </c>
      <c r="M106" s="36">
        <f t="shared" si="5"/>
        <v>2.2427440633245421E-2</v>
      </c>
      <c r="N106" s="2">
        <v>1</v>
      </c>
      <c r="P106" s="11">
        <v>-4.1897553723476144E-2</v>
      </c>
      <c r="Q106" s="11">
        <v>0.20856256171533372</v>
      </c>
      <c r="R106" s="2" t="s">
        <v>428</v>
      </c>
      <c r="S106" t="s">
        <v>433</v>
      </c>
    </row>
    <row r="107" spans="1:19" x14ac:dyDescent="0.2">
      <c r="A107" s="7" t="s">
        <v>421</v>
      </c>
      <c r="B107" s="2">
        <v>1980</v>
      </c>
      <c r="C107" s="2" t="s">
        <v>112</v>
      </c>
      <c r="D107" s="14">
        <v>1.776</v>
      </c>
      <c r="E107" s="2" t="s">
        <v>2</v>
      </c>
      <c r="F107" s="2" t="s">
        <v>531</v>
      </c>
      <c r="G107" s="3">
        <v>45877</v>
      </c>
      <c r="H107" s="29">
        <v>5080</v>
      </c>
      <c r="I107" s="29">
        <v>5700</v>
      </c>
      <c r="J107" s="30">
        <f t="shared" si="3"/>
        <v>0.12204724409448819</v>
      </c>
      <c r="K107" s="29">
        <v>6250</v>
      </c>
      <c r="L107" s="30">
        <f t="shared" si="4"/>
        <v>0.23031496062992129</v>
      </c>
      <c r="M107" s="36">
        <f t="shared" si="5"/>
        <v>9.6491228070175517E-2</v>
      </c>
      <c r="N107" s="2">
        <v>3</v>
      </c>
      <c r="P107" s="11">
        <v>0.10087886893389375</v>
      </c>
      <c r="Q107" s="11">
        <v>0.34658104824713631</v>
      </c>
      <c r="R107" s="2" t="s">
        <v>429</v>
      </c>
      <c r="S107" t="s">
        <v>434</v>
      </c>
    </row>
    <row r="108" spans="1:19" x14ac:dyDescent="0.2">
      <c r="A108" s="7" t="s">
        <v>422</v>
      </c>
      <c r="B108" s="2" t="s">
        <v>423</v>
      </c>
      <c r="C108" s="2" t="s">
        <v>424</v>
      </c>
      <c r="D108" s="14">
        <v>1.77</v>
      </c>
      <c r="E108" s="2" t="s">
        <v>2</v>
      </c>
      <c r="F108" s="2" t="s">
        <v>531</v>
      </c>
      <c r="G108" s="3">
        <v>45877</v>
      </c>
      <c r="H108" s="29">
        <v>69.010000000000005</v>
      </c>
      <c r="I108" s="29">
        <v>81.48</v>
      </c>
      <c r="J108" s="30">
        <f t="shared" si="3"/>
        <v>0.18069844950007252</v>
      </c>
      <c r="K108" s="29">
        <v>88.74</v>
      </c>
      <c r="L108" s="30">
        <f t="shared" si="4"/>
        <v>0.28590059411679447</v>
      </c>
      <c r="M108" s="36">
        <f t="shared" si="5"/>
        <v>8.9101620029454986E-2</v>
      </c>
      <c r="N108" s="2">
        <v>2</v>
      </c>
      <c r="P108" s="11">
        <v>9.8333333333333339</v>
      </c>
      <c r="Q108" s="11">
        <v>1.3384615384615399</v>
      </c>
      <c r="R108" s="2" t="s">
        <v>430</v>
      </c>
      <c r="S108" t="s">
        <v>435</v>
      </c>
    </row>
    <row r="109" spans="1:19" x14ac:dyDescent="0.2">
      <c r="A109" s="7" t="s">
        <v>425</v>
      </c>
      <c r="B109" s="2">
        <v>6412</v>
      </c>
      <c r="C109" s="2" t="s">
        <v>112</v>
      </c>
      <c r="D109" s="14">
        <v>1.462</v>
      </c>
      <c r="E109" s="2" t="s">
        <v>2</v>
      </c>
      <c r="F109" s="2" t="s">
        <v>531</v>
      </c>
      <c r="G109" s="3">
        <v>45877</v>
      </c>
      <c r="H109" s="29">
        <v>2148</v>
      </c>
      <c r="I109" s="29">
        <v>2160</v>
      </c>
      <c r="J109" s="30">
        <f t="shared" si="3"/>
        <v>5.5865921787709993E-3</v>
      </c>
      <c r="K109" s="29">
        <v>2027</v>
      </c>
      <c r="L109" s="30">
        <f t="shared" si="4"/>
        <v>-5.6331471135940392E-2</v>
      </c>
      <c r="M109" s="36">
        <f t="shared" si="5"/>
        <v>-6.1574074074074114E-2</v>
      </c>
      <c r="N109" s="2">
        <v>1</v>
      </c>
      <c r="P109" s="11">
        <v>-0.15791874467826295</v>
      </c>
      <c r="Q109" s="11">
        <v>0.24195587013831199</v>
      </c>
      <c r="R109" s="2" t="s">
        <v>431</v>
      </c>
      <c r="S109" t="s">
        <v>436</v>
      </c>
    </row>
    <row r="110" spans="1:19" ht="13.5" thickBot="1" x14ac:dyDescent="0.25">
      <c r="A110" s="7" t="s">
        <v>426</v>
      </c>
      <c r="B110" s="2">
        <v>4776</v>
      </c>
      <c r="C110" s="2" t="s">
        <v>112</v>
      </c>
      <c r="D110" s="14">
        <v>1.425</v>
      </c>
      <c r="E110" s="2" t="s">
        <v>2</v>
      </c>
      <c r="F110" s="2" t="s">
        <v>531</v>
      </c>
      <c r="G110" s="3">
        <v>45877</v>
      </c>
      <c r="H110" s="29">
        <v>4125</v>
      </c>
      <c r="I110" s="29">
        <v>3985</v>
      </c>
      <c r="J110" s="30">
        <f t="shared" si="3"/>
        <v>-3.3939393939393936E-2</v>
      </c>
      <c r="K110" s="29">
        <v>3080</v>
      </c>
      <c r="L110" s="30">
        <f t="shared" si="4"/>
        <v>-0.2533333333333333</v>
      </c>
      <c r="M110" s="36">
        <f t="shared" si="5"/>
        <v>-0.22710163111668757</v>
      </c>
      <c r="N110" s="2">
        <v>3</v>
      </c>
      <c r="P110" s="11">
        <v>0.26650316779072147</v>
      </c>
      <c r="Q110" s="11">
        <v>0.26012586735517185</v>
      </c>
      <c r="R110" s="2" t="s">
        <v>202</v>
      </c>
      <c r="S110" t="s">
        <v>437</v>
      </c>
    </row>
    <row r="111" spans="1:19" ht="13.5" thickBot="1" x14ac:dyDescent="0.25">
      <c r="A111" s="7" t="s">
        <v>427</v>
      </c>
      <c r="B111" s="2">
        <v>8050</v>
      </c>
      <c r="C111" s="2" t="s">
        <v>112</v>
      </c>
      <c r="D111" s="14">
        <v>1.216</v>
      </c>
      <c r="E111" s="2" t="s">
        <v>2</v>
      </c>
      <c r="F111" s="2" t="s">
        <v>531</v>
      </c>
      <c r="G111" s="3">
        <v>45877</v>
      </c>
      <c r="H111" s="29">
        <v>4335</v>
      </c>
      <c r="I111" s="29">
        <v>4930</v>
      </c>
      <c r="J111" s="30">
        <f t="shared" si="3"/>
        <v>0.13725490196078427</v>
      </c>
      <c r="K111" s="29">
        <v>6700</v>
      </c>
      <c r="L111" s="30">
        <f t="shared" si="4"/>
        <v>0.5455594002306805</v>
      </c>
      <c r="M111" s="37">
        <f t="shared" si="5"/>
        <v>0.35902636916835706</v>
      </c>
      <c r="N111" s="2">
        <v>1</v>
      </c>
      <c r="P111" s="11">
        <v>-7.197943444730126E-3</v>
      </c>
      <c r="Q111" s="11">
        <v>0.14462595922979138</v>
      </c>
      <c r="R111" s="2" t="s">
        <v>432</v>
      </c>
      <c r="S111" t="s">
        <v>438</v>
      </c>
    </row>
    <row r="112" spans="1:19" ht="13.5" thickBot="1" x14ac:dyDescent="0.25">
      <c r="A112" s="7" t="s">
        <v>439</v>
      </c>
      <c r="B112" s="2">
        <v>8136</v>
      </c>
      <c r="C112" s="2" t="s">
        <v>112</v>
      </c>
      <c r="D112" s="2">
        <v>9.9</v>
      </c>
      <c r="E112" s="2" t="s">
        <v>108</v>
      </c>
      <c r="F112" s="2" t="s">
        <v>531</v>
      </c>
      <c r="G112" s="3">
        <v>45877</v>
      </c>
      <c r="H112" s="29">
        <v>6206</v>
      </c>
      <c r="I112" s="29">
        <v>7206</v>
      </c>
      <c r="J112" s="30">
        <f t="shared" si="3"/>
        <v>0.16113438607798902</v>
      </c>
      <c r="K112" s="29">
        <v>7830</v>
      </c>
      <c r="L112" s="30">
        <f t="shared" si="4"/>
        <v>0.26168224299065423</v>
      </c>
      <c r="M112" s="36">
        <f t="shared" si="5"/>
        <v>8.6594504579517118E-2</v>
      </c>
      <c r="N112" s="2">
        <v>3</v>
      </c>
      <c r="P112" s="2">
        <v>11</v>
      </c>
      <c r="Q112" s="2">
        <v>18</v>
      </c>
      <c r="R112" s="2" t="s">
        <v>29</v>
      </c>
      <c r="S112" t="s">
        <v>440</v>
      </c>
    </row>
    <row r="113" spans="1:19" ht="13.5" thickBot="1" x14ac:dyDescent="0.25">
      <c r="A113" s="7" t="s">
        <v>441</v>
      </c>
      <c r="B113" s="2">
        <v>6055</v>
      </c>
      <c r="C113" s="2" t="s">
        <v>442</v>
      </c>
      <c r="D113" s="2" t="s">
        <v>443</v>
      </c>
      <c r="E113" s="2" t="s">
        <v>0</v>
      </c>
      <c r="F113" s="2" t="s">
        <v>531</v>
      </c>
      <c r="G113" s="3">
        <v>45877</v>
      </c>
      <c r="H113" s="29">
        <v>1377</v>
      </c>
      <c r="I113" s="29">
        <v>1440</v>
      </c>
      <c r="J113" s="30">
        <f t="shared" si="3"/>
        <v>4.5751633986928164E-2</v>
      </c>
      <c r="K113" s="29">
        <v>1865</v>
      </c>
      <c r="L113" s="30">
        <f t="shared" si="4"/>
        <v>0.35439360929557018</v>
      </c>
      <c r="M113" s="37">
        <f t="shared" si="5"/>
        <v>0.29513888888888884</v>
      </c>
      <c r="N113" s="2">
        <v>2</v>
      </c>
      <c r="P113" s="13">
        <v>0.23</v>
      </c>
      <c r="Q113" s="13">
        <v>0.11</v>
      </c>
      <c r="R113" s="2" t="s">
        <v>448</v>
      </c>
      <c r="S113" t="s">
        <v>450</v>
      </c>
    </row>
    <row r="114" spans="1:19" x14ac:dyDescent="0.2">
      <c r="A114" s="7" t="s">
        <v>444</v>
      </c>
      <c r="B114" s="2" t="s">
        <v>445</v>
      </c>
      <c r="C114" s="2" t="s">
        <v>446</v>
      </c>
      <c r="D114" s="2" t="s">
        <v>447</v>
      </c>
      <c r="E114" s="2" t="s">
        <v>0</v>
      </c>
      <c r="F114" s="2" t="s">
        <v>531</v>
      </c>
      <c r="G114" s="3">
        <v>45877</v>
      </c>
      <c r="H114" s="29">
        <v>10.36</v>
      </c>
      <c r="I114" s="29">
        <v>12.28</v>
      </c>
      <c r="J114" s="30">
        <f t="shared" si="3"/>
        <v>0.1853281853281854</v>
      </c>
      <c r="K114" s="29">
        <v>13.55</v>
      </c>
      <c r="L114" s="30">
        <f t="shared" si="4"/>
        <v>0.30791505791505802</v>
      </c>
      <c r="M114" s="36">
        <f t="shared" si="5"/>
        <v>0.10342019543973957</v>
      </c>
      <c r="N114" s="2">
        <v>1</v>
      </c>
      <c r="P114" s="13">
        <v>0.04</v>
      </c>
      <c r="Q114" s="13">
        <v>0.22</v>
      </c>
      <c r="R114" s="2" t="s">
        <v>449</v>
      </c>
      <c r="S114" t="s">
        <v>451</v>
      </c>
    </row>
    <row r="115" spans="1:19" x14ac:dyDescent="0.2">
      <c r="A115" s="7" t="s">
        <v>452</v>
      </c>
      <c r="B115" s="2" t="s">
        <v>453</v>
      </c>
      <c r="C115" s="2" t="s">
        <v>25</v>
      </c>
      <c r="D115" s="14">
        <v>0.84319</v>
      </c>
      <c r="E115" s="2" t="s">
        <v>2</v>
      </c>
      <c r="F115" s="2" t="s">
        <v>531</v>
      </c>
      <c r="G115" s="3">
        <v>45880</v>
      </c>
      <c r="H115" s="29">
        <v>19.97</v>
      </c>
      <c r="I115" s="29">
        <v>21.22</v>
      </c>
      <c r="J115" s="30">
        <f t="shared" si="3"/>
        <v>6.259389083625444E-2</v>
      </c>
      <c r="K115" s="29">
        <v>21.41</v>
      </c>
      <c r="L115" s="30">
        <f t="shared" si="4"/>
        <v>7.2108162243365026E-2</v>
      </c>
      <c r="M115" s="36">
        <f t="shared" si="5"/>
        <v>8.9538171536287514E-3</v>
      </c>
      <c r="O115" s="2">
        <v>1</v>
      </c>
      <c r="R115" s="2" t="s">
        <v>456</v>
      </c>
      <c r="S115" t="s">
        <v>458</v>
      </c>
    </row>
    <row r="116" spans="1:19" ht="13.5" thickBot="1" x14ac:dyDescent="0.25">
      <c r="A116" s="7" t="s">
        <v>454</v>
      </c>
      <c r="B116" s="2" t="s">
        <v>455</v>
      </c>
      <c r="C116" s="2" t="s">
        <v>25</v>
      </c>
      <c r="D116" s="14">
        <v>0.63722999999999996</v>
      </c>
      <c r="E116" s="2" t="s">
        <v>2</v>
      </c>
      <c r="F116" s="2" t="s">
        <v>531</v>
      </c>
      <c r="G116" s="3">
        <v>45880</v>
      </c>
      <c r="H116" s="29">
        <v>23.75</v>
      </c>
      <c r="I116" s="29">
        <v>20.170000000000002</v>
      </c>
      <c r="J116" s="30">
        <f t="shared" si="3"/>
        <v>-0.15073684210526306</v>
      </c>
      <c r="K116" s="29">
        <v>21.81</v>
      </c>
      <c r="L116" s="30">
        <f t="shared" si="4"/>
        <v>-8.1684210526315804E-2</v>
      </c>
      <c r="M116" s="36">
        <f t="shared" si="5"/>
        <v>8.1308874566187184E-2</v>
      </c>
      <c r="N116" s="2">
        <v>3</v>
      </c>
      <c r="P116" s="11">
        <v>0.25827814569536423</v>
      </c>
      <c r="Q116" s="11">
        <v>0.21052631578947345</v>
      </c>
      <c r="R116" s="2" t="s">
        <v>457</v>
      </c>
      <c r="S116" t="s">
        <v>459</v>
      </c>
    </row>
    <row r="117" spans="1:19" ht="13.5" thickBot="1" x14ac:dyDescent="0.25">
      <c r="A117" s="7" t="s">
        <v>460</v>
      </c>
      <c r="B117" s="2">
        <v>360</v>
      </c>
      <c r="C117" s="2" t="s">
        <v>461</v>
      </c>
      <c r="D117" s="2" t="s">
        <v>462</v>
      </c>
      <c r="E117" s="2" t="s">
        <v>0</v>
      </c>
      <c r="F117" s="2" t="s">
        <v>531</v>
      </c>
      <c r="G117" s="18">
        <v>45880</v>
      </c>
      <c r="H117" s="29">
        <v>73.739999999999995</v>
      </c>
      <c r="I117" s="29">
        <v>83.55</v>
      </c>
      <c r="J117" s="30">
        <f t="shared" si="3"/>
        <v>0.13303498779495526</v>
      </c>
      <c r="K117" s="29">
        <v>100.64</v>
      </c>
      <c r="L117" s="30">
        <f t="shared" si="4"/>
        <v>0.36479522647138607</v>
      </c>
      <c r="M117" s="37">
        <f t="shared" si="5"/>
        <v>0.20454817474566123</v>
      </c>
      <c r="O117" s="2">
        <v>3</v>
      </c>
      <c r="R117" s="2" t="s">
        <v>467</v>
      </c>
      <c r="S117" t="s">
        <v>469</v>
      </c>
    </row>
    <row r="118" spans="1:19" x14ac:dyDescent="0.2">
      <c r="A118" s="7" t="s">
        <v>463</v>
      </c>
      <c r="B118" s="2" t="s">
        <v>464</v>
      </c>
      <c r="C118" s="2" t="s">
        <v>465</v>
      </c>
      <c r="D118" s="2" t="s">
        <v>466</v>
      </c>
      <c r="E118" s="2" t="s">
        <v>0</v>
      </c>
      <c r="F118" s="2" t="s">
        <v>531</v>
      </c>
      <c r="G118" s="18">
        <v>45880</v>
      </c>
      <c r="H118" s="29">
        <v>53.58</v>
      </c>
      <c r="I118" s="29">
        <v>68.02</v>
      </c>
      <c r="J118" s="30">
        <f t="shared" si="3"/>
        <v>0.26950354609929073</v>
      </c>
      <c r="K118" s="29">
        <v>77.760000000000005</v>
      </c>
      <c r="L118" s="30">
        <f t="shared" si="4"/>
        <v>0.45128779395296759</v>
      </c>
      <c r="M118" s="36">
        <f t="shared" si="5"/>
        <v>0.1431931784769187</v>
      </c>
      <c r="O118" s="2">
        <v>1</v>
      </c>
      <c r="R118" s="2" t="s">
        <v>468</v>
      </c>
      <c r="S118" t="s">
        <v>470</v>
      </c>
    </row>
    <row r="119" spans="1:19" x14ac:dyDescent="0.2">
      <c r="A119" s="7" t="s">
        <v>471</v>
      </c>
      <c r="B119" s="2" t="s">
        <v>472</v>
      </c>
      <c r="C119" s="2" t="s">
        <v>25</v>
      </c>
      <c r="D119" s="14">
        <v>103.08</v>
      </c>
      <c r="E119" s="2" t="s">
        <v>2</v>
      </c>
      <c r="F119" s="2" t="s">
        <v>531</v>
      </c>
      <c r="G119" s="3">
        <v>45881</v>
      </c>
      <c r="H119" s="29">
        <v>146.22999999999999</v>
      </c>
      <c r="I119" s="29">
        <v>174.12</v>
      </c>
      <c r="J119" s="30">
        <f t="shared" si="3"/>
        <v>0.19072693701702814</v>
      </c>
      <c r="K119" s="29">
        <v>180.69</v>
      </c>
      <c r="L119" s="30">
        <f t="shared" si="4"/>
        <v>0.23565615810709173</v>
      </c>
      <c r="M119" s="36">
        <f t="shared" si="5"/>
        <v>3.773259820813224E-2</v>
      </c>
      <c r="N119" s="2">
        <v>3</v>
      </c>
      <c r="P119" s="11">
        <v>0.58184838417396545</v>
      </c>
      <c r="Q119" s="11">
        <v>0.38646205250596655</v>
      </c>
      <c r="R119" s="2" t="s">
        <v>477</v>
      </c>
      <c r="S119" t="s">
        <v>480</v>
      </c>
    </row>
    <row r="120" spans="1:19" x14ac:dyDescent="0.2">
      <c r="A120" s="7" t="s">
        <v>473</v>
      </c>
      <c r="B120" s="2" t="s">
        <v>474</v>
      </c>
      <c r="C120" s="2" t="s">
        <v>25</v>
      </c>
      <c r="D120" s="14">
        <v>39.33</v>
      </c>
      <c r="E120" s="2" t="s">
        <v>2</v>
      </c>
      <c r="F120" s="2" t="s">
        <v>531</v>
      </c>
      <c r="G120" s="3">
        <v>45881</v>
      </c>
      <c r="H120" s="29">
        <v>22.7</v>
      </c>
      <c r="I120" s="29">
        <v>25.39</v>
      </c>
      <c r="J120" s="30">
        <f t="shared" si="3"/>
        <v>0.11850220264317191</v>
      </c>
      <c r="K120" s="29">
        <v>22.47</v>
      </c>
      <c r="L120" s="30">
        <f t="shared" si="4"/>
        <v>-1.013215859030836E-2</v>
      </c>
      <c r="M120" s="36">
        <f t="shared" si="5"/>
        <v>-0.11500590783773146</v>
      </c>
      <c r="N120" s="2">
        <v>1</v>
      </c>
      <c r="P120" s="11">
        <v>6.446499339498013E-2</v>
      </c>
      <c r="Q120" s="11">
        <v>0.13452469595433114</v>
      </c>
      <c r="R120" s="2" t="s">
        <v>478</v>
      </c>
      <c r="S120" t="s">
        <v>481</v>
      </c>
    </row>
    <row r="121" spans="1:19" x14ac:dyDescent="0.2">
      <c r="A121" s="7" t="s">
        <v>475</v>
      </c>
      <c r="B121" s="2" t="s">
        <v>476</v>
      </c>
      <c r="C121" s="2" t="s">
        <v>25</v>
      </c>
      <c r="D121" s="14">
        <v>16.239999999999998</v>
      </c>
      <c r="E121" s="2" t="s">
        <v>2</v>
      </c>
      <c r="F121" s="2" t="s">
        <v>531</v>
      </c>
      <c r="G121" s="3">
        <v>45881</v>
      </c>
      <c r="H121" s="29">
        <v>45.72</v>
      </c>
      <c r="I121" s="29">
        <v>49.81</v>
      </c>
      <c r="J121" s="30">
        <f t="shared" si="3"/>
        <v>8.9457567804024585E-2</v>
      </c>
      <c r="K121" s="29">
        <v>42.18</v>
      </c>
      <c r="L121" s="30">
        <f t="shared" si="4"/>
        <v>-7.7427821522309648E-2</v>
      </c>
      <c r="M121" s="36">
        <f t="shared" si="5"/>
        <v>-0.15318209194940779</v>
      </c>
      <c r="N121" s="2">
        <v>2</v>
      </c>
      <c r="P121" s="11">
        <v>0.18302513039355151</v>
      </c>
      <c r="Q121" s="11">
        <v>0.18236472945891791</v>
      </c>
      <c r="R121" s="2" t="s">
        <v>479</v>
      </c>
      <c r="S121" t="s">
        <v>482</v>
      </c>
    </row>
    <row r="122" spans="1:19" ht="13.5" thickBot="1" x14ac:dyDescent="0.25">
      <c r="A122" s="7" t="s">
        <v>483</v>
      </c>
      <c r="B122" s="2" t="s">
        <v>484</v>
      </c>
      <c r="C122" s="2" t="s">
        <v>25</v>
      </c>
      <c r="D122" s="14">
        <v>9.02</v>
      </c>
      <c r="E122" s="2" t="s">
        <v>2</v>
      </c>
      <c r="F122" s="2" t="s">
        <v>531</v>
      </c>
      <c r="G122" s="3">
        <v>45881</v>
      </c>
      <c r="H122" s="29">
        <v>30.21</v>
      </c>
      <c r="I122" s="29">
        <v>32.46</v>
      </c>
      <c r="J122" s="30">
        <f t="shared" si="3"/>
        <v>7.4478649453823209E-2</v>
      </c>
      <c r="K122" s="29">
        <v>30.36</v>
      </c>
      <c r="L122" s="30">
        <f t="shared" si="4"/>
        <v>4.9652432969216065E-3</v>
      </c>
      <c r="M122" s="36">
        <f t="shared" si="5"/>
        <v>-6.4695009242144219E-2</v>
      </c>
      <c r="R122" s="2" t="s">
        <v>489</v>
      </c>
      <c r="S122" t="s">
        <v>492</v>
      </c>
    </row>
    <row r="123" spans="1:19" ht="13.5" thickBot="1" x14ac:dyDescent="0.25">
      <c r="A123" s="7" t="s">
        <v>485</v>
      </c>
      <c r="B123" s="2" t="s">
        <v>486</v>
      </c>
      <c r="C123" s="2" t="s">
        <v>25</v>
      </c>
      <c r="D123" s="14">
        <v>8.5399999999999991</v>
      </c>
      <c r="E123" s="2" t="s">
        <v>2</v>
      </c>
      <c r="F123" s="2" t="s">
        <v>531</v>
      </c>
      <c r="G123" s="3">
        <v>45881</v>
      </c>
      <c r="H123" s="29">
        <v>115.03</v>
      </c>
      <c r="I123" s="29">
        <v>119.66</v>
      </c>
      <c r="J123" s="30">
        <f t="shared" si="3"/>
        <v>4.0250369468834091E-2</v>
      </c>
      <c r="K123" s="29">
        <v>156.78</v>
      </c>
      <c r="L123" s="30">
        <f t="shared" si="4"/>
        <v>0.36294879596626961</v>
      </c>
      <c r="M123" s="37">
        <f t="shared" si="5"/>
        <v>0.31021226809293001</v>
      </c>
      <c r="R123" s="2" t="s">
        <v>490</v>
      </c>
      <c r="S123" t="s">
        <v>493</v>
      </c>
    </row>
    <row r="124" spans="1:19" x14ac:dyDescent="0.2">
      <c r="A124" s="7" t="s">
        <v>487</v>
      </c>
      <c r="B124" s="2" t="s">
        <v>488</v>
      </c>
      <c r="C124" s="2" t="s">
        <v>25</v>
      </c>
      <c r="D124" s="14">
        <v>4.0999999999999996</v>
      </c>
      <c r="E124" s="2" t="s">
        <v>2</v>
      </c>
      <c r="F124" s="2" t="s">
        <v>531</v>
      </c>
      <c r="G124" s="3">
        <v>45881</v>
      </c>
      <c r="H124" s="29">
        <v>70.88</v>
      </c>
      <c r="I124" s="29">
        <v>75.8</v>
      </c>
      <c r="J124" s="30">
        <f t="shared" si="3"/>
        <v>6.941309255079009E-2</v>
      </c>
      <c r="K124" s="29">
        <v>88.8</v>
      </c>
      <c r="L124" s="30">
        <f t="shared" si="4"/>
        <v>0.25282167042889392</v>
      </c>
      <c r="M124" s="36">
        <f t="shared" si="5"/>
        <v>0.17150395778364125</v>
      </c>
      <c r="N124" s="2">
        <v>1</v>
      </c>
      <c r="P124" s="11">
        <v>6.3717746182201385E-2</v>
      </c>
      <c r="Q124" s="11">
        <v>0.10495049504950482</v>
      </c>
      <c r="R124" s="2" t="s">
        <v>491</v>
      </c>
      <c r="S124" t="s">
        <v>494</v>
      </c>
    </row>
    <row r="125" spans="1:19" ht="13.5" thickBot="1" x14ac:dyDescent="0.25">
      <c r="A125" s="7" t="s">
        <v>532</v>
      </c>
      <c r="B125" s="2">
        <v>1316</v>
      </c>
      <c r="C125" s="2" t="s">
        <v>495</v>
      </c>
      <c r="D125" s="2">
        <v>2.06</v>
      </c>
      <c r="E125" s="2" t="s">
        <v>98</v>
      </c>
      <c r="F125" s="2" t="s">
        <v>531</v>
      </c>
      <c r="H125" s="29">
        <v>6.92</v>
      </c>
      <c r="I125" s="29">
        <v>6.37</v>
      </c>
      <c r="J125" s="30">
        <f t="shared" si="3"/>
        <v>-7.947976878612717E-2</v>
      </c>
      <c r="K125" s="29">
        <v>7.02</v>
      </c>
      <c r="L125" s="30">
        <f t="shared" si="4"/>
        <v>1.4450867052023142E-2</v>
      </c>
      <c r="M125" s="36">
        <f t="shared" si="5"/>
        <v>0.1020408163265305</v>
      </c>
      <c r="N125" s="2">
        <v>2</v>
      </c>
      <c r="P125" s="11">
        <v>1.5354938271604941</v>
      </c>
      <c r="Q125" s="11">
        <v>0.30449178332318927</v>
      </c>
      <c r="R125" s="2" t="s">
        <v>496</v>
      </c>
      <c r="S125" t="s">
        <v>497</v>
      </c>
    </row>
    <row r="126" spans="1:19" ht="13.5" thickBot="1" x14ac:dyDescent="0.25">
      <c r="A126" s="7" t="s">
        <v>533</v>
      </c>
      <c r="B126" s="2">
        <v>6088</v>
      </c>
      <c r="C126" s="2" t="s">
        <v>534</v>
      </c>
      <c r="H126" s="29">
        <v>3.82</v>
      </c>
      <c r="I126" s="29">
        <v>4.2699999999999996</v>
      </c>
      <c r="J126" s="30">
        <f t="shared" si="3"/>
        <v>0.11780104712041872</v>
      </c>
      <c r="K126" s="29">
        <v>5.68</v>
      </c>
      <c r="L126" s="30">
        <f t="shared" si="4"/>
        <v>0.48691099476439792</v>
      </c>
      <c r="M126" s="37">
        <f t="shared" si="5"/>
        <v>0.3302107728337238</v>
      </c>
    </row>
    <row r="127" spans="1:19" x14ac:dyDescent="0.2">
      <c r="M127" s="30"/>
    </row>
    <row r="128" spans="1:19" x14ac:dyDescent="0.2">
      <c r="M128" s="30"/>
    </row>
  </sheetData>
  <autoFilter ref="A1:S125" xr:uid="{7BF2245D-748A-4A32-82C2-92BFB51F2A5C}">
    <filterColumn colId="2">
      <filters>
        <filter val="대만"/>
        <filter val="미국"/>
        <filter val="일본"/>
        <filter val="호주"/>
        <filter val="홍콩"/>
      </filters>
    </filterColumn>
    <sortState xmlns:xlrd2="http://schemas.microsoft.com/office/spreadsheetml/2017/richdata2" ref="A2:S19">
      <sortCondition ref="G1"/>
    </sortState>
  </autoFilter>
  <phoneticPr fontId="1" type="noConversion"/>
  <conditionalFormatting sqref="M129:M1048576 M1:M125">
    <cfRule type="colorScale" priority="2">
      <colorScale>
        <cfvo type="min"/>
        <cfvo type="percentile" val="50"/>
        <cfvo type="max"/>
        <color rgb="FFF8696B"/>
        <color rgb="FFFCFCFF"/>
        <color rgb="FF63BE7B"/>
      </colorScale>
    </cfRule>
  </conditionalFormatting>
  <pageMargins left="0.7" right="0.7" top="0.75" bottom="0.75" header="0.3" footer="0.3"/>
  <ignoredErrors>
    <ignoredError sqref="J85 J79 L79:M79 J80 L80:M80 J81 L81:M81 J82 L82:M82 J83 L83:M83 J84 L84:M84 J86 L86:M86 L85:M85 J87 L87:M87 J88 L88:M88 J89 L89:M89 J90 L90:M90 J91 L91:M91 J92 L92:M92 J93 L93:M93 J94 L94:M94 J95 L95:M95 J96 L96:M96 J97 L97:M97 J98 L98:M98 J99 L99:M99 J100 L100:M100 J101 L101:M101 J102 L102:M102 J103 L103:M103 J104 L104:M104 J105 L105:M105 J125 J106 L106:M106 J107 L107:M107 J108 L108:M108 J109 L109:M109 J110 L110:M110 J111 L111:M111 J112 L112:M112 J113 L113:M113 J114 L114:M114 J115 L115:M115 J116 L116:M116 J117 L117:M117 J118 L118:M118 J119 L119:M119 J120 L120:M120 J121 L121:M121 J122 L122:M122 J123 L123:M123 J124 L124:M124 L125:M125"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8710-26A3-415D-BB4A-01F382E9563A}">
  <sheetPr filterMode="1"/>
  <dimension ref="A1:U126"/>
  <sheetViews>
    <sheetView tabSelected="1" zoomScale="110" zoomScaleNormal="110" workbookViewId="0">
      <selection activeCell="D8" sqref="D8"/>
    </sheetView>
  </sheetViews>
  <sheetFormatPr defaultRowHeight="12.75" outlineLevelCol="1" x14ac:dyDescent="0.2"/>
  <cols>
    <col min="1" max="1" width="34.875" style="7" customWidth="1"/>
    <col min="2" max="2" width="21.5" style="2" customWidth="1"/>
    <col min="3" max="3" width="9" style="2"/>
    <col min="4" max="6" width="9" style="2" customWidth="1"/>
    <col min="7" max="7" width="11.375" style="2" customWidth="1"/>
    <col min="8" max="9" width="11.375" style="29" customWidth="1"/>
    <col min="10" max="10" width="8.75" style="30" customWidth="1"/>
    <col min="11" max="11" width="13.25" style="29" hidden="1" customWidth="1" outlineLevel="1"/>
    <col min="12" max="12" width="13.75" style="30" hidden="1" customWidth="1" outlineLevel="1"/>
    <col min="13" max="13" width="13.75" style="36" hidden="1" customWidth="1" outlineLevel="1"/>
    <col min="14" max="14" width="9" style="2" collapsed="1"/>
    <col min="15" max="17" width="9" style="2"/>
    <col min="18" max="18" width="18.375" style="2" customWidth="1"/>
    <col min="19" max="19" width="255.5" customWidth="1"/>
  </cols>
  <sheetData>
    <row r="1" spans="1:21" s="35" customFormat="1" x14ac:dyDescent="0.2">
      <c r="A1" s="31" t="s">
        <v>10</v>
      </c>
      <c r="B1" s="31" t="s">
        <v>12</v>
      </c>
      <c r="C1" s="31" t="s">
        <v>11</v>
      </c>
      <c r="D1" s="5" t="s">
        <v>94</v>
      </c>
      <c r="E1" s="5" t="s">
        <v>18</v>
      </c>
      <c r="F1" s="31" t="s">
        <v>530</v>
      </c>
      <c r="G1" s="31" t="s">
        <v>17</v>
      </c>
      <c r="H1" s="32" t="s">
        <v>524</v>
      </c>
      <c r="I1" s="32" t="s">
        <v>525</v>
      </c>
      <c r="J1" s="33" t="s">
        <v>526</v>
      </c>
      <c r="K1" s="32" t="s">
        <v>529</v>
      </c>
      <c r="L1" s="33" t="s">
        <v>527</v>
      </c>
      <c r="M1" s="33" t="s">
        <v>528</v>
      </c>
      <c r="N1" s="31" t="s">
        <v>13</v>
      </c>
      <c r="O1" s="31" t="s">
        <v>14</v>
      </c>
      <c r="P1" s="31" t="s">
        <v>147</v>
      </c>
      <c r="Q1" s="31" t="s">
        <v>148</v>
      </c>
      <c r="R1" s="31" t="s">
        <v>16</v>
      </c>
      <c r="S1" s="34" t="s">
        <v>15</v>
      </c>
      <c r="T1" s="34"/>
      <c r="U1" s="34"/>
    </row>
    <row r="2" spans="1:21" x14ac:dyDescent="0.2">
      <c r="A2" s="7" t="s">
        <v>536</v>
      </c>
      <c r="B2" s="2">
        <v>600415</v>
      </c>
      <c r="C2" s="2" t="s">
        <v>537</v>
      </c>
      <c r="D2" s="9">
        <v>109.12</v>
      </c>
      <c r="E2" s="2" t="s">
        <v>2</v>
      </c>
      <c r="F2" s="2" t="s">
        <v>535</v>
      </c>
      <c r="G2" s="3">
        <v>45945</v>
      </c>
      <c r="H2" s="29">
        <v>19.04</v>
      </c>
      <c r="I2" s="29">
        <v>19.61</v>
      </c>
      <c r="J2" s="30">
        <f>I2/H2-1</f>
        <v>2.9936974789916082E-2</v>
      </c>
      <c r="L2" s="30">
        <f>K2/H2-1</f>
        <v>-1</v>
      </c>
      <c r="M2" s="36">
        <f>K2/I2-1</f>
        <v>-1</v>
      </c>
      <c r="N2" s="2">
        <v>1</v>
      </c>
      <c r="P2" s="13">
        <v>2.6520418147175429E-2</v>
      </c>
      <c r="Q2" s="13">
        <v>0.32227007926156315</v>
      </c>
      <c r="R2" s="2" t="s">
        <v>538</v>
      </c>
      <c r="S2" t="s">
        <v>539</v>
      </c>
    </row>
    <row r="3" spans="1:21" x14ac:dyDescent="0.2">
      <c r="D3" s="9"/>
      <c r="F3" s="2" t="s">
        <v>535</v>
      </c>
      <c r="G3" s="3"/>
      <c r="J3" s="30" t="e">
        <f>I3/H3-1</f>
        <v>#DIV/0!</v>
      </c>
      <c r="L3" s="30" t="e">
        <f>K3/H3-1</f>
        <v>#DIV/0!</v>
      </c>
      <c r="M3" s="36" t="e">
        <f>K3/I3-1</f>
        <v>#DIV/0!</v>
      </c>
    </row>
    <row r="4" spans="1:21" hidden="1" x14ac:dyDescent="0.2">
      <c r="A4" s="7" t="s">
        <v>35</v>
      </c>
      <c r="B4" s="2" t="s">
        <v>21</v>
      </c>
      <c r="C4" s="2" t="s">
        <v>32</v>
      </c>
      <c r="D4" s="9">
        <v>29.28</v>
      </c>
      <c r="E4" s="2" t="s">
        <v>0</v>
      </c>
      <c r="G4" s="3">
        <v>45859</v>
      </c>
      <c r="H4" s="3"/>
      <c r="I4" s="3"/>
      <c r="J4" s="3"/>
      <c r="K4" s="3"/>
      <c r="L4" s="3"/>
      <c r="M4" s="3"/>
      <c r="N4" s="2">
        <v>1</v>
      </c>
      <c r="R4" s="2" t="s">
        <v>38</v>
      </c>
      <c r="S4" t="s">
        <v>37</v>
      </c>
    </row>
    <row r="5" spans="1:21" hidden="1" x14ac:dyDescent="0.2">
      <c r="A5" s="7" t="s">
        <v>34</v>
      </c>
      <c r="B5" s="2" t="s">
        <v>22</v>
      </c>
      <c r="C5" s="2" t="s">
        <v>24</v>
      </c>
      <c r="D5" s="9">
        <v>168.57</v>
      </c>
      <c r="E5" s="2" t="s">
        <v>0</v>
      </c>
      <c r="G5" s="3">
        <v>45859</v>
      </c>
      <c r="H5" s="3"/>
      <c r="I5" s="3"/>
      <c r="J5" s="3"/>
      <c r="K5" s="3"/>
      <c r="L5" s="3"/>
      <c r="M5" s="3"/>
      <c r="N5" s="2">
        <v>2</v>
      </c>
      <c r="R5" s="2" t="s">
        <v>39</v>
      </c>
    </row>
    <row r="6" spans="1:21" x14ac:dyDescent="0.2">
      <c r="D6" s="9"/>
      <c r="F6" s="2" t="s">
        <v>535</v>
      </c>
      <c r="G6" s="3"/>
      <c r="J6" s="30" t="e">
        <f t="shared" ref="J6:J69" si="0">I6/H6-1</f>
        <v>#DIV/0!</v>
      </c>
      <c r="L6" s="30" t="e">
        <f t="shared" ref="L6:L69" si="1">K6/H6-1</f>
        <v>#DIV/0!</v>
      </c>
      <c r="M6" s="36" t="e">
        <f t="shared" ref="M6:M69" si="2">K6/I6-1</f>
        <v>#DIV/0!</v>
      </c>
    </row>
    <row r="7" spans="1:21" x14ac:dyDescent="0.2">
      <c r="B7" s="7"/>
      <c r="D7" s="9"/>
      <c r="F7" s="2" t="s">
        <v>535</v>
      </c>
      <c r="G7" s="3"/>
      <c r="J7" s="30" t="e">
        <f t="shared" si="0"/>
        <v>#DIV/0!</v>
      </c>
      <c r="L7" s="30" t="e">
        <f t="shared" si="1"/>
        <v>#DIV/0!</v>
      </c>
      <c r="M7" s="36" t="e">
        <f t="shared" si="2"/>
        <v>#DIV/0!</v>
      </c>
    </row>
    <row r="8" spans="1:21" x14ac:dyDescent="0.2">
      <c r="B8" s="7"/>
      <c r="D8" s="9"/>
      <c r="F8" s="2" t="s">
        <v>535</v>
      </c>
      <c r="G8" s="3"/>
      <c r="J8" s="30" t="e">
        <f t="shared" si="0"/>
        <v>#DIV/0!</v>
      </c>
      <c r="L8" s="30" t="e">
        <f t="shared" si="1"/>
        <v>#DIV/0!</v>
      </c>
      <c r="M8" s="36" t="e">
        <f t="shared" si="2"/>
        <v>#DIV/0!</v>
      </c>
    </row>
    <row r="9" spans="1:21" x14ac:dyDescent="0.2">
      <c r="B9" s="7"/>
      <c r="D9" s="9"/>
      <c r="F9" s="2" t="s">
        <v>535</v>
      </c>
      <c r="G9" s="3"/>
      <c r="J9" s="30" t="e">
        <f t="shared" si="0"/>
        <v>#DIV/0!</v>
      </c>
      <c r="L9" s="30" t="e">
        <f t="shared" si="1"/>
        <v>#DIV/0!</v>
      </c>
      <c r="M9" s="36" t="e">
        <f t="shared" si="2"/>
        <v>#DIV/0!</v>
      </c>
    </row>
    <row r="10" spans="1:21" s="1" customFormat="1" x14ac:dyDescent="0.2">
      <c r="A10" s="19"/>
      <c r="B10" s="19"/>
      <c r="C10" s="19"/>
      <c r="D10" s="20"/>
      <c r="E10" s="19"/>
      <c r="F10" s="2" t="s">
        <v>535</v>
      </c>
      <c r="G10" s="21"/>
      <c r="H10" s="28"/>
      <c r="I10" s="28"/>
      <c r="J10" s="30" t="e">
        <f t="shared" si="0"/>
        <v>#DIV/0!</v>
      </c>
      <c r="K10" s="28"/>
      <c r="L10" s="30" t="e">
        <f t="shared" si="1"/>
        <v>#DIV/0!</v>
      </c>
      <c r="M10" s="36" t="e">
        <f t="shared" si="2"/>
        <v>#DIV/0!</v>
      </c>
      <c r="N10" s="19"/>
      <c r="O10" s="19"/>
      <c r="P10" s="19"/>
      <c r="Q10" s="19"/>
      <c r="R10" s="19"/>
    </row>
    <row r="11" spans="1:21" x14ac:dyDescent="0.2">
      <c r="D11" s="9"/>
      <c r="F11" s="2" t="s">
        <v>535</v>
      </c>
      <c r="G11" s="3"/>
      <c r="J11" s="30" t="e">
        <f t="shared" si="0"/>
        <v>#DIV/0!</v>
      </c>
      <c r="L11" s="30" t="e">
        <f t="shared" si="1"/>
        <v>#DIV/0!</v>
      </c>
      <c r="M11" s="36" t="e">
        <f t="shared" si="2"/>
        <v>#DIV/0!</v>
      </c>
    </row>
    <row r="12" spans="1:21" x14ac:dyDescent="0.2">
      <c r="D12" s="9"/>
      <c r="F12" s="2" t="s">
        <v>535</v>
      </c>
      <c r="G12" s="3"/>
      <c r="J12" s="30" t="e">
        <f t="shared" si="0"/>
        <v>#DIV/0!</v>
      </c>
      <c r="L12" s="30" t="e">
        <f t="shared" si="1"/>
        <v>#DIV/0!</v>
      </c>
      <c r="M12" s="36" t="e">
        <f t="shared" si="2"/>
        <v>#DIV/0!</v>
      </c>
    </row>
    <row r="13" spans="1:21" s="1" customFormat="1" x14ac:dyDescent="0.2">
      <c r="A13" s="19"/>
      <c r="B13" s="19"/>
      <c r="C13" s="19"/>
      <c r="D13" s="20"/>
      <c r="E13" s="19"/>
      <c r="F13" s="2" t="s">
        <v>535</v>
      </c>
      <c r="G13" s="21"/>
      <c r="H13" s="28"/>
      <c r="I13" s="28"/>
      <c r="J13" s="30" t="e">
        <f t="shared" si="0"/>
        <v>#DIV/0!</v>
      </c>
      <c r="K13" s="28"/>
      <c r="L13" s="30" t="e">
        <f t="shared" si="1"/>
        <v>#DIV/0!</v>
      </c>
      <c r="M13" s="36" t="e">
        <f t="shared" si="2"/>
        <v>#DIV/0!</v>
      </c>
      <c r="N13" s="19"/>
      <c r="O13" s="19"/>
      <c r="P13" s="19"/>
      <c r="Q13" s="19"/>
      <c r="R13" s="19"/>
    </row>
    <row r="14" spans="1:21" x14ac:dyDescent="0.2">
      <c r="D14" s="9"/>
      <c r="F14" s="2" t="s">
        <v>535</v>
      </c>
      <c r="G14" s="3"/>
      <c r="J14" s="30" t="e">
        <f t="shared" si="0"/>
        <v>#DIV/0!</v>
      </c>
      <c r="L14" s="30" t="e">
        <f t="shared" si="1"/>
        <v>#DIV/0!</v>
      </c>
      <c r="M14" s="36" t="e">
        <f t="shared" si="2"/>
        <v>#DIV/0!</v>
      </c>
    </row>
    <row r="15" spans="1:21" s="1" customFormat="1" x14ac:dyDescent="0.2">
      <c r="A15" s="19"/>
      <c r="B15" s="19"/>
      <c r="C15" s="19"/>
      <c r="D15" s="20"/>
      <c r="E15" s="19"/>
      <c r="F15" s="2" t="s">
        <v>535</v>
      </c>
      <c r="G15" s="21"/>
      <c r="H15" s="28"/>
      <c r="I15" s="28"/>
      <c r="J15" s="30" t="e">
        <f t="shared" si="0"/>
        <v>#DIV/0!</v>
      </c>
      <c r="K15" s="28"/>
      <c r="L15" s="30" t="e">
        <f t="shared" si="1"/>
        <v>#DIV/0!</v>
      </c>
      <c r="M15" s="36" t="e">
        <f>K15/I15-1</f>
        <v>#DIV/0!</v>
      </c>
      <c r="N15" s="19"/>
      <c r="O15" s="19"/>
      <c r="P15" s="19"/>
      <c r="Q15" s="19"/>
      <c r="R15" s="19"/>
    </row>
    <row r="16" spans="1:21" s="1" customFormat="1" x14ac:dyDescent="0.2">
      <c r="A16" s="19"/>
      <c r="B16" s="19"/>
      <c r="C16" s="19"/>
      <c r="D16" s="20"/>
      <c r="E16" s="19"/>
      <c r="F16" s="2" t="s">
        <v>535</v>
      </c>
      <c r="G16" s="21"/>
      <c r="H16" s="28"/>
      <c r="I16" s="28"/>
      <c r="J16" s="30" t="e">
        <f t="shared" si="0"/>
        <v>#DIV/0!</v>
      </c>
      <c r="K16" s="28"/>
      <c r="L16" s="30" t="e">
        <f t="shared" si="1"/>
        <v>#DIV/0!</v>
      </c>
      <c r="M16" s="36" t="e">
        <f t="shared" si="2"/>
        <v>#DIV/0!</v>
      </c>
      <c r="N16" s="19"/>
      <c r="O16" s="19"/>
      <c r="P16" s="19"/>
      <c r="Q16" s="19"/>
      <c r="R16" s="19"/>
    </row>
    <row r="17" spans="1:19" x14ac:dyDescent="0.2">
      <c r="A17" s="8"/>
      <c r="D17" s="9"/>
      <c r="F17" s="2" t="s">
        <v>535</v>
      </c>
      <c r="G17" s="3"/>
      <c r="J17" s="30" t="e">
        <f>I17/H17-1</f>
        <v>#DIV/0!</v>
      </c>
      <c r="L17" s="30" t="e">
        <f t="shared" si="1"/>
        <v>#DIV/0!</v>
      </c>
      <c r="M17" s="36" t="e">
        <f t="shared" si="2"/>
        <v>#DIV/0!</v>
      </c>
    </row>
    <row r="18" spans="1:19" x14ac:dyDescent="0.2">
      <c r="D18" s="9"/>
      <c r="F18" s="2" t="s">
        <v>535</v>
      </c>
      <c r="G18" s="3"/>
      <c r="J18" s="30" t="e">
        <f t="shared" si="0"/>
        <v>#DIV/0!</v>
      </c>
      <c r="L18" s="30" t="e">
        <f t="shared" si="1"/>
        <v>#DIV/0!</v>
      </c>
      <c r="M18" s="36" t="e">
        <f t="shared" si="2"/>
        <v>#DIV/0!</v>
      </c>
    </row>
    <row r="19" spans="1:19" x14ac:dyDescent="0.2">
      <c r="D19" s="9"/>
      <c r="F19" s="2" t="s">
        <v>535</v>
      </c>
      <c r="G19" s="3"/>
      <c r="J19" s="30" t="e">
        <f t="shared" si="0"/>
        <v>#DIV/0!</v>
      </c>
      <c r="L19" s="30" t="e">
        <f t="shared" si="1"/>
        <v>#DIV/0!</v>
      </c>
      <c r="M19" s="36" t="e">
        <f t="shared" si="2"/>
        <v>#DIV/0!</v>
      </c>
    </row>
    <row r="20" spans="1:19" x14ac:dyDescent="0.2">
      <c r="F20" s="2" t="s">
        <v>535</v>
      </c>
      <c r="G20" s="3"/>
      <c r="J20" s="30" t="e">
        <f t="shared" si="0"/>
        <v>#DIV/0!</v>
      </c>
      <c r="L20" s="30" t="e">
        <f t="shared" si="1"/>
        <v>#DIV/0!</v>
      </c>
      <c r="M20" s="36" t="e">
        <f t="shared" si="2"/>
        <v>#DIV/0!</v>
      </c>
    </row>
    <row r="21" spans="1:19" x14ac:dyDescent="0.2">
      <c r="F21" s="2" t="s">
        <v>535</v>
      </c>
      <c r="G21" s="3"/>
      <c r="J21" s="30" t="e">
        <f t="shared" si="0"/>
        <v>#DIV/0!</v>
      </c>
      <c r="L21" s="30" t="e">
        <f t="shared" si="1"/>
        <v>#DIV/0!</v>
      </c>
      <c r="M21" s="36" t="e">
        <f t="shared" si="2"/>
        <v>#DIV/0!</v>
      </c>
    </row>
    <row r="22" spans="1:19" ht="14.25" customHeight="1" x14ac:dyDescent="0.2">
      <c r="F22" s="2" t="s">
        <v>535</v>
      </c>
      <c r="G22" s="3"/>
      <c r="J22" s="30" t="e">
        <f t="shared" si="0"/>
        <v>#DIV/0!</v>
      </c>
      <c r="L22" s="30" t="e">
        <f t="shared" si="1"/>
        <v>#DIV/0!</v>
      </c>
      <c r="M22" s="36" t="e">
        <f t="shared" si="2"/>
        <v>#DIV/0!</v>
      </c>
      <c r="R22" s="3"/>
      <c r="S22" s="10"/>
    </row>
    <row r="23" spans="1:19" ht="12.75" customHeight="1" x14ac:dyDescent="0.2">
      <c r="F23" s="2" t="s">
        <v>535</v>
      </c>
      <c r="G23" s="3"/>
      <c r="J23" s="30" t="e">
        <f t="shared" si="0"/>
        <v>#DIV/0!</v>
      </c>
      <c r="L23" s="30" t="e">
        <f t="shared" si="1"/>
        <v>#DIV/0!</v>
      </c>
      <c r="M23" s="36" t="e">
        <f t="shared" si="2"/>
        <v>#DIV/0!</v>
      </c>
      <c r="N23" s="12"/>
    </row>
    <row r="24" spans="1:19" x14ac:dyDescent="0.2">
      <c r="F24" s="2" t="s">
        <v>535</v>
      </c>
      <c r="G24" s="3"/>
      <c r="J24" s="30" t="e">
        <f t="shared" si="0"/>
        <v>#DIV/0!</v>
      </c>
      <c r="L24" s="30" t="e">
        <f t="shared" si="1"/>
        <v>#DIV/0!</v>
      </c>
      <c r="M24" s="36" t="e">
        <f t="shared" si="2"/>
        <v>#DIV/0!</v>
      </c>
    </row>
    <row r="25" spans="1:19" x14ac:dyDescent="0.2">
      <c r="F25" s="2" t="s">
        <v>535</v>
      </c>
      <c r="G25" s="3"/>
      <c r="J25" s="30" t="e">
        <f t="shared" si="0"/>
        <v>#DIV/0!</v>
      </c>
      <c r="L25" s="30" t="e">
        <f t="shared" si="1"/>
        <v>#DIV/0!</v>
      </c>
      <c r="M25" s="36" t="e">
        <f t="shared" si="2"/>
        <v>#DIV/0!</v>
      </c>
    </row>
    <row r="26" spans="1:19" x14ac:dyDescent="0.2">
      <c r="G26" s="3"/>
      <c r="J26" s="30" t="e">
        <f t="shared" si="0"/>
        <v>#DIV/0!</v>
      </c>
      <c r="L26" s="30" t="e">
        <f t="shared" si="1"/>
        <v>#DIV/0!</v>
      </c>
      <c r="M26" s="36" t="e">
        <f t="shared" si="2"/>
        <v>#DIV/0!</v>
      </c>
    </row>
    <row r="27" spans="1:19" s="1" customFormat="1" x14ac:dyDescent="0.2">
      <c r="A27" s="19"/>
      <c r="B27" s="19"/>
      <c r="C27" s="19"/>
      <c r="D27" s="19"/>
      <c r="E27" s="19"/>
      <c r="F27" s="2"/>
      <c r="G27" s="21"/>
      <c r="H27" s="28"/>
      <c r="I27" s="28"/>
      <c r="J27" s="30" t="e">
        <f t="shared" si="0"/>
        <v>#DIV/0!</v>
      </c>
      <c r="K27" s="28"/>
      <c r="L27" s="30" t="e">
        <f t="shared" si="1"/>
        <v>#DIV/0!</v>
      </c>
      <c r="M27" s="36" t="e">
        <f t="shared" si="2"/>
        <v>#DIV/0!</v>
      </c>
      <c r="N27" s="19"/>
      <c r="O27" s="19"/>
      <c r="P27" s="19"/>
      <c r="Q27" s="19"/>
      <c r="R27" s="19"/>
    </row>
    <row r="28" spans="1:19" x14ac:dyDescent="0.2">
      <c r="G28" s="3"/>
      <c r="J28" s="30" t="e">
        <f t="shared" si="0"/>
        <v>#DIV/0!</v>
      </c>
      <c r="L28" s="30" t="e">
        <f t="shared" si="1"/>
        <v>#DIV/0!</v>
      </c>
      <c r="M28" s="36" t="e">
        <f t="shared" si="2"/>
        <v>#DIV/0!</v>
      </c>
      <c r="P28" s="13"/>
      <c r="Q28" s="13"/>
    </row>
    <row r="29" spans="1:19" x14ac:dyDescent="0.2">
      <c r="G29" s="3"/>
      <c r="J29" s="30" t="e">
        <f t="shared" si="0"/>
        <v>#DIV/0!</v>
      </c>
      <c r="L29" s="30" t="e">
        <f t="shared" si="1"/>
        <v>#DIV/0!</v>
      </c>
      <c r="M29" s="36" t="e">
        <f t="shared" si="2"/>
        <v>#DIV/0!</v>
      </c>
      <c r="P29" s="13"/>
      <c r="Q29" s="13"/>
    </row>
    <row r="30" spans="1:19" x14ac:dyDescent="0.2">
      <c r="G30" s="3"/>
      <c r="J30" s="30" t="e">
        <f t="shared" si="0"/>
        <v>#DIV/0!</v>
      </c>
      <c r="L30" s="30" t="e">
        <f t="shared" si="1"/>
        <v>#DIV/0!</v>
      </c>
      <c r="M30" s="36" t="e">
        <f t="shared" si="2"/>
        <v>#DIV/0!</v>
      </c>
      <c r="P30" s="13"/>
      <c r="Q30" s="13"/>
    </row>
    <row r="31" spans="1:19" x14ac:dyDescent="0.2">
      <c r="G31" s="3"/>
      <c r="J31" s="30" t="e">
        <f t="shared" si="0"/>
        <v>#DIV/0!</v>
      </c>
      <c r="L31" s="30" t="e">
        <f t="shared" si="1"/>
        <v>#DIV/0!</v>
      </c>
      <c r="M31" s="36" t="e">
        <f t="shared" si="2"/>
        <v>#DIV/0!</v>
      </c>
      <c r="P31" s="13"/>
      <c r="Q31" s="13"/>
    </row>
    <row r="32" spans="1:19" x14ac:dyDescent="0.2">
      <c r="G32" s="3"/>
      <c r="J32" s="30" t="e">
        <f t="shared" si="0"/>
        <v>#DIV/0!</v>
      </c>
      <c r="L32" s="30" t="e">
        <f t="shared" si="1"/>
        <v>#DIV/0!</v>
      </c>
      <c r="M32" s="36" t="e">
        <f t="shared" si="2"/>
        <v>#DIV/0!</v>
      </c>
      <c r="P32" s="13"/>
      <c r="Q32" s="13"/>
    </row>
    <row r="33" spans="4:17" x14ac:dyDescent="0.2">
      <c r="G33" s="3"/>
      <c r="J33" s="30" t="e">
        <f t="shared" si="0"/>
        <v>#DIV/0!</v>
      </c>
      <c r="L33" s="30" t="e">
        <f t="shared" si="1"/>
        <v>#DIV/0!</v>
      </c>
      <c r="M33" s="36" t="e">
        <f t="shared" si="2"/>
        <v>#DIV/0!</v>
      </c>
      <c r="P33" s="13"/>
      <c r="Q33" s="13"/>
    </row>
    <row r="34" spans="4:17" x14ac:dyDescent="0.2">
      <c r="G34" s="3"/>
      <c r="J34" s="30" t="e">
        <f t="shared" si="0"/>
        <v>#DIV/0!</v>
      </c>
      <c r="L34" s="30" t="e">
        <f t="shared" si="1"/>
        <v>#DIV/0!</v>
      </c>
      <c r="M34" s="36" t="e">
        <f t="shared" si="2"/>
        <v>#DIV/0!</v>
      </c>
      <c r="P34" s="13"/>
      <c r="Q34" s="13"/>
    </row>
    <row r="35" spans="4:17" x14ac:dyDescent="0.2">
      <c r="D35" s="14"/>
      <c r="G35" s="3"/>
      <c r="J35" s="30" t="e">
        <f t="shared" si="0"/>
        <v>#DIV/0!</v>
      </c>
      <c r="L35" s="30" t="e">
        <f t="shared" si="1"/>
        <v>#DIV/0!</v>
      </c>
      <c r="M35" s="36" t="e">
        <f t="shared" si="2"/>
        <v>#DIV/0!</v>
      </c>
      <c r="P35" s="13"/>
      <c r="Q35" s="13"/>
    </row>
    <row r="36" spans="4:17" x14ac:dyDescent="0.2">
      <c r="D36" s="14"/>
      <c r="G36" s="3"/>
      <c r="J36" s="30" t="e">
        <f t="shared" si="0"/>
        <v>#DIV/0!</v>
      </c>
      <c r="L36" s="30" t="e">
        <f t="shared" si="1"/>
        <v>#DIV/0!</v>
      </c>
      <c r="M36" s="36" t="e">
        <f t="shared" si="2"/>
        <v>#DIV/0!</v>
      </c>
      <c r="P36" s="13"/>
      <c r="Q36" s="13"/>
    </row>
    <row r="37" spans="4:17" x14ac:dyDescent="0.2">
      <c r="D37" s="14"/>
      <c r="G37" s="3"/>
      <c r="J37" s="30" t="e">
        <f t="shared" si="0"/>
        <v>#DIV/0!</v>
      </c>
      <c r="L37" s="30" t="e">
        <f t="shared" si="1"/>
        <v>#DIV/0!</v>
      </c>
      <c r="M37" s="36" t="e">
        <f t="shared" si="2"/>
        <v>#DIV/0!</v>
      </c>
      <c r="P37" s="13"/>
      <c r="Q37" s="13"/>
    </row>
    <row r="38" spans="4:17" x14ac:dyDescent="0.2">
      <c r="D38" s="14"/>
      <c r="G38" s="3"/>
      <c r="J38" s="30" t="e">
        <f t="shared" si="0"/>
        <v>#DIV/0!</v>
      </c>
      <c r="L38" s="30" t="e">
        <f t="shared" si="1"/>
        <v>#DIV/0!</v>
      </c>
      <c r="M38" s="36" t="e">
        <f t="shared" si="2"/>
        <v>#DIV/0!</v>
      </c>
      <c r="P38" s="13"/>
      <c r="Q38" s="13"/>
    </row>
    <row r="39" spans="4:17" x14ac:dyDescent="0.2">
      <c r="D39" s="14"/>
      <c r="G39" s="18"/>
      <c r="J39" s="30" t="e">
        <f t="shared" si="0"/>
        <v>#DIV/0!</v>
      </c>
      <c r="L39" s="30" t="e">
        <f t="shared" si="1"/>
        <v>#DIV/0!</v>
      </c>
      <c r="M39" s="36" t="e">
        <f t="shared" si="2"/>
        <v>#DIV/0!</v>
      </c>
      <c r="P39" s="11"/>
      <c r="Q39" s="11"/>
    </row>
    <row r="40" spans="4:17" x14ac:dyDescent="0.2">
      <c r="D40" s="14"/>
      <c r="G40" s="18"/>
      <c r="J40" s="30" t="e">
        <f t="shared" si="0"/>
        <v>#DIV/0!</v>
      </c>
      <c r="L40" s="30" t="e">
        <f t="shared" si="1"/>
        <v>#DIV/0!</v>
      </c>
      <c r="M40" s="36" t="e">
        <f t="shared" si="2"/>
        <v>#DIV/0!</v>
      </c>
      <c r="P40" s="11"/>
      <c r="Q40" s="11"/>
    </row>
    <row r="41" spans="4:17" x14ac:dyDescent="0.2">
      <c r="D41" s="14"/>
      <c r="G41" s="18"/>
      <c r="J41" s="30" t="e">
        <f t="shared" si="0"/>
        <v>#DIV/0!</v>
      </c>
      <c r="L41" s="30" t="e">
        <f t="shared" si="1"/>
        <v>#DIV/0!</v>
      </c>
      <c r="M41" s="36" t="e">
        <f t="shared" si="2"/>
        <v>#DIV/0!</v>
      </c>
      <c r="P41" s="16"/>
      <c r="Q41" s="13"/>
    </row>
    <row r="42" spans="4:17" x14ac:dyDescent="0.2">
      <c r="D42" s="14"/>
      <c r="G42" s="18"/>
      <c r="J42" s="30" t="e">
        <f t="shared" si="0"/>
        <v>#DIV/0!</v>
      </c>
      <c r="L42" s="30" t="e">
        <f t="shared" si="1"/>
        <v>#DIV/0!</v>
      </c>
      <c r="M42" s="36" t="e">
        <f t="shared" si="2"/>
        <v>#DIV/0!</v>
      </c>
      <c r="P42" s="11"/>
      <c r="Q42" s="11"/>
    </row>
    <row r="43" spans="4:17" x14ac:dyDescent="0.2">
      <c r="D43" s="14"/>
      <c r="G43" s="18"/>
      <c r="J43" s="30" t="e">
        <f t="shared" si="0"/>
        <v>#DIV/0!</v>
      </c>
      <c r="L43" s="30" t="e">
        <f t="shared" si="1"/>
        <v>#DIV/0!</v>
      </c>
      <c r="M43" s="36" t="e">
        <f t="shared" si="2"/>
        <v>#DIV/0!</v>
      </c>
      <c r="P43" s="11"/>
      <c r="Q43" s="11"/>
    </row>
    <row r="44" spans="4:17" x14ac:dyDescent="0.2">
      <c r="D44" s="14"/>
      <c r="G44" s="18"/>
      <c r="J44" s="30" t="e">
        <f t="shared" si="0"/>
        <v>#DIV/0!</v>
      </c>
      <c r="L44" s="30" t="e">
        <f t="shared" si="1"/>
        <v>#DIV/0!</v>
      </c>
      <c r="M44" s="36" t="e">
        <f t="shared" si="2"/>
        <v>#DIV/0!</v>
      </c>
      <c r="P44" s="11"/>
      <c r="Q44" s="11"/>
    </row>
    <row r="45" spans="4:17" x14ac:dyDescent="0.2">
      <c r="D45" s="14"/>
      <c r="G45" s="18"/>
      <c r="J45" s="30" t="e">
        <f t="shared" si="0"/>
        <v>#DIV/0!</v>
      </c>
      <c r="L45" s="30" t="e">
        <f t="shared" si="1"/>
        <v>#DIV/0!</v>
      </c>
      <c r="M45" s="36" t="e">
        <f t="shared" si="2"/>
        <v>#DIV/0!</v>
      </c>
      <c r="P45" s="11"/>
      <c r="Q45" s="11"/>
    </row>
    <row r="46" spans="4:17" x14ac:dyDescent="0.2">
      <c r="D46" s="14"/>
      <c r="G46" s="18"/>
      <c r="J46" s="30" t="e">
        <f t="shared" si="0"/>
        <v>#DIV/0!</v>
      </c>
      <c r="L46" s="30" t="e">
        <f t="shared" si="1"/>
        <v>#DIV/0!</v>
      </c>
      <c r="M46" s="36" t="e">
        <f t="shared" si="2"/>
        <v>#DIV/0!</v>
      </c>
      <c r="P46" s="11"/>
      <c r="Q46" s="11"/>
    </row>
    <row r="47" spans="4:17" x14ac:dyDescent="0.2">
      <c r="G47" s="3"/>
      <c r="J47" s="30" t="e">
        <f t="shared" si="0"/>
        <v>#DIV/0!</v>
      </c>
      <c r="L47" s="30" t="e">
        <f t="shared" si="1"/>
        <v>#DIV/0!</v>
      </c>
      <c r="M47" s="36" t="e">
        <f t="shared" si="2"/>
        <v>#DIV/0!</v>
      </c>
      <c r="P47" s="13"/>
      <c r="Q47" s="13"/>
    </row>
    <row r="48" spans="4:17" x14ac:dyDescent="0.2">
      <c r="G48" s="3"/>
      <c r="J48" s="30" t="e">
        <f t="shared" si="0"/>
        <v>#DIV/0!</v>
      </c>
      <c r="L48" s="30" t="e">
        <f t="shared" si="1"/>
        <v>#DIV/0!</v>
      </c>
      <c r="M48" s="36" t="e">
        <f t="shared" si="2"/>
        <v>#DIV/0!</v>
      </c>
      <c r="P48" s="13"/>
      <c r="Q48" s="13"/>
    </row>
    <row r="49" spans="1:19" x14ac:dyDescent="0.2">
      <c r="G49" s="3"/>
      <c r="J49" s="30" t="e">
        <f t="shared" si="0"/>
        <v>#DIV/0!</v>
      </c>
      <c r="L49" s="30" t="e">
        <f t="shared" si="1"/>
        <v>#DIV/0!</v>
      </c>
      <c r="M49" s="36" t="e">
        <f t="shared" si="2"/>
        <v>#DIV/0!</v>
      </c>
      <c r="P49" s="13"/>
      <c r="Q49" s="13"/>
    </row>
    <row r="50" spans="1:19" x14ac:dyDescent="0.2">
      <c r="G50" s="3"/>
      <c r="J50" s="30" t="e">
        <f t="shared" si="0"/>
        <v>#DIV/0!</v>
      </c>
      <c r="L50" s="30" t="e">
        <f t="shared" si="1"/>
        <v>#DIV/0!</v>
      </c>
      <c r="M50" s="36" t="e">
        <f t="shared" si="2"/>
        <v>#DIV/0!</v>
      </c>
      <c r="P50" s="13"/>
      <c r="Q50" s="13"/>
    </row>
    <row r="51" spans="1:19" x14ac:dyDescent="0.2">
      <c r="G51" s="3"/>
      <c r="J51" s="30" t="e">
        <f t="shared" si="0"/>
        <v>#DIV/0!</v>
      </c>
      <c r="L51" s="30" t="e">
        <f t="shared" si="1"/>
        <v>#DIV/0!</v>
      </c>
      <c r="M51" s="36" t="e">
        <f t="shared" si="2"/>
        <v>#DIV/0!</v>
      </c>
      <c r="P51" s="13"/>
      <c r="Q51" s="13"/>
    </row>
    <row r="52" spans="1:19" x14ac:dyDescent="0.2">
      <c r="G52" s="3"/>
      <c r="J52" s="30" t="e">
        <f t="shared" si="0"/>
        <v>#DIV/0!</v>
      </c>
      <c r="L52" s="30" t="e">
        <f t="shared" si="1"/>
        <v>#DIV/0!</v>
      </c>
      <c r="M52" s="36" t="e">
        <f t="shared" si="2"/>
        <v>#DIV/0!</v>
      </c>
      <c r="P52" s="13"/>
      <c r="Q52" s="13"/>
    </row>
    <row r="53" spans="1:19" x14ac:dyDescent="0.2">
      <c r="G53" s="3"/>
      <c r="J53" s="30" t="e">
        <f t="shared" si="0"/>
        <v>#DIV/0!</v>
      </c>
      <c r="L53" s="30" t="e">
        <f t="shared" si="1"/>
        <v>#DIV/0!</v>
      </c>
      <c r="M53" s="36" t="e">
        <f t="shared" si="2"/>
        <v>#DIV/0!</v>
      </c>
      <c r="P53" s="13"/>
      <c r="Q53" s="13"/>
    </row>
    <row r="54" spans="1:19" x14ac:dyDescent="0.2">
      <c r="D54" s="14"/>
      <c r="G54" s="3"/>
      <c r="J54" s="30" t="e">
        <f t="shared" si="0"/>
        <v>#DIV/0!</v>
      </c>
      <c r="L54" s="30" t="e">
        <f t="shared" si="1"/>
        <v>#DIV/0!</v>
      </c>
      <c r="M54" s="36" t="e">
        <f t="shared" si="2"/>
        <v>#DIV/0!</v>
      </c>
      <c r="P54" s="11"/>
      <c r="Q54" s="11"/>
    </row>
    <row r="55" spans="1:19" x14ac:dyDescent="0.2">
      <c r="D55" s="14"/>
      <c r="G55" s="3"/>
      <c r="J55" s="30" t="e">
        <f t="shared" si="0"/>
        <v>#DIV/0!</v>
      </c>
      <c r="L55" s="30" t="e">
        <f t="shared" si="1"/>
        <v>#DIV/0!</v>
      </c>
      <c r="M55" s="36" t="e">
        <f t="shared" si="2"/>
        <v>#DIV/0!</v>
      </c>
      <c r="P55" s="11"/>
      <c r="Q55" s="11"/>
    </row>
    <row r="56" spans="1:19" x14ac:dyDescent="0.2">
      <c r="D56" s="14"/>
      <c r="G56" s="3"/>
      <c r="J56" s="30" t="e">
        <f t="shared" si="0"/>
        <v>#DIV/0!</v>
      </c>
      <c r="L56" s="30" t="e">
        <f t="shared" si="1"/>
        <v>#DIV/0!</v>
      </c>
      <c r="M56" s="36" t="e">
        <f t="shared" si="2"/>
        <v>#DIV/0!</v>
      </c>
      <c r="P56" s="16"/>
      <c r="Q56" s="16"/>
    </row>
    <row r="57" spans="1:19" x14ac:dyDescent="0.2">
      <c r="D57" s="14"/>
      <c r="G57" s="3"/>
      <c r="J57" s="30" t="e">
        <f t="shared" si="0"/>
        <v>#DIV/0!</v>
      </c>
      <c r="L57" s="30" t="e">
        <f t="shared" si="1"/>
        <v>#DIV/0!</v>
      </c>
      <c r="M57" s="36" t="e">
        <f t="shared" si="2"/>
        <v>#DIV/0!</v>
      </c>
      <c r="P57" s="11"/>
      <c r="Q57" s="11"/>
    </row>
    <row r="58" spans="1:19" x14ac:dyDescent="0.2">
      <c r="D58" s="14"/>
      <c r="G58" s="3"/>
      <c r="J58" s="30" t="e">
        <f t="shared" si="0"/>
        <v>#DIV/0!</v>
      </c>
      <c r="L58" s="30" t="e">
        <f t="shared" si="1"/>
        <v>#DIV/0!</v>
      </c>
      <c r="M58" s="36" t="e">
        <f t="shared" si="2"/>
        <v>#DIV/0!</v>
      </c>
      <c r="P58" s="11"/>
      <c r="Q58" s="11"/>
    </row>
    <row r="59" spans="1:19" x14ac:dyDescent="0.2">
      <c r="D59" s="14"/>
      <c r="G59" s="3"/>
      <c r="J59" s="30" t="e">
        <f t="shared" si="0"/>
        <v>#DIV/0!</v>
      </c>
      <c r="L59" s="30" t="e">
        <f t="shared" si="1"/>
        <v>#DIV/0!</v>
      </c>
      <c r="M59" s="36" t="e">
        <f t="shared" si="2"/>
        <v>#DIV/0!</v>
      </c>
      <c r="P59" s="11"/>
      <c r="Q59" s="11"/>
    </row>
    <row r="60" spans="1:19" x14ac:dyDescent="0.2">
      <c r="D60" s="14"/>
      <c r="G60" s="3"/>
      <c r="J60" s="30" t="e">
        <f t="shared" si="0"/>
        <v>#DIV/0!</v>
      </c>
      <c r="L60" s="30" t="e">
        <f t="shared" si="1"/>
        <v>#DIV/0!</v>
      </c>
      <c r="M60" s="36" t="e">
        <f t="shared" si="2"/>
        <v>#DIV/0!</v>
      </c>
      <c r="P60" s="11"/>
      <c r="Q60" s="11"/>
    </row>
    <row r="61" spans="1:19" x14ac:dyDescent="0.2">
      <c r="D61" s="14"/>
      <c r="G61" s="3"/>
      <c r="J61" s="30" t="e">
        <f t="shared" si="0"/>
        <v>#DIV/0!</v>
      </c>
      <c r="L61" s="30" t="e">
        <f t="shared" si="1"/>
        <v>#DIV/0!</v>
      </c>
      <c r="M61" s="36" t="e">
        <f t="shared" si="2"/>
        <v>#DIV/0!</v>
      </c>
      <c r="P61" s="11"/>
      <c r="Q61" s="11"/>
    </row>
    <row r="62" spans="1:19" ht="12.75" customHeight="1" x14ac:dyDescent="0.2">
      <c r="G62" s="3"/>
      <c r="J62" s="30" t="e">
        <f t="shared" si="0"/>
        <v>#DIV/0!</v>
      </c>
      <c r="L62" s="30" t="e">
        <f t="shared" si="1"/>
        <v>#DIV/0!</v>
      </c>
      <c r="M62" s="36" t="e">
        <f t="shared" si="2"/>
        <v>#DIV/0!</v>
      </c>
      <c r="S62" s="10"/>
    </row>
    <row r="63" spans="1:19" ht="12.75" customHeight="1" x14ac:dyDescent="0.2">
      <c r="A63" s="15"/>
      <c r="G63" s="3"/>
      <c r="J63" s="30" t="e">
        <f t="shared" si="0"/>
        <v>#DIV/0!</v>
      </c>
      <c r="L63" s="30" t="e">
        <f t="shared" si="1"/>
        <v>#DIV/0!</v>
      </c>
      <c r="M63" s="36" t="e">
        <f t="shared" si="2"/>
        <v>#DIV/0!</v>
      </c>
      <c r="P63" s="16"/>
      <c r="Q63" s="16"/>
      <c r="S63" s="10"/>
    </row>
    <row r="64" spans="1:19" ht="13.5" customHeight="1" x14ac:dyDescent="0.2">
      <c r="B64" s="7"/>
      <c r="G64" s="3"/>
      <c r="J64" s="30" t="e">
        <f t="shared" si="0"/>
        <v>#DIV/0!</v>
      </c>
      <c r="L64" s="30" t="e">
        <f t="shared" si="1"/>
        <v>#DIV/0!</v>
      </c>
      <c r="M64" s="36" t="e">
        <f t="shared" si="2"/>
        <v>#DIV/0!</v>
      </c>
      <c r="P64" s="16"/>
      <c r="Q64" s="16"/>
      <c r="S64" s="10"/>
    </row>
    <row r="65" spans="1:19" x14ac:dyDescent="0.2">
      <c r="G65" s="3"/>
      <c r="J65" s="30" t="e">
        <f>I65/H65-1</f>
        <v>#DIV/0!</v>
      </c>
      <c r="L65" s="30" t="e">
        <f>K65/H65-1</f>
        <v>#DIV/0!</v>
      </c>
      <c r="M65" s="36" t="e">
        <f t="shared" si="2"/>
        <v>#DIV/0!</v>
      </c>
      <c r="P65" s="16"/>
      <c r="Q65" s="16"/>
      <c r="S65" s="10"/>
    </row>
    <row r="66" spans="1:19" x14ac:dyDescent="0.2">
      <c r="G66" s="3"/>
      <c r="J66" s="30" t="e">
        <f>I66/H66-1</f>
        <v>#DIV/0!</v>
      </c>
      <c r="L66" s="30" t="e">
        <f>K66/H66-1</f>
        <v>#DIV/0!</v>
      </c>
      <c r="M66" s="36" t="e">
        <f t="shared" si="2"/>
        <v>#DIV/0!</v>
      </c>
      <c r="P66" s="13"/>
      <c r="Q66" s="13"/>
      <c r="S66" s="10"/>
    </row>
    <row r="67" spans="1:19" ht="13.5" customHeight="1" x14ac:dyDescent="0.2">
      <c r="A67" s="2"/>
      <c r="G67" s="3"/>
      <c r="J67" s="30" t="e">
        <f t="shared" si="0"/>
        <v>#DIV/0!</v>
      </c>
      <c r="L67" s="30" t="e">
        <f t="shared" si="1"/>
        <v>#DIV/0!</v>
      </c>
      <c r="M67" s="36" t="e">
        <f t="shared" si="2"/>
        <v>#DIV/0!</v>
      </c>
      <c r="P67" s="13"/>
      <c r="Q67" s="13"/>
      <c r="S67" s="10"/>
    </row>
    <row r="68" spans="1:19" x14ac:dyDescent="0.2">
      <c r="G68" s="3"/>
      <c r="J68" s="30" t="e">
        <f t="shared" si="0"/>
        <v>#DIV/0!</v>
      </c>
      <c r="L68" s="30" t="e">
        <f t="shared" si="1"/>
        <v>#DIV/0!</v>
      </c>
      <c r="M68" s="36" t="e">
        <f t="shared" si="2"/>
        <v>#DIV/0!</v>
      </c>
      <c r="P68" s="13"/>
      <c r="Q68" s="13"/>
      <c r="S68" s="10"/>
    </row>
    <row r="69" spans="1:19" x14ac:dyDescent="0.2">
      <c r="G69" s="3"/>
      <c r="J69" s="30" t="e">
        <f t="shared" si="0"/>
        <v>#DIV/0!</v>
      </c>
      <c r="L69" s="30" t="e">
        <f t="shared" si="1"/>
        <v>#DIV/0!</v>
      </c>
      <c r="M69" s="36" t="e">
        <f t="shared" si="2"/>
        <v>#DIV/0!</v>
      </c>
      <c r="P69" s="13"/>
      <c r="Q69" s="13"/>
    </row>
    <row r="70" spans="1:19" x14ac:dyDescent="0.2">
      <c r="G70" s="3"/>
      <c r="J70" s="30" t="e">
        <f t="shared" ref="J70:J126" si="3">I70/H70-1</f>
        <v>#DIV/0!</v>
      </c>
      <c r="L70" s="30" t="e">
        <f t="shared" ref="L70:L126" si="4">K70/H70-1</f>
        <v>#DIV/0!</v>
      </c>
      <c r="M70" s="36" t="e">
        <f t="shared" ref="M70:M126" si="5">K70/I70-1</f>
        <v>#DIV/0!</v>
      </c>
      <c r="P70" s="13"/>
      <c r="Q70" s="13"/>
    </row>
    <row r="71" spans="1:19" x14ac:dyDescent="0.2">
      <c r="G71" s="3"/>
      <c r="J71" s="30" t="e">
        <f t="shared" si="3"/>
        <v>#DIV/0!</v>
      </c>
      <c r="L71" s="30" t="e">
        <f t="shared" si="4"/>
        <v>#DIV/0!</v>
      </c>
      <c r="M71" s="36" t="e">
        <f t="shared" si="5"/>
        <v>#DIV/0!</v>
      </c>
      <c r="P71" s="13"/>
      <c r="Q71" s="13"/>
    </row>
    <row r="72" spans="1:19" ht="15" customHeight="1" x14ac:dyDescent="0.2">
      <c r="G72" s="3"/>
      <c r="J72" s="30" t="e">
        <f t="shared" si="3"/>
        <v>#DIV/0!</v>
      </c>
      <c r="L72" s="30" t="e">
        <f t="shared" si="4"/>
        <v>#DIV/0!</v>
      </c>
      <c r="M72" s="36" t="e">
        <f t="shared" si="5"/>
        <v>#DIV/0!</v>
      </c>
      <c r="P72" s="13"/>
      <c r="Q72" s="13"/>
      <c r="S72" s="10"/>
    </row>
    <row r="73" spans="1:19" s="1" customFormat="1" x14ac:dyDescent="0.2">
      <c r="A73" s="7"/>
      <c r="B73" s="2"/>
      <c r="C73" s="2"/>
      <c r="D73" s="2"/>
      <c r="E73" s="2"/>
      <c r="F73" s="2"/>
      <c r="G73" s="3"/>
      <c r="H73" s="29"/>
      <c r="I73" s="29"/>
      <c r="J73" s="30" t="e">
        <f t="shared" si="3"/>
        <v>#DIV/0!</v>
      </c>
      <c r="K73" s="29"/>
      <c r="L73" s="30" t="e">
        <f t="shared" si="4"/>
        <v>#DIV/0!</v>
      </c>
      <c r="M73" s="36" t="e">
        <f t="shared" si="5"/>
        <v>#DIV/0!</v>
      </c>
      <c r="N73" s="2"/>
      <c r="O73" s="2"/>
      <c r="P73" s="13"/>
      <c r="Q73" s="13"/>
      <c r="R73" s="2"/>
      <c r="S73"/>
    </row>
    <row r="74" spans="1:19" x14ac:dyDescent="0.2">
      <c r="A74" s="15"/>
      <c r="G74" s="3"/>
      <c r="J74" s="30" t="e">
        <f t="shared" si="3"/>
        <v>#DIV/0!</v>
      </c>
      <c r="L74" s="30" t="e">
        <f t="shared" si="4"/>
        <v>#DIV/0!</v>
      </c>
      <c r="M74" s="36" t="e">
        <f t="shared" si="5"/>
        <v>#DIV/0!</v>
      </c>
      <c r="P74" s="13"/>
      <c r="Q74" s="13"/>
    </row>
    <row r="75" spans="1:19" x14ac:dyDescent="0.2">
      <c r="G75" s="3"/>
      <c r="J75" s="30" t="e">
        <f t="shared" si="3"/>
        <v>#DIV/0!</v>
      </c>
      <c r="L75" s="30" t="e">
        <f t="shared" si="4"/>
        <v>#DIV/0!</v>
      </c>
      <c r="M75" s="36" t="e">
        <f t="shared" si="5"/>
        <v>#DIV/0!</v>
      </c>
      <c r="P75" s="13"/>
      <c r="Q75" s="13"/>
      <c r="S75" s="10"/>
    </row>
    <row r="76" spans="1:19" x14ac:dyDescent="0.2">
      <c r="G76" s="3"/>
      <c r="J76" s="30" t="e">
        <f t="shared" si="3"/>
        <v>#DIV/0!</v>
      </c>
      <c r="L76" s="30" t="e">
        <f t="shared" si="4"/>
        <v>#DIV/0!</v>
      </c>
      <c r="M76" s="36" t="e">
        <f t="shared" si="5"/>
        <v>#DIV/0!</v>
      </c>
      <c r="P76" s="13"/>
      <c r="Q76" s="13"/>
    </row>
    <row r="77" spans="1:19" x14ac:dyDescent="0.2">
      <c r="G77" s="3"/>
      <c r="J77" s="30" t="e">
        <f t="shared" si="3"/>
        <v>#DIV/0!</v>
      </c>
      <c r="L77" s="30" t="e">
        <f t="shared" si="4"/>
        <v>#DIV/0!</v>
      </c>
      <c r="M77" s="36" t="e">
        <f t="shared" si="5"/>
        <v>#DIV/0!</v>
      </c>
      <c r="P77" s="16"/>
      <c r="Q77" s="16"/>
      <c r="S77" s="10"/>
    </row>
    <row r="78" spans="1:19" x14ac:dyDescent="0.2">
      <c r="G78" s="3"/>
      <c r="J78" s="30" t="e">
        <f t="shared" si="3"/>
        <v>#DIV/0!</v>
      </c>
      <c r="L78" s="30" t="e">
        <f t="shared" si="4"/>
        <v>#DIV/0!</v>
      </c>
      <c r="M78" s="36" t="e">
        <f t="shared" si="5"/>
        <v>#DIV/0!</v>
      </c>
      <c r="P78" s="13"/>
      <c r="Q78" s="13"/>
    </row>
    <row r="79" spans="1:19" x14ac:dyDescent="0.2">
      <c r="A79" s="15"/>
      <c r="G79" s="3"/>
      <c r="J79" s="30" t="e">
        <f t="shared" si="3"/>
        <v>#DIV/0!</v>
      </c>
      <c r="L79" s="30" t="e">
        <f t="shared" si="4"/>
        <v>#DIV/0!</v>
      </c>
      <c r="M79" s="36" t="e">
        <f t="shared" si="5"/>
        <v>#DIV/0!</v>
      </c>
      <c r="P79" s="13"/>
      <c r="Q79" s="13"/>
    </row>
    <row r="80" spans="1:19" x14ac:dyDescent="0.2">
      <c r="D80" s="14"/>
      <c r="G80" s="3"/>
      <c r="J80" s="30" t="e">
        <f t="shared" si="3"/>
        <v>#DIV/0!</v>
      </c>
      <c r="L80" s="30" t="e">
        <f t="shared" si="4"/>
        <v>#DIV/0!</v>
      </c>
      <c r="M80" s="36" t="e">
        <f t="shared" si="5"/>
        <v>#DIV/0!</v>
      </c>
      <c r="P80" s="11"/>
      <c r="Q80" s="11"/>
    </row>
    <row r="81" spans="1:19" x14ac:dyDescent="0.2">
      <c r="A81" s="19"/>
      <c r="B81" s="19"/>
      <c r="C81" s="19"/>
      <c r="D81" s="23"/>
      <c r="E81" s="19"/>
      <c r="G81" s="21"/>
      <c r="H81" s="28"/>
      <c r="I81" s="28"/>
      <c r="J81" s="30" t="e">
        <f t="shared" si="3"/>
        <v>#DIV/0!</v>
      </c>
      <c r="K81" s="28"/>
      <c r="L81" s="30" t="e">
        <f t="shared" si="4"/>
        <v>#DIV/0!</v>
      </c>
      <c r="M81" s="36" t="e">
        <f t="shared" si="5"/>
        <v>#DIV/0!</v>
      </c>
      <c r="N81" s="19"/>
      <c r="O81" s="19"/>
      <c r="P81" s="22"/>
      <c r="Q81" s="22"/>
      <c r="R81" s="19"/>
      <c r="S81" s="1"/>
    </row>
    <row r="82" spans="1:19" x14ac:dyDescent="0.2">
      <c r="D82" s="14"/>
      <c r="G82" s="3"/>
      <c r="J82" s="30" t="e">
        <f t="shared" si="3"/>
        <v>#DIV/0!</v>
      </c>
      <c r="L82" s="30" t="e">
        <f t="shared" si="4"/>
        <v>#DIV/0!</v>
      </c>
      <c r="M82" s="36" t="e">
        <f t="shared" si="5"/>
        <v>#DIV/0!</v>
      </c>
      <c r="P82" s="11"/>
      <c r="Q82" s="11"/>
    </row>
    <row r="83" spans="1:19" x14ac:dyDescent="0.2">
      <c r="D83" s="14"/>
      <c r="G83" s="3"/>
      <c r="J83" s="30" t="e">
        <f t="shared" si="3"/>
        <v>#DIV/0!</v>
      </c>
      <c r="L83" s="30" t="e">
        <f t="shared" si="4"/>
        <v>#DIV/0!</v>
      </c>
      <c r="M83" s="36" t="e">
        <f t="shared" si="5"/>
        <v>#DIV/0!</v>
      </c>
      <c r="P83" s="11"/>
      <c r="Q83" s="11"/>
    </row>
    <row r="84" spans="1:19" x14ac:dyDescent="0.2">
      <c r="D84" s="14"/>
      <c r="G84" s="3"/>
      <c r="J84" s="30" t="e">
        <f t="shared" si="3"/>
        <v>#DIV/0!</v>
      </c>
      <c r="L84" s="30" t="e">
        <f t="shared" si="4"/>
        <v>#DIV/0!</v>
      </c>
      <c r="M84" s="36" t="e">
        <f t="shared" si="5"/>
        <v>#DIV/0!</v>
      </c>
      <c r="P84" s="11"/>
      <c r="Q84" s="11"/>
    </row>
    <row r="85" spans="1:19" x14ac:dyDescent="0.2">
      <c r="D85" s="14"/>
      <c r="G85" s="3"/>
      <c r="J85" s="30" t="e">
        <f t="shared" si="3"/>
        <v>#DIV/0!</v>
      </c>
      <c r="L85" s="30" t="e">
        <f t="shared" si="4"/>
        <v>#DIV/0!</v>
      </c>
      <c r="M85" s="36" t="e">
        <f t="shared" si="5"/>
        <v>#DIV/0!</v>
      </c>
      <c r="P85" s="11"/>
      <c r="Q85" s="11"/>
    </row>
    <row r="86" spans="1:19" x14ac:dyDescent="0.2">
      <c r="D86" s="14"/>
      <c r="G86" s="3"/>
      <c r="J86" s="30" t="e">
        <f t="shared" si="3"/>
        <v>#DIV/0!</v>
      </c>
      <c r="L86" s="30" t="e">
        <f t="shared" si="4"/>
        <v>#DIV/0!</v>
      </c>
      <c r="M86" s="36" t="e">
        <f t="shared" si="5"/>
        <v>#DIV/0!</v>
      </c>
      <c r="P86" s="11"/>
      <c r="Q86" s="11"/>
    </row>
    <row r="87" spans="1:19" x14ac:dyDescent="0.2">
      <c r="D87" s="14"/>
      <c r="G87" s="3"/>
      <c r="J87" s="30" t="e">
        <f t="shared" si="3"/>
        <v>#DIV/0!</v>
      </c>
      <c r="L87" s="30" t="e">
        <f t="shared" si="4"/>
        <v>#DIV/0!</v>
      </c>
      <c r="M87" s="36" t="e">
        <f t="shared" si="5"/>
        <v>#DIV/0!</v>
      </c>
      <c r="P87" s="11"/>
      <c r="Q87" s="11"/>
    </row>
    <row r="88" spans="1:19" x14ac:dyDescent="0.2">
      <c r="G88" s="3"/>
      <c r="J88" s="30" t="e">
        <f t="shared" si="3"/>
        <v>#DIV/0!</v>
      </c>
      <c r="L88" s="30" t="e">
        <f t="shared" si="4"/>
        <v>#DIV/0!</v>
      </c>
      <c r="M88" s="36" t="e">
        <f t="shared" si="5"/>
        <v>#DIV/0!</v>
      </c>
      <c r="P88" s="16"/>
      <c r="Q88" s="16"/>
      <c r="S88" s="10"/>
    </row>
    <row r="89" spans="1:19" x14ac:dyDescent="0.2">
      <c r="G89" s="3"/>
      <c r="J89" s="30" t="e">
        <f t="shared" si="3"/>
        <v>#DIV/0!</v>
      </c>
      <c r="L89" s="30" t="e">
        <f t="shared" si="4"/>
        <v>#DIV/0!</v>
      </c>
      <c r="M89" s="36" t="e">
        <f t="shared" si="5"/>
        <v>#DIV/0!</v>
      </c>
      <c r="P89" s="16"/>
      <c r="Q89" s="16"/>
    </row>
    <row r="90" spans="1:19" x14ac:dyDescent="0.2">
      <c r="G90" s="3"/>
      <c r="J90" s="30" t="e">
        <f t="shared" si="3"/>
        <v>#DIV/0!</v>
      </c>
      <c r="L90" s="30" t="e">
        <f t="shared" si="4"/>
        <v>#DIV/0!</v>
      </c>
      <c r="M90" s="36" t="e">
        <f t="shared" si="5"/>
        <v>#DIV/0!</v>
      </c>
      <c r="P90" s="11"/>
      <c r="Q90" s="11"/>
    </row>
    <row r="91" spans="1:19" x14ac:dyDescent="0.2">
      <c r="A91" s="15"/>
      <c r="G91" s="3"/>
      <c r="J91" s="30" t="e">
        <f t="shared" si="3"/>
        <v>#DIV/0!</v>
      </c>
      <c r="L91" s="30" t="e">
        <f t="shared" si="4"/>
        <v>#DIV/0!</v>
      </c>
      <c r="M91" s="36" t="e">
        <f t="shared" si="5"/>
        <v>#DIV/0!</v>
      </c>
      <c r="P91" s="11"/>
      <c r="Q91" s="11"/>
    </row>
    <row r="92" spans="1:19" x14ac:dyDescent="0.2">
      <c r="G92" s="3"/>
      <c r="J92" s="30" t="e">
        <f t="shared" si="3"/>
        <v>#DIV/0!</v>
      </c>
      <c r="L92" s="30" t="e">
        <f t="shared" si="4"/>
        <v>#DIV/0!</v>
      </c>
      <c r="M92" s="36" t="e">
        <f t="shared" si="5"/>
        <v>#DIV/0!</v>
      </c>
      <c r="P92" s="11"/>
      <c r="Q92" s="11"/>
    </row>
    <row r="93" spans="1:19" x14ac:dyDescent="0.2">
      <c r="A93" s="2"/>
      <c r="G93" s="3"/>
      <c r="J93" s="30" t="e">
        <f t="shared" si="3"/>
        <v>#DIV/0!</v>
      </c>
      <c r="L93" s="30" t="e">
        <f t="shared" si="4"/>
        <v>#DIV/0!</v>
      </c>
      <c r="M93" s="36" t="e">
        <f t="shared" si="5"/>
        <v>#DIV/0!</v>
      </c>
    </row>
    <row r="94" spans="1:19" x14ac:dyDescent="0.2">
      <c r="G94" s="3"/>
      <c r="J94" s="30" t="e">
        <f t="shared" si="3"/>
        <v>#DIV/0!</v>
      </c>
      <c r="L94" s="30" t="e">
        <f t="shared" si="4"/>
        <v>#DIV/0!</v>
      </c>
      <c r="M94" s="36" t="e">
        <f t="shared" si="5"/>
        <v>#DIV/0!</v>
      </c>
      <c r="P94" s="13"/>
      <c r="Q94" s="13"/>
    </row>
    <row r="95" spans="1:19" x14ac:dyDescent="0.2">
      <c r="G95" s="3"/>
      <c r="J95" s="30" t="e">
        <f t="shared" si="3"/>
        <v>#DIV/0!</v>
      </c>
      <c r="L95" s="30" t="e">
        <f t="shared" si="4"/>
        <v>#DIV/0!</v>
      </c>
      <c r="M95" s="36" t="e">
        <f t="shared" si="5"/>
        <v>#DIV/0!</v>
      </c>
      <c r="P95" s="13"/>
      <c r="Q95" s="13"/>
    </row>
    <row r="96" spans="1:19" x14ac:dyDescent="0.2">
      <c r="G96" s="3"/>
      <c r="J96" s="30" t="e">
        <f t="shared" si="3"/>
        <v>#DIV/0!</v>
      </c>
      <c r="L96" s="30" t="e">
        <f t="shared" si="4"/>
        <v>#DIV/0!</v>
      </c>
      <c r="M96" s="36" t="e">
        <f t="shared" si="5"/>
        <v>#DIV/0!</v>
      </c>
      <c r="P96" s="13"/>
      <c r="Q96" s="13"/>
    </row>
    <row r="97" spans="1:17" x14ac:dyDescent="0.2">
      <c r="B97" s="7"/>
      <c r="C97" s="7"/>
      <c r="D97" s="7"/>
      <c r="G97" s="3"/>
      <c r="J97" s="30" t="e">
        <f t="shared" si="3"/>
        <v>#DIV/0!</v>
      </c>
      <c r="L97" s="30" t="e">
        <f t="shared" si="4"/>
        <v>#DIV/0!</v>
      </c>
      <c r="M97" s="36" t="e">
        <f t="shared" si="5"/>
        <v>#DIV/0!</v>
      </c>
    </row>
    <row r="98" spans="1:17" x14ac:dyDescent="0.2">
      <c r="G98" s="3"/>
      <c r="J98" s="30" t="e">
        <f t="shared" si="3"/>
        <v>#DIV/0!</v>
      </c>
      <c r="L98" s="30" t="e">
        <f t="shared" si="4"/>
        <v>#DIV/0!</v>
      </c>
      <c r="M98" s="36" t="e">
        <f t="shared" si="5"/>
        <v>#DIV/0!</v>
      </c>
      <c r="P98" s="13"/>
      <c r="Q98" s="13"/>
    </row>
    <row r="99" spans="1:17" x14ac:dyDescent="0.2">
      <c r="D99" s="14"/>
      <c r="G99" s="3"/>
      <c r="J99" s="30" t="e">
        <f t="shared" si="3"/>
        <v>#DIV/0!</v>
      </c>
      <c r="L99" s="30" t="e">
        <f t="shared" si="4"/>
        <v>#DIV/0!</v>
      </c>
      <c r="M99" s="36" t="e">
        <f t="shared" si="5"/>
        <v>#DIV/0!</v>
      </c>
    </row>
    <row r="100" spans="1:17" x14ac:dyDescent="0.2">
      <c r="D100" s="14"/>
      <c r="G100" s="3"/>
      <c r="J100" s="30" t="e">
        <f t="shared" si="3"/>
        <v>#DIV/0!</v>
      </c>
      <c r="L100" s="30" t="e">
        <f t="shared" si="4"/>
        <v>#DIV/0!</v>
      </c>
      <c r="M100" s="36" t="e">
        <f t="shared" si="5"/>
        <v>#DIV/0!</v>
      </c>
      <c r="P100" s="11"/>
      <c r="Q100" s="11"/>
    </row>
    <row r="101" spans="1:17" x14ac:dyDescent="0.2">
      <c r="D101" s="14"/>
      <c r="G101" s="3"/>
      <c r="J101" s="30" t="e">
        <f t="shared" si="3"/>
        <v>#DIV/0!</v>
      </c>
      <c r="L101" s="30" t="e">
        <f t="shared" si="4"/>
        <v>#DIV/0!</v>
      </c>
      <c r="M101" s="36" t="e">
        <f t="shared" si="5"/>
        <v>#DIV/0!</v>
      </c>
    </row>
    <row r="102" spans="1:17" x14ac:dyDescent="0.2">
      <c r="D102" s="14"/>
      <c r="G102" s="3"/>
      <c r="J102" s="30" t="e">
        <f t="shared" si="3"/>
        <v>#DIV/0!</v>
      </c>
      <c r="L102" s="30" t="e">
        <f t="shared" si="4"/>
        <v>#DIV/0!</v>
      </c>
      <c r="M102" s="36" t="e">
        <f t="shared" si="5"/>
        <v>#DIV/0!</v>
      </c>
      <c r="P102" s="11"/>
      <c r="Q102" s="11"/>
    </row>
    <row r="103" spans="1:17" x14ac:dyDescent="0.2">
      <c r="D103" s="14"/>
      <c r="G103" s="3"/>
      <c r="J103" s="30" t="e">
        <f t="shared" si="3"/>
        <v>#DIV/0!</v>
      </c>
      <c r="L103" s="30" t="e">
        <f t="shared" si="4"/>
        <v>#DIV/0!</v>
      </c>
      <c r="M103" s="36" t="e">
        <f t="shared" si="5"/>
        <v>#DIV/0!</v>
      </c>
      <c r="P103" s="11"/>
      <c r="Q103" s="11"/>
    </row>
    <row r="104" spans="1:17" x14ac:dyDescent="0.2">
      <c r="B104" s="7"/>
      <c r="D104" s="14"/>
      <c r="G104" s="3"/>
      <c r="J104" s="30" t="e">
        <f t="shared" si="3"/>
        <v>#DIV/0!</v>
      </c>
      <c r="L104" s="30" t="e">
        <f t="shared" si="4"/>
        <v>#DIV/0!</v>
      </c>
      <c r="M104" s="36" t="e">
        <f t="shared" si="5"/>
        <v>#DIV/0!</v>
      </c>
      <c r="P104" s="11"/>
      <c r="Q104" s="11"/>
    </row>
    <row r="105" spans="1:17" x14ac:dyDescent="0.2">
      <c r="A105" s="15"/>
      <c r="G105" s="18"/>
      <c r="J105" s="30" t="e">
        <f t="shared" si="3"/>
        <v>#DIV/0!</v>
      </c>
      <c r="L105" s="30" t="e">
        <f t="shared" si="4"/>
        <v>#DIV/0!</v>
      </c>
      <c r="M105" s="36" t="e">
        <f t="shared" si="5"/>
        <v>#DIV/0!</v>
      </c>
      <c r="P105" s="13"/>
      <c r="Q105" s="13"/>
    </row>
    <row r="106" spans="1:17" x14ac:dyDescent="0.2">
      <c r="D106" s="14"/>
      <c r="G106" s="3"/>
      <c r="J106" s="30" t="e">
        <f t="shared" si="3"/>
        <v>#DIV/0!</v>
      </c>
      <c r="L106" s="30" t="e">
        <f t="shared" si="4"/>
        <v>#DIV/0!</v>
      </c>
      <c r="M106" s="36" t="e">
        <f t="shared" si="5"/>
        <v>#DIV/0!</v>
      </c>
      <c r="P106" s="11"/>
      <c r="Q106" s="11"/>
    </row>
    <row r="107" spans="1:17" x14ac:dyDescent="0.2">
      <c r="D107" s="14"/>
      <c r="G107" s="3"/>
      <c r="J107" s="30" t="e">
        <f t="shared" si="3"/>
        <v>#DIV/0!</v>
      </c>
      <c r="L107" s="30" t="e">
        <f t="shared" si="4"/>
        <v>#DIV/0!</v>
      </c>
      <c r="M107" s="36" t="e">
        <f t="shared" si="5"/>
        <v>#DIV/0!</v>
      </c>
      <c r="P107" s="11"/>
      <c r="Q107" s="11"/>
    </row>
    <row r="108" spans="1:17" x14ac:dyDescent="0.2">
      <c r="D108" s="14"/>
      <c r="G108" s="3"/>
      <c r="J108" s="30" t="e">
        <f t="shared" si="3"/>
        <v>#DIV/0!</v>
      </c>
      <c r="L108" s="30" t="e">
        <f t="shared" si="4"/>
        <v>#DIV/0!</v>
      </c>
      <c r="M108" s="36" t="e">
        <f t="shared" si="5"/>
        <v>#DIV/0!</v>
      </c>
      <c r="P108" s="11"/>
      <c r="Q108" s="11"/>
    </row>
    <row r="109" spans="1:17" x14ac:dyDescent="0.2">
      <c r="D109" s="14"/>
      <c r="G109" s="3"/>
      <c r="J109" s="30" t="e">
        <f t="shared" si="3"/>
        <v>#DIV/0!</v>
      </c>
      <c r="L109" s="30" t="e">
        <f t="shared" si="4"/>
        <v>#DIV/0!</v>
      </c>
      <c r="M109" s="36" t="e">
        <f t="shared" si="5"/>
        <v>#DIV/0!</v>
      </c>
      <c r="P109" s="11"/>
      <c r="Q109" s="11"/>
    </row>
    <row r="110" spans="1:17" x14ac:dyDescent="0.2">
      <c r="D110" s="14"/>
      <c r="G110" s="3"/>
      <c r="J110" s="30" t="e">
        <f t="shared" si="3"/>
        <v>#DIV/0!</v>
      </c>
      <c r="L110" s="30" t="e">
        <f t="shared" si="4"/>
        <v>#DIV/0!</v>
      </c>
      <c r="M110" s="36" t="e">
        <f t="shared" si="5"/>
        <v>#DIV/0!</v>
      </c>
      <c r="P110" s="11"/>
      <c r="Q110" s="11"/>
    </row>
    <row r="111" spans="1:17" x14ac:dyDescent="0.2">
      <c r="D111" s="14"/>
      <c r="G111" s="3"/>
      <c r="J111" s="30" t="e">
        <f t="shared" si="3"/>
        <v>#DIV/0!</v>
      </c>
      <c r="L111" s="30" t="e">
        <f t="shared" si="4"/>
        <v>#DIV/0!</v>
      </c>
      <c r="M111" s="36" t="e">
        <f t="shared" si="5"/>
        <v>#DIV/0!</v>
      </c>
      <c r="P111" s="11"/>
      <c r="Q111" s="11"/>
    </row>
    <row r="112" spans="1:17" x14ac:dyDescent="0.2">
      <c r="G112" s="3"/>
      <c r="J112" s="30" t="e">
        <f t="shared" si="3"/>
        <v>#DIV/0!</v>
      </c>
      <c r="L112" s="30" t="e">
        <f t="shared" si="4"/>
        <v>#DIV/0!</v>
      </c>
      <c r="M112" s="36" t="e">
        <f t="shared" si="5"/>
        <v>#DIV/0!</v>
      </c>
    </row>
    <row r="113" spans="4:17" x14ac:dyDescent="0.2">
      <c r="G113" s="3"/>
      <c r="J113" s="30" t="e">
        <f t="shared" si="3"/>
        <v>#DIV/0!</v>
      </c>
      <c r="L113" s="30" t="e">
        <f t="shared" si="4"/>
        <v>#DIV/0!</v>
      </c>
      <c r="M113" s="36" t="e">
        <f t="shared" si="5"/>
        <v>#DIV/0!</v>
      </c>
      <c r="P113" s="13"/>
      <c r="Q113" s="13"/>
    </row>
    <row r="114" spans="4:17" x14ac:dyDescent="0.2">
      <c r="G114" s="3"/>
      <c r="J114" s="30" t="e">
        <f t="shared" si="3"/>
        <v>#DIV/0!</v>
      </c>
      <c r="L114" s="30" t="e">
        <f t="shared" si="4"/>
        <v>#DIV/0!</v>
      </c>
      <c r="M114" s="36" t="e">
        <f t="shared" si="5"/>
        <v>#DIV/0!</v>
      </c>
      <c r="P114" s="13"/>
      <c r="Q114" s="13"/>
    </row>
    <row r="115" spans="4:17" x14ac:dyDescent="0.2">
      <c r="D115" s="14"/>
      <c r="G115" s="3"/>
      <c r="J115" s="30" t="e">
        <f t="shared" si="3"/>
        <v>#DIV/0!</v>
      </c>
      <c r="L115" s="30" t="e">
        <f t="shared" si="4"/>
        <v>#DIV/0!</v>
      </c>
      <c r="M115" s="36" t="e">
        <f t="shared" si="5"/>
        <v>#DIV/0!</v>
      </c>
    </row>
    <row r="116" spans="4:17" x14ac:dyDescent="0.2">
      <c r="D116" s="14"/>
      <c r="G116" s="3"/>
      <c r="J116" s="30" t="e">
        <f t="shared" si="3"/>
        <v>#DIV/0!</v>
      </c>
      <c r="L116" s="30" t="e">
        <f t="shared" si="4"/>
        <v>#DIV/0!</v>
      </c>
      <c r="M116" s="36" t="e">
        <f t="shared" si="5"/>
        <v>#DIV/0!</v>
      </c>
      <c r="P116" s="11"/>
      <c r="Q116" s="11"/>
    </row>
    <row r="117" spans="4:17" x14ac:dyDescent="0.2">
      <c r="G117" s="18"/>
      <c r="J117" s="30" t="e">
        <f t="shared" si="3"/>
        <v>#DIV/0!</v>
      </c>
      <c r="L117" s="30" t="e">
        <f t="shared" si="4"/>
        <v>#DIV/0!</v>
      </c>
      <c r="M117" s="36" t="e">
        <f t="shared" si="5"/>
        <v>#DIV/0!</v>
      </c>
    </row>
    <row r="118" spans="4:17" x14ac:dyDescent="0.2">
      <c r="G118" s="18"/>
      <c r="J118" s="30" t="e">
        <f t="shared" si="3"/>
        <v>#DIV/0!</v>
      </c>
      <c r="L118" s="30" t="e">
        <f t="shared" si="4"/>
        <v>#DIV/0!</v>
      </c>
      <c r="M118" s="36" t="e">
        <f t="shared" si="5"/>
        <v>#DIV/0!</v>
      </c>
    </row>
    <row r="119" spans="4:17" x14ac:dyDescent="0.2">
      <c r="D119" s="14"/>
      <c r="G119" s="3"/>
      <c r="J119" s="30" t="e">
        <f t="shared" si="3"/>
        <v>#DIV/0!</v>
      </c>
      <c r="L119" s="30" t="e">
        <f t="shared" si="4"/>
        <v>#DIV/0!</v>
      </c>
      <c r="M119" s="36" t="e">
        <f t="shared" si="5"/>
        <v>#DIV/0!</v>
      </c>
      <c r="P119" s="11"/>
      <c r="Q119" s="11"/>
    </row>
    <row r="120" spans="4:17" x14ac:dyDescent="0.2">
      <c r="D120" s="14"/>
      <c r="G120" s="3"/>
      <c r="J120" s="30" t="e">
        <f t="shared" si="3"/>
        <v>#DIV/0!</v>
      </c>
      <c r="L120" s="30" t="e">
        <f t="shared" si="4"/>
        <v>#DIV/0!</v>
      </c>
      <c r="M120" s="36" t="e">
        <f t="shared" si="5"/>
        <v>#DIV/0!</v>
      </c>
      <c r="P120" s="11"/>
      <c r="Q120" s="11"/>
    </row>
    <row r="121" spans="4:17" x14ac:dyDescent="0.2">
      <c r="D121" s="14"/>
      <c r="G121" s="3"/>
      <c r="J121" s="30" t="e">
        <f t="shared" si="3"/>
        <v>#DIV/0!</v>
      </c>
      <c r="L121" s="30" t="e">
        <f t="shared" si="4"/>
        <v>#DIV/0!</v>
      </c>
      <c r="M121" s="36" t="e">
        <f t="shared" si="5"/>
        <v>#DIV/0!</v>
      </c>
      <c r="P121" s="11"/>
      <c r="Q121" s="11"/>
    </row>
    <row r="122" spans="4:17" x14ac:dyDescent="0.2">
      <c r="D122" s="14"/>
      <c r="G122" s="3"/>
      <c r="J122" s="30" t="e">
        <f t="shared" si="3"/>
        <v>#DIV/0!</v>
      </c>
      <c r="L122" s="30" t="e">
        <f t="shared" si="4"/>
        <v>#DIV/0!</v>
      </c>
      <c r="M122" s="36" t="e">
        <f t="shared" si="5"/>
        <v>#DIV/0!</v>
      </c>
    </row>
    <row r="123" spans="4:17" x14ac:dyDescent="0.2">
      <c r="D123" s="14"/>
      <c r="G123" s="3"/>
      <c r="J123" s="30" t="e">
        <f t="shared" si="3"/>
        <v>#DIV/0!</v>
      </c>
      <c r="L123" s="30" t="e">
        <f t="shared" si="4"/>
        <v>#DIV/0!</v>
      </c>
      <c r="M123" s="36" t="e">
        <f t="shared" si="5"/>
        <v>#DIV/0!</v>
      </c>
    </row>
    <row r="124" spans="4:17" x14ac:dyDescent="0.2">
      <c r="D124" s="14"/>
      <c r="G124" s="3"/>
      <c r="J124" s="30" t="e">
        <f t="shared" si="3"/>
        <v>#DIV/0!</v>
      </c>
      <c r="L124" s="30" t="e">
        <f t="shared" si="4"/>
        <v>#DIV/0!</v>
      </c>
      <c r="M124" s="36" t="e">
        <f t="shared" si="5"/>
        <v>#DIV/0!</v>
      </c>
      <c r="P124" s="11"/>
      <c r="Q124" s="11"/>
    </row>
    <row r="125" spans="4:17" x14ac:dyDescent="0.2">
      <c r="J125" s="30" t="e">
        <f t="shared" si="3"/>
        <v>#DIV/0!</v>
      </c>
      <c r="L125" s="30" t="e">
        <f t="shared" si="4"/>
        <v>#DIV/0!</v>
      </c>
      <c r="M125" s="36" t="e">
        <f t="shared" si="5"/>
        <v>#DIV/0!</v>
      </c>
      <c r="P125" s="11"/>
      <c r="Q125" s="11"/>
    </row>
    <row r="126" spans="4:17" x14ac:dyDescent="0.2">
      <c r="J126" s="30" t="e">
        <f t="shared" si="3"/>
        <v>#DIV/0!</v>
      </c>
      <c r="L126" s="30" t="e">
        <f t="shared" si="4"/>
        <v>#DIV/0!</v>
      </c>
      <c r="M126" s="36" t="e">
        <f t="shared" si="5"/>
        <v>#DIV/0!</v>
      </c>
    </row>
  </sheetData>
  <autoFilter ref="A1:S125" xr:uid="{7BF2245D-748A-4A32-82C2-92BFB51F2A5C}">
    <filterColumn colId="2">
      <filters>
        <filter val="대만"/>
        <filter val="미국"/>
        <filter val="일본"/>
        <filter val="호주"/>
        <filter val="홍콩"/>
      </filters>
    </filterColumn>
    <sortState xmlns:xlrd2="http://schemas.microsoft.com/office/spreadsheetml/2017/richdata2" ref="A2:S19">
      <sortCondition ref="G1"/>
    </sortState>
  </autoFilter>
  <phoneticPr fontId="1" type="noConversion"/>
  <conditionalFormatting sqref="M129:M1048576 M1 M3:M125">
    <cfRule type="colorScale" priority="2">
      <colorScale>
        <cfvo type="min"/>
        <cfvo type="percentile" val="50"/>
        <cfvo type="max"/>
        <color rgb="FFF8696B"/>
        <color rgb="FFFCFCFF"/>
        <color rgb="FF63BE7B"/>
      </colorScale>
    </cfRule>
  </conditionalFormatting>
  <conditionalFormatting sqref="M2">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02A9-8869-4A82-9DD6-33956996AEDB}">
  <dimension ref="A1:U9"/>
  <sheetViews>
    <sheetView workbookViewId="0">
      <selection activeCell="E22" sqref="E22"/>
    </sheetView>
  </sheetViews>
  <sheetFormatPr defaultRowHeight="12.75" x14ac:dyDescent="0.2"/>
  <cols>
    <col min="1" max="1" width="9.75" customWidth="1"/>
    <col min="6" max="6" width="8.375" customWidth="1"/>
  </cols>
  <sheetData>
    <row r="1" spans="1:21" ht="13.5" thickBot="1" x14ac:dyDescent="0.25">
      <c r="A1" s="19"/>
      <c r="B1" s="19"/>
      <c r="C1" s="19"/>
      <c r="D1" s="20"/>
      <c r="E1" s="19"/>
      <c r="F1" s="21"/>
      <c r="G1" s="22"/>
      <c r="H1" s="19"/>
      <c r="I1" s="19"/>
      <c r="J1" s="19"/>
      <c r="K1" s="19"/>
      <c r="L1" s="19"/>
      <c r="M1" s="1"/>
    </row>
    <row r="2" spans="1:21" ht="13.5" thickBot="1" x14ac:dyDescent="0.25">
      <c r="A2" s="17" t="s">
        <v>10</v>
      </c>
      <c r="B2" s="39">
        <v>600415</v>
      </c>
      <c r="C2" s="17" t="s">
        <v>540</v>
      </c>
      <c r="D2" s="17" t="s">
        <v>541</v>
      </c>
      <c r="E2" s="17" t="s">
        <v>542</v>
      </c>
      <c r="F2" s="17" t="s">
        <v>543</v>
      </c>
      <c r="G2" s="17" t="s">
        <v>544</v>
      </c>
      <c r="H2" s="17" t="s">
        <v>545</v>
      </c>
      <c r="I2" s="17" t="s">
        <v>546</v>
      </c>
      <c r="J2" s="17" t="s">
        <v>547</v>
      </c>
      <c r="K2" s="17" t="s">
        <v>548</v>
      </c>
      <c r="L2" s="17" t="s">
        <v>549</v>
      </c>
      <c r="M2" s="17" t="s">
        <v>550</v>
      </c>
      <c r="N2" s="17" t="s">
        <v>551</v>
      </c>
      <c r="O2" s="17" t="s">
        <v>552</v>
      </c>
      <c r="P2" s="17" t="s">
        <v>553</v>
      </c>
      <c r="Q2" s="17" t="s">
        <v>554</v>
      </c>
      <c r="R2" s="17" t="s">
        <v>555</v>
      </c>
      <c r="S2" s="17" t="s">
        <v>556</v>
      </c>
      <c r="T2" s="17" t="s">
        <v>531</v>
      </c>
      <c r="U2" s="17" t="s">
        <v>535</v>
      </c>
    </row>
    <row r="3" spans="1:21" x14ac:dyDescent="0.2">
      <c r="A3" s="1"/>
      <c r="B3" s="1" t="s">
        <v>557</v>
      </c>
      <c r="C3" s="1"/>
      <c r="D3" s="1"/>
      <c r="E3" s="1"/>
      <c r="F3" s="1"/>
      <c r="G3" s="1"/>
      <c r="H3" s="1"/>
      <c r="I3" s="40">
        <v>2113.4</v>
      </c>
      <c r="J3" s="40">
        <v>1299.2</v>
      </c>
      <c r="K3" s="40">
        <v>2120.3000000000002</v>
      </c>
      <c r="L3" s="40">
        <v>3040.7</v>
      </c>
      <c r="M3" s="40">
        <v>2744.6</v>
      </c>
      <c r="N3" s="40">
        <v>3394.1</v>
      </c>
      <c r="O3" s="40">
        <v>2680.6</v>
      </c>
      <c r="P3" s="40">
        <v>4085.3</v>
      </c>
      <c r="Q3" s="40">
        <v>3847.1</v>
      </c>
      <c r="R3" s="40">
        <v>5124.3</v>
      </c>
      <c r="S3" s="40">
        <v>3161.2</v>
      </c>
      <c r="T3" s="40">
        <v>4551.6000000000004</v>
      </c>
      <c r="U3" s="40">
        <v>5348.3307873800004</v>
      </c>
    </row>
    <row r="4" spans="1:21" x14ac:dyDescent="0.2">
      <c r="B4" t="s">
        <v>558</v>
      </c>
      <c r="C4" s="41"/>
      <c r="D4" s="41"/>
      <c r="E4" s="41"/>
      <c r="F4" s="41"/>
      <c r="G4" s="41"/>
      <c r="H4" s="41"/>
      <c r="I4" s="41"/>
      <c r="J4" s="41"/>
      <c r="K4" s="41" t="e">
        <f>K3/G3-1</f>
        <v>#DIV/0!</v>
      </c>
      <c r="L4" s="41" t="e">
        <f>L3/H3-1</f>
        <v>#DIV/0!</v>
      </c>
      <c r="M4" s="41">
        <f>M3/I3-1</f>
        <v>0.29866565723478744</v>
      </c>
      <c r="N4" s="41">
        <f>N3/J3-1</f>
        <v>1.6124538177339898</v>
      </c>
      <c r="O4" s="41">
        <f>O3/K3-1</f>
        <v>0.26425505824647444</v>
      </c>
      <c r="P4" s="41">
        <f>P3/L3-1</f>
        <v>0.34353931660472936</v>
      </c>
      <c r="Q4" s="41">
        <f>Q3/M3-1</f>
        <v>0.40169787947241864</v>
      </c>
      <c r="R4" s="41">
        <f>R3/N3-1</f>
        <v>0.50976694852832871</v>
      </c>
      <c r="S4" s="41">
        <f>S3/O3-1</f>
        <v>0.17928821905543524</v>
      </c>
      <c r="T4" s="41">
        <f>T3/P3-1</f>
        <v>0.11414094436149114</v>
      </c>
      <c r="U4" s="41">
        <f>U3/Q3-1</f>
        <v>0.39022400961243542</v>
      </c>
    </row>
    <row r="5" spans="1:21" x14ac:dyDescent="0.2">
      <c r="B5" t="s">
        <v>559</v>
      </c>
      <c r="C5" s="41"/>
      <c r="D5" s="41"/>
      <c r="E5" s="41"/>
      <c r="F5" s="41"/>
      <c r="G5" s="41"/>
      <c r="H5" s="41"/>
      <c r="I5" s="41"/>
      <c r="J5" s="41"/>
      <c r="K5" s="41"/>
      <c r="L5" s="41">
        <f>L3/K3-1</f>
        <v>0.43408951563457987</v>
      </c>
      <c r="M5" s="41">
        <f>M3/L3-1</f>
        <v>-9.7378893018055024E-2</v>
      </c>
      <c r="N5" s="41">
        <f>N3/M3-1</f>
        <v>0.23664650586606428</v>
      </c>
      <c r="O5" s="41">
        <f>O3/N3-1</f>
        <v>-0.21021773076809758</v>
      </c>
      <c r="P5" s="41">
        <f>P3/O3-1</f>
        <v>0.52402447213310466</v>
      </c>
      <c r="Q5" s="41">
        <f>Q3/P3-1</f>
        <v>-5.8306611509558737E-2</v>
      </c>
      <c r="R5" s="41">
        <f>R3/Q3-1</f>
        <v>0.33199033037872683</v>
      </c>
      <c r="S5" s="41">
        <f>S3/R3-1</f>
        <v>-0.38309622777745256</v>
      </c>
      <c r="T5" s="41">
        <f>T3/S3-1</f>
        <v>0.43983297481968897</v>
      </c>
      <c r="U5" s="41">
        <f>U3/T3-1</f>
        <v>0.17504411358203709</v>
      </c>
    </row>
    <row r="6" spans="1:21" x14ac:dyDescent="0.2">
      <c r="A6" s="1"/>
      <c r="B6" s="1" t="s">
        <v>560</v>
      </c>
      <c r="C6" s="1"/>
      <c r="D6" s="1"/>
      <c r="E6" s="1"/>
      <c r="F6" s="1"/>
      <c r="G6" s="1"/>
      <c r="H6" s="1"/>
      <c r="I6" s="40">
        <v>285.89999999999998</v>
      </c>
      <c r="J6" s="40">
        <v>-739.7</v>
      </c>
      <c r="K6" s="40">
        <v>471.8</v>
      </c>
      <c r="L6" s="40">
        <v>718.9</v>
      </c>
      <c r="M6" s="40">
        <v>377.4</v>
      </c>
      <c r="N6" s="40">
        <v>460.3</v>
      </c>
      <c r="O6" s="40">
        <v>877.9</v>
      </c>
      <c r="P6" s="40">
        <v>966.3</v>
      </c>
      <c r="Q6" s="40">
        <v>960</v>
      </c>
      <c r="R6" s="40">
        <v>994.1</v>
      </c>
      <c r="S6" s="40">
        <v>963.4</v>
      </c>
      <c r="T6" s="40">
        <v>1069.3</v>
      </c>
      <c r="U6" s="40">
        <v>2244.826352</v>
      </c>
    </row>
    <row r="7" spans="1:21" x14ac:dyDescent="0.2">
      <c r="B7" t="s">
        <v>558</v>
      </c>
      <c r="C7" s="41"/>
      <c r="D7" s="41"/>
      <c r="E7" s="41"/>
      <c r="F7" s="41"/>
      <c r="G7" s="41"/>
      <c r="H7" s="41"/>
      <c r="I7" s="41"/>
      <c r="J7" s="41"/>
      <c r="K7" s="41" t="e">
        <f>K6/G6-1</f>
        <v>#DIV/0!</v>
      </c>
      <c r="L7" s="41" t="e">
        <f>L6/H6-1</f>
        <v>#DIV/0!</v>
      </c>
      <c r="M7" s="41">
        <f>M6/I6-1</f>
        <v>0.32004197271773349</v>
      </c>
      <c r="N7" s="41">
        <f>N6/J6-1</f>
        <v>-1.6222793024199</v>
      </c>
      <c r="O7" s="41">
        <f>O6/K6-1</f>
        <v>0.86074607884696896</v>
      </c>
      <c r="P7" s="41">
        <f>P6/L6-1</f>
        <v>0.34413687578244545</v>
      </c>
      <c r="Q7" s="41">
        <f>Q6/M6-1</f>
        <v>1.5437201907790143</v>
      </c>
      <c r="R7" s="41">
        <f>R6/N6-1</f>
        <v>1.1596784705626764</v>
      </c>
      <c r="S7" s="41">
        <f>S6/O6-1</f>
        <v>9.7391502449026168E-2</v>
      </c>
      <c r="T7" s="41">
        <f>T6/P6-1</f>
        <v>0.10659215564524471</v>
      </c>
      <c r="U7" s="41">
        <f>U6/Q6-1</f>
        <v>1.3383607833333335</v>
      </c>
    </row>
    <row r="8" spans="1:21" x14ac:dyDescent="0.2">
      <c r="B8" t="s">
        <v>559</v>
      </c>
      <c r="C8" s="41"/>
      <c r="D8" s="41"/>
      <c r="E8" s="41"/>
      <c r="F8" s="41"/>
      <c r="G8" s="41"/>
      <c r="H8" s="41"/>
      <c r="I8" s="41"/>
      <c r="J8" s="41"/>
      <c r="K8" s="41"/>
      <c r="L8" s="41">
        <f>L6/K6-1</f>
        <v>0.52373887240356076</v>
      </c>
      <c r="M8" s="41">
        <f>M6/L6-1</f>
        <v>-0.47503129781610798</v>
      </c>
      <c r="N8" s="41">
        <f>N6/M6-1</f>
        <v>0.21966083730789632</v>
      </c>
      <c r="O8" s="41">
        <f>O6/N6-1</f>
        <v>0.90723441233977842</v>
      </c>
      <c r="P8" s="41">
        <f>P6/O6-1</f>
        <v>0.10069483995899309</v>
      </c>
      <c r="Q8" s="41">
        <f>Q6/P6-1</f>
        <v>-6.5197143744177843E-3</v>
      </c>
      <c r="R8" s="41">
        <f>R6/Q6-1</f>
        <v>3.5520833333333446E-2</v>
      </c>
      <c r="S8" s="41">
        <f>S6/R6-1</f>
        <v>-3.0882205009556407E-2</v>
      </c>
      <c r="T8" s="41">
        <f>T6/S6-1</f>
        <v>0.10992318870666384</v>
      </c>
      <c r="U8" s="41">
        <f>U6/T6-1</f>
        <v>1.0993419545497054</v>
      </c>
    </row>
    <row r="9" spans="1:21" x14ac:dyDescent="0.2">
      <c r="B9" s="1" t="s">
        <v>561</v>
      </c>
      <c r="C9" s="1"/>
      <c r="D9" s="1"/>
      <c r="E9" s="1"/>
      <c r="F9" s="1"/>
      <c r="G9" s="42"/>
      <c r="H9" s="42"/>
      <c r="I9" s="42"/>
      <c r="J9" s="42"/>
      <c r="K9" s="42">
        <f>AVERAGE(H6:K6)/AVERAGE(G6:J6)-1</f>
        <v>-1.0264433671220801</v>
      </c>
      <c r="L9" s="42">
        <f>AVERAGE(I6:L6)/AVERAGE(H6:K6)-1</f>
        <v>29.704166666666758</v>
      </c>
      <c r="M9" s="42">
        <f>AVERAGE(J6:M6)/AVERAGE(I6:L6)-1</f>
        <v>0.12416881530736879</v>
      </c>
      <c r="N9" s="42">
        <f>AVERAGE(K6:N6)/AVERAGE(J6:M6)-1</f>
        <v>1.4485755673587639</v>
      </c>
      <c r="O9" s="42">
        <f>AVERAGE(L6:O6)/AVERAGE(K6:N6)-1</f>
        <v>0.20020705975152842</v>
      </c>
      <c r="P9" s="42">
        <f>AVERAGE(M6:P6)/AVERAGE(L6:O6)-1</f>
        <v>0.1016225097555965</v>
      </c>
      <c r="Q9" s="42">
        <f>AVERAGE(N6:Q6)/AVERAGE(M6:P6)-1</f>
        <v>0.2172340504865955</v>
      </c>
      <c r="R9" s="42">
        <f>AVERAGE(O6:R6)/AVERAGE(N6:Q6)-1</f>
        <v>0.16351661816510932</v>
      </c>
      <c r="S9" s="42">
        <f>AVERAGE(P6:S6)/AVERAGE(O6:R6)-1</f>
        <v>2.25100702946055E-2</v>
      </c>
      <c r="T9" s="42">
        <f>AVERAGE(Q6:T6)/AVERAGE(P6:S6)-1</f>
        <v>2.6520418147175429E-2</v>
      </c>
      <c r="U9" s="42">
        <f>AVERAGE(R6:U6)/AVERAGE(Q6:T6)-1</f>
        <v>0.32227007926156315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DA1F-ECE2-4927-B148-E4946917A4CA}">
  <dimension ref="A1"/>
  <sheetViews>
    <sheetView workbookViewId="0"/>
  </sheetViews>
  <sheetFormatPr defaultRowHeight="12.75" x14ac:dyDescent="0.2"/>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30A7-0075-4942-91D3-E6A468D8D730}">
  <dimension ref="A2:A14"/>
  <sheetViews>
    <sheetView topLeftCell="A10" workbookViewId="0">
      <selection activeCell="C38" sqref="C38"/>
    </sheetView>
  </sheetViews>
  <sheetFormatPr defaultRowHeight="12.75" x14ac:dyDescent="0.2"/>
  <sheetData>
    <row r="2" s="38" customFormat="1" x14ac:dyDescent="0.2"/>
    <row r="3" s="38" customFormat="1" x14ac:dyDescent="0.2"/>
    <row r="4" s="38" customFormat="1" x14ac:dyDescent="0.2"/>
    <row r="5" s="38" customFormat="1" x14ac:dyDescent="0.2"/>
    <row r="6" s="38" customFormat="1" x14ac:dyDescent="0.2"/>
    <row r="7" s="38" customFormat="1" x14ac:dyDescent="0.2"/>
    <row r="8" s="38" customFormat="1" x14ac:dyDescent="0.2"/>
    <row r="9" s="38" customFormat="1" x14ac:dyDescent="0.2"/>
    <row r="10" s="38" customFormat="1" x14ac:dyDescent="0.2"/>
    <row r="11" s="38" customFormat="1" x14ac:dyDescent="0.2"/>
    <row r="12" s="38" customFormat="1" x14ac:dyDescent="0.2"/>
    <row r="13" s="38" customFormat="1" x14ac:dyDescent="0.2"/>
    <row r="14" s="38" customFormat="1" x14ac:dyDescent="0.2"/>
  </sheetData>
  <mergeCells count="1">
    <mergeCell ref="A2:XFD1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순서</vt:lpstr>
      <vt:lpstr>2Q25</vt:lpstr>
      <vt:lpstr>3Q25</vt:lpstr>
      <vt:lpstr>3Q25 정리</vt:lpstr>
      <vt:lpstr>Sheet2</vt:lpstr>
      <vt:lpstr>사진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김용성[ 학부휴학 / 통계학과 ]</dc:creator>
  <cp:lastModifiedBy>YS K</cp:lastModifiedBy>
  <dcterms:created xsi:type="dcterms:W3CDTF">2025-07-21T09:05:25Z</dcterms:created>
  <dcterms:modified xsi:type="dcterms:W3CDTF">2025-10-16T10:15:07Z</dcterms:modified>
</cp:coreProperties>
</file>