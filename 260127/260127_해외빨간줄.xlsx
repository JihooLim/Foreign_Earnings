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6DB27C69-14EB-46B9-8550-F29C815849EA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Revenue" sheetId="1" r:id="rId1"/>
    <sheet name="Operating Income" sheetId="2" r:id="rId2"/>
    <sheet name="빨간줄" sheetId="3" r:id="rId3"/>
  </sheets>
  <definedNames>
    <definedName name="_xlnm._FilterDatabase" localSheetId="1" hidden="1">'Operating Income'!$B$2:$W$81</definedName>
    <definedName name="_xlnm._FilterDatabase" localSheetId="0" hidden="1">Revenue!$B$2:$W$81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S7" i="3"/>
  <c r="R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S8" i="3"/>
  <c r="R8" i="3"/>
  <c r="H13" i="3" l="1"/>
  <c r="Q13" i="3"/>
  <c r="R13" i="3"/>
  <c r="L12" i="3"/>
  <c r="G14" i="3"/>
  <c r="H10" i="3"/>
  <c r="M9" i="3"/>
  <c r="N9" i="3"/>
  <c r="M12" i="3"/>
  <c r="Q10" i="3"/>
  <c r="R10" i="3"/>
  <c r="F10" i="3"/>
  <c r="G10" i="3"/>
  <c r="S10" i="3"/>
  <c r="I10" i="3"/>
  <c r="G13" i="3"/>
  <c r="S13" i="3"/>
  <c r="C9" i="3"/>
  <c r="L9" i="3"/>
  <c r="J10" i="3"/>
  <c r="M11" i="3"/>
  <c r="M14" i="3"/>
  <c r="D9" i="3"/>
  <c r="D11" i="3" s="1"/>
  <c r="P9" i="3"/>
  <c r="K10" i="3"/>
  <c r="N12" i="3"/>
  <c r="I13" i="3"/>
  <c r="E9" i="3"/>
  <c r="Q9" i="3"/>
  <c r="L10" i="3"/>
  <c r="C12" i="3"/>
  <c r="O12" i="3"/>
  <c r="J13" i="3"/>
  <c r="O9" i="3"/>
  <c r="F9" i="3"/>
  <c r="R9" i="3"/>
  <c r="M10" i="3"/>
  <c r="D12" i="3"/>
  <c r="P12" i="3"/>
  <c r="K13" i="3"/>
  <c r="G9" i="3"/>
  <c r="S9" i="3"/>
  <c r="N10" i="3"/>
  <c r="E12" i="3"/>
  <c r="Q12" i="3"/>
  <c r="L13" i="3"/>
  <c r="H9" i="3"/>
  <c r="C10" i="3"/>
  <c r="O10" i="3"/>
  <c r="F12" i="3"/>
  <c r="R12" i="3"/>
  <c r="M13" i="3"/>
  <c r="I9" i="3"/>
  <c r="D10" i="3"/>
  <c r="P10" i="3"/>
  <c r="G12" i="3"/>
  <c r="S12" i="3"/>
  <c r="N13" i="3"/>
  <c r="J9" i="3"/>
  <c r="E10" i="3"/>
  <c r="H12" i="3"/>
  <c r="C13" i="3"/>
  <c r="O13" i="3"/>
  <c r="K9" i="3"/>
  <c r="I12" i="3"/>
  <c r="D13" i="3"/>
  <c r="P13" i="3"/>
  <c r="J12" i="3"/>
  <c r="E13" i="3"/>
  <c r="K12" i="3"/>
  <c r="F13" i="3"/>
  <c r="N11" i="3" l="1"/>
  <c r="L11" i="3"/>
  <c r="E11" i="3"/>
  <c r="R11" i="3"/>
  <c r="R14" i="3"/>
  <c r="F11" i="3"/>
  <c r="O11" i="3"/>
  <c r="O14" i="3"/>
  <c r="P11" i="3"/>
  <c r="P14" i="3"/>
  <c r="J11" i="3"/>
  <c r="J14" i="3"/>
  <c r="H11" i="3"/>
  <c r="H14" i="3"/>
  <c r="S14" i="3"/>
  <c r="S11" i="3"/>
  <c r="N14" i="3"/>
  <c r="K11" i="3"/>
  <c r="K14" i="3"/>
  <c r="L14" i="3"/>
  <c r="I11" i="3"/>
  <c r="I14" i="3"/>
  <c r="G11" i="3"/>
  <c r="Q11" i="3"/>
  <c r="Q14" i="3"/>
</calcChain>
</file>

<file path=xl/sharedStrings.xml><?xml version="1.0" encoding="utf-8"?>
<sst xmlns="http://schemas.openxmlformats.org/spreadsheetml/2006/main" count="704" uniqueCount="163">
  <si>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</si>
  <si>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</si>
  <si>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</si>
  <si>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</si>
  <si>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</si>
  <si>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</si>
  <si>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</si>
  <si>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</si>
  <si>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</si>
  <si>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</si>
  <si>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</si>
  <si>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</si>
  <si>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</si>
  <si>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</si>
  <si>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</si>
  <si>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</si>
  <si>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</si>
  <si>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</si>
  <si>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</si>
  <si>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</si>
  <si>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</si>
  <si>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</si>
  <si>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MC</t>
  </si>
  <si>
    <t>United States</t>
  </si>
  <si>
    <t>Capital Markets</t>
  </si>
  <si>
    <t>Sep '25 Sep 30, 2025</t>
  </si>
  <si>
    <t>FCF</t>
  </si>
  <si>
    <t>Banks - Regional</t>
  </si>
  <si>
    <t>Dec '25 Dec 30, 2025</t>
  </si>
  <si>
    <t>CLBK</t>
  </si>
  <si>
    <t>JBLU</t>
  </si>
  <si>
    <t>Airlines</t>
  </si>
  <si>
    <t>Dec '25 Dec 31, 2025</t>
  </si>
  <si>
    <t>NRIX</t>
  </si>
  <si>
    <t>Biotechnology</t>
  </si>
  <si>
    <t>Aug '25 Aug 31, 2025</t>
  </si>
  <si>
    <t>ECL</t>
  </si>
  <si>
    <t>Specialty Chemicals</t>
  </si>
  <si>
    <t>CHALET</t>
  </si>
  <si>
    <t>India</t>
  </si>
  <si>
    <t>N/A</t>
  </si>
  <si>
    <t>BUSE</t>
  </si>
  <si>
    <t>NBHC</t>
  </si>
  <si>
    <t>ECLERX</t>
  </si>
  <si>
    <t>PFS</t>
  </si>
  <si>
    <t>LRN</t>
  </si>
  <si>
    <t>Education &amp; Training Services</t>
  </si>
  <si>
    <t>GEF</t>
  </si>
  <si>
    <t>Packaging &amp; Containers</t>
  </si>
  <si>
    <t>CBU</t>
  </si>
  <si>
    <t>WSBC</t>
  </si>
  <si>
    <t>FBP</t>
  </si>
  <si>
    <t>RNST</t>
  </si>
  <si>
    <t>TRMK</t>
  </si>
  <si>
    <t>PII</t>
  </si>
  <si>
    <t>Recreational Vehicles</t>
  </si>
  <si>
    <t>QCRH</t>
  </si>
  <si>
    <t>CARTRADE</t>
  </si>
  <si>
    <t>FFIC</t>
  </si>
  <si>
    <t>DATAMATICS</t>
  </si>
  <si>
    <t>FCBC</t>
  </si>
  <si>
    <t>BHG</t>
  </si>
  <si>
    <t>Sweden</t>
  </si>
  <si>
    <t>MASFIN</t>
  </si>
  <si>
    <t>WRLD</t>
  </si>
  <si>
    <t>Credit Services</t>
  </si>
  <si>
    <t>ORRF</t>
  </si>
  <si>
    <t>HOPE</t>
  </si>
  <si>
    <t>CCBG</t>
  </si>
  <si>
    <t>CCNE</t>
  </si>
  <si>
    <t>HTLD</t>
  </si>
  <si>
    <t>Trucking</t>
  </si>
  <si>
    <t>HAFC</t>
  </si>
  <si>
    <t>XIFR</t>
  </si>
  <si>
    <t>Utilities - Renewable</t>
  </si>
  <si>
    <t>8218</t>
  </si>
  <si>
    <t>Japan</t>
  </si>
  <si>
    <t>TSFINV</t>
  </si>
  <si>
    <t>RAILTEL</t>
  </si>
  <si>
    <t>CAC</t>
  </si>
  <si>
    <t>BWB</t>
  </si>
  <si>
    <t>ENVA</t>
  </si>
  <si>
    <t>EMBASSY</t>
  </si>
  <si>
    <t>SYY</t>
  </si>
  <si>
    <t>Food Distribution</t>
  </si>
  <si>
    <t>Sep '25 Sep 27, 2025</t>
  </si>
  <si>
    <t>ROP</t>
  </si>
  <si>
    <t>Software - Application</t>
  </si>
  <si>
    <t>SAND</t>
  </si>
  <si>
    <t>PCAR</t>
  </si>
  <si>
    <t>Farm &amp; Heavy Construction Machinery</t>
  </si>
  <si>
    <t>4063</t>
  </si>
  <si>
    <t>GM</t>
  </si>
  <si>
    <t>Auto Manufacturers</t>
  </si>
  <si>
    <t>STX</t>
  </si>
  <si>
    <t>Computer Hardware</t>
  </si>
  <si>
    <t>KMB</t>
  </si>
  <si>
    <t>Household &amp; Personal Products</t>
  </si>
  <si>
    <t>UPS</t>
  </si>
  <si>
    <t>Integrated Freight &amp; Logistics</t>
  </si>
  <si>
    <t>HCA</t>
  </si>
  <si>
    <t>Medical Care Facilities</t>
  </si>
  <si>
    <t>UNP</t>
  </si>
  <si>
    <t>Railroads</t>
  </si>
  <si>
    <t>TXN</t>
  </si>
  <si>
    <t>Semiconductors</t>
  </si>
  <si>
    <t>NEE</t>
  </si>
  <si>
    <t>Utilities - Regulated Electric</t>
  </si>
  <si>
    <t>BA</t>
  </si>
  <si>
    <t>Aerospace &amp; Defense</t>
  </si>
  <si>
    <t>RTX</t>
  </si>
  <si>
    <t>UNH</t>
  </si>
  <si>
    <t>Healthcare Plans</t>
  </si>
  <si>
    <t>NOC</t>
  </si>
  <si>
    <t>2337</t>
  </si>
  <si>
    <t>Nov '25 Nov 30, 2025</t>
  </si>
  <si>
    <t>ASIANPAINT</t>
  </si>
  <si>
    <t>PPG</t>
  </si>
  <si>
    <t>CVLT</t>
  </si>
  <si>
    <t>BPOP</t>
  </si>
  <si>
    <t>QRVO</t>
  </si>
  <si>
    <t>Dec '25 Dec 27, 2025</t>
  </si>
  <si>
    <t>AAL</t>
  </si>
  <si>
    <t>UMBF</t>
  </si>
  <si>
    <t>AIT</t>
  </si>
  <si>
    <t>Industrial Distribution</t>
  </si>
  <si>
    <t>IVZ</t>
  </si>
  <si>
    <t>Asset Management</t>
  </si>
  <si>
    <t>SYF</t>
  </si>
  <si>
    <t>BXP</t>
  </si>
  <si>
    <t>REIT - Office</t>
  </si>
  <si>
    <t>9697</t>
  </si>
  <si>
    <t>MANH</t>
  </si>
  <si>
    <t>TATACONSUM</t>
  </si>
  <si>
    <t>CGPOWER</t>
  </si>
  <si>
    <t>FFIV</t>
  </si>
  <si>
    <t>Software - Infrastructure</t>
  </si>
  <si>
    <t>PKG</t>
  </si>
  <si>
    <t>NVR</t>
  </si>
  <si>
    <t>Residential Construction</t>
  </si>
  <si>
    <t>NXT</t>
  </si>
  <si>
    <t>Solar</t>
  </si>
  <si>
    <t>PGC</t>
  </si>
  <si>
    <t>Dec '25</t>
    <phoneticPr fontId="4" type="noConversion"/>
  </si>
  <si>
    <t>4Q21</t>
    <phoneticPr fontId="7" type="noConversion"/>
  </si>
  <si>
    <t>1Q22</t>
    <phoneticPr fontId="7" type="noConversion"/>
  </si>
  <si>
    <t>2Q22</t>
    <phoneticPr fontId="7" type="noConversion"/>
  </si>
  <si>
    <t>3Q22</t>
    <phoneticPr fontId="7" type="noConversion"/>
  </si>
  <si>
    <t>4Q22</t>
    <phoneticPr fontId="7" type="noConversion"/>
  </si>
  <si>
    <t>2Q23</t>
    <phoneticPr fontId="7" type="noConversion"/>
  </si>
  <si>
    <t>3Q23</t>
    <phoneticPr fontId="7" type="noConversion"/>
  </si>
  <si>
    <t>4Q23</t>
    <phoneticPr fontId="7" type="noConversion"/>
  </si>
  <si>
    <t>Revenue</t>
    <phoneticPr fontId="7" type="noConversion"/>
  </si>
  <si>
    <t>OP</t>
    <phoneticPr fontId="7" type="noConversion"/>
  </si>
  <si>
    <t>Trailing 4Q OP avg.</t>
    <phoneticPr fontId="7" type="noConversion"/>
  </si>
  <si>
    <t>Trailing 4Q OP sum.</t>
    <phoneticPr fontId="7" type="noConversion"/>
  </si>
  <si>
    <t>Trailing OP Delta</t>
    <phoneticPr fontId="7" type="noConversion"/>
  </si>
  <si>
    <t>opm</t>
  </si>
  <si>
    <t>op yoy</t>
    <phoneticPr fontId="7" type="noConversion"/>
  </si>
  <si>
    <t>(단위: mil $)</t>
    <phoneticPr fontId="4" type="noConversion"/>
  </si>
  <si>
    <t>STX</t>
    <phoneticPr fontId="4" type="noConversion"/>
  </si>
  <si>
    <t>*최근에 실적 안나온 기업은 제외, 비미국 포함, 비미국은 산업 크롤링 불가</t>
    <phoneticPr fontId="4" type="noConversion"/>
  </si>
  <si>
    <t>매출 YoY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</si>
</sst>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8" formatCode="0.0%"/>
    <numFmt numFmtId="184" formatCode="0.0&quot;%&quot;"/>
  </numFmts>
  <fonts count="1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color theme="1"/>
      <name val="맑은 고딕"/>
      <family val="2"/>
      <scheme val="minor"/>
    </font>
    <font>
      <b/>
      <sz val="10"/>
      <name val="pretendard"/>
      <family val="2"/>
    </font>
    <font>
      <b/>
      <sz val="11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178" fontId="8" fillId="0" borderId="0" xfId="2" applyNumberFormat="1" applyFont="1" applyFill="1">
      <alignment vertical="center"/>
    </xf>
    <xf numFmtId="178" fontId="8" fillId="0" borderId="0" xfId="2" applyNumberFormat="1" applyFont="1" applyFill="1" applyBorder="1">
      <alignment vertical="center"/>
    </xf>
    <xf numFmtId="178" fontId="8" fillId="0" borderId="2" xfId="2" applyNumberFormat="1" applyFont="1" applyFill="1" applyBorder="1">
      <alignment vertical="center"/>
    </xf>
    <xf numFmtId="9" fontId="8" fillId="0" borderId="0" xfId="2" applyFont="1" applyAlignment="1">
      <alignment horizontal="right" vertical="center"/>
    </xf>
    <xf numFmtId="9" fontId="8" fillId="0" borderId="2" xfId="2" applyFont="1" applyBorder="1" applyAlignment="1">
      <alignment horizontal="right" vertical="center"/>
    </xf>
    <xf numFmtId="9" fontId="8" fillId="0" borderId="0" xfId="2" applyFont="1">
      <alignment vertical="center"/>
    </xf>
    <xf numFmtId="9" fontId="8" fillId="0" borderId="0" xfId="2" applyFont="1" applyBorder="1">
      <alignment vertical="center"/>
    </xf>
    <xf numFmtId="9" fontId="8" fillId="0" borderId="2" xfId="2" applyFont="1" applyBorder="1">
      <alignment vertical="center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184" fontId="2" fillId="0" borderId="0" xfId="0" applyNumberFormat="1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0" fontId="14" fillId="0" borderId="0" xfId="0" applyFont="1"/>
    <xf numFmtId="184" fontId="14" fillId="0" borderId="0" xfId="0" applyNumberFormat="1" applyFont="1"/>
    <xf numFmtId="184" fontId="14" fillId="4" borderId="0" xfId="0" applyNumberFormat="1" applyFont="1" applyFill="1"/>
    <xf numFmtId="41" fontId="14" fillId="0" borderId="0" xfId="1" applyFont="1" applyAlignment="1"/>
    <xf numFmtId="41" fontId="14" fillId="2" borderId="0" xfId="1" applyFont="1" applyFill="1" applyAlignment="1"/>
    <xf numFmtId="176" fontId="8" fillId="0" borderId="0" xfId="1" applyNumberFormat="1" applyFont="1" applyAlignment="1">
      <alignment vertical="center"/>
    </xf>
    <xf numFmtId="176" fontId="8" fillId="0" borderId="2" xfId="1" applyNumberFormat="1" applyFont="1" applyBorder="1" applyAlignme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7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W81"/>
  <sheetViews>
    <sheetView workbookViewId="0">
      <selection activeCell="B4" sqref="B4"/>
    </sheetView>
  </sheetViews>
  <sheetFormatPr defaultRowHeight="16.5" x14ac:dyDescent="0.3"/>
  <cols>
    <col min="2" max="2" width="9" style="18"/>
    <col min="3" max="3" width="12.625" bestFit="1" customWidth="1"/>
    <col min="4" max="4" width="21.5" customWidth="1"/>
    <col min="5" max="5" width="18.375" hidden="1" customWidth="1"/>
    <col min="6" max="6" width="13.625" customWidth="1"/>
  </cols>
  <sheetData>
    <row r="2" spans="2:2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spans="2:23" hidden="1" x14ac:dyDescent="0.3">
      <c r="B3" s="2" t="s">
        <v>22</v>
      </c>
      <c r="C3" s="2" t="s">
        <v>23</v>
      </c>
      <c r="D3" s="2" t="s">
        <v>24</v>
      </c>
      <c r="E3" s="2" t="s">
        <v>25</v>
      </c>
      <c r="F3" s="2">
        <v>6.004550543537146</v>
      </c>
      <c r="G3" s="2">
        <v>490.82</v>
      </c>
      <c r="H3" s="2">
        <v>425.02</v>
      </c>
      <c r="I3" s="2">
        <v>302.08999999999997</v>
      </c>
      <c r="J3" s="2">
        <v>242.52</v>
      </c>
      <c r="K3" s="2">
        <v>233.51</v>
      </c>
      <c r="L3" s="2">
        <v>207.18</v>
      </c>
      <c r="M3" s="2">
        <v>187.82</v>
      </c>
      <c r="N3" s="2">
        <v>179.87</v>
      </c>
      <c r="O3" s="2">
        <v>272.18</v>
      </c>
      <c r="P3" s="2">
        <v>214.88</v>
      </c>
      <c r="Q3" s="2">
        <v>217.49</v>
      </c>
      <c r="R3" s="2">
        <v>264.58999999999997</v>
      </c>
      <c r="S3" s="2">
        <v>273.76</v>
      </c>
      <c r="T3" s="3">
        <v>438.72</v>
      </c>
      <c r="U3" s="2">
        <v>306.58999999999997</v>
      </c>
      <c r="V3" s="2">
        <v>365.38</v>
      </c>
      <c r="W3" s="2">
        <v>356.89</v>
      </c>
    </row>
    <row r="4" spans="2:23" x14ac:dyDescent="0.3">
      <c r="B4" s="19" t="s">
        <v>58</v>
      </c>
      <c r="C4" s="2" t="s">
        <v>23</v>
      </c>
      <c r="D4" s="2" t="s">
        <v>27</v>
      </c>
      <c r="E4" s="2" t="s">
        <v>32</v>
      </c>
      <c r="F4" s="20">
        <v>57.008956467402612</v>
      </c>
      <c r="G4" s="2">
        <v>61.63</v>
      </c>
      <c r="H4" s="2">
        <v>63.43</v>
      </c>
      <c r="I4" s="2">
        <v>70.489999999999995</v>
      </c>
      <c r="J4" s="2">
        <v>68.06</v>
      </c>
      <c r="K4" s="2">
        <v>46.56</v>
      </c>
      <c r="L4" s="2">
        <v>44.61</v>
      </c>
      <c r="M4" s="2">
        <v>46.98</v>
      </c>
      <c r="N4" s="2">
        <v>47.14</v>
      </c>
      <c r="O4" s="2">
        <v>52.49</v>
      </c>
      <c r="P4" s="2">
        <v>44.89</v>
      </c>
      <c r="Q4" s="2">
        <v>46.18</v>
      </c>
      <c r="R4" s="2">
        <v>50.33</v>
      </c>
      <c r="S4" s="2">
        <v>-26.05</v>
      </c>
      <c r="T4" s="2">
        <v>53.75</v>
      </c>
      <c r="U4" s="3">
        <v>59.29</v>
      </c>
      <c r="V4" s="2">
        <v>57.04</v>
      </c>
      <c r="W4" s="3">
        <v>56.06</v>
      </c>
    </row>
    <row r="5" spans="2:23" hidden="1" x14ac:dyDescent="0.3">
      <c r="B5" s="2" t="s">
        <v>29</v>
      </c>
      <c r="C5" s="2" t="s">
        <v>23</v>
      </c>
      <c r="D5" s="2" t="s">
        <v>27</v>
      </c>
      <c r="E5" s="2" t="s">
        <v>25</v>
      </c>
      <c r="F5" s="2">
        <v>7.8820890740147309</v>
      </c>
      <c r="G5" s="2">
        <v>65.75</v>
      </c>
      <c r="H5" s="2">
        <v>75.33</v>
      </c>
      <c r="I5" s="2">
        <v>68.31</v>
      </c>
      <c r="J5" s="2">
        <v>72.64</v>
      </c>
      <c r="K5" s="2">
        <v>75.8</v>
      </c>
      <c r="L5" s="2">
        <v>74.95</v>
      </c>
      <c r="M5" s="2">
        <v>68.760000000000005</v>
      </c>
      <c r="N5" s="2">
        <v>49.53</v>
      </c>
      <c r="O5" s="2">
        <v>54.75</v>
      </c>
      <c r="P5" s="2">
        <v>55.43</v>
      </c>
      <c r="Q5" s="2">
        <v>44.37</v>
      </c>
      <c r="R5" s="2">
        <v>51.07</v>
      </c>
      <c r="S5" s="2">
        <v>50.15</v>
      </c>
      <c r="T5" s="2">
        <v>19.84</v>
      </c>
      <c r="U5" s="2">
        <v>55.86</v>
      </c>
      <c r="V5" s="2">
        <v>61.41</v>
      </c>
      <c r="W5" s="2">
        <v>64.91</v>
      </c>
    </row>
    <row r="6" spans="2:23" x14ac:dyDescent="0.3">
      <c r="B6" s="19" t="s">
        <v>69</v>
      </c>
      <c r="C6" s="2" t="s">
        <v>23</v>
      </c>
      <c r="D6" s="2" t="s">
        <v>27</v>
      </c>
      <c r="E6" s="2" t="s">
        <v>32</v>
      </c>
      <c r="F6" s="20">
        <v>19.927170622559551</v>
      </c>
      <c r="G6" s="2">
        <v>50.17</v>
      </c>
      <c r="H6" s="2">
        <v>50.63</v>
      </c>
      <c r="I6" s="2">
        <v>51.54</v>
      </c>
      <c r="J6" s="2">
        <v>56.78</v>
      </c>
      <c r="K6" s="2">
        <v>56.89</v>
      </c>
      <c r="L6" s="2">
        <v>54.39</v>
      </c>
      <c r="M6" s="2">
        <v>53.15</v>
      </c>
      <c r="N6" s="2">
        <v>54.04</v>
      </c>
      <c r="O6" s="2">
        <v>55.59</v>
      </c>
      <c r="P6" s="2">
        <v>52.86</v>
      </c>
      <c r="Q6" s="2">
        <v>51.99</v>
      </c>
      <c r="R6" s="2">
        <v>56.08</v>
      </c>
      <c r="S6" s="2">
        <v>56.44</v>
      </c>
      <c r="T6" s="2">
        <v>55.38</v>
      </c>
      <c r="U6" s="2">
        <v>56.87</v>
      </c>
      <c r="V6" s="2">
        <v>59.24</v>
      </c>
      <c r="W6" s="3">
        <v>101.86</v>
      </c>
    </row>
    <row r="7" spans="2:23" hidden="1" x14ac:dyDescent="0.3">
      <c r="B7" s="2" t="s">
        <v>33</v>
      </c>
      <c r="C7" s="2" t="s">
        <v>23</v>
      </c>
      <c r="D7" s="2" t="s">
        <v>34</v>
      </c>
      <c r="E7" s="2" t="s">
        <v>35</v>
      </c>
      <c r="F7" s="2">
        <v>-5.3179452364788284</v>
      </c>
      <c r="G7" s="2">
        <v>10.25</v>
      </c>
      <c r="H7" s="2">
        <v>7.4</v>
      </c>
      <c r="I7" s="2">
        <v>9.6199999999999992</v>
      </c>
      <c r="J7" s="2">
        <v>11.43</v>
      </c>
      <c r="K7" s="2">
        <v>10.79</v>
      </c>
      <c r="L7" s="2">
        <v>6.78</v>
      </c>
      <c r="M7" s="2">
        <v>12.69</v>
      </c>
      <c r="N7" s="3">
        <v>30.68</v>
      </c>
      <c r="O7" s="3">
        <v>18.47</v>
      </c>
      <c r="P7" s="3">
        <v>15.16</v>
      </c>
      <c r="Q7" s="2">
        <v>16.59</v>
      </c>
      <c r="R7" s="2">
        <v>12.09</v>
      </c>
      <c r="S7" s="2">
        <v>12.59</v>
      </c>
      <c r="T7" s="2">
        <v>13.28</v>
      </c>
      <c r="U7" s="2">
        <v>18.45</v>
      </c>
      <c r="V7" s="3">
        <v>44.06</v>
      </c>
      <c r="W7" s="2">
        <v>7.89</v>
      </c>
    </row>
    <row r="8" spans="2:23" hidden="1" x14ac:dyDescent="0.3">
      <c r="B8" s="2" t="s">
        <v>36</v>
      </c>
      <c r="C8" s="2" t="s">
        <v>23</v>
      </c>
      <c r="D8" s="2" t="s">
        <v>37</v>
      </c>
      <c r="E8" s="2" t="s">
        <v>25</v>
      </c>
      <c r="F8" s="2">
        <v>1.055711015008898</v>
      </c>
      <c r="G8" s="2">
        <v>3321</v>
      </c>
      <c r="H8" s="2">
        <v>3365</v>
      </c>
      <c r="I8" s="2">
        <v>3267</v>
      </c>
      <c r="J8" s="2">
        <v>3581</v>
      </c>
      <c r="K8" s="2">
        <v>3669</v>
      </c>
      <c r="L8" s="2">
        <v>3671</v>
      </c>
      <c r="M8" s="2">
        <v>3572</v>
      </c>
      <c r="N8" s="2">
        <v>3852</v>
      </c>
      <c r="O8" s="2">
        <v>3958</v>
      </c>
      <c r="P8" s="2">
        <v>3938</v>
      </c>
      <c r="Q8" s="2">
        <v>3752</v>
      </c>
      <c r="R8" s="2">
        <v>3986</v>
      </c>
      <c r="S8" s="2">
        <v>3999</v>
      </c>
      <c r="T8" s="2">
        <v>4005</v>
      </c>
      <c r="U8" s="2">
        <v>3695</v>
      </c>
      <c r="V8" s="2">
        <v>4025</v>
      </c>
      <c r="W8" s="2">
        <v>4165</v>
      </c>
    </row>
    <row r="9" spans="2:23" hidden="1" x14ac:dyDescent="0.3">
      <c r="B9" s="2" t="s">
        <v>38</v>
      </c>
      <c r="C9" s="2" t="s">
        <v>39</v>
      </c>
      <c r="D9" s="2" t="s">
        <v>40</v>
      </c>
      <c r="E9" s="2" t="s">
        <v>25</v>
      </c>
      <c r="F9" s="2">
        <v>15.87765957446809</v>
      </c>
      <c r="G9" s="2">
        <v>1334</v>
      </c>
      <c r="H9" s="2">
        <v>1642</v>
      </c>
      <c r="I9" s="2">
        <v>1540</v>
      </c>
      <c r="J9" s="2">
        <v>2530</v>
      </c>
      <c r="K9" s="3">
        <v>2188</v>
      </c>
      <c r="L9" s="3">
        <v>3218</v>
      </c>
      <c r="M9" s="3">
        <v>3386</v>
      </c>
      <c r="N9" s="2">
        <v>3108</v>
      </c>
      <c r="O9" s="2">
        <v>3091</v>
      </c>
      <c r="P9" s="2">
        <v>3799</v>
      </c>
      <c r="Q9" s="2">
        <v>4185</v>
      </c>
      <c r="R9" s="2">
        <v>3610</v>
      </c>
      <c r="S9" s="2">
        <v>3771</v>
      </c>
      <c r="T9" s="2">
        <v>4578</v>
      </c>
      <c r="U9" s="2">
        <v>5265</v>
      </c>
      <c r="V9" s="3">
        <v>8946</v>
      </c>
      <c r="W9" s="3">
        <v>7353</v>
      </c>
    </row>
    <row r="10" spans="2:23" x14ac:dyDescent="0.3">
      <c r="B10" s="19" t="s">
        <v>41</v>
      </c>
      <c r="C10" s="2" t="s">
        <v>23</v>
      </c>
      <c r="D10" s="2" t="s">
        <v>27</v>
      </c>
      <c r="E10" s="2" t="s">
        <v>32</v>
      </c>
      <c r="F10" s="20">
        <v>14.067738624700651</v>
      </c>
      <c r="G10" s="2">
        <v>110.33</v>
      </c>
      <c r="H10" s="2">
        <v>106.08</v>
      </c>
      <c r="I10" s="2">
        <v>105.29</v>
      </c>
      <c r="J10" s="2">
        <v>114.87</v>
      </c>
      <c r="K10" s="2">
        <v>119.37</v>
      </c>
      <c r="L10" s="2">
        <v>116.75</v>
      </c>
      <c r="M10" s="2">
        <v>106.06</v>
      </c>
      <c r="N10" s="2">
        <v>108.44</v>
      </c>
      <c r="O10" s="2">
        <v>108.19</v>
      </c>
      <c r="P10" s="2">
        <v>101.55</v>
      </c>
      <c r="Q10" s="2">
        <v>119.19</v>
      </c>
      <c r="R10" s="2">
        <v>118.08</v>
      </c>
      <c r="S10" s="2">
        <v>115.53</v>
      </c>
      <c r="T10" s="2">
        <v>72.64</v>
      </c>
      <c r="U10" s="3">
        <v>199.07</v>
      </c>
      <c r="V10" s="3">
        <v>197.36</v>
      </c>
      <c r="W10" s="3">
        <v>197.77</v>
      </c>
    </row>
    <row r="11" spans="2:23" x14ac:dyDescent="0.3">
      <c r="B11" s="19" t="s">
        <v>52</v>
      </c>
      <c r="C11" s="2" t="s">
        <v>23</v>
      </c>
      <c r="D11" s="2" t="s">
        <v>27</v>
      </c>
      <c r="E11" s="2" t="s">
        <v>32</v>
      </c>
      <c r="F11" s="20">
        <v>13.293955299913589</v>
      </c>
      <c r="G11" s="2">
        <v>149.53</v>
      </c>
      <c r="H11" s="2">
        <v>135.59</v>
      </c>
      <c r="I11" s="2">
        <v>148.72999999999999</v>
      </c>
      <c r="J11" s="2">
        <v>161.69999999999999</v>
      </c>
      <c r="K11" s="2">
        <v>160.66</v>
      </c>
      <c r="L11" s="2">
        <v>166.61</v>
      </c>
      <c r="M11" s="2">
        <v>145.44</v>
      </c>
      <c r="N11" s="2">
        <v>160.97</v>
      </c>
      <c r="O11" s="2">
        <v>143.79</v>
      </c>
      <c r="P11" s="2">
        <v>162.22999999999999</v>
      </c>
      <c r="Q11" s="2">
        <v>160.49</v>
      </c>
      <c r="R11" s="2">
        <v>219.36</v>
      </c>
      <c r="S11" s="2">
        <v>164.5</v>
      </c>
      <c r="T11" s="2">
        <v>165.92</v>
      </c>
      <c r="U11" s="2">
        <v>185.87</v>
      </c>
      <c r="V11" s="2">
        <v>259.10000000000002</v>
      </c>
      <c r="W11" s="3">
        <v>267.58</v>
      </c>
    </row>
    <row r="12" spans="2:23" hidden="1" x14ac:dyDescent="0.3">
      <c r="B12" s="2" t="s">
        <v>43</v>
      </c>
      <c r="C12" s="2" t="s">
        <v>39</v>
      </c>
      <c r="D12" s="2" t="s">
        <v>40</v>
      </c>
      <c r="E12" s="2" t="s">
        <v>25</v>
      </c>
      <c r="F12" s="2">
        <v>4.9197101037373958</v>
      </c>
      <c r="G12" s="2">
        <v>5233</v>
      </c>
      <c r="H12" s="2">
        <v>5592</v>
      </c>
      <c r="I12" s="2">
        <v>5917</v>
      </c>
      <c r="J12" s="2">
        <v>6178</v>
      </c>
      <c r="K12" s="2">
        <v>6503</v>
      </c>
      <c r="L12" s="2">
        <v>6867</v>
      </c>
      <c r="M12" s="2">
        <v>6931</v>
      </c>
      <c r="N12" s="2">
        <v>6845</v>
      </c>
      <c r="O12" s="2">
        <v>7218</v>
      </c>
      <c r="P12" s="2">
        <v>7528</v>
      </c>
      <c r="Q12" s="2">
        <v>7665</v>
      </c>
      <c r="R12" s="2">
        <v>7819</v>
      </c>
      <c r="S12" s="2">
        <v>8318</v>
      </c>
      <c r="T12" s="2">
        <v>8538</v>
      </c>
      <c r="U12" s="2">
        <v>8983</v>
      </c>
      <c r="V12" s="2">
        <v>9346</v>
      </c>
      <c r="W12" s="2">
        <v>10049</v>
      </c>
    </row>
    <row r="13" spans="2:23" x14ac:dyDescent="0.3">
      <c r="B13" s="19" t="s">
        <v>123</v>
      </c>
      <c r="C13" s="2" t="s">
        <v>23</v>
      </c>
      <c r="D13" s="2" t="s">
        <v>27</v>
      </c>
      <c r="E13" s="2" t="s">
        <v>32</v>
      </c>
      <c r="F13" s="20">
        <v>12.659894997023139</v>
      </c>
      <c r="G13" s="2">
        <v>320.85000000000002</v>
      </c>
      <c r="H13" s="2">
        <v>340.53</v>
      </c>
      <c r="I13" s="2">
        <v>387.73</v>
      </c>
      <c r="J13" s="2">
        <v>340.21</v>
      </c>
      <c r="K13" s="2">
        <v>361.66</v>
      </c>
      <c r="L13" s="2">
        <v>348.65</v>
      </c>
      <c r="M13" s="2">
        <v>350.69</v>
      </c>
      <c r="N13" s="2">
        <v>350.63</v>
      </c>
      <c r="O13" s="2">
        <v>370.78</v>
      </c>
      <c r="P13" s="2">
        <v>388.68</v>
      </c>
      <c r="Q13" s="2">
        <v>375.98</v>
      </c>
      <c r="R13" s="2">
        <v>388.12</v>
      </c>
      <c r="S13" s="2">
        <v>415.19</v>
      </c>
      <c r="T13" s="2">
        <v>477.84</v>
      </c>
      <c r="U13" s="3">
        <v>665.71</v>
      </c>
      <c r="V13" s="3">
        <v>658.34</v>
      </c>
      <c r="W13" s="3">
        <v>695.87</v>
      </c>
    </row>
    <row r="14" spans="2:23" x14ac:dyDescent="0.3">
      <c r="B14" s="19" t="s">
        <v>50</v>
      </c>
      <c r="C14" s="2" t="s">
        <v>23</v>
      </c>
      <c r="D14" s="2" t="s">
        <v>27</v>
      </c>
      <c r="E14" s="2" t="s">
        <v>32</v>
      </c>
      <c r="F14" s="20">
        <v>12.38035969879892</v>
      </c>
      <c r="G14" s="2">
        <v>154.6</v>
      </c>
      <c r="H14" s="2">
        <v>141.53</v>
      </c>
      <c r="I14" s="2">
        <v>140.02000000000001</v>
      </c>
      <c r="J14" s="2">
        <v>157.29</v>
      </c>
      <c r="K14" s="2">
        <v>154.52000000000001</v>
      </c>
      <c r="L14" s="2">
        <v>148.41</v>
      </c>
      <c r="M14" s="2">
        <v>150.38</v>
      </c>
      <c r="N14" s="2">
        <v>142.22999999999999</v>
      </c>
      <c r="O14" s="2">
        <v>143.03</v>
      </c>
      <c r="P14" s="2">
        <v>140.58000000000001</v>
      </c>
      <c r="Q14" s="2">
        <v>137.41</v>
      </c>
      <c r="R14" s="2">
        <v>145.96</v>
      </c>
      <c r="S14" s="2">
        <v>163.04</v>
      </c>
      <c r="T14" s="2">
        <v>123.4</v>
      </c>
      <c r="U14" s="3">
        <v>257.51</v>
      </c>
      <c r="V14" s="3">
        <v>259.5</v>
      </c>
      <c r="W14" s="3">
        <v>262.51</v>
      </c>
    </row>
    <row r="15" spans="2:23" x14ac:dyDescent="0.3">
      <c r="B15" s="19" t="s">
        <v>108</v>
      </c>
      <c r="C15" s="2" t="s">
        <v>23</v>
      </c>
      <c r="D15" s="2" t="s">
        <v>109</v>
      </c>
      <c r="E15" s="2" t="s">
        <v>32</v>
      </c>
      <c r="F15" s="20">
        <v>10.78048961699916</v>
      </c>
      <c r="G15" s="2">
        <v>14793</v>
      </c>
      <c r="H15" s="2">
        <v>13991</v>
      </c>
      <c r="I15" s="2">
        <v>16681</v>
      </c>
      <c r="J15" s="2">
        <v>15956</v>
      </c>
      <c r="K15" s="2">
        <v>19980</v>
      </c>
      <c r="L15" s="2">
        <v>17921</v>
      </c>
      <c r="M15" s="2">
        <v>19751</v>
      </c>
      <c r="N15" s="2">
        <v>18104</v>
      </c>
      <c r="O15" s="2">
        <v>22018</v>
      </c>
      <c r="P15" s="2">
        <v>16569</v>
      </c>
      <c r="Q15" s="2">
        <v>16866</v>
      </c>
      <c r="R15" s="2">
        <v>17840</v>
      </c>
      <c r="S15" s="2">
        <v>15242</v>
      </c>
      <c r="T15" s="2">
        <v>19496</v>
      </c>
      <c r="U15" s="2">
        <v>22749</v>
      </c>
      <c r="V15" s="2">
        <v>23270</v>
      </c>
      <c r="W15" s="3">
        <v>23948</v>
      </c>
    </row>
    <row r="16" spans="2:23" x14ac:dyDescent="0.3">
      <c r="B16" s="19" t="s">
        <v>79</v>
      </c>
      <c r="C16" s="2" t="s">
        <v>23</v>
      </c>
      <c r="D16" s="2" t="s">
        <v>27</v>
      </c>
      <c r="E16" s="2" t="s">
        <v>32</v>
      </c>
      <c r="F16" s="20">
        <v>8.5087597007295948</v>
      </c>
      <c r="G16" s="2">
        <v>47.67</v>
      </c>
      <c r="H16" s="2">
        <v>47.27</v>
      </c>
      <c r="I16" s="2">
        <v>45.33</v>
      </c>
      <c r="J16" s="2">
        <v>45</v>
      </c>
      <c r="K16" s="2">
        <v>46.3</v>
      </c>
      <c r="L16" s="2">
        <v>42.14</v>
      </c>
      <c r="M16" s="2">
        <v>42.7</v>
      </c>
      <c r="N16" s="2">
        <v>38.229999999999997</v>
      </c>
      <c r="O16" s="2">
        <v>38.130000000000003</v>
      </c>
      <c r="P16" s="2">
        <v>43.7</v>
      </c>
      <c r="Q16" s="2">
        <v>42.18</v>
      </c>
      <c r="R16" s="2">
        <v>44.75</v>
      </c>
      <c r="S16" s="2">
        <v>46.77</v>
      </c>
      <c r="T16" s="2">
        <v>50.63</v>
      </c>
      <c r="U16" s="2">
        <v>55.36</v>
      </c>
      <c r="V16" s="2">
        <v>62.43</v>
      </c>
      <c r="W16" s="2">
        <v>65.08</v>
      </c>
    </row>
    <row r="17" spans="2:23" x14ac:dyDescent="0.3">
      <c r="B17" s="19" t="s">
        <v>80</v>
      </c>
      <c r="C17" s="2" t="s">
        <v>23</v>
      </c>
      <c r="D17" s="2" t="s">
        <v>27</v>
      </c>
      <c r="E17" s="2" t="s">
        <v>32</v>
      </c>
      <c r="F17" s="20">
        <v>7.9056974459724927</v>
      </c>
      <c r="G17" s="2">
        <v>29.14</v>
      </c>
      <c r="H17" s="2">
        <v>29.95</v>
      </c>
      <c r="I17" s="2">
        <v>31.09</v>
      </c>
      <c r="J17" s="2">
        <v>33.869999999999997</v>
      </c>
      <c r="K17" s="2">
        <v>33.020000000000003</v>
      </c>
      <c r="L17" s="2">
        <v>29.89</v>
      </c>
      <c r="M17" s="2">
        <v>27.24</v>
      </c>
      <c r="N17" s="2">
        <v>27.75</v>
      </c>
      <c r="O17" s="2">
        <v>26.97</v>
      </c>
      <c r="P17" s="2">
        <v>25.43</v>
      </c>
      <c r="Q17" s="2">
        <v>26.16</v>
      </c>
      <c r="R17" s="2">
        <v>27.12</v>
      </c>
      <c r="S17" s="2">
        <v>27.33</v>
      </c>
      <c r="T17" s="2">
        <v>30.79</v>
      </c>
      <c r="U17" s="2">
        <v>34.08</v>
      </c>
      <c r="V17" s="2">
        <v>35.049999999999997</v>
      </c>
      <c r="W17" s="2">
        <v>37.39</v>
      </c>
    </row>
    <row r="18" spans="2:23" x14ac:dyDescent="0.3">
      <c r="B18" s="19" t="s">
        <v>140</v>
      </c>
      <c r="C18" s="2" t="s">
        <v>23</v>
      </c>
      <c r="D18" s="2" t="s">
        <v>141</v>
      </c>
      <c r="E18" s="2" t="s">
        <v>32</v>
      </c>
      <c r="F18" s="20">
        <v>6.8181144425800699</v>
      </c>
      <c r="G18" s="2">
        <v>337.61</v>
      </c>
      <c r="H18" s="2">
        <v>439.81</v>
      </c>
      <c r="I18" s="2">
        <v>403.23</v>
      </c>
      <c r="J18" s="2">
        <v>467.14</v>
      </c>
      <c r="K18" s="3">
        <v>513.37</v>
      </c>
      <c r="L18" s="2">
        <v>518.4</v>
      </c>
      <c r="M18" s="2">
        <v>479.54</v>
      </c>
      <c r="N18" s="2">
        <v>573.36</v>
      </c>
      <c r="O18" s="2">
        <v>710.43</v>
      </c>
      <c r="P18" s="2">
        <v>736.52</v>
      </c>
      <c r="Q18" s="2">
        <v>719.92</v>
      </c>
      <c r="R18" s="2">
        <v>635.57000000000005</v>
      </c>
      <c r="S18" s="2">
        <v>679.36</v>
      </c>
      <c r="T18" s="2">
        <v>924.34</v>
      </c>
      <c r="U18" s="2">
        <v>864.25</v>
      </c>
      <c r="V18" s="2">
        <v>905.27</v>
      </c>
      <c r="W18" s="2">
        <v>909.35</v>
      </c>
    </row>
    <row r="19" spans="2:23" x14ac:dyDescent="0.3">
      <c r="B19" s="19" t="s">
        <v>81</v>
      </c>
      <c r="C19" s="2" t="s">
        <v>23</v>
      </c>
      <c r="D19" s="2" t="s">
        <v>65</v>
      </c>
      <c r="E19" s="2" t="s">
        <v>32</v>
      </c>
      <c r="F19" s="20">
        <v>5.4323536899273162</v>
      </c>
      <c r="G19" s="2">
        <v>261.36</v>
      </c>
      <c r="H19" s="2">
        <v>246.21</v>
      </c>
      <c r="I19" s="2">
        <v>239.62</v>
      </c>
      <c r="J19" s="2">
        <v>263.27</v>
      </c>
      <c r="K19" s="2">
        <v>252.58</v>
      </c>
      <c r="L19" s="2">
        <v>242.57</v>
      </c>
      <c r="M19" s="2">
        <v>253.8</v>
      </c>
      <c r="N19" s="2">
        <v>270.95</v>
      </c>
      <c r="O19" s="2">
        <v>267.83</v>
      </c>
      <c r="P19" s="2">
        <v>280.27</v>
      </c>
      <c r="Q19" s="2">
        <v>299.24</v>
      </c>
      <c r="R19" s="2">
        <v>323.45</v>
      </c>
      <c r="S19" s="2">
        <v>336.05</v>
      </c>
      <c r="T19" s="2">
        <v>345.64</v>
      </c>
      <c r="U19" s="2">
        <v>358.68</v>
      </c>
      <c r="V19" s="2">
        <v>373.75</v>
      </c>
      <c r="W19" s="2">
        <v>412.87</v>
      </c>
    </row>
    <row r="20" spans="2:23" x14ac:dyDescent="0.3">
      <c r="B20" s="19" t="s">
        <v>94</v>
      </c>
      <c r="C20" s="2" t="s">
        <v>23</v>
      </c>
      <c r="D20" s="2" t="s">
        <v>95</v>
      </c>
      <c r="E20" s="2" t="s">
        <v>143</v>
      </c>
      <c r="F20" s="20">
        <v>5.0676047048477502</v>
      </c>
      <c r="G20" s="2">
        <v>3116</v>
      </c>
      <c r="H20" s="2">
        <v>2802</v>
      </c>
      <c r="I20" s="2">
        <v>2628</v>
      </c>
      <c r="J20" s="2">
        <v>2035</v>
      </c>
      <c r="K20" s="2">
        <v>1887</v>
      </c>
      <c r="L20" s="2">
        <v>1860</v>
      </c>
      <c r="M20" s="2">
        <v>1602</v>
      </c>
      <c r="N20" s="2">
        <v>1454</v>
      </c>
      <c r="O20" s="2">
        <v>1555</v>
      </c>
      <c r="P20" s="2">
        <v>1655</v>
      </c>
      <c r="Q20" s="2">
        <v>1887</v>
      </c>
      <c r="R20" s="3">
        <v>2168</v>
      </c>
      <c r="S20" s="3">
        <v>2325</v>
      </c>
      <c r="T20" s="2">
        <v>2160</v>
      </c>
      <c r="U20" s="2">
        <v>2444</v>
      </c>
      <c r="V20" s="2">
        <v>2629</v>
      </c>
      <c r="W20" s="2">
        <v>2825</v>
      </c>
    </row>
    <row r="21" spans="2:23" x14ac:dyDescent="0.3">
      <c r="B21" s="19" t="s">
        <v>118</v>
      </c>
      <c r="C21" s="2" t="s">
        <v>23</v>
      </c>
      <c r="D21" s="2" t="s">
        <v>87</v>
      </c>
      <c r="E21" s="2" t="s">
        <v>32</v>
      </c>
      <c r="F21" s="20">
        <v>4.6722149218863862</v>
      </c>
      <c r="G21" s="2">
        <v>202.38</v>
      </c>
      <c r="H21" s="2">
        <v>205.95</v>
      </c>
      <c r="I21" s="2">
        <v>197.98</v>
      </c>
      <c r="J21" s="2">
        <v>188.06</v>
      </c>
      <c r="K21" s="2">
        <v>195.07</v>
      </c>
      <c r="L21" s="2">
        <v>203.48</v>
      </c>
      <c r="M21" s="2">
        <v>198.15</v>
      </c>
      <c r="N21" s="2">
        <v>201</v>
      </c>
      <c r="O21" s="2">
        <v>216.81</v>
      </c>
      <c r="P21" s="2">
        <v>223.29</v>
      </c>
      <c r="Q21" s="2">
        <v>224.67</v>
      </c>
      <c r="R21" s="2">
        <v>233.28</v>
      </c>
      <c r="S21" s="2">
        <v>262.63</v>
      </c>
      <c r="T21" s="2">
        <v>275.04000000000002</v>
      </c>
      <c r="U21" s="2">
        <v>281.98</v>
      </c>
      <c r="V21" s="2">
        <v>276.19</v>
      </c>
      <c r="W21" s="2">
        <v>313.83</v>
      </c>
    </row>
    <row r="22" spans="2:23" x14ac:dyDescent="0.3">
      <c r="B22" s="19" t="s">
        <v>56</v>
      </c>
      <c r="C22" s="2" t="s">
        <v>23</v>
      </c>
      <c r="D22" s="2" t="s">
        <v>27</v>
      </c>
      <c r="E22" s="2" t="s">
        <v>32</v>
      </c>
      <c r="F22" s="20">
        <v>4.4085318757055569</v>
      </c>
      <c r="G22" s="2">
        <v>72.72</v>
      </c>
      <c r="H22" s="2">
        <v>64.28</v>
      </c>
      <c r="I22" s="2">
        <v>70.98</v>
      </c>
      <c r="J22" s="2">
        <v>81.86</v>
      </c>
      <c r="K22" s="2">
        <v>86.44</v>
      </c>
      <c r="L22" s="2">
        <v>78.72</v>
      </c>
      <c r="M22" s="2">
        <v>82.12</v>
      </c>
      <c r="N22" s="2">
        <v>78.040000000000006</v>
      </c>
      <c r="O22" s="2">
        <v>98.27</v>
      </c>
      <c r="P22" s="2">
        <v>78.59</v>
      </c>
      <c r="Q22" s="2">
        <v>81.56</v>
      </c>
      <c r="R22" s="2">
        <v>83.4</v>
      </c>
      <c r="S22" s="2">
        <v>86.68</v>
      </c>
      <c r="T22" s="2">
        <v>72.64</v>
      </c>
      <c r="U22" s="2">
        <v>80.150000000000006</v>
      </c>
      <c r="V22" s="2">
        <v>97.15</v>
      </c>
      <c r="W22" s="2">
        <v>101.52</v>
      </c>
    </row>
    <row r="23" spans="2:23" hidden="1" x14ac:dyDescent="0.3">
      <c r="B23" s="2" t="s">
        <v>57</v>
      </c>
      <c r="C23" s="2" t="s">
        <v>39</v>
      </c>
      <c r="D23" s="2" t="s">
        <v>40</v>
      </c>
      <c r="E23" s="2" t="s">
        <v>25</v>
      </c>
      <c r="F23" s="2">
        <v>5.8255312825085559</v>
      </c>
      <c r="G23" s="2">
        <v>775.68</v>
      </c>
      <c r="H23" s="2">
        <v>887.76</v>
      </c>
      <c r="I23" s="2">
        <v>931.41</v>
      </c>
      <c r="J23" s="2">
        <v>827.8</v>
      </c>
      <c r="K23" s="2">
        <v>878.87</v>
      </c>
      <c r="L23" s="2">
        <v>972.08</v>
      </c>
      <c r="M23" s="2">
        <v>958.65</v>
      </c>
      <c r="N23" s="2">
        <v>860.7</v>
      </c>
      <c r="O23" s="3">
        <v>3143</v>
      </c>
      <c r="P23" s="2">
        <v>1386</v>
      </c>
      <c r="Q23" s="2">
        <v>1453</v>
      </c>
      <c r="R23" s="2">
        <v>1412</v>
      </c>
      <c r="S23" s="2">
        <v>1542</v>
      </c>
      <c r="T23" s="2">
        <v>1762</v>
      </c>
      <c r="U23" s="2">
        <v>1695</v>
      </c>
      <c r="V23" s="2">
        <v>1730</v>
      </c>
      <c r="W23" s="2">
        <v>1934</v>
      </c>
    </row>
    <row r="24" spans="2:23" x14ac:dyDescent="0.3">
      <c r="B24" s="19" t="s">
        <v>106</v>
      </c>
      <c r="C24" s="2" t="s">
        <v>23</v>
      </c>
      <c r="D24" s="2" t="s">
        <v>107</v>
      </c>
      <c r="E24" s="2" t="s">
        <v>32</v>
      </c>
      <c r="F24" s="20">
        <v>4.2398661495170797</v>
      </c>
      <c r="G24" s="2">
        <v>5046</v>
      </c>
      <c r="H24" s="2">
        <v>2890</v>
      </c>
      <c r="I24" s="2">
        <v>5183</v>
      </c>
      <c r="J24" s="2">
        <v>6719</v>
      </c>
      <c r="K24" s="2">
        <v>6164</v>
      </c>
      <c r="L24" s="3">
        <v>6716</v>
      </c>
      <c r="M24" s="2">
        <v>7349</v>
      </c>
      <c r="N24" s="2">
        <v>7172</v>
      </c>
      <c r="O24" s="2">
        <v>6878</v>
      </c>
      <c r="P24" s="2">
        <v>5731</v>
      </c>
      <c r="Q24" s="2">
        <v>6069</v>
      </c>
      <c r="R24" s="2">
        <v>7567</v>
      </c>
      <c r="S24" s="2">
        <v>5385</v>
      </c>
      <c r="T24" s="2">
        <v>6247</v>
      </c>
      <c r="U24" s="2">
        <v>6700</v>
      </c>
      <c r="V24" s="2">
        <v>7966</v>
      </c>
      <c r="W24" s="2">
        <v>6500</v>
      </c>
    </row>
    <row r="25" spans="2:23" hidden="1" x14ac:dyDescent="0.3">
      <c r="B25" s="2" t="s">
        <v>59</v>
      </c>
      <c r="C25" s="2" t="s">
        <v>39</v>
      </c>
      <c r="D25" s="2" t="s">
        <v>40</v>
      </c>
      <c r="E25" s="2" t="s">
        <v>25</v>
      </c>
      <c r="F25" s="2">
        <v>4.6408101942017721</v>
      </c>
      <c r="G25" s="2">
        <v>2992</v>
      </c>
      <c r="H25" s="2">
        <v>3008</v>
      </c>
      <c r="I25" s="2">
        <v>3133</v>
      </c>
      <c r="J25" s="2">
        <v>3269</v>
      </c>
      <c r="K25" s="2">
        <v>3434</v>
      </c>
      <c r="L25" s="2">
        <v>3726</v>
      </c>
      <c r="M25" s="2">
        <v>4163</v>
      </c>
      <c r="N25" s="2">
        <v>3911</v>
      </c>
      <c r="O25" s="2">
        <v>3768</v>
      </c>
      <c r="P25" s="2">
        <v>3693</v>
      </c>
      <c r="Q25" s="2">
        <v>4127</v>
      </c>
      <c r="R25" s="2">
        <v>3940</v>
      </c>
      <c r="S25" s="2">
        <v>4068</v>
      </c>
      <c r="T25" s="2">
        <v>4255</v>
      </c>
      <c r="U25" s="2">
        <v>4972</v>
      </c>
      <c r="V25" s="2">
        <v>4676</v>
      </c>
      <c r="W25" s="2">
        <v>4902</v>
      </c>
    </row>
    <row r="26" spans="2:23" x14ac:dyDescent="0.3">
      <c r="B26" s="19" t="s">
        <v>72</v>
      </c>
      <c r="C26" s="2" t="s">
        <v>23</v>
      </c>
      <c r="D26" s="2" t="s">
        <v>27</v>
      </c>
      <c r="E26" s="2" t="s">
        <v>32</v>
      </c>
      <c r="F26" s="20">
        <v>3.8075908260604812</v>
      </c>
      <c r="G26" s="2">
        <v>74.739999999999995</v>
      </c>
      <c r="H26" s="2">
        <v>60.85</v>
      </c>
      <c r="I26" s="2">
        <v>66.760000000000005</v>
      </c>
      <c r="J26" s="2">
        <v>71.44</v>
      </c>
      <c r="K26" s="2">
        <v>71.97</v>
      </c>
      <c r="L26" s="2">
        <v>64.06</v>
      </c>
      <c r="M26" s="2">
        <v>61.49</v>
      </c>
      <c r="N26" s="2">
        <v>60.93</v>
      </c>
      <c r="O26" s="2">
        <v>62.69</v>
      </c>
      <c r="P26" s="2">
        <v>58.16</v>
      </c>
      <c r="Q26" s="2">
        <v>55.72</v>
      </c>
      <c r="R26" s="2">
        <v>56.2</v>
      </c>
      <c r="S26" s="2">
        <v>59.86</v>
      </c>
      <c r="T26" s="2">
        <v>60.1</v>
      </c>
      <c r="U26" s="2">
        <v>57.58</v>
      </c>
      <c r="V26" s="2">
        <v>68.81</v>
      </c>
      <c r="W26" s="2">
        <v>69.239999999999995</v>
      </c>
    </row>
    <row r="27" spans="2:23" x14ac:dyDescent="0.3">
      <c r="B27" s="19" t="s">
        <v>26</v>
      </c>
      <c r="C27" s="2" t="s">
        <v>23</v>
      </c>
      <c r="D27" s="2" t="s">
        <v>27</v>
      </c>
      <c r="E27" s="2" t="s">
        <v>28</v>
      </c>
      <c r="F27" s="20">
        <v>3.5841529238580749</v>
      </c>
      <c r="G27" s="2">
        <v>98.97</v>
      </c>
      <c r="H27" s="2">
        <v>90.11</v>
      </c>
      <c r="I27" s="2">
        <v>93.99</v>
      </c>
      <c r="J27" s="2">
        <v>102.3</v>
      </c>
      <c r="K27" s="2">
        <v>103.09</v>
      </c>
      <c r="L27" s="2">
        <v>109.28</v>
      </c>
      <c r="M27" s="2">
        <v>119.55</v>
      </c>
      <c r="N27" s="2">
        <v>116.65</v>
      </c>
      <c r="O27" s="2">
        <v>121.79</v>
      </c>
      <c r="P27" s="2">
        <v>111.91</v>
      </c>
      <c r="Q27" s="2">
        <v>112.3</v>
      </c>
      <c r="R27" s="2">
        <v>110.47</v>
      </c>
      <c r="S27" s="2">
        <v>113.83</v>
      </c>
      <c r="T27" s="2">
        <v>112.07</v>
      </c>
      <c r="U27" s="2">
        <v>118.26</v>
      </c>
      <c r="V27" s="2">
        <v>124.57</v>
      </c>
      <c r="W27" s="2">
        <v>130.63</v>
      </c>
    </row>
    <row r="28" spans="2:23" hidden="1" x14ac:dyDescent="0.3">
      <c r="B28" s="2" t="s">
        <v>63</v>
      </c>
      <c r="C28" s="2" t="s">
        <v>39</v>
      </c>
      <c r="D28" s="2" t="s">
        <v>40</v>
      </c>
      <c r="E28" s="2" t="s">
        <v>25</v>
      </c>
      <c r="F28" s="2">
        <v>5.720851475568467</v>
      </c>
      <c r="G28" s="2">
        <v>762.58</v>
      </c>
      <c r="H28" s="2">
        <v>854.68</v>
      </c>
      <c r="I28" s="2">
        <v>1105</v>
      </c>
      <c r="J28" s="2">
        <v>999.21</v>
      </c>
      <c r="K28" s="2">
        <v>1120</v>
      </c>
      <c r="L28" s="2">
        <v>1158</v>
      </c>
      <c r="M28" s="2">
        <v>1362</v>
      </c>
      <c r="N28" s="2">
        <v>1232</v>
      </c>
      <c r="O28" s="2">
        <v>1355</v>
      </c>
      <c r="P28" s="2">
        <v>1440</v>
      </c>
      <c r="Q28" s="3">
        <v>1967</v>
      </c>
      <c r="R28" s="2">
        <v>1596</v>
      </c>
      <c r="S28" s="2">
        <v>1735</v>
      </c>
      <c r="T28" s="2">
        <v>1823</v>
      </c>
      <c r="U28" s="2">
        <v>2644</v>
      </c>
      <c r="V28" s="2">
        <v>2066</v>
      </c>
      <c r="W28" s="2">
        <v>2208</v>
      </c>
    </row>
    <row r="29" spans="2:23" x14ac:dyDescent="0.3">
      <c r="B29" s="19" t="s">
        <v>44</v>
      </c>
      <c r="C29" s="2" t="s">
        <v>23</v>
      </c>
      <c r="D29" s="2" t="s">
        <v>27</v>
      </c>
      <c r="E29" s="2" t="s">
        <v>32</v>
      </c>
      <c r="F29" s="20">
        <v>3.5738182860966421</v>
      </c>
      <c r="G29" s="2">
        <v>110.75</v>
      </c>
      <c r="H29" s="2">
        <v>121.08</v>
      </c>
      <c r="I29" s="2">
        <v>117.41</v>
      </c>
      <c r="J29" s="2">
        <v>129.52000000000001</v>
      </c>
      <c r="K29" s="2">
        <v>128.94</v>
      </c>
      <c r="L29" s="2">
        <v>124.48</v>
      </c>
      <c r="M29" s="2">
        <v>108.74</v>
      </c>
      <c r="N29" s="2">
        <v>103.02</v>
      </c>
      <c r="O29" s="2">
        <v>115.62</v>
      </c>
      <c r="P29" s="2">
        <v>114.8</v>
      </c>
      <c r="Q29" s="2">
        <v>94.08</v>
      </c>
      <c r="R29" s="3">
        <v>201.26</v>
      </c>
      <c r="S29" s="3">
        <v>197.03</v>
      </c>
      <c r="T29" s="3">
        <v>208.12</v>
      </c>
      <c r="U29" s="3">
        <v>217.06</v>
      </c>
      <c r="V29" s="2">
        <v>214.71</v>
      </c>
      <c r="W29" s="2">
        <v>226.94</v>
      </c>
    </row>
    <row r="30" spans="2:23" x14ac:dyDescent="0.3">
      <c r="B30" s="19" t="s">
        <v>110</v>
      </c>
      <c r="C30" s="2" t="s">
        <v>23</v>
      </c>
      <c r="D30" s="2" t="s">
        <v>109</v>
      </c>
      <c r="E30" s="2" t="s">
        <v>32</v>
      </c>
      <c r="F30" s="20">
        <v>3.041122017025621</v>
      </c>
      <c r="G30" s="2">
        <v>17044</v>
      </c>
      <c r="H30" s="2">
        <v>15716</v>
      </c>
      <c r="I30" s="2">
        <v>16314</v>
      </c>
      <c r="J30" s="2">
        <v>16951</v>
      </c>
      <c r="K30" s="2">
        <v>18093</v>
      </c>
      <c r="L30" s="2">
        <v>17214</v>
      </c>
      <c r="M30" s="2">
        <v>18315</v>
      </c>
      <c r="N30" s="2">
        <v>13464</v>
      </c>
      <c r="O30" s="2">
        <v>19927</v>
      </c>
      <c r="P30" s="2">
        <v>19305</v>
      </c>
      <c r="Q30" s="2">
        <v>19721</v>
      </c>
      <c r="R30" s="2">
        <v>20089</v>
      </c>
      <c r="S30" s="2">
        <v>21623</v>
      </c>
      <c r="T30" s="2">
        <v>20306</v>
      </c>
      <c r="U30" s="2">
        <v>21581</v>
      </c>
      <c r="V30" s="2">
        <v>22478</v>
      </c>
      <c r="W30" s="2">
        <v>24238</v>
      </c>
    </row>
    <row r="31" spans="2:23" hidden="1" x14ac:dyDescent="0.3">
      <c r="B31" s="2" t="s">
        <v>67</v>
      </c>
      <c r="C31" s="2" t="s">
        <v>23</v>
      </c>
      <c r="D31" s="2" t="s">
        <v>27</v>
      </c>
      <c r="E31" s="2" t="s">
        <v>25</v>
      </c>
      <c r="F31" s="2">
        <v>4.5894012454869237</v>
      </c>
      <c r="G31" s="2">
        <v>150.91</v>
      </c>
      <c r="H31" s="2">
        <v>144.91999999999999</v>
      </c>
      <c r="I31" s="2">
        <v>155.34</v>
      </c>
      <c r="J31" s="2">
        <v>149.24</v>
      </c>
      <c r="K31" s="2">
        <v>155.01</v>
      </c>
      <c r="L31" s="2">
        <v>160.62</v>
      </c>
      <c r="M31" s="2">
        <v>139.82</v>
      </c>
      <c r="N31" s="2">
        <v>136.78</v>
      </c>
      <c r="O31" s="2">
        <v>124.89</v>
      </c>
      <c r="P31" s="2">
        <v>138.76</v>
      </c>
      <c r="Q31" s="2">
        <v>118.6</v>
      </c>
      <c r="R31" s="2">
        <v>113.25</v>
      </c>
      <c r="S31" s="2">
        <v>111.16</v>
      </c>
      <c r="T31" s="2">
        <v>114.64</v>
      </c>
      <c r="U31" s="2">
        <v>109.74</v>
      </c>
      <c r="V31" s="2">
        <v>77.150000000000006</v>
      </c>
      <c r="W31" s="2">
        <v>130.1</v>
      </c>
    </row>
    <row r="32" spans="2:23" x14ac:dyDescent="0.3">
      <c r="B32" s="19" t="s">
        <v>111</v>
      </c>
      <c r="C32" s="2" t="s">
        <v>23</v>
      </c>
      <c r="D32" s="2" t="s">
        <v>112</v>
      </c>
      <c r="E32" s="2" t="s">
        <v>143</v>
      </c>
      <c r="F32" s="20">
        <v>2.91874991130936</v>
      </c>
      <c r="G32" s="2">
        <v>73743</v>
      </c>
      <c r="H32" s="2">
        <v>80149</v>
      </c>
      <c r="I32" s="2">
        <v>80332</v>
      </c>
      <c r="J32" s="2">
        <v>80894</v>
      </c>
      <c r="K32" s="2">
        <v>82787</v>
      </c>
      <c r="L32" s="2">
        <v>91931</v>
      </c>
      <c r="M32" s="2">
        <v>92903</v>
      </c>
      <c r="N32" s="2">
        <v>92361</v>
      </c>
      <c r="O32" s="2">
        <v>94427</v>
      </c>
      <c r="P32" s="2">
        <v>99796</v>
      </c>
      <c r="Q32" s="2">
        <v>98855</v>
      </c>
      <c r="R32" s="2">
        <v>100820</v>
      </c>
      <c r="S32" s="2">
        <v>100807</v>
      </c>
      <c r="T32" s="2">
        <v>109575</v>
      </c>
      <c r="U32" s="2">
        <v>111616</v>
      </c>
      <c r="V32" s="2">
        <v>113161</v>
      </c>
      <c r="W32" s="2">
        <v>113215</v>
      </c>
    </row>
    <row r="33" spans="2:23" x14ac:dyDescent="0.3">
      <c r="B33" s="19" t="s">
        <v>49</v>
      </c>
      <c r="C33" s="2" t="s">
        <v>23</v>
      </c>
      <c r="D33" s="2" t="s">
        <v>27</v>
      </c>
      <c r="E33" s="2" t="s">
        <v>32</v>
      </c>
      <c r="F33" s="20">
        <v>2.626663403197349</v>
      </c>
      <c r="G33" s="2">
        <v>157.52000000000001</v>
      </c>
      <c r="H33" s="2">
        <v>159.63999999999999</v>
      </c>
      <c r="I33" s="2">
        <v>161.19999999999999</v>
      </c>
      <c r="J33" s="2">
        <v>170.58</v>
      </c>
      <c r="K33" s="2">
        <v>173.16</v>
      </c>
      <c r="L33" s="2">
        <v>120.78</v>
      </c>
      <c r="M33" s="2">
        <v>174.51</v>
      </c>
      <c r="N33" s="2">
        <v>172.49</v>
      </c>
      <c r="O33" s="2">
        <v>172.89</v>
      </c>
      <c r="P33" s="2">
        <v>171.13</v>
      </c>
      <c r="Q33" s="2">
        <v>181.09</v>
      </c>
      <c r="R33" s="2">
        <v>181.23</v>
      </c>
      <c r="S33" s="2">
        <v>190.08</v>
      </c>
      <c r="T33" s="2">
        <v>189.56</v>
      </c>
      <c r="U33" s="2">
        <v>195.14</v>
      </c>
      <c r="V33" s="2">
        <v>201.49</v>
      </c>
      <c r="W33" s="2">
        <v>210.47</v>
      </c>
    </row>
    <row r="34" spans="2:23" hidden="1" x14ac:dyDescent="0.3">
      <c r="B34" s="2" t="s">
        <v>70</v>
      </c>
      <c r="C34" s="2" t="s">
        <v>23</v>
      </c>
      <c r="D34" s="2" t="s">
        <v>71</v>
      </c>
      <c r="E34" s="2" t="s">
        <v>25</v>
      </c>
      <c r="F34" s="2">
        <v>-6.7910968087959152</v>
      </c>
      <c r="G34" s="2">
        <v>152.61000000000001</v>
      </c>
      <c r="H34" s="2">
        <v>148.13999999999999</v>
      </c>
      <c r="I34" s="2">
        <v>151.28</v>
      </c>
      <c r="J34" s="2">
        <v>187.82</v>
      </c>
      <c r="K34" s="3">
        <v>273.98</v>
      </c>
      <c r="L34" s="3">
        <v>354.92</v>
      </c>
      <c r="M34" s="3">
        <v>330.92</v>
      </c>
      <c r="N34" s="3">
        <v>306.17</v>
      </c>
      <c r="O34" s="2">
        <v>295.02999999999997</v>
      </c>
      <c r="P34" s="2">
        <v>275.35000000000002</v>
      </c>
      <c r="Q34" s="2">
        <v>270.32</v>
      </c>
      <c r="R34" s="2">
        <v>274.75</v>
      </c>
      <c r="S34" s="2">
        <v>259.86</v>
      </c>
      <c r="T34" s="2">
        <v>242.58</v>
      </c>
      <c r="U34" s="2">
        <v>219.42</v>
      </c>
      <c r="V34" s="2">
        <v>210.39</v>
      </c>
      <c r="W34" s="2">
        <v>196.55</v>
      </c>
    </row>
    <row r="35" spans="2:23" x14ac:dyDescent="0.3">
      <c r="B35" s="19" t="s">
        <v>113</v>
      </c>
      <c r="C35" s="2" t="s">
        <v>23</v>
      </c>
      <c r="D35" s="2" t="s">
        <v>109</v>
      </c>
      <c r="E35" s="2" t="s">
        <v>32</v>
      </c>
      <c r="F35" s="20">
        <v>2.506841282251759</v>
      </c>
      <c r="G35" s="2">
        <v>8639</v>
      </c>
      <c r="H35" s="2">
        <v>8797</v>
      </c>
      <c r="I35" s="2">
        <v>8801</v>
      </c>
      <c r="J35" s="2">
        <v>8971</v>
      </c>
      <c r="K35" s="2">
        <v>10033</v>
      </c>
      <c r="L35" s="2">
        <v>9301</v>
      </c>
      <c r="M35" s="2">
        <v>9576</v>
      </c>
      <c r="N35" s="2">
        <v>9775</v>
      </c>
      <c r="O35" s="2">
        <v>10638</v>
      </c>
      <c r="P35" s="2">
        <v>10133</v>
      </c>
      <c r="Q35" s="2">
        <v>10218</v>
      </c>
      <c r="R35" s="2">
        <v>9996</v>
      </c>
      <c r="S35" s="2">
        <v>10686</v>
      </c>
      <c r="T35" s="2">
        <v>9468</v>
      </c>
      <c r="U35" s="2">
        <v>10351</v>
      </c>
      <c r="V35" s="2">
        <v>10423</v>
      </c>
      <c r="W35" s="2">
        <v>11712</v>
      </c>
    </row>
    <row r="36" spans="2:23" hidden="1" x14ac:dyDescent="0.3">
      <c r="B36" s="2" t="s">
        <v>73</v>
      </c>
      <c r="C36" s="2" t="s">
        <v>23</v>
      </c>
      <c r="D36" s="2" t="s">
        <v>74</v>
      </c>
      <c r="E36" s="2" t="s">
        <v>25</v>
      </c>
      <c r="F36" s="2">
        <v>-0.32336297493936739</v>
      </c>
      <c r="G36" s="2">
        <v>252</v>
      </c>
      <c r="H36" s="2">
        <v>231</v>
      </c>
      <c r="I36" s="2">
        <v>281</v>
      </c>
      <c r="J36" s="2">
        <v>362</v>
      </c>
      <c r="K36" s="2">
        <v>302</v>
      </c>
      <c r="L36" s="2">
        <v>0</v>
      </c>
      <c r="M36" s="2">
        <v>245</v>
      </c>
      <c r="N36" s="2">
        <v>294</v>
      </c>
      <c r="O36" s="2">
        <v>308</v>
      </c>
      <c r="P36" s="3">
        <v>231</v>
      </c>
      <c r="Q36" s="2">
        <v>257</v>
      </c>
      <c r="R36" s="2">
        <v>360</v>
      </c>
      <c r="S36" s="2">
        <v>319</v>
      </c>
      <c r="T36" s="2">
        <v>294</v>
      </c>
      <c r="U36" s="2">
        <v>282</v>
      </c>
      <c r="V36" s="2">
        <v>342</v>
      </c>
      <c r="W36" s="2">
        <v>315</v>
      </c>
    </row>
    <row r="37" spans="2:23" x14ac:dyDescent="0.3">
      <c r="B37" s="19" t="s">
        <v>137</v>
      </c>
      <c r="C37" s="2" t="s">
        <v>23</v>
      </c>
      <c r="D37" s="2" t="s">
        <v>48</v>
      </c>
      <c r="E37" s="2" t="s">
        <v>32</v>
      </c>
      <c r="F37" s="20">
        <v>2.4854634591266578</v>
      </c>
      <c r="G37" s="2">
        <v>2043</v>
      </c>
      <c r="H37" s="2">
        <v>2136</v>
      </c>
      <c r="I37" s="2">
        <v>2237</v>
      </c>
      <c r="J37" s="2">
        <v>2126</v>
      </c>
      <c r="K37" s="2">
        <v>1978</v>
      </c>
      <c r="L37" s="2">
        <v>1976</v>
      </c>
      <c r="M37" s="2">
        <v>1952</v>
      </c>
      <c r="N37" s="2">
        <v>1936</v>
      </c>
      <c r="O37" s="2">
        <v>1938</v>
      </c>
      <c r="P37" s="2">
        <v>1980</v>
      </c>
      <c r="Q37" s="2">
        <v>2075</v>
      </c>
      <c r="R37" s="2">
        <v>2182</v>
      </c>
      <c r="S37" s="2">
        <v>2146</v>
      </c>
      <c r="T37" s="2">
        <v>2141</v>
      </c>
      <c r="U37" s="2">
        <v>2171</v>
      </c>
      <c r="V37" s="2">
        <v>2313</v>
      </c>
      <c r="W37" s="2">
        <v>2364</v>
      </c>
    </row>
    <row r="38" spans="2:23" hidden="1" x14ac:dyDescent="0.3">
      <c r="B38" s="2" t="s">
        <v>77</v>
      </c>
      <c r="C38" s="2" t="s">
        <v>39</v>
      </c>
      <c r="D38" s="2" t="s">
        <v>40</v>
      </c>
      <c r="E38" s="2" t="s">
        <v>25</v>
      </c>
      <c r="F38" s="2">
        <v>67.4512194001464</v>
      </c>
      <c r="G38" s="2">
        <v>144.1</v>
      </c>
      <c r="H38" s="2">
        <v>145.52000000000001</v>
      </c>
      <c r="I38" s="2">
        <v>365.11</v>
      </c>
      <c r="J38" s="2">
        <v>186.42</v>
      </c>
      <c r="K38" s="2">
        <v>168.24</v>
      </c>
      <c r="L38" s="2">
        <v>200.94</v>
      </c>
      <c r="M38" s="2">
        <v>354.6</v>
      </c>
      <c r="N38" s="2">
        <v>240.07</v>
      </c>
      <c r="O38" s="2">
        <v>243.91</v>
      </c>
      <c r="P38" s="2">
        <v>253.07</v>
      </c>
      <c r="Q38" s="3">
        <v>2176</v>
      </c>
      <c r="R38" s="2">
        <v>427.91</v>
      </c>
      <c r="S38" s="2">
        <v>298.63</v>
      </c>
      <c r="T38" s="2">
        <v>325.83999999999997</v>
      </c>
      <c r="U38" s="2">
        <v>496.66</v>
      </c>
      <c r="V38" s="3">
        <v>2144</v>
      </c>
      <c r="W38" s="3">
        <v>2501</v>
      </c>
    </row>
    <row r="39" spans="2:23" hidden="1" x14ac:dyDescent="0.3">
      <c r="B39" s="2" t="s">
        <v>78</v>
      </c>
      <c r="C39" s="2" t="s">
        <v>39</v>
      </c>
      <c r="D39" s="2" t="s">
        <v>40</v>
      </c>
      <c r="E39" s="2" t="s">
        <v>25</v>
      </c>
      <c r="F39" s="2">
        <v>2.9455121205503421</v>
      </c>
      <c r="G39" s="2">
        <v>3585</v>
      </c>
      <c r="H39" s="2">
        <v>4177</v>
      </c>
      <c r="I39" s="2">
        <v>4655</v>
      </c>
      <c r="J39" s="2">
        <v>3769</v>
      </c>
      <c r="K39" s="2">
        <v>4287</v>
      </c>
      <c r="L39" s="2">
        <v>4543</v>
      </c>
      <c r="M39" s="3">
        <v>7036</v>
      </c>
      <c r="N39" s="2">
        <v>4676</v>
      </c>
      <c r="O39" s="2">
        <v>5992</v>
      </c>
      <c r="P39" s="2">
        <v>6684</v>
      </c>
      <c r="Q39" s="2">
        <v>8327</v>
      </c>
      <c r="R39" s="2">
        <v>5581</v>
      </c>
      <c r="S39" s="2">
        <v>8435</v>
      </c>
      <c r="T39" s="2">
        <v>7676</v>
      </c>
      <c r="U39" s="3">
        <v>13083</v>
      </c>
      <c r="V39" s="2">
        <v>7438</v>
      </c>
      <c r="W39" s="2">
        <v>9514</v>
      </c>
    </row>
    <row r="40" spans="2:23" x14ac:dyDescent="0.3">
      <c r="B40" s="19" t="s">
        <v>104</v>
      </c>
      <c r="C40" s="2" t="s">
        <v>23</v>
      </c>
      <c r="D40" s="2" t="s">
        <v>105</v>
      </c>
      <c r="E40" s="2" t="s">
        <v>32</v>
      </c>
      <c r="F40" s="20">
        <v>2.409359434727198</v>
      </c>
      <c r="G40" s="2">
        <v>4832</v>
      </c>
      <c r="H40" s="2">
        <v>4905</v>
      </c>
      <c r="I40" s="2">
        <v>5212</v>
      </c>
      <c r="J40" s="2">
        <v>5241</v>
      </c>
      <c r="K40" s="2">
        <v>4670</v>
      </c>
      <c r="L40" s="2">
        <v>4379</v>
      </c>
      <c r="M40" s="2">
        <v>4531</v>
      </c>
      <c r="N40" s="2">
        <v>4532</v>
      </c>
      <c r="O40" s="2">
        <v>4077</v>
      </c>
      <c r="P40" s="2">
        <v>3661</v>
      </c>
      <c r="Q40" s="2">
        <v>3822</v>
      </c>
      <c r="R40" s="2">
        <v>4151</v>
      </c>
      <c r="S40" s="2">
        <v>4007</v>
      </c>
      <c r="T40" s="2">
        <v>4069</v>
      </c>
      <c r="U40" s="2">
        <v>4448</v>
      </c>
      <c r="V40" s="2">
        <v>4742</v>
      </c>
      <c r="W40" s="2">
        <v>4423</v>
      </c>
    </row>
    <row r="41" spans="2:23" x14ac:dyDescent="0.3">
      <c r="B41" s="19" t="s">
        <v>86</v>
      </c>
      <c r="C41" s="2" t="s">
        <v>23</v>
      </c>
      <c r="D41" s="2" t="s">
        <v>87</v>
      </c>
      <c r="E41" s="2" t="s">
        <v>32</v>
      </c>
      <c r="F41" s="20">
        <v>2.3569023569023568</v>
      </c>
      <c r="G41" s="2">
        <v>1257</v>
      </c>
      <c r="H41" s="2">
        <v>1280</v>
      </c>
      <c r="I41" s="2">
        <v>1311</v>
      </c>
      <c r="J41" s="2">
        <v>1350</v>
      </c>
      <c r="K41" s="2">
        <v>1431</v>
      </c>
      <c r="L41" s="2">
        <v>1470</v>
      </c>
      <c r="M41" s="2">
        <v>1531</v>
      </c>
      <c r="N41" s="2">
        <v>1563</v>
      </c>
      <c r="O41" s="2">
        <v>1614</v>
      </c>
      <c r="P41" s="2">
        <v>1681</v>
      </c>
      <c r="Q41" s="2">
        <v>1717</v>
      </c>
      <c r="R41" s="2">
        <v>1765</v>
      </c>
      <c r="S41" s="2">
        <v>1877</v>
      </c>
      <c r="T41" s="2">
        <v>1883</v>
      </c>
      <c r="U41" s="2">
        <v>1944</v>
      </c>
      <c r="V41" s="2">
        <v>2018</v>
      </c>
      <c r="W41" s="2">
        <v>2059</v>
      </c>
    </row>
    <row r="42" spans="2:23" x14ac:dyDescent="0.3">
      <c r="B42" s="19" t="s">
        <v>54</v>
      </c>
      <c r="C42" s="2" t="s">
        <v>23</v>
      </c>
      <c r="D42" s="2" t="s">
        <v>55</v>
      </c>
      <c r="E42" s="2" t="s">
        <v>32</v>
      </c>
      <c r="F42" s="20">
        <v>2.2608449908153139</v>
      </c>
      <c r="G42" s="2">
        <v>2005</v>
      </c>
      <c r="H42" s="2">
        <v>1793</v>
      </c>
      <c r="I42" s="2">
        <v>2073</v>
      </c>
      <c r="J42" s="2">
        <v>2353</v>
      </c>
      <c r="K42" s="2">
        <v>2419</v>
      </c>
      <c r="L42" s="2">
        <v>2197</v>
      </c>
      <c r="M42" s="2">
        <v>2237</v>
      </c>
      <c r="N42" s="2">
        <v>2269</v>
      </c>
      <c r="O42" s="2">
        <v>2312</v>
      </c>
      <c r="P42" s="2">
        <v>1758</v>
      </c>
      <c r="Q42" s="2">
        <v>1987</v>
      </c>
      <c r="R42" s="2">
        <v>1747</v>
      </c>
      <c r="S42" s="2">
        <v>1782</v>
      </c>
      <c r="T42" s="2">
        <v>1558</v>
      </c>
      <c r="U42" s="2">
        <v>1876</v>
      </c>
      <c r="V42" s="2">
        <v>1861</v>
      </c>
      <c r="W42" s="2">
        <v>1942</v>
      </c>
    </row>
    <row r="43" spans="2:23" hidden="1" x14ac:dyDescent="0.3">
      <c r="B43" s="2" t="s">
        <v>82</v>
      </c>
      <c r="C43" s="2" t="s">
        <v>39</v>
      </c>
      <c r="D43" s="2" t="s">
        <v>40</v>
      </c>
      <c r="E43" s="2" t="s">
        <v>25</v>
      </c>
      <c r="F43" s="2">
        <v>2.362425516999656</v>
      </c>
      <c r="G43" s="2">
        <v>7604</v>
      </c>
      <c r="H43" s="2">
        <v>7696</v>
      </c>
      <c r="I43" s="2">
        <v>7805</v>
      </c>
      <c r="J43" s="2">
        <v>8599</v>
      </c>
      <c r="K43" s="2">
        <v>8959</v>
      </c>
      <c r="L43" s="2">
        <v>9062</v>
      </c>
      <c r="M43" s="2">
        <v>8999</v>
      </c>
      <c r="N43" s="2">
        <v>9676</v>
      </c>
      <c r="O43" s="2">
        <v>9218</v>
      </c>
      <c r="P43" s="2">
        <v>9876</v>
      </c>
      <c r="Q43" s="2">
        <v>9888</v>
      </c>
      <c r="R43" s="2">
        <v>9825</v>
      </c>
      <c r="S43" s="2">
        <v>10545</v>
      </c>
      <c r="T43" s="2">
        <v>10449</v>
      </c>
      <c r="U43" s="2">
        <v>10993</v>
      </c>
      <c r="V43" s="2">
        <v>10808</v>
      </c>
      <c r="W43" s="2">
        <v>11556</v>
      </c>
    </row>
    <row r="44" spans="2:23" hidden="1" x14ac:dyDescent="0.3">
      <c r="B44" s="2" t="s">
        <v>83</v>
      </c>
      <c r="C44" s="2" t="s">
        <v>23</v>
      </c>
      <c r="D44" s="2" t="s">
        <v>84</v>
      </c>
      <c r="E44" s="2" t="s">
        <v>85</v>
      </c>
      <c r="F44" s="2">
        <v>0.81601553378967129</v>
      </c>
      <c r="G44" s="2">
        <v>16457</v>
      </c>
      <c r="H44" s="2">
        <v>16320</v>
      </c>
      <c r="I44" s="2">
        <v>16902</v>
      </c>
      <c r="J44" s="2">
        <v>18957</v>
      </c>
      <c r="K44" s="2">
        <v>19127</v>
      </c>
      <c r="L44" s="2">
        <v>18594</v>
      </c>
      <c r="M44" s="2">
        <v>18876</v>
      </c>
      <c r="N44" s="2">
        <v>19729</v>
      </c>
      <c r="O44" s="2">
        <v>19620</v>
      </c>
      <c r="P44" s="2">
        <v>19288</v>
      </c>
      <c r="Q44" s="2">
        <v>19380</v>
      </c>
      <c r="R44" s="2">
        <v>20556</v>
      </c>
      <c r="S44" s="2">
        <v>20484</v>
      </c>
      <c r="T44" s="2">
        <v>20151</v>
      </c>
      <c r="U44" s="2">
        <v>19598</v>
      </c>
      <c r="V44" s="2">
        <v>21138</v>
      </c>
      <c r="W44" s="2">
        <v>21148</v>
      </c>
    </row>
    <row r="45" spans="2:23" x14ac:dyDescent="0.3">
      <c r="B45" s="19" t="s">
        <v>119</v>
      </c>
      <c r="C45" s="2" t="s">
        <v>23</v>
      </c>
      <c r="D45" s="2" t="s">
        <v>27</v>
      </c>
      <c r="E45" s="2" t="s">
        <v>32</v>
      </c>
      <c r="F45" s="20">
        <v>2.1713058078780318</v>
      </c>
      <c r="G45" s="2">
        <v>699.01</v>
      </c>
      <c r="H45" s="2">
        <v>664.5</v>
      </c>
      <c r="I45" s="2">
        <v>440.8</v>
      </c>
      <c r="J45" s="2">
        <v>830.83</v>
      </c>
      <c r="K45" s="3">
        <v>1045</v>
      </c>
      <c r="L45" s="2">
        <v>645.98</v>
      </c>
      <c r="M45" s="2">
        <v>654.95000000000005</v>
      </c>
      <c r="N45" s="2">
        <v>648.45000000000005</v>
      </c>
      <c r="O45" s="2">
        <v>613.05999999999995</v>
      </c>
      <c r="P45" s="2">
        <v>641.96</v>
      </c>
      <c r="Q45" s="2">
        <v>687.82</v>
      </c>
      <c r="R45" s="2">
        <v>665.11</v>
      </c>
      <c r="S45" s="2">
        <v>689.36</v>
      </c>
      <c r="T45" s="2">
        <v>693.58</v>
      </c>
      <c r="U45" s="2">
        <v>751.09</v>
      </c>
      <c r="V45" s="2">
        <v>742.58</v>
      </c>
      <c r="W45" s="2">
        <v>751.82</v>
      </c>
    </row>
    <row r="46" spans="2:23" x14ac:dyDescent="0.3">
      <c r="B46" s="19" t="s">
        <v>53</v>
      </c>
      <c r="C46" s="2" t="s">
        <v>23</v>
      </c>
      <c r="D46" s="2" t="s">
        <v>27</v>
      </c>
      <c r="E46" s="2" t="s">
        <v>32</v>
      </c>
      <c r="F46" s="20">
        <v>2.1348677830219209</v>
      </c>
      <c r="G46" s="2">
        <v>150.66999999999999</v>
      </c>
      <c r="H46" s="2">
        <v>155.43</v>
      </c>
      <c r="I46" s="2">
        <v>164.78</v>
      </c>
      <c r="J46" s="2">
        <v>177.12</v>
      </c>
      <c r="K46" s="2">
        <v>179.64</v>
      </c>
      <c r="L46" s="2">
        <v>173.67</v>
      </c>
      <c r="M46" s="2">
        <v>169.28</v>
      </c>
      <c r="N46" s="2">
        <v>167.13</v>
      </c>
      <c r="O46" s="2">
        <v>166.65</v>
      </c>
      <c r="P46" s="2">
        <v>164.67</v>
      </c>
      <c r="Q46" s="2">
        <v>-19.989999999999998</v>
      </c>
      <c r="R46" s="2">
        <v>185.73</v>
      </c>
      <c r="S46" s="2">
        <v>189.34</v>
      </c>
      <c r="T46" s="2">
        <v>189.35</v>
      </c>
      <c r="U46" s="3">
        <v>193.97</v>
      </c>
      <c r="V46" s="2">
        <v>200.69</v>
      </c>
      <c r="W46" s="2">
        <v>205.85</v>
      </c>
    </row>
    <row r="47" spans="2:23" x14ac:dyDescent="0.3">
      <c r="B47" s="19" t="s">
        <v>120</v>
      </c>
      <c r="C47" s="2" t="s">
        <v>23</v>
      </c>
      <c r="D47" s="2" t="s">
        <v>105</v>
      </c>
      <c r="E47" s="2" t="s">
        <v>121</v>
      </c>
      <c r="F47" s="20">
        <v>2.0919485638325459</v>
      </c>
      <c r="G47" s="2">
        <v>1114</v>
      </c>
      <c r="H47" s="2">
        <v>1166</v>
      </c>
      <c r="I47" s="2">
        <v>1035</v>
      </c>
      <c r="J47" s="2">
        <v>1158</v>
      </c>
      <c r="K47" s="2">
        <v>743.28</v>
      </c>
      <c r="L47" s="2">
        <v>632.70000000000005</v>
      </c>
      <c r="M47" s="2">
        <v>651.16</v>
      </c>
      <c r="N47" s="2">
        <v>1103</v>
      </c>
      <c r="O47" s="3">
        <v>1074</v>
      </c>
      <c r="P47" s="2">
        <v>940.99</v>
      </c>
      <c r="Q47" s="2">
        <v>886.67</v>
      </c>
      <c r="R47" s="2">
        <v>1047</v>
      </c>
      <c r="S47" s="2">
        <v>916.32</v>
      </c>
      <c r="T47" s="2">
        <v>869.47</v>
      </c>
      <c r="U47" s="2">
        <v>818.78</v>
      </c>
      <c r="V47" s="2">
        <v>1059</v>
      </c>
      <c r="W47" s="2">
        <v>992.96</v>
      </c>
    </row>
    <row r="48" spans="2:23" x14ac:dyDescent="0.3">
      <c r="B48" s="19" t="s">
        <v>66</v>
      </c>
      <c r="C48" s="2" t="s">
        <v>23</v>
      </c>
      <c r="D48" s="2" t="s">
        <v>27</v>
      </c>
      <c r="E48" s="2" t="s">
        <v>32</v>
      </c>
      <c r="F48" s="20">
        <v>1.93287505054589</v>
      </c>
      <c r="G48" s="2">
        <v>28.5</v>
      </c>
      <c r="H48" s="2">
        <v>29.72</v>
      </c>
      <c r="I48" s="2">
        <v>29.51</v>
      </c>
      <c r="J48" s="2">
        <v>30.01</v>
      </c>
      <c r="K48" s="2">
        <v>33.130000000000003</v>
      </c>
      <c r="L48" s="2">
        <v>31.64</v>
      </c>
      <c r="M48" s="2">
        <v>33.130000000000003</v>
      </c>
      <c r="N48" s="2">
        <v>32.01</v>
      </c>
      <c r="O48" s="2">
        <v>32.090000000000003</v>
      </c>
      <c r="P48" s="2">
        <v>33.21</v>
      </c>
      <c r="Q48" s="2">
        <v>32.46</v>
      </c>
      <c r="R48" s="3">
        <v>50.4</v>
      </c>
      <c r="S48" s="3">
        <v>60.07</v>
      </c>
      <c r="T48" s="3">
        <v>60.94</v>
      </c>
      <c r="U48" s="3">
        <v>62.32</v>
      </c>
      <c r="V48" s="2">
        <v>63.97</v>
      </c>
      <c r="W48" s="2">
        <v>64.849999999999994</v>
      </c>
    </row>
    <row r="49" spans="2:23" x14ac:dyDescent="0.3">
      <c r="B49" s="19" t="s">
        <v>124</v>
      </c>
      <c r="C49" s="2" t="s">
        <v>23</v>
      </c>
      <c r="D49" s="2" t="s">
        <v>125</v>
      </c>
      <c r="E49" s="2" t="s">
        <v>32</v>
      </c>
      <c r="F49" s="20">
        <v>1.9292604501607751</v>
      </c>
      <c r="G49" s="2">
        <v>876.87</v>
      </c>
      <c r="H49" s="2">
        <v>980.66</v>
      </c>
      <c r="I49" s="2">
        <v>1061</v>
      </c>
      <c r="J49" s="2">
        <v>1062</v>
      </c>
      <c r="K49" s="2">
        <v>1060</v>
      </c>
      <c r="L49" s="2">
        <v>1132</v>
      </c>
      <c r="M49" s="2">
        <v>1158</v>
      </c>
      <c r="N49" s="2">
        <v>1095</v>
      </c>
      <c r="O49" s="2">
        <v>1077</v>
      </c>
      <c r="P49" s="2">
        <v>1146</v>
      </c>
      <c r="Q49" s="2">
        <v>1161</v>
      </c>
      <c r="R49" s="2">
        <v>1099</v>
      </c>
      <c r="S49" s="2">
        <v>1073</v>
      </c>
      <c r="T49" s="2">
        <v>1167</v>
      </c>
      <c r="U49" s="2">
        <v>1225</v>
      </c>
      <c r="V49" s="2">
        <v>1200</v>
      </c>
      <c r="W49" s="2">
        <v>1163</v>
      </c>
    </row>
    <row r="50" spans="2:23" x14ac:dyDescent="0.3">
      <c r="B50" s="19" t="s">
        <v>60</v>
      </c>
      <c r="C50" s="2" t="s">
        <v>23</v>
      </c>
      <c r="D50" s="2" t="s">
        <v>27</v>
      </c>
      <c r="E50" s="2" t="s">
        <v>32</v>
      </c>
      <c r="F50" s="20">
        <v>1.923662263346926</v>
      </c>
      <c r="G50" s="2">
        <v>35.29</v>
      </c>
      <c r="H50" s="2">
        <v>32.39</v>
      </c>
      <c r="I50" s="2">
        <v>35.89</v>
      </c>
      <c r="J50" s="2">
        <v>38.61</v>
      </c>
      <c r="K50" s="2">
        <v>36.39</v>
      </c>
      <c r="L50" s="2">
        <v>36.25</v>
      </c>
      <c r="M50" s="2">
        <v>37.54</v>
      </c>
      <c r="N50" s="2">
        <v>41.86</v>
      </c>
      <c r="O50" s="2">
        <v>41.5</v>
      </c>
      <c r="P50" s="2">
        <v>39.880000000000003</v>
      </c>
      <c r="Q50" s="2">
        <v>41.11</v>
      </c>
      <c r="R50" s="2">
        <v>40.69</v>
      </c>
      <c r="S50" s="2">
        <v>40.590000000000003</v>
      </c>
      <c r="T50" s="2">
        <v>40.21</v>
      </c>
      <c r="U50" s="2">
        <v>41.28</v>
      </c>
      <c r="V50" s="2">
        <v>42.19</v>
      </c>
      <c r="W50" s="2">
        <v>43.75</v>
      </c>
    </row>
    <row r="51" spans="2:23" x14ac:dyDescent="0.3">
      <c r="B51" s="19" t="s">
        <v>135</v>
      </c>
      <c r="C51" s="2" t="s">
        <v>23</v>
      </c>
      <c r="D51" s="2" t="s">
        <v>136</v>
      </c>
      <c r="E51" s="2" t="s">
        <v>32</v>
      </c>
      <c r="F51" s="20">
        <v>1.81278274132386</v>
      </c>
      <c r="G51" s="2">
        <v>687.1</v>
      </c>
      <c r="H51" s="2">
        <v>634.22</v>
      </c>
      <c r="I51" s="2">
        <v>674.49</v>
      </c>
      <c r="J51" s="2">
        <v>700.03</v>
      </c>
      <c r="K51" s="2">
        <v>700.38</v>
      </c>
      <c r="L51" s="2">
        <v>703.18</v>
      </c>
      <c r="M51" s="2">
        <v>702.64</v>
      </c>
      <c r="N51" s="2">
        <v>706.97</v>
      </c>
      <c r="O51" s="2">
        <v>692.6</v>
      </c>
      <c r="P51" s="2">
        <v>681.35</v>
      </c>
      <c r="Q51" s="2">
        <v>695.5</v>
      </c>
      <c r="R51" s="2">
        <v>746.67</v>
      </c>
      <c r="S51" s="2">
        <v>766.49</v>
      </c>
      <c r="T51" s="2">
        <v>731.12</v>
      </c>
      <c r="U51" s="2">
        <v>780.37</v>
      </c>
      <c r="V51" s="2">
        <v>810.09</v>
      </c>
      <c r="W51" s="2">
        <v>822.47</v>
      </c>
    </row>
    <row r="52" spans="2:23" x14ac:dyDescent="0.3">
      <c r="B52" s="19" t="s">
        <v>45</v>
      </c>
      <c r="C52" s="2" t="s">
        <v>23</v>
      </c>
      <c r="D52" s="2" t="s">
        <v>46</v>
      </c>
      <c r="E52" s="2" t="s">
        <v>32</v>
      </c>
      <c r="F52" s="20">
        <v>1.7797116907463111</v>
      </c>
      <c r="G52" s="2">
        <v>409.51</v>
      </c>
      <c r="H52" s="2">
        <v>421.72</v>
      </c>
      <c r="I52" s="2">
        <v>455.21</v>
      </c>
      <c r="J52" s="2">
        <v>425.15</v>
      </c>
      <c r="K52" s="2">
        <v>458.44</v>
      </c>
      <c r="L52" s="2">
        <v>470.28</v>
      </c>
      <c r="M52" s="2">
        <v>483.49</v>
      </c>
      <c r="N52" s="2">
        <v>480.18</v>
      </c>
      <c r="O52" s="2">
        <v>504.87</v>
      </c>
      <c r="P52" s="2">
        <v>520.84</v>
      </c>
      <c r="Q52" s="2">
        <v>534.17999999999995</v>
      </c>
      <c r="R52" s="2">
        <v>551.08000000000004</v>
      </c>
      <c r="S52" s="2">
        <v>587.21</v>
      </c>
      <c r="T52" s="2">
        <v>613.38</v>
      </c>
      <c r="U52" s="2">
        <v>653.65</v>
      </c>
      <c r="V52" s="2">
        <v>620.88</v>
      </c>
      <c r="W52" s="2">
        <v>631.26</v>
      </c>
    </row>
    <row r="53" spans="2:23" x14ac:dyDescent="0.3">
      <c r="B53" s="19" t="s">
        <v>100</v>
      </c>
      <c r="C53" s="2" t="s">
        <v>23</v>
      </c>
      <c r="D53" s="2" t="s">
        <v>101</v>
      </c>
      <c r="E53" s="2" t="s">
        <v>32</v>
      </c>
      <c r="F53" s="20">
        <v>1.6511590383477599</v>
      </c>
      <c r="G53" s="2">
        <v>15064</v>
      </c>
      <c r="H53" s="2">
        <v>14945</v>
      </c>
      <c r="I53" s="2">
        <v>14820</v>
      </c>
      <c r="J53" s="2">
        <v>14971</v>
      </c>
      <c r="K53" s="2">
        <v>15497</v>
      </c>
      <c r="L53" s="2">
        <v>15591</v>
      </c>
      <c r="M53" s="2">
        <v>15861</v>
      </c>
      <c r="N53" s="2">
        <v>16213</v>
      </c>
      <c r="O53" s="2">
        <v>17303</v>
      </c>
      <c r="P53" s="2">
        <v>17339</v>
      </c>
      <c r="Q53" s="2">
        <v>17492</v>
      </c>
      <c r="R53" s="2">
        <v>17487</v>
      </c>
      <c r="S53" s="2">
        <v>18285</v>
      </c>
      <c r="T53" s="2">
        <v>18321</v>
      </c>
      <c r="U53" s="2">
        <v>18605</v>
      </c>
      <c r="V53" s="2">
        <v>19161</v>
      </c>
      <c r="W53" s="2">
        <v>19513</v>
      </c>
    </row>
    <row r="54" spans="2:23" x14ac:dyDescent="0.3">
      <c r="B54" s="19" t="s">
        <v>126</v>
      </c>
      <c r="C54" s="2" t="s">
        <v>23</v>
      </c>
      <c r="D54" s="2" t="s">
        <v>127</v>
      </c>
      <c r="E54" s="2" t="s">
        <v>32</v>
      </c>
      <c r="F54" s="20">
        <v>1.576935329722851</v>
      </c>
      <c r="G54" s="2">
        <v>1763</v>
      </c>
      <c r="H54" s="2">
        <v>1629</v>
      </c>
      <c r="I54" s="2">
        <v>1530</v>
      </c>
      <c r="J54" s="2">
        <v>1446</v>
      </c>
      <c r="K54" s="2">
        <v>1443</v>
      </c>
      <c r="L54" s="2">
        <v>1418</v>
      </c>
      <c r="M54" s="2">
        <v>1443</v>
      </c>
      <c r="N54" s="2">
        <v>1442</v>
      </c>
      <c r="O54" s="2">
        <v>1413</v>
      </c>
      <c r="P54" s="2">
        <v>1475</v>
      </c>
      <c r="Q54" s="2">
        <v>1483</v>
      </c>
      <c r="R54" s="2">
        <v>1515</v>
      </c>
      <c r="S54" s="2">
        <v>1593</v>
      </c>
      <c r="T54" s="2">
        <v>1529</v>
      </c>
      <c r="U54" s="2">
        <v>1516</v>
      </c>
      <c r="V54" s="2">
        <v>1640</v>
      </c>
      <c r="W54" s="2">
        <v>1692</v>
      </c>
    </row>
    <row r="55" spans="2:23" x14ac:dyDescent="0.3">
      <c r="B55" s="19" t="s">
        <v>132</v>
      </c>
      <c r="C55" s="2" t="s">
        <v>23</v>
      </c>
      <c r="D55" s="2" t="s">
        <v>87</v>
      </c>
      <c r="E55" s="2" t="s">
        <v>32</v>
      </c>
      <c r="F55" s="20">
        <v>1.3676287248901129</v>
      </c>
      <c r="G55" s="2">
        <v>171.49</v>
      </c>
      <c r="H55" s="2">
        <v>178.96</v>
      </c>
      <c r="I55" s="2">
        <v>191.92</v>
      </c>
      <c r="J55" s="2">
        <v>198.1</v>
      </c>
      <c r="K55" s="2">
        <v>198.1</v>
      </c>
      <c r="L55" s="2">
        <v>221.01</v>
      </c>
      <c r="M55" s="2">
        <v>231.02</v>
      </c>
      <c r="N55" s="2">
        <v>238.44</v>
      </c>
      <c r="O55" s="2">
        <v>238.26</v>
      </c>
      <c r="P55" s="2">
        <v>254.55</v>
      </c>
      <c r="Q55" s="2">
        <v>265.32</v>
      </c>
      <c r="R55" s="2">
        <v>266.68</v>
      </c>
      <c r="S55" s="2">
        <v>255.8</v>
      </c>
      <c r="T55" s="2">
        <v>262.79000000000002</v>
      </c>
      <c r="U55" s="2">
        <v>272.42</v>
      </c>
      <c r="V55" s="2">
        <v>275.8</v>
      </c>
      <c r="W55" s="2">
        <v>270.39</v>
      </c>
    </row>
    <row r="56" spans="2:23" x14ac:dyDescent="0.3">
      <c r="B56" s="19" t="s">
        <v>51</v>
      </c>
      <c r="C56" s="2" t="s">
        <v>23</v>
      </c>
      <c r="D56" s="2" t="s">
        <v>27</v>
      </c>
      <c r="E56" s="2" t="s">
        <v>32</v>
      </c>
      <c r="F56" s="20">
        <v>1.3369665149148831</v>
      </c>
      <c r="G56" s="2">
        <v>226.05</v>
      </c>
      <c r="H56" s="2">
        <v>232.28</v>
      </c>
      <c r="I56" s="2">
        <v>217.12</v>
      </c>
      <c r="J56" s="2">
        <v>221.82</v>
      </c>
      <c r="K56" s="2">
        <v>219.4</v>
      </c>
      <c r="L56" s="2">
        <v>217.9</v>
      </c>
      <c r="M56" s="2">
        <v>208.65</v>
      </c>
      <c r="N56" s="2">
        <v>225.62</v>
      </c>
      <c r="O56" s="2">
        <v>211.1</v>
      </c>
      <c r="P56" s="2">
        <v>218.34</v>
      </c>
      <c r="Q56" s="2">
        <v>220.06</v>
      </c>
      <c r="R56" s="2">
        <v>219.32</v>
      </c>
      <c r="S56" s="2">
        <v>222.13</v>
      </c>
      <c r="T56" s="2">
        <v>223.32</v>
      </c>
      <c r="U56" s="2">
        <v>226.22</v>
      </c>
      <c r="V56" s="2">
        <v>231.12</v>
      </c>
      <c r="W56" s="2">
        <v>234.2</v>
      </c>
    </row>
    <row r="57" spans="2:23" x14ac:dyDescent="0.3">
      <c r="B57" s="19" t="s">
        <v>117</v>
      </c>
      <c r="C57" s="2" t="s">
        <v>23</v>
      </c>
      <c r="D57" s="2" t="s">
        <v>37</v>
      </c>
      <c r="E57" s="2" t="s">
        <v>32</v>
      </c>
      <c r="F57" s="20">
        <v>1.1790949649458149</v>
      </c>
      <c r="G57" s="2">
        <v>0</v>
      </c>
      <c r="H57" s="2">
        <v>4308</v>
      </c>
      <c r="I57" s="2">
        <v>4691</v>
      </c>
      <c r="J57" s="2">
        <v>4468</v>
      </c>
      <c r="K57" s="3">
        <v>4185</v>
      </c>
      <c r="L57" s="2">
        <v>4380</v>
      </c>
      <c r="M57" s="2">
        <v>4872</v>
      </c>
      <c r="N57" s="2">
        <v>4644</v>
      </c>
      <c r="O57" s="2">
        <v>0</v>
      </c>
      <c r="P57" s="2">
        <v>3849</v>
      </c>
      <c r="Q57" s="2">
        <v>4235</v>
      </c>
      <c r="R57" s="2">
        <v>4032</v>
      </c>
      <c r="S57" s="3">
        <v>3729</v>
      </c>
      <c r="T57" s="2">
        <v>3684</v>
      </c>
      <c r="U57" s="2">
        <v>4195</v>
      </c>
      <c r="V57" s="2">
        <v>4082</v>
      </c>
      <c r="W57" s="2">
        <v>3914</v>
      </c>
    </row>
    <row r="58" spans="2:23" x14ac:dyDescent="0.3">
      <c r="B58" s="19" t="s">
        <v>128</v>
      </c>
      <c r="C58" s="2" t="s">
        <v>23</v>
      </c>
      <c r="D58" s="2" t="s">
        <v>65</v>
      </c>
      <c r="E58" s="2" t="s">
        <v>32</v>
      </c>
      <c r="F58" s="20">
        <v>1.1508553654743461</v>
      </c>
      <c r="G58" s="2">
        <v>2169</v>
      </c>
      <c r="H58" s="2">
        <v>2272</v>
      </c>
      <c r="I58" s="2">
        <v>2149</v>
      </c>
      <c r="J58" s="2">
        <v>1986</v>
      </c>
      <c r="K58" s="2">
        <v>1892</v>
      </c>
      <c r="L58" s="2">
        <v>1909</v>
      </c>
      <c r="M58" s="2">
        <v>1911</v>
      </c>
      <c r="N58" s="2">
        <v>1987</v>
      </c>
      <c r="O58" s="2">
        <v>1855</v>
      </c>
      <c r="P58" s="3">
        <v>2914</v>
      </c>
      <c r="Q58" s="2">
        <v>2021</v>
      </c>
      <c r="R58" s="2">
        <v>2217</v>
      </c>
      <c r="S58" s="2">
        <v>2240</v>
      </c>
      <c r="T58" s="2">
        <v>2227</v>
      </c>
      <c r="U58" s="2">
        <v>2501</v>
      </c>
      <c r="V58" s="2">
        <v>2677</v>
      </c>
      <c r="W58" s="2">
        <v>2351</v>
      </c>
    </row>
    <row r="59" spans="2:23" x14ac:dyDescent="0.3">
      <c r="B59" s="19" t="s">
        <v>68</v>
      </c>
      <c r="C59" s="2" t="s">
        <v>23</v>
      </c>
      <c r="D59" s="2" t="s">
        <v>27</v>
      </c>
      <c r="E59" s="2" t="s">
        <v>32</v>
      </c>
      <c r="F59" s="20">
        <v>0.93734783314396442</v>
      </c>
      <c r="G59" s="2">
        <v>49.38</v>
      </c>
      <c r="H59" s="2">
        <v>50.51</v>
      </c>
      <c r="I59" s="2">
        <v>42.66</v>
      </c>
      <c r="J59" s="2">
        <v>49.76</v>
      </c>
      <c r="K59" s="2">
        <v>49.78</v>
      </c>
      <c r="L59" s="2">
        <v>55.06</v>
      </c>
      <c r="M59" s="2">
        <v>57.91</v>
      </c>
      <c r="N59" s="2">
        <v>53.62</v>
      </c>
      <c r="O59" s="2">
        <v>54.3</v>
      </c>
      <c r="P59" s="2">
        <v>55.53</v>
      </c>
      <c r="Q59" s="2">
        <v>57.67</v>
      </c>
      <c r="R59" s="2">
        <v>58.52</v>
      </c>
      <c r="S59" s="2">
        <v>59.16</v>
      </c>
      <c r="T59" s="2">
        <v>60.69</v>
      </c>
      <c r="U59" s="2">
        <v>62.58</v>
      </c>
      <c r="V59" s="2">
        <v>64.010000000000005</v>
      </c>
      <c r="W59" s="2">
        <v>61.47</v>
      </c>
    </row>
    <row r="60" spans="2:23" x14ac:dyDescent="0.3">
      <c r="B60" s="19" t="s">
        <v>129</v>
      </c>
      <c r="C60" s="2" t="s">
        <v>23</v>
      </c>
      <c r="D60" s="2" t="s">
        <v>130</v>
      </c>
      <c r="E60" s="2" t="s">
        <v>32</v>
      </c>
      <c r="F60" s="20">
        <v>0.72203747120465067</v>
      </c>
      <c r="G60" s="2">
        <v>727.76</v>
      </c>
      <c r="H60" s="2">
        <v>753.64</v>
      </c>
      <c r="I60" s="2">
        <v>771.77</v>
      </c>
      <c r="J60" s="2">
        <v>784.37</v>
      </c>
      <c r="K60" s="2">
        <v>780.8</v>
      </c>
      <c r="L60" s="2">
        <v>791.06</v>
      </c>
      <c r="M60" s="2">
        <v>813.18</v>
      </c>
      <c r="N60" s="2">
        <v>815.9</v>
      </c>
      <c r="O60" s="2">
        <v>816.05</v>
      </c>
      <c r="P60" s="2">
        <v>838.11</v>
      </c>
      <c r="Q60" s="2">
        <v>843.59</v>
      </c>
      <c r="R60" s="2">
        <v>846.26</v>
      </c>
      <c r="S60" s="2">
        <v>852.37</v>
      </c>
      <c r="T60" s="2">
        <v>854.92</v>
      </c>
      <c r="U60" s="2">
        <v>856.66</v>
      </c>
      <c r="V60" s="2">
        <v>861.08</v>
      </c>
      <c r="W60" s="2">
        <v>877.1</v>
      </c>
    </row>
    <row r="61" spans="2:23" hidden="1" x14ac:dyDescent="0.3">
      <c r="B61" s="2" t="s">
        <v>114</v>
      </c>
      <c r="C61" s="2" t="s">
        <v>76</v>
      </c>
      <c r="D61" s="2" t="s">
        <v>40</v>
      </c>
      <c r="E61" s="2" t="s">
        <v>115</v>
      </c>
      <c r="F61" s="2">
        <v>1.079294033874167</v>
      </c>
      <c r="G61" s="2">
        <v>6083</v>
      </c>
      <c r="H61" s="2">
        <v>27548</v>
      </c>
      <c r="I61" s="2">
        <v>16638</v>
      </c>
      <c r="J61" s="2">
        <v>8836</v>
      </c>
      <c r="K61" s="3">
        <v>27322</v>
      </c>
      <c r="L61" s="2">
        <v>15296</v>
      </c>
      <c r="M61" s="2">
        <v>10152</v>
      </c>
      <c r="N61" s="3">
        <v>16344</v>
      </c>
      <c r="O61" s="2">
        <v>11923</v>
      </c>
      <c r="P61" s="3">
        <v>44328</v>
      </c>
      <c r="Q61" s="3">
        <v>25096</v>
      </c>
      <c r="R61" s="2">
        <v>11199</v>
      </c>
      <c r="S61" s="2">
        <v>20932</v>
      </c>
      <c r="T61" s="2">
        <v>26349</v>
      </c>
      <c r="U61" s="2">
        <v>12487</v>
      </c>
      <c r="V61" s="3">
        <v>38537</v>
      </c>
      <c r="W61" s="2">
        <v>21993</v>
      </c>
    </row>
    <row r="62" spans="2:23" x14ac:dyDescent="0.3">
      <c r="B62" s="19" t="s">
        <v>64</v>
      </c>
      <c r="C62" s="2" t="s">
        <v>23</v>
      </c>
      <c r="D62" s="2" t="s">
        <v>65</v>
      </c>
      <c r="E62" s="2" t="s">
        <v>32</v>
      </c>
      <c r="F62" s="20">
        <v>0.45903707337584532</v>
      </c>
      <c r="G62" s="2">
        <v>148.57</v>
      </c>
      <c r="H62" s="2">
        <v>169.55</v>
      </c>
      <c r="I62" s="2">
        <v>152.02000000000001</v>
      </c>
      <c r="J62" s="2">
        <v>151.26</v>
      </c>
      <c r="K62" s="2">
        <v>146.53</v>
      </c>
      <c r="L62" s="2">
        <v>161.55000000000001</v>
      </c>
      <c r="M62" s="2">
        <v>139.32</v>
      </c>
      <c r="N62" s="2">
        <v>136.88</v>
      </c>
      <c r="O62" s="2">
        <v>137.75</v>
      </c>
      <c r="P62" s="2">
        <v>159.05000000000001</v>
      </c>
      <c r="Q62" s="2">
        <v>129.53</v>
      </c>
      <c r="R62" s="2">
        <v>131.41</v>
      </c>
      <c r="S62" s="2">
        <v>138.63</v>
      </c>
      <c r="T62" s="2">
        <v>165.21</v>
      </c>
      <c r="U62" s="2">
        <v>132.44999999999999</v>
      </c>
      <c r="V62" s="2">
        <v>134.47</v>
      </c>
      <c r="W62" s="2">
        <v>141.25</v>
      </c>
    </row>
    <row r="63" spans="2:23" x14ac:dyDescent="0.3">
      <c r="B63" s="19" t="s">
        <v>102</v>
      </c>
      <c r="C63" s="2" t="s">
        <v>23</v>
      </c>
      <c r="D63" s="2" t="s">
        <v>103</v>
      </c>
      <c r="E63" s="2" t="s">
        <v>32</v>
      </c>
      <c r="F63" s="20">
        <v>-0.14666340747983009</v>
      </c>
      <c r="G63" s="2">
        <v>5733</v>
      </c>
      <c r="H63" s="2">
        <v>5860</v>
      </c>
      <c r="I63" s="2">
        <v>6269</v>
      </c>
      <c r="J63" s="2">
        <v>6566</v>
      </c>
      <c r="K63" s="2">
        <v>6180</v>
      </c>
      <c r="L63" s="2">
        <v>6056</v>
      </c>
      <c r="M63" s="2">
        <v>5963</v>
      </c>
      <c r="N63" s="2">
        <v>5941</v>
      </c>
      <c r="O63" s="2">
        <v>6159</v>
      </c>
      <c r="P63" s="2">
        <v>6031</v>
      </c>
      <c r="Q63" s="2">
        <v>6007</v>
      </c>
      <c r="R63" s="2">
        <v>6091</v>
      </c>
      <c r="S63" s="2">
        <v>6121</v>
      </c>
      <c r="T63" s="2">
        <v>6027</v>
      </c>
      <c r="U63" s="2">
        <v>6154</v>
      </c>
      <c r="V63" s="2">
        <v>6244</v>
      </c>
      <c r="W63" s="2">
        <v>6085</v>
      </c>
    </row>
    <row r="64" spans="2:23" x14ac:dyDescent="0.3">
      <c r="B64" s="19" t="s">
        <v>30</v>
      </c>
      <c r="C64" s="2" t="s">
        <v>23</v>
      </c>
      <c r="D64" s="2" t="s">
        <v>31</v>
      </c>
      <c r="E64" s="2" t="s">
        <v>32</v>
      </c>
      <c r="F64" s="20">
        <v>-0.36283672347443557</v>
      </c>
      <c r="G64" s="2">
        <v>1834</v>
      </c>
      <c r="H64" s="2">
        <v>1736</v>
      </c>
      <c r="I64" s="2">
        <v>2445</v>
      </c>
      <c r="J64" s="2">
        <v>2562</v>
      </c>
      <c r="K64" s="2">
        <v>2415</v>
      </c>
      <c r="L64" s="2">
        <v>2328</v>
      </c>
      <c r="M64" s="2">
        <v>2610</v>
      </c>
      <c r="N64" s="2">
        <v>2353</v>
      </c>
      <c r="O64" s="2">
        <v>2325</v>
      </c>
      <c r="P64" s="2">
        <v>2209</v>
      </c>
      <c r="Q64" s="2">
        <v>2428</v>
      </c>
      <c r="R64" s="2">
        <v>2365</v>
      </c>
      <c r="S64" s="2">
        <v>2277</v>
      </c>
      <c r="T64" s="2">
        <v>2140</v>
      </c>
      <c r="U64" s="2">
        <v>2356</v>
      </c>
      <c r="V64" s="2">
        <v>2322</v>
      </c>
      <c r="W64" s="2">
        <v>2244</v>
      </c>
    </row>
    <row r="65" spans="2:23" x14ac:dyDescent="0.3">
      <c r="B65" s="19" t="s">
        <v>98</v>
      </c>
      <c r="C65" s="2" t="s">
        <v>23</v>
      </c>
      <c r="D65" s="2" t="s">
        <v>99</v>
      </c>
      <c r="E65" s="2" t="s">
        <v>32</v>
      </c>
      <c r="F65" s="20">
        <v>-0.91861023881630866</v>
      </c>
      <c r="G65" s="2">
        <v>27771</v>
      </c>
      <c r="H65" s="2">
        <v>24378</v>
      </c>
      <c r="I65" s="2">
        <v>24766</v>
      </c>
      <c r="J65" s="2">
        <v>24161</v>
      </c>
      <c r="K65" s="2">
        <v>27033</v>
      </c>
      <c r="L65" s="2">
        <v>22925</v>
      </c>
      <c r="M65" s="2">
        <v>22055</v>
      </c>
      <c r="N65" s="2">
        <v>21061</v>
      </c>
      <c r="O65" s="2">
        <v>24917</v>
      </c>
      <c r="P65" s="2">
        <v>21706</v>
      </c>
      <c r="Q65" s="2">
        <v>21818</v>
      </c>
      <c r="R65" s="2">
        <v>22245</v>
      </c>
      <c r="S65" s="2">
        <v>25301</v>
      </c>
      <c r="T65" s="2">
        <v>21546</v>
      </c>
      <c r="U65" s="2">
        <v>21221</v>
      </c>
      <c r="V65" s="2">
        <v>21415</v>
      </c>
      <c r="W65" s="2">
        <v>24479</v>
      </c>
    </row>
    <row r="66" spans="2:23" x14ac:dyDescent="0.3">
      <c r="B66" s="19" t="s">
        <v>92</v>
      </c>
      <c r="C66" s="2" t="s">
        <v>23</v>
      </c>
      <c r="D66" s="2" t="s">
        <v>93</v>
      </c>
      <c r="E66" s="2" t="s">
        <v>32</v>
      </c>
      <c r="F66" s="20">
        <v>-1.2889801797956619</v>
      </c>
      <c r="G66" s="2">
        <v>33584</v>
      </c>
      <c r="H66" s="2">
        <v>35979</v>
      </c>
      <c r="I66" s="2">
        <v>35759</v>
      </c>
      <c r="J66" s="2">
        <v>41888</v>
      </c>
      <c r="K66" s="2">
        <v>43108</v>
      </c>
      <c r="L66" s="2">
        <v>39985</v>
      </c>
      <c r="M66" s="2">
        <v>44746</v>
      </c>
      <c r="N66" s="2">
        <v>44131</v>
      </c>
      <c r="O66" s="2">
        <v>42979</v>
      </c>
      <c r="P66" s="2">
        <v>43014</v>
      </c>
      <c r="Q66" s="2">
        <v>47970</v>
      </c>
      <c r="R66" s="2">
        <v>48756</v>
      </c>
      <c r="S66" s="2">
        <v>47702</v>
      </c>
      <c r="T66" s="2">
        <v>44019</v>
      </c>
      <c r="U66" s="2">
        <v>47123</v>
      </c>
      <c r="V66" s="2">
        <v>48591</v>
      </c>
      <c r="W66" s="2">
        <v>45286</v>
      </c>
    </row>
    <row r="67" spans="2:23" hidden="1" x14ac:dyDescent="0.3">
      <c r="B67" s="2" t="s">
        <v>122</v>
      </c>
      <c r="C67" s="2" t="s">
        <v>23</v>
      </c>
      <c r="D67" s="2" t="s">
        <v>31</v>
      </c>
      <c r="E67" s="2" t="s">
        <v>25</v>
      </c>
      <c r="F67" s="2">
        <v>8.1105990783414406E-2</v>
      </c>
      <c r="G67" s="2">
        <v>8969</v>
      </c>
      <c r="H67" s="2">
        <v>9427</v>
      </c>
      <c r="I67" s="2">
        <v>8899</v>
      </c>
      <c r="J67" s="2">
        <v>13422</v>
      </c>
      <c r="K67" s="3">
        <v>13462</v>
      </c>
      <c r="L67" s="2">
        <v>13188</v>
      </c>
      <c r="M67" s="2">
        <v>12189</v>
      </c>
      <c r="N67" s="2">
        <v>14055</v>
      </c>
      <c r="O67" s="2">
        <v>13482</v>
      </c>
      <c r="P67" s="2">
        <v>13062</v>
      </c>
      <c r="Q67" s="2">
        <v>12570</v>
      </c>
      <c r="R67" s="2">
        <v>14334</v>
      </c>
      <c r="S67" s="2">
        <v>13647</v>
      </c>
      <c r="T67" s="2">
        <v>13660</v>
      </c>
      <c r="U67" s="2">
        <v>12551</v>
      </c>
      <c r="V67" s="2">
        <v>14392</v>
      </c>
      <c r="W67" s="2">
        <v>13691</v>
      </c>
    </row>
    <row r="68" spans="2:23" x14ac:dyDescent="0.3">
      <c r="B68" s="19" t="s">
        <v>42</v>
      </c>
      <c r="C68" s="2" t="s">
        <v>23</v>
      </c>
      <c r="D68" s="2" t="s">
        <v>27</v>
      </c>
      <c r="E68" s="2" t="s">
        <v>32</v>
      </c>
      <c r="F68" s="20">
        <v>-1.870056914775664</v>
      </c>
      <c r="G68" s="2">
        <v>71.52</v>
      </c>
      <c r="H68" s="2">
        <v>66.040000000000006</v>
      </c>
      <c r="I68" s="2">
        <v>70.28</v>
      </c>
      <c r="J68" s="2">
        <v>73.77</v>
      </c>
      <c r="K68" s="2">
        <v>87.39</v>
      </c>
      <c r="L68" s="3">
        <v>108.65</v>
      </c>
      <c r="M68" s="2">
        <v>101.91</v>
      </c>
      <c r="N68" s="2">
        <v>106.02</v>
      </c>
      <c r="O68" s="2">
        <v>101.14</v>
      </c>
      <c r="P68" s="2">
        <v>101.72</v>
      </c>
      <c r="Q68" s="2">
        <v>94.83</v>
      </c>
      <c r="R68" s="2">
        <v>104.04</v>
      </c>
      <c r="S68" s="2">
        <v>99.13</v>
      </c>
      <c r="T68" s="2">
        <v>91.87</v>
      </c>
      <c r="U68" s="2">
        <v>104.48</v>
      </c>
      <c r="V68" s="2">
        <v>110.39</v>
      </c>
      <c r="W68" s="2">
        <v>91.54</v>
      </c>
    </row>
    <row r="69" spans="2:23" x14ac:dyDescent="0.3">
      <c r="B69" s="19" t="s">
        <v>89</v>
      </c>
      <c r="C69" s="2" t="s">
        <v>23</v>
      </c>
      <c r="D69" s="2" t="s">
        <v>90</v>
      </c>
      <c r="E69" s="2" t="s">
        <v>32</v>
      </c>
      <c r="F69" s="20">
        <v>-3.680628449531032</v>
      </c>
      <c r="G69" s="2">
        <v>6686</v>
      </c>
      <c r="H69" s="2">
        <v>6473</v>
      </c>
      <c r="I69" s="2">
        <v>7159</v>
      </c>
      <c r="J69" s="2">
        <v>7059</v>
      </c>
      <c r="K69" s="2">
        <v>8130</v>
      </c>
      <c r="L69" s="2">
        <v>8473</v>
      </c>
      <c r="M69" s="2">
        <v>8881</v>
      </c>
      <c r="N69" s="2">
        <v>8696</v>
      </c>
      <c r="O69" s="2">
        <v>9077</v>
      </c>
      <c r="P69" s="2">
        <v>8744</v>
      </c>
      <c r="Q69" s="2">
        <v>8772</v>
      </c>
      <c r="R69" s="2">
        <v>8240</v>
      </c>
      <c r="S69" s="2">
        <v>7908</v>
      </c>
      <c r="T69" s="2">
        <v>7442</v>
      </c>
      <c r="U69" s="2">
        <v>7511</v>
      </c>
      <c r="V69" s="2">
        <v>6672</v>
      </c>
      <c r="W69" s="2">
        <v>6821</v>
      </c>
    </row>
    <row r="70" spans="2:23" x14ac:dyDescent="0.3">
      <c r="B70" s="19" t="s">
        <v>96</v>
      </c>
      <c r="C70" s="2" t="s">
        <v>23</v>
      </c>
      <c r="D70" s="2" t="s">
        <v>97</v>
      </c>
      <c r="E70" s="2" t="s">
        <v>32</v>
      </c>
      <c r="F70" s="20">
        <v>-4.9031511997687183</v>
      </c>
      <c r="G70" s="2">
        <v>4965</v>
      </c>
      <c r="H70" s="2">
        <v>5095</v>
      </c>
      <c r="I70" s="2">
        <v>5063</v>
      </c>
      <c r="J70" s="2">
        <v>5053</v>
      </c>
      <c r="K70" s="2">
        <v>4964</v>
      </c>
      <c r="L70" s="2">
        <v>5195</v>
      </c>
      <c r="M70" s="2">
        <v>5134</v>
      </c>
      <c r="N70" s="2">
        <v>5132</v>
      </c>
      <c r="O70" s="2">
        <v>4970</v>
      </c>
      <c r="P70" s="2">
        <v>4326</v>
      </c>
      <c r="Q70" s="2">
        <v>4231</v>
      </c>
      <c r="R70" s="2">
        <v>4144</v>
      </c>
      <c r="S70" s="2">
        <v>4928</v>
      </c>
      <c r="T70" s="2">
        <v>4054</v>
      </c>
      <c r="U70" s="2">
        <v>4163</v>
      </c>
      <c r="V70" s="2">
        <v>4150</v>
      </c>
      <c r="W70" s="2">
        <v>4080</v>
      </c>
    </row>
    <row r="71" spans="2:23" x14ac:dyDescent="0.3">
      <c r="B71" s="19" t="s">
        <v>47</v>
      </c>
      <c r="C71" s="2" t="s">
        <v>23</v>
      </c>
      <c r="D71" s="2" t="s">
        <v>48</v>
      </c>
      <c r="E71" s="2" t="s">
        <v>32</v>
      </c>
      <c r="F71" s="20">
        <v>-8.7419011700996094</v>
      </c>
      <c r="G71" s="2">
        <v>1667</v>
      </c>
      <c r="H71" s="2">
        <v>1622</v>
      </c>
      <c r="I71" s="2">
        <v>1496</v>
      </c>
      <c r="J71" s="2">
        <v>1271</v>
      </c>
      <c r="K71" s="2">
        <v>1309</v>
      </c>
      <c r="L71" s="2">
        <v>1330</v>
      </c>
      <c r="M71" s="2">
        <v>1308</v>
      </c>
      <c r="N71" s="2">
        <v>1206</v>
      </c>
      <c r="O71" s="2">
        <v>0</v>
      </c>
      <c r="P71" s="2">
        <v>1165</v>
      </c>
      <c r="Q71" s="2">
        <v>724.9</v>
      </c>
      <c r="R71" s="2">
        <v>1017</v>
      </c>
      <c r="S71" s="3">
        <v>1266</v>
      </c>
      <c r="T71" s="2">
        <v>0</v>
      </c>
      <c r="U71" s="3">
        <v>1135</v>
      </c>
      <c r="V71" s="2">
        <v>701.3</v>
      </c>
      <c r="W71" s="2">
        <v>994.8</v>
      </c>
    </row>
    <row r="72" spans="2:23" x14ac:dyDescent="0.3">
      <c r="B72" s="19" t="s">
        <v>61</v>
      </c>
      <c r="C72" s="2" t="s">
        <v>62</v>
      </c>
      <c r="D72" s="2" t="s">
        <v>40</v>
      </c>
      <c r="E72" s="2" t="s">
        <v>32</v>
      </c>
      <c r="F72" s="20">
        <v>1.4669223394055519</v>
      </c>
      <c r="G72" s="2">
        <v>3487</v>
      </c>
      <c r="H72" s="2">
        <v>3111</v>
      </c>
      <c r="I72" s="2">
        <v>3909</v>
      </c>
      <c r="J72" s="2">
        <v>3107</v>
      </c>
      <c r="K72" s="2">
        <v>3308</v>
      </c>
      <c r="L72" s="2">
        <v>2618</v>
      </c>
      <c r="M72" s="2">
        <v>3482</v>
      </c>
      <c r="N72" s="2">
        <v>2862</v>
      </c>
      <c r="O72" s="2">
        <v>2829</v>
      </c>
      <c r="P72" s="2">
        <v>2009</v>
      </c>
      <c r="Q72" s="2">
        <v>2716</v>
      </c>
      <c r="R72" s="2">
        <v>2354</v>
      </c>
      <c r="S72" s="2">
        <v>2884</v>
      </c>
      <c r="T72" s="2">
        <v>2204</v>
      </c>
      <c r="U72" s="2">
        <v>2745</v>
      </c>
      <c r="V72" s="2">
        <v>2597</v>
      </c>
      <c r="W72" s="2">
        <v>3037</v>
      </c>
    </row>
    <row r="73" spans="2:23" x14ac:dyDescent="0.3">
      <c r="B73" s="19" t="s">
        <v>88</v>
      </c>
      <c r="C73" s="2" t="s">
        <v>62</v>
      </c>
      <c r="D73" s="2" t="s">
        <v>40</v>
      </c>
      <c r="E73" s="2" t="s">
        <v>32</v>
      </c>
      <c r="F73" s="20">
        <v>0.25753925396694299</v>
      </c>
      <c r="G73" s="2">
        <v>25311</v>
      </c>
      <c r="H73" s="2">
        <v>24921</v>
      </c>
      <c r="I73" s="2">
        <v>27050</v>
      </c>
      <c r="J73" s="2">
        <v>29267</v>
      </c>
      <c r="K73" s="2">
        <v>31093</v>
      </c>
      <c r="L73" s="2">
        <v>30968</v>
      </c>
      <c r="M73" s="2">
        <v>32243</v>
      </c>
      <c r="N73" s="2">
        <v>31476</v>
      </c>
      <c r="O73" s="2">
        <v>31816</v>
      </c>
      <c r="P73" s="2">
        <v>29002</v>
      </c>
      <c r="Q73" s="2">
        <v>31419</v>
      </c>
      <c r="R73" s="2">
        <v>30306</v>
      </c>
      <c r="S73" s="2">
        <v>32151</v>
      </c>
      <c r="T73" s="2">
        <v>29301</v>
      </c>
      <c r="U73" s="2">
        <v>29700</v>
      </c>
      <c r="V73" s="2">
        <v>29218</v>
      </c>
      <c r="W73" s="2">
        <v>32461</v>
      </c>
    </row>
    <row r="74" spans="2:23" x14ac:dyDescent="0.3">
      <c r="B74" s="19" t="s">
        <v>75</v>
      </c>
      <c r="C74" s="2" t="s">
        <v>76</v>
      </c>
      <c r="D74" s="2" t="s">
        <v>40</v>
      </c>
      <c r="E74" s="2" t="s">
        <v>32</v>
      </c>
      <c r="F74" s="20">
        <v>2.9594884964100339</v>
      </c>
      <c r="G74" s="2">
        <v>97040</v>
      </c>
      <c r="H74" s="2">
        <v>82110</v>
      </c>
      <c r="I74" s="2">
        <v>107594</v>
      </c>
      <c r="J74" s="2">
        <v>90294</v>
      </c>
      <c r="K74" s="2">
        <v>98897</v>
      </c>
      <c r="L74" s="2">
        <v>82615</v>
      </c>
      <c r="M74" s="2">
        <v>104073</v>
      </c>
      <c r="N74" s="2">
        <v>90204</v>
      </c>
      <c r="O74" s="2">
        <v>95787</v>
      </c>
      <c r="P74" s="2">
        <v>80687</v>
      </c>
      <c r="Q74" s="2">
        <v>107449</v>
      </c>
      <c r="R74" s="2">
        <v>91355</v>
      </c>
      <c r="S74" s="2">
        <v>86667</v>
      </c>
      <c r="T74" s="2">
        <v>93720</v>
      </c>
      <c r="U74" s="2">
        <v>105409</v>
      </c>
      <c r="V74" s="2">
        <v>95824</v>
      </c>
      <c r="W74" s="2">
        <v>97961</v>
      </c>
    </row>
    <row r="75" spans="2:23" x14ac:dyDescent="0.3">
      <c r="B75" s="19" t="s">
        <v>131</v>
      </c>
      <c r="C75" s="2" t="s">
        <v>76</v>
      </c>
      <c r="D75" s="2" t="s">
        <v>40</v>
      </c>
      <c r="E75" s="2" t="s">
        <v>32</v>
      </c>
      <c r="F75" s="20">
        <v>0.88086687179065315</v>
      </c>
      <c r="G75" s="2">
        <v>18168</v>
      </c>
      <c r="H75" s="2">
        <v>21891</v>
      </c>
      <c r="I75" s="2">
        <v>25232</v>
      </c>
      <c r="J75" s="2">
        <v>23835</v>
      </c>
      <c r="K75" s="3">
        <v>30604</v>
      </c>
      <c r="L75" s="3">
        <v>46259</v>
      </c>
      <c r="M75" s="3">
        <v>43858</v>
      </c>
      <c r="N75" s="2">
        <v>31076</v>
      </c>
      <c r="O75" s="2">
        <v>31245</v>
      </c>
      <c r="P75" s="2">
        <v>46231</v>
      </c>
      <c r="Q75" s="2">
        <v>29597</v>
      </c>
      <c r="R75" s="2">
        <v>26805</v>
      </c>
      <c r="S75" s="2">
        <v>32451</v>
      </c>
      <c r="T75" s="3">
        <v>80751</v>
      </c>
      <c r="U75" s="2">
        <v>45502</v>
      </c>
      <c r="V75" s="2">
        <v>35650</v>
      </c>
      <c r="W75" s="2">
        <v>34163</v>
      </c>
    </row>
    <row r="76" spans="2:23" x14ac:dyDescent="0.3">
      <c r="B76" s="19" t="s">
        <v>91</v>
      </c>
      <c r="C76" s="2" t="s">
        <v>76</v>
      </c>
      <c r="D76" s="2" t="s">
        <v>40</v>
      </c>
      <c r="E76" s="2" t="s">
        <v>32</v>
      </c>
      <c r="F76" s="20">
        <v>-0.5334758003203155</v>
      </c>
      <c r="G76" s="2">
        <v>542362</v>
      </c>
      <c r="H76" s="2">
        <v>590725</v>
      </c>
      <c r="I76" s="2">
        <v>656707</v>
      </c>
      <c r="J76" s="2">
        <v>752629</v>
      </c>
      <c r="K76" s="2">
        <v>753901</v>
      </c>
      <c r="L76" s="2">
        <v>645587</v>
      </c>
      <c r="M76" s="2">
        <v>599201</v>
      </c>
      <c r="N76" s="2">
        <v>596701</v>
      </c>
      <c r="O76" s="2">
        <v>627501</v>
      </c>
      <c r="P76" s="2">
        <v>591534</v>
      </c>
      <c r="Q76" s="2">
        <v>597930</v>
      </c>
      <c r="R76" s="2">
        <v>668530</v>
      </c>
      <c r="S76" s="2">
        <v>663238</v>
      </c>
      <c r="T76" s="2">
        <v>631551</v>
      </c>
      <c r="U76" s="2">
        <v>628549</v>
      </c>
      <c r="V76" s="2">
        <v>655973</v>
      </c>
      <c r="W76" s="2">
        <v>649478</v>
      </c>
    </row>
    <row r="77" spans="2:23" x14ac:dyDescent="0.3">
      <c r="B77" s="19" t="s">
        <v>134</v>
      </c>
      <c r="C77" s="2" t="s">
        <v>39</v>
      </c>
      <c r="D77" s="2" t="s">
        <v>40</v>
      </c>
      <c r="E77" s="2" t="s">
        <v>32</v>
      </c>
      <c r="F77" s="20">
        <v>6.6498635879089996</v>
      </c>
      <c r="G77" s="2">
        <v>15510</v>
      </c>
      <c r="H77" s="2">
        <v>14287</v>
      </c>
      <c r="I77" s="2">
        <v>16652</v>
      </c>
      <c r="J77" s="2">
        <v>16963</v>
      </c>
      <c r="K77" s="2">
        <v>17754</v>
      </c>
      <c r="L77" s="2">
        <v>18356</v>
      </c>
      <c r="M77" s="2">
        <v>18740</v>
      </c>
      <c r="N77" s="2">
        <v>20015</v>
      </c>
      <c r="O77" s="2">
        <v>19788</v>
      </c>
      <c r="P77" s="2">
        <v>21917</v>
      </c>
      <c r="Q77" s="2">
        <v>22275</v>
      </c>
      <c r="R77" s="2">
        <v>24127</v>
      </c>
      <c r="S77" s="2">
        <v>25157</v>
      </c>
      <c r="T77" s="2">
        <v>27528</v>
      </c>
      <c r="U77" s="2">
        <v>28781</v>
      </c>
      <c r="V77" s="2">
        <v>29228</v>
      </c>
      <c r="W77" s="2">
        <v>32518</v>
      </c>
    </row>
    <row r="78" spans="2:23" x14ac:dyDescent="0.3">
      <c r="B78" s="19" t="s">
        <v>133</v>
      </c>
      <c r="C78" s="2" t="s">
        <v>39</v>
      </c>
      <c r="D78" s="2" t="s">
        <v>40</v>
      </c>
      <c r="E78" s="2" t="s">
        <v>32</v>
      </c>
      <c r="F78" s="20">
        <v>3.7315259142610908</v>
      </c>
      <c r="G78" s="2">
        <v>32084</v>
      </c>
      <c r="H78" s="2">
        <v>31754</v>
      </c>
      <c r="I78" s="2">
        <v>33268</v>
      </c>
      <c r="J78" s="2">
        <v>33631</v>
      </c>
      <c r="K78" s="2">
        <v>34746</v>
      </c>
      <c r="L78" s="2">
        <v>36187</v>
      </c>
      <c r="M78" s="2">
        <v>37412</v>
      </c>
      <c r="N78" s="2">
        <v>37338</v>
      </c>
      <c r="O78" s="2">
        <v>38039</v>
      </c>
      <c r="P78" s="2">
        <v>39269</v>
      </c>
      <c r="Q78" s="2">
        <v>43521</v>
      </c>
      <c r="R78" s="2">
        <v>42145</v>
      </c>
      <c r="S78" s="2">
        <v>44436</v>
      </c>
      <c r="T78" s="2">
        <v>46082</v>
      </c>
      <c r="U78" s="2">
        <v>47789</v>
      </c>
      <c r="V78" s="2">
        <v>49659</v>
      </c>
      <c r="W78" s="2">
        <v>51450</v>
      </c>
    </row>
    <row r="79" spans="2:23" hidden="1" x14ac:dyDescent="0.3">
      <c r="B79" s="2" t="s">
        <v>138</v>
      </c>
      <c r="C79" s="2" t="s">
        <v>23</v>
      </c>
      <c r="D79" s="2" t="s">
        <v>139</v>
      </c>
      <c r="E79" s="2" t="s">
        <v>25</v>
      </c>
      <c r="F79" s="2">
        <v>-1.2596808808435169</v>
      </c>
      <c r="G79" s="2">
        <v>2399</v>
      </c>
      <c r="H79" s="2">
        <v>2234</v>
      </c>
      <c r="I79" s="2">
        <v>2382</v>
      </c>
      <c r="J79" s="2">
        <v>2666</v>
      </c>
      <c r="K79" s="2">
        <v>2791</v>
      </c>
      <c r="L79" s="2">
        <v>2737</v>
      </c>
      <c r="M79" s="2">
        <v>2214</v>
      </c>
      <c r="N79" s="2">
        <v>2376</v>
      </c>
      <c r="O79" s="2">
        <v>2614</v>
      </c>
      <c r="P79" s="2">
        <v>2478</v>
      </c>
      <c r="Q79" s="2">
        <v>2378</v>
      </c>
      <c r="R79" s="2">
        <v>2653</v>
      </c>
      <c r="S79" s="2">
        <v>2771</v>
      </c>
      <c r="T79" s="2">
        <v>2884</v>
      </c>
      <c r="U79" s="2">
        <v>2434</v>
      </c>
      <c r="V79" s="2">
        <v>2628</v>
      </c>
      <c r="W79" s="2">
        <v>2636</v>
      </c>
    </row>
    <row r="80" spans="2:23" x14ac:dyDescent="0.3">
      <c r="B80" s="19" t="s">
        <v>116</v>
      </c>
      <c r="C80" s="2" t="s">
        <v>39</v>
      </c>
      <c r="D80" s="2" t="s">
        <v>40</v>
      </c>
      <c r="E80" s="2" t="s">
        <v>32</v>
      </c>
      <c r="F80" s="20">
        <v>0.92508446929977506</v>
      </c>
      <c r="G80" s="2">
        <v>85272</v>
      </c>
      <c r="H80" s="2">
        <v>77733</v>
      </c>
      <c r="I80" s="2">
        <v>86069</v>
      </c>
      <c r="J80" s="2">
        <v>84576</v>
      </c>
      <c r="K80" s="2">
        <v>86367</v>
      </c>
      <c r="L80" s="2">
        <v>87288</v>
      </c>
      <c r="M80" s="2">
        <v>91823</v>
      </c>
      <c r="N80" s="2">
        <v>84786</v>
      </c>
      <c r="O80" s="2">
        <v>91031</v>
      </c>
      <c r="P80" s="2">
        <v>86736</v>
      </c>
      <c r="Q80" s="2">
        <v>89432</v>
      </c>
      <c r="R80" s="2">
        <v>80275</v>
      </c>
      <c r="S80" s="2">
        <v>85494</v>
      </c>
      <c r="T80" s="2">
        <v>83127</v>
      </c>
      <c r="U80" s="2">
        <v>89386</v>
      </c>
      <c r="V80" s="2">
        <v>85313</v>
      </c>
      <c r="W80" s="2">
        <v>88670</v>
      </c>
    </row>
    <row r="81" spans="2:23" hidden="1" x14ac:dyDescent="0.3">
      <c r="B81" s="2" t="s">
        <v>142</v>
      </c>
      <c r="C81" s="2" t="s">
        <v>23</v>
      </c>
      <c r="D81" s="2" t="s">
        <v>27</v>
      </c>
      <c r="E81" s="2" t="s">
        <v>25</v>
      </c>
      <c r="F81" s="2">
        <v>4.4060257647601908</v>
      </c>
      <c r="G81" s="2">
        <v>51.39</v>
      </c>
      <c r="H81" s="2">
        <v>52.43</v>
      </c>
      <c r="I81" s="2">
        <v>51.96</v>
      </c>
      <c r="J81" s="2">
        <v>59.95</v>
      </c>
      <c r="K81" s="2">
        <v>61.31</v>
      </c>
      <c r="L81" s="2">
        <v>62.9</v>
      </c>
      <c r="M81" s="2">
        <v>60.52</v>
      </c>
      <c r="N81" s="2">
        <v>55.8</v>
      </c>
      <c r="O81" s="2">
        <v>50.01</v>
      </c>
      <c r="P81" s="2">
        <v>49.2</v>
      </c>
      <c r="Q81" s="2">
        <v>52.45</v>
      </c>
      <c r="R81" s="2">
        <v>52.69</v>
      </c>
      <c r="S81" s="2">
        <v>55.4</v>
      </c>
      <c r="T81" s="2">
        <v>59.86</v>
      </c>
      <c r="U81" s="2">
        <v>59.89</v>
      </c>
      <c r="V81" s="2">
        <v>63.16</v>
      </c>
      <c r="W81" s="2">
        <v>65.900000000000006</v>
      </c>
    </row>
  </sheetData>
  <autoFilter ref="B2:W81" xr:uid="{00000000-0001-0000-0000-000000000000}">
    <filterColumn colId="3">
      <filters>
        <filter val="Dec '25"/>
        <filter val="Dec '25 Dec 27, 2025"/>
        <filter val="Dec '25 Dec 30, 2025"/>
        <filter val="Dec '25 Dec 31, 2025"/>
      </filters>
    </filterColumn>
    <sortState xmlns:xlrd2="http://schemas.microsoft.com/office/spreadsheetml/2017/richdata2" ref="B4:W80">
      <sortCondition descending="1" ref="C2:C81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W83"/>
  <sheetViews>
    <sheetView zoomScale="85" zoomScaleNormal="85" workbookViewId="0">
      <selection activeCell="F11" sqref="F11"/>
    </sheetView>
  </sheetViews>
  <sheetFormatPr defaultRowHeight="16.5" x14ac:dyDescent="0.3"/>
  <cols>
    <col min="1" max="1" width="9" style="17"/>
    <col min="2" max="2" width="13" style="16" bestFit="1" customWidth="1"/>
    <col min="3" max="3" width="14.375" style="17" customWidth="1"/>
    <col min="4" max="4" width="31.375" style="17" customWidth="1"/>
    <col min="5" max="5" width="18.625" hidden="1" customWidth="1"/>
    <col min="6" max="6" width="15.375" style="17" customWidth="1"/>
    <col min="7" max="8" width="9.125" style="17" bestFit="1" customWidth="1"/>
    <col min="9" max="10" width="9.375" style="17" bestFit="1" customWidth="1"/>
    <col min="11" max="23" width="9.125" style="17" bestFit="1" customWidth="1"/>
    <col min="24" max="16384" width="9" style="17"/>
  </cols>
  <sheetData>
    <row r="1" spans="2:23" x14ac:dyDescent="0.3">
      <c r="B1" s="16">
        <v>1</v>
      </c>
      <c r="C1" s="17">
        <v>2</v>
      </c>
      <c r="D1" s="17">
        <v>3</v>
      </c>
      <c r="E1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  <c r="L1" s="17">
        <v>11</v>
      </c>
      <c r="M1" s="17">
        <v>12</v>
      </c>
      <c r="N1" s="17">
        <v>13</v>
      </c>
      <c r="O1" s="17">
        <v>14</v>
      </c>
      <c r="P1" s="17">
        <v>15</v>
      </c>
      <c r="Q1" s="17">
        <v>16</v>
      </c>
      <c r="R1" s="17">
        <v>17</v>
      </c>
      <c r="S1" s="17">
        <v>18</v>
      </c>
      <c r="T1" s="17">
        <v>19</v>
      </c>
      <c r="U1" s="17">
        <v>20</v>
      </c>
      <c r="V1" s="17">
        <v>21</v>
      </c>
      <c r="W1" s="17">
        <v>22</v>
      </c>
    </row>
    <row r="2" spans="2:23" x14ac:dyDescent="0.25">
      <c r="B2" s="21" t="s">
        <v>0</v>
      </c>
      <c r="C2" s="21" t="s">
        <v>1</v>
      </c>
      <c r="D2" s="21" t="s">
        <v>2</v>
      </c>
      <c r="E2" s="1" t="s">
        <v>3</v>
      </c>
      <c r="F2" s="21" t="s">
        <v>4</v>
      </c>
      <c r="G2" s="21" t="s">
        <v>5</v>
      </c>
      <c r="H2" s="21" t="s">
        <v>6</v>
      </c>
      <c r="I2" s="21" t="s">
        <v>7</v>
      </c>
      <c r="J2" s="21" t="s">
        <v>8</v>
      </c>
      <c r="K2" s="21" t="s">
        <v>9</v>
      </c>
      <c r="L2" s="21" t="s">
        <v>10</v>
      </c>
      <c r="M2" s="21" t="s">
        <v>11</v>
      </c>
      <c r="N2" s="21" t="s">
        <v>12</v>
      </c>
      <c r="O2" s="21" t="s">
        <v>13</v>
      </c>
      <c r="P2" s="21" t="s">
        <v>14</v>
      </c>
      <c r="Q2" s="21" t="s">
        <v>15</v>
      </c>
      <c r="R2" s="21" t="s">
        <v>16</v>
      </c>
      <c r="S2" s="21" t="s">
        <v>17</v>
      </c>
      <c r="T2" s="21" t="s">
        <v>18</v>
      </c>
      <c r="U2" s="21" t="s">
        <v>19</v>
      </c>
      <c r="V2" s="21" t="s">
        <v>20</v>
      </c>
      <c r="W2" s="21" t="s">
        <v>21</v>
      </c>
    </row>
    <row r="3" spans="2:23" customFormat="1" hidden="1" x14ac:dyDescent="0.3">
      <c r="B3" s="2" t="s">
        <v>22</v>
      </c>
      <c r="C3" s="2" t="s">
        <v>23</v>
      </c>
      <c r="D3" s="2" t="s">
        <v>24</v>
      </c>
      <c r="E3" s="2" t="s">
        <v>25</v>
      </c>
      <c r="F3" s="2">
        <v>13.38865949879402</v>
      </c>
      <c r="G3" s="2">
        <v>152.15</v>
      </c>
      <c r="H3" s="2">
        <v>153.11000000000001</v>
      </c>
      <c r="I3" s="2">
        <v>89.43</v>
      </c>
      <c r="J3" s="2">
        <v>62.2</v>
      </c>
      <c r="K3" s="2">
        <v>35.049999999999997</v>
      </c>
      <c r="L3" s="2">
        <v>29.43</v>
      </c>
      <c r="M3" s="2">
        <v>-1.39</v>
      </c>
      <c r="N3" s="2">
        <v>-9.59</v>
      </c>
      <c r="O3" s="2">
        <v>-20.03</v>
      </c>
      <c r="P3" s="3">
        <v>-8.1999999999999993</v>
      </c>
      <c r="Q3" s="2">
        <v>5.8</v>
      </c>
      <c r="R3" s="2">
        <v>20.07</v>
      </c>
      <c r="S3" s="2">
        <v>15.56</v>
      </c>
      <c r="T3" s="3">
        <v>131.51</v>
      </c>
      <c r="U3" s="3">
        <v>36.909999999999997</v>
      </c>
      <c r="V3" s="3">
        <v>60.63</v>
      </c>
      <c r="W3" s="3">
        <v>48.31</v>
      </c>
    </row>
    <row r="4" spans="2:23" ht="15" x14ac:dyDescent="0.25">
      <c r="B4" s="22" t="s">
        <v>30</v>
      </c>
      <c r="C4" s="23" t="s">
        <v>23</v>
      </c>
      <c r="D4" s="23" t="s">
        <v>31</v>
      </c>
      <c r="E4" s="2" t="s">
        <v>32</v>
      </c>
      <c r="F4" s="25">
        <v>54.460093896713623</v>
      </c>
      <c r="G4" s="26">
        <v>-111</v>
      </c>
      <c r="H4" s="26">
        <v>-367</v>
      </c>
      <c r="I4" s="26">
        <v>-69</v>
      </c>
      <c r="J4" s="26">
        <v>152</v>
      </c>
      <c r="K4" s="26">
        <v>99</v>
      </c>
      <c r="L4" s="26">
        <v>-130</v>
      </c>
      <c r="M4" s="27">
        <v>259</v>
      </c>
      <c r="N4" s="26">
        <v>-123</v>
      </c>
      <c r="O4" s="26">
        <v>-38</v>
      </c>
      <c r="P4" s="27">
        <v>-157</v>
      </c>
      <c r="Q4" s="27">
        <v>58</v>
      </c>
      <c r="R4" s="26">
        <v>-11</v>
      </c>
      <c r="S4" s="26">
        <v>17</v>
      </c>
      <c r="T4" s="27">
        <v>-174</v>
      </c>
      <c r="U4" s="27">
        <v>30</v>
      </c>
      <c r="V4" s="27">
        <v>-86</v>
      </c>
      <c r="W4" s="27">
        <v>-99</v>
      </c>
    </row>
    <row r="5" spans="2:23" customFormat="1" hidden="1" x14ac:dyDescent="0.3">
      <c r="B5" s="2" t="s">
        <v>29</v>
      </c>
      <c r="C5" s="2" t="s">
        <v>23</v>
      </c>
      <c r="D5" s="2" t="s">
        <v>27</v>
      </c>
      <c r="E5" s="2" t="s">
        <v>25</v>
      </c>
      <c r="F5" s="2">
        <v>137.66519823788551</v>
      </c>
      <c r="G5" s="2">
        <v>28.69</v>
      </c>
      <c r="H5" s="2">
        <v>31.95</v>
      </c>
      <c r="I5" s="2">
        <v>27.56</v>
      </c>
      <c r="J5" s="2">
        <v>30.92</v>
      </c>
      <c r="K5" s="2">
        <v>27.96</v>
      </c>
      <c r="L5" s="2">
        <v>30.44</v>
      </c>
      <c r="M5" s="2">
        <v>24.86</v>
      </c>
      <c r="N5" s="2">
        <v>1.92</v>
      </c>
      <c r="O5" s="2">
        <v>11.84</v>
      </c>
      <c r="P5" s="2">
        <v>7.43</v>
      </c>
      <c r="Q5" s="2">
        <v>-1.28</v>
      </c>
      <c r="R5" s="3">
        <v>4.82</v>
      </c>
      <c r="S5" s="2">
        <v>7.32</v>
      </c>
      <c r="T5" s="2">
        <v>-26.76</v>
      </c>
      <c r="U5" s="2">
        <v>12.02</v>
      </c>
      <c r="V5" s="2">
        <v>16.5</v>
      </c>
      <c r="W5" s="3">
        <v>19.82</v>
      </c>
    </row>
    <row r="6" spans="2:23" ht="15" x14ac:dyDescent="0.25">
      <c r="B6" s="22" t="s">
        <v>69</v>
      </c>
      <c r="C6" s="23" t="s">
        <v>23</v>
      </c>
      <c r="D6" s="23" t="s">
        <v>27</v>
      </c>
      <c r="E6" s="2" t="s">
        <v>32</v>
      </c>
      <c r="F6" s="25">
        <v>39.055649241146703</v>
      </c>
      <c r="G6" s="26">
        <v>17.7</v>
      </c>
      <c r="H6" s="26">
        <v>18.739999999999998</v>
      </c>
      <c r="I6" s="26">
        <v>18.93</v>
      </c>
      <c r="J6" s="26">
        <v>20.68</v>
      </c>
      <c r="K6" s="26">
        <v>19.87</v>
      </c>
      <c r="L6" s="26">
        <v>20.399999999999999</v>
      </c>
      <c r="M6" s="26">
        <v>17.16</v>
      </c>
      <c r="N6" s="26">
        <v>17.13</v>
      </c>
      <c r="O6" s="26">
        <v>17.14</v>
      </c>
      <c r="P6" s="26">
        <v>15.43</v>
      </c>
      <c r="Q6" s="26">
        <v>16</v>
      </c>
      <c r="R6" s="26">
        <v>17.29</v>
      </c>
      <c r="S6" s="26">
        <v>18.63</v>
      </c>
      <c r="T6" s="26">
        <v>14.34</v>
      </c>
      <c r="U6" s="26">
        <v>17.25</v>
      </c>
      <c r="V6" s="26">
        <v>9.08</v>
      </c>
      <c r="W6" s="27">
        <v>41.79</v>
      </c>
    </row>
    <row r="7" spans="2:23" customFormat="1" hidden="1" x14ac:dyDescent="0.3">
      <c r="B7" s="2" t="s">
        <v>33</v>
      </c>
      <c r="C7" s="2" t="s">
        <v>23</v>
      </c>
      <c r="D7" s="2" t="s">
        <v>34</v>
      </c>
      <c r="E7" s="2" t="s">
        <v>35</v>
      </c>
      <c r="F7" s="2">
        <v>15.96007810804949</v>
      </c>
      <c r="G7" s="2">
        <v>-29</v>
      </c>
      <c r="H7" s="2">
        <v>-37.950000000000003</v>
      </c>
      <c r="I7" s="2">
        <v>-42.74</v>
      </c>
      <c r="J7" s="2">
        <v>-45.72</v>
      </c>
      <c r="K7" s="3">
        <v>-46.72</v>
      </c>
      <c r="L7" s="2">
        <v>-48.69</v>
      </c>
      <c r="M7" s="2">
        <v>-42.95</v>
      </c>
      <c r="N7" s="2">
        <v>-26.77</v>
      </c>
      <c r="O7" s="2">
        <v>-40.01</v>
      </c>
      <c r="P7" s="2">
        <v>-45.33</v>
      </c>
      <c r="Q7" s="2">
        <v>-45.22</v>
      </c>
      <c r="R7" s="3">
        <v>-48.54</v>
      </c>
      <c r="S7" s="2">
        <v>-54.61</v>
      </c>
      <c r="T7" s="2">
        <v>-64.66</v>
      </c>
      <c r="U7" s="2">
        <v>-62.86</v>
      </c>
      <c r="V7" s="2">
        <v>-48.32</v>
      </c>
      <c r="W7" s="3">
        <v>-91.39</v>
      </c>
    </row>
    <row r="8" spans="2:23" customFormat="1" hidden="1" x14ac:dyDescent="0.3">
      <c r="B8" s="2" t="s">
        <v>36</v>
      </c>
      <c r="C8" s="2" t="s">
        <v>23</v>
      </c>
      <c r="D8" s="2" t="s">
        <v>37</v>
      </c>
      <c r="E8" s="2" t="s">
        <v>25</v>
      </c>
      <c r="F8" s="2">
        <v>2.6440751133175011</v>
      </c>
      <c r="G8" s="2">
        <v>545</v>
      </c>
      <c r="H8" s="2">
        <v>489.9</v>
      </c>
      <c r="I8" s="2">
        <v>351.2</v>
      </c>
      <c r="J8" s="2">
        <v>450.6</v>
      </c>
      <c r="K8" s="2">
        <v>527</v>
      </c>
      <c r="L8" s="2">
        <v>519.20000000000005</v>
      </c>
      <c r="M8" s="2">
        <v>393</v>
      </c>
      <c r="N8" s="2">
        <v>528.20000000000005</v>
      </c>
      <c r="O8" s="2">
        <v>623.1</v>
      </c>
      <c r="P8" s="2">
        <v>641.79999999999995</v>
      </c>
      <c r="Q8" s="2">
        <v>560.70000000000005</v>
      </c>
      <c r="R8" s="2">
        <v>682.4</v>
      </c>
      <c r="S8" s="2">
        <v>726</v>
      </c>
      <c r="T8" s="2">
        <v>701</v>
      </c>
      <c r="U8" s="2">
        <v>602.6</v>
      </c>
      <c r="V8" s="2">
        <v>750.2</v>
      </c>
      <c r="W8" s="2">
        <v>799.5</v>
      </c>
    </row>
    <row r="9" spans="2:23" customFormat="1" hidden="1" x14ac:dyDescent="0.3">
      <c r="B9" s="2" t="s">
        <v>38</v>
      </c>
      <c r="C9" s="2" t="s">
        <v>39</v>
      </c>
      <c r="D9" s="2" t="s">
        <v>40</v>
      </c>
      <c r="E9" s="2" t="s">
        <v>25</v>
      </c>
      <c r="F9" s="2">
        <v>17.555063208653721</v>
      </c>
      <c r="G9" s="2">
        <v>93.77</v>
      </c>
      <c r="H9" s="2">
        <v>119.64</v>
      </c>
      <c r="I9" s="2">
        <v>87.15</v>
      </c>
      <c r="J9" s="2">
        <v>721.67</v>
      </c>
      <c r="K9" s="3">
        <v>263.95999999999998</v>
      </c>
      <c r="L9" s="3">
        <v>1174</v>
      </c>
      <c r="M9" s="3">
        <v>1279</v>
      </c>
      <c r="N9" s="2">
        <v>788.13</v>
      </c>
      <c r="O9" s="3">
        <v>855.64</v>
      </c>
      <c r="P9" s="2">
        <v>1369</v>
      </c>
      <c r="Q9" s="2">
        <v>1533</v>
      </c>
      <c r="R9" s="2">
        <v>1013</v>
      </c>
      <c r="S9" s="2">
        <v>1071</v>
      </c>
      <c r="T9" s="2">
        <v>1570</v>
      </c>
      <c r="U9" s="2">
        <v>1998</v>
      </c>
      <c r="V9" s="3">
        <v>3034</v>
      </c>
      <c r="W9" s="3">
        <v>2418</v>
      </c>
    </row>
    <row r="10" spans="2:23" ht="15" x14ac:dyDescent="0.25">
      <c r="B10" s="22" t="s">
        <v>120</v>
      </c>
      <c r="C10" s="23" t="s">
        <v>23</v>
      </c>
      <c r="D10" s="23" t="s">
        <v>105</v>
      </c>
      <c r="E10" s="2" t="s">
        <v>121</v>
      </c>
      <c r="F10" s="25">
        <v>29.387434777075459</v>
      </c>
      <c r="G10" s="26">
        <v>296.01</v>
      </c>
      <c r="H10" s="26">
        <v>344.3</v>
      </c>
      <c r="I10" s="26">
        <v>101.86</v>
      </c>
      <c r="J10" s="26">
        <v>261.56</v>
      </c>
      <c r="K10" s="26">
        <v>36.11</v>
      </c>
      <c r="L10" s="26">
        <v>-71.66</v>
      </c>
      <c r="M10" s="26">
        <v>-25.4</v>
      </c>
      <c r="N10" s="26">
        <v>207.85</v>
      </c>
      <c r="O10" s="27">
        <v>134.72</v>
      </c>
      <c r="P10" s="27">
        <v>88.79</v>
      </c>
      <c r="Q10" s="27">
        <v>21.41</v>
      </c>
      <c r="R10" s="26">
        <v>132.05000000000001</v>
      </c>
      <c r="S10" s="26">
        <v>53.59</v>
      </c>
      <c r="T10" s="27">
        <v>194.62</v>
      </c>
      <c r="U10" s="26">
        <v>35.85</v>
      </c>
      <c r="V10" s="27">
        <v>187.4</v>
      </c>
      <c r="W10" s="27">
        <v>192.14</v>
      </c>
    </row>
    <row r="11" spans="2:23" ht="15" x14ac:dyDescent="0.25">
      <c r="B11" s="22" t="s">
        <v>41</v>
      </c>
      <c r="C11" s="23" t="s">
        <v>23</v>
      </c>
      <c r="D11" s="23" t="s">
        <v>27</v>
      </c>
      <c r="E11" s="2" t="s">
        <v>32</v>
      </c>
      <c r="F11" s="25">
        <v>27.392491467576789</v>
      </c>
      <c r="G11" s="26">
        <v>39.159999999999997</v>
      </c>
      <c r="H11" s="26">
        <v>35.71</v>
      </c>
      <c r="I11" s="26">
        <v>36.200000000000003</v>
      </c>
      <c r="J11" s="26">
        <v>44.14</v>
      </c>
      <c r="K11" s="26">
        <v>45.69</v>
      </c>
      <c r="L11" s="26">
        <v>46.35</v>
      </c>
      <c r="M11" s="26">
        <v>36.85</v>
      </c>
      <c r="N11" s="26">
        <v>37.49</v>
      </c>
      <c r="O11" s="26">
        <v>33.22</v>
      </c>
      <c r="P11" s="26">
        <v>34.96</v>
      </c>
      <c r="Q11" s="26">
        <v>38.42</v>
      </c>
      <c r="R11" s="26">
        <v>42.56</v>
      </c>
      <c r="S11" s="26">
        <v>37.36</v>
      </c>
      <c r="T11" s="26">
        <v>-32.67</v>
      </c>
      <c r="U11" s="27">
        <v>64.510000000000005</v>
      </c>
      <c r="V11" s="27">
        <v>77.3</v>
      </c>
      <c r="W11" s="27">
        <v>77.489999999999995</v>
      </c>
    </row>
    <row r="12" spans="2:23" customFormat="1" hidden="1" x14ac:dyDescent="0.3">
      <c r="B12" s="2" t="s">
        <v>43</v>
      </c>
      <c r="C12" s="2" t="s">
        <v>39</v>
      </c>
      <c r="D12" s="2" t="s">
        <v>40</v>
      </c>
      <c r="E12" s="2" t="s">
        <v>25</v>
      </c>
      <c r="F12" s="2">
        <v>6.3533991380508859</v>
      </c>
      <c r="G12" s="2">
        <v>1399</v>
      </c>
      <c r="H12" s="2">
        <v>1509</v>
      </c>
      <c r="I12" s="2">
        <v>1565</v>
      </c>
      <c r="J12" s="2">
        <v>1400</v>
      </c>
      <c r="K12" s="2">
        <v>1539</v>
      </c>
      <c r="L12" s="2">
        <v>1606</v>
      </c>
      <c r="M12" s="2">
        <v>1776</v>
      </c>
      <c r="N12" s="2">
        <v>1389</v>
      </c>
      <c r="O12" s="2">
        <v>1745</v>
      </c>
      <c r="P12" s="2">
        <v>1737</v>
      </c>
      <c r="Q12" s="2">
        <v>1706</v>
      </c>
      <c r="R12" s="2">
        <v>1347</v>
      </c>
      <c r="S12" s="2">
        <v>1829</v>
      </c>
      <c r="T12" s="2">
        <v>1717</v>
      </c>
      <c r="U12" s="2">
        <v>1811</v>
      </c>
      <c r="V12" s="2">
        <v>1836</v>
      </c>
      <c r="W12" s="2">
        <v>2286</v>
      </c>
    </row>
    <row r="13" spans="2:23" ht="15" x14ac:dyDescent="0.25">
      <c r="B13" s="22" t="s">
        <v>52</v>
      </c>
      <c r="C13" s="23" t="s">
        <v>23</v>
      </c>
      <c r="D13" s="23" t="s">
        <v>27</v>
      </c>
      <c r="E13" s="2" t="s">
        <v>32</v>
      </c>
      <c r="F13" s="25">
        <v>26.20505399087163</v>
      </c>
      <c r="G13" s="26">
        <v>48.42</v>
      </c>
      <c r="H13" s="26">
        <v>41.48</v>
      </c>
      <c r="I13" s="26">
        <v>50.54</v>
      </c>
      <c r="J13" s="26">
        <v>60.13</v>
      </c>
      <c r="K13" s="26">
        <v>59.16</v>
      </c>
      <c r="L13" s="26">
        <v>57.4</v>
      </c>
      <c r="M13" s="26">
        <v>35.28</v>
      </c>
      <c r="N13" s="26">
        <v>52.6</v>
      </c>
      <c r="O13" s="26">
        <v>31.91</v>
      </c>
      <c r="P13" s="26">
        <v>49.32</v>
      </c>
      <c r="Q13" s="26">
        <v>48.51</v>
      </c>
      <c r="R13" s="27">
        <v>97.38</v>
      </c>
      <c r="S13" s="26">
        <v>49.75</v>
      </c>
      <c r="T13" s="26">
        <v>51.97</v>
      </c>
      <c r="U13" s="26">
        <v>2.67</v>
      </c>
      <c r="V13" s="26">
        <v>75.27</v>
      </c>
      <c r="W13" s="27">
        <v>96.83</v>
      </c>
    </row>
    <row r="14" spans="2:23" ht="15" x14ac:dyDescent="0.25">
      <c r="B14" s="22" t="s">
        <v>50</v>
      </c>
      <c r="C14" s="23" t="s">
        <v>23</v>
      </c>
      <c r="D14" s="23" t="s">
        <v>27</v>
      </c>
      <c r="E14" s="2" t="s">
        <v>32</v>
      </c>
      <c r="F14" s="25">
        <v>23.253145001103519</v>
      </c>
      <c r="G14" s="26">
        <v>66.290000000000006</v>
      </c>
      <c r="H14" s="26">
        <v>53.98</v>
      </c>
      <c r="I14" s="26">
        <v>53</v>
      </c>
      <c r="J14" s="26">
        <v>65.349999999999994</v>
      </c>
      <c r="K14" s="26">
        <v>64.069999999999993</v>
      </c>
      <c r="L14" s="26">
        <v>52.28</v>
      </c>
      <c r="M14" s="26">
        <v>53.94</v>
      </c>
      <c r="N14" s="26">
        <v>44.3</v>
      </c>
      <c r="O14" s="26">
        <v>43.53</v>
      </c>
      <c r="P14" s="26">
        <v>43.39</v>
      </c>
      <c r="Q14" s="26">
        <v>35.020000000000003</v>
      </c>
      <c r="R14" s="26">
        <v>44.77</v>
      </c>
      <c r="S14" s="27">
        <v>61.94</v>
      </c>
      <c r="T14" s="26">
        <v>-9.67</v>
      </c>
      <c r="U14" s="27">
        <v>70.97</v>
      </c>
      <c r="V14" s="27">
        <v>103.31</v>
      </c>
      <c r="W14" s="27">
        <v>114.62</v>
      </c>
    </row>
    <row r="15" spans="2:23" ht="15" x14ac:dyDescent="0.25">
      <c r="B15" s="22" t="s">
        <v>123</v>
      </c>
      <c r="C15" s="23" t="s">
        <v>23</v>
      </c>
      <c r="D15" s="23" t="s">
        <v>27</v>
      </c>
      <c r="E15" s="2" t="s">
        <v>32</v>
      </c>
      <c r="F15" s="25">
        <v>16.743832308164428</v>
      </c>
      <c r="G15" s="26">
        <v>98.37</v>
      </c>
      <c r="H15" s="26">
        <v>125.76</v>
      </c>
      <c r="I15" s="26">
        <v>173.6</v>
      </c>
      <c r="J15" s="26">
        <v>108.81</v>
      </c>
      <c r="K15" s="26">
        <v>123.85</v>
      </c>
      <c r="L15" s="26">
        <v>111.59</v>
      </c>
      <c r="M15" s="26">
        <v>110.02</v>
      </c>
      <c r="N15" s="26">
        <v>119.19</v>
      </c>
      <c r="O15" s="26">
        <v>80.8</v>
      </c>
      <c r="P15" s="26">
        <v>133.87</v>
      </c>
      <c r="Q15" s="26">
        <v>126.91</v>
      </c>
      <c r="R15" s="26">
        <v>135.66999999999999</v>
      </c>
      <c r="S15" s="27">
        <v>144.82</v>
      </c>
      <c r="T15" s="26">
        <v>93.05</v>
      </c>
      <c r="U15" s="27">
        <v>275.04000000000002</v>
      </c>
      <c r="V15" s="27">
        <v>236.56</v>
      </c>
      <c r="W15" s="27">
        <v>270.31</v>
      </c>
    </row>
    <row r="16" spans="2:23" ht="15" x14ac:dyDescent="0.25">
      <c r="B16" s="22" t="s">
        <v>94</v>
      </c>
      <c r="C16" s="23" t="s">
        <v>23</v>
      </c>
      <c r="D16" s="23" t="s">
        <v>95</v>
      </c>
      <c r="E16" s="2" t="s">
        <v>143</v>
      </c>
      <c r="F16" s="25">
        <v>15.71576763485478</v>
      </c>
      <c r="G16" s="26">
        <v>581</v>
      </c>
      <c r="H16" s="26">
        <v>429</v>
      </c>
      <c r="I16" s="26">
        <v>361</v>
      </c>
      <c r="J16" s="26">
        <v>116</v>
      </c>
      <c r="K16" s="26">
        <v>-40</v>
      </c>
      <c r="L16" s="26">
        <v>5</v>
      </c>
      <c r="M16" s="26">
        <v>110</v>
      </c>
      <c r="N16" s="26">
        <v>-114</v>
      </c>
      <c r="O16" s="26">
        <v>93</v>
      </c>
      <c r="P16" s="27">
        <v>145</v>
      </c>
      <c r="Q16" s="27">
        <v>283</v>
      </c>
      <c r="R16" s="27">
        <v>404</v>
      </c>
      <c r="S16" s="27">
        <v>489</v>
      </c>
      <c r="T16" s="27">
        <v>451</v>
      </c>
      <c r="U16" s="27">
        <v>584</v>
      </c>
      <c r="V16" s="27">
        <v>707</v>
      </c>
      <c r="W16" s="27">
        <v>846</v>
      </c>
    </row>
    <row r="17" spans="2:23" ht="15" x14ac:dyDescent="0.25">
      <c r="B17" s="22" t="s">
        <v>79</v>
      </c>
      <c r="C17" s="23" t="s">
        <v>23</v>
      </c>
      <c r="D17" s="23" t="s">
        <v>27</v>
      </c>
      <c r="E17" s="2" t="s">
        <v>32</v>
      </c>
      <c r="F17" s="25">
        <v>14.267034723231159</v>
      </c>
      <c r="G17" s="26">
        <v>20.7</v>
      </c>
      <c r="H17" s="26">
        <v>21.06</v>
      </c>
      <c r="I17" s="26">
        <v>18.77</v>
      </c>
      <c r="J17" s="26">
        <v>17.91</v>
      </c>
      <c r="K17" s="26">
        <v>19.309999999999999</v>
      </c>
      <c r="L17" s="26">
        <v>15.98</v>
      </c>
      <c r="M17" s="26">
        <v>15.55</v>
      </c>
      <c r="N17" s="26">
        <v>12.02</v>
      </c>
      <c r="O17" s="26">
        <v>10.28</v>
      </c>
      <c r="P17" s="26">
        <v>16.34</v>
      </c>
      <c r="Q17" s="26">
        <v>14.87</v>
      </c>
      <c r="R17" s="26">
        <v>15.85</v>
      </c>
      <c r="S17" s="27">
        <v>18.399999999999999</v>
      </c>
      <c r="T17" s="26">
        <v>6.17</v>
      </c>
      <c r="U17" s="26">
        <v>17.760000000000002</v>
      </c>
      <c r="V17" s="27">
        <v>26.5</v>
      </c>
      <c r="W17" s="27">
        <v>28.22</v>
      </c>
    </row>
    <row r="18" spans="2:23" ht="15" x14ac:dyDescent="0.25">
      <c r="B18" s="22" t="s">
        <v>44</v>
      </c>
      <c r="C18" s="23" t="s">
        <v>23</v>
      </c>
      <c r="D18" s="23" t="s">
        <v>27</v>
      </c>
      <c r="E18" s="2" t="s">
        <v>32</v>
      </c>
      <c r="F18" s="25">
        <v>13.81406502704812</v>
      </c>
      <c r="G18" s="26">
        <v>52.08</v>
      </c>
      <c r="H18" s="26">
        <v>59.19</v>
      </c>
      <c r="I18" s="26">
        <v>53.57</v>
      </c>
      <c r="J18" s="26">
        <v>60.08</v>
      </c>
      <c r="K18" s="26">
        <v>67.27</v>
      </c>
      <c r="L18" s="26">
        <v>54.99</v>
      </c>
      <c r="M18" s="26">
        <v>43.63</v>
      </c>
      <c r="N18" s="26">
        <v>37.39</v>
      </c>
      <c r="O18" s="26">
        <v>39.770000000000003</v>
      </c>
      <c r="P18" s="26">
        <v>42.97</v>
      </c>
      <c r="Q18" s="26">
        <v>-21.32</v>
      </c>
      <c r="R18" s="27">
        <v>65.260000000000005</v>
      </c>
      <c r="S18" s="27">
        <v>62.71</v>
      </c>
      <c r="T18" s="27">
        <v>91.85</v>
      </c>
      <c r="U18" s="27">
        <v>102.44</v>
      </c>
      <c r="V18" s="27">
        <v>101.62</v>
      </c>
      <c r="W18" s="27">
        <v>112.25</v>
      </c>
    </row>
    <row r="19" spans="2:23" ht="15" x14ac:dyDescent="0.25">
      <c r="B19" s="22" t="s">
        <v>118</v>
      </c>
      <c r="C19" s="23" t="s">
        <v>23</v>
      </c>
      <c r="D19" s="23" t="s">
        <v>87</v>
      </c>
      <c r="E19" s="2" t="s">
        <v>32</v>
      </c>
      <c r="F19" s="25">
        <v>12.826471890216901</v>
      </c>
      <c r="G19" s="26">
        <v>12.36</v>
      </c>
      <c r="H19" s="26">
        <v>7.66</v>
      </c>
      <c r="I19" s="26">
        <v>9.58</v>
      </c>
      <c r="J19" s="26">
        <v>9.31</v>
      </c>
      <c r="K19" s="26">
        <v>14.25</v>
      </c>
      <c r="L19" s="27">
        <v>19.91</v>
      </c>
      <c r="M19" s="27">
        <v>18.48</v>
      </c>
      <c r="N19" s="27">
        <v>17.63</v>
      </c>
      <c r="O19" s="26">
        <v>21.05</v>
      </c>
      <c r="P19" s="26">
        <v>22.74</v>
      </c>
      <c r="Q19" s="26">
        <v>23.11</v>
      </c>
      <c r="R19" s="26">
        <v>18.440000000000001</v>
      </c>
      <c r="S19" s="26">
        <v>20.07</v>
      </c>
      <c r="T19" s="26">
        <v>30.33</v>
      </c>
      <c r="U19" s="26">
        <v>24.78</v>
      </c>
      <c r="V19" s="26">
        <v>15.18</v>
      </c>
      <c r="W19" s="27">
        <v>31.66</v>
      </c>
    </row>
    <row r="20" spans="2:23" ht="15" x14ac:dyDescent="0.25">
      <c r="B20" s="22" t="s">
        <v>80</v>
      </c>
      <c r="C20" s="23" t="s">
        <v>23</v>
      </c>
      <c r="D20" s="23" t="s">
        <v>27</v>
      </c>
      <c r="E20" s="2" t="s">
        <v>32</v>
      </c>
      <c r="F20" s="25">
        <v>12.43445692883896</v>
      </c>
      <c r="G20" s="26">
        <v>16.829999999999998</v>
      </c>
      <c r="H20" s="26">
        <v>16.55</v>
      </c>
      <c r="I20" s="26">
        <v>17.399999999999999</v>
      </c>
      <c r="J20" s="26">
        <v>19.829999999999998</v>
      </c>
      <c r="K20" s="26">
        <v>17.93</v>
      </c>
      <c r="L20" s="26">
        <v>15.82</v>
      </c>
      <c r="M20" s="26">
        <v>12.96</v>
      </c>
      <c r="N20" s="26">
        <v>12.51</v>
      </c>
      <c r="O20" s="26">
        <v>11.23</v>
      </c>
      <c r="P20" s="26">
        <v>10.24</v>
      </c>
      <c r="Q20" s="26">
        <v>10.62</v>
      </c>
      <c r="R20" s="26">
        <v>11.36</v>
      </c>
      <c r="S20" s="26">
        <v>10.51</v>
      </c>
      <c r="T20" s="26">
        <v>12.65</v>
      </c>
      <c r="U20" s="27">
        <v>15.14</v>
      </c>
      <c r="V20" s="26">
        <v>15.1</v>
      </c>
      <c r="W20" s="27">
        <v>17.149999999999999</v>
      </c>
    </row>
    <row r="21" spans="2:23" ht="15" x14ac:dyDescent="0.25">
      <c r="B21" s="22" t="s">
        <v>66</v>
      </c>
      <c r="C21" s="23" t="s">
        <v>23</v>
      </c>
      <c r="D21" s="23" t="s">
        <v>27</v>
      </c>
      <c r="E21" s="2" t="s">
        <v>32</v>
      </c>
      <c r="F21" s="25">
        <v>11.21586475942782</v>
      </c>
      <c r="G21" s="26">
        <v>8.5</v>
      </c>
      <c r="H21" s="26">
        <v>10.38</v>
      </c>
      <c r="I21" s="26">
        <v>10.74</v>
      </c>
      <c r="J21" s="26">
        <v>-6.4</v>
      </c>
      <c r="K21" s="27">
        <v>11.89</v>
      </c>
      <c r="L21" s="26">
        <v>11.39</v>
      </c>
      <c r="M21" s="26">
        <v>12.39</v>
      </c>
      <c r="N21" s="27">
        <v>11.56</v>
      </c>
      <c r="O21" s="26">
        <v>9.6999999999999993</v>
      </c>
      <c r="P21" s="26">
        <v>10.74</v>
      </c>
      <c r="Q21" s="26">
        <v>9.82</v>
      </c>
      <c r="R21" s="26">
        <v>-9.9</v>
      </c>
      <c r="S21" s="27">
        <v>17.14</v>
      </c>
      <c r="T21" s="27">
        <v>22.76</v>
      </c>
      <c r="U21" s="27">
        <v>24.7</v>
      </c>
      <c r="V21" s="27">
        <v>27.68</v>
      </c>
      <c r="W21" s="27">
        <v>27.49</v>
      </c>
    </row>
    <row r="22" spans="2:23" ht="15" x14ac:dyDescent="0.25">
      <c r="B22" s="22" t="s">
        <v>106</v>
      </c>
      <c r="C22" s="23" t="s">
        <v>23</v>
      </c>
      <c r="D22" s="23" t="s">
        <v>107</v>
      </c>
      <c r="E22" s="2" t="s">
        <v>32</v>
      </c>
      <c r="F22" s="24">
        <v>8.1132075471698215</v>
      </c>
      <c r="G22" s="26">
        <v>1362</v>
      </c>
      <c r="H22" s="26">
        <v>-614</v>
      </c>
      <c r="I22" s="26">
        <v>966</v>
      </c>
      <c r="J22" s="26">
        <v>1761</v>
      </c>
      <c r="K22" s="27">
        <v>1763</v>
      </c>
      <c r="L22" s="27">
        <v>3004</v>
      </c>
      <c r="M22" s="27">
        <v>2855</v>
      </c>
      <c r="N22" s="26">
        <v>1891</v>
      </c>
      <c r="O22" s="26">
        <v>2327</v>
      </c>
      <c r="P22" s="26">
        <v>2021</v>
      </c>
      <c r="Q22" s="26">
        <v>1707</v>
      </c>
      <c r="R22" s="27">
        <v>2690</v>
      </c>
      <c r="S22" s="26">
        <v>944</v>
      </c>
      <c r="T22" s="26">
        <v>2287</v>
      </c>
      <c r="U22" s="26">
        <v>2268</v>
      </c>
      <c r="V22" s="26">
        <v>2451</v>
      </c>
      <c r="W22" s="26">
        <v>1589</v>
      </c>
    </row>
    <row r="23" spans="2:23" customFormat="1" hidden="1" x14ac:dyDescent="0.3">
      <c r="B23" s="2" t="s">
        <v>57</v>
      </c>
      <c r="C23" s="2" t="s">
        <v>39</v>
      </c>
      <c r="D23" s="2" t="s">
        <v>40</v>
      </c>
      <c r="E23" s="2" t="s">
        <v>25</v>
      </c>
      <c r="F23" s="2">
        <v>24.1941914082187</v>
      </c>
      <c r="G23" s="2">
        <v>-345.84</v>
      </c>
      <c r="H23" s="2">
        <v>-342.15</v>
      </c>
      <c r="I23" s="2">
        <v>-323.89</v>
      </c>
      <c r="J23" s="2">
        <v>-43.44</v>
      </c>
      <c r="K23" s="2">
        <v>10.49</v>
      </c>
      <c r="L23" s="2">
        <v>33.630000000000003</v>
      </c>
      <c r="M23" s="2">
        <v>57.88</v>
      </c>
      <c r="N23" s="3">
        <v>-29.03</v>
      </c>
      <c r="O23" s="3">
        <v>18.25</v>
      </c>
      <c r="P23" s="3">
        <v>157.80000000000001</v>
      </c>
      <c r="Q23" s="3">
        <v>170.38</v>
      </c>
      <c r="R23" s="3">
        <v>115.16</v>
      </c>
      <c r="S23" s="3">
        <v>220.64</v>
      </c>
      <c r="T23" s="3">
        <v>395.67</v>
      </c>
      <c r="U23" s="3">
        <v>368.34</v>
      </c>
      <c r="V23" s="3">
        <v>344.76</v>
      </c>
      <c r="W23" s="3">
        <v>542.28</v>
      </c>
    </row>
    <row r="24" spans="2:23" ht="15" x14ac:dyDescent="0.25">
      <c r="B24" s="22" t="s">
        <v>98</v>
      </c>
      <c r="C24" s="23" t="s">
        <v>23</v>
      </c>
      <c r="D24" s="23" t="s">
        <v>99</v>
      </c>
      <c r="E24" s="2" t="s">
        <v>32</v>
      </c>
      <c r="F24" s="24">
        <v>7.0727410017618952</v>
      </c>
      <c r="G24" s="26">
        <v>2904</v>
      </c>
      <c r="H24" s="26">
        <v>3604</v>
      </c>
      <c r="I24" s="26">
        <v>3874</v>
      </c>
      <c r="J24" s="26">
        <v>3446</v>
      </c>
      <c r="K24" s="26">
        <v>2893</v>
      </c>
      <c r="L24" s="26">
        <v>2621</v>
      </c>
      <c r="M24" s="26">
        <v>2985</v>
      </c>
      <c r="N24" s="26">
        <v>1681</v>
      </c>
      <c r="O24" s="26">
        <v>2141</v>
      </c>
      <c r="P24" s="26">
        <v>1814</v>
      </c>
      <c r="Q24" s="26">
        <v>2126</v>
      </c>
      <c r="R24" s="26">
        <v>2051</v>
      </c>
      <c r="S24" s="26">
        <v>2060</v>
      </c>
      <c r="T24" s="26">
        <v>1793</v>
      </c>
      <c r="U24" s="26">
        <v>1914</v>
      </c>
      <c r="V24" s="26">
        <v>2179</v>
      </c>
      <c r="W24" s="26">
        <v>2622</v>
      </c>
    </row>
    <row r="25" spans="2:23" customFormat="1" hidden="1" x14ac:dyDescent="0.3">
      <c r="B25" s="2" t="s">
        <v>59</v>
      </c>
      <c r="C25" s="2" t="s">
        <v>39</v>
      </c>
      <c r="D25" s="2" t="s">
        <v>40</v>
      </c>
      <c r="E25" s="2" t="s">
        <v>25</v>
      </c>
      <c r="F25" s="2">
        <v>15.13353115727003</v>
      </c>
      <c r="G25" s="2">
        <v>418.5</v>
      </c>
      <c r="H25" s="2">
        <v>424.83</v>
      </c>
      <c r="I25" s="2">
        <v>423.51</v>
      </c>
      <c r="J25" s="2">
        <v>392.9</v>
      </c>
      <c r="K25" s="2">
        <v>428.5</v>
      </c>
      <c r="L25" s="2">
        <v>501.8</v>
      </c>
      <c r="M25" s="3">
        <v>781.2</v>
      </c>
      <c r="N25" s="2">
        <v>586.1</v>
      </c>
      <c r="O25" s="2">
        <v>495.8</v>
      </c>
      <c r="P25" s="2">
        <v>436.9</v>
      </c>
      <c r="Q25" s="2">
        <v>610.9</v>
      </c>
      <c r="R25" s="2">
        <v>426</v>
      </c>
      <c r="S25" s="2">
        <v>393.4</v>
      </c>
      <c r="T25" s="2">
        <v>447.4</v>
      </c>
      <c r="U25" s="2">
        <v>549.5</v>
      </c>
      <c r="V25" s="2">
        <v>564.29999999999995</v>
      </c>
      <c r="W25" s="3">
        <v>689.2</v>
      </c>
    </row>
    <row r="26" spans="2:23" ht="15" x14ac:dyDescent="0.25">
      <c r="B26" s="22" t="s">
        <v>26</v>
      </c>
      <c r="C26" s="23" t="s">
        <v>23</v>
      </c>
      <c r="D26" s="23" t="s">
        <v>27</v>
      </c>
      <c r="E26" s="2" t="s">
        <v>28</v>
      </c>
      <c r="F26" s="24">
        <v>6.5831244778613129</v>
      </c>
      <c r="G26" s="26">
        <v>43.63</v>
      </c>
      <c r="H26" s="26">
        <v>34.46</v>
      </c>
      <c r="I26" s="26">
        <v>38.39</v>
      </c>
      <c r="J26" s="26">
        <v>42.45</v>
      </c>
      <c r="K26" s="26">
        <v>44.88</v>
      </c>
      <c r="L26" s="26">
        <v>37.94</v>
      </c>
      <c r="M26" s="26">
        <v>53.61</v>
      </c>
      <c r="N26" s="26">
        <v>49.29</v>
      </c>
      <c r="O26" s="26">
        <v>56.72</v>
      </c>
      <c r="P26" s="26">
        <v>46.48</v>
      </c>
      <c r="Q26" s="26">
        <v>46.58</v>
      </c>
      <c r="R26" s="26">
        <v>40.53</v>
      </c>
      <c r="S26" s="26">
        <v>44.62</v>
      </c>
      <c r="T26" s="26">
        <v>41.04</v>
      </c>
      <c r="U26" s="26">
        <v>42.07</v>
      </c>
      <c r="V26" s="26">
        <v>51.82</v>
      </c>
      <c r="W26" s="26">
        <v>56.44</v>
      </c>
    </row>
    <row r="27" spans="2:23" ht="15" x14ac:dyDescent="0.25">
      <c r="B27" s="22" t="s">
        <v>119</v>
      </c>
      <c r="C27" s="23" t="s">
        <v>23</v>
      </c>
      <c r="D27" s="23" t="s">
        <v>27</v>
      </c>
      <c r="E27" s="2" t="s">
        <v>32</v>
      </c>
      <c r="F27" s="24">
        <v>5.9889884304828778</v>
      </c>
      <c r="G27" s="26">
        <v>281.62</v>
      </c>
      <c r="H27" s="26">
        <v>262.17</v>
      </c>
      <c r="I27" s="26">
        <v>275.63</v>
      </c>
      <c r="J27" s="26">
        <v>490.38</v>
      </c>
      <c r="K27" s="26">
        <v>206.79</v>
      </c>
      <c r="L27" s="26">
        <v>205.29</v>
      </c>
      <c r="M27" s="26">
        <v>194.66</v>
      </c>
      <c r="N27" s="26">
        <v>182.47</v>
      </c>
      <c r="O27" s="26">
        <v>93.12</v>
      </c>
      <c r="P27" s="26">
        <v>158.85</v>
      </c>
      <c r="Q27" s="26">
        <v>218.25</v>
      </c>
      <c r="R27" s="26">
        <v>197.79</v>
      </c>
      <c r="S27" s="27">
        <v>221.73</v>
      </c>
      <c r="T27" s="26">
        <v>222.57</v>
      </c>
      <c r="U27" s="26">
        <v>258.32</v>
      </c>
      <c r="V27" s="26">
        <v>247.29</v>
      </c>
      <c r="W27" s="26">
        <v>278.62</v>
      </c>
    </row>
    <row r="28" spans="2:23" customFormat="1" hidden="1" x14ac:dyDescent="0.3">
      <c r="B28" s="2" t="s">
        <v>63</v>
      </c>
      <c r="C28" s="2" t="s">
        <v>39</v>
      </c>
      <c r="D28" s="2" t="s">
        <v>40</v>
      </c>
      <c r="E28" s="2" t="s">
        <v>25</v>
      </c>
      <c r="F28" s="2">
        <v>4.3300838812060816</v>
      </c>
      <c r="G28" s="2">
        <v>534.04</v>
      </c>
      <c r="H28" s="2">
        <v>551.92999999999995</v>
      </c>
      <c r="I28" s="2">
        <v>585.5</v>
      </c>
      <c r="J28" s="2">
        <v>625.42999999999995</v>
      </c>
      <c r="K28" s="2">
        <v>675.47</v>
      </c>
      <c r="L28" s="2">
        <v>705.27</v>
      </c>
      <c r="M28" s="2">
        <v>706.23</v>
      </c>
      <c r="N28" s="2">
        <v>765.4</v>
      </c>
      <c r="O28" s="2">
        <v>825.1</v>
      </c>
      <c r="P28" s="2">
        <v>869.4</v>
      </c>
      <c r="Q28" s="2">
        <v>934.8</v>
      </c>
      <c r="R28" s="2">
        <v>971.5</v>
      </c>
      <c r="S28" s="2">
        <v>1038</v>
      </c>
      <c r="T28" s="2">
        <v>1080</v>
      </c>
      <c r="U28" s="2">
        <v>1134</v>
      </c>
      <c r="V28" s="2">
        <v>1159</v>
      </c>
      <c r="W28" s="2">
        <v>1229</v>
      </c>
    </row>
    <row r="29" spans="2:23" ht="15" x14ac:dyDescent="0.25">
      <c r="B29" s="22" t="s">
        <v>113</v>
      </c>
      <c r="C29" s="23" t="s">
        <v>23</v>
      </c>
      <c r="D29" s="23" t="s">
        <v>109</v>
      </c>
      <c r="E29" s="2" t="s">
        <v>32</v>
      </c>
      <c r="F29" s="24">
        <v>5.4738081224249502</v>
      </c>
      <c r="G29" s="26">
        <v>3465</v>
      </c>
      <c r="H29" s="26">
        <v>1273</v>
      </c>
      <c r="I29" s="26">
        <v>1331</v>
      </c>
      <c r="J29" s="26">
        <v>1220</v>
      </c>
      <c r="K29" s="26">
        <v>2514</v>
      </c>
      <c r="L29" s="26">
        <v>1079</v>
      </c>
      <c r="M29" s="26">
        <v>1100</v>
      </c>
      <c r="N29" s="26">
        <v>1148</v>
      </c>
      <c r="O29" s="26">
        <v>-682</v>
      </c>
      <c r="P29" s="26">
        <v>1239</v>
      </c>
      <c r="Q29" s="26">
        <v>1257</v>
      </c>
      <c r="R29" s="26">
        <v>1288</v>
      </c>
      <c r="S29" s="27">
        <v>1685</v>
      </c>
      <c r="T29" s="26">
        <v>703</v>
      </c>
      <c r="U29" s="26">
        <v>1331</v>
      </c>
      <c r="V29" s="26">
        <v>1378</v>
      </c>
      <c r="W29" s="26">
        <v>1964</v>
      </c>
    </row>
    <row r="30" spans="2:23" ht="15" x14ac:dyDescent="0.25">
      <c r="B30" s="22" t="s">
        <v>81</v>
      </c>
      <c r="C30" s="23" t="s">
        <v>23</v>
      </c>
      <c r="D30" s="23" t="s">
        <v>65</v>
      </c>
      <c r="E30" s="2" t="s">
        <v>32</v>
      </c>
      <c r="F30" s="24">
        <v>5.0982349233032096</v>
      </c>
      <c r="G30" s="26">
        <v>61.66</v>
      </c>
      <c r="H30" s="26">
        <v>68.260000000000005</v>
      </c>
      <c r="I30" s="26">
        <v>64.540000000000006</v>
      </c>
      <c r="J30" s="26">
        <v>67.59</v>
      </c>
      <c r="K30" s="26">
        <v>67.72</v>
      </c>
      <c r="L30" s="26">
        <v>65.95</v>
      </c>
      <c r="M30" s="26">
        <v>66.010000000000005</v>
      </c>
      <c r="N30" s="26">
        <v>55.07</v>
      </c>
      <c r="O30" s="26">
        <v>40.33</v>
      </c>
      <c r="P30" s="26">
        <v>65.2</v>
      </c>
      <c r="Q30" s="26">
        <v>74.099999999999994</v>
      </c>
      <c r="R30" s="26">
        <v>76.81</v>
      </c>
      <c r="S30" s="27">
        <v>78.209999999999994</v>
      </c>
      <c r="T30" s="26">
        <v>91.36</v>
      </c>
      <c r="U30" s="26">
        <v>101.33</v>
      </c>
      <c r="V30" s="26">
        <v>109.82</v>
      </c>
      <c r="W30" s="26">
        <v>97.62</v>
      </c>
    </row>
    <row r="31" spans="2:23" customFormat="1" hidden="1" x14ac:dyDescent="0.3">
      <c r="B31" s="2" t="s">
        <v>67</v>
      </c>
      <c r="C31" s="2" t="s">
        <v>23</v>
      </c>
      <c r="D31" s="2" t="s">
        <v>27</v>
      </c>
      <c r="E31" s="2" t="s">
        <v>25</v>
      </c>
      <c r="F31" s="2">
        <v>7.2101868695220839</v>
      </c>
      <c r="G31" s="2">
        <v>75.41</v>
      </c>
      <c r="H31" s="2">
        <v>70.680000000000007</v>
      </c>
      <c r="I31" s="2">
        <v>81.99</v>
      </c>
      <c r="J31" s="2">
        <v>70.72</v>
      </c>
      <c r="K31" s="2">
        <v>73.430000000000007</v>
      </c>
      <c r="L31" s="2">
        <v>69.91</v>
      </c>
      <c r="M31" s="2">
        <v>52.8</v>
      </c>
      <c r="N31" s="2">
        <v>51.47</v>
      </c>
      <c r="O31" s="2">
        <v>40.01</v>
      </c>
      <c r="P31" s="2">
        <v>33.61</v>
      </c>
      <c r="Q31" s="2">
        <v>35.89</v>
      </c>
      <c r="R31" s="2">
        <v>34.54</v>
      </c>
      <c r="S31" s="2">
        <v>32.1</v>
      </c>
      <c r="T31" s="2">
        <v>30.43</v>
      </c>
      <c r="U31" s="2">
        <v>27.84</v>
      </c>
      <c r="V31" s="2">
        <v>-29.9</v>
      </c>
      <c r="W31" s="2">
        <v>36.46</v>
      </c>
    </row>
    <row r="32" spans="2:23" ht="15" x14ac:dyDescent="0.25">
      <c r="B32" s="22" t="s">
        <v>110</v>
      </c>
      <c r="C32" s="23" t="s">
        <v>23</v>
      </c>
      <c r="D32" s="23" t="s">
        <v>109</v>
      </c>
      <c r="E32" s="2" t="s">
        <v>32</v>
      </c>
      <c r="F32" s="24">
        <v>4.8075951924048121</v>
      </c>
      <c r="G32" s="26">
        <v>1479</v>
      </c>
      <c r="H32" s="26">
        <v>1560</v>
      </c>
      <c r="I32" s="26">
        <v>1805</v>
      </c>
      <c r="J32" s="26">
        <v>1993</v>
      </c>
      <c r="K32" s="26">
        <v>1957</v>
      </c>
      <c r="L32" s="26">
        <v>2131</v>
      </c>
      <c r="M32" s="26">
        <v>1962</v>
      </c>
      <c r="N32" s="26">
        <v>-950</v>
      </c>
      <c r="O32" s="26">
        <v>2132</v>
      </c>
      <c r="P32" s="26">
        <v>1841</v>
      </c>
      <c r="Q32" s="26">
        <v>1815</v>
      </c>
      <c r="R32" s="27">
        <v>2402</v>
      </c>
      <c r="S32" s="26">
        <v>2221</v>
      </c>
      <c r="T32" s="26">
        <v>2401</v>
      </c>
      <c r="U32" s="26">
        <v>2492</v>
      </c>
      <c r="V32" s="26">
        <v>2787</v>
      </c>
      <c r="W32" s="26">
        <v>2697</v>
      </c>
    </row>
    <row r="33" spans="2:23" ht="15" x14ac:dyDescent="0.25">
      <c r="B33" s="22" t="s">
        <v>72</v>
      </c>
      <c r="C33" s="23" t="s">
        <v>23</v>
      </c>
      <c r="D33" s="23" t="s">
        <v>27</v>
      </c>
      <c r="E33" s="2" t="s">
        <v>32</v>
      </c>
      <c r="F33" s="24">
        <v>4.6543197905556166</v>
      </c>
      <c r="G33" s="26">
        <v>43.11</v>
      </c>
      <c r="H33" s="26">
        <v>29.16</v>
      </c>
      <c r="I33" s="26">
        <v>35.28</v>
      </c>
      <c r="J33" s="26">
        <v>38.159999999999997</v>
      </c>
      <c r="K33" s="26">
        <v>38.119999999999997</v>
      </c>
      <c r="L33" s="26">
        <v>31.27</v>
      </c>
      <c r="M33" s="26">
        <v>29.15</v>
      </c>
      <c r="N33" s="26">
        <v>26.68</v>
      </c>
      <c r="O33" s="26">
        <v>27.48</v>
      </c>
      <c r="P33" s="26">
        <v>21.72</v>
      </c>
      <c r="Q33" s="26">
        <v>20.440000000000001</v>
      </c>
      <c r="R33" s="26">
        <v>21.12</v>
      </c>
      <c r="S33" s="26">
        <v>25.33</v>
      </c>
      <c r="T33" s="26">
        <v>25.11</v>
      </c>
      <c r="U33" s="26">
        <v>21.23</v>
      </c>
      <c r="V33" s="27">
        <v>31.46</v>
      </c>
      <c r="W33" s="26">
        <v>30.13</v>
      </c>
    </row>
    <row r="34" spans="2:23" customFormat="1" hidden="1" x14ac:dyDescent="0.3">
      <c r="B34" s="2" t="s">
        <v>70</v>
      </c>
      <c r="C34" s="2" t="s">
        <v>23</v>
      </c>
      <c r="D34" s="2" t="s">
        <v>71</v>
      </c>
      <c r="E34" s="2" t="s">
        <v>25</v>
      </c>
      <c r="F34" s="2">
        <v>14.208633093525179</v>
      </c>
      <c r="G34" s="2">
        <v>18.02</v>
      </c>
      <c r="H34" s="2">
        <v>16.41</v>
      </c>
      <c r="I34" s="2">
        <v>18.14</v>
      </c>
      <c r="J34" s="2">
        <v>23.34</v>
      </c>
      <c r="K34" s="3">
        <v>27.91</v>
      </c>
      <c r="L34" s="2">
        <v>22.07</v>
      </c>
      <c r="M34" s="2">
        <v>16.100000000000001</v>
      </c>
      <c r="N34" s="2">
        <v>8.2100000000000009</v>
      </c>
      <c r="O34" s="2">
        <v>-8.51</v>
      </c>
      <c r="P34" s="2">
        <v>-14.51</v>
      </c>
      <c r="Q34" s="2">
        <v>-14.29</v>
      </c>
      <c r="R34" s="3">
        <v>-0.86</v>
      </c>
      <c r="S34" s="2">
        <v>-7.62</v>
      </c>
      <c r="T34" s="2">
        <v>-4.9800000000000004</v>
      </c>
      <c r="U34" s="2">
        <v>-16.68</v>
      </c>
      <c r="V34" s="3">
        <v>-15.2</v>
      </c>
      <c r="W34" s="3">
        <v>-13.94</v>
      </c>
    </row>
    <row r="35" spans="2:23" ht="15" x14ac:dyDescent="0.25">
      <c r="B35" s="22" t="s">
        <v>45</v>
      </c>
      <c r="C35" s="23" t="s">
        <v>23</v>
      </c>
      <c r="D35" s="23" t="s">
        <v>46</v>
      </c>
      <c r="E35" s="2" t="s">
        <v>32</v>
      </c>
      <c r="F35" s="24">
        <v>4.6349810747716269</v>
      </c>
      <c r="G35" s="26">
        <v>58.74</v>
      </c>
      <c r="H35" s="26">
        <v>65.89</v>
      </c>
      <c r="I35" s="26">
        <v>39</v>
      </c>
      <c r="J35" s="26">
        <v>-31.39</v>
      </c>
      <c r="K35" s="26">
        <v>69.47</v>
      </c>
      <c r="L35" s="26">
        <v>73.5</v>
      </c>
      <c r="M35" s="27">
        <v>58.18</v>
      </c>
      <c r="N35" s="27">
        <v>4.32</v>
      </c>
      <c r="O35" s="26">
        <v>85.59</v>
      </c>
      <c r="P35" s="26">
        <v>89.31</v>
      </c>
      <c r="Q35" s="26">
        <v>70.38</v>
      </c>
      <c r="R35" s="27">
        <v>48.14</v>
      </c>
      <c r="S35" s="27">
        <v>126.4</v>
      </c>
      <c r="T35" s="27">
        <v>131.99</v>
      </c>
      <c r="U35" s="27">
        <v>112.94</v>
      </c>
      <c r="V35" s="26">
        <v>69.88</v>
      </c>
      <c r="W35" s="26">
        <v>146.85</v>
      </c>
    </row>
    <row r="36" spans="2:23" customFormat="1" hidden="1" x14ac:dyDescent="0.3">
      <c r="B36" s="2" t="s">
        <v>73</v>
      </c>
      <c r="C36" s="2" t="s">
        <v>23</v>
      </c>
      <c r="D36" s="2" t="s">
        <v>74</v>
      </c>
      <c r="E36" s="2" t="s">
        <v>25</v>
      </c>
      <c r="F36" s="2">
        <v>-17.610062893081761</v>
      </c>
      <c r="G36" s="2">
        <v>64</v>
      </c>
      <c r="H36" s="2">
        <v>35</v>
      </c>
      <c r="I36" s="2">
        <v>34</v>
      </c>
      <c r="J36" s="2">
        <v>106</v>
      </c>
      <c r="K36" s="2">
        <v>41</v>
      </c>
      <c r="L36" s="2">
        <v>0</v>
      </c>
      <c r="M36" s="2">
        <v>-35</v>
      </c>
      <c r="N36" s="2">
        <v>27</v>
      </c>
      <c r="O36" s="2">
        <v>32</v>
      </c>
      <c r="P36" s="2">
        <v>-49</v>
      </c>
      <c r="Q36" s="2">
        <v>-21</v>
      </c>
      <c r="R36" s="2">
        <v>67</v>
      </c>
      <c r="S36" s="3">
        <v>35</v>
      </c>
      <c r="T36" s="3">
        <v>23</v>
      </c>
      <c r="U36" s="3">
        <v>20</v>
      </c>
      <c r="V36" s="2">
        <v>81</v>
      </c>
      <c r="W36" s="2">
        <v>7</v>
      </c>
    </row>
    <row r="37" spans="2:23" ht="15" x14ac:dyDescent="0.25">
      <c r="B37" s="22" t="s">
        <v>56</v>
      </c>
      <c r="C37" s="23" t="s">
        <v>23</v>
      </c>
      <c r="D37" s="23" t="s">
        <v>27</v>
      </c>
      <c r="E37" s="2" t="s">
        <v>32</v>
      </c>
      <c r="F37" s="24">
        <v>4.2094770740683796</v>
      </c>
      <c r="G37" s="26">
        <v>33.31</v>
      </c>
      <c r="H37" s="26">
        <v>25.96</v>
      </c>
      <c r="I37" s="26">
        <v>16.73</v>
      </c>
      <c r="J37" s="26">
        <v>34.119999999999997</v>
      </c>
      <c r="K37" s="26">
        <v>36.74</v>
      </c>
      <c r="L37" s="26">
        <v>29.94</v>
      </c>
      <c r="M37" s="27">
        <v>32.39</v>
      </c>
      <c r="N37" s="26">
        <v>26.96</v>
      </c>
      <c r="O37" s="26">
        <v>37.33</v>
      </c>
      <c r="P37" s="26">
        <v>27.9</v>
      </c>
      <c r="Q37" s="26">
        <v>31.67</v>
      </c>
      <c r="R37" s="26">
        <v>29.83</v>
      </c>
      <c r="S37" s="26">
        <v>33.18</v>
      </c>
      <c r="T37" s="26">
        <v>26.11</v>
      </c>
      <c r="U37" s="26">
        <v>30.57</v>
      </c>
      <c r="V37" s="26">
        <v>40.56</v>
      </c>
      <c r="W37" s="26">
        <v>38.67</v>
      </c>
    </row>
    <row r="38" spans="2:23" customFormat="1" hidden="1" x14ac:dyDescent="0.3">
      <c r="B38" s="2" t="s">
        <v>77</v>
      </c>
      <c r="C38" s="2" t="s">
        <v>39</v>
      </c>
      <c r="D38" s="2" t="s">
        <v>40</v>
      </c>
      <c r="E38" s="2" t="s">
        <v>25</v>
      </c>
      <c r="F38" s="2">
        <v>20.40950915428823</v>
      </c>
      <c r="G38" s="2">
        <v>-46.48</v>
      </c>
      <c r="H38" s="2">
        <v>-79.540000000000006</v>
      </c>
      <c r="I38" s="2">
        <v>132.87</v>
      </c>
      <c r="J38" s="2">
        <v>80.14</v>
      </c>
      <c r="K38" s="3">
        <v>39.01</v>
      </c>
      <c r="L38" s="3">
        <v>98.6</v>
      </c>
      <c r="M38" s="3">
        <v>263.57</v>
      </c>
      <c r="N38" s="2">
        <v>102.42</v>
      </c>
      <c r="O38" s="3">
        <v>141</v>
      </c>
      <c r="P38" s="2">
        <v>148.59</v>
      </c>
      <c r="Q38" s="3">
        <v>2029</v>
      </c>
      <c r="R38" s="2">
        <v>332.38</v>
      </c>
      <c r="S38" s="2">
        <v>202.32</v>
      </c>
      <c r="T38" s="2">
        <v>228.11</v>
      </c>
      <c r="U38" s="2">
        <v>393.85</v>
      </c>
      <c r="V38" s="3">
        <v>449.44</v>
      </c>
      <c r="W38" s="3">
        <v>462.28</v>
      </c>
    </row>
    <row r="39" spans="2:23" customFormat="1" hidden="1" x14ac:dyDescent="0.3">
      <c r="B39" s="2" t="s">
        <v>78</v>
      </c>
      <c r="C39" s="2" t="s">
        <v>39</v>
      </c>
      <c r="D39" s="2" t="s">
        <v>40</v>
      </c>
      <c r="E39" s="2" t="s">
        <v>25</v>
      </c>
      <c r="F39" s="2">
        <v>4.8056312683585123</v>
      </c>
      <c r="G39" s="2">
        <v>697.8</v>
      </c>
      <c r="H39" s="2">
        <v>328.8</v>
      </c>
      <c r="I39" s="2">
        <v>655.9</v>
      </c>
      <c r="J39" s="2">
        <v>273.7</v>
      </c>
      <c r="K39" s="2">
        <v>638.1</v>
      </c>
      <c r="L39" s="2">
        <v>374.1</v>
      </c>
      <c r="M39" s="3">
        <v>1042</v>
      </c>
      <c r="N39" s="2">
        <v>374.6</v>
      </c>
      <c r="O39" s="2">
        <v>774</v>
      </c>
      <c r="P39" s="3">
        <v>782.6</v>
      </c>
      <c r="Q39" s="2">
        <v>1238</v>
      </c>
      <c r="R39" s="2">
        <v>658.2</v>
      </c>
      <c r="S39" s="2">
        <v>894.4</v>
      </c>
      <c r="T39" s="2">
        <v>779.3</v>
      </c>
      <c r="U39" s="2">
        <v>1384</v>
      </c>
      <c r="V39" s="2">
        <v>721.2</v>
      </c>
      <c r="W39" s="2">
        <v>1076</v>
      </c>
    </row>
    <row r="40" spans="2:23" ht="15" x14ac:dyDescent="0.25">
      <c r="B40" s="22" t="s">
        <v>140</v>
      </c>
      <c r="C40" s="23" t="s">
        <v>23</v>
      </c>
      <c r="D40" s="23" t="s">
        <v>141</v>
      </c>
      <c r="E40" s="2" t="s">
        <v>32</v>
      </c>
      <c r="F40" s="24">
        <v>3.4833335670513721</v>
      </c>
      <c r="G40" s="26">
        <v>17.11</v>
      </c>
      <c r="H40" s="26">
        <v>20.52</v>
      </c>
      <c r="I40" s="26">
        <v>29.77</v>
      </c>
      <c r="J40" s="26">
        <v>39.47</v>
      </c>
      <c r="K40" s="27">
        <v>58.66</v>
      </c>
      <c r="L40" s="27">
        <v>42.02</v>
      </c>
      <c r="M40" s="27">
        <v>73.88</v>
      </c>
      <c r="N40" s="27">
        <v>94.09</v>
      </c>
      <c r="O40" s="27">
        <v>148.47</v>
      </c>
      <c r="P40" s="27">
        <v>270.67</v>
      </c>
      <c r="Q40" s="27">
        <v>161.57</v>
      </c>
      <c r="R40" s="26">
        <v>135.65</v>
      </c>
      <c r="S40" s="26">
        <v>151.27000000000001</v>
      </c>
      <c r="T40" s="26">
        <v>190.61</v>
      </c>
      <c r="U40" s="26">
        <v>187.31</v>
      </c>
      <c r="V40" s="26">
        <v>183.92</v>
      </c>
      <c r="W40" s="26">
        <v>176.11</v>
      </c>
    </row>
    <row r="41" spans="2:23" ht="15" x14ac:dyDescent="0.25">
      <c r="B41" s="22" t="s">
        <v>53</v>
      </c>
      <c r="C41" s="23" t="s">
        <v>23</v>
      </c>
      <c r="D41" s="23" t="s">
        <v>27</v>
      </c>
      <c r="E41" s="2" t="s">
        <v>32</v>
      </c>
      <c r="F41" s="24">
        <v>3.258322484656873</v>
      </c>
      <c r="G41" s="26">
        <v>31.2</v>
      </c>
      <c r="H41" s="26">
        <v>33.909999999999997</v>
      </c>
      <c r="I41" s="26">
        <v>41.01</v>
      </c>
      <c r="J41" s="26">
        <v>50.42</v>
      </c>
      <c r="K41" s="26">
        <v>-51.59</v>
      </c>
      <c r="L41" s="27">
        <v>56.08</v>
      </c>
      <c r="M41" s="26">
        <v>47.66</v>
      </c>
      <c r="N41" s="26">
        <v>36.840000000000003</v>
      </c>
      <c r="O41" s="27">
        <v>40.46</v>
      </c>
      <c r="P41" s="26">
        <v>45.01</v>
      </c>
      <c r="Q41" s="26">
        <v>-138.31</v>
      </c>
      <c r="R41" s="26">
        <v>62.46</v>
      </c>
      <c r="S41" s="27">
        <v>64.91</v>
      </c>
      <c r="T41" s="27">
        <v>65.33</v>
      </c>
      <c r="U41" s="27">
        <v>68.86</v>
      </c>
      <c r="V41" s="26">
        <v>69.75</v>
      </c>
      <c r="W41" s="26">
        <v>73.67</v>
      </c>
    </row>
    <row r="42" spans="2:23" ht="15" x14ac:dyDescent="0.25">
      <c r="B42" s="22" t="s">
        <v>86</v>
      </c>
      <c r="C42" s="23" t="s">
        <v>23</v>
      </c>
      <c r="D42" s="23" t="s">
        <v>87</v>
      </c>
      <c r="E42" s="2" t="s">
        <v>32</v>
      </c>
      <c r="F42" s="24">
        <v>2.9284464499493179</v>
      </c>
      <c r="G42" s="26">
        <v>354.9</v>
      </c>
      <c r="H42" s="26">
        <v>355.9</v>
      </c>
      <c r="I42" s="26">
        <v>362.9</v>
      </c>
      <c r="J42" s="26">
        <v>393.2</v>
      </c>
      <c r="K42" s="26">
        <v>412.5</v>
      </c>
      <c r="L42" s="26">
        <v>401</v>
      </c>
      <c r="M42" s="26">
        <v>435.3</v>
      </c>
      <c r="N42" s="26">
        <v>446.1</v>
      </c>
      <c r="O42" s="26">
        <v>462.8</v>
      </c>
      <c r="P42" s="26">
        <v>481.3</v>
      </c>
      <c r="Q42" s="26">
        <v>494.2</v>
      </c>
      <c r="R42" s="26">
        <v>496.6</v>
      </c>
      <c r="S42" s="26">
        <v>524.70000000000005</v>
      </c>
      <c r="T42" s="26">
        <v>525.79999999999995</v>
      </c>
      <c r="U42" s="26">
        <v>548.29999999999995</v>
      </c>
      <c r="V42" s="26">
        <v>573</v>
      </c>
      <c r="W42" s="26">
        <v>588.29999999999995</v>
      </c>
    </row>
    <row r="43" spans="2:23" customFormat="1" hidden="1" x14ac:dyDescent="0.3">
      <c r="B43" s="2" t="s">
        <v>82</v>
      </c>
      <c r="C43" s="2" t="s">
        <v>39</v>
      </c>
      <c r="D43" s="2" t="s">
        <v>40</v>
      </c>
      <c r="E43" s="2" t="s">
        <v>25</v>
      </c>
      <c r="F43" s="2">
        <v>3.5430839002267511</v>
      </c>
      <c r="G43" s="2">
        <v>3961</v>
      </c>
      <c r="H43" s="2">
        <v>4133</v>
      </c>
      <c r="I43" s="2">
        <v>4040</v>
      </c>
      <c r="J43" s="2">
        <v>4348</v>
      </c>
      <c r="K43" s="2">
        <v>4047</v>
      </c>
      <c r="L43" s="2">
        <v>4134</v>
      </c>
      <c r="M43" s="2">
        <v>3063</v>
      </c>
      <c r="N43" s="2">
        <v>5048</v>
      </c>
      <c r="O43" s="2">
        <v>4661</v>
      </c>
      <c r="P43" s="2">
        <v>5084</v>
      </c>
      <c r="Q43" s="3">
        <v>5025</v>
      </c>
      <c r="R43" s="2">
        <v>4862</v>
      </c>
      <c r="S43" s="2">
        <v>5285</v>
      </c>
      <c r="T43" s="2">
        <v>4949</v>
      </c>
      <c r="U43" s="2">
        <v>5410</v>
      </c>
      <c r="V43" s="2">
        <v>5524</v>
      </c>
      <c r="W43" s="2">
        <v>6035</v>
      </c>
    </row>
    <row r="44" spans="2:23" customFormat="1" hidden="1" x14ac:dyDescent="0.3">
      <c r="B44" s="2" t="s">
        <v>83</v>
      </c>
      <c r="C44" s="2" t="s">
        <v>23</v>
      </c>
      <c r="D44" s="2" t="s">
        <v>84</v>
      </c>
      <c r="E44" s="2" t="s">
        <v>85</v>
      </c>
      <c r="F44" s="2">
        <v>1.4008004574042281</v>
      </c>
      <c r="G44" s="2">
        <v>683.53</v>
      </c>
      <c r="H44" s="2">
        <v>467.96</v>
      </c>
      <c r="I44" s="2">
        <v>584.82000000000005</v>
      </c>
      <c r="J44" s="2">
        <v>903.89</v>
      </c>
      <c r="K44" s="2">
        <v>740.14</v>
      </c>
      <c r="L44" s="2">
        <v>676.57</v>
      </c>
      <c r="M44" s="2">
        <v>729.48</v>
      </c>
      <c r="N44" s="2">
        <v>996.97</v>
      </c>
      <c r="O44" s="2">
        <v>854</v>
      </c>
      <c r="P44" s="2">
        <v>738</v>
      </c>
      <c r="Q44" s="2">
        <v>760</v>
      </c>
      <c r="R44" s="2">
        <v>1142</v>
      </c>
      <c r="S44" s="2">
        <v>834</v>
      </c>
      <c r="T44" s="2">
        <v>776</v>
      </c>
      <c r="U44" s="2">
        <v>716</v>
      </c>
      <c r="V44" s="2">
        <v>1172</v>
      </c>
      <c r="W44" s="2">
        <v>883</v>
      </c>
    </row>
    <row r="45" spans="2:23" ht="15" x14ac:dyDescent="0.25">
      <c r="B45" s="22" t="s">
        <v>100</v>
      </c>
      <c r="C45" s="23" t="s">
        <v>23</v>
      </c>
      <c r="D45" s="23" t="s">
        <v>101</v>
      </c>
      <c r="E45" s="2" t="s">
        <v>32</v>
      </c>
      <c r="F45" s="24">
        <v>2.8539499699131721</v>
      </c>
      <c r="G45" s="26">
        <v>2386</v>
      </c>
      <c r="H45" s="26">
        <v>2201</v>
      </c>
      <c r="I45" s="26">
        <v>2296</v>
      </c>
      <c r="J45" s="26">
        <v>2143</v>
      </c>
      <c r="K45" s="26">
        <v>2413</v>
      </c>
      <c r="L45" s="26">
        <v>2434</v>
      </c>
      <c r="M45" s="26">
        <v>2300</v>
      </c>
      <c r="N45" s="26">
        <v>2092</v>
      </c>
      <c r="O45" s="26">
        <v>2800</v>
      </c>
      <c r="P45" s="26">
        <v>2560</v>
      </c>
      <c r="Q45" s="26">
        <v>2731</v>
      </c>
      <c r="R45" s="26">
        <v>2410</v>
      </c>
      <c r="S45" s="26">
        <v>2846</v>
      </c>
      <c r="T45" s="26">
        <v>2855</v>
      </c>
      <c r="U45" s="26">
        <v>2967</v>
      </c>
      <c r="V45" s="26">
        <v>2965</v>
      </c>
      <c r="W45" s="26">
        <v>3178</v>
      </c>
    </row>
    <row r="46" spans="2:23" ht="15" x14ac:dyDescent="0.25">
      <c r="B46" s="22" t="s">
        <v>51</v>
      </c>
      <c r="C46" s="23" t="s">
        <v>23</v>
      </c>
      <c r="D46" s="23" t="s">
        <v>27</v>
      </c>
      <c r="E46" s="2" t="s">
        <v>32</v>
      </c>
      <c r="F46" s="24">
        <v>2.7870955011839</v>
      </c>
      <c r="G46" s="26">
        <v>115.26</v>
      </c>
      <c r="H46" s="26">
        <v>125.63</v>
      </c>
      <c r="I46" s="26">
        <v>108.8</v>
      </c>
      <c r="J46" s="26">
        <v>106.63</v>
      </c>
      <c r="K46" s="26">
        <v>106.53</v>
      </c>
      <c r="L46" s="26">
        <v>102.63</v>
      </c>
      <c r="M46" s="26">
        <v>100.94</v>
      </c>
      <c r="N46" s="26">
        <v>108.99</v>
      </c>
      <c r="O46" s="26">
        <v>84.87</v>
      </c>
      <c r="P46" s="26">
        <v>97.41</v>
      </c>
      <c r="Q46" s="26">
        <v>101.38</v>
      </c>
      <c r="R46" s="26">
        <v>96.39</v>
      </c>
      <c r="S46" s="26">
        <v>96.03</v>
      </c>
      <c r="T46" s="26">
        <v>100.3</v>
      </c>
      <c r="U46" s="26">
        <v>102.89</v>
      </c>
      <c r="V46" s="26">
        <v>106.22</v>
      </c>
      <c r="W46" s="26">
        <v>107.33</v>
      </c>
    </row>
    <row r="47" spans="2:23" ht="15" x14ac:dyDescent="0.25">
      <c r="B47" s="22" t="s">
        <v>49</v>
      </c>
      <c r="C47" s="23" t="s">
        <v>23</v>
      </c>
      <c r="D47" s="23" t="s">
        <v>27</v>
      </c>
      <c r="E47" s="2" t="s">
        <v>32</v>
      </c>
      <c r="F47" s="24">
        <v>2.7535258562793712</v>
      </c>
      <c r="G47" s="26">
        <v>56.6</v>
      </c>
      <c r="H47" s="26">
        <v>59.83</v>
      </c>
      <c r="I47" s="26">
        <v>50.78</v>
      </c>
      <c r="J47" s="26">
        <v>62.4</v>
      </c>
      <c r="K47" s="26">
        <v>67.31</v>
      </c>
      <c r="L47" s="26">
        <v>6.97</v>
      </c>
      <c r="M47" s="26">
        <v>61.47</v>
      </c>
      <c r="N47" s="26">
        <v>55.99</v>
      </c>
      <c r="O47" s="26">
        <v>43.8</v>
      </c>
      <c r="P47" s="27">
        <v>53.04</v>
      </c>
      <c r="Q47" s="26">
        <v>62.09</v>
      </c>
      <c r="R47" s="26">
        <v>57.03</v>
      </c>
      <c r="S47" s="26">
        <v>64.540000000000006</v>
      </c>
      <c r="T47" s="26">
        <v>64.27</v>
      </c>
      <c r="U47" s="26">
        <v>66.040000000000006</v>
      </c>
      <c r="V47" s="26">
        <v>73.17</v>
      </c>
      <c r="W47" s="26">
        <v>71.92</v>
      </c>
    </row>
    <row r="48" spans="2:23" ht="15" x14ac:dyDescent="0.25">
      <c r="B48" s="22" t="s">
        <v>132</v>
      </c>
      <c r="C48" s="23" t="s">
        <v>23</v>
      </c>
      <c r="D48" s="23" t="s">
        <v>87</v>
      </c>
      <c r="E48" s="2" t="s">
        <v>32</v>
      </c>
      <c r="F48" s="24">
        <v>2.2863758049345368</v>
      </c>
      <c r="G48" s="26">
        <v>27.14</v>
      </c>
      <c r="H48" s="26">
        <v>33.97</v>
      </c>
      <c r="I48" s="26">
        <v>37.25</v>
      </c>
      <c r="J48" s="26">
        <v>36.770000000000003</v>
      </c>
      <c r="K48" s="27">
        <v>44.71</v>
      </c>
      <c r="L48" s="26">
        <v>47.09</v>
      </c>
      <c r="M48" s="26">
        <v>50.48</v>
      </c>
      <c r="N48" s="26">
        <v>53.45</v>
      </c>
      <c r="O48" s="26">
        <v>58.87</v>
      </c>
      <c r="P48" s="26">
        <v>57.63</v>
      </c>
      <c r="Q48" s="26">
        <v>68.19</v>
      </c>
      <c r="R48" s="26">
        <v>75.09</v>
      </c>
      <c r="S48" s="26">
        <v>60.69</v>
      </c>
      <c r="T48" s="26">
        <v>66.099999999999994</v>
      </c>
      <c r="U48" s="26">
        <v>73.8</v>
      </c>
      <c r="V48" s="26">
        <v>75.83</v>
      </c>
      <c r="W48" s="26">
        <v>67.010000000000005</v>
      </c>
    </row>
    <row r="49" spans="2:23" ht="15" x14ac:dyDescent="0.25">
      <c r="B49" s="22" t="s">
        <v>104</v>
      </c>
      <c r="C49" s="23" t="s">
        <v>23</v>
      </c>
      <c r="D49" s="23" t="s">
        <v>105</v>
      </c>
      <c r="E49" s="2" t="s">
        <v>32</v>
      </c>
      <c r="F49" s="24">
        <v>1.79461615154537</v>
      </c>
      <c r="G49" s="26">
        <v>2491</v>
      </c>
      <c r="H49" s="26">
        <v>2626</v>
      </c>
      <c r="I49" s="26">
        <v>2769</v>
      </c>
      <c r="J49" s="26">
        <v>2737</v>
      </c>
      <c r="K49" s="26">
        <v>2220</v>
      </c>
      <c r="L49" s="26">
        <v>1930</v>
      </c>
      <c r="M49" s="26">
        <v>1968</v>
      </c>
      <c r="N49" s="26">
        <v>1887</v>
      </c>
      <c r="O49" s="26">
        <v>1530</v>
      </c>
      <c r="P49" s="26">
        <v>1159</v>
      </c>
      <c r="Q49" s="26">
        <v>1244</v>
      </c>
      <c r="R49" s="26">
        <v>1550</v>
      </c>
      <c r="S49" s="26">
        <v>1397</v>
      </c>
      <c r="T49" s="26">
        <v>1321</v>
      </c>
      <c r="U49" s="26">
        <v>1558</v>
      </c>
      <c r="V49" s="26">
        <v>1742</v>
      </c>
      <c r="W49" s="26">
        <v>1505</v>
      </c>
    </row>
    <row r="50" spans="2:23" ht="15" x14ac:dyDescent="0.25">
      <c r="B50" s="22" t="s">
        <v>68</v>
      </c>
      <c r="C50" s="23" t="s">
        <v>23</v>
      </c>
      <c r="D50" s="23" t="s">
        <v>27</v>
      </c>
      <c r="E50" s="2" t="s">
        <v>32</v>
      </c>
      <c r="F50" s="24">
        <v>1.5155279503105581</v>
      </c>
      <c r="G50" s="26">
        <v>9.18</v>
      </c>
      <c r="H50" s="26">
        <v>11.28</v>
      </c>
      <c r="I50" s="26">
        <v>7.22</v>
      </c>
      <c r="J50" s="26">
        <v>12.06</v>
      </c>
      <c r="K50" s="26">
        <v>10.51</v>
      </c>
      <c r="L50" s="27">
        <v>17.38</v>
      </c>
      <c r="M50" s="27">
        <v>17.62</v>
      </c>
      <c r="N50" s="26">
        <v>14.51</v>
      </c>
      <c r="O50" s="26">
        <v>14.35</v>
      </c>
      <c r="P50" s="26">
        <v>15.36</v>
      </c>
      <c r="Q50" s="26">
        <v>17.23</v>
      </c>
      <c r="R50" s="26">
        <v>15.6</v>
      </c>
      <c r="S50" s="26">
        <v>17.38</v>
      </c>
      <c r="T50" s="27">
        <v>21.99</v>
      </c>
      <c r="U50" s="26">
        <v>20.04</v>
      </c>
      <c r="V50" s="26">
        <v>21.09</v>
      </c>
      <c r="W50" s="26">
        <v>18.600000000000001</v>
      </c>
    </row>
    <row r="51" spans="2:23" ht="15" x14ac:dyDescent="0.25">
      <c r="B51" s="22" t="s">
        <v>124</v>
      </c>
      <c r="C51" s="23" t="s">
        <v>23</v>
      </c>
      <c r="D51" s="23" t="s">
        <v>125</v>
      </c>
      <c r="E51" s="2" t="s">
        <v>32</v>
      </c>
      <c r="F51" s="24">
        <v>0.46269295073679828</v>
      </c>
      <c r="G51" s="26">
        <v>78.02</v>
      </c>
      <c r="H51" s="26">
        <v>95.69</v>
      </c>
      <c r="I51" s="26">
        <v>109.07</v>
      </c>
      <c r="J51" s="26">
        <v>106.39</v>
      </c>
      <c r="K51" s="26">
        <v>111.72</v>
      </c>
      <c r="L51" s="26">
        <v>126.84</v>
      </c>
      <c r="M51" s="26">
        <v>127.92</v>
      </c>
      <c r="N51" s="26">
        <v>120.65</v>
      </c>
      <c r="O51" s="26">
        <v>114.57</v>
      </c>
      <c r="P51" s="26">
        <v>121.18</v>
      </c>
      <c r="Q51" s="26">
        <v>139.31</v>
      </c>
      <c r="R51" s="26">
        <v>113.14</v>
      </c>
      <c r="S51" s="26">
        <v>120.83</v>
      </c>
      <c r="T51" s="26">
        <v>129.5</v>
      </c>
      <c r="U51" s="26">
        <v>135.05000000000001</v>
      </c>
      <c r="V51" s="26">
        <v>129</v>
      </c>
      <c r="W51" s="26">
        <v>123.21</v>
      </c>
    </row>
    <row r="52" spans="2:23" ht="15" x14ac:dyDescent="0.25">
      <c r="B52" s="22" t="s">
        <v>117</v>
      </c>
      <c r="C52" s="23" t="s">
        <v>23</v>
      </c>
      <c r="D52" s="23" t="s">
        <v>37</v>
      </c>
      <c r="E52" s="2" t="s">
        <v>32</v>
      </c>
      <c r="F52" s="24">
        <v>-0.1388888888888884</v>
      </c>
      <c r="G52" s="26">
        <v>0</v>
      </c>
      <c r="H52" s="26">
        <v>376</v>
      </c>
      <c r="I52" s="26">
        <v>503</v>
      </c>
      <c r="J52" s="26">
        <v>476</v>
      </c>
      <c r="K52" s="27">
        <v>363</v>
      </c>
      <c r="L52" s="27">
        <v>567</v>
      </c>
      <c r="M52" s="26">
        <v>687</v>
      </c>
      <c r="N52" s="26">
        <v>584</v>
      </c>
      <c r="O52" s="26">
        <v>0</v>
      </c>
      <c r="P52" s="26">
        <v>566</v>
      </c>
      <c r="Q52" s="26">
        <v>686</v>
      </c>
      <c r="R52" s="26">
        <v>575</v>
      </c>
      <c r="S52" s="27">
        <v>453</v>
      </c>
      <c r="T52" s="26">
        <v>490</v>
      </c>
      <c r="U52" s="26">
        <v>639</v>
      </c>
      <c r="V52" s="26">
        <v>578</v>
      </c>
      <c r="W52" s="26">
        <v>450</v>
      </c>
    </row>
    <row r="53" spans="2:23" ht="15" x14ac:dyDescent="0.25">
      <c r="B53" s="22" t="s">
        <v>135</v>
      </c>
      <c r="C53" s="23" t="s">
        <v>23</v>
      </c>
      <c r="D53" s="23" t="s">
        <v>136</v>
      </c>
      <c r="E53" s="2" t="s">
        <v>32</v>
      </c>
      <c r="F53" s="24">
        <v>-0.2855554432427132</v>
      </c>
      <c r="G53" s="26">
        <v>128.24</v>
      </c>
      <c r="H53" s="26">
        <v>74.650000000000006</v>
      </c>
      <c r="I53" s="26">
        <v>107.46</v>
      </c>
      <c r="J53" s="26">
        <v>107.53</v>
      </c>
      <c r="K53" s="26">
        <v>99.95</v>
      </c>
      <c r="L53" s="26">
        <v>106.05</v>
      </c>
      <c r="M53" s="27">
        <v>160.22</v>
      </c>
      <c r="N53" s="27">
        <v>171.74</v>
      </c>
      <c r="O53" s="27">
        <v>172.99</v>
      </c>
      <c r="P53" s="26">
        <v>140.05000000000001</v>
      </c>
      <c r="Q53" s="26">
        <v>163.18</v>
      </c>
      <c r="R53" s="26">
        <v>191.03</v>
      </c>
      <c r="S53" s="26">
        <v>216.4</v>
      </c>
      <c r="T53" s="26">
        <v>158.9</v>
      </c>
      <c r="U53" s="26">
        <v>196.32</v>
      </c>
      <c r="V53" s="26">
        <v>219.82</v>
      </c>
      <c r="W53" s="26">
        <v>214.14</v>
      </c>
    </row>
    <row r="54" spans="2:23" ht="15" x14ac:dyDescent="0.25">
      <c r="B54" s="22" t="s">
        <v>128</v>
      </c>
      <c r="C54" s="23" t="s">
        <v>23</v>
      </c>
      <c r="D54" s="23" t="s">
        <v>65</v>
      </c>
      <c r="E54" s="2" t="s">
        <v>32</v>
      </c>
      <c r="F54" s="24">
        <v>-0.45239121068505472</v>
      </c>
      <c r="G54" s="26">
        <v>1047</v>
      </c>
      <c r="H54" s="26">
        <v>1233</v>
      </c>
      <c r="I54" s="26">
        <v>1066</v>
      </c>
      <c r="J54" s="26">
        <v>922</v>
      </c>
      <c r="K54" s="26">
        <v>741</v>
      </c>
      <c r="L54" s="26">
        <v>790</v>
      </c>
      <c r="M54" s="26">
        <v>742</v>
      </c>
      <c r="N54" s="26">
        <v>833</v>
      </c>
      <c r="O54" s="26">
        <v>539</v>
      </c>
      <c r="P54" s="27">
        <v>1708</v>
      </c>
      <c r="Q54" s="26">
        <v>844</v>
      </c>
      <c r="R54" s="26">
        <v>1028</v>
      </c>
      <c r="S54" s="27">
        <v>973</v>
      </c>
      <c r="T54" s="26">
        <v>984</v>
      </c>
      <c r="U54" s="27">
        <v>1256</v>
      </c>
      <c r="V54" s="26">
        <v>1429</v>
      </c>
      <c r="W54" s="26">
        <v>952</v>
      </c>
    </row>
    <row r="55" spans="2:23" ht="15" x14ac:dyDescent="0.25">
      <c r="B55" s="22" t="s">
        <v>60</v>
      </c>
      <c r="C55" s="23" t="s">
        <v>23</v>
      </c>
      <c r="D55" s="23" t="s">
        <v>27</v>
      </c>
      <c r="E55" s="2" t="s">
        <v>32</v>
      </c>
      <c r="F55" s="24">
        <v>-0.55135475740392126</v>
      </c>
      <c r="G55" s="26">
        <v>13.59</v>
      </c>
      <c r="H55" s="26">
        <v>12.4</v>
      </c>
      <c r="I55" s="26">
        <v>14.64</v>
      </c>
      <c r="J55" s="26">
        <v>17.46</v>
      </c>
      <c r="K55" s="26">
        <v>15.66</v>
      </c>
      <c r="L55" s="26">
        <v>15.44</v>
      </c>
      <c r="M55" s="26">
        <v>12.87</v>
      </c>
      <c r="N55" s="26">
        <v>18.95</v>
      </c>
      <c r="O55" s="26">
        <v>14.72</v>
      </c>
      <c r="P55" s="26">
        <v>16.489999999999998</v>
      </c>
      <c r="Q55" s="26">
        <v>16.21</v>
      </c>
      <c r="R55" s="26">
        <v>16.510000000000002</v>
      </c>
      <c r="S55" s="26">
        <v>16.48</v>
      </c>
      <c r="T55" s="26">
        <v>15.26</v>
      </c>
      <c r="U55" s="26">
        <v>15.83</v>
      </c>
      <c r="V55" s="26">
        <v>15.91</v>
      </c>
      <c r="W55" s="26">
        <v>16.13</v>
      </c>
    </row>
    <row r="56" spans="2:23" ht="15" x14ac:dyDescent="0.25">
      <c r="B56" s="22" t="s">
        <v>129</v>
      </c>
      <c r="C56" s="23" t="s">
        <v>23</v>
      </c>
      <c r="D56" s="23" t="s">
        <v>130</v>
      </c>
      <c r="E56" s="2" t="s">
        <v>32</v>
      </c>
      <c r="F56" s="24">
        <v>-0.56956059603313625</v>
      </c>
      <c r="G56" s="26">
        <v>252.74</v>
      </c>
      <c r="H56" s="26">
        <v>257.72000000000003</v>
      </c>
      <c r="I56" s="26">
        <v>273.17</v>
      </c>
      <c r="J56" s="26">
        <v>269.27999999999997</v>
      </c>
      <c r="K56" s="26">
        <v>255.8</v>
      </c>
      <c r="L56" s="26">
        <v>228.44</v>
      </c>
      <c r="M56" s="26">
        <v>266.93</v>
      </c>
      <c r="N56" s="26">
        <v>267.08999999999997</v>
      </c>
      <c r="O56" s="26">
        <v>252.49</v>
      </c>
      <c r="P56" s="26">
        <v>248.69</v>
      </c>
      <c r="Q56" s="26">
        <v>248.49</v>
      </c>
      <c r="R56" s="26">
        <v>252.1</v>
      </c>
      <c r="S56" s="26">
        <v>260.14999999999998</v>
      </c>
      <c r="T56" s="26">
        <v>242.62</v>
      </c>
      <c r="U56" s="26">
        <v>248.54</v>
      </c>
      <c r="V56" s="26">
        <v>245.95</v>
      </c>
      <c r="W56" s="26">
        <v>254.47</v>
      </c>
    </row>
    <row r="57" spans="2:23" ht="15" x14ac:dyDescent="0.25">
      <c r="B57" s="22" t="s">
        <v>102</v>
      </c>
      <c r="C57" s="23" t="s">
        <v>23</v>
      </c>
      <c r="D57" s="23" t="s">
        <v>103</v>
      </c>
      <c r="E57" s="2" t="s">
        <v>32</v>
      </c>
      <c r="F57" s="24">
        <v>-1.3668562306694549</v>
      </c>
      <c r="G57" s="26">
        <v>2447</v>
      </c>
      <c r="H57" s="26">
        <v>2397</v>
      </c>
      <c r="I57" s="26">
        <v>2516</v>
      </c>
      <c r="J57" s="26">
        <v>2655</v>
      </c>
      <c r="K57" s="26">
        <v>2433</v>
      </c>
      <c r="L57" s="26">
        <v>2308</v>
      </c>
      <c r="M57" s="26">
        <v>2218</v>
      </c>
      <c r="N57" s="26">
        <v>2189</v>
      </c>
      <c r="O57" s="26">
        <v>2419</v>
      </c>
      <c r="P57" s="26">
        <v>2387</v>
      </c>
      <c r="Q57" s="26">
        <v>2369</v>
      </c>
      <c r="R57" s="26">
        <v>2428</v>
      </c>
      <c r="S57" s="26">
        <v>2538</v>
      </c>
      <c r="T57" s="26">
        <v>2384</v>
      </c>
      <c r="U57" s="26">
        <v>2539</v>
      </c>
      <c r="V57" s="26">
        <v>2562</v>
      </c>
      <c r="W57" s="26">
        <v>2401</v>
      </c>
    </row>
    <row r="58" spans="2:23" ht="15" x14ac:dyDescent="0.25">
      <c r="B58" s="22" t="s">
        <v>96</v>
      </c>
      <c r="C58" s="23" t="s">
        <v>23</v>
      </c>
      <c r="D58" s="23" t="s">
        <v>97</v>
      </c>
      <c r="E58" s="2" t="s">
        <v>32</v>
      </c>
      <c r="F58" s="24">
        <v>-3.8447319778188489</v>
      </c>
      <c r="G58" s="26">
        <v>610</v>
      </c>
      <c r="H58" s="26">
        <v>663</v>
      </c>
      <c r="I58" s="26">
        <v>622</v>
      </c>
      <c r="J58" s="26">
        <v>668</v>
      </c>
      <c r="K58" s="26">
        <v>619</v>
      </c>
      <c r="L58" s="26">
        <v>779</v>
      </c>
      <c r="M58" s="26">
        <v>684</v>
      </c>
      <c r="N58" s="26">
        <v>786</v>
      </c>
      <c r="O58" s="26">
        <v>582</v>
      </c>
      <c r="P58" s="26">
        <v>783</v>
      </c>
      <c r="Q58" s="26">
        <v>738</v>
      </c>
      <c r="R58" s="26">
        <v>627</v>
      </c>
      <c r="S58" s="26">
        <v>655</v>
      </c>
      <c r="T58" s="26">
        <v>682</v>
      </c>
      <c r="U58" s="26">
        <v>675</v>
      </c>
      <c r="V58" s="26">
        <v>693</v>
      </c>
      <c r="W58" s="26">
        <v>551</v>
      </c>
    </row>
    <row r="59" spans="2:23" ht="15" x14ac:dyDescent="0.25">
      <c r="B59" s="22" t="s">
        <v>42</v>
      </c>
      <c r="C59" s="23" t="s">
        <v>23</v>
      </c>
      <c r="D59" s="23" t="s">
        <v>27</v>
      </c>
      <c r="E59" s="2" t="s">
        <v>32</v>
      </c>
      <c r="F59" s="24">
        <v>-10.477657935285039</v>
      </c>
      <c r="G59" s="26">
        <v>28.06</v>
      </c>
      <c r="H59" s="26">
        <v>21.96</v>
      </c>
      <c r="I59" s="26">
        <v>24.72</v>
      </c>
      <c r="J59" s="26">
        <v>19.829999999999998</v>
      </c>
      <c r="K59" s="26">
        <v>19.670000000000002</v>
      </c>
      <c r="L59" s="27">
        <v>50.36</v>
      </c>
      <c r="M59" s="27">
        <v>40.93</v>
      </c>
      <c r="N59" s="27">
        <v>45.41</v>
      </c>
      <c r="O59" s="27">
        <v>38.9</v>
      </c>
      <c r="P59" s="26">
        <v>38.89</v>
      </c>
      <c r="Q59" s="26">
        <v>31.75</v>
      </c>
      <c r="R59" s="26">
        <v>39.880000000000003</v>
      </c>
      <c r="S59" s="26">
        <v>34.729999999999997</v>
      </c>
      <c r="T59" s="26">
        <v>29.85</v>
      </c>
      <c r="U59" s="26">
        <v>41.54</v>
      </c>
      <c r="V59" s="26">
        <v>43.15</v>
      </c>
      <c r="W59" s="26">
        <v>19.09</v>
      </c>
    </row>
    <row r="60" spans="2:23" ht="15" x14ac:dyDescent="0.25">
      <c r="B60" s="22" t="s">
        <v>47</v>
      </c>
      <c r="C60" s="23" t="s">
        <v>23</v>
      </c>
      <c r="D60" s="23" t="s">
        <v>48</v>
      </c>
      <c r="E60" s="2" t="s">
        <v>32</v>
      </c>
      <c r="F60" s="24">
        <v>-10.729215048769159</v>
      </c>
      <c r="G60" s="26">
        <v>192.6</v>
      </c>
      <c r="H60" s="26">
        <v>206.7</v>
      </c>
      <c r="I60" s="26">
        <v>171.1</v>
      </c>
      <c r="J60" s="26">
        <v>113.8</v>
      </c>
      <c r="K60" s="26">
        <v>176.3</v>
      </c>
      <c r="L60" s="26">
        <v>172.9</v>
      </c>
      <c r="M60" s="26">
        <v>140.5</v>
      </c>
      <c r="N60" s="26">
        <v>78.3</v>
      </c>
      <c r="O60" s="26">
        <v>0</v>
      </c>
      <c r="P60" s="26">
        <v>94.5</v>
      </c>
      <c r="Q60" s="26">
        <v>54.7</v>
      </c>
      <c r="R60" s="26">
        <v>39.200000000000003</v>
      </c>
      <c r="S60" s="27">
        <v>79.599999999999994</v>
      </c>
      <c r="T60" s="26">
        <v>0</v>
      </c>
      <c r="U60" s="27">
        <v>102.1</v>
      </c>
      <c r="V60" s="26">
        <v>33.6</v>
      </c>
      <c r="W60" s="26">
        <v>56.5</v>
      </c>
    </row>
    <row r="61" spans="2:23" customFormat="1" hidden="1" x14ac:dyDescent="0.3">
      <c r="B61" s="2" t="s">
        <v>114</v>
      </c>
      <c r="C61" s="2" t="s">
        <v>76</v>
      </c>
      <c r="D61" s="2" t="s">
        <v>40</v>
      </c>
      <c r="E61" s="2" t="s">
        <v>115</v>
      </c>
      <c r="F61" s="2">
        <v>1.930874686232853</v>
      </c>
      <c r="G61" s="2">
        <v>794</v>
      </c>
      <c r="H61" s="2">
        <v>4981</v>
      </c>
      <c r="I61" s="2">
        <v>2725</v>
      </c>
      <c r="J61" s="2">
        <v>2359</v>
      </c>
      <c r="K61" s="3">
        <v>4028</v>
      </c>
      <c r="L61" s="2">
        <v>3382</v>
      </c>
      <c r="M61" s="2">
        <v>2446</v>
      </c>
      <c r="N61" s="2">
        <v>3039</v>
      </c>
      <c r="O61" s="2">
        <v>2445</v>
      </c>
      <c r="P61" s="3">
        <v>5034</v>
      </c>
      <c r="Q61" s="3">
        <v>4222</v>
      </c>
      <c r="R61" s="2">
        <v>2634</v>
      </c>
      <c r="S61" s="2">
        <v>3483</v>
      </c>
      <c r="T61" s="2">
        <v>5971</v>
      </c>
      <c r="U61" s="2">
        <v>3469</v>
      </c>
      <c r="V61" s="3">
        <v>7793</v>
      </c>
      <c r="W61" s="2">
        <v>3883</v>
      </c>
    </row>
    <row r="62" spans="2:23" ht="15" x14ac:dyDescent="0.25">
      <c r="B62" s="22" t="s">
        <v>137</v>
      </c>
      <c r="C62" s="23" t="s">
        <v>23</v>
      </c>
      <c r="D62" s="23" t="s">
        <v>48</v>
      </c>
      <c r="E62" s="2" t="s">
        <v>32</v>
      </c>
      <c r="F62" s="24">
        <v>-11.529320987654319</v>
      </c>
      <c r="G62" s="26">
        <v>372.8</v>
      </c>
      <c r="H62" s="26">
        <v>374.6</v>
      </c>
      <c r="I62" s="26">
        <v>436.4</v>
      </c>
      <c r="J62" s="26">
        <v>375.9</v>
      </c>
      <c r="K62" s="26">
        <v>306.60000000000002</v>
      </c>
      <c r="L62" s="26">
        <v>285.7</v>
      </c>
      <c r="M62" s="26">
        <v>296.2</v>
      </c>
      <c r="N62" s="26">
        <v>268.7</v>
      </c>
      <c r="O62" s="26">
        <v>273.3</v>
      </c>
      <c r="P62" s="26">
        <v>214.7</v>
      </c>
      <c r="Q62" s="26">
        <v>284.60000000000002</v>
      </c>
      <c r="R62" s="26">
        <v>340</v>
      </c>
      <c r="S62" s="26">
        <v>317.8</v>
      </c>
      <c r="T62" s="26">
        <v>294.8</v>
      </c>
      <c r="U62" s="26">
        <v>320.60000000000002</v>
      </c>
      <c r="V62" s="26">
        <v>362.8</v>
      </c>
      <c r="W62" s="26">
        <v>168.38</v>
      </c>
    </row>
    <row r="63" spans="2:23" ht="15" x14ac:dyDescent="0.25">
      <c r="B63" s="22" t="s">
        <v>89</v>
      </c>
      <c r="C63" s="23" t="s">
        <v>23</v>
      </c>
      <c r="D63" s="23" t="s">
        <v>90</v>
      </c>
      <c r="E63" s="2" t="s">
        <v>32</v>
      </c>
      <c r="F63" s="24">
        <v>-12.39083441418072</v>
      </c>
      <c r="G63" s="26">
        <v>645.4</v>
      </c>
      <c r="H63" s="26">
        <v>765.8</v>
      </c>
      <c r="I63" s="26">
        <v>921.4</v>
      </c>
      <c r="J63" s="26">
        <v>948.2</v>
      </c>
      <c r="K63" s="27">
        <v>1144</v>
      </c>
      <c r="L63" s="27">
        <v>1474</v>
      </c>
      <c r="M63" s="27">
        <v>1511</v>
      </c>
      <c r="N63" s="27">
        <v>1517</v>
      </c>
      <c r="O63" s="26">
        <v>1541</v>
      </c>
      <c r="P63" s="26">
        <v>1448</v>
      </c>
      <c r="Q63" s="26">
        <v>1367</v>
      </c>
      <c r="R63" s="26">
        <v>1147</v>
      </c>
      <c r="S63" s="26">
        <v>1032</v>
      </c>
      <c r="T63" s="26">
        <v>910.6</v>
      </c>
      <c r="U63" s="26">
        <v>865</v>
      </c>
      <c r="V63" s="26">
        <v>661.9</v>
      </c>
      <c r="W63" s="26">
        <v>602.1</v>
      </c>
    </row>
    <row r="64" spans="2:23" ht="15" x14ac:dyDescent="0.25">
      <c r="B64" s="22" t="s">
        <v>64</v>
      </c>
      <c r="C64" s="23" t="s">
        <v>23</v>
      </c>
      <c r="D64" s="23" t="s">
        <v>65</v>
      </c>
      <c r="E64" s="2" t="s">
        <v>32</v>
      </c>
      <c r="F64" s="24">
        <v>-13.191850594227491</v>
      </c>
      <c r="G64" s="26">
        <v>17.88</v>
      </c>
      <c r="H64" s="26">
        <v>34.700000000000003</v>
      </c>
      <c r="I64" s="26">
        <v>-5.45</v>
      </c>
      <c r="J64" s="26">
        <v>12.94</v>
      </c>
      <c r="K64" s="26">
        <v>22.37</v>
      </c>
      <c r="L64" s="27">
        <v>41.46</v>
      </c>
      <c r="M64" s="27">
        <v>24.9</v>
      </c>
      <c r="N64" s="27">
        <v>33.46</v>
      </c>
      <c r="O64" s="26">
        <v>31.21</v>
      </c>
      <c r="P64" s="27">
        <v>58.16</v>
      </c>
      <c r="Q64" s="26">
        <v>22.7</v>
      </c>
      <c r="R64" s="26">
        <v>38.39</v>
      </c>
      <c r="S64" s="26">
        <v>27.31</v>
      </c>
      <c r="T64" s="26">
        <v>66.25</v>
      </c>
      <c r="U64" s="26">
        <v>11.58</v>
      </c>
      <c r="V64" s="26">
        <v>12.66</v>
      </c>
      <c r="W64" s="26">
        <v>11.77</v>
      </c>
    </row>
    <row r="65" spans="2:23" ht="15" x14ac:dyDescent="0.25">
      <c r="B65" s="22" t="s">
        <v>111</v>
      </c>
      <c r="C65" s="23" t="s">
        <v>23</v>
      </c>
      <c r="D65" s="23" t="s">
        <v>112</v>
      </c>
      <c r="E65" s="2" t="s">
        <v>143</v>
      </c>
      <c r="F65" s="24">
        <v>-14.286178861788621</v>
      </c>
      <c r="G65" s="26">
        <v>5541</v>
      </c>
      <c r="H65" s="26">
        <v>6950</v>
      </c>
      <c r="I65" s="26">
        <v>7132</v>
      </c>
      <c r="J65" s="26">
        <v>7462</v>
      </c>
      <c r="K65" s="26">
        <v>6891</v>
      </c>
      <c r="L65" s="26">
        <v>8086</v>
      </c>
      <c r="M65" s="26">
        <v>8057</v>
      </c>
      <c r="N65" s="26">
        <v>8526</v>
      </c>
      <c r="O65" s="26">
        <v>7689</v>
      </c>
      <c r="P65" s="26">
        <v>7931</v>
      </c>
      <c r="Q65" s="26">
        <v>7875</v>
      </c>
      <c r="R65" s="26">
        <v>8708</v>
      </c>
      <c r="S65" s="26">
        <v>7773</v>
      </c>
      <c r="T65" s="26">
        <v>9119</v>
      </c>
      <c r="U65" s="26">
        <v>5150</v>
      </c>
      <c r="V65" s="26">
        <v>4315</v>
      </c>
      <c r="W65" s="26">
        <v>380</v>
      </c>
    </row>
    <row r="66" spans="2:23" ht="15" x14ac:dyDescent="0.25">
      <c r="B66" s="22" t="s">
        <v>108</v>
      </c>
      <c r="C66" s="23" t="s">
        <v>23</v>
      </c>
      <c r="D66" s="23" t="s">
        <v>109</v>
      </c>
      <c r="E66" s="2" t="s">
        <v>32</v>
      </c>
      <c r="F66" s="24">
        <v>-35.383663366336627</v>
      </c>
      <c r="G66" s="26">
        <v>-3377</v>
      </c>
      <c r="H66" s="26">
        <v>-408</v>
      </c>
      <c r="I66" s="26">
        <v>1382</v>
      </c>
      <c r="J66" s="26">
        <v>-2087</v>
      </c>
      <c r="K66" s="26">
        <v>296</v>
      </c>
      <c r="L66" s="26">
        <v>532</v>
      </c>
      <c r="M66" s="26">
        <v>4</v>
      </c>
      <c r="N66" s="26">
        <v>-687</v>
      </c>
      <c r="O66" s="27">
        <v>570</v>
      </c>
      <c r="P66" s="26">
        <v>68</v>
      </c>
      <c r="Q66" s="27">
        <v>-961</v>
      </c>
      <c r="R66" s="27">
        <v>-5605</v>
      </c>
      <c r="S66" s="27">
        <v>-3650</v>
      </c>
      <c r="T66" s="26">
        <v>539</v>
      </c>
      <c r="U66" s="26">
        <v>-222</v>
      </c>
      <c r="V66" s="26">
        <v>-4747</v>
      </c>
      <c r="W66" s="26">
        <v>-791</v>
      </c>
    </row>
    <row r="67" spans="2:23" customFormat="1" hidden="1" x14ac:dyDescent="0.3">
      <c r="B67" s="2" t="s">
        <v>122</v>
      </c>
      <c r="C67" s="2" t="s">
        <v>23</v>
      </c>
      <c r="D67" s="2" t="s">
        <v>31</v>
      </c>
      <c r="E67" s="2" t="s">
        <v>25</v>
      </c>
      <c r="F67" s="2">
        <v>-17.289556409360809</v>
      </c>
      <c r="G67" s="2">
        <v>-382</v>
      </c>
      <c r="H67" s="2">
        <v>-715</v>
      </c>
      <c r="I67" s="2">
        <v>-1460</v>
      </c>
      <c r="J67" s="2">
        <v>1117</v>
      </c>
      <c r="K67" s="2">
        <v>1072</v>
      </c>
      <c r="L67" s="3">
        <v>1498</v>
      </c>
      <c r="M67" s="3">
        <v>459</v>
      </c>
      <c r="N67" s="3">
        <v>2177</v>
      </c>
      <c r="O67" s="2">
        <v>744</v>
      </c>
      <c r="P67" s="2">
        <v>665</v>
      </c>
      <c r="Q67" s="2">
        <v>101</v>
      </c>
      <c r="R67" s="2">
        <v>1396</v>
      </c>
      <c r="S67" s="2">
        <v>670</v>
      </c>
      <c r="T67" s="3">
        <v>1189</v>
      </c>
      <c r="U67" s="2">
        <v>-189</v>
      </c>
      <c r="V67" s="2">
        <v>1193</v>
      </c>
      <c r="W67" s="2">
        <v>175</v>
      </c>
    </row>
    <row r="68" spans="2:23" ht="15" x14ac:dyDescent="0.25">
      <c r="B68" s="22" t="s">
        <v>92</v>
      </c>
      <c r="C68" s="23" t="s">
        <v>23</v>
      </c>
      <c r="D68" s="23" t="s">
        <v>93</v>
      </c>
      <c r="E68" s="2" t="s">
        <v>32</v>
      </c>
      <c r="F68" s="24">
        <v>-69.371428571428567</v>
      </c>
      <c r="G68" s="26">
        <v>1973</v>
      </c>
      <c r="H68" s="26">
        <v>2626</v>
      </c>
      <c r="I68" s="26">
        <v>2542</v>
      </c>
      <c r="J68" s="26">
        <v>3811</v>
      </c>
      <c r="K68" s="26">
        <v>1947</v>
      </c>
      <c r="L68" s="26">
        <v>2706</v>
      </c>
      <c r="M68" s="26">
        <v>2933</v>
      </c>
      <c r="N68" s="26">
        <v>3154</v>
      </c>
      <c r="O68" s="26">
        <v>804</v>
      </c>
      <c r="P68" s="27">
        <v>3769</v>
      </c>
      <c r="Q68" s="27">
        <v>4197</v>
      </c>
      <c r="R68" s="26">
        <v>3881</v>
      </c>
      <c r="S68" s="26">
        <v>1193</v>
      </c>
      <c r="T68" s="26">
        <v>3437</v>
      </c>
      <c r="U68" s="26">
        <v>2238</v>
      </c>
      <c r="V68" s="26">
        <v>2757</v>
      </c>
      <c r="W68" s="26">
        <v>-5484</v>
      </c>
    </row>
    <row r="69" spans="2:23" ht="15" x14ac:dyDescent="0.25">
      <c r="B69" s="22" t="s">
        <v>54</v>
      </c>
      <c r="C69" s="23" t="s">
        <v>23</v>
      </c>
      <c r="D69" s="23" t="s">
        <v>55</v>
      </c>
      <c r="E69" s="2" t="s">
        <v>32</v>
      </c>
      <c r="F69" s="24">
        <v>-70.704012112036338</v>
      </c>
      <c r="G69" s="26">
        <v>159.9</v>
      </c>
      <c r="H69" s="26">
        <v>100.2</v>
      </c>
      <c r="I69" s="26">
        <v>193.1</v>
      </c>
      <c r="J69" s="26">
        <v>254.3</v>
      </c>
      <c r="K69" s="27">
        <v>256.89999999999998</v>
      </c>
      <c r="L69" s="26">
        <v>161.1</v>
      </c>
      <c r="M69" s="26">
        <v>196</v>
      </c>
      <c r="N69" s="26">
        <v>201.1</v>
      </c>
      <c r="O69" s="26">
        <v>142.69999999999999</v>
      </c>
      <c r="P69" s="26">
        <v>39</v>
      </c>
      <c r="Q69" s="26">
        <v>119.7</v>
      </c>
      <c r="R69" s="26">
        <v>66.099999999999994</v>
      </c>
      <c r="S69" s="26">
        <v>65.8</v>
      </c>
      <c r="T69" s="26">
        <v>-36.1</v>
      </c>
      <c r="U69" s="26">
        <v>39.700000000000003</v>
      </c>
      <c r="V69" s="26">
        <v>62.7</v>
      </c>
      <c r="W69" s="26">
        <v>-27.6</v>
      </c>
    </row>
    <row r="70" spans="2:23" ht="15" x14ac:dyDescent="0.25">
      <c r="B70" s="22" t="s">
        <v>126</v>
      </c>
      <c r="C70" s="23" t="s">
        <v>23</v>
      </c>
      <c r="D70" s="23" t="s">
        <v>127</v>
      </c>
      <c r="E70" s="2" t="s">
        <v>32</v>
      </c>
      <c r="F70" s="24">
        <v>-162.06675811614079</v>
      </c>
      <c r="G70" s="26">
        <v>421.3</v>
      </c>
      <c r="H70" s="26">
        <v>412.9</v>
      </c>
      <c r="I70" s="26">
        <v>344.9</v>
      </c>
      <c r="J70" s="26">
        <v>319.89999999999998</v>
      </c>
      <c r="K70" s="26">
        <v>313.3</v>
      </c>
      <c r="L70" s="26">
        <v>231.1</v>
      </c>
      <c r="M70" s="26">
        <v>203.8</v>
      </c>
      <c r="N70" s="26">
        <v>227.7</v>
      </c>
      <c r="O70" s="26">
        <v>153.1</v>
      </c>
      <c r="P70" s="26">
        <v>213.1</v>
      </c>
      <c r="Q70" s="26">
        <v>256.8</v>
      </c>
      <c r="R70" s="26">
        <v>248.1</v>
      </c>
      <c r="S70" s="27">
        <v>314.2</v>
      </c>
      <c r="T70" s="26">
        <v>277.3</v>
      </c>
      <c r="U70" s="26">
        <v>231.1</v>
      </c>
      <c r="V70" s="26">
        <v>270.89999999999998</v>
      </c>
      <c r="W70" s="26">
        <v>-1458</v>
      </c>
    </row>
    <row r="71" spans="2:23" ht="15" x14ac:dyDescent="0.25">
      <c r="B71" s="22" t="s">
        <v>58</v>
      </c>
      <c r="C71" s="23" t="s">
        <v>23</v>
      </c>
      <c r="D71" s="23" t="s">
        <v>27</v>
      </c>
      <c r="E71" s="2" t="s">
        <v>32</v>
      </c>
      <c r="F71" s="24">
        <v>-176.44454283816691</v>
      </c>
      <c r="G71" s="26">
        <v>22.83</v>
      </c>
      <c r="H71" s="26">
        <v>24.64</v>
      </c>
      <c r="I71" s="26">
        <v>34.97</v>
      </c>
      <c r="J71" s="26">
        <v>32.42</v>
      </c>
      <c r="K71" s="26">
        <v>12.82</v>
      </c>
      <c r="L71" s="26">
        <v>5.46</v>
      </c>
      <c r="M71" s="26">
        <v>11.87</v>
      </c>
      <c r="N71" s="26">
        <v>10.75</v>
      </c>
      <c r="O71" s="26">
        <v>11.75</v>
      </c>
      <c r="P71" s="26">
        <v>5</v>
      </c>
      <c r="Q71" s="26">
        <v>7.14</v>
      </c>
      <c r="R71" s="26">
        <v>11.46</v>
      </c>
      <c r="S71" s="26">
        <v>-71.86</v>
      </c>
      <c r="T71" s="27">
        <v>-5.93</v>
      </c>
      <c r="U71" s="26">
        <v>18.940000000000001</v>
      </c>
      <c r="V71" s="26">
        <v>13.68</v>
      </c>
      <c r="W71" s="26">
        <v>7.84</v>
      </c>
    </row>
    <row r="72" spans="2:23" ht="15" x14ac:dyDescent="0.25">
      <c r="B72" s="22" t="s">
        <v>88</v>
      </c>
      <c r="C72" s="23" t="s">
        <v>62</v>
      </c>
      <c r="D72" s="23" t="s">
        <v>40</v>
      </c>
      <c r="E72" s="2" t="s">
        <v>32</v>
      </c>
      <c r="F72" s="24">
        <v>-2.5614610161554641</v>
      </c>
      <c r="G72" s="26">
        <v>5173</v>
      </c>
      <c r="H72" s="26">
        <v>4731</v>
      </c>
      <c r="I72" s="26">
        <v>3691</v>
      </c>
      <c r="J72" s="26">
        <v>5010</v>
      </c>
      <c r="K72" s="26">
        <v>6090</v>
      </c>
      <c r="L72" s="26">
        <v>5592</v>
      </c>
      <c r="M72" s="26">
        <v>5132</v>
      </c>
      <c r="N72" s="26">
        <v>5765</v>
      </c>
      <c r="O72" s="26">
        <v>6539</v>
      </c>
      <c r="P72" s="26">
        <v>2194</v>
      </c>
      <c r="Q72" s="26">
        <v>5554</v>
      </c>
      <c r="R72" s="26">
        <v>4926</v>
      </c>
      <c r="S72" s="26">
        <v>6432</v>
      </c>
      <c r="T72" s="27">
        <v>5207</v>
      </c>
      <c r="U72" s="26">
        <v>4552</v>
      </c>
      <c r="V72" s="26">
        <v>5164</v>
      </c>
      <c r="W72" s="26">
        <v>5885</v>
      </c>
    </row>
    <row r="73" spans="2:23" ht="15" x14ac:dyDescent="0.25">
      <c r="B73" s="22" t="s">
        <v>61</v>
      </c>
      <c r="C73" s="23" t="s">
        <v>62</v>
      </c>
      <c r="D73" s="23" t="s">
        <v>40</v>
      </c>
      <c r="E73" s="2" t="s">
        <v>32</v>
      </c>
      <c r="F73" s="24">
        <v>-259.11303407247158</v>
      </c>
      <c r="G73" s="26">
        <v>146.9</v>
      </c>
      <c r="H73" s="26">
        <v>82.4</v>
      </c>
      <c r="I73" s="26">
        <v>123.3</v>
      </c>
      <c r="J73" s="26">
        <v>-364</v>
      </c>
      <c r="K73" s="26">
        <v>368.7</v>
      </c>
      <c r="L73" s="26">
        <v>-95.9</v>
      </c>
      <c r="M73" s="26">
        <v>69.3</v>
      </c>
      <c r="N73" s="27">
        <v>-1260</v>
      </c>
      <c r="O73" s="26">
        <v>1114</v>
      </c>
      <c r="P73" s="26">
        <v>-37.6</v>
      </c>
      <c r="Q73" s="27">
        <v>38.299999999999997</v>
      </c>
      <c r="R73" s="26">
        <v>-0.4</v>
      </c>
      <c r="S73" s="26">
        <v>-343.5</v>
      </c>
      <c r="T73" s="26">
        <v>-0.4</v>
      </c>
      <c r="U73" s="26">
        <v>91.5</v>
      </c>
      <c r="V73" s="26">
        <v>67.5</v>
      </c>
      <c r="W73" s="26">
        <v>135.6</v>
      </c>
    </row>
    <row r="74" spans="2:23" ht="15" x14ac:dyDescent="0.25">
      <c r="B74" s="22" t="s">
        <v>131</v>
      </c>
      <c r="C74" s="23" t="s">
        <v>76</v>
      </c>
      <c r="D74" s="23" t="s">
        <v>40</v>
      </c>
      <c r="E74" s="2" t="s">
        <v>32</v>
      </c>
      <c r="F74" s="24">
        <v>5.5388990934407856</v>
      </c>
      <c r="G74" s="26">
        <v>6171</v>
      </c>
      <c r="H74" s="26">
        <v>7815</v>
      </c>
      <c r="I74" s="26">
        <v>12061</v>
      </c>
      <c r="J74" s="26">
        <v>9836</v>
      </c>
      <c r="K74" s="27">
        <v>11436</v>
      </c>
      <c r="L74" s="27">
        <v>17481</v>
      </c>
      <c r="M74" s="27">
        <v>24047</v>
      </c>
      <c r="N74" s="26">
        <v>9790</v>
      </c>
      <c r="O74" s="26">
        <v>13868</v>
      </c>
      <c r="P74" s="26">
        <v>9378</v>
      </c>
      <c r="Q74" s="26">
        <v>12890</v>
      </c>
      <c r="R74" s="26">
        <v>7837</v>
      </c>
      <c r="S74" s="26">
        <v>10294</v>
      </c>
      <c r="T74" s="27">
        <v>34757</v>
      </c>
      <c r="U74" s="27">
        <v>24599</v>
      </c>
      <c r="V74" s="26">
        <v>14735</v>
      </c>
      <c r="W74" s="26">
        <v>14968</v>
      </c>
    </row>
    <row r="75" spans="2:23" ht="15" x14ac:dyDescent="0.25">
      <c r="B75" s="22" t="s">
        <v>75</v>
      </c>
      <c r="C75" s="23" t="s">
        <v>76</v>
      </c>
      <c r="D75" s="23" t="s">
        <v>40</v>
      </c>
      <c r="E75" s="2" t="s">
        <v>32</v>
      </c>
      <c r="F75" s="24">
        <v>-1.524068868587491</v>
      </c>
      <c r="G75" s="26">
        <v>7379</v>
      </c>
      <c r="H75" s="26">
        <v>2702</v>
      </c>
      <c r="I75" s="26">
        <v>10596</v>
      </c>
      <c r="J75" s="26">
        <v>6481</v>
      </c>
      <c r="K75" s="26">
        <v>7139</v>
      </c>
      <c r="L75" s="26">
        <v>1837</v>
      </c>
      <c r="M75" s="26">
        <v>8440</v>
      </c>
      <c r="N75" s="26">
        <v>5388</v>
      </c>
      <c r="O75" s="26">
        <v>6278</v>
      </c>
      <c r="P75" s="26">
        <v>1976</v>
      </c>
      <c r="Q75" s="26">
        <v>9463</v>
      </c>
      <c r="R75" s="26">
        <v>4632</v>
      </c>
      <c r="S75" s="26">
        <v>5719</v>
      </c>
      <c r="T75" s="26">
        <v>1777</v>
      </c>
      <c r="U75" s="26">
        <v>10007</v>
      </c>
      <c r="V75" s="26">
        <v>5265</v>
      </c>
      <c r="W75" s="26">
        <v>5372</v>
      </c>
    </row>
    <row r="76" spans="2:23" ht="15" x14ac:dyDescent="0.25">
      <c r="B76" s="22" t="s">
        <v>91</v>
      </c>
      <c r="C76" s="23" t="s">
        <v>76</v>
      </c>
      <c r="D76" s="23" t="s">
        <v>40</v>
      </c>
      <c r="E76" s="2" t="s">
        <v>32</v>
      </c>
      <c r="F76" s="24">
        <v>-2.1847220129576632</v>
      </c>
      <c r="G76" s="26">
        <v>181709</v>
      </c>
      <c r="H76" s="26">
        <v>192570</v>
      </c>
      <c r="I76" s="26">
        <v>248936</v>
      </c>
      <c r="J76" s="26">
        <v>286205</v>
      </c>
      <c r="K76" s="27">
        <v>273087</v>
      </c>
      <c r="L76" s="26">
        <v>189974</v>
      </c>
      <c r="M76" s="26">
        <v>190822</v>
      </c>
      <c r="N76" s="26">
        <v>191097</v>
      </c>
      <c r="O76" s="26">
        <v>177609</v>
      </c>
      <c r="P76" s="26">
        <v>141510</v>
      </c>
      <c r="Q76" s="26">
        <v>191023</v>
      </c>
      <c r="R76" s="26">
        <v>214682</v>
      </c>
      <c r="S76" s="26">
        <v>178735</v>
      </c>
      <c r="T76" s="26">
        <v>157666</v>
      </c>
      <c r="U76" s="26">
        <v>166805</v>
      </c>
      <c r="V76" s="26">
        <v>167131</v>
      </c>
      <c r="W76" s="26">
        <v>164090</v>
      </c>
    </row>
    <row r="77" spans="2:23" ht="15" x14ac:dyDescent="0.25">
      <c r="B77" s="22" t="s">
        <v>133</v>
      </c>
      <c r="C77" s="23" t="s">
        <v>39</v>
      </c>
      <c r="D77" s="23" t="s">
        <v>40</v>
      </c>
      <c r="E77" s="2" t="s">
        <v>32</v>
      </c>
      <c r="F77" s="24">
        <v>9.7603296822470487</v>
      </c>
      <c r="G77" s="26">
        <v>3919</v>
      </c>
      <c r="H77" s="26">
        <v>3504</v>
      </c>
      <c r="I77" s="26">
        <v>3844</v>
      </c>
      <c r="J77" s="26">
        <v>3607</v>
      </c>
      <c r="K77" s="26">
        <v>3785</v>
      </c>
      <c r="L77" s="26">
        <v>4228</v>
      </c>
      <c r="M77" s="26">
        <v>4631</v>
      </c>
      <c r="N77" s="26">
        <v>4432</v>
      </c>
      <c r="O77" s="26">
        <v>4869</v>
      </c>
      <c r="P77" s="26">
        <v>5047</v>
      </c>
      <c r="Q77" s="26">
        <v>5194</v>
      </c>
      <c r="R77" s="26">
        <v>4770</v>
      </c>
      <c r="S77" s="26">
        <v>4144</v>
      </c>
      <c r="T77" s="26">
        <v>4533</v>
      </c>
      <c r="U77" s="26">
        <v>4580</v>
      </c>
      <c r="V77" s="26">
        <v>5185</v>
      </c>
      <c r="W77" s="26">
        <v>5944</v>
      </c>
    </row>
    <row r="78" spans="2:23" ht="15" x14ac:dyDescent="0.25">
      <c r="B78" s="22" t="s">
        <v>134</v>
      </c>
      <c r="C78" s="23" t="s">
        <v>39</v>
      </c>
      <c r="D78" s="23" t="s">
        <v>40</v>
      </c>
      <c r="E78" s="2" t="s">
        <v>32</v>
      </c>
      <c r="F78" s="24">
        <v>9.3883911180366209</v>
      </c>
      <c r="G78" s="26">
        <v>1835</v>
      </c>
      <c r="H78" s="26">
        <v>1281</v>
      </c>
      <c r="I78" s="26">
        <v>1680</v>
      </c>
      <c r="J78" s="26">
        <v>2350</v>
      </c>
      <c r="K78" s="26">
        <v>2510</v>
      </c>
      <c r="L78" s="27">
        <v>2449</v>
      </c>
      <c r="M78" s="26">
        <v>2411</v>
      </c>
      <c r="N78" s="26">
        <v>2858</v>
      </c>
      <c r="O78" s="26">
        <v>2370</v>
      </c>
      <c r="P78" s="26">
        <v>2614</v>
      </c>
      <c r="Q78" s="26">
        <v>3031</v>
      </c>
      <c r="R78" s="26">
        <v>2671</v>
      </c>
      <c r="S78" s="26">
        <v>3026</v>
      </c>
      <c r="T78" s="26">
        <v>3185</v>
      </c>
      <c r="U78" s="26">
        <v>3377</v>
      </c>
      <c r="V78" s="26">
        <v>3247</v>
      </c>
      <c r="W78" s="26">
        <v>4231</v>
      </c>
    </row>
    <row r="79" spans="2:23" customFormat="1" hidden="1" x14ac:dyDescent="0.3">
      <c r="B79" s="2" t="s">
        <v>138</v>
      </c>
      <c r="C79" s="2" t="s">
        <v>23</v>
      </c>
      <c r="D79" s="2" t="s">
        <v>139</v>
      </c>
      <c r="E79" s="2" t="s">
        <v>25</v>
      </c>
      <c r="F79" s="2">
        <v>-4.7557963468803592</v>
      </c>
      <c r="G79" s="2">
        <v>446.97</v>
      </c>
      <c r="H79" s="2">
        <v>439.64</v>
      </c>
      <c r="I79" s="2">
        <v>578.75</v>
      </c>
      <c r="J79" s="2">
        <v>585.86</v>
      </c>
      <c r="K79" s="2">
        <v>545.37</v>
      </c>
      <c r="L79" s="2">
        <v>581.35</v>
      </c>
      <c r="M79" s="2">
        <v>440.81</v>
      </c>
      <c r="N79" s="2">
        <v>477.8</v>
      </c>
      <c r="O79" s="2">
        <v>545.97</v>
      </c>
      <c r="P79" s="2">
        <v>490.67</v>
      </c>
      <c r="Q79" s="2">
        <v>477.34</v>
      </c>
      <c r="R79" s="2">
        <v>540.28</v>
      </c>
      <c r="S79" s="2">
        <v>545.47</v>
      </c>
      <c r="T79" s="2">
        <v>579.41</v>
      </c>
      <c r="U79" s="2">
        <v>409.19</v>
      </c>
      <c r="V79" s="2">
        <v>453.82</v>
      </c>
      <c r="W79" s="2">
        <v>450.93</v>
      </c>
    </row>
    <row r="80" spans="2:23" ht="15" x14ac:dyDescent="0.25">
      <c r="B80" s="22" t="s">
        <v>116</v>
      </c>
      <c r="C80" s="23" t="s">
        <v>39</v>
      </c>
      <c r="D80" s="23" t="s">
        <v>40</v>
      </c>
      <c r="E80" s="2" t="s">
        <v>32</v>
      </c>
      <c r="F80" s="24">
        <v>1.720613625989809</v>
      </c>
      <c r="G80" s="26">
        <v>13344</v>
      </c>
      <c r="H80" s="26">
        <v>12382</v>
      </c>
      <c r="I80" s="26">
        <v>13479</v>
      </c>
      <c r="J80" s="26">
        <v>10120</v>
      </c>
      <c r="K80" s="26">
        <v>13974</v>
      </c>
      <c r="L80" s="26">
        <v>17058</v>
      </c>
      <c r="M80" s="27">
        <v>19230</v>
      </c>
      <c r="N80" s="26">
        <v>15075</v>
      </c>
      <c r="O80" s="26">
        <v>18357</v>
      </c>
      <c r="P80" s="26">
        <v>14761</v>
      </c>
      <c r="Q80" s="26">
        <v>14661</v>
      </c>
      <c r="R80" s="26">
        <v>9975</v>
      </c>
      <c r="S80" s="26">
        <v>13812</v>
      </c>
      <c r="T80" s="26">
        <v>11351</v>
      </c>
      <c r="U80" s="26">
        <v>13241</v>
      </c>
      <c r="V80" s="26">
        <v>11985</v>
      </c>
      <c r="W80" s="26">
        <v>14679</v>
      </c>
    </row>
    <row r="81" spans="2:23" customFormat="1" hidden="1" x14ac:dyDescent="0.3">
      <c r="B81" s="2" t="s">
        <v>142</v>
      </c>
      <c r="C81" s="2" t="s">
        <v>23</v>
      </c>
      <c r="D81" s="2" t="s">
        <v>27</v>
      </c>
      <c r="E81" s="2" t="s">
        <v>25</v>
      </c>
      <c r="F81" s="2">
        <v>6.3982102908277438</v>
      </c>
      <c r="G81" s="2">
        <v>19.21</v>
      </c>
      <c r="H81" s="2">
        <v>20.72</v>
      </c>
      <c r="I81" s="2">
        <v>17.79</v>
      </c>
      <c r="J81" s="2">
        <v>27.29</v>
      </c>
      <c r="K81" s="3">
        <v>27.75</v>
      </c>
      <c r="L81" s="2">
        <v>29.51</v>
      </c>
      <c r="M81" s="2">
        <v>24.95</v>
      </c>
      <c r="N81" s="2">
        <v>18.11</v>
      </c>
      <c r="O81" s="2">
        <v>12.6</v>
      </c>
      <c r="P81" s="2">
        <v>11.62</v>
      </c>
      <c r="Q81" s="2">
        <v>12.41</v>
      </c>
      <c r="R81" s="2">
        <v>9.56</v>
      </c>
      <c r="S81" s="2">
        <v>10.75</v>
      </c>
      <c r="T81" s="2">
        <v>12.24</v>
      </c>
      <c r="U81" s="2">
        <v>10.45</v>
      </c>
      <c r="V81" s="2">
        <v>11.26</v>
      </c>
      <c r="W81" s="2">
        <v>13.61</v>
      </c>
    </row>
    <row r="83" spans="2:23" x14ac:dyDescent="0.3">
      <c r="B83" s="16" t="s">
        <v>161</v>
      </c>
    </row>
  </sheetData>
  <autoFilter ref="B2:W81" xr:uid="{00000000-0001-0000-0100-000000000000}">
    <filterColumn colId="3">
      <filters>
        <filter val="Dec '25"/>
        <filter val="Dec '25 Dec 27, 2025"/>
        <filter val="Dec '25 Dec 30, 2025"/>
        <filter val="Dec '25 Dec 31, 2025"/>
      </filters>
    </filterColumn>
    <sortState xmlns:xlrd2="http://schemas.microsoft.com/office/spreadsheetml/2017/richdata2" ref="B4:W80">
      <sortCondition descending="1" ref="C2:C81"/>
    </sortState>
  </autoFilter>
  <phoneticPr fontId="4" type="noConversion"/>
  <conditionalFormatting sqref="B4:W80">
    <cfRule type="expression" dxfId="0" priority="1">
      <formula>"ISODD(ROW(B4))"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F9E6-7466-41C4-A362-C19ED01B3944}">
  <dimension ref="B2:S14"/>
  <sheetViews>
    <sheetView tabSelected="1" zoomScaleNormal="100" workbookViewId="0">
      <selection activeCell="L22" sqref="L22"/>
    </sheetView>
  </sheetViews>
  <sheetFormatPr defaultRowHeight="15" x14ac:dyDescent="0.25"/>
  <cols>
    <col min="1" max="1" width="9" style="17"/>
    <col min="2" max="2" width="19.5" style="17" customWidth="1"/>
    <col min="3" max="6" width="10.625" style="17" hidden="1" customWidth="1"/>
    <col min="7" max="19" width="10.625" style="17" customWidth="1"/>
    <col min="20" max="16384" width="9" style="17"/>
  </cols>
  <sheetData>
    <row r="2" spans="2:19" x14ac:dyDescent="0.25">
      <c r="B2" s="16" t="s">
        <v>159</v>
      </c>
    </row>
    <row r="4" spans="2:19" x14ac:dyDescent="0.25">
      <c r="B4" s="16" t="s">
        <v>160</v>
      </c>
      <c r="C4" s="17">
        <v>6</v>
      </c>
      <c r="D4" s="17">
        <v>7</v>
      </c>
      <c r="E4" s="17">
        <v>8</v>
      </c>
      <c r="F4" s="17">
        <v>9</v>
      </c>
      <c r="G4" s="17">
        <v>10</v>
      </c>
      <c r="H4" s="17">
        <v>11</v>
      </c>
      <c r="I4" s="17">
        <v>12</v>
      </c>
      <c r="J4" s="17">
        <v>13</v>
      </c>
      <c r="K4" s="17">
        <v>14</v>
      </c>
      <c r="L4" s="17">
        <v>15</v>
      </c>
      <c r="M4" s="17">
        <v>16</v>
      </c>
      <c r="N4" s="17">
        <v>17</v>
      </c>
      <c r="O4" s="17">
        <v>18</v>
      </c>
      <c r="P4" s="17">
        <v>19</v>
      </c>
      <c r="Q4" s="17">
        <v>20</v>
      </c>
      <c r="R4" s="17">
        <v>21</v>
      </c>
      <c r="S4" s="17">
        <v>22</v>
      </c>
    </row>
    <row r="6" spans="2:19" x14ac:dyDescent="0.25">
      <c r="B6" s="4"/>
      <c r="C6" s="5" t="s">
        <v>144</v>
      </c>
      <c r="D6" s="5" t="s">
        <v>145</v>
      </c>
      <c r="E6" s="5" t="s">
        <v>146</v>
      </c>
      <c r="F6" s="5" t="s">
        <v>147</v>
      </c>
      <c r="G6" s="5" t="s">
        <v>148</v>
      </c>
      <c r="H6" s="5" t="s">
        <v>10</v>
      </c>
      <c r="I6" s="5" t="s">
        <v>149</v>
      </c>
      <c r="J6" s="5" t="s">
        <v>150</v>
      </c>
      <c r="K6" s="5" t="s">
        <v>151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6" t="s">
        <v>21</v>
      </c>
    </row>
    <row r="7" spans="2:19" x14ac:dyDescent="0.25">
      <c r="B7" s="7" t="s">
        <v>152</v>
      </c>
      <c r="C7" s="28">
        <f>VLOOKUP($B$4,Revenue!$B$1:$W$81,C4,FALSE)</f>
        <v>3116</v>
      </c>
      <c r="D7" s="28">
        <f>VLOOKUP($B$4,Revenue!$B$1:$W$81,D4,FALSE)</f>
        <v>2802</v>
      </c>
      <c r="E7" s="28">
        <f>VLOOKUP($B$4,Revenue!$B$1:$W$81,E4,FALSE)</f>
        <v>2628</v>
      </c>
      <c r="F7" s="28">
        <f>VLOOKUP($B$4,Revenue!$B$1:$W$81,F4,FALSE)</f>
        <v>2035</v>
      </c>
      <c r="G7" s="28">
        <f>VLOOKUP($B$4,Revenue!$B$1:$W$81,G4,FALSE)</f>
        <v>1887</v>
      </c>
      <c r="H7" s="28">
        <f>VLOOKUP($B$4,Revenue!$B$1:$W$81,H4,FALSE)</f>
        <v>1860</v>
      </c>
      <c r="I7" s="28">
        <f>VLOOKUP($B$4,Revenue!$B$1:$W$81,I4,FALSE)</f>
        <v>1602</v>
      </c>
      <c r="J7" s="28">
        <f>VLOOKUP($B$4,Revenue!$B$1:$W$81,J4,FALSE)</f>
        <v>1454</v>
      </c>
      <c r="K7" s="28">
        <f>VLOOKUP($B$4,Revenue!$B$1:$W$81,K4,FALSE)</f>
        <v>1555</v>
      </c>
      <c r="L7" s="28">
        <f>VLOOKUP($B$4,Revenue!$B$1:$W$81,L4,FALSE)</f>
        <v>1655</v>
      </c>
      <c r="M7" s="28">
        <f>VLOOKUP($B$4,Revenue!$B$1:$W$81,M4,FALSE)</f>
        <v>1887</v>
      </c>
      <c r="N7" s="28">
        <f>VLOOKUP($B$4,Revenue!$B$1:$W$81,N4,FALSE)</f>
        <v>2168</v>
      </c>
      <c r="O7" s="28">
        <f>VLOOKUP($B$4,Revenue!$B$1:$W$81,O4,FALSE)</f>
        <v>2325</v>
      </c>
      <c r="P7" s="28">
        <f>VLOOKUP($B$4,Revenue!$B$1:$W$81,P4,FALSE)</f>
        <v>2160</v>
      </c>
      <c r="Q7" s="28">
        <f>VLOOKUP($B$4,Revenue!$B$1:$W$81,Q4,FALSE)</f>
        <v>2444</v>
      </c>
      <c r="R7" s="28">
        <f>VLOOKUP($B$4,Revenue!$B$1:$W$81,R4,FALSE)</f>
        <v>2629</v>
      </c>
      <c r="S7" s="29">
        <f>VLOOKUP($B$4,Revenue!$B$1:$W$81,S4,FALSE)</f>
        <v>2825</v>
      </c>
    </row>
    <row r="8" spans="2:19" x14ac:dyDescent="0.25">
      <c r="B8" s="7" t="s">
        <v>153</v>
      </c>
      <c r="C8" s="28">
        <f>VLOOKUP($B$4,'Operating Income'!$B$1:$W$81,C4,FALSE)</f>
        <v>581</v>
      </c>
      <c r="D8" s="28">
        <f>VLOOKUP($B$4,'Operating Income'!$B$1:$W$81,D4,FALSE)</f>
        <v>429</v>
      </c>
      <c r="E8" s="28">
        <f>VLOOKUP($B$4,'Operating Income'!$B$1:$W$81,E4,FALSE)</f>
        <v>361</v>
      </c>
      <c r="F8" s="28">
        <f>VLOOKUP($B$4,'Operating Income'!$B$1:$W$81,F4,FALSE)</f>
        <v>116</v>
      </c>
      <c r="G8" s="28">
        <f>VLOOKUP($B$4,'Operating Income'!$B$1:$W$81,G4,FALSE)</f>
        <v>-40</v>
      </c>
      <c r="H8" s="28">
        <f>VLOOKUP($B$4,'Operating Income'!$B$1:$W$81,H4,FALSE)</f>
        <v>5</v>
      </c>
      <c r="I8" s="28">
        <f>VLOOKUP($B$4,'Operating Income'!$B$1:$W$81,I4,FALSE)</f>
        <v>110</v>
      </c>
      <c r="J8" s="28">
        <f>VLOOKUP($B$4,'Operating Income'!$B$1:$W$81,J4,FALSE)</f>
        <v>-114</v>
      </c>
      <c r="K8" s="28">
        <f>VLOOKUP($B$4,'Operating Income'!$B$1:$W$81,K4,FALSE)</f>
        <v>93</v>
      </c>
      <c r="L8" s="28">
        <f>VLOOKUP($B$4,'Operating Income'!$B$1:$W$81,L4,FALSE)</f>
        <v>145</v>
      </c>
      <c r="M8" s="28">
        <f>VLOOKUP($B$4,'Operating Income'!$B$1:$W$81,M4,FALSE)</f>
        <v>283</v>
      </c>
      <c r="N8" s="28">
        <f>VLOOKUP($B$4,'Operating Income'!$B$1:$W$81,N4,FALSE)</f>
        <v>404</v>
      </c>
      <c r="O8" s="28">
        <f>VLOOKUP($B$4,'Operating Income'!$B$1:$W$81,O4,FALSE)</f>
        <v>489</v>
      </c>
      <c r="P8" s="28">
        <f>VLOOKUP($B$4,'Operating Income'!$B$1:$W$81,P4,FALSE)</f>
        <v>451</v>
      </c>
      <c r="Q8" s="28">
        <f>VLOOKUP($B$4,'Operating Income'!$B$1:$W$81,Q4,FALSE)</f>
        <v>584</v>
      </c>
      <c r="R8" s="28">
        <f>VLOOKUP($B$4,'Operating Income'!$B$1:$W$81,R4,FALSE)</f>
        <v>707</v>
      </c>
      <c r="S8" s="29">
        <f>VLOOKUP($B$4,'Operating Income'!$B$1:$W$81,S4,FALSE)</f>
        <v>846</v>
      </c>
    </row>
    <row r="9" spans="2:19" x14ac:dyDescent="0.25">
      <c r="B9" s="7" t="s">
        <v>154</v>
      </c>
      <c r="C9" s="28">
        <f>AVERAGE(C8:C8)</f>
        <v>581</v>
      </c>
      <c r="D9" s="28">
        <f>AVERAGE(C8:D8)</f>
        <v>505</v>
      </c>
      <c r="E9" s="28">
        <f>AVERAGE(C8:E8)</f>
        <v>457</v>
      </c>
      <c r="F9" s="28">
        <f t="shared" ref="F9:R9" si="0">AVERAGE(C8:F8)</f>
        <v>371.75</v>
      </c>
      <c r="G9" s="28">
        <f t="shared" si="0"/>
        <v>216.5</v>
      </c>
      <c r="H9" s="28">
        <f t="shared" si="0"/>
        <v>110.5</v>
      </c>
      <c r="I9" s="28">
        <f t="shared" si="0"/>
        <v>47.75</v>
      </c>
      <c r="J9" s="28">
        <f t="shared" si="0"/>
        <v>-9.75</v>
      </c>
      <c r="K9" s="28">
        <f t="shared" si="0"/>
        <v>23.5</v>
      </c>
      <c r="L9" s="28">
        <f t="shared" si="0"/>
        <v>58.5</v>
      </c>
      <c r="M9" s="28">
        <f t="shared" si="0"/>
        <v>101.75</v>
      </c>
      <c r="N9" s="28">
        <f t="shared" si="0"/>
        <v>231.25</v>
      </c>
      <c r="O9" s="28">
        <f t="shared" si="0"/>
        <v>330.25</v>
      </c>
      <c r="P9" s="28">
        <f t="shared" si="0"/>
        <v>406.75</v>
      </c>
      <c r="Q9" s="28">
        <f t="shared" si="0"/>
        <v>482</v>
      </c>
      <c r="R9" s="28">
        <f t="shared" si="0"/>
        <v>557.75</v>
      </c>
      <c r="S9" s="29">
        <f>AVERAGE(P8:S8)</f>
        <v>647</v>
      </c>
    </row>
    <row r="10" spans="2:19" x14ac:dyDescent="0.25">
      <c r="B10" s="7" t="s">
        <v>155</v>
      </c>
      <c r="C10" s="28">
        <f>SUM(C8:C8)</f>
        <v>581</v>
      </c>
      <c r="D10" s="28">
        <f>SUM(C8:D8)</f>
        <v>1010</v>
      </c>
      <c r="E10" s="28">
        <f>SUM(C8:E8)</f>
        <v>1371</v>
      </c>
      <c r="F10" s="28">
        <f t="shared" ref="F10:S10" si="1">SUM(C8:F8)</f>
        <v>1487</v>
      </c>
      <c r="G10" s="28">
        <f t="shared" si="1"/>
        <v>866</v>
      </c>
      <c r="H10" s="28">
        <f t="shared" si="1"/>
        <v>442</v>
      </c>
      <c r="I10" s="28">
        <f t="shared" si="1"/>
        <v>191</v>
      </c>
      <c r="J10" s="28">
        <f t="shared" si="1"/>
        <v>-39</v>
      </c>
      <c r="K10" s="28">
        <f t="shared" si="1"/>
        <v>94</v>
      </c>
      <c r="L10" s="28">
        <f t="shared" si="1"/>
        <v>234</v>
      </c>
      <c r="M10" s="28">
        <f t="shared" si="1"/>
        <v>407</v>
      </c>
      <c r="N10" s="28">
        <f t="shared" si="1"/>
        <v>925</v>
      </c>
      <c r="O10" s="28">
        <f t="shared" si="1"/>
        <v>1321</v>
      </c>
      <c r="P10" s="28">
        <f t="shared" si="1"/>
        <v>1627</v>
      </c>
      <c r="Q10" s="28">
        <f t="shared" si="1"/>
        <v>1928</v>
      </c>
      <c r="R10" s="28">
        <f t="shared" si="1"/>
        <v>2231</v>
      </c>
      <c r="S10" s="29">
        <f t="shared" si="1"/>
        <v>2588</v>
      </c>
    </row>
    <row r="11" spans="2:19" x14ac:dyDescent="0.25">
      <c r="B11" s="7" t="s">
        <v>156</v>
      </c>
      <c r="C11" s="8"/>
      <c r="D11" s="8">
        <f t="shared" ref="D11:S11" si="2">D9/C9-1</f>
        <v>-0.13080895008605853</v>
      </c>
      <c r="E11" s="8">
        <f t="shared" si="2"/>
        <v>-9.5049504950495023E-2</v>
      </c>
      <c r="F11" s="8">
        <f t="shared" si="2"/>
        <v>-0.18654266958424504</v>
      </c>
      <c r="G11" s="8">
        <f t="shared" si="2"/>
        <v>-0.41761936785474107</v>
      </c>
      <c r="H11" s="8">
        <f t="shared" si="2"/>
        <v>-0.48960739030023093</v>
      </c>
      <c r="I11" s="8">
        <f t="shared" si="2"/>
        <v>-0.5678733031674208</v>
      </c>
      <c r="J11" s="8">
        <f t="shared" si="2"/>
        <v>-1.2041884816753927</v>
      </c>
      <c r="K11" s="8">
        <f t="shared" si="2"/>
        <v>-3.4102564102564101</v>
      </c>
      <c r="L11" s="8">
        <f t="shared" si="2"/>
        <v>1.4893617021276597</v>
      </c>
      <c r="M11" s="8">
        <f t="shared" si="2"/>
        <v>0.73931623931623935</v>
      </c>
      <c r="N11" s="8">
        <f t="shared" si="2"/>
        <v>1.2727272727272729</v>
      </c>
      <c r="O11" s="8">
        <f t="shared" si="2"/>
        <v>0.42810810810810818</v>
      </c>
      <c r="P11" s="9">
        <f t="shared" si="2"/>
        <v>0.23164269492808476</v>
      </c>
      <c r="Q11" s="9">
        <f t="shared" si="2"/>
        <v>0.18500307314074993</v>
      </c>
      <c r="R11" s="9">
        <f t="shared" si="2"/>
        <v>0.15715767634854783</v>
      </c>
      <c r="S11" s="10">
        <f t="shared" si="2"/>
        <v>0.16001792917974011</v>
      </c>
    </row>
    <row r="12" spans="2:19" x14ac:dyDescent="0.25">
      <c r="B12" s="7" t="s">
        <v>157</v>
      </c>
      <c r="C12" s="11">
        <f t="shared" ref="C12:F12" si="3">IFERROR(C8/C7,"-")</f>
        <v>0.18645699614890887</v>
      </c>
      <c r="D12" s="11">
        <f t="shared" si="3"/>
        <v>0.15310492505353318</v>
      </c>
      <c r="E12" s="11">
        <f t="shared" si="3"/>
        <v>0.13736681887366819</v>
      </c>
      <c r="F12" s="11">
        <f t="shared" si="3"/>
        <v>5.7002457002456999E-2</v>
      </c>
      <c r="G12" s="11">
        <f>IFERROR(G8/G7,"-")</f>
        <v>-2.1197668256491786E-2</v>
      </c>
      <c r="H12" s="11">
        <f t="shared" ref="H12:S12" si="4">IFERROR(H8/H7,"-")</f>
        <v>2.6881720430107529E-3</v>
      </c>
      <c r="I12" s="11">
        <f t="shared" si="4"/>
        <v>6.8664169787765295E-2</v>
      </c>
      <c r="J12" s="11">
        <f t="shared" si="4"/>
        <v>-7.8404401650618988E-2</v>
      </c>
      <c r="K12" s="11">
        <f t="shared" si="4"/>
        <v>5.9807073954983921E-2</v>
      </c>
      <c r="L12" s="11">
        <f t="shared" si="4"/>
        <v>8.7613293051359523E-2</v>
      </c>
      <c r="M12" s="11">
        <f t="shared" si="4"/>
        <v>0.1499735029146794</v>
      </c>
      <c r="N12" s="11">
        <f t="shared" si="4"/>
        <v>0.18634686346863469</v>
      </c>
      <c r="O12" s="11">
        <f t="shared" si="4"/>
        <v>0.21032258064516129</v>
      </c>
      <c r="P12" s="11">
        <f t="shared" si="4"/>
        <v>0.20879629629629629</v>
      </c>
      <c r="Q12" s="11">
        <f t="shared" si="4"/>
        <v>0.23895253682487724</v>
      </c>
      <c r="R12" s="11">
        <f t="shared" si="4"/>
        <v>0.26892354507417271</v>
      </c>
      <c r="S12" s="12">
        <f t="shared" si="4"/>
        <v>0.29946902654867258</v>
      </c>
    </row>
    <row r="13" spans="2:19" x14ac:dyDescent="0.25">
      <c r="B13" s="7" t="s">
        <v>158</v>
      </c>
      <c r="C13" s="13" t="e">
        <f>C8/#REF!-1</f>
        <v>#REF!</v>
      </c>
      <c r="D13" s="13" t="e">
        <f>D8/#REF!-1</f>
        <v>#REF!</v>
      </c>
      <c r="E13" s="13" t="e">
        <f>E8/#REF!-1</f>
        <v>#REF!</v>
      </c>
      <c r="F13" s="13" t="e">
        <f>F8/#REF!-1</f>
        <v>#REF!</v>
      </c>
      <c r="G13" s="13">
        <f t="shared" ref="G13:S14" si="5">G8/C8-1</f>
        <v>-1.0688468158347677</v>
      </c>
      <c r="H13" s="13">
        <f t="shared" si="5"/>
        <v>-0.9883449883449883</v>
      </c>
      <c r="I13" s="13">
        <f t="shared" si="5"/>
        <v>-0.6952908587257618</v>
      </c>
      <c r="J13" s="13">
        <f t="shared" si="5"/>
        <v>-1.9827586206896552</v>
      </c>
      <c r="K13" s="13">
        <f t="shared" si="5"/>
        <v>-3.3250000000000002</v>
      </c>
      <c r="L13" s="13">
        <f t="shared" si="5"/>
        <v>28</v>
      </c>
      <c r="M13" s="13">
        <f t="shared" si="5"/>
        <v>1.5727272727272728</v>
      </c>
      <c r="N13" s="13">
        <f t="shared" si="5"/>
        <v>-4.5438596491228065</v>
      </c>
      <c r="O13" s="13">
        <f t="shared" si="5"/>
        <v>4.258064516129032</v>
      </c>
      <c r="P13" s="14">
        <f t="shared" si="5"/>
        <v>2.1103448275862071</v>
      </c>
      <c r="Q13" s="14">
        <f t="shared" si="5"/>
        <v>1.0636042402826855</v>
      </c>
      <c r="R13" s="14">
        <f t="shared" si="5"/>
        <v>0.75</v>
      </c>
      <c r="S13" s="15">
        <f t="shared" si="5"/>
        <v>0.73006134969325154</v>
      </c>
    </row>
    <row r="14" spans="2:19" x14ac:dyDescent="0.25">
      <c r="B14" s="7" t="s">
        <v>162</v>
      </c>
      <c r="G14" s="13">
        <f>G7/C7-1</f>
        <v>-0.39441591784338892</v>
      </c>
      <c r="H14" s="13">
        <f t="shared" si="5"/>
        <v>-0.78118811881188122</v>
      </c>
      <c r="I14" s="13">
        <f t="shared" si="5"/>
        <v>-0.89551422319474838</v>
      </c>
      <c r="J14" s="13">
        <f t="shared" si="5"/>
        <v>-1.0262273032952254</v>
      </c>
      <c r="K14" s="13">
        <f t="shared" si="5"/>
        <v>-0.89145496535796764</v>
      </c>
      <c r="L14" s="13">
        <f t="shared" si="5"/>
        <v>-0.47058823529411764</v>
      </c>
      <c r="M14" s="13">
        <f t="shared" si="5"/>
        <v>1.1308900523560208</v>
      </c>
      <c r="N14" s="13">
        <f t="shared" si="5"/>
        <v>-24.717948717948719</v>
      </c>
      <c r="O14" s="13">
        <f t="shared" si="5"/>
        <v>13.053191489361701</v>
      </c>
      <c r="P14" s="14">
        <f t="shared" si="5"/>
        <v>5.9529914529914532</v>
      </c>
      <c r="Q14" s="14">
        <f t="shared" si="5"/>
        <v>3.7371007371007368</v>
      </c>
      <c r="R14" s="14">
        <f t="shared" si="5"/>
        <v>1.4118918918918917</v>
      </c>
      <c r="S14" s="15">
        <f t="shared" si="5"/>
        <v>0.95912187736563204</v>
      </c>
    </row>
  </sheetData>
  <phoneticPr fontId="4" type="noConversion"/>
  <conditionalFormatting sqref="B10:P10">
    <cfRule type="top10" dxfId="6" priority="12" percent="1" rank="5"/>
  </conditionalFormatting>
  <conditionalFormatting sqref="B8:S8">
    <cfRule type="top10" dxfId="5" priority="13" percent="1" rank="10"/>
  </conditionalFormatting>
  <conditionalFormatting sqref="B10:S10">
    <cfRule type="top10" priority="14" rank="10"/>
  </conditionalFormatting>
  <conditionalFormatting sqref="B11:S11">
    <cfRule type="cellIs" dxfId="4" priority="11" operator="greaterThan">
      <formula>0.1</formula>
    </cfRule>
  </conditionalFormatting>
  <conditionalFormatting sqref="C13: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7">
      <iconSet iconSet="3Arrows">
        <cfvo type="percent" val="0"/>
        <cfvo type="percent" val="33"/>
        <cfvo type="percent" val="67"/>
      </iconSe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5">
      <iconSet iconSet="3Arrows"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3">
      <iconSet iconSet="3Arrows">
        <cfvo type="percent" val="0"/>
        <cfvo type="percent" val="33"/>
        <cfvo type="percent" val="67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2026-01-28T09:34:27Z</dcterms:created>
  <dcterms:modified xsi:type="dcterms:W3CDTF">2026-01-28T10:16:59Z</dcterms:modified>
</cp:coreProperties>
</file>