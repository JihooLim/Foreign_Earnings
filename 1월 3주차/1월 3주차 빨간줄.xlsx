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user\Desktop\툴 개발\finchat 키인\1월 3주차\"/>
    </mc:Choice>
  </mc:AlternateContent>
  <xr:revisionPtr revIDLastSave="0" documentId="13_ncr:1_{3A028B78-A5A4-46BC-BA33-9D8A52F1DF2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기업 정보" sheetId="3" r:id="rId1"/>
    <sheet name="영업이익 DATA" sheetId="1" r:id="rId2"/>
    <sheet name="빨간줄" sheetId="2" r:id="rId3"/>
  </sheets>
  <definedNames>
    <definedName name="_xlnm._FilterDatabase" localSheetId="0" hidden="1">'기업 정보'!$B$4:$G$4</definedName>
    <definedName name="_xlnm._FilterDatabase" localSheetId="1" hidden="1">'영업이익 DATA'!$B$2:$V$165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2" l="1"/>
  <c r="D8" i="2"/>
  <c r="D13" i="2" s="1"/>
  <c r="E8" i="2"/>
  <c r="E13" i="2" s="1"/>
  <c r="F8" i="2"/>
  <c r="G8" i="2"/>
  <c r="G12" i="2" s="1"/>
  <c r="H8" i="2"/>
  <c r="I8" i="2"/>
  <c r="J8" i="2"/>
  <c r="K8" i="2"/>
  <c r="L8" i="2"/>
  <c r="L12" i="2" s="1"/>
  <c r="M8" i="2"/>
  <c r="N8" i="2"/>
  <c r="O8" i="2"/>
  <c r="O12" i="2" s="1"/>
  <c r="P8" i="2"/>
  <c r="Q8" i="2"/>
  <c r="S8" i="2"/>
  <c r="R8" i="2"/>
  <c r="D9" i="2" l="1"/>
  <c r="K10" i="2"/>
  <c r="I10" i="2"/>
  <c r="M13" i="2"/>
  <c r="C12" i="2"/>
  <c r="D12" i="2"/>
  <c r="P10" i="2"/>
  <c r="S13" i="2"/>
  <c r="P13" i="2"/>
  <c r="G13" i="2"/>
  <c r="C9" i="2"/>
  <c r="D11" i="2" s="1"/>
  <c r="M12" i="2"/>
  <c r="N12" i="2"/>
  <c r="F10" i="2"/>
  <c r="L9" i="2"/>
  <c r="E9" i="2"/>
  <c r="Q9" i="2"/>
  <c r="D10" i="2"/>
  <c r="M9" i="2"/>
  <c r="F9" i="2"/>
  <c r="P12" i="2"/>
  <c r="N9" i="2"/>
  <c r="O9" i="2"/>
  <c r="S12" i="2"/>
  <c r="P9" i="2"/>
  <c r="R13" i="2"/>
  <c r="S10" i="2"/>
  <c r="R10" i="2"/>
  <c r="R9" i="2"/>
  <c r="H13" i="2"/>
  <c r="I13" i="2"/>
  <c r="J13" i="2"/>
  <c r="J10" i="2"/>
  <c r="M10" i="2"/>
  <c r="K13" i="2"/>
  <c r="L13" i="2"/>
  <c r="L10" i="2"/>
  <c r="G9" i="2"/>
  <c r="S9" i="2"/>
  <c r="N10" i="2"/>
  <c r="E12" i="2"/>
  <c r="Q12" i="2"/>
  <c r="H9" i="2"/>
  <c r="C10" i="2"/>
  <c r="O10" i="2"/>
  <c r="F12" i="2"/>
  <c r="R12" i="2"/>
  <c r="N13" i="2"/>
  <c r="O13" i="2"/>
  <c r="J9" i="2"/>
  <c r="E10" i="2"/>
  <c r="Q10" i="2"/>
  <c r="H12" i="2"/>
  <c r="C13" i="2"/>
  <c r="K9" i="2"/>
  <c r="I12" i="2"/>
  <c r="I9" i="2"/>
  <c r="I11" i="2" s="1"/>
  <c r="G10" i="2"/>
  <c r="J12" i="2"/>
  <c r="Q13" i="2"/>
  <c r="H10" i="2"/>
  <c r="K12" i="2"/>
  <c r="F13" i="2"/>
  <c r="E11" i="2" l="1"/>
  <c r="P11" i="2"/>
  <c r="O11" i="2"/>
  <c r="M11" i="2"/>
  <c r="R11" i="2"/>
  <c r="S11" i="2"/>
  <c r="N11" i="2"/>
  <c r="F11" i="2"/>
  <c r="K11" i="2"/>
  <c r="H11" i="2"/>
  <c r="G11" i="2"/>
  <c r="Q11" i="2"/>
  <c r="J11" i="2"/>
  <c r="L11" i="2"/>
</calcChain>
</file>

<file path=xl/sharedStrings.xml><?xml version="1.0" encoding="utf-8"?>
<sst xmlns="http://schemas.openxmlformats.org/spreadsheetml/2006/main" count="1363" uniqueCount="916">
  <si>
    <t>Ticker</t>
  </si>
  <si>
    <t>Latest_Date</t>
  </si>
  <si>
    <t>Recent_Avg</t>
  </si>
  <si>
    <t>4Q21</t>
  </si>
  <si>
    <t>1Q22</t>
  </si>
  <si>
    <t>2Q22</t>
  </si>
  <si>
    <t>3Q22</t>
  </si>
  <si>
    <t>4Q22</t>
  </si>
  <si>
    <t>1Q23</t>
  </si>
  <si>
    <t>2Q23</t>
  </si>
  <si>
    <t>3Q23</t>
  </si>
  <si>
    <t>4Q23</t>
  </si>
  <si>
    <t>1Q24</t>
  </si>
  <si>
    <t>2Q24</t>
  </si>
  <si>
    <t>3Q24</t>
  </si>
  <si>
    <t>4Q24</t>
  </si>
  <si>
    <t>1Q25</t>
  </si>
  <si>
    <t>2Q25</t>
  </si>
  <si>
    <t>3Q25</t>
  </si>
  <si>
    <t>4Q25</t>
  </si>
  <si>
    <t>Highlight_Quarters</t>
  </si>
  <si>
    <t>JNJ</t>
  </si>
  <si>
    <t>Sep '25 Sep 28, 2025</t>
  </si>
  <si>
    <t>set()</t>
  </si>
  <si>
    <t>TCI</t>
  </si>
  <si>
    <t>('Q3 2025', "Sep '25 Sep 30, 2025")</t>
  </si>
  <si>
    <t>TRST</t>
  </si>
  <si>
    <t>('Q4 2025', "Dec '25 Dec 31, 2025")</t>
  </si>
  <si>
    <t>HTB</t>
  </si>
  <si>
    <t>{'4Q23', '2Q23', '1Q24', '3Q23'}</t>
  </si>
  <si>
    <t>HTBK</t>
  </si>
  <si>
    <t>{'3Q25', '4Q25', '4Q22'}</t>
  </si>
  <si>
    <t>MCBS</t>
  </si>
  <si>
    <t>IBCP</t>
  </si>
  <si>
    <t>MPB</t>
  </si>
  <si>
    <t>{'3Q25', '4Q25', '4Q22', '2Q24'}</t>
  </si>
  <si>
    <t>MOFG</t>
  </si>
  <si>
    <t>{'3Q25', '3Q24'}</t>
  </si>
  <si>
    <t>GSBC</t>
  </si>
  <si>
    <t>LYTS</t>
  </si>
  <si>
    <t>('Q2 2026', "Dec '25 Dec 31, 2025")</t>
  </si>
  <si>
    <t>{'4Q22'}</t>
  </si>
  <si>
    <t>BANC</t>
  </si>
  <si>
    <t>{'3Q25', '2Q23', '1Q25', '4Q23', '4Q25', '3Q23'}</t>
  </si>
  <si>
    <t>EGBN</t>
  </si>
  <si>
    <t>{'3Q25', '4Q24', '2Q25', '3Q24'}</t>
  </si>
  <si>
    <t>SMBK</t>
  </si>
  <si>
    <t>{'3Q25', '4Q24', '4Q22', '3Q24'}</t>
  </si>
  <si>
    <t>CASS</t>
  </si>
  <si>
    <t>{'4Q25', '4Q22'}</t>
  </si>
  <si>
    <t>NRIM</t>
  </si>
  <si>
    <t>{'3Q25', '1Q24', '1Q25', '4Q24', '2Q24'}</t>
  </si>
  <si>
    <t>BHB</t>
  </si>
  <si>
    <t>SMBC</t>
  </si>
  <si>
    <t>{'1Q24'}</t>
  </si>
  <si>
    <t>EQBK</t>
  </si>
  <si>
    <t>{'3Q24', '1Q24', '4Q25', '4Q24', '2Q24'}</t>
  </si>
  <si>
    <t>AMTB</t>
  </si>
  <si>
    <t>{'3Q25'}</t>
  </si>
  <si>
    <t>ESQ</t>
  </si>
  <si>
    <t>{'1Q23', '4Q22'}</t>
  </si>
  <si>
    <t>CASH</t>
  </si>
  <si>
    <t>('Q1 2026', "Dec '25 Dec 31, 2025")</t>
  </si>
  <si>
    <t>{'2Q23', '1Q24'}</t>
  </si>
  <si>
    <t>OFG</t>
  </si>
  <si>
    <t>LOB</t>
  </si>
  <si>
    <t>{'3Q25', '1Q24', '4Q23', '4Q25', '2Q24'}</t>
  </si>
  <si>
    <t>PRGS</t>
  </si>
  <si>
    <t>('Q4 2025', "Nov '25 Nov 30, 2025")</t>
  </si>
  <si>
    <t>{'4Q24'}</t>
  </si>
  <si>
    <t>NIC</t>
  </si>
  <si>
    <t>{'1Q24', '4Q22'}</t>
  </si>
  <si>
    <t>CHCO</t>
  </si>
  <si>
    <t>TCBK</t>
  </si>
  <si>
    <t>{'1Q23'}</t>
  </si>
  <si>
    <t>SRCE</t>
  </si>
  <si>
    <t>STBA</t>
  </si>
  <si>
    <t>KARO</t>
  </si>
  <si>
    <t>('Q3 2026', "Nov '25 Nov 30, 2025")</t>
  </si>
  <si>
    <t>BY</t>
  </si>
  <si>
    <t>FOR</t>
  </si>
  <si>
    <t>{'3Q23'}</t>
  </si>
  <si>
    <t>DCOM</t>
  </si>
  <si>
    <t>{'3Q25', '4Q25', '2Q25'}</t>
  </si>
  <si>
    <t>MCB</t>
  </si>
  <si>
    <t>{'4Q23', '4Q25', '4Q24'}</t>
  </si>
  <si>
    <t>HFWA</t>
  </si>
  <si>
    <t>{'3Q25', '4Q25', '4Q24', '1Q25'}</t>
  </si>
  <si>
    <t>BFST</t>
  </si>
  <si>
    <t>{'4Q22', '1Q23', '2Q23', '1Q25', '3Q23'}</t>
  </si>
  <si>
    <t>MBWM</t>
  </si>
  <si>
    <t>{'1Q23', '2Q23', '4Q22'}</t>
  </si>
  <si>
    <t>CLMT</t>
  </si>
  <si>
    <t>{'4Q22', '3Q25', '1Q23', '2Q23', '1Q25', '1Q24', '4Q23'}</t>
  </si>
  <si>
    <t>BANR</t>
  </si>
  <si>
    <t>ACNB</t>
  </si>
  <si>
    <t>MSBI</t>
  </si>
  <si>
    <t>{'3Q25', '4Q22', '2Q25'}</t>
  </si>
  <si>
    <t>VABK</t>
  </si>
  <si>
    <t>{'1Q23', '1Q25', '4Q22'}</t>
  </si>
  <si>
    <t>PVBC</t>
  </si>
  <si>
    <t>Sep '25 Sep 30, 2025</t>
  </si>
  <si>
    <t>{'3Q25', '2Q23', '1Q25', '4Q25', '2Q24'}</t>
  </si>
  <si>
    <t>MRBK</t>
  </si>
  <si>
    <t>{'3Q25', '1Q25'}</t>
  </si>
  <si>
    <t>OPBK</t>
  </si>
  <si>
    <t>NKSH</t>
  </si>
  <si>
    <t>{'4Q22', '3Q25', '2Q25', '1Q25', '4Q25'}</t>
  </si>
  <si>
    <t>UBFO</t>
  </si>
  <si>
    <t>BVFL</t>
  </si>
  <si>
    <t>{'4Q25', '2Q23'}</t>
  </si>
  <si>
    <t>ATLO</t>
  </si>
  <si>
    <t>{'3Q25', '2Q25', '1Q25', '4Q25', '4Q24'}</t>
  </si>
  <si>
    <t>FCAP</t>
  </si>
  <si>
    <t>{'3Q25', '4Q25', '1Q23'}</t>
  </si>
  <si>
    <t>RMBI</t>
  </si>
  <si>
    <t>LSBK</t>
  </si>
  <si>
    <t>{'3Q25', '2Q25'}</t>
  </si>
  <si>
    <t>CLST</t>
  </si>
  <si>
    <t>{'1Q23', '2Q23', '1Q24'}</t>
  </si>
  <si>
    <t>ASRV</t>
  </si>
  <si>
    <t>CRDL</t>
  </si>
  <si>
    <t>LPA</t>
  </si>
  <si>
    <t>HIHO</t>
  </si>
  <si>
    <t>('Q2 2026', "Sep '25 Sep 30, 2025")</t>
  </si>
  <si>
    <t>{'4Q22', '3Q25', '1Q25', '4Q23', '4Q25', '3Q23'}</t>
  </si>
  <si>
    <t>CWBC</t>
  </si>
  <si>
    <t>AMH</t>
  </si>
  <si>
    <t>OVLY</t>
  </si>
  <si>
    <t>{'1Q23', '2Q23', '4Q22', '3Q23'}</t>
  </si>
  <si>
    <t>MYFW</t>
  </si>
  <si>
    <t>{'2Q25', '4Q24', '1Q25', '4Q22'}</t>
  </si>
  <si>
    <t>CARE</t>
  </si>
  <si>
    <t>{'4Q22', '3Q25', '2Q25', '1Q23', '2Q23', '1Q25', '4Q24'}</t>
  </si>
  <si>
    <t>SFST</t>
  </si>
  <si>
    <t>{'3Q25', '4Q25', '1Q25', '2Q25'}</t>
  </si>
  <si>
    <t>LINC</t>
  </si>
  <si>
    <t>{'3Q24', '3Q25', '2Q25', '1Q25', '4Q25', '2Q24'}</t>
  </si>
  <si>
    <t>PRE</t>
  </si>
  <si>
    <t>{'4Q23', '2Q23', '1Q25', '1Q24'}</t>
  </si>
  <si>
    <t>FPH</t>
  </si>
  <si>
    <t>{'4Q22', '1Q25', '2Q24', '3Q24'}</t>
  </si>
  <si>
    <t>CZNC</t>
  </si>
  <si>
    <t>{'4Q23', '1Q25'}</t>
  </si>
  <si>
    <t>NVEC</t>
  </si>
  <si>
    <t>('Q3 2026', "Dec '25 Dec 31, 2025")</t>
  </si>
  <si>
    <t>ISTR</t>
  </si>
  <si>
    <t>{'4Q24', '3Q24'}</t>
  </si>
  <si>
    <t>PLBC</t>
  </si>
  <si>
    <t>USCB</t>
  </si>
  <si>
    <t>{'4Q24', '1Q25', '2Q24', '3Q24'}</t>
  </si>
  <si>
    <t>BCML</t>
  </si>
  <si>
    <t>{'1Q23', '2Q23'}</t>
  </si>
  <si>
    <t>FSBW</t>
  </si>
  <si>
    <t>FNLC</t>
  </si>
  <si>
    <t>PKBK</t>
  </si>
  <si>
    <t>{'3Q25', '4Q25', '3Q24'}</t>
  </si>
  <si>
    <t>COSO</t>
  </si>
  <si>
    <t>{'1Q23', '1Q25', '4Q22', '3Q24'}</t>
  </si>
  <si>
    <t>MBCN</t>
  </si>
  <si>
    <t>{'3Q25', '4Q25'}</t>
  </si>
  <si>
    <t>NWFL</t>
  </si>
  <si>
    <t>KRNY</t>
  </si>
  <si>
    <t>CUBI</t>
  </si>
  <si>
    <t>{'3Q25', '4Q25', '4Q23', '3Q23'}</t>
  </si>
  <si>
    <t>COLB</t>
  </si>
  <si>
    <t>{'4Q25', '2Q23', '1Q24', '3Q23'}</t>
  </si>
  <si>
    <t>FBNC</t>
  </si>
  <si>
    <t>{'2Q25', '1Q25', '4Q22'}</t>
  </si>
  <si>
    <t>UAL</t>
  </si>
  <si>
    <t>{'1Q23', '4Q24', '2Q23', '4Q22'}</t>
  </si>
  <si>
    <t>IBKR</t>
  </si>
  <si>
    <t>FITB</t>
  </si>
  <si>
    <t>HBAN</t>
  </si>
  <si>
    <t>{'4Q24', '4Q22'}</t>
  </si>
  <si>
    <t>NTRS</t>
  </si>
  <si>
    <t>{'4Q24', '2Q24'}</t>
  </si>
  <si>
    <t>TDY</t>
  </si>
  <si>
    <t>('Q4 2025', "Dec '25 Dec 28, 2025")</t>
  </si>
  <si>
    <t>CFG</t>
  </si>
  <si>
    <t>DHI</t>
  </si>
  <si>
    <t>USB</t>
  </si>
  <si>
    <t>KEY</t>
  </si>
  <si>
    <t>MKC</t>
  </si>
  <si>
    <t>EWBC</t>
  </si>
  <si>
    <t>BKT</t>
  </si>
  <si>
    <t>('Q2 2025', "Jun '25 Jun 30, 2025")</t>
  </si>
  <si>
    <t>BAH</t>
  </si>
  <si>
    <t>{'1Q23', '1Q24', '3Q24'}</t>
  </si>
  <si>
    <t>ALLY</t>
  </si>
  <si>
    <t>CACI</t>
  </si>
  <si>
    <t>HAL</t>
  </si>
  <si>
    <t>SAND</t>
  </si>
  <si>
    <t>Jun '25 Jun 30, 2025</t>
  </si>
  <si>
    <t>{'4Q22', '3Q25', '1Q24', '4Q25', '2Q24', '3Q23'}</t>
  </si>
  <si>
    <t>EQT</t>
  </si>
  <si>
    <t>{'3Q25', '4Q25', '2Q23', '2Q25'}</t>
  </si>
  <si>
    <t>FAST</t>
  </si>
  <si>
    <t>NFLX</t>
  </si>
  <si>
    <t>{'2Q25', '4Q23', '1Q24', '3Q24'}</t>
  </si>
  <si>
    <t>PG</t>
  </si>
  <si>
    <t>INTC</t>
  </si>
  <si>
    <t>('Q4 2025', "Dec '25 Dec 27, 2025")</t>
  </si>
  <si>
    <t>{'4Q24', '2Q23', '1Q24'}</t>
  </si>
  <si>
    <t>ABT</t>
  </si>
  <si>
    <t>ISRG</t>
  </si>
  <si>
    <t>SCHW</t>
  </si>
  <si>
    <t>COF</t>
  </si>
  <si>
    <t>PLD</t>
  </si>
  <si>
    <t>{'2Q23'}</t>
  </si>
  <si>
    <t>FCX</t>
  </si>
  <si>
    <t>{'2Q24'}</t>
  </si>
  <si>
    <t>MMM</t>
  </si>
  <si>
    <t>{'2Q25', '4Q24', '2Q23', '4Q22'}</t>
  </si>
  <si>
    <t>SLB</t>
  </si>
  <si>
    <t>CSX</t>
  </si>
  <si>
    <t>KMI</t>
  </si>
  <si>
    <t>TEL</t>
  </si>
  <si>
    <t>('Q1 2026', "Dec '25 Dec 26, 2025")</t>
  </si>
  <si>
    <t>TFC</t>
  </si>
  <si>
    <t>TRV</t>
  </si>
  <si>
    <t>{'3Q24', '3Q25', '2Q25', '1Q24', '4Q23', '2Q24'}</t>
  </si>
  <si>
    <t>KTB</t>
  </si>
  <si>
    <t>('Q3 2025', "Sep '25 Sep 27, 2025")</t>
  </si>
  <si>
    <t>ORI</t>
  </si>
  <si>
    <t>{'3Q24', '2Q25', '2Q23', '1Q24', '4Q25', '3Q23'}</t>
  </si>
  <si>
    <t>MBLY</t>
  </si>
  <si>
    <t>{'3Q24', '1Q23', '2Q23', '1Q24', '4Q25', '4Q24', '2Q24'}</t>
  </si>
  <si>
    <t>WBS</t>
  </si>
  <si>
    <t>AUB</t>
  </si>
  <si>
    <t>{'3Q25', '4Q25', '4Q22', '3Q24'}</t>
  </si>
  <si>
    <t>SFBS</t>
  </si>
  <si>
    <t>ASB</t>
  </si>
  <si>
    <t>TCBI</t>
  </si>
  <si>
    <t>{'4Q22', '3Q25', '2Q25', '2Q23', '1Q25', '4Q24'}</t>
  </si>
  <si>
    <t>NG</t>
  </si>
  <si>
    <t>{'4Q25'}</t>
  </si>
  <si>
    <t>INDB</t>
  </si>
  <si>
    <t>BANF</t>
  </si>
  <si>
    <t>FULT</t>
  </si>
  <si>
    <t>CATY</t>
  </si>
  <si>
    <t>BKU</t>
  </si>
  <si>
    <t>ACMR</t>
  </si>
  <si>
    <t>{'4Q22', '2Q23', '1Q25', '2Q24', '3Q23'}</t>
  </si>
  <si>
    <t>CNS</t>
  </si>
  <si>
    <t>FBK</t>
  </si>
  <si>
    <t>{'3Q25', '4Q25', '4Q24', '2Q23'}</t>
  </si>
  <si>
    <t>SFNC</t>
  </si>
  <si>
    <t>CVBF</t>
  </si>
  <si>
    <t>CADE</t>
  </si>
  <si>
    <t>{'4Q22', '3Q24', '1Q24', '4Q24', '2Q24'}</t>
  </si>
  <si>
    <t>ITP</t>
  </si>
  <si>
    <t>{'4Q22', '3Q25', '1Q23', '1Q25', '1Q24', '4Q23'}</t>
  </si>
  <si>
    <t>EBC</t>
  </si>
  <si>
    <t>{'4Q22', '4Q23', '4Q25', '4Q24', '3Q23'}</t>
  </si>
  <si>
    <t>PAPL</t>
  </si>
  <si>
    <t>('Q1 2026', "Nov '25 Nov 30, 2025")</t>
  </si>
  <si>
    <t>{'1Q23', '3Q24'}</t>
  </si>
  <si>
    <t>FFIN</t>
  </si>
  <si>
    <t>OZK</t>
  </si>
  <si>
    <t>CMA</t>
  </si>
  <si>
    <t>{'1Q23', '4Q24', '4Q22'}</t>
  </si>
  <si>
    <t>SSB</t>
  </si>
  <si>
    <t>MMYT</t>
  </si>
  <si>
    <t>{'4Q22', '3Q24', '2Q25', '1Q23', '2Q23', '1Q24', '4Q23', '4Q24', '2Q24', '3Q23'}</t>
  </si>
  <si>
    <t>AA</t>
  </si>
  <si>
    <t>{'3Q24', '1Q25', '1Q24', '4Q24', '3Q23'}</t>
  </si>
  <si>
    <t>WTFC</t>
  </si>
  <si>
    <t>{'4Q24', '2Q23'}</t>
  </si>
  <si>
    <t>ONB</t>
  </si>
  <si>
    <t>{'4Q22', '4Q25', '1Q23'}</t>
  </si>
  <si>
    <t>ZION</t>
  </si>
  <si>
    <t>CBSH</t>
  </si>
  <si>
    <t>PNFP</t>
  </si>
  <si>
    <t>{'2Q25', '4Q24'}</t>
  </si>
  <si>
    <t>KNX</t>
  </si>
  <si>
    <t>{'4Q24', '1Q25'}</t>
  </si>
  <si>
    <t>FNB</t>
  </si>
  <si>
    <t>GBCI</t>
  </si>
  <si>
    <t>{'1Q25', '4Q22'}</t>
  </si>
  <si>
    <t>RLI</t>
  </si>
  <si>
    <t>{'2Q25', '4Q25', '2Q23', '3Q24'}</t>
  </si>
  <si>
    <t>SLM</t>
  </si>
  <si>
    <t>{'3Q25', '4Q25', '4Q23', '1Q24'}</t>
  </si>
  <si>
    <t>HWC</t>
  </si>
  <si>
    <t>UBSI</t>
  </si>
  <si>
    <t>ALK</t>
  </si>
  <si>
    <t>{'1Q23', '4Q24', '2Q23', '3Q24'}</t>
  </si>
  <si>
    <t>4Q21</t>
    <phoneticPr fontId="4" type="noConversion"/>
  </si>
  <si>
    <t>1Q22</t>
    <phoneticPr fontId="4" type="noConversion"/>
  </si>
  <si>
    <t>2Q22</t>
    <phoneticPr fontId="4" type="noConversion"/>
  </si>
  <si>
    <t>3Q22</t>
    <phoneticPr fontId="4" type="noConversion"/>
  </si>
  <si>
    <t>4Q22</t>
    <phoneticPr fontId="4" type="noConversion"/>
  </si>
  <si>
    <t>2Q23</t>
    <phoneticPr fontId="4" type="noConversion"/>
  </si>
  <si>
    <t>3Q23</t>
    <phoneticPr fontId="4" type="noConversion"/>
  </si>
  <si>
    <t>4Q23</t>
    <phoneticPr fontId="4" type="noConversion"/>
  </si>
  <si>
    <t>1Q26</t>
    <phoneticPr fontId="4" type="noConversion"/>
  </si>
  <si>
    <t>2Q26</t>
    <phoneticPr fontId="4" type="noConversion"/>
  </si>
  <si>
    <t>3Q26</t>
    <phoneticPr fontId="4" type="noConversion"/>
  </si>
  <si>
    <t>4Q26</t>
    <phoneticPr fontId="4" type="noConversion"/>
  </si>
  <si>
    <t>Revenue</t>
    <phoneticPr fontId="4" type="noConversion"/>
  </si>
  <si>
    <t>OP</t>
    <phoneticPr fontId="4" type="noConversion"/>
  </si>
  <si>
    <t>Trailing 4Q OP avg.</t>
    <phoneticPr fontId="4" type="noConversion"/>
  </si>
  <si>
    <t>Trailing 4Q OP sum.</t>
    <phoneticPr fontId="4" type="noConversion"/>
  </si>
  <si>
    <t>Trailing OP Delta</t>
    <phoneticPr fontId="4" type="noConversion"/>
  </si>
  <si>
    <t>opm</t>
  </si>
  <si>
    <t>op yoy</t>
    <phoneticPr fontId="4" type="noConversion"/>
  </si>
  <si>
    <t>(단위: mil $)</t>
    <phoneticPr fontId="3" type="noConversion"/>
  </si>
  <si>
    <t>Company</t>
  </si>
  <si>
    <t>Date</t>
  </si>
  <si>
    <t>Time</t>
  </si>
  <si>
    <t>Quarter Ending</t>
  </si>
  <si>
    <t>Alcoa Corporation</t>
  </si>
  <si>
    <t>AAKASH</t>
  </si>
  <si>
    <t>Aakash Exploration Services Limited</t>
  </si>
  <si>
    <t>ABSLAMC</t>
  </si>
  <si>
    <t>Aditya Birla Sun Life AMC Limited</t>
  </si>
  <si>
    <t>Abbott Laboratories</t>
  </si>
  <si>
    <t>ACCELYA</t>
  </si>
  <si>
    <t>Accelya Solutions India Limited</t>
  </si>
  <si>
    <t>ACM Research, Inc.</t>
  </si>
  <si>
    <t>Pre Market</t>
  </si>
  <si>
    <t>ACNB Corporation</t>
  </si>
  <si>
    <t>ADANIENSOL</t>
  </si>
  <si>
    <t>Adani Energy Solutions Limited</t>
  </si>
  <si>
    <t>ADMCM</t>
  </si>
  <si>
    <t>Admicom Oyj</t>
  </si>
  <si>
    <t>AFI</t>
  </si>
  <si>
    <t>Australian Foundation Investment Company Limited</t>
  </si>
  <si>
    <t>Alaska Air Group, Inc.</t>
  </si>
  <si>
    <t>ALLEI</t>
  </si>
  <si>
    <t>Alleima AB (publ)</t>
  </si>
  <si>
    <t>Ally Financial Inc.</t>
  </si>
  <si>
    <t>AMAL</t>
  </si>
  <si>
    <t>Amalgamated Financial Corp.</t>
  </si>
  <si>
    <t>AMBER</t>
  </si>
  <si>
    <t>Amber Enterprises India Limited</t>
  </si>
  <si>
    <t>AMCIL Limited</t>
  </si>
  <si>
    <t>Amerant Bancorp Inc.</t>
  </si>
  <si>
    <t>ANCOMNY</t>
  </si>
  <si>
    <t>Ancom Nylex Berhad</t>
  </si>
  <si>
    <t>APTECHT</t>
  </si>
  <si>
    <t>Aptech Limited</t>
  </si>
  <si>
    <t>ARG</t>
  </si>
  <si>
    <t>Argan SA</t>
  </si>
  <si>
    <t>ASAL</t>
  </si>
  <si>
    <t>Automotive Stampings and Assemblies Limited</t>
  </si>
  <si>
    <t>Associated Banc-Corp</t>
  </si>
  <si>
    <t>AmeriServ Financial, Inc.</t>
  </si>
  <si>
    <t>ATGL</t>
  </si>
  <si>
    <t>Adani Total Gas Limited</t>
  </si>
  <si>
    <t>Ames National Corporation</t>
  </si>
  <si>
    <t>Atlantic Union Bankshares Corporation</t>
  </si>
  <si>
    <t>AUBANK</t>
  </si>
  <si>
    <t>AU Small Finance Bank Limited</t>
  </si>
  <si>
    <t>AVBC</t>
  </si>
  <si>
    <t>Avidia Bancorp, Inc.</t>
  </si>
  <si>
    <t>AXREIT</t>
  </si>
  <si>
    <t>Axis Real Estate Investment Trust</t>
  </si>
  <si>
    <t>AZA</t>
  </si>
  <si>
    <t>Avanza Bank Holding AB (publ)</t>
  </si>
  <si>
    <t>Booz Allen Hamilton Holding Corporation</t>
  </si>
  <si>
    <t>Banc of California, Inc.</t>
  </si>
  <si>
    <t>After Hours</t>
  </si>
  <si>
    <t>BANDHANBNK</t>
  </si>
  <si>
    <t>Bandhan Bank Limited</t>
  </si>
  <si>
    <t>BancFirst Corporation</t>
  </si>
  <si>
    <t>BANKINDIA</t>
  </si>
  <si>
    <t>Bank of India Limited</t>
  </si>
  <si>
    <t>Banner Corporation</t>
  </si>
  <si>
    <t>BAY</t>
  </si>
  <si>
    <t>Bank of Ayudhya Public Company Limited</t>
  </si>
  <si>
    <t>BBL</t>
  </si>
  <si>
    <t>Bangkok Bank Public Company Limited</t>
  </si>
  <si>
    <t>BayCom Corp</t>
  </si>
  <si>
    <t>BFC</t>
  </si>
  <si>
    <t>Bank First Corporation</t>
  </si>
  <si>
    <t>Business First Bancshares, Inc.</t>
  </si>
  <si>
    <t>BHARATGEAR</t>
  </si>
  <si>
    <t>Bharat Gears Limited</t>
  </si>
  <si>
    <t>Bar Harbor Bankshares</t>
  </si>
  <si>
    <t>BHRB</t>
  </si>
  <si>
    <t>Burke &amp; Herbert Financial Services Corp.</t>
  </si>
  <si>
    <t>BIOQ</t>
  </si>
  <si>
    <t>Bioqual, Inc.</t>
  </si>
  <si>
    <t>Bankinter, S.A.</t>
  </si>
  <si>
    <t>BankUnited, Inc.</t>
  </si>
  <si>
    <t>BLBLIMITED</t>
  </si>
  <si>
    <t>BLB Limited</t>
  </si>
  <si>
    <t>BLM</t>
  </si>
  <si>
    <t>BluMetric Environmental Inc.</t>
  </si>
  <si>
    <t>BLU</t>
  </si>
  <si>
    <t>GRP Limited</t>
  </si>
  <si>
    <t>BMV</t>
  </si>
  <si>
    <t>Bathurst Metals Corp.</t>
  </si>
  <si>
    <t>BPCL</t>
  </si>
  <si>
    <t>Bharat Petroleum Corporation Limited</t>
  </si>
  <si>
    <t>BSHSL</t>
  </si>
  <si>
    <t>Bombay Super Hybrid Seeds Limited</t>
  </si>
  <si>
    <t>BV Financial, Inc.</t>
  </si>
  <si>
    <t>Byline Bancorp, Inc.</t>
  </si>
  <si>
    <t>CACI International Inc</t>
  </si>
  <si>
    <t>Cadence Bank</t>
  </si>
  <si>
    <t>Cadence Bancorporation</t>
  </si>
  <si>
    <t>CAPITALSFB</t>
  </si>
  <si>
    <t>Capital Small Finance Bank Limited</t>
  </si>
  <si>
    <t>CAPT</t>
  </si>
  <si>
    <t>Capitan Silver Corp.</t>
  </si>
  <si>
    <t>CAQ</t>
  </si>
  <si>
    <t>CAQ Holdings Limited</t>
  </si>
  <si>
    <t>Carter Bankshares, Inc.</t>
  </si>
  <si>
    <t>Pathward Financial, Inc.</t>
  </si>
  <si>
    <t>Cass Information Systems, Inc.</t>
  </si>
  <si>
    <t>Cathay General Bancorp</t>
  </si>
  <si>
    <t>CBKM</t>
  </si>
  <si>
    <t>Consumers Bancorp, Inc.</t>
  </si>
  <si>
    <t>Commerce Bancshares, Inc.</t>
  </si>
  <si>
    <t>CCCM</t>
  </si>
  <si>
    <t>C3 Metals Inc.</t>
  </si>
  <si>
    <t>CCFN</t>
  </si>
  <si>
    <t>Muncy Columbia Financial Corporation</t>
  </si>
  <si>
    <t>CCNB</t>
  </si>
  <si>
    <t>Coastal Carolina Bancshares, Inc.</t>
  </si>
  <si>
    <t>CDSL</t>
  </si>
  <si>
    <t>Central Depository Services (India) Limited</t>
  </si>
  <si>
    <t>CEFC</t>
  </si>
  <si>
    <t>Commercial National Financial Corporation</t>
  </si>
  <si>
    <t>CEK</t>
  </si>
  <si>
    <t>CeoTronics AG</t>
  </si>
  <si>
    <t>Citizens Financial Group, Inc.</t>
  </si>
  <si>
    <t>City Holding Company</t>
  </si>
  <si>
    <t>CIBH</t>
  </si>
  <si>
    <t>CIB Marine Bancshares, Inc.</t>
  </si>
  <si>
    <t>CIPLA</t>
  </si>
  <si>
    <t>Cipla Limited</t>
  </si>
  <si>
    <t>CapitaLand Malaysia Trust</t>
  </si>
  <si>
    <t>Catalyst Bancorp, Inc.</t>
  </si>
  <si>
    <t>Comerica Incorporated</t>
  </si>
  <si>
    <t>CMTV</t>
  </si>
  <si>
    <t>Community Bancorp</t>
  </si>
  <si>
    <t>Cohen &amp; Steers, Inc.</t>
  </si>
  <si>
    <t>Capital One Financial Corporation</t>
  </si>
  <si>
    <t>COFORGE</t>
  </si>
  <si>
    <t>Coforge Limited</t>
  </si>
  <si>
    <t>Columbia Banking System, Inc.</t>
  </si>
  <si>
    <t>CoastalSouth Bancshares, Inc.</t>
  </si>
  <si>
    <t>CPKF</t>
  </si>
  <si>
    <t>Chesapeake Financial Shares, Inc.</t>
  </si>
  <si>
    <t>Cordel Group Plc</t>
  </si>
  <si>
    <t>CRED A</t>
  </si>
  <si>
    <t>Creades AB</t>
  </si>
  <si>
    <t>CREDITACC</t>
  </si>
  <si>
    <t>CreditAccess Grameen Limited</t>
  </si>
  <si>
    <t>CSBB</t>
  </si>
  <si>
    <t>CSB Bancorp, Inc.</t>
  </si>
  <si>
    <t>CSHX</t>
  </si>
  <si>
    <t>Cashmere Valley Bank</t>
  </si>
  <si>
    <t>CSX Corporation</t>
  </si>
  <si>
    <t>CTBI</t>
  </si>
  <si>
    <t>Community Trust Bancorp, Inc.</t>
  </si>
  <si>
    <t>Customers Bancorp, Inc.</t>
  </si>
  <si>
    <t>CVB Financial Corp.</t>
  </si>
  <si>
    <t>Community West Bancshares</t>
  </si>
  <si>
    <t>CXI</t>
  </si>
  <si>
    <t>Currency Exchange International, Corp.</t>
  </si>
  <si>
    <t>CYBERTECH</t>
  </si>
  <si>
    <t>CyberTech Systems and Software Limited</t>
  </si>
  <si>
    <t>CYIENTDLM</t>
  </si>
  <si>
    <t>Cyient DLM Limited</t>
  </si>
  <si>
    <t>Citizens &amp; Northern Corporation</t>
  </si>
  <si>
    <t>DALMIABHA</t>
  </si>
  <si>
    <t>Dalmia Bharat Limited</t>
  </si>
  <si>
    <t>DCBBANK</t>
  </si>
  <si>
    <t>DCB Bank Limited</t>
  </si>
  <si>
    <t>DCMSHRIRAM</t>
  </si>
  <si>
    <t>DCM Shriram Limited</t>
  </si>
  <si>
    <t>Dime Community Bancshares, Inc.</t>
  </si>
  <si>
    <t>D.R. Horton, Inc.</t>
  </si>
  <si>
    <t>DLF</t>
  </si>
  <si>
    <t>DLF Limited</t>
  </si>
  <si>
    <t>E2E</t>
  </si>
  <si>
    <t>E2E Networks Limited</t>
  </si>
  <si>
    <t>Eastern Bankshares, Inc.</t>
  </si>
  <si>
    <t>Eagle Bancorp, Inc.</t>
  </si>
  <si>
    <t>Equity Bancshares, Inc.</t>
  </si>
  <si>
    <t>EQT AB (publ)</t>
  </si>
  <si>
    <t>ERIC B</t>
  </si>
  <si>
    <t>Telefonaktiebolaget LM Ericsson (publ)</t>
  </si>
  <si>
    <t>Esquire Financial Holdings, Inc.</t>
  </si>
  <si>
    <t>ESSITY B</t>
  </si>
  <si>
    <t>Essity AB (publ)</t>
  </si>
  <si>
    <t>ETERNAL</t>
  </si>
  <si>
    <t>Eternal Limited</t>
  </si>
  <si>
    <t>East West Bancorp, Inc.</t>
  </si>
  <si>
    <t>Fastenal Company</t>
  </si>
  <si>
    <t>FB Financial Corporation</t>
  </si>
  <si>
    <t>First Bancorp</t>
  </si>
  <si>
    <t>First Capital, Inc.</t>
  </si>
  <si>
    <t>FCNC.A</t>
  </si>
  <si>
    <t>First Citizens BancShares, Inc.</t>
  </si>
  <si>
    <t>Freeport-McMoRan Inc.</t>
  </si>
  <si>
    <t>FFDF</t>
  </si>
  <si>
    <t>FFD Financial Corporation</t>
  </si>
  <si>
    <t>First Financial Bankshares, Inc.</t>
  </si>
  <si>
    <t>FFWC</t>
  </si>
  <si>
    <t>FFW Corporation</t>
  </si>
  <si>
    <t>Fifth Third Bancorp</t>
  </si>
  <si>
    <t>FLERIE</t>
  </si>
  <si>
    <t>Flerie AB (publ)</t>
  </si>
  <si>
    <t>FMBH</t>
  </si>
  <si>
    <t>First Mid Bancshares, Inc.</t>
  </si>
  <si>
    <t>FMBL</t>
  </si>
  <si>
    <t>Farmers &amp; Merchants Bank of Long Beach</t>
  </si>
  <si>
    <t>F.N.B. Corporation</t>
  </si>
  <si>
    <t>The First Bancorp, Inc.</t>
  </si>
  <si>
    <t>Forestar Group Inc.</t>
  </si>
  <si>
    <t>Five Point Holdings, LLC</t>
  </si>
  <si>
    <t>FRSB</t>
  </si>
  <si>
    <t>First Resource Bancorp, Inc.</t>
  </si>
  <si>
    <t>FS Bancorp, Inc.</t>
  </si>
  <si>
    <t>Fulton Financial Corporation</t>
  </si>
  <si>
    <t>FVCB</t>
  </si>
  <si>
    <t>FVCBankcorp, Inc.</t>
  </si>
  <si>
    <t>GAEL</t>
  </si>
  <si>
    <t>Gujarat Ambuja Exports Limited</t>
  </si>
  <si>
    <t>Glacier Bancorp, Inc.</t>
  </si>
  <si>
    <t>GCBC</t>
  </si>
  <si>
    <t>Greene County Bancorp, Inc.</t>
  </si>
  <si>
    <t>GOCOLORS</t>
  </si>
  <si>
    <t>Go Fashion (India) Limited</t>
  </si>
  <si>
    <t>GODIGIT</t>
  </si>
  <si>
    <t>Go Digit General Insurance Limited</t>
  </si>
  <si>
    <t>GODREJCP</t>
  </si>
  <si>
    <t>Godrej Consumer Products Limited</t>
  </si>
  <si>
    <t>GOVB</t>
  </si>
  <si>
    <t>Gouverneur Bancorp, Inc.</t>
  </si>
  <si>
    <t>GRAVITA</t>
  </si>
  <si>
    <t>Gravita India Limited</t>
  </si>
  <si>
    <t>GREENPOWER</t>
  </si>
  <si>
    <t>Orient Green Power Company Limited</t>
  </si>
  <si>
    <t>Great Southern Bancorp, Inc.</t>
  </si>
  <si>
    <t>GSPL</t>
  </si>
  <si>
    <t>Gujarat State Petronet Limited</t>
  </si>
  <si>
    <t>GTPS</t>
  </si>
  <si>
    <t>Great American Bancorp, Inc.</t>
  </si>
  <si>
    <t>GURU</t>
  </si>
  <si>
    <t>GURU Organic Energy Corp.</t>
  </si>
  <si>
    <t>GWCS</t>
  </si>
  <si>
    <t>Gulf Warehousing Company Q.P.S.C.</t>
  </si>
  <si>
    <t>Halliburton Company</t>
  </si>
  <si>
    <t>Huntington Bancshares Incorporated</t>
  </si>
  <si>
    <t>HERITGFOOD</t>
  </si>
  <si>
    <t>Heritage Foods Limited</t>
  </si>
  <si>
    <t>Heritage Financial Corporation</t>
  </si>
  <si>
    <t>Highway Holdings Limited</t>
  </si>
  <si>
    <t>HINDPETRO</t>
  </si>
  <si>
    <t>Hindustan Petroleum Corporation Limited</t>
  </si>
  <si>
    <t>HOMEFIRST</t>
  </si>
  <si>
    <t>Home First Finance Company India Limited</t>
  </si>
  <si>
    <t>HRRB</t>
  </si>
  <si>
    <t>Horizon Bancorp, Inc.</t>
  </si>
  <si>
    <t>HomeTrust Bancshares, Inc.</t>
  </si>
  <si>
    <t>Heritage Commerce Corp</t>
  </si>
  <si>
    <t>HUDCO</t>
  </si>
  <si>
    <t>Housing and Urban Development Corporation Limited</t>
  </si>
  <si>
    <t>Hancock Whitney Corporation</t>
  </si>
  <si>
    <t>Independent Bank Corporation</t>
  </si>
  <si>
    <t>Interactive Brokers Group, Inc.</t>
  </si>
  <si>
    <t>IGBREIT</t>
  </si>
  <si>
    <t>IGB Real Estate Investment Trust</t>
  </si>
  <si>
    <t>IIFL</t>
  </si>
  <si>
    <t>IIFL Finance Limited</t>
  </si>
  <si>
    <t>IKA</t>
  </si>
  <si>
    <t>Ilika plc</t>
  </si>
  <si>
    <t>Independent Bank Corp.</t>
  </si>
  <si>
    <t>INDIACEM</t>
  </si>
  <si>
    <t>The India Cements Limited</t>
  </si>
  <si>
    <t>INDIAMART</t>
  </si>
  <si>
    <t>IndiaMART InterMESH Limited</t>
  </si>
  <si>
    <t>INDIANB</t>
  </si>
  <si>
    <t>Indian Bank</t>
  </si>
  <si>
    <t>INDIGO</t>
  </si>
  <si>
    <t>InterGlobe Aviation Limited</t>
  </si>
  <si>
    <t>INDUSINDBK</t>
  </si>
  <si>
    <t>IndusInd Bank Limited</t>
  </si>
  <si>
    <t>Intel Corporation</t>
  </si>
  <si>
    <t>INTELLECT</t>
  </si>
  <si>
    <t>Intellect Design Arena Limited</t>
  </si>
  <si>
    <t>Intuitive Surgical, Inc.</t>
  </si>
  <si>
    <t>Investar Holding Corporation</t>
  </si>
  <si>
    <t>ITCHOTELS</t>
  </si>
  <si>
    <t>ITC Hotels Limited</t>
  </si>
  <si>
    <t>Interparfums SA</t>
  </si>
  <si>
    <t>J&amp;KBANK</t>
  </si>
  <si>
    <t>Jammu and Kashmir Bank Limited</t>
  </si>
  <si>
    <t>JAGSNPHARM</t>
  </si>
  <si>
    <t>Jagsonpal Pharmaceuticals Limited</t>
  </si>
  <si>
    <t>Johnson &amp; Johnson</t>
  </si>
  <si>
    <t>JSL</t>
  </si>
  <si>
    <t>Jindal Stainless Limited</t>
  </si>
  <si>
    <t>Karooooo Ltd.</t>
  </si>
  <si>
    <t>KARURVYSYA</t>
  </si>
  <si>
    <t>The Karur Vysya Bank Limited</t>
  </si>
  <si>
    <t>KBANK</t>
  </si>
  <si>
    <t>Kasikornbank Public Company Limited</t>
  </si>
  <si>
    <t>KeyCorp</t>
  </si>
  <si>
    <t>KIMBER A</t>
  </si>
  <si>
    <t>Kimberly-Clark de México, S. A. B. de C. V.</t>
  </si>
  <si>
    <t>KITW</t>
  </si>
  <si>
    <t>Kitwave Group plc</t>
  </si>
  <si>
    <t>Kinder Morgan, Inc.</t>
  </si>
  <si>
    <t>Kinder Morgan Kansas, Inc.</t>
  </si>
  <si>
    <t>Knight-Swift Transportation Holdings Inc.</t>
  </si>
  <si>
    <t>KOMN</t>
  </si>
  <si>
    <t>Komax Holding AG</t>
  </si>
  <si>
    <t>KOV</t>
  </si>
  <si>
    <t>Korvest Ltd</t>
  </si>
  <si>
    <t>KRITIKA</t>
  </si>
  <si>
    <t>Kritika Wires Limited</t>
  </si>
  <si>
    <t>Kearny Financial Corp.</t>
  </si>
  <si>
    <t>KSBI</t>
  </si>
  <si>
    <t>KS Bancorp, Inc.</t>
  </si>
  <si>
    <t>Krung Thai Bank Public Company Limited</t>
  </si>
  <si>
    <t>LAURUSLABS</t>
  </si>
  <si>
    <t>Laurus Labs Limited</t>
  </si>
  <si>
    <t>LEM</t>
  </si>
  <si>
    <t>Leading Edge Materials Corp.</t>
  </si>
  <si>
    <t>LIGHT</t>
  </si>
  <si>
    <t>Signify N.V.</t>
  </si>
  <si>
    <t>Linc AB</t>
  </si>
  <si>
    <t>Live Oak Bancshares, Inc.</t>
  </si>
  <si>
    <t>LPA Group Plc</t>
  </si>
  <si>
    <t>Lake Shore Bancorp, Inc.</t>
  </si>
  <si>
    <t>LWB</t>
  </si>
  <si>
    <t>Lubelski Wegiel Bogdanka S.A.</t>
  </si>
  <si>
    <t>LSI Industries Inc.</t>
  </si>
  <si>
    <t>MAGI</t>
  </si>
  <si>
    <t>MAG Interactive AB (publ)</t>
  </si>
  <si>
    <t>MARK</t>
  </si>
  <si>
    <t>AlRayan Bank Q.P.S.C.</t>
  </si>
  <si>
    <t>MASTEK</t>
  </si>
  <si>
    <t>Mastek Limited</t>
  </si>
  <si>
    <t>Middlefield Banc Corp.</t>
  </si>
  <si>
    <t>Mobileye Global Inc.</t>
  </si>
  <si>
    <t>Mercantile Bank Corporation</t>
  </si>
  <si>
    <t>Metropolitan Bank Holding Corp.</t>
  </si>
  <si>
    <t>MCBI</t>
  </si>
  <si>
    <t>Mountain Commerce Bancorp, Inc.</t>
  </si>
  <si>
    <t>MetroCity Bankshares, Inc.</t>
  </si>
  <si>
    <t>MCX</t>
  </si>
  <si>
    <t>Multi Commodity Exchange of India Limited</t>
  </si>
  <si>
    <t>MGYR</t>
  </si>
  <si>
    <t>Magyar Bancorp, Inc.</t>
  </si>
  <si>
    <t>MIKN</t>
  </si>
  <si>
    <t>Mikron Holding AG</t>
  </si>
  <si>
    <t>MINDSPACE</t>
  </si>
  <si>
    <t>Mindspace Business Parks REIT</t>
  </si>
  <si>
    <t>MITTAL</t>
  </si>
  <si>
    <t>Mittal Life Style Limited</t>
  </si>
  <si>
    <t>McCormick &amp; Company, Incorporated</t>
  </si>
  <si>
    <t>3M Company</t>
  </si>
  <si>
    <t>MakeMyTrip Limited</t>
  </si>
  <si>
    <t>MidWestOne Financial Group, Inc.</t>
  </si>
  <si>
    <t>MOG.A</t>
  </si>
  <si>
    <t>Moog Inc.</t>
  </si>
  <si>
    <t>Mid Penn Bancorp, Inc.</t>
  </si>
  <si>
    <t>MPSLTD</t>
  </si>
  <si>
    <t>MPS Limited</t>
  </si>
  <si>
    <t>Meridian Corporation</t>
  </si>
  <si>
    <t>MRP</t>
  </si>
  <si>
    <t>Millrose Properties, Inc.</t>
  </si>
  <si>
    <t>Midland States Bancorp, Inc.</t>
  </si>
  <si>
    <t>First Western Financial, Inc.</t>
  </si>
  <si>
    <t>NAM-INDIA</t>
  </si>
  <si>
    <t>Nippon Life India Asset Management Limited</t>
  </si>
  <si>
    <t>NATHBIOGEN</t>
  </si>
  <si>
    <t>Nath Bio-Genes (India) Limited</t>
  </si>
  <si>
    <t>NBBK</t>
  </si>
  <si>
    <t>NB Bancorp, Inc.</t>
  </si>
  <si>
    <t>NDTV</t>
  </si>
  <si>
    <t>New Delhi Television Limited</t>
  </si>
  <si>
    <t>NEWGEN</t>
  </si>
  <si>
    <t>Newgen Software Technologies Limited</t>
  </si>
  <si>
    <t>Netflix, Inc.</t>
  </si>
  <si>
    <t>NovaGold Resources Inc.</t>
  </si>
  <si>
    <t>Nicolet Bankshares, Inc.</t>
  </si>
  <si>
    <t>NIITMTS</t>
  </si>
  <si>
    <t>NIIT Learning Systems Limited</t>
  </si>
  <si>
    <t>NKGN</t>
  </si>
  <si>
    <t>NKGen Biotech, Inc.</t>
  </si>
  <si>
    <t>National Bankshares, Inc.</t>
  </si>
  <si>
    <t>NPB</t>
  </si>
  <si>
    <t>Northpointe Bancshares, Inc.</t>
  </si>
  <si>
    <t>Northrim BanCorp, Inc.</t>
  </si>
  <si>
    <t>Northern Trust Corporation</t>
  </si>
  <si>
    <t>NUVAMA</t>
  </si>
  <si>
    <t>Nuvama Wealth Management Limited</t>
  </si>
  <si>
    <t>NVE Corporation</t>
  </si>
  <si>
    <t>Norwood Financial Corp.</t>
  </si>
  <si>
    <t>OCFC</t>
  </si>
  <si>
    <t>OceanFirst Financial Corp.</t>
  </si>
  <si>
    <t>OFED</t>
  </si>
  <si>
    <t>Oconee Federal Financial Corp.</t>
  </si>
  <si>
    <t>OFG Bancorp</t>
  </si>
  <si>
    <t>Old National Bancorp</t>
  </si>
  <si>
    <t>ONE</t>
  </si>
  <si>
    <t>01 Quantum Inc.</t>
  </si>
  <si>
    <t>OP Bancorp</t>
  </si>
  <si>
    <t>ORES</t>
  </si>
  <si>
    <t>Investment AB Öresund (publ)</t>
  </si>
  <si>
    <t>Old Republic International Corporation</t>
  </si>
  <si>
    <t>ORIENTCEM</t>
  </si>
  <si>
    <t>Orient Cement Limited</t>
  </si>
  <si>
    <t>ORIENTELEC</t>
  </si>
  <si>
    <t>Orient Electric Limited</t>
  </si>
  <si>
    <t>OSBC</t>
  </si>
  <si>
    <t>Old Second Bancorp, Inc.</t>
  </si>
  <si>
    <t>Oak Valley Bancorp</t>
  </si>
  <si>
    <t>Bank OZK</t>
  </si>
  <si>
    <t>P40U</t>
  </si>
  <si>
    <t>Starhill Global Real Estate Investment Trust</t>
  </si>
  <si>
    <t>PANTECH</t>
  </si>
  <si>
    <t>Pantech Group Holdings Berhad</t>
  </si>
  <si>
    <t>Pineapple Financial Inc.</t>
  </si>
  <si>
    <t>PARAS</t>
  </si>
  <si>
    <t>Paras Defence and Space Technologies Limited</t>
  </si>
  <si>
    <t>PBCO</t>
  </si>
  <si>
    <t>PBCO Financial Corporation</t>
  </si>
  <si>
    <t>PCLB</t>
  </si>
  <si>
    <t>Pinnacle Bancshares, Inc.</t>
  </si>
  <si>
    <t>PERSISTENT</t>
  </si>
  <si>
    <t>Persistent Systems Limited</t>
  </si>
  <si>
    <t>PET</t>
  </si>
  <si>
    <t>Phoslock Environmental Technologies Limited</t>
  </si>
  <si>
    <t>PFBC</t>
  </si>
  <si>
    <t>Preferred Bank</t>
  </si>
  <si>
    <t>PFFC</t>
  </si>
  <si>
    <t>Peoples Financial Corporation</t>
  </si>
  <si>
    <t>The Procter &amp; Gamble Company</t>
  </si>
  <si>
    <t>PILITA</t>
  </si>
  <si>
    <t>Pil Italica Lifestyle Limited</t>
  </si>
  <si>
    <t>Parke Bancorp, Inc.</t>
  </si>
  <si>
    <t>Plumas Bancorp</t>
  </si>
  <si>
    <t>Prologis, Inc.</t>
  </si>
  <si>
    <t>PNBHOUSING</t>
  </si>
  <si>
    <t>PNB Housing Finance Limited</t>
  </si>
  <si>
    <t>Pinnacle Financial Partners, Inc.</t>
  </si>
  <si>
    <t>Pensana Plc</t>
  </si>
  <si>
    <t>PREMIERENE</t>
  </si>
  <si>
    <t>Premier Energies Limited</t>
  </si>
  <si>
    <t>Progress Software Corporation</t>
  </si>
  <si>
    <t>Provident Bancorp, Inc.</t>
  </si>
  <si>
    <t>QFLS</t>
  </si>
  <si>
    <t>Qatar Fuel Company Q.P.S.C. (WOQOD")"</t>
  </si>
  <si>
    <t>QGTS</t>
  </si>
  <si>
    <t>Qatar Gas Transport Company Limited (Nakilat) (QPSC)</t>
  </si>
  <si>
    <t>RADICO</t>
  </si>
  <si>
    <t>Radico Khaitan Limited</t>
  </si>
  <si>
    <t>RALLIS</t>
  </si>
  <si>
    <t>Rallis India Limited</t>
  </si>
  <si>
    <t>RBCA.A</t>
  </si>
  <si>
    <t>Republic Bancorp, Inc.</t>
  </si>
  <si>
    <t>RESI</t>
  </si>
  <si>
    <t>Residential Secure Income plc</t>
  </si>
  <si>
    <t>RLI Corp.</t>
  </si>
  <si>
    <t>Richmond Mutual Bancorporation, Inc.</t>
  </si>
  <si>
    <t>RPGLIFE</t>
  </si>
  <si>
    <t>RPG Life Sciences Limited</t>
  </si>
  <si>
    <t>SABK</t>
  </si>
  <si>
    <t>South Atlantic Bancshares, Inc.</t>
  </si>
  <si>
    <t>Sandvik AB (publ)</t>
  </si>
  <si>
    <t>SASKEN</t>
  </si>
  <si>
    <t>Sasken Technologies Limited</t>
  </si>
  <si>
    <t>SBFC</t>
  </si>
  <si>
    <t>SBFC Finance Limited</t>
  </si>
  <si>
    <t>SCB</t>
  </si>
  <si>
    <t>SCB X Public Company Limited</t>
  </si>
  <si>
    <t>The Charles Schwab Corporation</t>
  </si>
  <si>
    <t>ServisFirst Bancshares, Inc.</t>
  </si>
  <si>
    <t>Simmons First National Corporation</t>
  </si>
  <si>
    <t>Southern First Bancshares, Inc.</t>
  </si>
  <si>
    <t>SHANTIGEAR</t>
  </si>
  <si>
    <t>Shanthi Gears Limited</t>
  </si>
  <si>
    <t>SHARDACROP</t>
  </si>
  <si>
    <t>Sharda Cropchem Limited</t>
  </si>
  <si>
    <t>SHOPERSTOP</t>
  </si>
  <si>
    <t>Shoppers Stop Limited</t>
  </si>
  <si>
    <t>SIGHT</t>
  </si>
  <si>
    <t>GenSight Biologics S.A.</t>
  </si>
  <si>
    <t>SIGL</t>
  </si>
  <si>
    <t>Signal Advance, Inc.</t>
  </si>
  <si>
    <t>SLB N.V.</t>
  </si>
  <si>
    <t>SLM Corporation</t>
  </si>
  <si>
    <t>SLRK</t>
  </si>
  <si>
    <t>Solera National Bancorp, Inc.</t>
  </si>
  <si>
    <t>Southern Missouri Bancorp, Inc.</t>
  </si>
  <si>
    <t>SmartFinancial, Inc.</t>
  </si>
  <si>
    <t>SOLARA</t>
  </si>
  <si>
    <t>Solara Active Pharma Sciences Limited</t>
  </si>
  <si>
    <t>SONACOMS</t>
  </si>
  <si>
    <t>Sona BLW Precision Forgings Limited</t>
  </si>
  <si>
    <t>SPANDANA</t>
  </si>
  <si>
    <t>Spandana Sphoorty Financial Limited</t>
  </si>
  <si>
    <t>SPORTKING</t>
  </si>
  <si>
    <t>Sportking India Limited</t>
  </si>
  <si>
    <t>SPWR</t>
  </si>
  <si>
    <t>SunPower Inc.</t>
  </si>
  <si>
    <t>1st Source Corporation</t>
  </si>
  <si>
    <t>SouthState Bank Corporation</t>
  </si>
  <si>
    <t>STANLY</t>
  </si>
  <si>
    <t>Thai Stanley Electric Public Company Limited</t>
  </si>
  <si>
    <t>S&amp;T Bancorp, Inc.</t>
  </si>
  <si>
    <t>SUPREMEIND</t>
  </si>
  <si>
    <t>The Supreme Industries Limited</t>
  </si>
  <si>
    <t>SUPRIYA</t>
  </si>
  <si>
    <t>Supriya Lifescience Limited</t>
  </si>
  <si>
    <t>SURYODAY</t>
  </si>
  <si>
    <t>Suryoday Small Finance Bank Limited</t>
  </si>
  <si>
    <t>SVIN</t>
  </si>
  <si>
    <t>Scheid Vineyards Inc.</t>
  </si>
  <si>
    <t>SWED A</t>
  </si>
  <si>
    <t>Swedbank AB (publ)</t>
  </si>
  <si>
    <t>SYNGENE</t>
  </si>
  <si>
    <t>Syngene International Limited</t>
  </si>
  <si>
    <t>T82U</t>
  </si>
  <si>
    <t>Suntec Real Estate Investment Trust</t>
  </si>
  <si>
    <t>TANLA</t>
  </si>
  <si>
    <t>Tanla Platforms Limited</t>
  </si>
  <si>
    <t>TARACHAND</t>
  </si>
  <si>
    <t>Tara Chand Infralogistic Solutions Limited</t>
  </si>
  <si>
    <t>TATACOMM</t>
  </si>
  <si>
    <t>Tata Communications Limited</t>
  </si>
  <si>
    <t>TATVA</t>
  </si>
  <si>
    <t>Tatva Chintan Pharma Chem Limited</t>
  </si>
  <si>
    <t>Texas Capital Bancshares, Inc.</t>
  </si>
  <si>
    <t>TriCo Bancshares</t>
  </si>
  <si>
    <t>TCBX</t>
  </si>
  <si>
    <t>Third Coast Bancshares, Inc.</t>
  </si>
  <si>
    <t>Transport Corporation of India Limited</t>
  </si>
  <si>
    <t>Teledyne Technologies Incorporated</t>
  </si>
  <si>
    <t>TEJASNET</t>
  </si>
  <si>
    <t>Tejas Networks Limited</t>
  </si>
  <si>
    <t>TE Connectivity plc</t>
  </si>
  <si>
    <t>TET</t>
  </si>
  <si>
    <t>Treatt plc</t>
  </si>
  <si>
    <t>TFBANK</t>
  </si>
  <si>
    <t>TF Bank AB (publ)</t>
  </si>
  <si>
    <t>Truist Financial Corporation</t>
  </si>
  <si>
    <t>TLA</t>
  </si>
  <si>
    <t>Titan Logix Corp.</t>
  </si>
  <si>
    <t>TOKYOPLAST</t>
  </si>
  <si>
    <t>Tokyo Plast International Limited</t>
  </si>
  <si>
    <t>TPET</t>
  </si>
  <si>
    <t>Trio Petroleum Corp.</t>
  </si>
  <si>
    <t>TRIDENT</t>
  </si>
  <si>
    <t>Trident Limited</t>
  </si>
  <si>
    <t>TrustCo Bank Corp NY</t>
  </si>
  <si>
    <t>TRUE B</t>
  </si>
  <si>
    <t>Truecaller AB (publ)</t>
  </si>
  <si>
    <t>The Travelers Companies, Inc.</t>
  </si>
  <si>
    <t>TRYG</t>
  </si>
  <si>
    <t>Tryg A/S</t>
  </si>
  <si>
    <t>TS0U</t>
  </si>
  <si>
    <t>OUE Real Estate Investment Trust</t>
  </si>
  <si>
    <t>TSBS</t>
  </si>
  <si>
    <t>Peoples Bancorp Inc.</t>
  </si>
  <si>
    <t>TTB</t>
  </si>
  <si>
    <t>TMBThanachart Bank Public Company Limited</t>
  </si>
  <si>
    <t>United Airlines Holdings, Inc.</t>
  </si>
  <si>
    <t>United Security Bancshares</t>
  </si>
  <si>
    <t>UBI</t>
  </si>
  <si>
    <t>Universal Biosensors, Inc.</t>
  </si>
  <si>
    <t>UBOH</t>
  </si>
  <si>
    <t>United Bancshares, Inc.</t>
  </si>
  <si>
    <t>United Bankshares, Inc.</t>
  </si>
  <si>
    <t>UEL</t>
  </si>
  <si>
    <t>Ujaas Energy Limited</t>
  </si>
  <si>
    <t>UJJIVANSFB</t>
  </si>
  <si>
    <t>Ujjivan Small Finance Bank Limited</t>
  </si>
  <si>
    <t>ULTRACEMCO</t>
  </si>
  <si>
    <t>UltraTech Cement Limited</t>
  </si>
  <si>
    <t>UNB</t>
  </si>
  <si>
    <t>Union Bankshares, Inc.</t>
  </si>
  <si>
    <t>U.S. Bancorp</t>
  </si>
  <si>
    <t>U.S. Bancorp.</t>
  </si>
  <si>
    <t>USCB Financial Holdings, Inc.</t>
  </si>
  <si>
    <t>V2RETAIL</t>
  </si>
  <si>
    <t>V2 Retail Limited</t>
  </si>
  <si>
    <t>Virginia National Bankshares Corporation</t>
  </si>
  <si>
    <t>VEFAB</t>
  </si>
  <si>
    <t>VEF AB (publ)</t>
  </si>
  <si>
    <t>VIKRAMSOLR</t>
  </si>
  <si>
    <t>Vikram Solar Limited</t>
  </si>
  <si>
    <t>VMART</t>
  </si>
  <si>
    <t>V-Mart Retail Limited</t>
  </si>
  <si>
    <t>VSSL</t>
  </si>
  <si>
    <t>Vardhman Special Steels Limited</t>
  </si>
  <si>
    <t>WAAREEENER</t>
  </si>
  <si>
    <t>Waaree Energies Limited</t>
  </si>
  <si>
    <t>Webster Financial Corporation</t>
  </si>
  <si>
    <t>WPRTS</t>
  </si>
  <si>
    <t>Westports Holdings Berhad</t>
  </si>
  <si>
    <t>WRKS</t>
  </si>
  <si>
    <t>TheWorks.co.uk plc</t>
  </si>
  <si>
    <t>Wintrust Financial Corporation</t>
  </si>
  <si>
    <t>WVFC</t>
  </si>
  <si>
    <t>WVS Financial Corp.</t>
  </si>
  <si>
    <t>ZEEL</t>
  </si>
  <si>
    <t>Zee Entertainment Enterprises Limited</t>
  </si>
  <si>
    <t>Zions Bancorporation, National Association</t>
  </si>
  <si>
    <t>Market Cap (mil$)</t>
    <phoneticPr fontId="3" type="noConversion"/>
  </si>
  <si>
    <t>최근 분기 빨간줄</t>
    <phoneticPr fontId="3" type="noConversion"/>
  </si>
  <si>
    <t>* 최근에 실적 안나온 기업은 제외</t>
    <phoneticPr fontId="3" type="noConversion"/>
  </si>
  <si>
    <t>지난주 실적 기업 정보</t>
    <phoneticPr fontId="3" type="noConversion"/>
  </si>
  <si>
    <t>FCAP</t>
    <phoneticPr fontId="3" type="noConversion"/>
  </si>
  <si>
    <t>JNJ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</si>
</sst>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0.00&quot;%&quot;"/>
    <numFmt numFmtId="177" formatCode="#,##0_);[Red]\(#,##0\)"/>
    <numFmt numFmtId="178" formatCode="#,##0.0_);[Red]\(#,##0.0\)"/>
    <numFmt numFmtId="179" formatCode="0.0%"/>
    <numFmt numFmtId="180" formatCode="#,##0,,"/>
    <numFmt numFmtId="181" formatCode="#,##0.0"/>
  </numFmts>
  <fonts count="12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Pretendard"/>
      <family val="3"/>
      <charset val="129"/>
    </font>
    <font>
      <b/>
      <sz val="11"/>
      <name val="Pretendard"/>
      <family val="3"/>
      <charset val="129"/>
    </font>
    <font>
      <b/>
      <sz val="11"/>
      <color theme="1"/>
      <name val="Pretendard"/>
      <family val="3"/>
      <charset val="129"/>
    </font>
    <font>
      <sz val="11"/>
      <color theme="0"/>
      <name val="Pretendard"/>
      <family val="3"/>
      <charset val="129"/>
    </font>
    <font>
      <b/>
      <sz val="11"/>
      <color theme="0"/>
      <name val="Pretendard"/>
      <family val="3"/>
      <charset val="129"/>
    </font>
    <font>
      <b/>
      <sz val="12"/>
      <color theme="1"/>
      <name val="Pretendard"/>
      <family val="3"/>
      <charset val="129"/>
    </font>
    <font>
      <b/>
      <sz val="14"/>
      <color theme="0"/>
      <name val="Pretendard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CCCC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4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176" fontId="0" fillId="0" borderId="0" xfId="0" applyNumberFormat="1"/>
    <xf numFmtId="0" fontId="5" fillId="0" borderId="0" xfId="0" applyFont="1"/>
    <xf numFmtId="0" fontId="6" fillId="0" borderId="1" xfId="0" applyFont="1" applyBorder="1" applyAlignment="1">
      <alignment horizontal="center" vertical="top"/>
    </xf>
    <xf numFmtId="176" fontId="5" fillId="0" borderId="0" xfId="0" applyNumberFormat="1" applyFont="1"/>
    <xf numFmtId="0" fontId="7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8" fillId="3" borderId="0" xfId="0" applyFont="1" applyFill="1" applyAlignment="1">
      <alignment vertical="center"/>
    </xf>
    <xf numFmtId="0" fontId="9" fillId="3" borderId="0" xfId="0" applyFont="1" applyFill="1" applyAlignment="1">
      <alignment horizontal="right" vertical="center"/>
    </xf>
    <xf numFmtId="0" fontId="9" fillId="3" borderId="2" xfId="0" applyFont="1" applyFill="1" applyBorder="1" applyAlignment="1">
      <alignment horizontal="right" vertical="center"/>
    </xf>
    <xf numFmtId="177" fontId="5" fillId="0" borderId="0" xfId="0" applyNumberFormat="1" applyFont="1" applyAlignment="1">
      <alignment vertical="center"/>
    </xf>
    <xf numFmtId="177" fontId="5" fillId="0" borderId="2" xfId="0" applyNumberFormat="1" applyFont="1" applyBorder="1" applyAlignment="1">
      <alignment vertical="center"/>
    </xf>
    <xf numFmtId="178" fontId="5" fillId="0" borderId="0" xfId="0" applyNumberFormat="1" applyFont="1" applyAlignment="1">
      <alignment vertical="center"/>
    </xf>
    <xf numFmtId="178" fontId="5" fillId="0" borderId="2" xfId="0" applyNumberFormat="1" applyFont="1" applyBorder="1" applyAlignment="1">
      <alignment vertical="center"/>
    </xf>
    <xf numFmtId="179" fontId="5" fillId="0" borderId="0" xfId="2" applyNumberFormat="1" applyFont="1" applyFill="1">
      <alignment vertical="center"/>
    </xf>
    <xf numFmtId="179" fontId="5" fillId="0" borderId="0" xfId="2" applyNumberFormat="1" applyFont="1" applyFill="1" applyBorder="1">
      <alignment vertical="center"/>
    </xf>
    <xf numFmtId="179" fontId="5" fillId="0" borderId="2" xfId="2" applyNumberFormat="1" applyFont="1" applyFill="1" applyBorder="1">
      <alignment vertical="center"/>
    </xf>
    <xf numFmtId="9" fontId="5" fillId="0" borderId="0" xfId="2" applyFont="1" applyFill="1">
      <alignment vertical="center"/>
    </xf>
    <xf numFmtId="9" fontId="5" fillId="0" borderId="0" xfId="2" applyFont="1" applyAlignment="1">
      <alignment horizontal="right" vertical="center"/>
    </xf>
    <xf numFmtId="9" fontId="5" fillId="0" borderId="2" xfId="2" applyFont="1" applyBorder="1" applyAlignment="1">
      <alignment horizontal="right" vertical="center"/>
    </xf>
    <xf numFmtId="9" fontId="5" fillId="0" borderId="0" xfId="2" applyFont="1">
      <alignment vertical="center"/>
    </xf>
    <xf numFmtId="9" fontId="5" fillId="0" borderId="0" xfId="2" applyFont="1" applyBorder="1">
      <alignment vertical="center"/>
    </xf>
    <xf numFmtId="9" fontId="5" fillId="0" borderId="2" xfId="2" applyFont="1" applyBorder="1">
      <alignment vertical="center"/>
    </xf>
    <xf numFmtId="0" fontId="7" fillId="0" borderId="3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41" fontId="7" fillId="0" borderId="5" xfId="1" applyFont="1" applyBorder="1">
      <alignment vertical="center"/>
    </xf>
    <xf numFmtId="15" fontId="5" fillId="0" borderId="0" xfId="0" applyNumberFormat="1" applyFont="1" applyAlignment="1">
      <alignment vertical="center"/>
    </xf>
    <xf numFmtId="17" fontId="5" fillId="0" borderId="0" xfId="0" applyNumberFormat="1" applyFont="1" applyAlignment="1">
      <alignment vertical="center"/>
    </xf>
    <xf numFmtId="180" fontId="5" fillId="0" borderId="7" xfId="1" applyNumberFormat="1" applyFont="1" applyBorder="1">
      <alignment vertical="center"/>
    </xf>
    <xf numFmtId="0" fontId="5" fillId="0" borderId="9" xfId="0" applyFont="1" applyBorder="1" applyAlignment="1">
      <alignment vertical="center"/>
    </xf>
    <xf numFmtId="15" fontId="5" fillId="0" borderId="9" xfId="0" applyNumberFormat="1" applyFont="1" applyBorder="1" applyAlignment="1">
      <alignment vertical="center"/>
    </xf>
    <xf numFmtId="17" fontId="5" fillId="0" borderId="9" xfId="0" applyNumberFormat="1" applyFont="1" applyBorder="1" applyAlignment="1">
      <alignment vertical="center"/>
    </xf>
    <xf numFmtId="180" fontId="5" fillId="0" borderId="10" xfId="1" applyNumberFormat="1" applyFont="1" applyBorder="1">
      <alignment vertical="center"/>
    </xf>
    <xf numFmtId="176" fontId="5" fillId="5" borderId="0" xfId="0" applyNumberFormat="1" applyFont="1" applyFill="1"/>
    <xf numFmtId="0" fontId="7" fillId="0" borderId="0" xfId="0" applyFont="1"/>
    <xf numFmtId="0" fontId="10" fillId="0" borderId="0" xfId="0" applyFont="1"/>
    <xf numFmtId="181" fontId="5" fillId="0" borderId="0" xfId="0" applyNumberFormat="1" applyFont="1"/>
    <xf numFmtId="181" fontId="5" fillId="2" borderId="0" xfId="0" applyNumberFormat="1" applyFont="1" applyFill="1"/>
    <xf numFmtId="0" fontId="7" fillId="0" borderId="6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11" fillId="4" borderId="0" xfId="0" applyFont="1" applyFill="1" applyAlignment="1">
      <alignment horizontal="center" vertical="center"/>
    </xf>
    <xf numFmtId="0" fontId="11" fillId="4" borderId="9" xfId="0" applyFont="1" applyFill="1" applyBorder="1" applyAlignment="1">
      <alignment horizontal="center" vertical="center"/>
    </xf>
  </cellXfs>
  <cellStyles count="3">
    <cellStyle name="백분율" xfId="2" builtinId="5"/>
    <cellStyle name="쉼표 [0]" xfId="1" builtinId="6"/>
    <cellStyle name="표준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47673-64E6-4208-B646-17F26E10CAFF}">
  <dimension ref="B2:G384"/>
  <sheetViews>
    <sheetView workbookViewId="0">
      <selection activeCell="K19" sqref="K19"/>
    </sheetView>
  </sheetViews>
  <sheetFormatPr defaultRowHeight="15" x14ac:dyDescent="0.25"/>
  <cols>
    <col min="1" max="1" width="9" style="4"/>
    <col min="2" max="2" width="14.875" style="36" bestFit="1" customWidth="1"/>
    <col min="3" max="3" width="52.25" style="4" bestFit="1" customWidth="1"/>
    <col min="4" max="4" width="10.75" style="4" bestFit="1" customWidth="1"/>
    <col min="5" max="5" width="11.5" style="4" bestFit="1" customWidth="1"/>
    <col min="6" max="6" width="14.625" style="4" bestFit="1" customWidth="1"/>
    <col min="7" max="7" width="18.875" style="4" bestFit="1" customWidth="1"/>
    <col min="8" max="16384" width="9" style="4"/>
  </cols>
  <sheetData>
    <row r="2" spans="2:7" x14ac:dyDescent="0.25">
      <c r="B2" s="42" t="s">
        <v>913</v>
      </c>
      <c r="C2" s="42"/>
    </row>
    <row r="3" spans="2:7" ht="15.75" thickBot="1" x14ac:dyDescent="0.3">
      <c r="B3" s="43"/>
      <c r="C3" s="43"/>
    </row>
    <row r="4" spans="2:7" x14ac:dyDescent="0.25">
      <c r="B4" s="25" t="s">
        <v>0</v>
      </c>
      <c r="C4" s="26" t="s">
        <v>308</v>
      </c>
      <c r="D4" s="26" t="s">
        <v>309</v>
      </c>
      <c r="E4" s="26" t="s">
        <v>310</v>
      </c>
      <c r="F4" s="26" t="s">
        <v>311</v>
      </c>
      <c r="G4" s="27" t="s">
        <v>910</v>
      </c>
    </row>
    <row r="5" spans="2:7" x14ac:dyDescent="0.25">
      <c r="B5" s="40" t="s">
        <v>21</v>
      </c>
      <c r="C5" s="8" t="s">
        <v>597</v>
      </c>
      <c r="D5" s="28">
        <v>46043</v>
      </c>
      <c r="E5" s="8" t="s">
        <v>321</v>
      </c>
      <c r="F5" s="29">
        <v>45992</v>
      </c>
      <c r="G5" s="30">
        <v>526816470000</v>
      </c>
    </row>
    <row r="6" spans="2:7" x14ac:dyDescent="0.25">
      <c r="B6" s="40" t="s">
        <v>198</v>
      </c>
      <c r="C6" s="8" t="s">
        <v>683</v>
      </c>
      <c r="D6" s="28">
        <v>46042</v>
      </c>
      <c r="E6" s="8" t="s">
        <v>363</v>
      </c>
      <c r="F6" s="29">
        <v>45992</v>
      </c>
      <c r="G6" s="30">
        <v>402115560000</v>
      </c>
    </row>
    <row r="7" spans="2:7" x14ac:dyDescent="0.25">
      <c r="B7" s="40" t="s">
        <v>200</v>
      </c>
      <c r="C7" s="8" t="s">
        <v>738</v>
      </c>
      <c r="D7" s="28">
        <v>46044</v>
      </c>
      <c r="E7" s="8"/>
      <c r="F7" s="29">
        <v>45992</v>
      </c>
      <c r="G7" s="30">
        <v>337728100000</v>
      </c>
    </row>
    <row r="8" spans="2:7" x14ac:dyDescent="0.25">
      <c r="B8" s="40" t="s">
        <v>201</v>
      </c>
      <c r="C8" s="8" t="s">
        <v>585</v>
      </c>
      <c r="D8" s="28">
        <v>46044</v>
      </c>
      <c r="E8" s="8"/>
      <c r="F8" s="29">
        <v>45992</v>
      </c>
      <c r="G8" s="30">
        <v>225132700000</v>
      </c>
    </row>
    <row r="9" spans="2:7" x14ac:dyDescent="0.25">
      <c r="B9" s="40" t="s">
        <v>204</v>
      </c>
      <c r="C9" s="8" t="s">
        <v>317</v>
      </c>
      <c r="D9" s="28">
        <v>46044</v>
      </c>
      <c r="E9" s="8"/>
      <c r="F9" s="29">
        <v>45992</v>
      </c>
      <c r="G9" s="30">
        <v>186785560000</v>
      </c>
    </row>
    <row r="10" spans="2:7" x14ac:dyDescent="0.25">
      <c r="B10" s="40" t="s">
        <v>205</v>
      </c>
      <c r="C10" s="8" t="s">
        <v>588</v>
      </c>
      <c r="D10" s="28">
        <v>46044</v>
      </c>
      <c r="E10" s="8"/>
      <c r="F10" s="29">
        <v>45992</v>
      </c>
      <c r="G10" s="30">
        <v>185752400000</v>
      </c>
    </row>
    <row r="11" spans="2:7" x14ac:dyDescent="0.25">
      <c r="B11" s="40" t="s">
        <v>206</v>
      </c>
      <c r="C11" s="8" t="s">
        <v>777</v>
      </c>
      <c r="D11" s="28">
        <v>46043</v>
      </c>
      <c r="E11" s="8" t="s">
        <v>321</v>
      </c>
      <c r="F11" s="29">
        <v>45992</v>
      </c>
      <c r="G11" s="30">
        <v>181567400000</v>
      </c>
    </row>
    <row r="12" spans="2:7" x14ac:dyDescent="0.25">
      <c r="B12" s="40" t="s">
        <v>207</v>
      </c>
      <c r="C12" s="8" t="s">
        <v>441</v>
      </c>
      <c r="D12" s="28">
        <v>46044</v>
      </c>
      <c r="E12" s="8"/>
      <c r="F12" s="29">
        <v>45992</v>
      </c>
      <c r="G12" s="30">
        <v>135834230000</v>
      </c>
    </row>
    <row r="13" spans="2:7" x14ac:dyDescent="0.25">
      <c r="B13" s="40" t="s">
        <v>208</v>
      </c>
      <c r="C13" s="8" t="s">
        <v>743</v>
      </c>
      <c r="D13" s="28">
        <v>46043</v>
      </c>
      <c r="E13" s="8" t="s">
        <v>321</v>
      </c>
      <c r="F13" s="29">
        <v>45992</v>
      </c>
      <c r="G13" s="30">
        <v>118105440000</v>
      </c>
    </row>
    <row r="14" spans="2:7" x14ac:dyDescent="0.25">
      <c r="B14" s="40" t="s">
        <v>210</v>
      </c>
      <c r="C14" s="8" t="s">
        <v>500</v>
      </c>
      <c r="D14" s="28">
        <v>46044</v>
      </c>
      <c r="E14" s="8"/>
      <c r="F14" s="29">
        <v>45992</v>
      </c>
      <c r="G14" s="30">
        <v>86744570000</v>
      </c>
    </row>
    <row r="15" spans="2:7" x14ac:dyDescent="0.25">
      <c r="B15" s="40" t="s">
        <v>212</v>
      </c>
      <c r="C15" s="8" t="s">
        <v>660</v>
      </c>
      <c r="D15" s="28">
        <v>46042</v>
      </c>
      <c r="E15" s="8" t="s">
        <v>321</v>
      </c>
      <c r="F15" s="29">
        <v>45992</v>
      </c>
      <c r="G15" s="30">
        <v>86265810000</v>
      </c>
    </row>
    <row r="16" spans="2:7" x14ac:dyDescent="0.25">
      <c r="B16" s="40" t="s">
        <v>181</v>
      </c>
      <c r="C16" s="8" t="s">
        <v>883</v>
      </c>
      <c r="D16" s="28">
        <v>46042</v>
      </c>
      <c r="E16" s="8" t="s">
        <v>321</v>
      </c>
      <c r="F16" s="29">
        <v>45992</v>
      </c>
      <c r="G16" s="30">
        <v>86224460000</v>
      </c>
    </row>
    <row r="17" spans="2:7" x14ac:dyDescent="0.25">
      <c r="B17" s="40" t="s">
        <v>214</v>
      </c>
      <c r="C17" s="8" t="s">
        <v>791</v>
      </c>
      <c r="D17" s="28">
        <v>46045</v>
      </c>
      <c r="E17" s="8"/>
      <c r="F17" s="29">
        <v>45992</v>
      </c>
      <c r="G17" s="30">
        <v>73495540000</v>
      </c>
    </row>
    <row r="18" spans="2:7" x14ac:dyDescent="0.25">
      <c r="B18" s="40" t="s">
        <v>215</v>
      </c>
      <c r="C18" s="8" t="s">
        <v>457</v>
      </c>
      <c r="D18" s="28">
        <v>46044</v>
      </c>
      <c r="E18" s="8"/>
      <c r="F18" s="29">
        <v>45992</v>
      </c>
      <c r="G18" s="30">
        <v>68224340000</v>
      </c>
    </row>
    <row r="19" spans="2:7" x14ac:dyDescent="0.25">
      <c r="B19" s="40" t="s">
        <v>216</v>
      </c>
      <c r="C19" s="8" t="s">
        <v>610</v>
      </c>
      <c r="D19" s="28">
        <v>46043</v>
      </c>
      <c r="E19" s="8" t="s">
        <v>363</v>
      </c>
      <c r="F19" s="29">
        <v>45992</v>
      </c>
      <c r="G19" s="30">
        <v>65786160000</v>
      </c>
    </row>
    <row r="20" spans="2:7" x14ac:dyDescent="0.25">
      <c r="B20" s="40" t="s">
        <v>217</v>
      </c>
      <c r="C20" s="8" t="s">
        <v>842</v>
      </c>
      <c r="D20" s="28">
        <v>46043</v>
      </c>
      <c r="E20" s="8" t="s">
        <v>321</v>
      </c>
      <c r="F20" s="29">
        <v>45992</v>
      </c>
      <c r="G20" s="30">
        <v>65682330000</v>
      </c>
    </row>
    <row r="21" spans="2:7" x14ac:dyDescent="0.25">
      <c r="B21" s="40" t="s">
        <v>219</v>
      </c>
      <c r="C21" s="8" t="s">
        <v>847</v>
      </c>
      <c r="D21" s="28">
        <v>46043</v>
      </c>
      <c r="E21" s="8" t="s">
        <v>321</v>
      </c>
      <c r="F21" s="29">
        <v>45992</v>
      </c>
      <c r="G21" s="30">
        <v>62580640000</v>
      </c>
    </row>
    <row r="22" spans="2:7" x14ac:dyDescent="0.25">
      <c r="B22" s="40" t="s">
        <v>220</v>
      </c>
      <c r="C22" s="8" t="s">
        <v>859</v>
      </c>
      <c r="D22" s="28">
        <v>46043</v>
      </c>
      <c r="E22" s="8" t="s">
        <v>321</v>
      </c>
      <c r="F22" s="29">
        <v>45992</v>
      </c>
      <c r="G22" s="30">
        <v>60404100000</v>
      </c>
    </row>
    <row r="23" spans="2:7" x14ac:dyDescent="0.25">
      <c r="B23" s="40" t="s">
        <v>197</v>
      </c>
      <c r="C23" s="8" t="s">
        <v>494</v>
      </c>
      <c r="D23" s="28">
        <v>46042</v>
      </c>
      <c r="E23" s="8" t="s">
        <v>321</v>
      </c>
      <c r="F23" s="29">
        <v>45992</v>
      </c>
      <c r="G23" s="30">
        <v>50388240000</v>
      </c>
    </row>
    <row r="24" spans="2:7" x14ac:dyDescent="0.25">
      <c r="B24" s="40" t="s">
        <v>195</v>
      </c>
      <c r="C24" s="8" t="s">
        <v>485</v>
      </c>
      <c r="D24" s="28">
        <v>46044</v>
      </c>
      <c r="E24" s="8"/>
      <c r="F24" s="29">
        <v>45992</v>
      </c>
      <c r="G24" s="30">
        <v>47934030000</v>
      </c>
    </row>
    <row r="25" spans="2:7" x14ac:dyDescent="0.25">
      <c r="B25" s="40" t="s">
        <v>192</v>
      </c>
      <c r="C25" s="8" t="s">
        <v>770</v>
      </c>
      <c r="D25" s="28">
        <v>46043</v>
      </c>
      <c r="E25" s="8"/>
      <c r="F25" s="29">
        <v>45992</v>
      </c>
      <c r="G25" s="30">
        <v>44480180000</v>
      </c>
    </row>
    <row r="26" spans="2:7" x14ac:dyDescent="0.25">
      <c r="B26" s="40" t="s">
        <v>180</v>
      </c>
      <c r="C26" s="8" t="s">
        <v>477</v>
      </c>
      <c r="D26" s="28">
        <v>46042</v>
      </c>
      <c r="E26" s="8" t="s">
        <v>321</v>
      </c>
      <c r="F26" s="29">
        <v>45992</v>
      </c>
      <c r="G26" s="30">
        <v>43603260000</v>
      </c>
    </row>
    <row r="27" spans="2:7" x14ac:dyDescent="0.25">
      <c r="B27" s="40" t="s">
        <v>820</v>
      </c>
      <c r="C27" s="8" t="s">
        <v>821</v>
      </c>
      <c r="D27" s="28">
        <v>46043</v>
      </c>
      <c r="E27" s="8"/>
      <c r="F27" s="29">
        <v>45992</v>
      </c>
      <c r="G27" s="30">
        <v>42398140000</v>
      </c>
    </row>
    <row r="28" spans="2:7" x14ac:dyDescent="0.25">
      <c r="B28" s="40" t="s">
        <v>879</v>
      </c>
      <c r="C28" s="8" t="s">
        <v>880</v>
      </c>
      <c r="D28" s="28">
        <v>46046</v>
      </c>
      <c r="E28" s="8"/>
      <c r="F28" s="29">
        <v>45992</v>
      </c>
      <c r="G28" s="30">
        <v>40129660000</v>
      </c>
    </row>
    <row r="29" spans="2:7" x14ac:dyDescent="0.25">
      <c r="B29" s="40" t="s">
        <v>169</v>
      </c>
      <c r="C29" s="8" t="s">
        <v>868</v>
      </c>
      <c r="D29" s="28">
        <v>46042</v>
      </c>
      <c r="E29" s="8" t="s">
        <v>363</v>
      </c>
      <c r="F29" s="29">
        <v>45992</v>
      </c>
      <c r="G29" s="30">
        <v>36741020000</v>
      </c>
    </row>
    <row r="30" spans="2:7" x14ac:dyDescent="0.25">
      <c r="B30" s="40" t="s">
        <v>171</v>
      </c>
      <c r="C30" s="8" t="s">
        <v>567</v>
      </c>
      <c r="D30" s="28">
        <v>46042</v>
      </c>
      <c r="E30" s="8" t="s">
        <v>363</v>
      </c>
      <c r="F30" s="29">
        <v>45992</v>
      </c>
      <c r="G30" s="30">
        <v>32671910000</v>
      </c>
    </row>
    <row r="31" spans="2:7" x14ac:dyDescent="0.25">
      <c r="B31" s="40" t="s">
        <v>172</v>
      </c>
      <c r="C31" s="8" t="s">
        <v>506</v>
      </c>
      <c r="D31" s="28">
        <v>46042</v>
      </c>
      <c r="E31" s="8" t="s">
        <v>321</v>
      </c>
      <c r="F31" s="29">
        <v>45992</v>
      </c>
      <c r="G31" s="30">
        <v>32497200000</v>
      </c>
    </row>
    <row r="32" spans="2:7" x14ac:dyDescent="0.25">
      <c r="B32" s="40" t="s">
        <v>486</v>
      </c>
      <c r="C32" s="8" t="s">
        <v>487</v>
      </c>
      <c r="D32" s="28">
        <v>46045</v>
      </c>
      <c r="E32" s="8"/>
      <c r="F32" s="29">
        <v>45992</v>
      </c>
      <c r="G32" s="30">
        <v>31602580000</v>
      </c>
    </row>
    <row r="33" spans="2:7" x14ac:dyDescent="0.25">
      <c r="B33" s="40" t="s">
        <v>491</v>
      </c>
      <c r="C33" s="8" t="s">
        <v>492</v>
      </c>
      <c r="D33" s="28">
        <v>46042</v>
      </c>
      <c r="E33" s="8"/>
      <c r="F33" s="29">
        <v>45992</v>
      </c>
      <c r="G33" s="30">
        <v>28767160000</v>
      </c>
    </row>
    <row r="34" spans="2:7" x14ac:dyDescent="0.25">
      <c r="B34" s="40" t="s">
        <v>173</v>
      </c>
      <c r="C34" s="8" t="s">
        <v>550</v>
      </c>
      <c r="D34" s="28">
        <v>46044</v>
      </c>
      <c r="E34" s="8"/>
      <c r="F34" s="29">
        <v>45992</v>
      </c>
      <c r="G34" s="30">
        <v>28253480000</v>
      </c>
    </row>
    <row r="35" spans="2:7" x14ac:dyDescent="0.25">
      <c r="B35" s="40" t="s">
        <v>175</v>
      </c>
      <c r="C35" s="8" t="s">
        <v>694</v>
      </c>
      <c r="D35" s="28">
        <v>46044</v>
      </c>
      <c r="E35" s="8"/>
      <c r="F35" s="29">
        <v>45992</v>
      </c>
      <c r="G35" s="30">
        <v>27529820000</v>
      </c>
    </row>
    <row r="36" spans="2:7" x14ac:dyDescent="0.25">
      <c r="B36" s="40" t="s">
        <v>177</v>
      </c>
      <c r="C36" s="8" t="s">
        <v>839</v>
      </c>
      <c r="D36" s="28">
        <v>46043</v>
      </c>
      <c r="E36" s="8" t="s">
        <v>321</v>
      </c>
      <c r="F36" s="29">
        <v>45992</v>
      </c>
      <c r="G36" s="30">
        <v>27312330000</v>
      </c>
    </row>
    <row r="37" spans="2:7" x14ac:dyDescent="0.25">
      <c r="B37" s="40" t="s">
        <v>498</v>
      </c>
      <c r="C37" s="8" t="s">
        <v>499</v>
      </c>
      <c r="D37" s="28">
        <v>46045</v>
      </c>
      <c r="E37" s="8"/>
      <c r="F37" s="29">
        <v>45992</v>
      </c>
      <c r="G37" s="30">
        <v>26585810000</v>
      </c>
    </row>
    <row r="38" spans="2:7" x14ac:dyDescent="0.25">
      <c r="B38" s="40" t="s">
        <v>179</v>
      </c>
      <c r="C38" s="8" t="s">
        <v>429</v>
      </c>
      <c r="D38" s="28">
        <v>46043</v>
      </c>
      <c r="E38" s="8" t="s">
        <v>321</v>
      </c>
      <c r="F38" s="29">
        <v>45992</v>
      </c>
      <c r="G38" s="30">
        <v>26121350000</v>
      </c>
    </row>
    <row r="39" spans="2:7" x14ac:dyDescent="0.25">
      <c r="B39" s="40" t="s">
        <v>181</v>
      </c>
      <c r="C39" s="8" t="s">
        <v>884</v>
      </c>
      <c r="D39" s="28">
        <v>46042</v>
      </c>
      <c r="E39" s="8"/>
      <c r="F39" s="29">
        <v>45992</v>
      </c>
      <c r="G39" s="30">
        <v>22204210000</v>
      </c>
    </row>
    <row r="40" spans="2:7" x14ac:dyDescent="0.25">
      <c r="B40" s="40" t="s">
        <v>191</v>
      </c>
      <c r="C40" s="8" t="s">
        <v>549</v>
      </c>
      <c r="D40" s="28">
        <v>46043</v>
      </c>
      <c r="E40" s="8" t="s">
        <v>321</v>
      </c>
      <c r="F40" s="29">
        <v>45992</v>
      </c>
      <c r="G40" s="30">
        <v>20726760000</v>
      </c>
    </row>
    <row r="41" spans="2:7" x14ac:dyDescent="0.25">
      <c r="B41" s="40" t="s">
        <v>182</v>
      </c>
      <c r="C41" s="8" t="s">
        <v>605</v>
      </c>
      <c r="D41" s="28">
        <v>46042</v>
      </c>
      <c r="E41" s="8" t="s">
        <v>321</v>
      </c>
      <c r="F41" s="29">
        <v>45992</v>
      </c>
      <c r="G41" s="30">
        <v>20428090000</v>
      </c>
    </row>
    <row r="42" spans="2:7" x14ac:dyDescent="0.25">
      <c r="B42" s="40" t="s">
        <v>478</v>
      </c>
      <c r="C42" s="8" t="s">
        <v>479</v>
      </c>
      <c r="D42" s="28">
        <v>46044</v>
      </c>
      <c r="E42" s="8"/>
      <c r="F42" s="29">
        <v>45992</v>
      </c>
      <c r="G42" s="30">
        <v>20331290000</v>
      </c>
    </row>
    <row r="43" spans="2:7" x14ac:dyDescent="0.25">
      <c r="B43" s="40" t="s">
        <v>581</v>
      </c>
      <c r="C43" s="8" t="s">
        <v>582</v>
      </c>
      <c r="D43" s="28">
        <v>46044</v>
      </c>
      <c r="E43" s="8"/>
      <c r="F43" s="29">
        <v>45992</v>
      </c>
      <c r="G43" s="30">
        <v>20194910000</v>
      </c>
    </row>
    <row r="44" spans="2:7" x14ac:dyDescent="0.25">
      <c r="B44" s="40" t="s">
        <v>183</v>
      </c>
      <c r="C44" s="8" t="s">
        <v>659</v>
      </c>
      <c r="D44" s="28">
        <v>46044</v>
      </c>
      <c r="E44" s="8"/>
      <c r="F44" s="29">
        <v>45962</v>
      </c>
      <c r="G44" s="30">
        <v>18488860000</v>
      </c>
    </row>
    <row r="45" spans="2:7" x14ac:dyDescent="0.25">
      <c r="B45" s="40" t="s">
        <v>395</v>
      </c>
      <c r="C45" s="8" t="s">
        <v>396</v>
      </c>
      <c r="D45" s="28">
        <v>46045</v>
      </c>
      <c r="E45" s="8"/>
      <c r="F45" s="29">
        <v>45992</v>
      </c>
      <c r="G45" s="30">
        <v>18391510000</v>
      </c>
    </row>
    <row r="46" spans="2:7" x14ac:dyDescent="0.25">
      <c r="B46" s="40" t="s">
        <v>489</v>
      </c>
      <c r="C46" s="8" t="s">
        <v>490</v>
      </c>
      <c r="D46" s="28">
        <v>46044</v>
      </c>
      <c r="E46" s="8"/>
      <c r="F46" s="29">
        <v>45992</v>
      </c>
      <c r="G46" s="30">
        <v>18161660000</v>
      </c>
    </row>
    <row r="47" spans="2:7" x14ac:dyDescent="0.25">
      <c r="B47" s="40" t="s">
        <v>860</v>
      </c>
      <c r="C47" s="8" t="s">
        <v>861</v>
      </c>
      <c r="D47" s="28">
        <v>46044</v>
      </c>
      <c r="E47" s="8"/>
      <c r="F47" s="29">
        <v>45992</v>
      </c>
      <c r="G47" s="30">
        <v>15345200000</v>
      </c>
    </row>
    <row r="48" spans="2:7" x14ac:dyDescent="0.25">
      <c r="B48" s="40" t="s">
        <v>184</v>
      </c>
      <c r="C48" s="8" t="s">
        <v>493</v>
      </c>
      <c r="D48" s="28">
        <v>46044</v>
      </c>
      <c r="E48" s="8"/>
      <c r="F48" s="29">
        <v>45992</v>
      </c>
      <c r="G48" s="30">
        <v>14679400000</v>
      </c>
    </row>
    <row r="49" spans="2:7" x14ac:dyDescent="0.25">
      <c r="B49" s="40" t="s">
        <v>185</v>
      </c>
      <c r="C49" s="8" t="s">
        <v>385</v>
      </c>
      <c r="D49" s="28">
        <v>46044</v>
      </c>
      <c r="E49" s="8"/>
      <c r="F49" s="29">
        <v>45992</v>
      </c>
      <c r="G49" s="30">
        <v>14554030000</v>
      </c>
    </row>
    <row r="50" spans="2:7" x14ac:dyDescent="0.25">
      <c r="B50" s="40" t="s">
        <v>433</v>
      </c>
      <c r="C50" s="8" t="s">
        <v>434</v>
      </c>
      <c r="D50" s="28">
        <v>46045</v>
      </c>
      <c r="E50" s="8"/>
      <c r="F50" s="29">
        <v>45992</v>
      </c>
      <c r="G50" s="30">
        <v>13808920000</v>
      </c>
    </row>
    <row r="51" spans="2:7" x14ac:dyDescent="0.25">
      <c r="B51" s="40" t="s">
        <v>532</v>
      </c>
      <c r="C51" s="8" t="s">
        <v>533</v>
      </c>
      <c r="D51" s="28">
        <v>46045</v>
      </c>
      <c r="E51" s="8"/>
      <c r="F51" s="29">
        <v>45992</v>
      </c>
      <c r="G51" s="30">
        <v>13241200000</v>
      </c>
    </row>
    <row r="52" spans="2:7" x14ac:dyDescent="0.25">
      <c r="B52" s="40" t="s">
        <v>775</v>
      </c>
      <c r="C52" s="8" t="s">
        <v>776</v>
      </c>
      <c r="D52" s="28">
        <v>46042</v>
      </c>
      <c r="E52" s="8"/>
      <c r="F52" s="29">
        <v>45992</v>
      </c>
      <c r="G52" s="30">
        <v>13228850000</v>
      </c>
    </row>
    <row r="53" spans="2:7" x14ac:dyDescent="0.25">
      <c r="B53" s="40" t="s">
        <v>187</v>
      </c>
      <c r="C53" s="8" t="s">
        <v>361</v>
      </c>
      <c r="D53" s="28">
        <v>46045</v>
      </c>
      <c r="E53" s="8"/>
      <c r="F53" s="29">
        <v>45992</v>
      </c>
      <c r="G53" s="30">
        <v>12820330000</v>
      </c>
    </row>
    <row r="54" spans="2:7" x14ac:dyDescent="0.25">
      <c r="B54" s="40" t="s">
        <v>323</v>
      </c>
      <c r="C54" s="8" t="s">
        <v>324</v>
      </c>
      <c r="D54" s="28">
        <v>46044</v>
      </c>
      <c r="E54" s="8"/>
      <c r="F54" s="29">
        <v>45992</v>
      </c>
      <c r="G54" s="30">
        <v>12399230000</v>
      </c>
    </row>
    <row r="55" spans="2:7" x14ac:dyDescent="0.25">
      <c r="B55" s="40" t="s">
        <v>189</v>
      </c>
      <c r="C55" s="8" t="s">
        <v>332</v>
      </c>
      <c r="D55" s="28">
        <v>46043</v>
      </c>
      <c r="E55" s="8" t="s">
        <v>321</v>
      </c>
      <c r="F55" s="29">
        <v>45992</v>
      </c>
      <c r="G55" s="30">
        <v>12198430000</v>
      </c>
    </row>
    <row r="56" spans="2:7" x14ac:dyDescent="0.25">
      <c r="B56" s="40" t="s">
        <v>603</v>
      </c>
      <c r="C56" s="8" t="s">
        <v>604</v>
      </c>
      <c r="D56" s="28">
        <v>46042</v>
      </c>
      <c r="E56" s="8"/>
      <c r="F56" s="29">
        <v>45992</v>
      </c>
      <c r="G56" s="30">
        <v>12130660000</v>
      </c>
    </row>
    <row r="57" spans="2:7" x14ac:dyDescent="0.25">
      <c r="B57" s="40" t="s">
        <v>190</v>
      </c>
      <c r="C57" s="8" t="s">
        <v>401</v>
      </c>
      <c r="D57" s="28">
        <v>46043</v>
      </c>
      <c r="E57" s="8"/>
      <c r="F57" s="29">
        <v>45992</v>
      </c>
      <c r="G57" s="30">
        <v>11661910000</v>
      </c>
    </row>
    <row r="58" spans="2:7" x14ac:dyDescent="0.25">
      <c r="B58" s="40" t="s">
        <v>579</v>
      </c>
      <c r="C58" s="8" t="s">
        <v>580</v>
      </c>
      <c r="D58" s="28">
        <v>46044</v>
      </c>
      <c r="E58" s="8"/>
      <c r="F58" s="29">
        <v>45992</v>
      </c>
      <c r="G58" s="30">
        <v>11621030000</v>
      </c>
    </row>
    <row r="59" spans="2:7" x14ac:dyDescent="0.25">
      <c r="B59" s="40" t="s">
        <v>897</v>
      </c>
      <c r="C59" s="8" t="s">
        <v>898</v>
      </c>
      <c r="D59" s="28">
        <v>46043</v>
      </c>
      <c r="E59" s="8"/>
      <c r="F59" s="29">
        <v>45992</v>
      </c>
      <c r="G59" s="30">
        <v>11141880000</v>
      </c>
    </row>
    <row r="60" spans="2:7" x14ac:dyDescent="0.25">
      <c r="B60" s="40" t="s">
        <v>222</v>
      </c>
      <c r="C60" s="8" t="s">
        <v>622</v>
      </c>
      <c r="D60" s="28">
        <v>46043</v>
      </c>
      <c r="E60" s="8"/>
      <c r="F60" s="29">
        <v>45992</v>
      </c>
      <c r="G60" s="30">
        <v>10809020000</v>
      </c>
    </row>
    <row r="61" spans="2:7" x14ac:dyDescent="0.25">
      <c r="B61" s="40" t="s">
        <v>555</v>
      </c>
      <c r="C61" s="8" t="s">
        <v>556</v>
      </c>
      <c r="D61" s="28">
        <v>46042</v>
      </c>
      <c r="E61" s="8"/>
      <c r="F61" s="29">
        <v>45992</v>
      </c>
      <c r="G61" s="30">
        <v>10696720000</v>
      </c>
    </row>
    <row r="62" spans="2:7" x14ac:dyDescent="0.25">
      <c r="B62" s="40" t="s">
        <v>224</v>
      </c>
      <c r="C62" s="8" t="s">
        <v>710</v>
      </c>
      <c r="D62" s="28">
        <v>46044</v>
      </c>
      <c r="E62" s="8"/>
      <c r="F62" s="29">
        <v>45992</v>
      </c>
      <c r="G62" s="30">
        <v>10551790000</v>
      </c>
    </row>
    <row r="63" spans="2:7" x14ac:dyDescent="0.25">
      <c r="B63" s="40" t="s">
        <v>226</v>
      </c>
      <c r="C63" s="8" t="s">
        <v>643</v>
      </c>
      <c r="D63" s="28">
        <v>46044</v>
      </c>
      <c r="E63" s="8"/>
      <c r="F63" s="29">
        <v>45992</v>
      </c>
      <c r="G63" s="30">
        <v>10164040000</v>
      </c>
    </row>
    <row r="64" spans="2:7" x14ac:dyDescent="0.25">
      <c r="B64" s="40" t="s">
        <v>228</v>
      </c>
      <c r="C64" s="8" t="s">
        <v>899</v>
      </c>
      <c r="D64" s="28">
        <v>46045</v>
      </c>
      <c r="E64" s="8"/>
      <c r="F64" s="29">
        <v>45992</v>
      </c>
      <c r="G64" s="30">
        <v>9906510000</v>
      </c>
    </row>
    <row r="65" spans="2:7" x14ac:dyDescent="0.25">
      <c r="B65" s="40" t="s">
        <v>260</v>
      </c>
      <c r="C65" s="8" t="s">
        <v>437</v>
      </c>
      <c r="D65" s="28">
        <v>46042</v>
      </c>
      <c r="E65" s="8"/>
      <c r="F65" s="29">
        <v>45992</v>
      </c>
      <c r="G65" s="30">
        <v>9067470000</v>
      </c>
    </row>
    <row r="66" spans="2:7" x14ac:dyDescent="0.25">
      <c r="B66" s="40" t="s">
        <v>262</v>
      </c>
      <c r="C66" s="8" t="s">
        <v>808</v>
      </c>
      <c r="D66" s="28">
        <v>46044</v>
      </c>
      <c r="E66" s="8"/>
      <c r="F66" s="29">
        <v>45992</v>
      </c>
      <c r="G66" s="30">
        <v>9011200000</v>
      </c>
    </row>
    <row r="67" spans="2:7" x14ac:dyDescent="0.25">
      <c r="B67" s="40" t="s">
        <v>263</v>
      </c>
      <c r="C67" s="8" t="s">
        <v>661</v>
      </c>
      <c r="D67" s="28">
        <v>46043</v>
      </c>
      <c r="E67" s="8" t="s">
        <v>321</v>
      </c>
      <c r="F67" s="29">
        <v>45992</v>
      </c>
      <c r="G67" s="30">
        <v>8986670000</v>
      </c>
    </row>
    <row r="68" spans="2:7" x14ac:dyDescent="0.25">
      <c r="B68" s="40" t="s">
        <v>265</v>
      </c>
      <c r="C68" s="8" t="s">
        <v>312</v>
      </c>
      <c r="D68" s="28">
        <v>46044</v>
      </c>
      <c r="E68" s="8"/>
      <c r="F68" s="29">
        <v>45992</v>
      </c>
      <c r="G68" s="30">
        <v>8932690000</v>
      </c>
    </row>
    <row r="69" spans="2:7" x14ac:dyDescent="0.25">
      <c r="B69" s="40" t="s">
        <v>372</v>
      </c>
      <c r="C69" s="8" t="s">
        <v>373</v>
      </c>
      <c r="D69" s="28">
        <v>46042</v>
      </c>
      <c r="E69" s="8"/>
      <c r="F69" s="29">
        <v>45992</v>
      </c>
      <c r="G69" s="30">
        <v>8769160000</v>
      </c>
    </row>
    <row r="70" spans="2:7" x14ac:dyDescent="0.25">
      <c r="B70" s="40" t="s">
        <v>267</v>
      </c>
      <c r="C70" s="8" t="s">
        <v>904</v>
      </c>
      <c r="D70" s="28">
        <v>46042</v>
      </c>
      <c r="E70" s="8" t="s">
        <v>363</v>
      </c>
      <c r="F70" s="29">
        <v>45992</v>
      </c>
      <c r="G70" s="30">
        <v>8730580000</v>
      </c>
    </row>
    <row r="71" spans="2:7" x14ac:dyDescent="0.25">
      <c r="B71" s="40" t="s">
        <v>269</v>
      </c>
      <c r="C71" s="8" t="s">
        <v>704</v>
      </c>
      <c r="D71" s="28">
        <v>46043</v>
      </c>
      <c r="E71" s="8" t="s">
        <v>321</v>
      </c>
      <c r="F71" s="29">
        <v>45992</v>
      </c>
      <c r="G71" s="30">
        <v>8691340000</v>
      </c>
    </row>
    <row r="72" spans="2:7" x14ac:dyDescent="0.25">
      <c r="B72" s="40" t="s">
        <v>730</v>
      </c>
      <c r="C72" s="8" t="s">
        <v>731</v>
      </c>
      <c r="D72" s="28">
        <v>46042</v>
      </c>
      <c r="E72" s="8"/>
      <c r="F72" s="29">
        <v>45992</v>
      </c>
      <c r="G72" s="30">
        <v>8521340000</v>
      </c>
    </row>
    <row r="73" spans="2:7" x14ac:dyDescent="0.25">
      <c r="B73" s="40" t="s">
        <v>663</v>
      </c>
      <c r="C73" s="8" t="s">
        <v>664</v>
      </c>
      <c r="D73" s="28">
        <v>46045</v>
      </c>
      <c r="E73" s="8"/>
      <c r="F73" s="29">
        <v>45992</v>
      </c>
      <c r="G73" s="30">
        <v>8468980000</v>
      </c>
    </row>
    <row r="74" spans="2:7" x14ac:dyDescent="0.25">
      <c r="B74" s="40" t="s">
        <v>353</v>
      </c>
      <c r="C74" s="8" t="s">
        <v>354</v>
      </c>
      <c r="D74" s="28">
        <v>46042</v>
      </c>
      <c r="E74" s="8"/>
      <c r="F74" s="29">
        <v>45992</v>
      </c>
      <c r="G74" s="30">
        <v>8424870000</v>
      </c>
    </row>
    <row r="75" spans="2:7" x14ac:dyDescent="0.25">
      <c r="B75" s="40" t="s">
        <v>271</v>
      </c>
      <c r="C75" s="8" t="s">
        <v>909</v>
      </c>
      <c r="D75" s="28">
        <v>46042</v>
      </c>
      <c r="E75" s="8"/>
      <c r="F75" s="29">
        <v>45992</v>
      </c>
      <c r="G75" s="30">
        <v>8404219999.9999905</v>
      </c>
    </row>
    <row r="76" spans="2:7" x14ac:dyDescent="0.25">
      <c r="B76" s="40" t="s">
        <v>598</v>
      </c>
      <c r="C76" s="8" t="s">
        <v>599</v>
      </c>
      <c r="D76" s="28">
        <v>46043</v>
      </c>
      <c r="E76" s="8"/>
      <c r="F76" s="29">
        <v>45992</v>
      </c>
      <c r="G76" s="30">
        <v>7929860000</v>
      </c>
    </row>
    <row r="77" spans="2:7" x14ac:dyDescent="0.25">
      <c r="B77" s="40" t="s">
        <v>349</v>
      </c>
      <c r="C77" s="8" t="s">
        <v>350</v>
      </c>
      <c r="D77" s="28">
        <v>46044</v>
      </c>
      <c r="E77" s="8"/>
      <c r="F77" s="29">
        <v>45992</v>
      </c>
      <c r="G77" s="30">
        <v>7894340000</v>
      </c>
    </row>
    <row r="78" spans="2:7" x14ac:dyDescent="0.25">
      <c r="B78" s="40" t="s">
        <v>272</v>
      </c>
      <c r="C78" s="8" t="s">
        <v>416</v>
      </c>
      <c r="D78" s="28">
        <v>46044</v>
      </c>
      <c r="E78" s="8"/>
      <c r="F78" s="29">
        <v>45992</v>
      </c>
      <c r="G78" s="30">
        <v>7884260000</v>
      </c>
    </row>
    <row r="79" spans="2:7" x14ac:dyDescent="0.25">
      <c r="B79" s="40" t="s">
        <v>583</v>
      </c>
      <c r="C79" s="8" t="s">
        <v>584</v>
      </c>
      <c r="D79" s="28">
        <v>46045</v>
      </c>
      <c r="E79" s="8"/>
      <c r="F79" s="29">
        <v>45992</v>
      </c>
      <c r="G79" s="30">
        <v>7791760000</v>
      </c>
    </row>
    <row r="80" spans="2:7" x14ac:dyDescent="0.25">
      <c r="B80" s="40" t="s">
        <v>367</v>
      </c>
      <c r="C80" s="8" t="s">
        <v>368</v>
      </c>
      <c r="D80" s="28">
        <v>46043</v>
      </c>
      <c r="E80" s="8"/>
      <c r="F80" s="29">
        <v>45992</v>
      </c>
      <c r="G80" s="30">
        <v>7585570000</v>
      </c>
    </row>
    <row r="81" spans="2:7" x14ac:dyDescent="0.25">
      <c r="B81" s="40" t="s">
        <v>273</v>
      </c>
      <c r="C81" s="8" t="s">
        <v>746</v>
      </c>
      <c r="D81" s="28">
        <v>46043</v>
      </c>
      <c r="E81" s="8" t="s">
        <v>363</v>
      </c>
      <c r="F81" s="29">
        <v>45992</v>
      </c>
      <c r="G81" s="30">
        <v>7457280000</v>
      </c>
    </row>
    <row r="82" spans="2:7" x14ac:dyDescent="0.25">
      <c r="B82" s="40" t="s">
        <v>275</v>
      </c>
      <c r="C82" s="8" t="s">
        <v>612</v>
      </c>
      <c r="D82" s="28">
        <v>46043</v>
      </c>
      <c r="E82" s="8"/>
      <c r="F82" s="29">
        <v>45992</v>
      </c>
      <c r="G82" s="30">
        <v>7274410000</v>
      </c>
    </row>
    <row r="83" spans="2:7" x14ac:dyDescent="0.25">
      <c r="B83" s="40" t="s">
        <v>249</v>
      </c>
      <c r="C83" s="8" t="s">
        <v>402</v>
      </c>
      <c r="D83" s="28">
        <v>46044</v>
      </c>
      <c r="E83" s="8"/>
      <c r="F83" s="29">
        <v>45992</v>
      </c>
      <c r="G83" s="30">
        <v>7239890000</v>
      </c>
    </row>
    <row r="84" spans="2:7" x14ac:dyDescent="0.25">
      <c r="B84" s="40" t="s">
        <v>754</v>
      </c>
      <c r="C84" s="8" t="s">
        <v>755</v>
      </c>
      <c r="D84" s="28">
        <v>46042</v>
      </c>
      <c r="E84" s="8"/>
      <c r="F84" s="29">
        <v>45992</v>
      </c>
      <c r="G84" s="30">
        <v>7110040000</v>
      </c>
    </row>
    <row r="85" spans="2:7" x14ac:dyDescent="0.25">
      <c r="B85" s="40" t="s">
        <v>442</v>
      </c>
      <c r="C85" s="8" t="s">
        <v>443</v>
      </c>
      <c r="D85" s="28">
        <v>46043</v>
      </c>
      <c r="E85" s="8"/>
      <c r="F85" s="29">
        <v>45992</v>
      </c>
      <c r="G85" s="30">
        <v>6908890000</v>
      </c>
    </row>
    <row r="86" spans="2:7" x14ac:dyDescent="0.25">
      <c r="B86" s="40" t="s">
        <v>623</v>
      </c>
      <c r="C86" s="8" t="s">
        <v>624</v>
      </c>
      <c r="D86" s="28">
        <v>46045</v>
      </c>
      <c r="E86" s="8"/>
      <c r="F86" s="29">
        <v>45992</v>
      </c>
      <c r="G86" s="30">
        <v>6618660000</v>
      </c>
    </row>
    <row r="87" spans="2:7" x14ac:dyDescent="0.25">
      <c r="B87" s="40" t="s">
        <v>673</v>
      </c>
      <c r="C87" s="8" t="s">
        <v>674</v>
      </c>
      <c r="D87" s="28">
        <v>46043</v>
      </c>
      <c r="E87" s="8"/>
      <c r="F87" s="29">
        <v>45992</v>
      </c>
      <c r="G87" s="30">
        <v>6369610000</v>
      </c>
    </row>
    <row r="88" spans="2:7" x14ac:dyDescent="0.25">
      <c r="B88" s="40" t="s">
        <v>606</v>
      </c>
      <c r="C88" s="8" t="s">
        <v>607</v>
      </c>
      <c r="D88" s="28">
        <v>46044</v>
      </c>
      <c r="E88" s="8"/>
      <c r="F88" s="29">
        <v>45992</v>
      </c>
      <c r="G88" s="30">
        <v>6303270000</v>
      </c>
    </row>
    <row r="89" spans="2:7" x14ac:dyDescent="0.25">
      <c r="B89" s="40" t="s">
        <v>277</v>
      </c>
      <c r="C89" s="8" t="s">
        <v>513</v>
      </c>
      <c r="D89" s="28">
        <v>46042</v>
      </c>
      <c r="E89" s="8" t="s">
        <v>363</v>
      </c>
      <c r="F89" s="29">
        <v>45992</v>
      </c>
      <c r="G89" s="30">
        <v>6228000000</v>
      </c>
    </row>
    <row r="90" spans="2:7" x14ac:dyDescent="0.25">
      <c r="B90" s="40" t="s">
        <v>370</v>
      </c>
      <c r="C90" s="8" t="s">
        <v>371</v>
      </c>
      <c r="D90" s="28">
        <v>46042</v>
      </c>
      <c r="E90" s="8"/>
      <c r="F90" s="29">
        <v>45992</v>
      </c>
      <c r="G90" s="30">
        <v>6142280000</v>
      </c>
    </row>
    <row r="91" spans="2:7" x14ac:dyDescent="0.25">
      <c r="B91" s="40" t="s">
        <v>327</v>
      </c>
      <c r="C91" s="8" t="s">
        <v>328</v>
      </c>
      <c r="D91" s="28">
        <v>46042</v>
      </c>
      <c r="E91" s="8"/>
      <c r="F91" s="29">
        <v>45992</v>
      </c>
      <c r="G91" s="30">
        <v>5987090000</v>
      </c>
    </row>
    <row r="92" spans="2:7" x14ac:dyDescent="0.25">
      <c r="B92" s="40" t="s">
        <v>278</v>
      </c>
      <c r="C92" s="8" t="s">
        <v>525</v>
      </c>
      <c r="D92" s="28">
        <v>46044</v>
      </c>
      <c r="E92" s="8"/>
      <c r="F92" s="29">
        <v>45992</v>
      </c>
      <c r="G92" s="30">
        <v>5973400000</v>
      </c>
    </row>
    <row r="93" spans="2:7" x14ac:dyDescent="0.25">
      <c r="B93" s="40" t="s">
        <v>359</v>
      </c>
      <c r="C93" s="8" t="s">
        <v>360</v>
      </c>
      <c r="D93" s="28">
        <v>46043</v>
      </c>
      <c r="E93" s="8"/>
      <c r="F93" s="29">
        <v>45992</v>
      </c>
      <c r="G93" s="30">
        <v>5871150000</v>
      </c>
    </row>
    <row r="94" spans="2:7" x14ac:dyDescent="0.25">
      <c r="B94" s="40" t="s">
        <v>280</v>
      </c>
      <c r="C94" s="8" t="s">
        <v>764</v>
      </c>
      <c r="D94" s="28">
        <v>46043</v>
      </c>
      <c r="E94" s="8" t="s">
        <v>363</v>
      </c>
      <c r="F94" s="29">
        <v>45992</v>
      </c>
      <c r="G94" s="30">
        <v>5732520000</v>
      </c>
    </row>
    <row r="95" spans="2:7" x14ac:dyDescent="0.25">
      <c r="B95" s="40" t="s">
        <v>638</v>
      </c>
      <c r="C95" s="8" t="s">
        <v>639</v>
      </c>
      <c r="D95" s="28">
        <v>46043</v>
      </c>
      <c r="E95" s="8"/>
      <c r="F95" s="29">
        <v>45992</v>
      </c>
      <c r="G95" s="30">
        <v>5722290000</v>
      </c>
    </row>
    <row r="96" spans="2:7" x14ac:dyDescent="0.25">
      <c r="B96" s="40" t="s">
        <v>830</v>
      </c>
      <c r="C96" s="8" t="s">
        <v>831</v>
      </c>
      <c r="D96" s="28">
        <v>46042</v>
      </c>
      <c r="E96" s="8"/>
      <c r="F96" s="29">
        <v>45992</v>
      </c>
      <c r="G96" s="30">
        <v>5710550000</v>
      </c>
    </row>
    <row r="97" spans="2:7" x14ac:dyDescent="0.25">
      <c r="B97" s="40" t="s">
        <v>282</v>
      </c>
      <c r="C97" s="8" t="s">
        <v>792</v>
      </c>
      <c r="D97" s="28">
        <v>46044</v>
      </c>
      <c r="E97" s="8"/>
      <c r="F97" s="29">
        <v>45992</v>
      </c>
      <c r="G97" s="30">
        <v>5632290000</v>
      </c>
    </row>
    <row r="98" spans="2:7" x14ac:dyDescent="0.25">
      <c r="B98" s="40" t="s">
        <v>284</v>
      </c>
      <c r="C98" s="8" t="s">
        <v>565</v>
      </c>
      <c r="D98" s="28">
        <v>46042</v>
      </c>
      <c r="E98" s="8" t="s">
        <v>363</v>
      </c>
      <c r="F98" s="29">
        <v>45992</v>
      </c>
      <c r="G98" s="30">
        <v>5549400000</v>
      </c>
    </row>
    <row r="99" spans="2:7" x14ac:dyDescent="0.25">
      <c r="B99" s="40" t="s">
        <v>748</v>
      </c>
      <c r="C99" s="8" t="s">
        <v>749</v>
      </c>
      <c r="D99" s="28">
        <v>46044</v>
      </c>
      <c r="E99" s="8"/>
      <c r="F99" s="29">
        <v>45992</v>
      </c>
      <c r="G99" s="30">
        <v>5439970000</v>
      </c>
    </row>
    <row r="100" spans="2:7" x14ac:dyDescent="0.25">
      <c r="B100" s="40" t="s">
        <v>866</v>
      </c>
      <c r="C100" s="8" t="s">
        <v>867</v>
      </c>
      <c r="D100" s="28">
        <v>46042</v>
      </c>
      <c r="E100" s="8"/>
      <c r="F100" s="29">
        <v>45992</v>
      </c>
      <c r="G100" s="30">
        <v>5369580000</v>
      </c>
    </row>
    <row r="101" spans="2:7" x14ac:dyDescent="0.25">
      <c r="B101" s="40" t="s">
        <v>669</v>
      </c>
      <c r="C101" s="8" t="s">
        <v>670</v>
      </c>
      <c r="D101" s="28">
        <v>46044</v>
      </c>
      <c r="E101" s="8"/>
      <c r="F101" s="29">
        <v>45992</v>
      </c>
      <c r="G101" s="30">
        <v>5277250000</v>
      </c>
    </row>
    <row r="102" spans="2:7" x14ac:dyDescent="0.25">
      <c r="B102" s="40" t="s">
        <v>563</v>
      </c>
      <c r="C102" s="8" t="s">
        <v>564</v>
      </c>
      <c r="D102" s="28">
        <v>46042</v>
      </c>
      <c r="E102" s="8"/>
      <c r="F102" s="29">
        <v>45992</v>
      </c>
      <c r="G102" s="30">
        <v>5134740000</v>
      </c>
    </row>
    <row r="103" spans="2:7" x14ac:dyDescent="0.25">
      <c r="B103" s="40" t="s">
        <v>285</v>
      </c>
      <c r="C103" s="8" t="s">
        <v>874</v>
      </c>
      <c r="D103" s="28">
        <v>46044</v>
      </c>
      <c r="E103" s="8"/>
      <c r="F103" s="29">
        <v>45992</v>
      </c>
      <c r="G103" s="30">
        <v>5131420000</v>
      </c>
    </row>
    <row r="104" spans="2:7" x14ac:dyDescent="0.25">
      <c r="B104" s="40" t="s">
        <v>812</v>
      </c>
      <c r="C104" s="8" t="s">
        <v>813</v>
      </c>
      <c r="D104" s="28">
        <v>46043</v>
      </c>
      <c r="E104" s="8"/>
      <c r="F104" s="29">
        <v>45992</v>
      </c>
      <c r="G104" s="30">
        <v>5074110000</v>
      </c>
    </row>
    <row r="105" spans="2:7" x14ac:dyDescent="0.25">
      <c r="B105" s="40" t="s">
        <v>259</v>
      </c>
      <c r="C105" s="8" t="s">
        <v>718</v>
      </c>
      <c r="D105" s="28">
        <v>46042</v>
      </c>
      <c r="E105" s="8" t="s">
        <v>363</v>
      </c>
      <c r="F105" s="29">
        <v>45992</v>
      </c>
      <c r="G105" s="30">
        <v>5066020000</v>
      </c>
    </row>
    <row r="106" spans="2:7" x14ac:dyDescent="0.25">
      <c r="B106" s="40" t="s">
        <v>286</v>
      </c>
      <c r="C106" s="8" t="s">
        <v>329</v>
      </c>
      <c r="D106" s="28">
        <v>46044</v>
      </c>
      <c r="E106" s="8"/>
      <c r="F106" s="29">
        <v>45992</v>
      </c>
      <c r="G106" s="30">
        <v>5036230000</v>
      </c>
    </row>
    <row r="107" spans="2:7" x14ac:dyDescent="0.25">
      <c r="B107" s="40" t="s">
        <v>590</v>
      </c>
      <c r="C107" s="8" t="s">
        <v>591</v>
      </c>
      <c r="D107" s="28">
        <v>46042</v>
      </c>
      <c r="E107" s="8"/>
      <c r="F107" s="29">
        <v>45992</v>
      </c>
      <c r="G107" s="30">
        <v>4891260000</v>
      </c>
    </row>
    <row r="108" spans="2:7" x14ac:dyDescent="0.25">
      <c r="B108" s="40" t="s">
        <v>258</v>
      </c>
      <c r="C108" s="8" t="s">
        <v>503</v>
      </c>
      <c r="D108" s="28">
        <v>46044</v>
      </c>
      <c r="E108" s="8"/>
      <c r="F108" s="29">
        <v>45992</v>
      </c>
      <c r="G108" s="30">
        <v>4762830000</v>
      </c>
    </row>
    <row r="109" spans="2:7" x14ac:dyDescent="0.25">
      <c r="B109" s="40" t="s">
        <v>253</v>
      </c>
      <c r="C109" s="8" t="s">
        <v>482</v>
      </c>
      <c r="D109" s="28">
        <v>46044</v>
      </c>
      <c r="E109" s="8"/>
      <c r="F109" s="29">
        <v>45992</v>
      </c>
      <c r="G109" s="30">
        <v>4735630000</v>
      </c>
    </row>
    <row r="110" spans="2:7" x14ac:dyDescent="0.25">
      <c r="B110" s="40" t="s">
        <v>649</v>
      </c>
      <c r="C110" s="8" t="s">
        <v>650</v>
      </c>
      <c r="D110" s="28">
        <v>46045</v>
      </c>
      <c r="E110" s="8"/>
      <c r="F110" s="29">
        <v>45992</v>
      </c>
      <c r="G110" s="30">
        <v>4678810000</v>
      </c>
    </row>
    <row r="111" spans="2:7" x14ac:dyDescent="0.25">
      <c r="B111" s="40" t="s">
        <v>229</v>
      </c>
      <c r="C111" s="8" t="s">
        <v>352</v>
      </c>
      <c r="D111" s="28">
        <v>46044</v>
      </c>
      <c r="E111" s="8"/>
      <c r="F111" s="29">
        <v>45992</v>
      </c>
      <c r="G111" s="30">
        <v>4661770000</v>
      </c>
    </row>
    <row r="112" spans="2:7" x14ac:dyDescent="0.25">
      <c r="B112" s="40" t="s">
        <v>900</v>
      </c>
      <c r="C112" s="8" t="s">
        <v>901</v>
      </c>
      <c r="D112" s="28">
        <v>46043</v>
      </c>
      <c r="E112" s="8"/>
      <c r="F112" s="29">
        <v>45992</v>
      </c>
      <c r="G112" s="30">
        <v>4525940000</v>
      </c>
    </row>
    <row r="113" spans="2:7" x14ac:dyDescent="0.25">
      <c r="B113" s="40" t="s">
        <v>756</v>
      </c>
      <c r="C113" s="8" t="s">
        <v>757</v>
      </c>
      <c r="D113" s="28">
        <v>46044</v>
      </c>
      <c r="E113" s="8"/>
      <c r="F113" s="29">
        <v>45992</v>
      </c>
      <c r="G113" s="30">
        <v>4460010000</v>
      </c>
    </row>
    <row r="114" spans="2:7" x14ac:dyDescent="0.25">
      <c r="B114" s="40" t="s">
        <v>231</v>
      </c>
      <c r="C114" s="8" t="s">
        <v>778</v>
      </c>
      <c r="D114" s="28">
        <v>46042</v>
      </c>
      <c r="E114" s="8" t="s">
        <v>363</v>
      </c>
      <c r="F114" s="29">
        <v>45992</v>
      </c>
      <c r="G114" s="30">
        <v>4430250000</v>
      </c>
    </row>
    <row r="115" spans="2:7" x14ac:dyDescent="0.25">
      <c r="B115" s="40" t="s">
        <v>232</v>
      </c>
      <c r="C115" s="8" t="s">
        <v>347</v>
      </c>
      <c r="D115" s="28">
        <v>46044</v>
      </c>
      <c r="E115" s="8"/>
      <c r="F115" s="29">
        <v>45992</v>
      </c>
      <c r="G115" s="30">
        <v>4425770000</v>
      </c>
    </row>
    <row r="116" spans="2:7" x14ac:dyDescent="0.25">
      <c r="B116" s="40" t="s">
        <v>233</v>
      </c>
      <c r="C116" s="8" t="s">
        <v>834</v>
      </c>
      <c r="D116" s="28">
        <v>46044</v>
      </c>
      <c r="E116" s="8"/>
      <c r="F116" s="29">
        <v>45992</v>
      </c>
      <c r="G116" s="30">
        <v>4415560000</v>
      </c>
    </row>
    <row r="117" spans="2:7" x14ac:dyDescent="0.25">
      <c r="B117" s="40" t="s">
        <v>752</v>
      </c>
      <c r="C117" s="8" t="s">
        <v>753</v>
      </c>
      <c r="D117" s="28">
        <v>46043</v>
      </c>
      <c r="E117" s="8"/>
      <c r="F117" s="29">
        <v>45992</v>
      </c>
      <c r="G117" s="30">
        <v>4059300000</v>
      </c>
    </row>
    <row r="118" spans="2:7" x14ac:dyDescent="0.25">
      <c r="B118" s="40" t="s">
        <v>235</v>
      </c>
      <c r="C118" s="8" t="s">
        <v>684</v>
      </c>
      <c r="D118" s="28">
        <v>46044</v>
      </c>
      <c r="E118" s="8"/>
      <c r="F118" s="29">
        <v>45962</v>
      </c>
      <c r="G118" s="30">
        <v>3868530000</v>
      </c>
    </row>
    <row r="119" spans="2:7" x14ac:dyDescent="0.25">
      <c r="B119" s="40" t="s">
        <v>237</v>
      </c>
      <c r="C119" s="8" t="s">
        <v>574</v>
      </c>
      <c r="D119" s="28">
        <v>46044</v>
      </c>
      <c r="E119" s="8"/>
      <c r="F119" s="29">
        <v>45992</v>
      </c>
      <c r="G119" s="30">
        <v>3792660000</v>
      </c>
    </row>
    <row r="120" spans="2:7" x14ac:dyDescent="0.25">
      <c r="B120" s="40" t="s">
        <v>238</v>
      </c>
      <c r="C120" s="8" t="s">
        <v>366</v>
      </c>
      <c r="D120" s="28">
        <v>46044</v>
      </c>
      <c r="E120" s="8"/>
      <c r="F120" s="29">
        <v>45992</v>
      </c>
      <c r="G120" s="30">
        <v>3727090000</v>
      </c>
    </row>
    <row r="121" spans="2:7" x14ac:dyDescent="0.25">
      <c r="B121" s="40" t="s">
        <v>239</v>
      </c>
      <c r="C121" s="8" t="s">
        <v>520</v>
      </c>
      <c r="D121" s="28">
        <v>46043</v>
      </c>
      <c r="E121" s="8" t="s">
        <v>363</v>
      </c>
      <c r="F121" s="29">
        <v>45992</v>
      </c>
      <c r="G121" s="30">
        <v>3584790000</v>
      </c>
    </row>
    <row r="122" spans="2:7" x14ac:dyDescent="0.25">
      <c r="B122" s="40" t="s">
        <v>530</v>
      </c>
      <c r="C122" s="8" t="s">
        <v>531</v>
      </c>
      <c r="D122" s="28">
        <v>46044</v>
      </c>
      <c r="E122" s="8"/>
      <c r="F122" s="29">
        <v>45992</v>
      </c>
      <c r="G122" s="30">
        <v>3537830000</v>
      </c>
    </row>
    <row r="123" spans="2:7" x14ac:dyDescent="0.25">
      <c r="B123" s="40" t="s">
        <v>240</v>
      </c>
      <c r="C123" s="8" t="s">
        <v>413</v>
      </c>
      <c r="D123" s="28">
        <v>46044</v>
      </c>
      <c r="E123" s="8"/>
      <c r="F123" s="29">
        <v>45992</v>
      </c>
      <c r="G123" s="30">
        <v>3466470000</v>
      </c>
    </row>
    <row r="124" spans="2:7" x14ac:dyDescent="0.25">
      <c r="B124" s="40" t="s">
        <v>423</v>
      </c>
      <c r="C124" s="8" t="s">
        <v>424</v>
      </c>
      <c r="D124" s="28">
        <v>46045</v>
      </c>
      <c r="E124" s="8"/>
      <c r="F124" s="29">
        <v>45992</v>
      </c>
      <c r="G124" s="30">
        <v>3439120000</v>
      </c>
    </row>
    <row r="125" spans="2:7" x14ac:dyDescent="0.25">
      <c r="B125" s="40" t="s">
        <v>241</v>
      </c>
      <c r="C125" s="8" t="s">
        <v>386</v>
      </c>
      <c r="D125" s="28">
        <v>46043</v>
      </c>
      <c r="E125" s="8" t="s">
        <v>321</v>
      </c>
      <c r="F125" s="29">
        <v>45992</v>
      </c>
      <c r="G125" s="30">
        <v>3437020000</v>
      </c>
    </row>
    <row r="126" spans="2:7" x14ac:dyDescent="0.25">
      <c r="B126" s="40" t="s">
        <v>655</v>
      </c>
      <c r="C126" s="8" t="s">
        <v>656</v>
      </c>
      <c r="D126" s="28">
        <v>46044</v>
      </c>
      <c r="E126" s="8"/>
      <c r="F126" s="29">
        <v>45992</v>
      </c>
      <c r="G126" s="30">
        <v>3298900000</v>
      </c>
    </row>
    <row r="127" spans="2:7" x14ac:dyDescent="0.25">
      <c r="B127" s="40" t="s">
        <v>242</v>
      </c>
      <c r="C127" s="8" t="s">
        <v>320</v>
      </c>
      <c r="D127" s="28">
        <v>46044</v>
      </c>
      <c r="E127" s="8" t="s">
        <v>321</v>
      </c>
      <c r="F127" s="29">
        <v>45992</v>
      </c>
      <c r="G127" s="30">
        <v>3234090000</v>
      </c>
    </row>
    <row r="128" spans="2:7" x14ac:dyDescent="0.25">
      <c r="B128" s="40" t="s">
        <v>244</v>
      </c>
      <c r="C128" s="8" t="s">
        <v>440</v>
      </c>
      <c r="D128" s="28">
        <v>46044</v>
      </c>
      <c r="E128" s="8"/>
      <c r="F128" s="29">
        <v>45992</v>
      </c>
      <c r="G128" s="30">
        <v>3155330000</v>
      </c>
    </row>
    <row r="129" spans="2:7" x14ac:dyDescent="0.25">
      <c r="B129" s="40" t="s">
        <v>824</v>
      </c>
      <c r="C129" s="8" t="s">
        <v>825</v>
      </c>
      <c r="D129" s="28">
        <v>46044</v>
      </c>
      <c r="E129" s="8"/>
      <c r="F129" s="29">
        <v>45992</v>
      </c>
      <c r="G129" s="30">
        <v>3090500000</v>
      </c>
    </row>
    <row r="130" spans="2:7" x14ac:dyDescent="0.25">
      <c r="B130" s="40" t="s">
        <v>470</v>
      </c>
      <c r="C130" s="8" t="s">
        <v>471</v>
      </c>
      <c r="D130" s="28">
        <v>46043</v>
      </c>
      <c r="E130" s="8"/>
      <c r="F130" s="29">
        <v>45992</v>
      </c>
      <c r="G130" s="30">
        <v>3090380000</v>
      </c>
    </row>
    <row r="131" spans="2:7" x14ac:dyDescent="0.25">
      <c r="B131" s="40" t="s">
        <v>695</v>
      </c>
      <c r="C131" s="8" t="s">
        <v>696</v>
      </c>
      <c r="D131" s="28">
        <v>46045</v>
      </c>
      <c r="E131" s="8"/>
      <c r="F131" s="29">
        <v>45992</v>
      </c>
      <c r="G131" s="30">
        <v>2969760000</v>
      </c>
    </row>
    <row r="132" spans="2:7" x14ac:dyDescent="0.25">
      <c r="B132" s="40" t="s">
        <v>799</v>
      </c>
      <c r="C132" s="8" t="s">
        <v>800</v>
      </c>
      <c r="D132" s="28">
        <v>46045</v>
      </c>
      <c r="E132" s="8"/>
      <c r="F132" s="29">
        <v>45992</v>
      </c>
      <c r="G132" s="30">
        <v>2939160000</v>
      </c>
    </row>
    <row r="133" spans="2:7" x14ac:dyDescent="0.25">
      <c r="B133" s="40" t="s">
        <v>245</v>
      </c>
      <c r="C133" s="8" t="s">
        <v>495</v>
      </c>
      <c r="D133" s="28">
        <v>46043</v>
      </c>
      <c r="E133" s="8" t="s">
        <v>363</v>
      </c>
      <c r="F133" s="29">
        <v>45992</v>
      </c>
      <c r="G133" s="30">
        <v>2873290000</v>
      </c>
    </row>
    <row r="134" spans="2:7" x14ac:dyDescent="0.25">
      <c r="B134" s="40" t="s">
        <v>247</v>
      </c>
      <c r="C134" s="8" t="s">
        <v>779</v>
      </c>
      <c r="D134" s="28">
        <v>46042</v>
      </c>
      <c r="E134" s="8" t="s">
        <v>363</v>
      </c>
      <c r="F134" s="29">
        <v>45992</v>
      </c>
      <c r="G134" s="30">
        <v>2840810000</v>
      </c>
    </row>
    <row r="135" spans="2:7" x14ac:dyDescent="0.25">
      <c r="B135" s="40" t="s">
        <v>627</v>
      </c>
      <c r="C135" s="8" t="s">
        <v>628</v>
      </c>
      <c r="D135" s="28">
        <v>46045</v>
      </c>
      <c r="E135" s="8"/>
      <c r="F135" s="29">
        <v>45992</v>
      </c>
      <c r="G135" s="30">
        <v>2819380000</v>
      </c>
    </row>
    <row r="136" spans="2:7" x14ac:dyDescent="0.25">
      <c r="B136" s="40" t="s">
        <v>822</v>
      </c>
      <c r="C136" s="8" t="s">
        <v>823</v>
      </c>
      <c r="D136" s="28">
        <v>46044</v>
      </c>
      <c r="E136" s="8"/>
      <c r="F136" s="29">
        <v>45992</v>
      </c>
      <c r="G136" s="30">
        <v>2786940000</v>
      </c>
    </row>
    <row r="137" spans="2:7" x14ac:dyDescent="0.25">
      <c r="B137" s="40" t="s">
        <v>570</v>
      </c>
      <c r="C137" s="8" t="s">
        <v>571</v>
      </c>
      <c r="D137" s="28">
        <v>46044</v>
      </c>
      <c r="E137" s="8"/>
      <c r="F137" s="29">
        <v>45992</v>
      </c>
      <c r="G137" s="30">
        <v>2747350000</v>
      </c>
    </row>
    <row r="138" spans="2:7" x14ac:dyDescent="0.25">
      <c r="B138" s="40" t="s">
        <v>248</v>
      </c>
      <c r="C138" s="8" t="s">
        <v>461</v>
      </c>
      <c r="D138" s="28">
        <v>46043</v>
      </c>
      <c r="E138" s="8"/>
      <c r="F138" s="29">
        <v>45992</v>
      </c>
      <c r="G138" s="30">
        <v>2725240000</v>
      </c>
    </row>
    <row r="139" spans="2:7" x14ac:dyDescent="0.25">
      <c r="B139" s="40" t="s">
        <v>744</v>
      </c>
      <c r="C139" s="8" t="s">
        <v>745</v>
      </c>
      <c r="D139" s="28">
        <v>46043</v>
      </c>
      <c r="E139" s="8"/>
      <c r="F139" s="29">
        <v>45992</v>
      </c>
      <c r="G139" s="30">
        <v>2715510000</v>
      </c>
    </row>
    <row r="140" spans="2:7" x14ac:dyDescent="0.25">
      <c r="B140" s="40" t="s">
        <v>364</v>
      </c>
      <c r="C140" s="8" t="s">
        <v>365</v>
      </c>
      <c r="D140" s="28">
        <v>46044</v>
      </c>
      <c r="E140" s="8"/>
      <c r="F140" s="29">
        <v>45992</v>
      </c>
      <c r="G140" s="30">
        <v>2680260000</v>
      </c>
    </row>
    <row r="141" spans="2:7" x14ac:dyDescent="0.25">
      <c r="B141" s="40" t="s">
        <v>601</v>
      </c>
      <c r="C141" s="8" t="s">
        <v>602</v>
      </c>
      <c r="D141" s="28">
        <v>46045</v>
      </c>
      <c r="E141" s="8"/>
      <c r="F141" s="29">
        <v>45992</v>
      </c>
      <c r="G141" s="30">
        <v>2637480000</v>
      </c>
    </row>
    <row r="142" spans="2:7" x14ac:dyDescent="0.25">
      <c r="B142" s="40" t="s">
        <v>335</v>
      </c>
      <c r="C142" s="8" t="s">
        <v>336</v>
      </c>
      <c r="D142" s="28">
        <v>46043</v>
      </c>
      <c r="E142" s="8"/>
      <c r="F142" s="29">
        <v>45992</v>
      </c>
      <c r="G142" s="30">
        <v>2592350000</v>
      </c>
    </row>
    <row r="143" spans="2:7" x14ac:dyDescent="0.25">
      <c r="B143" s="40" t="s">
        <v>249</v>
      </c>
      <c r="C143" s="8" t="s">
        <v>403</v>
      </c>
      <c r="D143" s="28">
        <v>46044</v>
      </c>
      <c r="E143" s="8"/>
      <c r="F143" s="29">
        <v>45992</v>
      </c>
      <c r="G143" s="30">
        <v>2460150000</v>
      </c>
    </row>
    <row r="144" spans="2:7" x14ac:dyDescent="0.25">
      <c r="B144" s="40" t="s">
        <v>251</v>
      </c>
      <c r="C144" s="8" t="s">
        <v>592</v>
      </c>
      <c r="D144" s="28">
        <v>46043</v>
      </c>
      <c r="E144" s="8"/>
      <c r="F144" s="29">
        <v>45992</v>
      </c>
      <c r="G144" s="30">
        <v>2447990000</v>
      </c>
    </row>
    <row r="145" spans="2:7" x14ac:dyDescent="0.25">
      <c r="B145" s="40" t="s">
        <v>330</v>
      </c>
      <c r="C145" s="8" t="s">
        <v>331</v>
      </c>
      <c r="D145" s="28">
        <v>46042</v>
      </c>
      <c r="E145" s="8"/>
      <c r="F145" s="29">
        <v>45992</v>
      </c>
      <c r="G145" s="30">
        <v>2446060000</v>
      </c>
    </row>
    <row r="146" spans="2:7" x14ac:dyDescent="0.25">
      <c r="B146" s="40" t="s">
        <v>315</v>
      </c>
      <c r="C146" s="8" t="s">
        <v>316</v>
      </c>
      <c r="D146" s="28">
        <v>46044</v>
      </c>
      <c r="E146" s="8"/>
      <c r="F146" s="29">
        <v>45992</v>
      </c>
      <c r="G146" s="30">
        <v>2414870000</v>
      </c>
    </row>
    <row r="147" spans="2:7" x14ac:dyDescent="0.25">
      <c r="B147" s="40" t="s">
        <v>568</v>
      </c>
      <c r="C147" s="8" t="s">
        <v>569</v>
      </c>
      <c r="D147" s="28">
        <v>46043</v>
      </c>
      <c r="E147" s="8"/>
      <c r="F147" s="29">
        <v>45992</v>
      </c>
      <c r="G147" s="30">
        <v>2414640000</v>
      </c>
    </row>
    <row r="148" spans="2:7" x14ac:dyDescent="0.25">
      <c r="B148" s="40" t="s">
        <v>167</v>
      </c>
      <c r="C148" s="8" t="s">
        <v>496</v>
      </c>
      <c r="D148" s="28">
        <v>46043</v>
      </c>
      <c r="E148" s="8"/>
      <c r="F148" s="29">
        <v>45992</v>
      </c>
      <c r="G148" s="30">
        <v>2395500000</v>
      </c>
    </row>
    <row r="149" spans="2:7" x14ac:dyDescent="0.25">
      <c r="B149" s="40" t="s">
        <v>165</v>
      </c>
      <c r="C149" s="8" t="s">
        <v>444</v>
      </c>
      <c r="D149" s="28">
        <v>46044</v>
      </c>
      <c r="E149" s="8"/>
      <c r="F149" s="29">
        <v>45992</v>
      </c>
      <c r="G149" s="30">
        <v>2322990000</v>
      </c>
    </row>
    <row r="150" spans="2:7" x14ac:dyDescent="0.25">
      <c r="B150" s="40" t="s">
        <v>451</v>
      </c>
      <c r="C150" s="8" t="s">
        <v>452</v>
      </c>
      <c r="D150" s="28">
        <v>46042</v>
      </c>
      <c r="E150" s="8"/>
      <c r="F150" s="29">
        <v>45992</v>
      </c>
      <c r="G150" s="30">
        <v>2292420000</v>
      </c>
    </row>
    <row r="151" spans="2:7" x14ac:dyDescent="0.25">
      <c r="B151" s="40" t="s">
        <v>474</v>
      </c>
      <c r="C151" s="8" t="s">
        <v>475</v>
      </c>
      <c r="D151" s="28">
        <v>46042</v>
      </c>
      <c r="E151" s="8"/>
      <c r="F151" s="29">
        <v>45992</v>
      </c>
      <c r="G151" s="30">
        <v>2287230000</v>
      </c>
    </row>
    <row r="152" spans="2:7" x14ac:dyDescent="0.25">
      <c r="B152" s="40" t="s">
        <v>163</v>
      </c>
      <c r="C152" s="8" t="s">
        <v>460</v>
      </c>
      <c r="D152" s="28">
        <v>46044</v>
      </c>
      <c r="E152" s="8"/>
      <c r="F152" s="29">
        <v>45992</v>
      </c>
      <c r="G152" s="30">
        <v>2254750000</v>
      </c>
    </row>
    <row r="153" spans="2:7" x14ac:dyDescent="0.25">
      <c r="B153" s="40" t="s">
        <v>94</v>
      </c>
      <c r="C153" s="8" t="s">
        <v>369</v>
      </c>
      <c r="D153" s="28">
        <v>46043</v>
      </c>
      <c r="E153" s="8" t="s">
        <v>363</v>
      </c>
      <c r="F153" s="29">
        <v>45992</v>
      </c>
      <c r="G153" s="30">
        <v>2123889999.99999</v>
      </c>
    </row>
    <row r="154" spans="2:7" x14ac:dyDescent="0.25">
      <c r="B154" s="40" t="s">
        <v>343</v>
      </c>
      <c r="C154" s="8" t="s">
        <v>344</v>
      </c>
      <c r="D154" s="28">
        <v>46044</v>
      </c>
      <c r="E154" s="8"/>
      <c r="F154" s="29">
        <v>45992</v>
      </c>
      <c r="G154" s="30">
        <v>1982480000</v>
      </c>
    </row>
    <row r="155" spans="2:7" x14ac:dyDescent="0.25">
      <c r="B155" s="40" t="s">
        <v>61</v>
      </c>
      <c r="C155" s="8" t="s">
        <v>411</v>
      </c>
      <c r="D155" s="28">
        <v>46044</v>
      </c>
      <c r="E155" s="8"/>
      <c r="F155" s="29">
        <v>45992</v>
      </c>
      <c r="G155" s="30">
        <v>1900370000</v>
      </c>
    </row>
    <row r="156" spans="2:7" x14ac:dyDescent="0.25">
      <c r="B156" s="40" t="s">
        <v>541</v>
      </c>
      <c r="C156" s="8" t="s">
        <v>542</v>
      </c>
      <c r="D156" s="28">
        <v>46044</v>
      </c>
      <c r="E156" s="8"/>
      <c r="F156" s="29">
        <v>45992</v>
      </c>
      <c r="G156" s="30">
        <v>1897910000</v>
      </c>
    </row>
    <row r="157" spans="2:7" x14ac:dyDescent="0.25">
      <c r="B157" s="40" t="s">
        <v>64</v>
      </c>
      <c r="C157" s="8" t="s">
        <v>703</v>
      </c>
      <c r="D157" s="28">
        <v>46044</v>
      </c>
      <c r="E157" s="8"/>
      <c r="F157" s="29">
        <v>45992</v>
      </c>
      <c r="G157" s="30">
        <v>1827660000</v>
      </c>
    </row>
    <row r="158" spans="2:7" x14ac:dyDescent="0.25">
      <c r="B158" s="40" t="s">
        <v>65</v>
      </c>
      <c r="C158" s="8" t="s">
        <v>630</v>
      </c>
      <c r="D158" s="28">
        <v>46043</v>
      </c>
      <c r="E158" s="8" t="s">
        <v>363</v>
      </c>
      <c r="F158" s="29">
        <v>45992</v>
      </c>
      <c r="G158" s="30">
        <v>1812300000</v>
      </c>
    </row>
    <row r="159" spans="2:7" x14ac:dyDescent="0.25">
      <c r="B159" s="40" t="s">
        <v>67</v>
      </c>
      <c r="C159" s="8" t="s">
        <v>750</v>
      </c>
      <c r="D159" s="28">
        <v>46042</v>
      </c>
      <c r="E159" s="8" t="s">
        <v>363</v>
      </c>
      <c r="F159" s="29">
        <v>45962</v>
      </c>
      <c r="G159" s="30">
        <v>1807700000</v>
      </c>
    </row>
    <row r="160" spans="2:7" x14ac:dyDescent="0.25">
      <c r="B160" s="40" t="s">
        <v>586</v>
      </c>
      <c r="C160" s="8" t="s">
        <v>587</v>
      </c>
      <c r="D160" s="28">
        <v>46044</v>
      </c>
      <c r="E160" s="8"/>
      <c r="F160" s="29">
        <v>45992</v>
      </c>
      <c r="G160" s="30">
        <v>1804550000</v>
      </c>
    </row>
    <row r="161" spans="2:7" x14ac:dyDescent="0.25">
      <c r="B161" s="40" t="s">
        <v>70</v>
      </c>
      <c r="C161" s="8" t="s">
        <v>685</v>
      </c>
      <c r="D161" s="28">
        <v>46042</v>
      </c>
      <c r="E161" s="8"/>
      <c r="F161" s="29">
        <v>45992</v>
      </c>
      <c r="G161" s="30">
        <v>1800440000</v>
      </c>
    </row>
    <row r="162" spans="2:7" x14ac:dyDescent="0.25">
      <c r="B162" s="40" t="s">
        <v>72</v>
      </c>
      <c r="C162" s="8" t="s">
        <v>430</v>
      </c>
      <c r="D162" s="28">
        <v>46043</v>
      </c>
      <c r="E162" s="8"/>
      <c r="F162" s="29">
        <v>45992</v>
      </c>
      <c r="G162" s="30">
        <v>1750220000</v>
      </c>
    </row>
    <row r="163" spans="2:7" x14ac:dyDescent="0.25">
      <c r="B163" s="40" t="s">
        <v>73</v>
      </c>
      <c r="C163" s="8" t="s">
        <v>835</v>
      </c>
      <c r="D163" s="28">
        <v>46044</v>
      </c>
      <c r="E163" s="8"/>
      <c r="F163" s="29">
        <v>45992</v>
      </c>
      <c r="G163" s="30">
        <v>1624930000</v>
      </c>
    </row>
    <row r="164" spans="2:7" x14ac:dyDescent="0.25">
      <c r="B164" s="40" t="s">
        <v>75</v>
      </c>
      <c r="C164" s="8" t="s">
        <v>807</v>
      </c>
      <c r="D164" s="28">
        <v>46044</v>
      </c>
      <c r="E164" s="8"/>
      <c r="F164" s="29">
        <v>45992</v>
      </c>
      <c r="G164" s="30">
        <v>1612010000</v>
      </c>
    </row>
    <row r="165" spans="2:7" x14ac:dyDescent="0.25">
      <c r="B165" s="40" t="s">
        <v>862</v>
      </c>
      <c r="C165" s="8" t="s">
        <v>863</v>
      </c>
      <c r="D165" s="28">
        <v>46043</v>
      </c>
      <c r="E165" s="8"/>
      <c r="F165" s="29">
        <v>45992</v>
      </c>
      <c r="G165" s="30">
        <v>1605070000</v>
      </c>
    </row>
    <row r="166" spans="2:7" x14ac:dyDescent="0.25">
      <c r="B166" s="40" t="s">
        <v>76</v>
      </c>
      <c r="C166" s="8" t="s">
        <v>811</v>
      </c>
      <c r="D166" s="28">
        <v>46044</v>
      </c>
      <c r="E166" s="8"/>
      <c r="F166" s="29">
        <v>45992</v>
      </c>
      <c r="G166" s="30">
        <v>1536500000</v>
      </c>
    </row>
    <row r="167" spans="2:7" x14ac:dyDescent="0.25">
      <c r="B167" s="40" t="s">
        <v>536</v>
      </c>
      <c r="C167" s="8" t="s">
        <v>537</v>
      </c>
      <c r="D167" s="28">
        <v>46043</v>
      </c>
      <c r="E167" s="8"/>
      <c r="F167" s="29">
        <v>45992</v>
      </c>
      <c r="G167" s="30">
        <v>1470840000</v>
      </c>
    </row>
    <row r="168" spans="2:7" x14ac:dyDescent="0.25">
      <c r="B168" s="40" t="s">
        <v>577</v>
      </c>
      <c r="C168" s="8" t="s">
        <v>578</v>
      </c>
      <c r="D168" s="28">
        <v>46042</v>
      </c>
      <c r="E168" s="8"/>
      <c r="F168" s="29">
        <v>45992</v>
      </c>
      <c r="G168" s="30">
        <v>1468090000</v>
      </c>
    </row>
    <row r="169" spans="2:7" x14ac:dyDescent="0.25">
      <c r="B169" s="40" t="s">
        <v>760</v>
      </c>
      <c r="C169" s="8" t="s">
        <v>761</v>
      </c>
      <c r="D169" s="28">
        <v>46045</v>
      </c>
      <c r="E169" s="8"/>
      <c r="F169" s="29">
        <v>45992</v>
      </c>
      <c r="G169" s="30">
        <v>1451240000</v>
      </c>
    </row>
    <row r="170" spans="2:7" x14ac:dyDescent="0.25">
      <c r="B170" s="40" t="s">
        <v>77</v>
      </c>
      <c r="C170" s="8" t="s">
        <v>600</v>
      </c>
      <c r="D170" s="28">
        <v>46042</v>
      </c>
      <c r="E170" s="8" t="s">
        <v>363</v>
      </c>
      <c r="F170" s="29">
        <v>45962</v>
      </c>
      <c r="G170" s="30">
        <v>1438080000</v>
      </c>
    </row>
    <row r="171" spans="2:7" x14ac:dyDescent="0.25">
      <c r="B171" s="40" t="s">
        <v>575</v>
      </c>
      <c r="C171" s="8" t="s">
        <v>576</v>
      </c>
      <c r="D171" s="28">
        <v>46045</v>
      </c>
      <c r="E171" s="8"/>
      <c r="F171" s="29">
        <v>45992</v>
      </c>
      <c r="G171" s="30">
        <v>1427640000</v>
      </c>
    </row>
    <row r="172" spans="2:7" x14ac:dyDescent="0.25">
      <c r="B172" s="40" t="s">
        <v>79</v>
      </c>
      <c r="C172" s="8" t="s">
        <v>400</v>
      </c>
      <c r="D172" s="28">
        <v>46044</v>
      </c>
      <c r="E172" s="8"/>
      <c r="F172" s="29">
        <v>45992</v>
      </c>
      <c r="G172" s="30">
        <v>1408020000</v>
      </c>
    </row>
    <row r="173" spans="2:7" x14ac:dyDescent="0.25">
      <c r="B173" s="40" t="s">
        <v>854</v>
      </c>
      <c r="C173" s="8" t="s">
        <v>855</v>
      </c>
      <c r="D173" s="28">
        <v>46044</v>
      </c>
      <c r="E173" s="8"/>
      <c r="F173" s="29">
        <v>45992</v>
      </c>
      <c r="G173" s="30">
        <v>1387820000</v>
      </c>
    </row>
    <row r="174" spans="2:7" x14ac:dyDescent="0.25">
      <c r="B174" s="40" t="s">
        <v>557</v>
      </c>
      <c r="C174" s="8" t="s">
        <v>558</v>
      </c>
      <c r="D174" s="28">
        <v>46044</v>
      </c>
      <c r="E174" s="8"/>
      <c r="F174" s="29">
        <v>45992</v>
      </c>
      <c r="G174" s="30">
        <v>1357460000</v>
      </c>
    </row>
    <row r="175" spans="2:7" x14ac:dyDescent="0.25">
      <c r="B175" s="40" t="s">
        <v>80</v>
      </c>
      <c r="C175" s="8" t="s">
        <v>515</v>
      </c>
      <c r="D175" s="28">
        <v>46042</v>
      </c>
      <c r="E175" s="8"/>
      <c r="F175" s="29">
        <v>45992</v>
      </c>
      <c r="G175" s="30">
        <v>1351890000</v>
      </c>
    </row>
    <row r="176" spans="2:7" x14ac:dyDescent="0.25">
      <c r="B176" s="40" t="s">
        <v>82</v>
      </c>
      <c r="C176" s="8" t="s">
        <v>476</v>
      </c>
      <c r="D176" s="28">
        <v>46043</v>
      </c>
      <c r="E176" s="8" t="s">
        <v>321</v>
      </c>
      <c r="F176" s="29">
        <v>45992</v>
      </c>
      <c r="G176" s="30">
        <v>1319460000</v>
      </c>
    </row>
    <row r="177" spans="2:7" x14ac:dyDescent="0.25">
      <c r="B177" s="40" t="s">
        <v>681</v>
      </c>
      <c r="C177" s="8" t="s">
        <v>682</v>
      </c>
      <c r="D177" s="28">
        <v>46042</v>
      </c>
      <c r="E177" s="8"/>
      <c r="F177" s="29">
        <v>45992</v>
      </c>
      <c r="G177" s="30">
        <v>1304710000</v>
      </c>
    </row>
    <row r="178" spans="2:7" x14ac:dyDescent="0.25">
      <c r="B178" s="40" t="s">
        <v>773</v>
      </c>
      <c r="C178" s="8" t="s">
        <v>774</v>
      </c>
      <c r="D178" s="28">
        <v>46046</v>
      </c>
      <c r="E178" s="8"/>
      <c r="F178" s="29">
        <v>45992</v>
      </c>
      <c r="G178" s="30">
        <v>1283120000</v>
      </c>
    </row>
    <row r="179" spans="2:7" x14ac:dyDescent="0.25">
      <c r="B179" s="40" t="s">
        <v>593</v>
      </c>
      <c r="C179" s="8" t="s">
        <v>594</v>
      </c>
      <c r="D179" s="28">
        <v>46042</v>
      </c>
      <c r="E179" s="8"/>
      <c r="F179" s="29">
        <v>45992</v>
      </c>
      <c r="G179" s="30">
        <v>1255900000</v>
      </c>
    </row>
    <row r="180" spans="2:7" x14ac:dyDescent="0.25">
      <c r="B180" s="40" t="s">
        <v>734</v>
      </c>
      <c r="C180" s="8" t="s">
        <v>735</v>
      </c>
      <c r="D180" s="28">
        <v>46044</v>
      </c>
      <c r="E180" s="8"/>
      <c r="F180" s="29">
        <v>45992</v>
      </c>
      <c r="G180" s="30">
        <v>1236100000</v>
      </c>
    </row>
    <row r="181" spans="2:7" x14ac:dyDescent="0.25">
      <c r="B181" s="40" t="s">
        <v>375</v>
      </c>
      <c r="C181" s="8" t="s">
        <v>376</v>
      </c>
      <c r="D181" s="28">
        <v>46042</v>
      </c>
      <c r="E181" s="8"/>
      <c r="F181" s="29">
        <v>45992</v>
      </c>
      <c r="G181" s="30">
        <v>1215510000</v>
      </c>
    </row>
    <row r="182" spans="2:7" x14ac:dyDescent="0.25">
      <c r="B182" s="40" t="s">
        <v>699</v>
      </c>
      <c r="C182" s="8" t="s">
        <v>700</v>
      </c>
      <c r="D182" s="28">
        <v>46044</v>
      </c>
      <c r="E182" s="8"/>
      <c r="F182" s="29">
        <v>45992</v>
      </c>
      <c r="G182" s="30">
        <v>1155740000</v>
      </c>
    </row>
    <row r="183" spans="2:7" x14ac:dyDescent="0.25">
      <c r="B183" s="40" t="s">
        <v>877</v>
      </c>
      <c r="C183" s="8" t="s">
        <v>878</v>
      </c>
      <c r="D183" s="28">
        <v>46044</v>
      </c>
      <c r="E183" s="8"/>
      <c r="F183" s="29">
        <v>45992</v>
      </c>
      <c r="G183" s="30">
        <v>1142850000</v>
      </c>
    </row>
    <row r="184" spans="2:7" x14ac:dyDescent="0.25">
      <c r="B184" s="40" t="s">
        <v>333</v>
      </c>
      <c r="C184" s="8" t="s">
        <v>334</v>
      </c>
      <c r="D184" s="28">
        <v>46044</v>
      </c>
      <c r="E184" s="8"/>
      <c r="F184" s="29">
        <v>45992</v>
      </c>
      <c r="G184" s="30">
        <v>1133700000</v>
      </c>
    </row>
    <row r="185" spans="2:7" x14ac:dyDescent="0.25">
      <c r="B185" s="40" t="s">
        <v>845</v>
      </c>
      <c r="C185" s="8" t="s">
        <v>846</v>
      </c>
      <c r="D185" s="28">
        <v>46042</v>
      </c>
      <c r="E185" s="8"/>
      <c r="F185" s="29">
        <v>45992</v>
      </c>
      <c r="G185" s="30">
        <v>1123300000</v>
      </c>
    </row>
    <row r="186" spans="2:7" x14ac:dyDescent="0.25">
      <c r="B186" s="40" t="s">
        <v>458</v>
      </c>
      <c r="C186" s="8" t="s">
        <v>459</v>
      </c>
      <c r="D186" s="28">
        <v>46043</v>
      </c>
      <c r="E186" s="8"/>
      <c r="F186" s="29">
        <v>45992</v>
      </c>
      <c r="G186" s="30">
        <v>1089120000</v>
      </c>
    </row>
    <row r="187" spans="2:7" x14ac:dyDescent="0.25">
      <c r="B187" s="40" t="s">
        <v>715</v>
      </c>
      <c r="C187" s="8" t="s">
        <v>716</v>
      </c>
      <c r="D187" s="28">
        <v>46043</v>
      </c>
      <c r="E187" s="8" t="s">
        <v>363</v>
      </c>
      <c r="F187" s="29">
        <v>45992</v>
      </c>
      <c r="G187" s="30">
        <v>1080250000</v>
      </c>
    </row>
    <row r="188" spans="2:7" x14ac:dyDescent="0.25">
      <c r="B188" s="40" t="s">
        <v>719</v>
      </c>
      <c r="C188" s="8" t="s">
        <v>720</v>
      </c>
      <c r="D188" s="28">
        <v>46043</v>
      </c>
      <c r="E188" s="8"/>
      <c r="F188" s="29">
        <v>45992</v>
      </c>
      <c r="G188" s="30">
        <v>1071230000</v>
      </c>
    </row>
    <row r="189" spans="2:7" x14ac:dyDescent="0.25">
      <c r="B189" s="40" t="s">
        <v>449</v>
      </c>
      <c r="C189" s="8" t="s">
        <v>450</v>
      </c>
      <c r="D189" s="28">
        <v>46044</v>
      </c>
      <c r="E189" s="8"/>
      <c r="F189" s="29">
        <v>45992</v>
      </c>
      <c r="G189" s="30">
        <v>1050750000</v>
      </c>
    </row>
    <row r="190" spans="2:7" x14ac:dyDescent="0.25">
      <c r="B190" s="40" t="s">
        <v>381</v>
      </c>
      <c r="C190" s="8" t="s">
        <v>382</v>
      </c>
      <c r="D190" s="28">
        <v>46044</v>
      </c>
      <c r="E190" s="8"/>
      <c r="F190" s="29">
        <v>45992</v>
      </c>
      <c r="G190" s="30">
        <v>1041180000</v>
      </c>
    </row>
    <row r="191" spans="2:7" x14ac:dyDescent="0.25">
      <c r="B191" s="40" t="s">
        <v>357</v>
      </c>
      <c r="C191" s="8" t="s">
        <v>358</v>
      </c>
      <c r="D191" s="28">
        <v>46043</v>
      </c>
      <c r="E191" s="8"/>
      <c r="F191" s="29">
        <v>45992</v>
      </c>
      <c r="G191" s="30">
        <v>1017100000</v>
      </c>
    </row>
    <row r="192" spans="2:7" x14ac:dyDescent="0.25">
      <c r="B192" s="40" t="s">
        <v>511</v>
      </c>
      <c r="C192" s="8" t="s">
        <v>512</v>
      </c>
      <c r="D192" s="28">
        <v>46043</v>
      </c>
      <c r="E192" s="8"/>
      <c r="F192" s="29">
        <v>45992</v>
      </c>
      <c r="G192" s="30">
        <v>1010010000</v>
      </c>
    </row>
    <row r="193" spans="2:7" x14ac:dyDescent="0.25">
      <c r="B193" s="40" t="s">
        <v>907</v>
      </c>
      <c r="C193" s="8" t="s">
        <v>908</v>
      </c>
      <c r="D193" s="28">
        <v>46044</v>
      </c>
      <c r="E193" s="8"/>
      <c r="F193" s="29">
        <v>45992</v>
      </c>
      <c r="G193" s="30">
        <v>1006150000</v>
      </c>
    </row>
    <row r="194" spans="2:7" x14ac:dyDescent="0.25">
      <c r="B194" s="40" t="s">
        <v>509</v>
      </c>
      <c r="C194" s="8" t="s">
        <v>510</v>
      </c>
      <c r="D194" s="28">
        <v>46044</v>
      </c>
      <c r="E194" s="8"/>
      <c r="F194" s="29">
        <v>45992</v>
      </c>
      <c r="G194" s="30">
        <v>1005270000</v>
      </c>
    </row>
    <row r="195" spans="2:7" x14ac:dyDescent="0.25">
      <c r="B195" s="40" t="s">
        <v>891</v>
      </c>
      <c r="C195" s="8" t="s">
        <v>892</v>
      </c>
      <c r="D195" s="28">
        <v>46042</v>
      </c>
      <c r="E195" s="8"/>
      <c r="F195" s="29">
        <v>45992</v>
      </c>
      <c r="G195" s="30">
        <v>979590000</v>
      </c>
    </row>
    <row r="196" spans="2:7" x14ac:dyDescent="0.25">
      <c r="B196" s="40" t="s">
        <v>886</v>
      </c>
      <c r="C196" s="8" t="s">
        <v>887</v>
      </c>
      <c r="D196" s="28">
        <v>46043</v>
      </c>
      <c r="E196" s="8"/>
      <c r="F196" s="29">
        <v>45992</v>
      </c>
      <c r="G196" s="30">
        <v>968860000</v>
      </c>
    </row>
    <row r="197" spans="2:7" x14ac:dyDescent="0.25">
      <c r="B197" s="40" t="s">
        <v>84</v>
      </c>
      <c r="C197" s="8" t="s">
        <v>645</v>
      </c>
      <c r="D197" s="28">
        <v>46042</v>
      </c>
      <c r="E197" s="8" t="s">
        <v>363</v>
      </c>
      <c r="F197" s="29">
        <v>45992</v>
      </c>
      <c r="G197" s="30">
        <v>906160000</v>
      </c>
    </row>
    <row r="198" spans="2:7" x14ac:dyDescent="0.25">
      <c r="B198" s="40" t="s">
        <v>86</v>
      </c>
      <c r="C198" s="8" t="s">
        <v>553</v>
      </c>
      <c r="D198" s="28">
        <v>46044</v>
      </c>
      <c r="E198" s="8"/>
      <c r="F198" s="29">
        <v>45992</v>
      </c>
      <c r="G198" s="30">
        <v>902750000</v>
      </c>
    </row>
    <row r="199" spans="2:7" x14ac:dyDescent="0.25">
      <c r="B199" s="40" t="s">
        <v>88</v>
      </c>
      <c r="C199" s="8" t="s">
        <v>377</v>
      </c>
      <c r="D199" s="28">
        <v>46044</v>
      </c>
      <c r="E199" s="8"/>
      <c r="F199" s="29">
        <v>45992</v>
      </c>
      <c r="G199" s="30">
        <v>891620000</v>
      </c>
    </row>
    <row r="200" spans="2:7" x14ac:dyDescent="0.25">
      <c r="B200" s="40" t="s">
        <v>90</v>
      </c>
      <c r="C200" s="8" t="s">
        <v>644</v>
      </c>
      <c r="D200" s="28">
        <v>46042</v>
      </c>
      <c r="E200" s="8" t="s">
        <v>321</v>
      </c>
      <c r="F200" s="29">
        <v>45992</v>
      </c>
      <c r="G200" s="30">
        <v>878300000</v>
      </c>
    </row>
    <row r="201" spans="2:7" x14ac:dyDescent="0.25">
      <c r="B201" s="40" t="s">
        <v>59</v>
      </c>
      <c r="C201" s="8" t="s">
        <v>488</v>
      </c>
      <c r="D201" s="28">
        <v>46044</v>
      </c>
      <c r="E201" s="8"/>
      <c r="F201" s="29">
        <v>45992</v>
      </c>
      <c r="G201" s="30">
        <v>876760000</v>
      </c>
    </row>
    <row r="202" spans="2:7" x14ac:dyDescent="0.25">
      <c r="B202" s="40" t="s">
        <v>57</v>
      </c>
      <c r="C202" s="8" t="s">
        <v>338</v>
      </c>
      <c r="D202" s="28">
        <v>46044</v>
      </c>
      <c r="E202" s="8"/>
      <c r="F202" s="29">
        <v>45992</v>
      </c>
      <c r="G202" s="30">
        <v>862290000</v>
      </c>
    </row>
    <row r="203" spans="2:7" x14ac:dyDescent="0.25">
      <c r="B203" s="40" t="s">
        <v>55</v>
      </c>
      <c r="C203" s="8" t="s">
        <v>484</v>
      </c>
      <c r="D203" s="28">
        <v>46043</v>
      </c>
      <c r="E203" s="8" t="s">
        <v>363</v>
      </c>
      <c r="F203" s="29">
        <v>45992</v>
      </c>
      <c r="G203" s="30">
        <v>855930000</v>
      </c>
    </row>
    <row r="204" spans="2:7" x14ac:dyDescent="0.25">
      <c r="B204" s="40" t="s">
        <v>36</v>
      </c>
      <c r="C204" s="8" t="s">
        <v>662</v>
      </c>
      <c r="D204" s="28">
        <v>46044</v>
      </c>
      <c r="E204" s="8"/>
      <c r="F204" s="29">
        <v>45992</v>
      </c>
      <c r="G204" s="30">
        <v>848630000</v>
      </c>
    </row>
    <row r="205" spans="2:7" x14ac:dyDescent="0.25">
      <c r="B205" s="40" t="s">
        <v>24</v>
      </c>
      <c r="C205" s="8" t="s">
        <v>838</v>
      </c>
      <c r="D205" s="28">
        <v>46045</v>
      </c>
      <c r="E205" s="8"/>
      <c r="F205" s="29">
        <v>45992</v>
      </c>
      <c r="G205" s="30">
        <v>838640000</v>
      </c>
    </row>
    <row r="206" spans="2:7" x14ac:dyDescent="0.25">
      <c r="B206" s="40" t="s">
        <v>826</v>
      </c>
      <c r="C206" s="8" t="s">
        <v>827</v>
      </c>
      <c r="D206" s="28">
        <v>46044</v>
      </c>
      <c r="E206" s="8"/>
      <c r="F206" s="29">
        <v>45992</v>
      </c>
      <c r="G206" s="30">
        <v>818720000</v>
      </c>
    </row>
    <row r="207" spans="2:7" x14ac:dyDescent="0.25">
      <c r="B207" s="40" t="s">
        <v>26</v>
      </c>
      <c r="C207" s="8" t="s">
        <v>856</v>
      </c>
      <c r="D207" s="28">
        <v>46043</v>
      </c>
      <c r="E207" s="8" t="s">
        <v>363</v>
      </c>
      <c r="F207" s="29">
        <v>45992</v>
      </c>
      <c r="G207" s="30">
        <v>817660000</v>
      </c>
    </row>
    <row r="208" spans="2:7" x14ac:dyDescent="0.25">
      <c r="B208" s="40" t="s">
        <v>783</v>
      </c>
      <c r="C208" s="8" t="s">
        <v>784</v>
      </c>
      <c r="D208" s="28">
        <v>46044</v>
      </c>
      <c r="E208" s="8"/>
      <c r="F208" s="29">
        <v>45992</v>
      </c>
      <c r="G208" s="30">
        <v>793970000</v>
      </c>
    </row>
    <row r="209" spans="2:7" x14ac:dyDescent="0.25">
      <c r="B209" s="40" t="s">
        <v>28</v>
      </c>
      <c r="C209" s="8" t="s">
        <v>561</v>
      </c>
      <c r="D209" s="28">
        <v>46044</v>
      </c>
      <c r="E209" s="8"/>
      <c r="F209" s="29">
        <v>45992</v>
      </c>
      <c r="G209" s="30">
        <v>790570000</v>
      </c>
    </row>
    <row r="210" spans="2:7" x14ac:dyDescent="0.25">
      <c r="B210" s="40" t="s">
        <v>30</v>
      </c>
      <c r="C210" s="8" t="s">
        <v>562</v>
      </c>
      <c r="D210" s="28">
        <v>46044</v>
      </c>
      <c r="E210" s="8"/>
      <c r="F210" s="29">
        <v>45992</v>
      </c>
      <c r="G210" s="30">
        <v>789820000</v>
      </c>
    </row>
    <row r="211" spans="2:7" x14ac:dyDescent="0.25">
      <c r="B211" s="40" t="s">
        <v>677</v>
      </c>
      <c r="C211" s="8" t="s">
        <v>678</v>
      </c>
      <c r="D211" s="28">
        <v>46044</v>
      </c>
      <c r="E211" s="8"/>
      <c r="F211" s="29">
        <v>45992</v>
      </c>
      <c r="G211" s="30">
        <v>748850000</v>
      </c>
    </row>
    <row r="212" spans="2:7" x14ac:dyDescent="0.25">
      <c r="B212" s="40" t="s">
        <v>32</v>
      </c>
      <c r="C212" s="8" t="s">
        <v>648</v>
      </c>
      <c r="D212" s="28">
        <v>46042</v>
      </c>
      <c r="E212" s="8"/>
      <c r="F212" s="29">
        <v>45992</v>
      </c>
      <c r="G212" s="30">
        <v>731290000</v>
      </c>
    </row>
    <row r="213" spans="2:7" x14ac:dyDescent="0.25">
      <c r="B213" s="40" t="s">
        <v>33</v>
      </c>
      <c r="C213" s="8" t="s">
        <v>566</v>
      </c>
      <c r="D213" s="28">
        <v>46044</v>
      </c>
      <c r="E213" s="8"/>
      <c r="F213" s="29">
        <v>45992</v>
      </c>
      <c r="G213" s="30">
        <v>721320000</v>
      </c>
    </row>
    <row r="214" spans="2:7" x14ac:dyDescent="0.25">
      <c r="B214" s="40" t="s">
        <v>34</v>
      </c>
      <c r="C214" s="8" t="s">
        <v>665</v>
      </c>
      <c r="D214" s="28">
        <v>46043</v>
      </c>
      <c r="E214" s="8"/>
      <c r="F214" s="29">
        <v>45992</v>
      </c>
      <c r="G214" s="30">
        <v>719110000</v>
      </c>
    </row>
    <row r="215" spans="2:7" x14ac:dyDescent="0.25">
      <c r="B215" s="40" t="s">
        <v>38</v>
      </c>
      <c r="C215" s="8" t="s">
        <v>540</v>
      </c>
      <c r="D215" s="28">
        <v>46043</v>
      </c>
      <c r="E215" s="8" t="s">
        <v>363</v>
      </c>
      <c r="F215" s="29">
        <v>45992</v>
      </c>
      <c r="G215" s="30">
        <v>693290000</v>
      </c>
    </row>
    <row r="216" spans="2:7" x14ac:dyDescent="0.25">
      <c r="B216" s="40" t="s">
        <v>523</v>
      </c>
      <c r="C216" s="8" t="s">
        <v>524</v>
      </c>
      <c r="D216" s="28">
        <v>46045</v>
      </c>
      <c r="E216" s="8"/>
      <c r="F216" s="29">
        <v>45992</v>
      </c>
      <c r="G216" s="30">
        <v>680440000</v>
      </c>
    </row>
    <row r="217" spans="2:7" x14ac:dyDescent="0.25">
      <c r="B217" s="40" t="s">
        <v>640</v>
      </c>
      <c r="C217" s="8" t="s">
        <v>641</v>
      </c>
      <c r="D217" s="28">
        <v>46042</v>
      </c>
      <c r="E217" s="8"/>
      <c r="F217" s="29">
        <v>45992</v>
      </c>
      <c r="G217" s="30">
        <v>679000000</v>
      </c>
    </row>
    <row r="218" spans="2:7" x14ac:dyDescent="0.25">
      <c r="B218" s="40" t="s">
        <v>53</v>
      </c>
      <c r="C218" s="8" t="s">
        <v>795</v>
      </c>
      <c r="D218" s="28">
        <v>46043</v>
      </c>
      <c r="E218" s="8"/>
      <c r="F218" s="29">
        <v>45992</v>
      </c>
      <c r="G218" s="30">
        <v>676140000</v>
      </c>
    </row>
    <row r="219" spans="2:7" x14ac:dyDescent="0.25">
      <c r="B219" s="40" t="s">
        <v>814</v>
      </c>
      <c r="C219" s="8" t="s">
        <v>815</v>
      </c>
      <c r="D219" s="28">
        <v>46045</v>
      </c>
      <c r="E219" s="8"/>
      <c r="F219" s="29">
        <v>45992</v>
      </c>
      <c r="G219" s="30">
        <v>666120000</v>
      </c>
    </row>
    <row r="220" spans="2:7" x14ac:dyDescent="0.25">
      <c r="B220" s="40" t="s">
        <v>39</v>
      </c>
      <c r="C220" s="8" t="s">
        <v>635</v>
      </c>
      <c r="D220" s="28">
        <v>46044</v>
      </c>
      <c r="E220" s="8"/>
      <c r="F220" s="29">
        <v>45992</v>
      </c>
      <c r="G220" s="30">
        <v>664820000</v>
      </c>
    </row>
    <row r="221" spans="2:7" x14ac:dyDescent="0.25">
      <c r="B221" s="40" t="s">
        <v>42</v>
      </c>
      <c r="C221" s="8" t="s">
        <v>362</v>
      </c>
      <c r="D221" s="28">
        <v>46043</v>
      </c>
      <c r="E221" s="8" t="s">
        <v>363</v>
      </c>
      <c r="F221" s="29">
        <v>45992</v>
      </c>
      <c r="G221" s="30">
        <v>663970000</v>
      </c>
    </row>
    <row r="222" spans="2:7" x14ac:dyDescent="0.25">
      <c r="B222" s="40" t="s">
        <v>893</v>
      </c>
      <c r="C222" s="8" t="s">
        <v>894</v>
      </c>
      <c r="D222" s="28">
        <v>46044</v>
      </c>
      <c r="E222" s="8"/>
      <c r="F222" s="29">
        <v>45992</v>
      </c>
      <c r="G222" s="30">
        <v>649580000</v>
      </c>
    </row>
    <row r="223" spans="2:7" x14ac:dyDescent="0.25">
      <c r="B223" s="40" t="s">
        <v>44</v>
      </c>
      <c r="C223" s="8" t="s">
        <v>483</v>
      </c>
      <c r="D223" s="28">
        <v>46043</v>
      </c>
      <c r="E223" s="8" t="s">
        <v>363</v>
      </c>
      <c r="F223" s="29">
        <v>45992</v>
      </c>
      <c r="G223" s="30">
        <v>649340000</v>
      </c>
    </row>
    <row r="224" spans="2:7" x14ac:dyDescent="0.25">
      <c r="B224" s="40" t="s">
        <v>472</v>
      </c>
      <c r="C224" s="8" t="s">
        <v>473</v>
      </c>
      <c r="D224" s="28">
        <v>46045</v>
      </c>
      <c r="E224" s="8"/>
      <c r="F224" s="29">
        <v>45992</v>
      </c>
      <c r="G224" s="30">
        <v>642240000</v>
      </c>
    </row>
    <row r="225" spans="2:7" x14ac:dyDescent="0.25">
      <c r="B225" s="40" t="s">
        <v>857</v>
      </c>
      <c r="C225" s="8" t="s">
        <v>858</v>
      </c>
      <c r="D225" s="28">
        <v>46045</v>
      </c>
      <c r="E225" s="8"/>
      <c r="F225" s="29">
        <v>45992</v>
      </c>
      <c r="G225" s="30">
        <v>639370000</v>
      </c>
    </row>
    <row r="226" spans="2:7" x14ac:dyDescent="0.25">
      <c r="B226" s="40" t="s">
        <v>46</v>
      </c>
      <c r="C226" s="8" t="s">
        <v>796</v>
      </c>
      <c r="D226" s="28">
        <v>46042</v>
      </c>
      <c r="E226" s="8" t="s">
        <v>363</v>
      </c>
      <c r="F226" s="29">
        <v>45992</v>
      </c>
      <c r="G226" s="30">
        <v>630210000</v>
      </c>
    </row>
    <row r="227" spans="2:7" x14ac:dyDescent="0.25">
      <c r="B227" s="40" t="s">
        <v>724</v>
      </c>
      <c r="C227" s="8" t="s">
        <v>725</v>
      </c>
      <c r="D227" s="28">
        <v>46045</v>
      </c>
      <c r="E227" s="8"/>
      <c r="F227" s="29">
        <v>45992</v>
      </c>
      <c r="G227" s="30">
        <v>629320000</v>
      </c>
    </row>
    <row r="228" spans="2:7" x14ac:dyDescent="0.25">
      <c r="B228" s="40" t="s">
        <v>691</v>
      </c>
      <c r="C228" s="8" t="s">
        <v>692</v>
      </c>
      <c r="D228" s="28">
        <v>46042</v>
      </c>
      <c r="E228" s="8" t="s">
        <v>363</v>
      </c>
      <c r="F228" s="29">
        <v>45992</v>
      </c>
      <c r="G228" s="30">
        <v>625030000</v>
      </c>
    </row>
    <row r="229" spans="2:7" x14ac:dyDescent="0.25">
      <c r="B229" s="40" t="s">
        <v>686</v>
      </c>
      <c r="C229" s="8" t="s">
        <v>687</v>
      </c>
      <c r="D229" s="28">
        <v>46044</v>
      </c>
      <c r="E229" s="8"/>
      <c r="F229" s="29">
        <v>45992</v>
      </c>
      <c r="G229" s="30">
        <v>614940000</v>
      </c>
    </row>
    <row r="230" spans="2:7" x14ac:dyDescent="0.25">
      <c r="B230" s="40" t="s">
        <v>840</v>
      </c>
      <c r="C230" s="8" t="s">
        <v>841</v>
      </c>
      <c r="D230" s="28">
        <v>46043</v>
      </c>
      <c r="E230" s="8"/>
      <c r="F230" s="29">
        <v>45992</v>
      </c>
      <c r="G230" s="30">
        <v>588830000</v>
      </c>
    </row>
    <row r="231" spans="2:7" x14ac:dyDescent="0.25">
      <c r="B231" s="40" t="s">
        <v>48</v>
      </c>
      <c r="C231" s="8" t="s">
        <v>412</v>
      </c>
      <c r="D231" s="28">
        <v>46044</v>
      </c>
      <c r="E231" s="8"/>
      <c r="F231" s="29">
        <v>45992</v>
      </c>
      <c r="G231" s="30">
        <v>584870000</v>
      </c>
    </row>
    <row r="232" spans="2:7" x14ac:dyDescent="0.25">
      <c r="B232" s="40" t="s">
        <v>758</v>
      </c>
      <c r="C232" s="8" t="s">
        <v>759</v>
      </c>
      <c r="D232" s="28">
        <v>46042</v>
      </c>
      <c r="E232" s="8"/>
      <c r="F232" s="29">
        <v>45992</v>
      </c>
      <c r="G232" s="30">
        <v>583410000</v>
      </c>
    </row>
    <row r="233" spans="2:7" x14ac:dyDescent="0.25">
      <c r="B233" s="40" t="s">
        <v>836</v>
      </c>
      <c r="C233" s="8" t="s">
        <v>837</v>
      </c>
      <c r="D233" s="28">
        <v>46043</v>
      </c>
      <c r="E233" s="8" t="s">
        <v>363</v>
      </c>
      <c r="F233" s="29">
        <v>45992</v>
      </c>
      <c r="G233" s="30">
        <v>562170000</v>
      </c>
    </row>
    <row r="234" spans="2:7" x14ac:dyDescent="0.25">
      <c r="B234" s="40" t="s">
        <v>50</v>
      </c>
      <c r="C234" s="8" t="s">
        <v>693</v>
      </c>
      <c r="D234" s="28">
        <v>46045</v>
      </c>
      <c r="E234" s="8"/>
      <c r="F234" s="29">
        <v>45992</v>
      </c>
      <c r="G234" s="30">
        <v>558320000</v>
      </c>
    </row>
    <row r="235" spans="2:7" x14ac:dyDescent="0.25">
      <c r="B235" s="40" t="s">
        <v>52</v>
      </c>
      <c r="C235" s="8" t="s">
        <v>380</v>
      </c>
      <c r="D235" s="28">
        <v>46044</v>
      </c>
      <c r="E235" s="8"/>
      <c r="F235" s="29">
        <v>45992</v>
      </c>
      <c r="G235" s="30">
        <v>549050000</v>
      </c>
    </row>
    <row r="236" spans="2:7" x14ac:dyDescent="0.25">
      <c r="B236" s="40" t="s">
        <v>785</v>
      </c>
      <c r="C236" s="8" t="s">
        <v>786</v>
      </c>
      <c r="D236" s="28">
        <v>46042</v>
      </c>
      <c r="E236" s="8"/>
      <c r="F236" s="29">
        <v>45992</v>
      </c>
      <c r="G236" s="30">
        <v>537700000</v>
      </c>
    </row>
    <row r="237" spans="2:7" x14ac:dyDescent="0.25">
      <c r="B237" s="40" t="s">
        <v>92</v>
      </c>
      <c r="C237" s="8" t="s">
        <v>435</v>
      </c>
      <c r="D237" s="28">
        <v>46042</v>
      </c>
      <c r="E237" s="8"/>
      <c r="F237" s="29">
        <v>45992</v>
      </c>
      <c r="G237" s="30">
        <v>537000000</v>
      </c>
    </row>
    <row r="238" spans="2:7" x14ac:dyDescent="0.25">
      <c r="B238" s="40" t="s">
        <v>708</v>
      </c>
      <c r="C238" s="8" t="s">
        <v>709</v>
      </c>
      <c r="D238" s="28">
        <v>46044</v>
      </c>
      <c r="E238" s="8"/>
      <c r="F238" s="29">
        <v>45992</v>
      </c>
      <c r="G238" s="30">
        <v>536630000</v>
      </c>
    </row>
    <row r="239" spans="2:7" x14ac:dyDescent="0.25">
      <c r="B239" s="40" t="s">
        <v>95</v>
      </c>
      <c r="C239" s="8" t="s">
        <v>322</v>
      </c>
      <c r="D239" s="28">
        <v>46044</v>
      </c>
      <c r="E239" s="8"/>
      <c r="F239" s="29">
        <v>45992</v>
      </c>
      <c r="G239" s="30">
        <v>536480000</v>
      </c>
    </row>
    <row r="240" spans="2:7" x14ac:dyDescent="0.25">
      <c r="B240" s="40" t="s">
        <v>162</v>
      </c>
      <c r="C240" s="8" t="s">
        <v>619</v>
      </c>
      <c r="D240" s="28">
        <v>46044</v>
      </c>
      <c r="E240" s="8"/>
      <c r="F240" s="29">
        <v>45992</v>
      </c>
      <c r="G240" s="30">
        <v>490090000</v>
      </c>
    </row>
    <row r="241" spans="2:7" x14ac:dyDescent="0.25">
      <c r="B241" s="40" t="s">
        <v>96</v>
      </c>
      <c r="C241" s="8" t="s">
        <v>671</v>
      </c>
      <c r="D241" s="28">
        <v>46044</v>
      </c>
      <c r="E241" s="8"/>
      <c r="F241" s="29">
        <v>45992</v>
      </c>
      <c r="G241" s="30">
        <v>486910000</v>
      </c>
    </row>
    <row r="242" spans="2:7" x14ac:dyDescent="0.25">
      <c r="B242" s="40" t="s">
        <v>809</v>
      </c>
      <c r="C242" s="8" t="s">
        <v>810</v>
      </c>
      <c r="D242" s="28">
        <v>46044</v>
      </c>
      <c r="E242" s="8"/>
      <c r="F242" s="29">
        <v>45992</v>
      </c>
      <c r="G242" s="30">
        <v>466580000</v>
      </c>
    </row>
    <row r="243" spans="2:7" x14ac:dyDescent="0.25">
      <c r="B243" s="40" t="s">
        <v>480</v>
      </c>
      <c r="C243" s="8" t="s">
        <v>481</v>
      </c>
      <c r="D243" s="28">
        <v>46042</v>
      </c>
      <c r="E243" s="8"/>
      <c r="F243" s="29">
        <v>45992</v>
      </c>
      <c r="G243" s="30">
        <v>453050000</v>
      </c>
    </row>
    <row r="244" spans="2:7" x14ac:dyDescent="0.25">
      <c r="B244" s="40" t="s">
        <v>132</v>
      </c>
      <c r="C244" s="8" t="s">
        <v>410</v>
      </c>
      <c r="D244" s="28">
        <v>46044</v>
      </c>
      <c r="E244" s="8"/>
      <c r="F244" s="29">
        <v>45992</v>
      </c>
      <c r="G244" s="30">
        <v>445270000</v>
      </c>
    </row>
    <row r="245" spans="2:7" x14ac:dyDescent="0.25">
      <c r="B245" s="40" t="s">
        <v>134</v>
      </c>
      <c r="C245" s="8" t="s">
        <v>780</v>
      </c>
      <c r="D245" s="28">
        <v>46044</v>
      </c>
      <c r="E245" s="8"/>
      <c r="F245" s="29">
        <v>45992</v>
      </c>
      <c r="G245" s="30">
        <v>442300000</v>
      </c>
    </row>
    <row r="246" spans="2:7" x14ac:dyDescent="0.25">
      <c r="B246" s="40" t="s">
        <v>653</v>
      </c>
      <c r="C246" s="8" t="s">
        <v>654</v>
      </c>
      <c r="D246" s="28">
        <v>46044</v>
      </c>
      <c r="E246" s="8"/>
      <c r="F246" s="29">
        <v>45992</v>
      </c>
      <c r="G246" s="30">
        <v>440260000</v>
      </c>
    </row>
    <row r="247" spans="2:7" x14ac:dyDescent="0.25">
      <c r="B247" s="40" t="s">
        <v>613</v>
      </c>
      <c r="C247" s="8" t="s">
        <v>614</v>
      </c>
      <c r="D247" s="28">
        <v>46042</v>
      </c>
      <c r="E247" s="8"/>
      <c r="F247" s="29">
        <v>45992</v>
      </c>
      <c r="G247" s="30">
        <v>431950000</v>
      </c>
    </row>
    <row r="248" spans="2:7" x14ac:dyDescent="0.25">
      <c r="B248" s="40" t="s">
        <v>713</v>
      </c>
      <c r="C248" s="8" t="s">
        <v>714</v>
      </c>
      <c r="D248" s="28">
        <v>46044</v>
      </c>
      <c r="E248" s="8"/>
      <c r="F248" s="29">
        <v>45992</v>
      </c>
      <c r="G248" s="30">
        <v>415360000</v>
      </c>
    </row>
    <row r="249" spans="2:7" x14ac:dyDescent="0.25">
      <c r="B249" s="40" t="s">
        <v>136</v>
      </c>
      <c r="C249" s="8" t="s">
        <v>629</v>
      </c>
      <c r="D249" s="28">
        <v>46044</v>
      </c>
      <c r="E249" s="8"/>
      <c r="F249" s="29">
        <v>45992</v>
      </c>
      <c r="G249" s="30">
        <v>406410000</v>
      </c>
    </row>
    <row r="250" spans="2:7" x14ac:dyDescent="0.25">
      <c r="B250" s="40" t="s">
        <v>551</v>
      </c>
      <c r="C250" s="8" t="s">
        <v>552</v>
      </c>
      <c r="D250" s="28">
        <v>46042</v>
      </c>
      <c r="E250" s="8"/>
      <c r="F250" s="29">
        <v>45992</v>
      </c>
      <c r="G250" s="30">
        <v>403630000</v>
      </c>
    </row>
    <row r="251" spans="2:7" x14ac:dyDescent="0.25">
      <c r="B251" s="40" t="s">
        <v>781</v>
      </c>
      <c r="C251" s="8" t="s">
        <v>782</v>
      </c>
      <c r="D251" s="28">
        <v>46044</v>
      </c>
      <c r="E251" s="8"/>
      <c r="F251" s="29">
        <v>45992</v>
      </c>
      <c r="G251" s="30">
        <v>401120000</v>
      </c>
    </row>
    <row r="252" spans="2:7" x14ac:dyDescent="0.25">
      <c r="B252" s="40" t="s">
        <v>711</v>
      </c>
      <c r="C252" s="8" t="s">
        <v>712</v>
      </c>
      <c r="D252" s="28">
        <v>46044</v>
      </c>
      <c r="E252" s="8"/>
      <c r="F252" s="29">
        <v>45992</v>
      </c>
      <c r="G252" s="30">
        <v>399650000</v>
      </c>
    </row>
    <row r="253" spans="2:7" x14ac:dyDescent="0.25">
      <c r="B253" s="40" t="s">
        <v>138</v>
      </c>
      <c r="C253" s="8" t="s">
        <v>747</v>
      </c>
      <c r="D253" s="28">
        <v>46043</v>
      </c>
      <c r="E253" s="8"/>
      <c r="F253" s="29">
        <v>45992</v>
      </c>
      <c r="G253" s="30">
        <v>399030000</v>
      </c>
    </row>
    <row r="254" spans="2:7" x14ac:dyDescent="0.25">
      <c r="B254" s="40" t="s">
        <v>140</v>
      </c>
      <c r="C254" s="8" t="s">
        <v>516</v>
      </c>
      <c r="D254" s="28">
        <v>46044</v>
      </c>
      <c r="E254" s="8"/>
      <c r="F254" s="29">
        <v>45992</v>
      </c>
      <c r="G254" s="30">
        <v>398280000</v>
      </c>
    </row>
    <row r="255" spans="2:7" x14ac:dyDescent="0.25">
      <c r="B255" s="40" t="s">
        <v>766</v>
      </c>
      <c r="C255" s="8" t="s">
        <v>767</v>
      </c>
      <c r="D255" s="28">
        <v>46044</v>
      </c>
      <c r="E255" s="8"/>
      <c r="F255" s="29">
        <v>45992</v>
      </c>
      <c r="G255" s="30">
        <v>385500000</v>
      </c>
    </row>
    <row r="256" spans="2:7" x14ac:dyDescent="0.25">
      <c r="B256" s="40" t="s">
        <v>142</v>
      </c>
      <c r="C256" s="8" t="s">
        <v>469</v>
      </c>
      <c r="D256" s="28">
        <v>46044</v>
      </c>
      <c r="E256" s="8"/>
      <c r="F256" s="29">
        <v>45992</v>
      </c>
      <c r="G256" s="30">
        <v>384880000</v>
      </c>
    </row>
    <row r="257" spans="2:7" x14ac:dyDescent="0.25">
      <c r="B257" s="40" t="s">
        <v>526</v>
      </c>
      <c r="C257" s="8" t="s">
        <v>527</v>
      </c>
      <c r="D257" s="28">
        <v>46043</v>
      </c>
      <c r="E257" s="8"/>
      <c r="F257" s="29">
        <v>45992</v>
      </c>
      <c r="G257" s="30">
        <v>380210000</v>
      </c>
    </row>
    <row r="258" spans="2:7" x14ac:dyDescent="0.25">
      <c r="B258" s="40" t="s">
        <v>547</v>
      </c>
      <c r="C258" s="8" t="s">
        <v>548</v>
      </c>
      <c r="D258" s="28">
        <v>46042</v>
      </c>
      <c r="E258" s="8"/>
      <c r="F258" s="29">
        <v>45992</v>
      </c>
      <c r="G258" s="30">
        <v>373750000</v>
      </c>
    </row>
    <row r="259" spans="2:7" x14ac:dyDescent="0.25">
      <c r="B259" s="40" t="s">
        <v>666</v>
      </c>
      <c r="C259" s="8" t="s">
        <v>667</v>
      </c>
      <c r="D259" s="28">
        <v>46043</v>
      </c>
      <c r="E259" s="8"/>
      <c r="F259" s="29">
        <v>45992</v>
      </c>
      <c r="G259" s="30">
        <v>370450000</v>
      </c>
    </row>
    <row r="260" spans="2:7" x14ac:dyDescent="0.25">
      <c r="B260" s="40" t="s">
        <v>144</v>
      </c>
      <c r="C260" s="8" t="s">
        <v>697</v>
      </c>
      <c r="D260" s="28">
        <v>46043</v>
      </c>
      <c r="E260" s="8" t="s">
        <v>363</v>
      </c>
      <c r="F260" s="29">
        <v>45992</v>
      </c>
      <c r="G260" s="30">
        <v>368210000</v>
      </c>
    </row>
    <row r="261" spans="2:7" x14ac:dyDescent="0.25">
      <c r="B261" s="40" t="s">
        <v>146</v>
      </c>
      <c r="C261" s="8" t="s">
        <v>589</v>
      </c>
      <c r="D261" s="28">
        <v>46044</v>
      </c>
      <c r="E261" s="8"/>
      <c r="F261" s="29">
        <v>45992</v>
      </c>
      <c r="G261" s="30">
        <v>367550000</v>
      </c>
    </row>
    <row r="262" spans="2:7" x14ac:dyDescent="0.25">
      <c r="B262" s="40" t="s">
        <v>148</v>
      </c>
      <c r="C262" s="8" t="s">
        <v>742</v>
      </c>
      <c r="D262" s="28">
        <v>46043</v>
      </c>
      <c r="E262" s="8"/>
      <c r="F262" s="29">
        <v>45992</v>
      </c>
      <c r="G262" s="30">
        <v>346700000</v>
      </c>
    </row>
    <row r="263" spans="2:7" x14ac:dyDescent="0.25">
      <c r="B263" s="40" t="s">
        <v>355</v>
      </c>
      <c r="C263" s="8" t="s">
        <v>356</v>
      </c>
      <c r="D263" s="28">
        <v>46044</v>
      </c>
      <c r="E263" s="8"/>
      <c r="F263" s="29">
        <v>45992</v>
      </c>
      <c r="G263" s="30">
        <v>345910000</v>
      </c>
    </row>
    <row r="264" spans="2:7" x14ac:dyDescent="0.25">
      <c r="B264" s="40" t="s">
        <v>149</v>
      </c>
      <c r="C264" s="8" t="s">
        <v>885</v>
      </c>
      <c r="D264" s="28">
        <v>46044</v>
      </c>
      <c r="E264" s="8"/>
      <c r="F264" s="29">
        <v>45992</v>
      </c>
      <c r="G264" s="30">
        <v>345550000</v>
      </c>
    </row>
    <row r="265" spans="2:7" x14ac:dyDescent="0.25">
      <c r="B265" s="40" t="s">
        <v>864</v>
      </c>
      <c r="C265" s="8" t="s">
        <v>865</v>
      </c>
      <c r="D265" s="28">
        <v>46042</v>
      </c>
      <c r="E265" s="8" t="s">
        <v>321</v>
      </c>
      <c r="F265" s="29">
        <v>45992</v>
      </c>
      <c r="G265" s="30">
        <v>325520000</v>
      </c>
    </row>
    <row r="266" spans="2:7" x14ac:dyDescent="0.25">
      <c r="B266" s="40" t="s">
        <v>507</v>
      </c>
      <c r="C266" s="8" t="s">
        <v>508</v>
      </c>
      <c r="D266" s="28">
        <v>46043</v>
      </c>
      <c r="E266" s="8"/>
      <c r="F266" s="29">
        <v>45992</v>
      </c>
      <c r="G266" s="30">
        <v>319390000</v>
      </c>
    </row>
    <row r="267" spans="2:7" x14ac:dyDescent="0.25">
      <c r="B267" s="40" t="s">
        <v>151</v>
      </c>
      <c r="C267" s="8" t="s">
        <v>374</v>
      </c>
      <c r="D267" s="28">
        <v>46044</v>
      </c>
      <c r="E267" s="8"/>
      <c r="F267" s="29">
        <v>45992</v>
      </c>
      <c r="G267" s="30">
        <v>315550000</v>
      </c>
    </row>
    <row r="268" spans="2:7" x14ac:dyDescent="0.25">
      <c r="B268" s="40" t="s">
        <v>467</v>
      </c>
      <c r="C268" s="8" t="s">
        <v>468</v>
      </c>
      <c r="D268" s="28">
        <v>46042</v>
      </c>
      <c r="E268" s="8"/>
      <c r="F268" s="29">
        <v>45992</v>
      </c>
      <c r="G268" s="30">
        <v>311600000</v>
      </c>
    </row>
    <row r="269" spans="2:7" x14ac:dyDescent="0.25">
      <c r="B269" s="40" t="s">
        <v>559</v>
      </c>
      <c r="C269" s="8" t="s">
        <v>560</v>
      </c>
      <c r="D269" s="28">
        <v>46043</v>
      </c>
      <c r="E269" s="8" t="s">
        <v>363</v>
      </c>
      <c r="F269" s="29">
        <v>45992</v>
      </c>
      <c r="G269" s="30">
        <v>310530000</v>
      </c>
    </row>
    <row r="270" spans="2:7" x14ac:dyDescent="0.25">
      <c r="B270" s="40" t="s">
        <v>153</v>
      </c>
      <c r="C270" s="8" t="s">
        <v>519</v>
      </c>
      <c r="D270" s="28">
        <v>46042</v>
      </c>
      <c r="E270" s="8"/>
      <c r="F270" s="29">
        <v>45992</v>
      </c>
      <c r="G270" s="30">
        <v>307660000</v>
      </c>
    </row>
    <row r="271" spans="2:7" x14ac:dyDescent="0.25">
      <c r="B271" s="40" t="s">
        <v>154</v>
      </c>
      <c r="C271" s="8" t="s">
        <v>514</v>
      </c>
      <c r="D271" s="28">
        <v>46043</v>
      </c>
      <c r="E271" s="8"/>
      <c r="F271" s="29">
        <v>45992</v>
      </c>
      <c r="G271" s="30">
        <v>301990000</v>
      </c>
    </row>
    <row r="272" spans="2:7" x14ac:dyDescent="0.25">
      <c r="B272" s="40" t="s">
        <v>832</v>
      </c>
      <c r="C272" s="8" t="s">
        <v>833</v>
      </c>
      <c r="D272" s="28">
        <v>46043</v>
      </c>
      <c r="E272" s="8"/>
      <c r="F272" s="29">
        <v>45992</v>
      </c>
      <c r="G272" s="30">
        <v>295270000</v>
      </c>
    </row>
    <row r="273" spans="2:7" x14ac:dyDescent="0.25">
      <c r="B273" s="40" t="s">
        <v>155</v>
      </c>
      <c r="C273" s="8" t="s">
        <v>741</v>
      </c>
      <c r="D273" s="28">
        <v>46044</v>
      </c>
      <c r="E273" s="8"/>
      <c r="F273" s="29">
        <v>45992</v>
      </c>
      <c r="G273" s="30">
        <v>287570000</v>
      </c>
    </row>
    <row r="274" spans="2:7" x14ac:dyDescent="0.25">
      <c r="B274" s="40" t="s">
        <v>157</v>
      </c>
      <c r="C274" s="8" t="s">
        <v>445</v>
      </c>
      <c r="D274" s="28">
        <v>46042</v>
      </c>
      <c r="E274" s="8"/>
      <c r="F274" s="29">
        <v>45992</v>
      </c>
      <c r="G274" s="30">
        <v>285460000</v>
      </c>
    </row>
    <row r="275" spans="2:7" x14ac:dyDescent="0.25">
      <c r="B275" s="40" t="s">
        <v>159</v>
      </c>
      <c r="C275" s="8" t="s">
        <v>642</v>
      </c>
      <c r="D275" s="28">
        <v>46044</v>
      </c>
      <c r="E275" s="8"/>
      <c r="F275" s="29">
        <v>45992</v>
      </c>
      <c r="G275" s="30">
        <v>283930000</v>
      </c>
    </row>
    <row r="276" spans="2:7" x14ac:dyDescent="0.25">
      <c r="B276" s="40" t="s">
        <v>797</v>
      </c>
      <c r="C276" s="8" t="s">
        <v>798</v>
      </c>
      <c r="D276" s="28">
        <v>46044</v>
      </c>
      <c r="E276" s="8"/>
      <c r="F276" s="29">
        <v>45992</v>
      </c>
      <c r="G276" s="30">
        <v>272780000</v>
      </c>
    </row>
    <row r="277" spans="2:7" x14ac:dyDescent="0.25">
      <c r="B277" s="40" t="s">
        <v>325</v>
      </c>
      <c r="C277" s="8" t="s">
        <v>326</v>
      </c>
      <c r="D277" s="28">
        <v>46043</v>
      </c>
      <c r="E277" s="8"/>
      <c r="F277" s="29">
        <v>45992</v>
      </c>
      <c r="G277" s="30">
        <v>270750000</v>
      </c>
    </row>
    <row r="278" spans="2:7" x14ac:dyDescent="0.25">
      <c r="B278" s="40" t="s">
        <v>895</v>
      </c>
      <c r="C278" s="8" t="s">
        <v>896</v>
      </c>
      <c r="D278" s="28">
        <v>46042</v>
      </c>
      <c r="E278" s="8"/>
      <c r="F278" s="29">
        <v>45992</v>
      </c>
      <c r="G278" s="30">
        <v>261950000</v>
      </c>
    </row>
    <row r="279" spans="2:7" x14ac:dyDescent="0.25">
      <c r="B279" s="40" t="s">
        <v>161</v>
      </c>
      <c r="C279" s="8" t="s">
        <v>698</v>
      </c>
      <c r="D279" s="28">
        <v>46044</v>
      </c>
      <c r="E279" s="8"/>
      <c r="F279" s="29">
        <v>45992</v>
      </c>
      <c r="G279" s="30">
        <v>257220000</v>
      </c>
    </row>
    <row r="280" spans="2:7" x14ac:dyDescent="0.25">
      <c r="B280" s="40" t="s">
        <v>130</v>
      </c>
      <c r="C280" s="8" t="s">
        <v>672</v>
      </c>
      <c r="D280" s="28">
        <v>46044</v>
      </c>
      <c r="E280" s="8"/>
      <c r="F280" s="29">
        <v>45992</v>
      </c>
      <c r="G280" s="30">
        <v>253170000</v>
      </c>
    </row>
    <row r="281" spans="2:7" x14ac:dyDescent="0.25">
      <c r="B281" s="40" t="s">
        <v>801</v>
      </c>
      <c r="C281" s="8" t="s">
        <v>802</v>
      </c>
      <c r="D281" s="28">
        <v>46043</v>
      </c>
      <c r="E281" s="8"/>
      <c r="F281" s="29">
        <v>45992</v>
      </c>
      <c r="G281" s="30">
        <v>252800000</v>
      </c>
    </row>
    <row r="282" spans="2:7" x14ac:dyDescent="0.25">
      <c r="B282" s="40" t="s">
        <v>128</v>
      </c>
      <c r="C282" s="8" t="s">
        <v>717</v>
      </c>
      <c r="D282" s="28">
        <v>46045</v>
      </c>
      <c r="E282" s="8"/>
      <c r="F282" s="29">
        <v>45992</v>
      </c>
      <c r="G282" s="30">
        <v>251220000</v>
      </c>
    </row>
    <row r="283" spans="2:7" x14ac:dyDescent="0.25">
      <c r="B283" s="40" t="s">
        <v>521</v>
      </c>
      <c r="C283" s="8" t="s">
        <v>522</v>
      </c>
      <c r="D283" s="28">
        <v>46042</v>
      </c>
      <c r="E283" s="8"/>
      <c r="F283" s="29">
        <v>45992</v>
      </c>
      <c r="G283" s="30">
        <v>249970000</v>
      </c>
    </row>
    <row r="284" spans="2:7" x14ac:dyDescent="0.25">
      <c r="B284" s="40" t="s">
        <v>455</v>
      </c>
      <c r="C284" s="8" t="s">
        <v>456</v>
      </c>
      <c r="D284" s="28">
        <v>46042</v>
      </c>
      <c r="E284" s="8"/>
      <c r="F284" s="29">
        <v>45992</v>
      </c>
      <c r="G284" s="30">
        <v>242640000</v>
      </c>
    </row>
    <row r="285" spans="2:7" x14ac:dyDescent="0.25">
      <c r="B285" s="40" t="s">
        <v>889</v>
      </c>
      <c r="C285" s="8" t="s">
        <v>890</v>
      </c>
      <c r="D285" s="28">
        <v>46043</v>
      </c>
      <c r="E285" s="8"/>
      <c r="F285" s="29">
        <v>45992</v>
      </c>
      <c r="G285" s="30">
        <v>242560000</v>
      </c>
    </row>
    <row r="286" spans="2:7" x14ac:dyDescent="0.25">
      <c r="B286" s="40" t="s">
        <v>339</v>
      </c>
      <c r="C286" s="8" t="s">
        <v>340</v>
      </c>
      <c r="D286" s="28">
        <v>46042</v>
      </c>
      <c r="E286" s="8"/>
      <c r="F286" s="29">
        <v>45962</v>
      </c>
      <c r="G286" s="30">
        <v>240200000</v>
      </c>
    </row>
    <row r="287" spans="2:7" x14ac:dyDescent="0.25">
      <c r="B287" s="40" t="s">
        <v>528</v>
      </c>
      <c r="C287" s="8" t="s">
        <v>529</v>
      </c>
      <c r="D287" s="28">
        <v>46045</v>
      </c>
      <c r="E287" s="8"/>
      <c r="F287" s="29">
        <v>45992</v>
      </c>
      <c r="G287" s="30">
        <v>223460000</v>
      </c>
    </row>
    <row r="288" spans="2:7" x14ac:dyDescent="0.25">
      <c r="B288" s="40" t="s">
        <v>805</v>
      </c>
      <c r="C288" s="8" t="s">
        <v>806</v>
      </c>
      <c r="D288" s="28">
        <v>46042</v>
      </c>
      <c r="E288" s="8" t="s">
        <v>321</v>
      </c>
      <c r="F288" s="29">
        <v>45992</v>
      </c>
      <c r="G288" s="30">
        <v>219550000</v>
      </c>
    </row>
    <row r="289" spans="2:7" x14ac:dyDescent="0.25">
      <c r="B289" s="40" t="s">
        <v>608</v>
      </c>
      <c r="C289" s="8" t="s">
        <v>609</v>
      </c>
      <c r="D289" s="28">
        <v>46044</v>
      </c>
      <c r="E289" s="8"/>
      <c r="F289" s="29">
        <v>45931</v>
      </c>
      <c r="G289" s="30">
        <v>218610000</v>
      </c>
    </row>
    <row r="290" spans="2:7" x14ac:dyDescent="0.25">
      <c r="B290" s="40" t="s">
        <v>127</v>
      </c>
      <c r="C290" s="8" t="s">
        <v>337</v>
      </c>
      <c r="D290" s="28">
        <v>46044</v>
      </c>
      <c r="E290" s="8"/>
      <c r="F290" s="29">
        <v>45992</v>
      </c>
      <c r="G290" s="30">
        <v>216320000</v>
      </c>
    </row>
    <row r="291" spans="2:7" x14ac:dyDescent="0.25">
      <c r="B291" s="40" t="s">
        <v>111</v>
      </c>
      <c r="C291" s="8" t="s">
        <v>351</v>
      </c>
      <c r="D291" s="28">
        <v>46045</v>
      </c>
      <c r="E291" s="8"/>
      <c r="F291" s="29">
        <v>45992</v>
      </c>
      <c r="G291" s="30">
        <v>215810000</v>
      </c>
    </row>
    <row r="292" spans="2:7" x14ac:dyDescent="0.25">
      <c r="B292" s="40" t="s">
        <v>318</v>
      </c>
      <c r="C292" s="8" t="s">
        <v>319</v>
      </c>
      <c r="D292" s="28">
        <v>46042</v>
      </c>
      <c r="E292" s="8"/>
      <c r="F292" s="29">
        <v>45992</v>
      </c>
      <c r="G292" s="30">
        <v>214740000</v>
      </c>
    </row>
    <row r="293" spans="2:7" x14ac:dyDescent="0.25">
      <c r="B293" s="40" t="s">
        <v>98</v>
      </c>
      <c r="C293" s="8" t="s">
        <v>888</v>
      </c>
      <c r="D293" s="28">
        <v>46044</v>
      </c>
      <c r="E293" s="8"/>
      <c r="F293" s="29">
        <v>45992</v>
      </c>
      <c r="G293" s="30">
        <v>213300000</v>
      </c>
    </row>
    <row r="294" spans="2:7" x14ac:dyDescent="0.25">
      <c r="B294" s="40" t="s">
        <v>100</v>
      </c>
      <c r="C294" s="8" t="s">
        <v>751</v>
      </c>
      <c r="D294" s="28">
        <v>46044</v>
      </c>
      <c r="E294" s="8"/>
      <c r="F294" s="29">
        <v>45992</v>
      </c>
      <c r="G294" s="30">
        <v>213210000</v>
      </c>
    </row>
    <row r="295" spans="2:7" x14ac:dyDescent="0.25">
      <c r="B295" s="40" t="s">
        <v>103</v>
      </c>
      <c r="C295" s="8" t="s">
        <v>668</v>
      </c>
      <c r="D295" s="28">
        <v>46045</v>
      </c>
      <c r="E295" s="8"/>
      <c r="F295" s="29">
        <v>45992</v>
      </c>
      <c r="G295" s="30">
        <v>210880000</v>
      </c>
    </row>
    <row r="296" spans="2:7" x14ac:dyDescent="0.25">
      <c r="B296" s="40" t="s">
        <v>419</v>
      </c>
      <c r="C296" s="8" t="s">
        <v>420</v>
      </c>
      <c r="D296" s="28">
        <v>46042</v>
      </c>
      <c r="E296" s="8"/>
      <c r="F296" s="29">
        <v>45992</v>
      </c>
      <c r="G296" s="30">
        <v>208670000</v>
      </c>
    </row>
    <row r="297" spans="2:7" x14ac:dyDescent="0.25">
      <c r="B297" s="40" t="s">
        <v>105</v>
      </c>
      <c r="C297" s="8" t="s">
        <v>707</v>
      </c>
      <c r="D297" s="28">
        <v>46044</v>
      </c>
      <c r="E297" s="8"/>
      <c r="F297" s="29">
        <v>45992</v>
      </c>
      <c r="G297" s="30">
        <v>207260000</v>
      </c>
    </row>
    <row r="298" spans="2:7" x14ac:dyDescent="0.25">
      <c r="B298" s="40" t="s">
        <v>771</v>
      </c>
      <c r="C298" s="8" t="s">
        <v>772</v>
      </c>
      <c r="D298" s="28">
        <v>46044</v>
      </c>
      <c r="E298" s="8"/>
      <c r="F298" s="29">
        <v>45992</v>
      </c>
      <c r="G298" s="30">
        <v>205340000</v>
      </c>
    </row>
    <row r="299" spans="2:7" x14ac:dyDescent="0.25">
      <c r="B299" s="40" t="s">
        <v>106</v>
      </c>
      <c r="C299" s="8" t="s">
        <v>690</v>
      </c>
      <c r="D299" s="28">
        <v>46044</v>
      </c>
      <c r="E299" s="8"/>
      <c r="F299" s="29">
        <v>45992</v>
      </c>
      <c r="G299" s="30">
        <v>202660000</v>
      </c>
    </row>
    <row r="300" spans="2:7" x14ac:dyDescent="0.25">
      <c r="B300" s="40" t="s">
        <v>633</v>
      </c>
      <c r="C300" s="8" t="s">
        <v>634</v>
      </c>
      <c r="D300" s="28">
        <v>46042</v>
      </c>
      <c r="E300" s="8"/>
      <c r="F300" s="29">
        <v>45992</v>
      </c>
      <c r="G300" s="30">
        <v>193980000</v>
      </c>
    </row>
    <row r="301" spans="2:7" x14ac:dyDescent="0.25">
      <c r="B301" s="40" t="s">
        <v>406</v>
      </c>
      <c r="C301" s="8" t="s">
        <v>407</v>
      </c>
      <c r="D301" s="28">
        <v>46042</v>
      </c>
      <c r="E301" s="8"/>
      <c r="F301" s="29">
        <v>45992</v>
      </c>
      <c r="G301" s="30">
        <v>192250000</v>
      </c>
    </row>
    <row r="302" spans="2:7" x14ac:dyDescent="0.25">
      <c r="B302" s="40" t="s">
        <v>875</v>
      </c>
      <c r="C302" s="8" t="s">
        <v>876</v>
      </c>
      <c r="D302" s="28">
        <v>46042</v>
      </c>
      <c r="E302" s="8"/>
      <c r="F302" s="29">
        <v>45992</v>
      </c>
      <c r="G302" s="30">
        <v>190410000</v>
      </c>
    </row>
    <row r="303" spans="2:7" x14ac:dyDescent="0.25">
      <c r="B303" s="40" t="s">
        <v>108</v>
      </c>
      <c r="C303" s="8" t="s">
        <v>869</v>
      </c>
      <c r="D303" s="28">
        <v>46044</v>
      </c>
      <c r="E303" s="8"/>
      <c r="F303" s="29">
        <v>45992</v>
      </c>
      <c r="G303" s="30">
        <v>187200000</v>
      </c>
    </row>
    <row r="304" spans="2:7" x14ac:dyDescent="0.25">
      <c r="B304" s="40" t="s">
        <v>109</v>
      </c>
      <c r="C304" s="8" t="s">
        <v>399</v>
      </c>
      <c r="D304" s="28">
        <v>46045</v>
      </c>
      <c r="E304" s="8"/>
      <c r="F304" s="29">
        <v>45992</v>
      </c>
      <c r="G304" s="30">
        <v>180690000</v>
      </c>
    </row>
    <row r="305" spans="2:7" x14ac:dyDescent="0.25">
      <c r="B305" s="40" t="s">
        <v>843</v>
      </c>
      <c r="C305" s="8" t="s">
        <v>844</v>
      </c>
      <c r="D305" s="28">
        <v>46042</v>
      </c>
      <c r="E305" s="8"/>
      <c r="F305" s="29">
        <v>45901</v>
      </c>
      <c r="G305" s="30">
        <v>171520000</v>
      </c>
    </row>
    <row r="306" spans="2:7" x14ac:dyDescent="0.25">
      <c r="B306" s="40" t="s">
        <v>113</v>
      </c>
      <c r="C306" s="8" t="s">
        <v>497</v>
      </c>
      <c r="D306" s="28">
        <v>46045</v>
      </c>
      <c r="E306" s="8"/>
      <c r="F306" s="29">
        <v>45992</v>
      </c>
      <c r="G306" s="30">
        <v>170290000</v>
      </c>
    </row>
    <row r="307" spans="2:7" x14ac:dyDescent="0.25">
      <c r="B307" s="40" t="s">
        <v>816</v>
      </c>
      <c r="C307" s="8" t="s">
        <v>817</v>
      </c>
      <c r="D307" s="28">
        <v>46044</v>
      </c>
      <c r="E307" s="8"/>
      <c r="F307" s="29">
        <v>45992</v>
      </c>
      <c r="G307" s="30">
        <v>153980000</v>
      </c>
    </row>
    <row r="308" spans="2:7" x14ac:dyDescent="0.25">
      <c r="B308" s="40" t="s">
        <v>768</v>
      </c>
      <c r="C308" s="8" t="s">
        <v>769</v>
      </c>
      <c r="D308" s="28">
        <v>46044</v>
      </c>
      <c r="E308" s="8"/>
      <c r="F308" s="29">
        <v>45992</v>
      </c>
      <c r="G308" s="30">
        <v>149700000</v>
      </c>
    </row>
    <row r="309" spans="2:7" x14ac:dyDescent="0.25">
      <c r="B309" s="40" t="s">
        <v>646</v>
      </c>
      <c r="C309" s="8" t="s">
        <v>647</v>
      </c>
      <c r="D309" s="28">
        <v>46042</v>
      </c>
      <c r="E309" s="8"/>
      <c r="F309" s="29">
        <v>45992</v>
      </c>
      <c r="G309" s="30">
        <v>148460000</v>
      </c>
    </row>
    <row r="310" spans="2:7" x14ac:dyDescent="0.25">
      <c r="B310" s="40" t="s">
        <v>453</v>
      </c>
      <c r="C310" s="8" t="s">
        <v>454</v>
      </c>
      <c r="D310" s="28">
        <v>46044</v>
      </c>
      <c r="E310" s="8"/>
      <c r="F310" s="29">
        <v>45992</v>
      </c>
      <c r="G310" s="30">
        <v>147150000</v>
      </c>
    </row>
    <row r="311" spans="2:7" x14ac:dyDescent="0.25">
      <c r="B311" s="40" t="s">
        <v>427</v>
      </c>
      <c r="C311" s="8" t="s">
        <v>428</v>
      </c>
      <c r="D311" s="28">
        <v>46044</v>
      </c>
      <c r="E311" s="8"/>
      <c r="F311" s="29">
        <v>45962</v>
      </c>
      <c r="G311" s="30">
        <v>141510000</v>
      </c>
    </row>
    <row r="312" spans="2:7" x14ac:dyDescent="0.25">
      <c r="B312" s="40" t="s">
        <v>762</v>
      </c>
      <c r="C312" s="8" t="s">
        <v>763</v>
      </c>
      <c r="D312" s="28">
        <v>46042</v>
      </c>
      <c r="E312" s="8"/>
      <c r="F312" s="29">
        <v>45901</v>
      </c>
      <c r="G312" s="30">
        <v>140200000</v>
      </c>
    </row>
    <row r="313" spans="2:7" x14ac:dyDescent="0.25">
      <c r="B313" s="40" t="s">
        <v>438</v>
      </c>
      <c r="C313" s="8" t="s">
        <v>439</v>
      </c>
      <c r="D313" s="28">
        <v>46042</v>
      </c>
      <c r="E313" s="8"/>
      <c r="F313" s="29">
        <v>45992</v>
      </c>
      <c r="G313" s="30">
        <v>138030000</v>
      </c>
    </row>
    <row r="314" spans="2:7" x14ac:dyDescent="0.25">
      <c r="B314" s="40" t="s">
        <v>126</v>
      </c>
      <c r="C314" s="8" t="s">
        <v>462</v>
      </c>
      <c r="D314" s="28">
        <v>46044</v>
      </c>
      <c r="E314" s="8"/>
      <c r="F314" s="29">
        <v>45992</v>
      </c>
      <c r="G314" s="30">
        <v>137000000</v>
      </c>
    </row>
    <row r="315" spans="2:7" x14ac:dyDescent="0.25">
      <c r="B315" s="40" t="s">
        <v>115</v>
      </c>
      <c r="C315" s="8" t="s">
        <v>765</v>
      </c>
      <c r="D315" s="28">
        <v>46044</v>
      </c>
      <c r="E315" s="8"/>
      <c r="F315" s="29">
        <v>45992</v>
      </c>
      <c r="G315" s="30">
        <v>135590000</v>
      </c>
    </row>
    <row r="316" spans="2:7" x14ac:dyDescent="0.25">
      <c r="B316" s="40" t="s">
        <v>545</v>
      </c>
      <c r="C316" s="8" t="s">
        <v>546</v>
      </c>
      <c r="D316" s="28">
        <v>46044</v>
      </c>
      <c r="E316" s="8"/>
      <c r="F316" s="29">
        <v>45931</v>
      </c>
      <c r="G316" s="30">
        <v>134980000</v>
      </c>
    </row>
    <row r="317" spans="2:7" x14ac:dyDescent="0.25">
      <c r="B317" s="40" t="s">
        <v>404</v>
      </c>
      <c r="C317" s="8" t="s">
        <v>405</v>
      </c>
      <c r="D317" s="28">
        <v>46045</v>
      </c>
      <c r="E317" s="8"/>
      <c r="F317" s="29">
        <v>45992</v>
      </c>
      <c r="G317" s="30">
        <v>134520000</v>
      </c>
    </row>
    <row r="318" spans="2:7" x14ac:dyDescent="0.25">
      <c r="B318" s="40" t="s">
        <v>446</v>
      </c>
      <c r="C318" s="8" t="s">
        <v>447</v>
      </c>
      <c r="D318" s="28">
        <v>46042</v>
      </c>
      <c r="E318" s="8"/>
      <c r="F318" s="29">
        <v>45992</v>
      </c>
      <c r="G318" s="30">
        <v>131110000</v>
      </c>
    </row>
    <row r="319" spans="2:7" x14ac:dyDescent="0.25">
      <c r="B319" s="40" t="s">
        <v>872</v>
      </c>
      <c r="C319" s="8" t="s">
        <v>873</v>
      </c>
      <c r="D319" s="28">
        <v>46044</v>
      </c>
      <c r="E319" s="8"/>
      <c r="F319" s="29">
        <v>45992</v>
      </c>
      <c r="G319" s="30">
        <v>127180000</v>
      </c>
    </row>
    <row r="320" spans="2:7" x14ac:dyDescent="0.25">
      <c r="B320" s="40" t="s">
        <v>538</v>
      </c>
      <c r="C320" s="8" t="s">
        <v>539</v>
      </c>
      <c r="D320" s="28">
        <v>46044</v>
      </c>
      <c r="E320" s="8"/>
      <c r="F320" s="29">
        <v>45992</v>
      </c>
      <c r="G320" s="30">
        <v>126870000</v>
      </c>
    </row>
    <row r="321" spans="2:7" x14ac:dyDescent="0.25">
      <c r="B321" s="40" t="s">
        <v>721</v>
      </c>
      <c r="C321" s="8" t="s">
        <v>722</v>
      </c>
      <c r="D321" s="28">
        <v>46044</v>
      </c>
      <c r="E321" s="8"/>
      <c r="F321" s="29">
        <v>45992</v>
      </c>
      <c r="G321" s="30">
        <v>125530000</v>
      </c>
    </row>
    <row r="322" spans="2:7" x14ac:dyDescent="0.25">
      <c r="B322" s="40" t="s">
        <v>679</v>
      </c>
      <c r="C322" s="8" t="s">
        <v>680</v>
      </c>
      <c r="D322" s="28">
        <v>46045</v>
      </c>
      <c r="E322" s="8"/>
      <c r="F322" s="29">
        <v>45992</v>
      </c>
      <c r="G322" s="30">
        <v>124770000</v>
      </c>
    </row>
    <row r="323" spans="2:7" x14ac:dyDescent="0.25">
      <c r="B323" s="40" t="s">
        <v>803</v>
      </c>
      <c r="C323" s="8" t="s">
        <v>804</v>
      </c>
      <c r="D323" s="28">
        <v>46045</v>
      </c>
      <c r="E323" s="8"/>
      <c r="F323" s="29">
        <v>45992</v>
      </c>
      <c r="G323" s="30">
        <v>123600000</v>
      </c>
    </row>
    <row r="324" spans="2:7" x14ac:dyDescent="0.25">
      <c r="B324" s="40" t="s">
        <v>397</v>
      </c>
      <c r="C324" s="8" t="s">
        <v>398</v>
      </c>
      <c r="D324" s="28">
        <v>46045</v>
      </c>
      <c r="E324" s="8"/>
      <c r="F324" s="29">
        <v>45992</v>
      </c>
      <c r="G324" s="30">
        <v>122220000</v>
      </c>
    </row>
    <row r="325" spans="2:7" x14ac:dyDescent="0.25">
      <c r="B325" s="40" t="s">
        <v>595</v>
      </c>
      <c r="C325" s="8" t="s">
        <v>596</v>
      </c>
      <c r="D325" s="28">
        <v>46042</v>
      </c>
      <c r="E325" s="8"/>
      <c r="F325" s="29">
        <v>45992</v>
      </c>
      <c r="G325" s="30">
        <v>119530000</v>
      </c>
    </row>
    <row r="326" spans="2:7" x14ac:dyDescent="0.25">
      <c r="B326" s="40" t="s">
        <v>615</v>
      </c>
      <c r="C326" s="8" t="s">
        <v>616</v>
      </c>
      <c r="D326" s="28">
        <v>46044</v>
      </c>
      <c r="E326" s="8"/>
      <c r="F326" s="29">
        <v>45992</v>
      </c>
      <c r="G326" s="30">
        <v>118610000</v>
      </c>
    </row>
    <row r="327" spans="2:7" x14ac:dyDescent="0.25">
      <c r="B327" s="40" t="s">
        <v>651</v>
      </c>
      <c r="C327" s="8" t="s">
        <v>652</v>
      </c>
      <c r="D327" s="28">
        <v>46044</v>
      </c>
      <c r="E327" s="8"/>
      <c r="F327" s="29">
        <v>45992</v>
      </c>
      <c r="G327" s="30">
        <v>115230000</v>
      </c>
    </row>
    <row r="328" spans="2:7" x14ac:dyDescent="0.25">
      <c r="B328" s="40" t="s">
        <v>116</v>
      </c>
      <c r="C328" s="8" t="s">
        <v>632</v>
      </c>
      <c r="D328" s="28">
        <v>46043</v>
      </c>
      <c r="E328" s="8"/>
      <c r="F328" s="29">
        <v>45992</v>
      </c>
      <c r="G328" s="30">
        <v>112300000</v>
      </c>
    </row>
    <row r="329" spans="2:7" x14ac:dyDescent="0.25">
      <c r="B329" s="40" t="s">
        <v>881</v>
      </c>
      <c r="C329" s="8" t="s">
        <v>882</v>
      </c>
      <c r="D329" s="28">
        <v>46043</v>
      </c>
      <c r="E329" s="8"/>
      <c r="F329" s="29">
        <v>45992</v>
      </c>
      <c r="G329" s="30">
        <v>109660000</v>
      </c>
    </row>
    <row r="330" spans="2:7" x14ac:dyDescent="0.25">
      <c r="B330" s="40" t="s">
        <v>501</v>
      </c>
      <c r="C330" s="8" t="s">
        <v>502</v>
      </c>
      <c r="D330" s="28">
        <v>46045</v>
      </c>
      <c r="E330" s="8"/>
      <c r="F330" s="29">
        <v>45992</v>
      </c>
      <c r="G330" s="30">
        <v>105130000</v>
      </c>
    </row>
    <row r="331" spans="2:7" x14ac:dyDescent="0.25">
      <c r="B331" s="40" t="s">
        <v>463</v>
      </c>
      <c r="C331" s="8" t="s">
        <v>464</v>
      </c>
      <c r="D331" s="28">
        <v>46043</v>
      </c>
      <c r="E331" s="8"/>
      <c r="F331" s="29">
        <v>45931</v>
      </c>
      <c r="G331" s="30">
        <v>104540000</v>
      </c>
    </row>
    <row r="332" spans="2:7" x14ac:dyDescent="0.25">
      <c r="B332" s="40" t="s">
        <v>421</v>
      </c>
      <c r="C332" s="8" t="s">
        <v>422</v>
      </c>
      <c r="D332" s="28">
        <v>46044</v>
      </c>
      <c r="E332" s="8"/>
      <c r="F332" s="29">
        <v>45992</v>
      </c>
      <c r="G332" s="30">
        <v>102510000</v>
      </c>
    </row>
    <row r="333" spans="2:7" x14ac:dyDescent="0.25">
      <c r="B333" s="40" t="s">
        <v>417</v>
      </c>
      <c r="C333" s="8" t="s">
        <v>418</v>
      </c>
      <c r="D333" s="28">
        <v>46042</v>
      </c>
      <c r="E333" s="8"/>
      <c r="F333" s="29">
        <v>45962</v>
      </c>
      <c r="G333" s="30">
        <v>94380000</v>
      </c>
    </row>
    <row r="334" spans="2:7" x14ac:dyDescent="0.25">
      <c r="B334" s="40" t="s">
        <v>726</v>
      </c>
      <c r="C334" s="8" t="s">
        <v>727</v>
      </c>
      <c r="D334" s="28">
        <v>46044</v>
      </c>
      <c r="E334" s="8"/>
      <c r="F334" s="29">
        <v>45992</v>
      </c>
      <c r="G334" s="30">
        <v>90790000</v>
      </c>
    </row>
    <row r="335" spans="2:7" x14ac:dyDescent="0.25">
      <c r="B335" s="40" t="s">
        <v>572</v>
      </c>
      <c r="C335" s="8" t="s">
        <v>573</v>
      </c>
      <c r="D335" s="28">
        <v>46044</v>
      </c>
      <c r="E335" s="8"/>
      <c r="F335" s="29">
        <v>45931</v>
      </c>
      <c r="G335" s="30">
        <v>87520000</v>
      </c>
    </row>
    <row r="336" spans="2:7" x14ac:dyDescent="0.25">
      <c r="B336" s="40" t="s">
        <v>701</v>
      </c>
      <c r="C336" s="8" t="s">
        <v>702</v>
      </c>
      <c r="D336" s="28">
        <v>46042</v>
      </c>
      <c r="E336" s="8"/>
      <c r="F336" s="29">
        <v>45992</v>
      </c>
      <c r="G336" s="30">
        <v>85890000</v>
      </c>
    </row>
    <row r="337" spans="2:7" x14ac:dyDescent="0.25">
      <c r="B337" s="40" t="s">
        <v>414</v>
      </c>
      <c r="C337" s="8" t="s">
        <v>415</v>
      </c>
      <c r="D337" s="28">
        <v>46043</v>
      </c>
      <c r="E337" s="8"/>
      <c r="F337" s="29">
        <v>45992</v>
      </c>
      <c r="G337" s="30">
        <v>84280000</v>
      </c>
    </row>
    <row r="338" spans="2:7" x14ac:dyDescent="0.25">
      <c r="B338" s="40" t="s">
        <v>345</v>
      </c>
      <c r="C338" s="8" t="s">
        <v>346</v>
      </c>
      <c r="D338" s="28">
        <v>46045</v>
      </c>
      <c r="E338" s="8"/>
      <c r="F338" s="29">
        <v>45992</v>
      </c>
      <c r="G338" s="30">
        <v>70300000</v>
      </c>
    </row>
    <row r="339" spans="2:7" x14ac:dyDescent="0.25">
      <c r="B339" s="40" t="s">
        <v>828</v>
      </c>
      <c r="C339" s="8" t="s">
        <v>829</v>
      </c>
      <c r="D339" s="28">
        <v>46043</v>
      </c>
      <c r="E339" s="8"/>
      <c r="F339" s="29">
        <v>45992</v>
      </c>
      <c r="G339" s="30">
        <v>66830000</v>
      </c>
    </row>
    <row r="340" spans="2:7" x14ac:dyDescent="0.25">
      <c r="B340" s="40" t="s">
        <v>341</v>
      </c>
      <c r="C340" s="8" t="s">
        <v>342</v>
      </c>
      <c r="D340" s="28">
        <v>46045</v>
      </c>
      <c r="E340" s="8"/>
      <c r="F340" s="29">
        <v>45992</v>
      </c>
      <c r="G340" s="30">
        <v>66800000</v>
      </c>
    </row>
    <row r="341" spans="2:7" x14ac:dyDescent="0.25">
      <c r="B341" s="40" t="s">
        <v>620</v>
      </c>
      <c r="C341" s="8" t="s">
        <v>621</v>
      </c>
      <c r="D341" s="28">
        <v>46045</v>
      </c>
      <c r="E341" s="8"/>
      <c r="F341" s="29">
        <v>45992</v>
      </c>
      <c r="G341" s="30">
        <v>66470000</v>
      </c>
    </row>
    <row r="342" spans="2:7" x14ac:dyDescent="0.25">
      <c r="B342" s="40" t="s">
        <v>118</v>
      </c>
      <c r="C342" s="8" t="s">
        <v>436</v>
      </c>
      <c r="D342" s="28">
        <v>46044</v>
      </c>
      <c r="E342" s="8"/>
      <c r="F342" s="29">
        <v>45992</v>
      </c>
      <c r="G342" s="30">
        <v>64489999.999999903</v>
      </c>
    </row>
    <row r="343" spans="2:7" x14ac:dyDescent="0.25">
      <c r="B343" s="40" t="s">
        <v>793</v>
      </c>
      <c r="C343" s="8" t="s">
        <v>794</v>
      </c>
      <c r="D343" s="28">
        <v>46045</v>
      </c>
      <c r="E343" s="8"/>
      <c r="F343" s="29">
        <v>45992</v>
      </c>
      <c r="G343" s="30">
        <v>59770000</v>
      </c>
    </row>
    <row r="344" spans="2:7" x14ac:dyDescent="0.25">
      <c r="B344" s="40" t="s">
        <v>517</v>
      </c>
      <c r="C344" s="8" t="s">
        <v>518</v>
      </c>
      <c r="D344" s="28">
        <v>46044</v>
      </c>
      <c r="E344" s="8"/>
      <c r="F344" s="29">
        <v>45992</v>
      </c>
      <c r="G344" s="30">
        <v>59550000</v>
      </c>
    </row>
    <row r="345" spans="2:7" x14ac:dyDescent="0.25">
      <c r="B345" s="40" t="s">
        <v>705</v>
      </c>
      <c r="C345" s="8" t="s">
        <v>706</v>
      </c>
      <c r="D345" s="28">
        <v>46044</v>
      </c>
      <c r="E345" s="8"/>
      <c r="F345" s="29">
        <v>45931</v>
      </c>
      <c r="G345" s="30">
        <v>56940000</v>
      </c>
    </row>
    <row r="346" spans="2:7" x14ac:dyDescent="0.25">
      <c r="B346" s="40" t="s">
        <v>425</v>
      </c>
      <c r="C346" s="8" t="s">
        <v>426</v>
      </c>
      <c r="D346" s="28">
        <v>46044</v>
      </c>
      <c r="E346" s="8"/>
      <c r="F346" s="29">
        <v>45992</v>
      </c>
      <c r="G346" s="30">
        <v>54720000</v>
      </c>
    </row>
    <row r="347" spans="2:7" x14ac:dyDescent="0.25">
      <c r="B347" s="40" t="s">
        <v>465</v>
      </c>
      <c r="C347" s="8" t="s">
        <v>466</v>
      </c>
      <c r="D347" s="28">
        <v>46044</v>
      </c>
      <c r="E347" s="8"/>
      <c r="F347" s="29">
        <v>45992</v>
      </c>
      <c r="G347" s="30">
        <v>51440000</v>
      </c>
    </row>
    <row r="348" spans="2:7" x14ac:dyDescent="0.25">
      <c r="B348" s="40" t="s">
        <v>120</v>
      </c>
      <c r="C348" s="8" t="s">
        <v>348</v>
      </c>
      <c r="D348" s="28">
        <v>46042</v>
      </c>
      <c r="E348" s="8"/>
      <c r="F348" s="29">
        <v>45992</v>
      </c>
      <c r="G348" s="30">
        <v>50890000</v>
      </c>
    </row>
    <row r="349" spans="2:7" x14ac:dyDescent="0.25">
      <c r="B349" s="40" t="s">
        <v>625</v>
      </c>
      <c r="C349" s="8" t="s">
        <v>626</v>
      </c>
      <c r="D349" s="28">
        <v>46045</v>
      </c>
      <c r="E349" s="8"/>
      <c r="F349" s="29">
        <v>45931</v>
      </c>
      <c r="G349" s="30">
        <v>50540000</v>
      </c>
    </row>
    <row r="350" spans="2:7" x14ac:dyDescent="0.25">
      <c r="B350" s="40" t="s">
        <v>431</v>
      </c>
      <c r="C350" s="8" t="s">
        <v>432</v>
      </c>
      <c r="D350" s="28">
        <v>46045</v>
      </c>
      <c r="E350" s="8"/>
      <c r="F350" s="29">
        <v>45992</v>
      </c>
      <c r="G350" s="30">
        <v>49940000</v>
      </c>
    </row>
    <row r="351" spans="2:7" x14ac:dyDescent="0.25">
      <c r="B351" s="40" t="s">
        <v>504</v>
      </c>
      <c r="C351" s="8" t="s">
        <v>505</v>
      </c>
      <c r="D351" s="28">
        <v>46044</v>
      </c>
      <c r="E351" s="8"/>
      <c r="F351" s="29">
        <v>45992</v>
      </c>
      <c r="G351" s="30">
        <v>49860000</v>
      </c>
    </row>
    <row r="352" spans="2:7" x14ac:dyDescent="0.25">
      <c r="B352" s="40" t="s">
        <v>383</v>
      </c>
      <c r="C352" s="8" t="s">
        <v>384</v>
      </c>
      <c r="D352" s="28">
        <v>46044</v>
      </c>
      <c r="E352" s="8"/>
      <c r="F352" s="29">
        <v>45962</v>
      </c>
      <c r="G352" s="30">
        <v>34440000</v>
      </c>
    </row>
    <row r="353" spans="2:7" x14ac:dyDescent="0.25">
      <c r="B353" s="40" t="s">
        <v>728</v>
      </c>
      <c r="C353" s="8" t="s">
        <v>729</v>
      </c>
      <c r="D353" s="28">
        <v>46044</v>
      </c>
      <c r="E353" s="8"/>
      <c r="F353" s="29">
        <v>45992</v>
      </c>
      <c r="G353" s="30">
        <v>30090000</v>
      </c>
    </row>
    <row r="354" spans="2:7" x14ac:dyDescent="0.25">
      <c r="B354" s="40" t="s">
        <v>675</v>
      </c>
      <c r="C354" s="8" t="s">
        <v>676</v>
      </c>
      <c r="D354" s="28">
        <v>46043</v>
      </c>
      <c r="E354" s="8"/>
      <c r="F354" s="29">
        <v>45992</v>
      </c>
      <c r="G354" s="30">
        <v>29470000</v>
      </c>
    </row>
    <row r="355" spans="2:7" x14ac:dyDescent="0.25">
      <c r="B355" s="40" t="s">
        <v>902</v>
      </c>
      <c r="C355" s="8" t="s">
        <v>903</v>
      </c>
      <c r="D355" s="28">
        <v>46044</v>
      </c>
      <c r="E355" s="8"/>
      <c r="F355" s="29">
        <v>45931</v>
      </c>
      <c r="G355" s="30">
        <v>28880000</v>
      </c>
    </row>
    <row r="356" spans="2:7" x14ac:dyDescent="0.25">
      <c r="B356" s="40" t="s">
        <v>739</v>
      </c>
      <c r="C356" s="8" t="s">
        <v>740</v>
      </c>
      <c r="D356" s="28">
        <v>46043</v>
      </c>
      <c r="E356" s="8"/>
      <c r="F356" s="29">
        <v>45992</v>
      </c>
      <c r="G356" s="30">
        <v>25460000</v>
      </c>
    </row>
    <row r="357" spans="2:7" x14ac:dyDescent="0.25">
      <c r="B357" s="40" t="s">
        <v>543</v>
      </c>
      <c r="C357" s="8" t="s">
        <v>544</v>
      </c>
      <c r="D357" s="28">
        <v>46043</v>
      </c>
      <c r="E357" s="8"/>
      <c r="F357" s="29">
        <v>45992</v>
      </c>
      <c r="G357" s="30">
        <v>24230000</v>
      </c>
    </row>
    <row r="358" spans="2:7" x14ac:dyDescent="0.25">
      <c r="B358" s="40" t="s">
        <v>787</v>
      </c>
      <c r="C358" s="8" t="s">
        <v>788</v>
      </c>
      <c r="D358" s="28">
        <v>46043</v>
      </c>
      <c r="E358" s="8"/>
      <c r="F358" s="29">
        <v>45992</v>
      </c>
      <c r="G358" s="30">
        <v>21370000</v>
      </c>
    </row>
    <row r="359" spans="2:7" x14ac:dyDescent="0.25">
      <c r="B359" s="40" t="s">
        <v>905</v>
      </c>
      <c r="C359" s="8" t="s">
        <v>906</v>
      </c>
      <c r="D359" s="28">
        <v>46045</v>
      </c>
      <c r="E359" s="8"/>
      <c r="F359" s="29">
        <v>45992</v>
      </c>
      <c r="G359" s="30">
        <v>21250000</v>
      </c>
    </row>
    <row r="360" spans="2:7" x14ac:dyDescent="0.25">
      <c r="B360" s="40" t="s">
        <v>617</v>
      </c>
      <c r="C360" s="8" t="s">
        <v>618</v>
      </c>
      <c r="D360" s="28">
        <v>46042</v>
      </c>
      <c r="E360" s="8"/>
      <c r="F360" s="29">
        <v>45992</v>
      </c>
      <c r="G360" s="30">
        <v>19790000</v>
      </c>
    </row>
    <row r="361" spans="2:7" x14ac:dyDescent="0.25">
      <c r="B361" s="40" t="s">
        <v>121</v>
      </c>
      <c r="C361" s="8" t="s">
        <v>448</v>
      </c>
      <c r="D361" s="28">
        <v>46042</v>
      </c>
      <c r="E361" s="8"/>
      <c r="F361" s="29">
        <v>45992</v>
      </c>
      <c r="G361" s="30">
        <v>18420000</v>
      </c>
    </row>
    <row r="362" spans="2:7" x14ac:dyDescent="0.25">
      <c r="B362" s="40" t="s">
        <v>378</v>
      </c>
      <c r="C362" s="8" t="s">
        <v>379</v>
      </c>
      <c r="D362" s="28">
        <v>46044</v>
      </c>
      <c r="E362" s="8"/>
      <c r="F362" s="29">
        <v>45992</v>
      </c>
      <c r="G362" s="30">
        <v>18340000</v>
      </c>
    </row>
    <row r="363" spans="2:7" x14ac:dyDescent="0.25">
      <c r="B363" s="40" t="s">
        <v>636</v>
      </c>
      <c r="C363" s="8" t="s">
        <v>637</v>
      </c>
      <c r="D363" s="28">
        <v>46042</v>
      </c>
      <c r="E363" s="8"/>
      <c r="F363" s="29">
        <v>45962</v>
      </c>
      <c r="G363" s="30">
        <v>18300000</v>
      </c>
    </row>
    <row r="364" spans="2:7" x14ac:dyDescent="0.25">
      <c r="B364" s="40" t="s">
        <v>534</v>
      </c>
      <c r="C364" s="8" t="s">
        <v>535</v>
      </c>
      <c r="D364" s="28">
        <v>46044</v>
      </c>
      <c r="E364" s="8"/>
      <c r="F364" s="29">
        <v>45992</v>
      </c>
      <c r="G364" s="30">
        <v>17400000</v>
      </c>
    </row>
    <row r="365" spans="2:7" x14ac:dyDescent="0.25">
      <c r="B365" s="40" t="s">
        <v>736</v>
      </c>
      <c r="C365" s="8" t="s">
        <v>737</v>
      </c>
      <c r="D365" s="28">
        <v>46043</v>
      </c>
      <c r="E365" s="8"/>
      <c r="F365" s="29">
        <v>45992</v>
      </c>
      <c r="G365" s="30">
        <v>15010000</v>
      </c>
    </row>
    <row r="366" spans="2:7" x14ac:dyDescent="0.25">
      <c r="B366" s="40" t="s">
        <v>789</v>
      </c>
      <c r="C366" s="8" t="s">
        <v>790</v>
      </c>
      <c r="D366" s="28">
        <v>46043</v>
      </c>
      <c r="E366" s="8"/>
      <c r="F366" s="29">
        <v>45992</v>
      </c>
      <c r="G366" s="30">
        <v>14840000</v>
      </c>
    </row>
    <row r="367" spans="2:7" x14ac:dyDescent="0.25">
      <c r="B367" s="40" t="s">
        <v>852</v>
      </c>
      <c r="C367" s="8" t="s">
        <v>853</v>
      </c>
      <c r="D367" s="28">
        <v>46042</v>
      </c>
      <c r="E367" s="8"/>
      <c r="F367" s="29">
        <v>45931</v>
      </c>
      <c r="G367" s="30">
        <v>10760000</v>
      </c>
    </row>
    <row r="368" spans="2:7" x14ac:dyDescent="0.25">
      <c r="B368" s="40" t="s">
        <v>850</v>
      </c>
      <c r="C368" s="8" t="s">
        <v>851</v>
      </c>
      <c r="D368" s="28">
        <v>46043</v>
      </c>
      <c r="E368" s="8"/>
      <c r="F368" s="29">
        <v>45992</v>
      </c>
      <c r="G368" s="30">
        <v>10500000</v>
      </c>
    </row>
    <row r="369" spans="2:7" x14ac:dyDescent="0.25">
      <c r="B369" s="40" t="s">
        <v>848</v>
      </c>
      <c r="C369" s="8" t="s">
        <v>849</v>
      </c>
      <c r="D369" s="28">
        <v>46043</v>
      </c>
      <c r="E369" s="8"/>
      <c r="F369" s="29">
        <v>45962</v>
      </c>
      <c r="G369" s="30">
        <v>10260000</v>
      </c>
    </row>
    <row r="370" spans="2:7" x14ac:dyDescent="0.25">
      <c r="B370" s="40" t="s">
        <v>313</v>
      </c>
      <c r="C370" s="8" t="s">
        <v>314</v>
      </c>
      <c r="D370" s="28">
        <v>46044</v>
      </c>
      <c r="E370" s="8"/>
      <c r="F370" s="29">
        <v>45992</v>
      </c>
      <c r="G370" s="30">
        <v>9730000</v>
      </c>
    </row>
    <row r="371" spans="2:7" x14ac:dyDescent="0.25">
      <c r="B371" s="40" t="s">
        <v>122</v>
      </c>
      <c r="C371" s="8" t="s">
        <v>631</v>
      </c>
      <c r="D371" s="28">
        <v>46043</v>
      </c>
      <c r="E371" s="8"/>
      <c r="F371" s="29">
        <v>45901</v>
      </c>
      <c r="G371" s="30">
        <v>8800000</v>
      </c>
    </row>
    <row r="372" spans="2:7" x14ac:dyDescent="0.25">
      <c r="B372" s="40" t="s">
        <v>387</v>
      </c>
      <c r="C372" s="8" t="s">
        <v>388</v>
      </c>
      <c r="D372" s="28">
        <v>46042</v>
      </c>
      <c r="E372" s="8"/>
      <c r="F372" s="29">
        <v>45992</v>
      </c>
      <c r="G372" s="30">
        <v>7730000</v>
      </c>
    </row>
    <row r="373" spans="2:7" x14ac:dyDescent="0.25">
      <c r="B373" s="40" t="s">
        <v>732</v>
      </c>
      <c r="C373" s="8" t="s">
        <v>733</v>
      </c>
      <c r="D373" s="28">
        <v>46043</v>
      </c>
      <c r="E373" s="8"/>
      <c r="F373" s="29">
        <v>45992</v>
      </c>
      <c r="G373" s="30">
        <v>7700000</v>
      </c>
    </row>
    <row r="374" spans="2:7" x14ac:dyDescent="0.25">
      <c r="B374" s="40" t="s">
        <v>688</v>
      </c>
      <c r="C374" s="8" t="s">
        <v>689</v>
      </c>
      <c r="D374" s="28">
        <v>46042</v>
      </c>
      <c r="E374" s="8"/>
      <c r="F374" s="29">
        <v>45992</v>
      </c>
      <c r="G374" s="30">
        <v>7460000</v>
      </c>
    </row>
    <row r="375" spans="2:7" x14ac:dyDescent="0.25">
      <c r="B375" s="40" t="s">
        <v>391</v>
      </c>
      <c r="C375" s="8" t="s">
        <v>392</v>
      </c>
      <c r="D375" s="28">
        <v>46044</v>
      </c>
      <c r="E375" s="8"/>
      <c r="F375" s="29">
        <v>45992</v>
      </c>
      <c r="G375" s="30">
        <v>5950000</v>
      </c>
    </row>
    <row r="376" spans="2:7" x14ac:dyDescent="0.25">
      <c r="B376" s="40" t="s">
        <v>123</v>
      </c>
      <c r="C376" s="8" t="s">
        <v>554</v>
      </c>
      <c r="D376" s="28">
        <v>46042</v>
      </c>
      <c r="E376" s="8"/>
      <c r="F376" s="29">
        <v>45992</v>
      </c>
      <c r="G376" s="30">
        <v>5250000</v>
      </c>
    </row>
    <row r="377" spans="2:7" x14ac:dyDescent="0.25">
      <c r="B377" s="40" t="s">
        <v>657</v>
      </c>
      <c r="C377" s="8" t="s">
        <v>658</v>
      </c>
      <c r="D377" s="28">
        <v>46042</v>
      </c>
      <c r="E377" s="8"/>
      <c r="F377" s="29">
        <v>45992</v>
      </c>
      <c r="G377" s="30">
        <v>4940000</v>
      </c>
    </row>
    <row r="378" spans="2:7" x14ac:dyDescent="0.25">
      <c r="B378" s="40" t="s">
        <v>408</v>
      </c>
      <c r="C378" s="8" t="s">
        <v>409</v>
      </c>
      <c r="D378" s="28">
        <v>46043</v>
      </c>
      <c r="E378" s="8"/>
      <c r="F378" s="29">
        <v>45992</v>
      </c>
      <c r="G378" s="30">
        <v>4430000</v>
      </c>
    </row>
    <row r="379" spans="2:7" x14ac:dyDescent="0.25">
      <c r="B379" s="40" t="s">
        <v>870</v>
      </c>
      <c r="C379" s="8" t="s">
        <v>871</v>
      </c>
      <c r="D379" s="28">
        <v>46043</v>
      </c>
      <c r="E379" s="8"/>
      <c r="F379" s="29">
        <v>45992</v>
      </c>
      <c r="G379" s="30">
        <v>2860000</v>
      </c>
    </row>
    <row r="380" spans="2:7" x14ac:dyDescent="0.25">
      <c r="B380" s="40" t="s">
        <v>393</v>
      </c>
      <c r="C380" s="8" t="s">
        <v>394</v>
      </c>
      <c r="D380" s="28">
        <v>46045</v>
      </c>
      <c r="E380" s="8"/>
      <c r="F380" s="29">
        <v>45992</v>
      </c>
      <c r="G380" s="30">
        <v>1810000</v>
      </c>
    </row>
    <row r="381" spans="2:7" x14ac:dyDescent="0.25">
      <c r="B381" s="40" t="s">
        <v>255</v>
      </c>
      <c r="C381" s="8" t="s">
        <v>723</v>
      </c>
      <c r="D381" s="28">
        <v>46042</v>
      </c>
      <c r="E381" s="8"/>
      <c r="F381" s="29">
        <v>45962</v>
      </c>
      <c r="G381" s="30">
        <v>1800000</v>
      </c>
    </row>
    <row r="382" spans="2:7" x14ac:dyDescent="0.25">
      <c r="B382" s="40" t="s">
        <v>818</v>
      </c>
      <c r="C382" s="8" t="s">
        <v>819</v>
      </c>
      <c r="D382" s="28">
        <v>46043</v>
      </c>
      <c r="E382" s="8"/>
      <c r="F382" s="29">
        <v>45992</v>
      </c>
      <c r="G382" s="30">
        <v>1580000</v>
      </c>
    </row>
    <row r="383" spans="2:7" x14ac:dyDescent="0.25">
      <c r="B383" s="40" t="s">
        <v>389</v>
      </c>
      <c r="C383" s="8" t="s">
        <v>390</v>
      </c>
      <c r="D383" s="28">
        <v>46045</v>
      </c>
      <c r="E383" s="8"/>
      <c r="F383" s="29">
        <v>45992</v>
      </c>
      <c r="G383" s="30">
        <v>0</v>
      </c>
    </row>
    <row r="384" spans="2:7" ht="15.75" thickBot="1" x14ac:dyDescent="0.3">
      <c r="B384" s="41" t="s">
        <v>216</v>
      </c>
      <c r="C384" s="31" t="s">
        <v>611</v>
      </c>
      <c r="D384" s="32">
        <v>46043</v>
      </c>
      <c r="E384" s="31"/>
      <c r="F384" s="33">
        <v>45992</v>
      </c>
      <c r="G384" s="34">
        <v>0</v>
      </c>
    </row>
  </sheetData>
  <autoFilter ref="B4:G4" xr:uid="{8B547673-64E6-4208-B646-17F26E10CAFF}">
    <sortState xmlns:xlrd2="http://schemas.microsoft.com/office/spreadsheetml/2017/richdata2" ref="B5:G385">
      <sortCondition descending="1" ref="G4"/>
    </sortState>
  </autoFilter>
  <mergeCells count="1">
    <mergeCell ref="B2:C3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B1:Y165"/>
  <sheetViews>
    <sheetView tabSelected="1" zoomScale="85" zoomScaleNormal="85" workbookViewId="0">
      <selection activeCell="AE21" sqref="AE21"/>
    </sheetView>
  </sheetViews>
  <sheetFormatPr defaultRowHeight="16.5" x14ac:dyDescent="0.3"/>
  <cols>
    <col min="1" max="1" width="4.625" style="4" customWidth="1"/>
    <col min="2" max="2" width="11.75" style="36" customWidth="1"/>
    <col min="3" max="3" width="18.5" hidden="1" customWidth="1"/>
    <col min="4" max="4" width="15.5" style="4" customWidth="1"/>
    <col min="5" max="5" width="13.75" hidden="1" customWidth="1"/>
    <col min="6" max="22" width="9.125" style="4" customWidth="1"/>
    <col min="23" max="23" width="9" hidden="1" customWidth="1"/>
    <col min="24" max="16384" width="9" style="4"/>
  </cols>
  <sheetData>
    <row r="1" spans="2:25" x14ac:dyDescent="0.3">
      <c r="C1">
        <v>3</v>
      </c>
      <c r="E1">
        <v>6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4">
        <v>20</v>
      </c>
      <c r="V1" s="4">
        <v>21</v>
      </c>
    </row>
    <row r="2" spans="2:25" x14ac:dyDescent="0.25">
      <c r="B2" s="5" t="s">
        <v>0</v>
      </c>
      <c r="C2" s="1" t="s">
        <v>1</v>
      </c>
      <c r="D2" s="5" t="s">
        <v>911</v>
      </c>
      <c r="E2" s="1" t="s">
        <v>2</v>
      </c>
      <c r="F2" s="5" t="s">
        <v>3</v>
      </c>
      <c r="G2" s="5" t="s">
        <v>4</v>
      </c>
      <c r="H2" s="5" t="s">
        <v>5</v>
      </c>
      <c r="I2" s="5" t="s">
        <v>6</v>
      </c>
      <c r="J2" s="5" t="s">
        <v>7</v>
      </c>
      <c r="K2" s="5" t="s">
        <v>8</v>
      </c>
      <c r="L2" s="5" t="s">
        <v>9</v>
      </c>
      <c r="M2" s="5" t="s">
        <v>10</v>
      </c>
      <c r="N2" s="5" t="s">
        <v>11</v>
      </c>
      <c r="O2" s="5" t="s">
        <v>12</v>
      </c>
      <c r="P2" s="5" t="s">
        <v>13</v>
      </c>
      <c r="Q2" s="5" t="s">
        <v>14</v>
      </c>
      <c r="R2" s="5" t="s">
        <v>15</v>
      </c>
      <c r="S2" s="5" t="s">
        <v>16</v>
      </c>
      <c r="T2" s="5" t="s">
        <v>17</v>
      </c>
      <c r="U2" s="5" t="s">
        <v>18</v>
      </c>
      <c r="V2" s="5" t="s">
        <v>19</v>
      </c>
      <c r="W2" s="1" t="s">
        <v>20</v>
      </c>
      <c r="Y2" s="37" t="s">
        <v>912</v>
      </c>
    </row>
    <row r="3" spans="2:25" customFormat="1" hidden="1" x14ac:dyDescent="0.3">
      <c r="B3" t="s">
        <v>21</v>
      </c>
      <c r="C3" t="s">
        <v>22</v>
      </c>
      <c r="D3" s="3">
        <v>9.3066629365412332</v>
      </c>
      <c r="E3">
        <v>5860.75</v>
      </c>
      <c r="F3">
        <v>5706</v>
      </c>
      <c r="G3">
        <v>1331</v>
      </c>
      <c r="H3">
        <v>5748</v>
      </c>
      <c r="I3">
        <v>6087</v>
      </c>
      <c r="J3">
        <v>5299</v>
      </c>
      <c r="K3">
        <v>2821</v>
      </c>
      <c r="L3">
        <v>5667</v>
      </c>
      <c r="M3">
        <v>5813</v>
      </c>
      <c r="N3">
        <v>5534</v>
      </c>
      <c r="O3">
        <v>4193</v>
      </c>
      <c r="P3">
        <v>5909</v>
      </c>
      <c r="Q3">
        <v>6276</v>
      </c>
      <c r="R3">
        <v>5037</v>
      </c>
      <c r="S3">
        <v>3582</v>
      </c>
      <c r="T3">
        <v>6182</v>
      </c>
      <c r="U3">
        <v>6646</v>
      </c>
      <c r="V3">
        <v>7033</v>
      </c>
      <c r="W3" t="s">
        <v>23</v>
      </c>
    </row>
    <row r="4" spans="2:25" customFormat="1" hidden="1" x14ac:dyDescent="0.3">
      <c r="B4" t="s">
        <v>24</v>
      </c>
      <c r="C4" t="s">
        <v>25</v>
      </c>
      <c r="D4" s="3">
        <v>0.21413276231263539</v>
      </c>
      <c r="E4">
        <v>-1.17</v>
      </c>
      <c r="F4">
        <v>-0.93</v>
      </c>
      <c r="G4">
        <v>-1.1599999999999999</v>
      </c>
      <c r="H4">
        <v>0.57999999999999996</v>
      </c>
      <c r="I4">
        <v>-1.21</v>
      </c>
      <c r="J4">
        <v>461.32</v>
      </c>
      <c r="K4">
        <v>-1.89</v>
      </c>
      <c r="L4">
        <v>-1.89</v>
      </c>
      <c r="M4">
        <v>-3.49</v>
      </c>
      <c r="N4">
        <v>-1.69</v>
      </c>
      <c r="O4">
        <v>-1.87</v>
      </c>
      <c r="P4">
        <v>-0.9</v>
      </c>
      <c r="Q4">
        <v>-0.97</v>
      </c>
      <c r="R4">
        <v>-1.39</v>
      </c>
      <c r="S4">
        <v>-1.81</v>
      </c>
      <c r="T4">
        <v>-0.64</v>
      </c>
      <c r="U4">
        <v>-0.83</v>
      </c>
      <c r="V4">
        <v>-1.4</v>
      </c>
      <c r="W4" t="s">
        <v>23</v>
      </c>
    </row>
    <row r="5" spans="2:25" x14ac:dyDescent="0.3">
      <c r="B5" s="36" t="s">
        <v>161</v>
      </c>
      <c r="C5" t="s">
        <v>27</v>
      </c>
      <c r="D5" s="35">
        <v>265.17205422314908</v>
      </c>
      <c r="E5">
        <v>8.754999999999999</v>
      </c>
      <c r="F5" s="38">
        <v>8.0299999999999994</v>
      </c>
      <c r="G5" s="38">
        <v>8.98</v>
      </c>
      <c r="H5" s="38">
        <v>8.61</v>
      </c>
      <c r="I5" s="38">
        <v>10.210000000000001</v>
      </c>
      <c r="J5" s="38">
        <v>8.58</v>
      </c>
      <c r="K5" s="38">
        <v>7.27</v>
      </c>
      <c r="L5" s="38">
        <v>8.24</v>
      </c>
      <c r="M5" s="38">
        <v>5.19</v>
      </c>
      <c r="N5" s="38">
        <v>0.45</v>
      </c>
      <c r="O5" s="38">
        <v>5.61</v>
      </c>
      <c r="P5" s="38">
        <v>5.34</v>
      </c>
      <c r="Q5" s="38">
        <v>4.8499999999999996</v>
      </c>
      <c r="R5" s="38">
        <v>-16.059999999999999</v>
      </c>
      <c r="S5" s="38">
        <v>7.29</v>
      </c>
      <c r="T5" s="39">
        <v>7.83</v>
      </c>
      <c r="U5" s="39">
        <v>10.53</v>
      </c>
      <c r="V5" s="39">
        <v>9.3699999999999992</v>
      </c>
      <c r="W5" t="s">
        <v>23</v>
      </c>
    </row>
    <row r="6" spans="2:25" x14ac:dyDescent="0.3">
      <c r="B6" s="36" t="s">
        <v>232</v>
      </c>
      <c r="C6" t="s">
        <v>27</v>
      </c>
      <c r="D6" s="35">
        <v>143.57061575420411</v>
      </c>
      <c r="E6">
        <v>144.47999999999999</v>
      </c>
      <c r="F6" s="38">
        <v>92.05</v>
      </c>
      <c r="G6" s="38">
        <v>92.91</v>
      </c>
      <c r="H6" s="38">
        <v>110.19</v>
      </c>
      <c r="I6" s="38">
        <v>122.44</v>
      </c>
      <c r="J6" s="39">
        <v>134.09</v>
      </c>
      <c r="K6" s="38">
        <v>130.69999999999999</v>
      </c>
      <c r="L6" s="38">
        <v>110.69</v>
      </c>
      <c r="M6" s="38">
        <v>102.67</v>
      </c>
      <c r="N6" s="38">
        <v>-138.01</v>
      </c>
      <c r="O6" s="38">
        <v>101.19</v>
      </c>
      <c r="P6" s="38">
        <v>102.88</v>
      </c>
      <c r="Q6" s="38">
        <v>108.14</v>
      </c>
      <c r="R6" s="38">
        <v>-177.75</v>
      </c>
      <c r="S6" s="39">
        <v>121.1</v>
      </c>
      <c r="T6" s="39">
        <v>139.63</v>
      </c>
      <c r="U6" s="39">
        <v>154.29</v>
      </c>
      <c r="V6" s="39">
        <v>162.9</v>
      </c>
      <c r="W6" t="s">
        <v>29</v>
      </c>
    </row>
    <row r="7" spans="2:25" x14ac:dyDescent="0.3">
      <c r="B7" s="36" t="s">
        <v>182</v>
      </c>
      <c r="C7" t="s">
        <v>27</v>
      </c>
      <c r="D7" s="35">
        <v>85.35800482703138</v>
      </c>
      <c r="E7">
        <v>576</v>
      </c>
      <c r="F7" s="38">
        <v>768</v>
      </c>
      <c r="G7" s="38">
        <v>537</v>
      </c>
      <c r="H7" s="38">
        <v>662</v>
      </c>
      <c r="I7" s="38">
        <v>664</v>
      </c>
      <c r="J7" s="38">
        <v>470</v>
      </c>
      <c r="K7" s="38">
        <v>392</v>
      </c>
      <c r="L7" s="38">
        <v>344</v>
      </c>
      <c r="M7" s="38">
        <v>367</v>
      </c>
      <c r="N7" s="38">
        <v>57</v>
      </c>
      <c r="O7" s="38">
        <v>278</v>
      </c>
      <c r="P7" s="38">
        <v>335</v>
      </c>
      <c r="Q7" s="38">
        <v>-506</v>
      </c>
      <c r="R7" s="38">
        <v>-413</v>
      </c>
      <c r="S7" s="38">
        <v>515</v>
      </c>
      <c r="T7" s="38">
        <v>539</v>
      </c>
      <c r="U7" s="39">
        <v>602</v>
      </c>
      <c r="V7" s="39">
        <v>648</v>
      </c>
      <c r="W7" t="s">
        <v>31</v>
      </c>
    </row>
    <row r="8" spans="2:25" customFormat="1" hidden="1" x14ac:dyDescent="0.3">
      <c r="B8" t="s">
        <v>32</v>
      </c>
      <c r="C8" t="s">
        <v>25</v>
      </c>
      <c r="D8" s="3">
        <v>1.3219807304503559</v>
      </c>
      <c r="E8">
        <v>22.61</v>
      </c>
      <c r="F8">
        <v>22.03</v>
      </c>
      <c r="G8">
        <v>24.05</v>
      </c>
      <c r="H8">
        <v>26.03</v>
      </c>
      <c r="I8">
        <v>21.75</v>
      </c>
      <c r="J8">
        <v>23.9</v>
      </c>
      <c r="K8">
        <v>19.53</v>
      </c>
      <c r="L8">
        <v>21.57</v>
      </c>
      <c r="M8">
        <v>18.61</v>
      </c>
      <c r="N8">
        <v>15.65</v>
      </c>
      <c r="O8">
        <v>16.14</v>
      </c>
      <c r="P8">
        <v>20.43</v>
      </c>
      <c r="Q8">
        <v>23.37</v>
      </c>
      <c r="R8">
        <v>22.66</v>
      </c>
      <c r="S8">
        <v>20.85</v>
      </c>
      <c r="T8">
        <v>22.08</v>
      </c>
      <c r="U8">
        <v>23.67</v>
      </c>
      <c r="V8">
        <v>23.84</v>
      </c>
      <c r="W8" t="s">
        <v>23</v>
      </c>
    </row>
    <row r="9" spans="2:25" x14ac:dyDescent="0.3">
      <c r="B9" s="36" t="s">
        <v>82</v>
      </c>
      <c r="C9" t="s">
        <v>27</v>
      </c>
      <c r="D9" s="35">
        <v>70.65737919024815</v>
      </c>
      <c r="E9">
        <v>39.200000000000003</v>
      </c>
      <c r="F9" s="38">
        <v>51.17</v>
      </c>
      <c r="G9" s="38">
        <v>48.02</v>
      </c>
      <c r="H9" s="38">
        <v>53.75</v>
      </c>
      <c r="I9" s="38">
        <v>54.91</v>
      </c>
      <c r="J9" s="38">
        <v>55.23</v>
      </c>
      <c r="K9" s="38">
        <v>50.93</v>
      </c>
      <c r="L9" s="38">
        <v>37.549999999999997</v>
      </c>
      <c r="M9" s="38">
        <v>23.08</v>
      </c>
      <c r="N9" s="38">
        <v>25.33</v>
      </c>
      <c r="O9" s="38">
        <v>24.28</v>
      </c>
      <c r="P9" s="38">
        <v>26.03</v>
      </c>
      <c r="Q9" s="38">
        <v>18.22</v>
      </c>
      <c r="R9" s="38">
        <v>-17.09</v>
      </c>
      <c r="S9" s="38">
        <v>28.71</v>
      </c>
      <c r="T9" s="39">
        <v>40.17</v>
      </c>
      <c r="U9" s="39">
        <v>40.090000000000003</v>
      </c>
      <c r="V9" s="39">
        <v>47.83</v>
      </c>
      <c r="W9" t="s">
        <v>23</v>
      </c>
    </row>
    <row r="10" spans="2:25" x14ac:dyDescent="0.3">
      <c r="B10" s="36" t="s">
        <v>65</v>
      </c>
      <c r="C10" t="s">
        <v>27</v>
      </c>
      <c r="D10" s="35">
        <v>51.715712312758953</v>
      </c>
      <c r="E10">
        <v>35.702500000000001</v>
      </c>
      <c r="F10" s="38">
        <v>47.78</v>
      </c>
      <c r="G10" s="38">
        <v>42.9</v>
      </c>
      <c r="H10" s="38">
        <v>122.32</v>
      </c>
      <c r="I10" s="38">
        <v>44.39</v>
      </c>
      <c r="J10" s="38">
        <v>0.72</v>
      </c>
      <c r="K10" s="38">
        <v>3.61</v>
      </c>
      <c r="L10" s="38">
        <v>18.97</v>
      </c>
      <c r="M10" s="38">
        <v>42.76</v>
      </c>
      <c r="N10" s="39">
        <v>17.48</v>
      </c>
      <c r="O10" s="39">
        <v>22.11</v>
      </c>
      <c r="P10" s="39">
        <v>36.06</v>
      </c>
      <c r="Q10" s="38">
        <v>17.84</v>
      </c>
      <c r="R10" s="38">
        <v>13.23</v>
      </c>
      <c r="S10" s="38">
        <v>13.13</v>
      </c>
      <c r="T10" s="38">
        <v>31.2</v>
      </c>
      <c r="U10" s="39">
        <v>36.57</v>
      </c>
      <c r="V10" s="39">
        <v>61.91</v>
      </c>
      <c r="W10" t="s">
        <v>35</v>
      </c>
    </row>
    <row r="11" spans="2:25" customFormat="1" hidden="1" x14ac:dyDescent="0.3">
      <c r="B11" t="s">
        <v>36</v>
      </c>
      <c r="C11" t="s">
        <v>25</v>
      </c>
      <c r="D11" s="3">
        <v>-197.23052918996231</v>
      </c>
      <c r="E11">
        <v>18.695</v>
      </c>
      <c r="F11">
        <v>20.82</v>
      </c>
      <c r="G11">
        <v>18.98</v>
      </c>
      <c r="H11">
        <v>17.34</v>
      </c>
      <c r="I11">
        <v>16.71</v>
      </c>
      <c r="J11">
        <v>23.06</v>
      </c>
      <c r="K11">
        <v>19.489999999999998</v>
      </c>
      <c r="L11">
        <v>1.78</v>
      </c>
      <c r="M11">
        <v>9.19</v>
      </c>
      <c r="N11">
        <v>11.34</v>
      </c>
      <c r="O11">
        <v>2.52</v>
      </c>
      <c r="P11">
        <v>4.2300000000000004</v>
      </c>
      <c r="Q11" s="2">
        <v>20.87</v>
      </c>
      <c r="R11">
        <v>-130.19999999999999</v>
      </c>
      <c r="S11">
        <v>21.11</v>
      </c>
      <c r="T11">
        <v>19.600000000000001</v>
      </c>
      <c r="U11" s="2">
        <v>12.58</v>
      </c>
      <c r="V11">
        <v>21.49</v>
      </c>
      <c r="W11" t="s">
        <v>37</v>
      </c>
    </row>
    <row r="12" spans="2:25" x14ac:dyDescent="0.3">
      <c r="B12" s="36" t="s">
        <v>189</v>
      </c>
      <c r="C12" t="s">
        <v>27</v>
      </c>
      <c r="D12" s="35">
        <v>35.788113695090431</v>
      </c>
      <c r="E12">
        <v>262.75</v>
      </c>
      <c r="F12" s="38">
        <v>899</v>
      </c>
      <c r="G12" s="38">
        <v>846</v>
      </c>
      <c r="H12" s="38">
        <v>634</v>
      </c>
      <c r="I12" s="38">
        <v>417</v>
      </c>
      <c r="J12" s="38">
        <v>445</v>
      </c>
      <c r="K12" s="38">
        <v>388</v>
      </c>
      <c r="L12" s="38">
        <v>403</v>
      </c>
      <c r="M12" s="38">
        <v>228</v>
      </c>
      <c r="N12" s="38">
        <v>84</v>
      </c>
      <c r="O12" s="38">
        <v>183</v>
      </c>
      <c r="P12" s="38">
        <v>279</v>
      </c>
      <c r="Q12" s="38">
        <v>265</v>
      </c>
      <c r="R12" s="38">
        <v>109</v>
      </c>
      <c r="S12" s="38">
        <v>-284</v>
      </c>
      <c r="T12" s="39">
        <v>436</v>
      </c>
      <c r="U12" s="39">
        <v>513</v>
      </c>
      <c r="V12" s="39">
        <v>386</v>
      </c>
      <c r="W12" t="s">
        <v>23</v>
      </c>
    </row>
    <row r="13" spans="2:25" x14ac:dyDescent="0.3">
      <c r="B13" s="36" t="s">
        <v>48</v>
      </c>
      <c r="C13" t="s">
        <v>27</v>
      </c>
      <c r="D13" s="35">
        <v>31.991373112868441</v>
      </c>
      <c r="E13">
        <v>13.77</v>
      </c>
      <c r="F13" s="38">
        <v>8.9</v>
      </c>
      <c r="G13" s="38">
        <v>10.5</v>
      </c>
      <c r="H13" s="38">
        <v>10.92</v>
      </c>
      <c r="I13" s="38">
        <v>11.67</v>
      </c>
      <c r="J13" s="39">
        <v>13.3</v>
      </c>
      <c r="K13" s="38">
        <v>12.22</v>
      </c>
      <c r="L13" s="38">
        <v>12.56</v>
      </c>
      <c r="M13" s="38">
        <v>13.8</v>
      </c>
      <c r="N13" s="38">
        <v>15.04</v>
      </c>
      <c r="O13" s="38">
        <v>14.08</v>
      </c>
      <c r="P13" s="38">
        <v>10.88</v>
      </c>
      <c r="Q13" s="38">
        <v>15.48</v>
      </c>
      <c r="R13" s="38">
        <v>2.5299999999999998</v>
      </c>
      <c r="S13" s="38">
        <v>12.99</v>
      </c>
      <c r="T13" s="38">
        <v>10.44</v>
      </c>
      <c r="U13" s="38">
        <v>15.77</v>
      </c>
      <c r="V13" s="39">
        <v>15.88</v>
      </c>
      <c r="W13" t="s">
        <v>41</v>
      </c>
    </row>
    <row r="14" spans="2:25" x14ac:dyDescent="0.3">
      <c r="B14" s="36" t="s">
        <v>55</v>
      </c>
      <c r="C14" t="s">
        <v>27</v>
      </c>
      <c r="D14" s="35">
        <v>29.886755292959119</v>
      </c>
      <c r="E14">
        <v>6.5950000000000024</v>
      </c>
      <c r="F14" s="38">
        <v>10.45</v>
      </c>
      <c r="G14" s="38">
        <v>19.260000000000002</v>
      </c>
      <c r="H14" s="38">
        <v>16.940000000000001</v>
      </c>
      <c r="I14" s="38">
        <v>18.809999999999999</v>
      </c>
      <c r="J14" s="38">
        <v>15.26</v>
      </c>
      <c r="K14" s="38">
        <v>14.85</v>
      </c>
      <c r="L14" s="38">
        <v>12.95</v>
      </c>
      <c r="M14" s="38">
        <v>14.27</v>
      </c>
      <c r="N14" s="38">
        <v>-39.659999999999997</v>
      </c>
      <c r="O14" s="39">
        <v>17.760000000000002</v>
      </c>
      <c r="P14" s="39">
        <v>16.3</v>
      </c>
      <c r="Q14" s="39">
        <v>23.84</v>
      </c>
      <c r="R14" s="39">
        <v>20.39</v>
      </c>
      <c r="S14" s="38">
        <v>18.850000000000001</v>
      </c>
      <c r="T14" s="38">
        <v>18.37</v>
      </c>
      <c r="U14" s="38">
        <v>-37.299999999999997</v>
      </c>
      <c r="V14" s="39">
        <v>26.46</v>
      </c>
      <c r="W14" t="s">
        <v>43</v>
      </c>
    </row>
    <row r="15" spans="2:25" x14ac:dyDescent="0.3">
      <c r="B15" s="36" t="s">
        <v>109</v>
      </c>
      <c r="C15" t="s">
        <v>27</v>
      </c>
      <c r="D15" s="35">
        <v>28.71759890859482</v>
      </c>
      <c r="E15">
        <v>4.7175000000000002</v>
      </c>
      <c r="F15" s="38">
        <v>3.33</v>
      </c>
      <c r="G15" s="38">
        <v>3.5</v>
      </c>
      <c r="H15" s="38">
        <v>3.43</v>
      </c>
      <c r="I15" s="38">
        <v>3.65</v>
      </c>
      <c r="J15" s="38">
        <v>3.98</v>
      </c>
      <c r="K15" s="38">
        <v>4.3099999999999996</v>
      </c>
      <c r="L15" s="39">
        <v>5.21</v>
      </c>
      <c r="M15" s="38">
        <v>5.08</v>
      </c>
      <c r="N15" s="38">
        <v>4.0199999999999996</v>
      </c>
      <c r="O15" s="38">
        <v>3.6</v>
      </c>
      <c r="P15" s="38">
        <v>4.72</v>
      </c>
      <c r="Q15" s="38">
        <v>5.24</v>
      </c>
      <c r="R15" s="38">
        <v>2.85</v>
      </c>
      <c r="S15" s="38">
        <v>2.7</v>
      </c>
      <c r="T15" s="38">
        <v>3.94</v>
      </c>
      <c r="U15" s="38">
        <v>5.17</v>
      </c>
      <c r="V15" s="39">
        <v>7.06</v>
      </c>
      <c r="W15" t="s">
        <v>45</v>
      </c>
    </row>
    <row r="16" spans="2:25" x14ac:dyDescent="0.3">
      <c r="B16" s="36" t="s">
        <v>163</v>
      </c>
      <c r="C16" t="s">
        <v>27</v>
      </c>
      <c r="D16" s="35">
        <v>27.06727168597736</v>
      </c>
      <c r="E16">
        <v>72.107500000000002</v>
      </c>
      <c r="F16" s="38">
        <v>115.25</v>
      </c>
      <c r="G16" s="38">
        <v>96.09</v>
      </c>
      <c r="H16" s="38">
        <v>77.55</v>
      </c>
      <c r="I16" s="38">
        <v>81.81</v>
      </c>
      <c r="J16" s="38">
        <v>35.85</v>
      </c>
      <c r="K16" s="38">
        <v>68.28</v>
      </c>
      <c r="L16" s="38">
        <v>68.34</v>
      </c>
      <c r="M16" s="39">
        <v>110.23</v>
      </c>
      <c r="N16" s="39">
        <v>83.89</v>
      </c>
      <c r="O16" s="38">
        <v>65.38</v>
      </c>
      <c r="P16" s="38">
        <v>77.12</v>
      </c>
      <c r="Q16" s="38">
        <v>46.02</v>
      </c>
      <c r="R16" s="38">
        <v>35.86</v>
      </c>
      <c r="S16" s="38">
        <v>11.89</v>
      </c>
      <c r="T16" s="38">
        <v>78.900000000000006</v>
      </c>
      <c r="U16" s="39">
        <v>100.34</v>
      </c>
      <c r="V16" s="39">
        <v>97.3</v>
      </c>
      <c r="W16" t="s">
        <v>47</v>
      </c>
    </row>
    <row r="17" spans="2:23" x14ac:dyDescent="0.3">
      <c r="B17" s="36" t="s">
        <v>229</v>
      </c>
      <c r="C17" t="s">
        <v>27</v>
      </c>
      <c r="D17" s="35">
        <v>26.416085227699</v>
      </c>
      <c r="E17">
        <v>84.25</v>
      </c>
      <c r="F17" s="38">
        <v>55.8</v>
      </c>
      <c r="G17" s="38">
        <v>52.96</v>
      </c>
      <c r="H17" s="38">
        <v>74.73</v>
      </c>
      <c r="I17" s="38">
        <v>69.959999999999994</v>
      </c>
      <c r="J17" s="39">
        <v>82.3</v>
      </c>
      <c r="K17" s="38">
        <v>42.95</v>
      </c>
      <c r="L17" s="38">
        <v>64.55</v>
      </c>
      <c r="M17" s="38">
        <v>65.540000000000006</v>
      </c>
      <c r="N17" s="38">
        <v>66.87</v>
      </c>
      <c r="O17" s="38">
        <v>59.87</v>
      </c>
      <c r="P17" s="38">
        <v>36.590000000000003</v>
      </c>
      <c r="Q17" s="39">
        <v>92.03</v>
      </c>
      <c r="R17" s="38">
        <v>71.3</v>
      </c>
      <c r="S17" s="38">
        <v>61.51</v>
      </c>
      <c r="T17" s="38">
        <v>17.489999999999998</v>
      </c>
      <c r="U17" s="39">
        <v>116.28</v>
      </c>
      <c r="V17" s="39">
        <v>141.72</v>
      </c>
      <c r="W17" t="s">
        <v>49</v>
      </c>
    </row>
    <row r="18" spans="2:23" x14ac:dyDescent="0.3">
      <c r="B18" s="36" t="s">
        <v>282</v>
      </c>
      <c r="C18" t="s">
        <v>27</v>
      </c>
      <c r="D18" s="35">
        <v>22.73070122290504</v>
      </c>
      <c r="E18">
        <v>248.14</v>
      </c>
      <c r="F18" s="38">
        <v>398.93</v>
      </c>
      <c r="G18" s="38">
        <v>166.17</v>
      </c>
      <c r="H18" s="38">
        <v>456.37</v>
      </c>
      <c r="I18" s="38">
        <v>104.72</v>
      </c>
      <c r="J18" s="38">
        <v>-93.93</v>
      </c>
      <c r="K18" s="38">
        <v>155.86000000000001</v>
      </c>
      <c r="L18" s="38">
        <v>356.55</v>
      </c>
      <c r="M18" s="38">
        <v>40.61</v>
      </c>
      <c r="N18" s="39">
        <v>226.24</v>
      </c>
      <c r="O18" s="39">
        <v>387.49</v>
      </c>
      <c r="P18" s="38">
        <v>338.55</v>
      </c>
      <c r="Q18" s="38">
        <v>-59.56</v>
      </c>
      <c r="R18" s="38">
        <v>132.16999999999999</v>
      </c>
      <c r="S18" s="38">
        <v>403.12</v>
      </c>
      <c r="T18" s="38">
        <v>87.63</v>
      </c>
      <c r="U18" s="39">
        <v>185.81</v>
      </c>
      <c r="V18" s="39">
        <v>316</v>
      </c>
      <c r="W18" t="s">
        <v>51</v>
      </c>
    </row>
    <row r="19" spans="2:23" x14ac:dyDescent="0.3">
      <c r="B19" s="36" t="s">
        <v>106</v>
      </c>
      <c r="C19" t="s">
        <v>27</v>
      </c>
      <c r="D19" s="35">
        <v>22.663252240717039</v>
      </c>
      <c r="E19">
        <v>4.79</v>
      </c>
      <c r="F19" s="38">
        <v>6.35</v>
      </c>
      <c r="G19" s="38">
        <v>5.94</v>
      </c>
      <c r="H19" s="38">
        <v>6.77</v>
      </c>
      <c r="I19" s="38">
        <v>7.55</v>
      </c>
      <c r="J19" s="39">
        <v>11.5</v>
      </c>
      <c r="K19" s="38">
        <v>5.48</v>
      </c>
      <c r="L19" s="38">
        <v>4.4400000000000004</v>
      </c>
      <c r="M19" s="38">
        <v>3.69</v>
      </c>
      <c r="N19" s="38">
        <v>5.0599999999999996</v>
      </c>
      <c r="O19" s="38">
        <v>2.69</v>
      </c>
      <c r="P19" s="38">
        <v>-0.49</v>
      </c>
      <c r="Q19" s="38">
        <v>3.23</v>
      </c>
      <c r="R19" s="38">
        <v>3.69</v>
      </c>
      <c r="S19" s="39">
        <v>3.9</v>
      </c>
      <c r="T19" s="39">
        <v>2.65</v>
      </c>
      <c r="U19" s="39">
        <v>5.38</v>
      </c>
      <c r="V19" s="39">
        <v>7.23</v>
      </c>
      <c r="W19" t="s">
        <v>23</v>
      </c>
    </row>
    <row r="20" spans="2:23" x14ac:dyDescent="0.3">
      <c r="B20" s="36" t="s">
        <v>253</v>
      </c>
      <c r="C20" t="s">
        <v>27</v>
      </c>
      <c r="D20" s="35">
        <v>20.501635768811319</v>
      </c>
      <c r="E20">
        <v>24.862500000000001</v>
      </c>
      <c r="F20" s="38">
        <v>32.15</v>
      </c>
      <c r="G20" s="38">
        <v>66.16</v>
      </c>
      <c r="H20" s="38">
        <v>0</v>
      </c>
      <c r="I20" s="38">
        <v>69.459999999999994</v>
      </c>
      <c r="J20" s="39">
        <v>48.96</v>
      </c>
      <c r="K20" s="38">
        <v>-267.45999999999998</v>
      </c>
      <c r="L20" s="38">
        <v>60.36</v>
      </c>
      <c r="M20" s="39">
        <v>47.29</v>
      </c>
      <c r="N20" s="39">
        <v>33.82</v>
      </c>
      <c r="O20" s="38">
        <v>48.94</v>
      </c>
      <c r="P20" s="38">
        <v>38</v>
      </c>
      <c r="Q20" s="38">
        <v>-3.35</v>
      </c>
      <c r="R20" s="39">
        <v>72.180000000000007</v>
      </c>
      <c r="S20" s="38">
        <v>-183.94</v>
      </c>
      <c r="T20" s="38">
        <v>100.32</v>
      </c>
      <c r="U20" s="38">
        <v>93.97</v>
      </c>
      <c r="V20" s="39">
        <v>89.1</v>
      </c>
      <c r="W20" t="s">
        <v>54</v>
      </c>
    </row>
    <row r="21" spans="2:23" x14ac:dyDescent="0.3">
      <c r="B21" s="36" t="s">
        <v>111</v>
      </c>
      <c r="C21" t="s">
        <v>27</v>
      </c>
      <c r="D21" s="35">
        <v>19.759277833500509</v>
      </c>
      <c r="E21">
        <v>5.97</v>
      </c>
      <c r="F21" s="38">
        <v>7.15</v>
      </c>
      <c r="G21" s="38">
        <v>6.45</v>
      </c>
      <c r="H21" s="38">
        <v>6.22</v>
      </c>
      <c r="I21" s="38">
        <v>6.98</v>
      </c>
      <c r="J21" s="38">
        <v>5.5</v>
      </c>
      <c r="K21" s="38">
        <v>3.87</v>
      </c>
      <c r="L21" s="38">
        <v>3.02</v>
      </c>
      <c r="M21" s="38">
        <v>3.52</v>
      </c>
      <c r="N21" s="38">
        <v>2.48</v>
      </c>
      <c r="O21" s="38">
        <v>2.72</v>
      </c>
      <c r="P21" s="38">
        <v>2.57</v>
      </c>
      <c r="Q21" s="38">
        <v>2.61</v>
      </c>
      <c r="R21" s="39">
        <v>4.34</v>
      </c>
      <c r="S21" s="39">
        <v>4.24</v>
      </c>
      <c r="T21" s="39">
        <v>5.64</v>
      </c>
      <c r="U21" s="39">
        <v>5.72</v>
      </c>
      <c r="V21" s="39">
        <v>8.2799999999999994</v>
      </c>
      <c r="W21" t="s">
        <v>56</v>
      </c>
    </row>
    <row r="22" spans="2:23" x14ac:dyDescent="0.3">
      <c r="B22" s="36" t="s">
        <v>34</v>
      </c>
      <c r="C22" t="s">
        <v>27</v>
      </c>
      <c r="D22" s="35">
        <v>17.6174223955794</v>
      </c>
      <c r="E22">
        <v>18.092500000000001</v>
      </c>
      <c r="F22" s="38">
        <v>0.59</v>
      </c>
      <c r="G22" s="38">
        <v>13.92</v>
      </c>
      <c r="H22" s="38">
        <v>15.02</v>
      </c>
      <c r="I22" s="38">
        <v>19.11</v>
      </c>
      <c r="J22" s="39">
        <v>19.3</v>
      </c>
      <c r="K22" s="38">
        <v>13.81</v>
      </c>
      <c r="L22" s="38">
        <v>4.9800000000000004</v>
      </c>
      <c r="M22" s="38">
        <v>11.51</v>
      </c>
      <c r="N22" s="38">
        <v>14.39</v>
      </c>
      <c r="O22" s="38">
        <v>14.71</v>
      </c>
      <c r="P22" s="39">
        <v>14.27</v>
      </c>
      <c r="Q22" s="38">
        <v>14.87</v>
      </c>
      <c r="R22" s="38">
        <v>16.18</v>
      </c>
      <c r="S22" s="38">
        <v>16.809999999999999</v>
      </c>
      <c r="T22" s="38">
        <v>4.28</v>
      </c>
      <c r="U22" s="39">
        <v>24.26</v>
      </c>
      <c r="V22" s="39">
        <v>27.02</v>
      </c>
      <c r="W22" t="s">
        <v>58</v>
      </c>
    </row>
    <row r="23" spans="2:23" x14ac:dyDescent="0.3">
      <c r="B23" s="36" t="s">
        <v>134</v>
      </c>
      <c r="C23" t="s">
        <v>27</v>
      </c>
      <c r="D23" s="35">
        <v>17.437722419928821</v>
      </c>
      <c r="E23">
        <v>9.9</v>
      </c>
      <c r="F23" s="38">
        <v>15.66</v>
      </c>
      <c r="G23" s="38">
        <v>10.3</v>
      </c>
      <c r="H23" s="38">
        <v>9.59</v>
      </c>
      <c r="I23" s="38">
        <v>11.14</v>
      </c>
      <c r="J23" s="38">
        <v>7.09</v>
      </c>
      <c r="K23" s="38">
        <v>3.54</v>
      </c>
      <c r="L23" s="38">
        <v>3.26</v>
      </c>
      <c r="M23" s="38">
        <v>5.29</v>
      </c>
      <c r="N23" s="38">
        <v>5.34</v>
      </c>
      <c r="O23" s="38">
        <v>3.38</v>
      </c>
      <c r="P23" s="38">
        <v>3.91</v>
      </c>
      <c r="Q23" s="38">
        <v>5.73</v>
      </c>
      <c r="R23" s="38">
        <v>6.89</v>
      </c>
      <c r="S23" s="39">
        <v>6.91</v>
      </c>
      <c r="T23" s="39">
        <v>8.59</v>
      </c>
      <c r="U23" s="39">
        <v>11.33</v>
      </c>
      <c r="V23" s="39">
        <v>12.77</v>
      </c>
      <c r="W23" t="s">
        <v>60</v>
      </c>
    </row>
    <row r="24" spans="2:23" x14ac:dyDescent="0.3">
      <c r="B24" s="36" t="s">
        <v>245</v>
      </c>
      <c r="C24" t="s">
        <v>27</v>
      </c>
      <c r="D24" s="35">
        <v>16.58109586735122</v>
      </c>
      <c r="E24">
        <v>34.627499999999998</v>
      </c>
      <c r="F24" s="38">
        <v>62.84</v>
      </c>
      <c r="G24" s="38">
        <v>44.55</v>
      </c>
      <c r="H24" s="38">
        <v>26.07</v>
      </c>
      <c r="I24" s="38">
        <v>40.76</v>
      </c>
      <c r="J24" s="38">
        <v>48.19</v>
      </c>
      <c r="K24" s="38">
        <v>46.08</v>
      </c>
      <c r="L24" s="39">
        <v>45.14</v>
      </c>
      <c r="M24" s="38">
        <v>23.15</v>
      </c>
      <c r="N24" s="38">
        <v>35.92</v>
      </c>
      <c r="O24" s="38">
        <v>34.25</v>
      </c>
      <c r="P24" s="38">
        <v>50.91</v>
      </c>
      <c r="Q24" s="38">
        <v>11.39</v>
      </c>
      <c r="R24" s="39">
        <v>50.12</v>
      </c>
      <c r="S24" s="38">
        <v>48.83</v>
      </c>
      <c r="T24" s="38">
        <v>-9.74</v>
      </c>
      <c r="U24" s="39">
        <v>29.6</v>
      </c>
      <c r="V24" s="39">
        <v>69.819999999999993</v>
      </c>
      <c r="W24" t="s">
        <v>63</v>
      </c>
    </row>
    <row r="25" spans="2:23" x14ac:dyDescent="0.3">
      <c r="B25" s="36" t="s">
        <v>226</v>
      </c>
      <c r="C25" t="s">
        <v>202</v>
      </c>
      <c r="D25" s="35">
        <v>15.36444677503934</v>
      </c>
      <c r="E25">
        <v>-110</v>
      </c>
      <c r="F25" s="38">
        <v>-44</v>
      </c>
      <c r="G25" s="38">
        <v>-46</v>
      </c>
      <c r="H25" s="38">
        <v>10</v>
      </c>
      <c r="I25" s="38">
        <v>-25</v>
      </c>
      <c r="J25" s="38">
        <v>24</v>
      </c>
      <c r="K25" s="39">
        <v>-81</v>
      </c>
      <c r="L25" s="39">
        <v>-33</v>
      </c>
      <c r="M25" s="38">
        <v>8</v>
      </c>
      <c r="N25" s="38">
        <v>73</v>
      </c>
      <c r="O25" s="39">
        <v>-238</v>
      </c>
      <c r="P25" s="39">
        <v>-94</v>
      </c>
      <c r="Q25" s="39">
        <v>-112</v>
      </c>
      <c r="R25" s="39">
        <v>-81.400000000000006</v>
      </c>
      <c r="S25" s="38">
        <v>-117</v>
      </c>
      <c r="T25" s="38">
        <v>-74</v>
      </c>
      <c r="U25" s="38">
        <v>-109</v>
      </c>
      <c r="V25" s="39">
        <v>-140</v>
      </c>
      <c r="W25" t="s">
        <v>23</v>
      </c>
    </row>
    <row r="26" spans="2:23" x14ac:dyDescent="0.3">
      <c r="B26" s="36" t="s">
        <v>280</v>
      </c>
      <c r="C26" t="s">
        <v>27</v>
      </c>
      <c r="D26" s="35">
        <v>14.29110105580693</v>
      </c>
      <c r="E26">
        <v>128.8175</v>
      </c>
      <c r="F26" s="38">
        <v>111.34</v>
      </c>
      <c r="G26" s="38">
        <v>51.78</v>
      </c>
      <c r="H26" s="38">
        <v>-16.2</v>
      </c>
      <c r="I26" s="38">
        <v>574.07000000000005</v>
      </c>
      <c r="J26" s="38">
        <v>109.23</v>
      </c>
      <c r="K26" s="38">
        <v>120.88</v>
      </c>
      <c r="L26" s="39">
        <v>96.56</v>
      </c>
      <c r="M26" s="38">
        <v>15.16</v>
      </c>
      <c r="N26" s="38">
        <v>142.36000000000001</v>
      </c>
      <c r="O26" s="38">
        <v>156.84</v>
      </c>
      <c r="P26" s="38">
        <v>103.26</v>
      </c>
      <c r="Q26" s="39">
        <v>117.2</v>
      </c>
      <c r="R26" s="38">
        <v>61.45</v>
      </c>
      <c r="S26" s="38">
        <v>76.92</v>
      </c>
      <c r="T26" s="39">
        <v>155.4</v>
      </c>
      <c r="U26" s="38">
        <v>157.07</v>
      </c>
      <c r="V26" s="39">
        <v>125.88</v>
      </c>
      <c r="W26" t="s">
        <v>66</v>
      </c>
    </row>
    <row r="27" spans="2:23" x14ac:dyDescent="0.3">
      <c r="B27" s="36" t="s">
        <v>262</v>
      </c>
      <c r="C27" t="s">
        <v>27</v>
      </c>
      <c r="D27" s="35">
        <v>14.040453872718309</v>
      </c>
      <c r="E27">
        <v>260.05500000000001</v>
      </c>
      <c r="F27" s="38">
        <v>135.12</v>
      </c>
      <c r="G27" s="38">
        <v>127.41</v>
      </c>
      <c r="H27" s="38">
        <v>152.12</v>
      </c>
      <c r="I27" s="38">
        <v>171.08</v>
      </c>
      <c r="J27" s="38">
        <v>182.76</v>
      </c>
      <c r="K27" s="38">
        <v>179.02</v>
      </c>
      <c r="L27" s="38">
        <v>157.94</v>
      </c>
      <c r="M27" s="38">
        <v>157.30000000000001</v>
      </c>
      <c r="N27" s="38">
        <v>136.58000000000001</v>
      </c>
      <c r="O27" s="38">
        <v>153.52000000000001</v>
      </c>
      <c r="P27" s="38">
        <v>172.85</v>
      </c>
      <c r="Q27" s="38">
        <v>186.54</v>
      </c>
      <c r="R27" s="38">
        <v>187.34</v>
      </c>
      <c r="S27" s="38">
        <v>121.25</v>
      </c>
      <c r="T27" s="39">
        <v>282.2</v>
      </c>
      <c r="U27" s="39">
        <v>321.36</v>
      </c>
      <c r="V27" s="39">
        <v>315.41000000000003</v>
      </c>
      <c r="W27" t="s">
        <v>69</v>
      </c>
    </row>
    <row r="28" spans="2:23" x14ac:dyDescent="0.3">
      <c r="B28" s="36" t="s">
        <v>165</v>
      </c>
      <c r="C28" t="s">
        <v>27</v>
      </c>
      <c r="D28" s="35">
        <v>14.037202893558391</v>
      </c>
      <c r="E28">
        <v>182.07749999999999</v>
      </c>
      <c r="F28" s="38">
        <v>117.14</v>
      </c>
      <c r="G28" s="38">
        <v>121.5</v>
      </c>
      <c r="H28" s="38">
        <v>105.14</v>
      </c>
      <c r="I28" s="38">
        <v>111.51</v>
      </c>
      <c r="J28" s="38">
        <v>112.43</v>
      </c>
      <c r="K28" s="38">
        <v>-18.920000000000002</v>
      </c>
      <c r="L28" s="39">
        <v>179.08</v>
      </c>
      <c r="M28" s="39">
        <v>183.97</v>
      </c>
      <c r="N28" s="38">
        <v>127.07</v>
      </c>
      <c r="O28" s="39">
        <v>169.07</v>
      </c>
      <c r="P28" s="38">
        <v>161.09</v>
      </c>
      <c r="Q28" s="38">
        <v>196</v>
      </c>
      <c r="R28" s="38">
        <v>192.35</v>
      </c>
      <c r="S28" s="38">
        <v>123.85</v>
      </c>
      <c r="T28" s="38">
        <v>203.46</v>
      </c>
      <c r="U28" s="38">
        <v>119</v>
      </c>
      <c r="V28" s="39">
        <v>282</v>
      </c>
      <c r="W28" t="s">
        <v>71</v>
      </c>
    </row>
    <row r="29" spans="2:23" x14ac:dyDescent="0.3">
      <c r="B29" s="36" t="s">
        <v>237</v>
      </c>
      <c r="C29" t="s">
        <v>27</v>
      </c>
      <c r="D29" s="35">
        <v>13.842813721233171</v>
      </c>
      <c r="E29">
        <v>65.545000000000002</v>
      </c>
      <c r="F29" s="38">
        <v>-1.1200000000000001</v>
      </c>
      <c r="G29" s="38">
        <v>70.2</v>
      </c>
      <c r="H29" s="38">
        <v>82.2</v>
      </c>
      <c r="I29" s="38">
        <v>95.07</v>
      </c>
      <c r="J29" s="39">
        <v>100.29</v>
      </c>
      <c r="K29" s="38">
        <v>81.33</v>
      </c>
      <c r="L29" s="38">
        <v>82.75</v>
      </c>
      <c r="M29" s="38">
        <v>80.14</v>
      </c>
      <c r="N29" s="38">
        <v>70.92</v>
      </c>
      <c r="O29" s="38">
        <v>62.5</v>
      </c>
      <c r="P29" s="38">
        <v>66.39</v>
      </c>
      <c r="Q29" s="38">
        <v>55.31</v>
      </c>
      <c r="R29" s="38">
        <v>62.93</v>
      </c>
      <c r="S29" s="38">
        <v>57.17</v>
      </c>
      <c r="T29" s="38">
        <v>65.81</v>
      </c>
      <c r="U29" s="38">
        <v>44.39</v>
      </c>
      <c r="V29" s="39">
        <v>94.81</v>
      </c>
      <c r="W29" t="s">
        <v>23</v>
      </c>
    </row>
    <row r="30" spans="2:23" x14ac:dyDescent="0.3">
      <c r="B30" s="36" t="s">
        <v>86</v>
      </c>
      <c r="C30" t="s">
        <v>27</v>
      </c>
      <c r="D30" s="35">
        <v>13.499855616517481</v>
      </c>
      <c r="E30">
        <v>19.6525</v>
      </c>
      <c r="F30" s="38">
        <v>24.32</v>
      </c>
      <c r="G30" s="38">
        <v>23.34</v>
      </c>
      <c r="H30" s="38">
        <v>22.56</v>
      </c>
      <c r="I30" s="38">
        <v>25.65</v>
      </c>
      <c r="J30" s="38">
        <v>27.89</v>
      </c>
      <c r="K30" s="38">
        <v>24.67</v>
      </c>
      <c r="L30" s="38">
        <v>19.87</v>
      </c>
      <c r="M30" s="38">
        <v>21.8</v>
      </c>
      <c r="N30" s="38">
        <v>6.58</v>
      </c>
      <c r="O30" s="38">
        <v>6.87</v>
      </c>
      <c r="P30" s="38">
        <v>16</v>
      </c>
      <c r="Q30" s="38">
        <v>13.07</v>
      </c>
      <c r="R30" s="39">
        <v>16.329999999999998</v>
      </c>
      <c r="S30" s="39">
        <v>16.16</v>
      </c>
      <c r="T30" s="38">
        <v>14.46</v>
      </c>
      <c r="U30" s="39">
        <v>22.31</v>
      </c>
      <c r="V30" s="39">
        <v>25.68</v>
      </c>
      <c r="W30" t="s">
        <v>74</v>
      </c>
    </row>
    <row r="31" spans="2:23" x14ac:dyDescent="0.3">
      <c r="B31" s="36" t="s">
        <v>30</v>
      </c>
      <c r="C31" t="s">
        <v>27</v>
      </c>
      <c r="D31" s="35">
        <v>11.93857331571995</v>
      </c>
      <c r="E31">
        <v>16.947500000000002</v>
      </c>
      <c r="F31" s="38">
        <v>19.309999999999999</v>
      </c>
      <c r="G31" s="38">
        <v>18</v>
      </c>
      <c r="H31" s="38">
        <v>20.97</v>
      </c>
      <c r="I31" s="38">
        <v>25.92</v>
      </c>
      <c r="J31" s="39">
        <v>29.49</v>
      </c>
      <c r="K31" s="38">
        <v>26.59</v>
      </c>
      <c r="L31" s="38">
        <v>23.12</v>
      </c>
      <c r="M31" s="38">
        <v>22.25</v>
      </c>
      <c r="N31" s="38">
        <v>18.46</v>
      </c>
      <c r="O31" s="38">
        <v>14.42</v>
      </c>
      <c r="P31" s="38">
        <v>13.07</v>
      </c>
      <c r="Q31" s="38">
        <v>14.45</v>
      </c>
      <c r="R31" s="38">
        <v>14.74</v>
      </c>
      <c r="S31" s="38">
        <v>16.329999999999998</v>
      </c>
      <c r="T31" s="38">
        <v>8.93</v>
      </c>
      <c r="U31" s="39">
        <v>20.56</v>
      </c>
      <c r="V31" s="39">
        <v>21.97</v>
      </c>
      <c r="W31" t="s">
        <v>23</v>
      </c>
    </row>
    <row r="32" spans="2:23" x14ac:dyDescent="0.3">
      <c r="B32" s="36" t="s">
        <v>95</v>
      </c>
      <c r="C32" t="s">
        <v>27</v>
      </c>
      <c r="D32" s="35">
        <v>11.924837388581061</v>
      </c>
      <c r="E32">
        <v>11.615</v>
      </c>
      <c r="F32" s="38">
        <v>5.53</v>
      </c>
      <c r="G32" s="38">
        <v>8.23</v>
      </c>
      <c r="H32" s="38">
        <v>10.87</v>
      </c>
      <c r="I32" s="38">
        <v>13.05</v>
      </c>
      <c r="J32" s="39">
        <v>12.8</v>
      </c>
      <c r="K32" s="38">
        <v>11.42</v>
      </c>
      <c r="L32" s="38">
        <v>12.06</v>
      </c>
      <c r="M32" s="38">
        <v>11.63</v>
      </c>
      <c r="N32" s="38">
        <v>4.75</v>
      </c>
      <c r="O32" s="38">
        <v>8.5299999999999994</v>
      </c>
      <c r="P32" s="38">
        <v>14.25</v>
      </c>
      <c r="Q32" s="38">
        <v>9.41</v>
      </c>
      <c r="R32" s="38">
        <v>8.23</v>
      </c>
      <c r="S32" s="38">
        <v>-0.55000000000000004</v>
      </c>
      <c r="T32" s="38">
        <v>14.91</v>
      </c>
      <c r="U32" s="39">
        <v>18.920000000000002</v>
      </c>
      <c r="V32" s="39">
        <v>13.18</v>
      </c>
      <c r="W32" t="s">
        <v>41</v>
      </c>
    </row>
    <row r="33" spans="2:23" x14ac:dyDescent="0.3">
      <c r="B33" s="36" t="s">
        <v>224</v>
      </c>
      <c r="C33" t="s">
        <v>27</v>
      </c>
      <c r="D33" s="35">
        <v>11.796151104775481</v>
      </c>
      <c r="E33">
        <v>313.7</v>
      </c>
      <c r="F33" s="38">
        <v>806</v>
      </c>
      <c r="G33" s="38">
        <v>399.5</v>
      </c>
      <c r="H33" s="38">
        <v>-37.9</v>
      </c>
      <c r="I33" s="38">
        <v>-103.3</v>
      </c>
      <c r="J33" s="38">
        <v>665.8</v>
      </c>
      <c r="K33" s="38">
        <v>266.10000000000002</v>
      </c>
      <c r="L33" s="39">
        <v>217.5</v>
      </c>
      <c r="M33" s="39">
        <v>80.5</v>
      </c>
      <c r="N33" s="38">
        <v>264.7</v>
      </c>
      <c r="O33" s="39">
        <v>415.2</v>
      </c>
      <c r="P33" s="38">
        <v>135.69999999999999</v>
      </c>
      <c r="Q33" s="39">
        <v>448.2</v>
      </c>
      <c r="R33" s="38">
        <v>148.19999999999999</v>
      </c>
      <c r="S33" s="38">
        <v>325.7</v>
      </c>
      <c r="T33" s="39">
        <v>278</v>
      </c>
      <c r="U33" s="38">
        <v>370.5</v>
      </c>
      <c r="V33" s="39">
        <v>280.60000000000002</v>
      </c>
      <c r="W33" t="s">
        <v>23</v>
      </c>
    </row>
    <row r="34" spans="2:23" x14ac:dyDescent="0.3">
      <c r="B34" s="36" t="s">
        <v>126</v>
      </c>
      <c r="C34" t="s">
        <v>27</v>
      </c>
      <c r="D34" s="35">
        <v>11.48132427843804</v>
      </c>
      <c r="E34">
        <v>13.1325</v>
      </c>
      <c r="F34" s="38">
        <v>9.23</v>
      </c>
      <c r="G34" s="38">
        <v>7.99</v>
      </c>
      <c r="H34" s="38">
        <v>8.5</v>
      </c>
      <c r="I34" s="38">
        <v>8.35</v>
      </c>
      <c r="J34" s="38">
        <v>10.31</v>
      </c>
      <c r="K34" s="38">
        <v>9.32</v>
      </c>
      <c r="L34" s="38">
        <v>8.34</v>
      </c>
      <c r="M34" s="38">
        <v>8.49</v>
      </c>
      <c r="N34" s="38">
        <v>7.7</v>
      </c>
      <c r="O34" s="38">
        <v>4.8</v>
      </c>
      <c r="P34" s="38">
        <v>-7.88</v>
      </c>
      <c r="Q34" s="38">
        <v>4.16</v>
      </c>
      <c r="R34" s="39">
        <v>9.92</v>
      </c>
      <c r="S34" s="39">
        <v>11.36</v>
      </c>
      <c r="T34" s="39">
        <v>10.76</v>
      </c>
      <c r="U34" s="39">
        <v>15.08</v>
      </c>
      <c r="V34" s="39">
        <v>15.33</v>
      </c>
      <c r="W34" t="s">
        <v>23</v>
      </c>
    </row>
    <row r="35" spans="2:23" x14ac:dyDescent="0.3">
      <c r="B35" s="36" t="s">
        <v>269</v>
      </c>
      <c r="C35" t="s">
        <v>27</v>
      </c>
      <c r="D35" s="35">
        <v>11.29924072065398</v>
      </c>
      <c r="E35">
        <v>210.35</v>
      </c>
      <c r="F35" s="38">
        <v>68.239999999999995</v>
      </c>
      <c r="G35" s="38">
        <v>-36.299999999999997</v>
      </c>
      <c r="H35" s="38">
        <v>139.94999999999999</v>
      </c>
      <c r="I35" s="38">
        <v>179.04</v>
      </c>
      <c r="J35" s="39">
        <v>262.04000000000002</v>
      </c>
      <c r="K35" s="39">
        <v>188.02</v>
      </c>
      <c r="L35" s="38">
        <v>202.43</v>
      </c>
      <c r="M35" s="38">
        <v>192.18</v>
      </c>
      <c r="N35" s="38">
        <v>168.67</v>
      </c>
      <c r="O35" s="38">
        <v>152.77000000000001</v>
      </c>
      <c r="P35" s="38">
        <v>156.47999999999999</v>
      </c>
      <c r="Q35" s="38">
        <v>185.08</v>
      </c>
      <c r="R35" s="38">
        <v>186.11</v>
      </c>
      <c r="S35" s="38">
        <v>181.56</v>
      </c>
      <c r="T35" s="38">
        <v>155.71</v>
      </c>
      <c r="U35" s="38">
        <v>232.6</v>
      </c>
      <c r="V35" s="39">
        <v>271.52999999999997</v>
      </c>
      <c r="W35" t="s">
        <v>81</v>
      </c>
    </row>
    <row r="36" spans="2:23" x14ac:dyDescent="0.3">
      <c r="B36" s="36" t="s">
        <v>235</v>
      </c>
      <c r="C36" t="s">
        <v>68</v>
      </c>
      <c r="D36" s="35">
        <v>11.072210065645519</v>
      </c>
      <c r="E36">
        <v>-6.3450000000000006</v>
      </c>
      <c r="F36" s="38">
        <v>-5.01</v>
      </c>
      <c r="G36" s="38">
        <v>-5.18</v>
      </c>
      <c r="H36" s="38">
        <v>-5.37</v>
      </c>
      <c r="I36" s="38">
        <v>-4.87</v>
      </c>
      <c r="J36" s="38">
        <v>-4.6900000000000004</v>
      </c>
      <c r="K36" s="38">
        <v>-5.61</v>
      </c>
      <c r="L36" s="38">
        <v>-5.54</v>
      </c>
      <c r="M36" s="38">
        <v>-5.24</v>
      </c>
      <c r="N36" s="38">
        <v>-5.4</v>
      </c>
      <c r="O36" s="38">
        <v>-6.26</v>
      </c>
      <c r="P36" s="38">
        <v>-7.6</v>
      </c>
      <c r="Q36" s="38">
        <v>-5.12</v>
      </c>
      <c r="R36" s="38">
        <v>-5.95</v>
      </c>
      <c r="S36" s="38">
        <v>-4.8</v>
      </c>
      <c r="T36" s="38">
        <v>-5.82</v>
      </c>
      <c r="U36" s="38">
        <v>-6.28</v>
      </c>
      <c r="V36" s="39">
        <v>-8.48</v>
      </c>
      <c r="W36" t="s">
        <v>83</v>
      </c>
    </row>
    <row r="37" spans="2:23" x14ac:dyDescent="0.3">
      <c r="B37" s="36" t="s">
        <v>162</v>
      </c>
      <c r="C37" t="s">
        <v>40</v>
      </c>
      <c r="D37" s="35">
        <v>11.06145251396649</v>
      </c>
      <c r="E37">
        <v>9.94</v>
      </c>
      <c r="F37" s="38">
        <v>25.57</v>
      </c>
      <c r="G37" s="38">
        <v>24.22</v>
      </c>
      <c r="H37" s="38">
        <v>15.58</v>
      </c>
      <c r="I37" s="38">
        <v>21.79</v>
      </c>
      <c r="J37" s="38">
        <v>1.98</v>
      </c>
      <c r="K37" s="38">
        <v>13.21</v>
      </c>
      <c r="L37" s="38">
        <v>15.39</v>
      </c>
      <c r="M37" s="38">
        <v>13.15</v>
      </c>
      <c r="N37" s="38">
        <v>-12.05</v>
      </c>
      <c r="O37" s="38">
        <v>9.11</v>
      </c>
      <c r="P37" s="38">
        <v>-91</v>
      </c>
      <c r="Q37" s="38">
        <v>7.18</v>
      </c>
      <c r="R37" s="38">
        <v>7.82</v>
      </c>
      <c r="S37" s="38">
        <v>7.85</v>
      </c>
      <c r="T37" s="38">
        <v>8.16</v>
      </c>
      <c r="U37" s="39">
        <v>11.97</v>
      </c>
      <c r="V37" s="39">
        <v>11.78</v>
      </c>
      <c r="W37" t="s">
        <v>85</v>
      </c>
    </row>
    <row r="38" spans="2:23" x14ac:dyDescent="0.3">
      <c r="B38" s="36" t="s">
        <v>155</v>
      </c>
      <c r="C38" t="s">
        <v>27</v>
      </c>
      <c r="D38" s="35">
        <v>10.933991917377631</v>
      </c>
      <c r="E38">
        <v>12.352499999999999</v>
      </c>
      <c r="F38" s="38">
        <v>13.43</v>
      </c>
      <c r="G38" s="38">
        <v>13.5</v>
      </c>
      <c r="H38" s="38">
        <v>14.43</v>
      </c>
      <c r="I38" s="38">
        <v>14.43</v>
      </c>
      <c r="J38" s="38">
        <v>13.72</v>
      </c>
      <c r="K38" s="38">
        <v>14.57</v>
      </c>
      <c r="L38" s="38">
        <v>10.59</v>
      </c>
      <c r="M38" s="38">
        <v>1.37</v>
      </c>
      <c r="N38" s="38">
        <v>11.16</v>
      </c>
      <c r="O38" s="38">
        <v>8.3800000000000008</v>
      </c>
      <c r="P38" s="38">
        <v>8.8000000000000007</v>
      </c>
      <c r="Q38" s="39">
        <v>9.4</v>
      </c>
      <c r="R38" s="38">
        <v>9.73</v>
      </c>
      <c r="S38" s="38">
        <v>10.3</v>
      </c>
      <c r="T38" s="38">
        <v>11.02</v>
      </c>
      <c r="U38" s="39">
        <v>13.49</v>
      </c>
      <c r="V38" s="39">
        <v>14.6</v>
      </c>
      <c r="W38" t="s">
        <v>87</v>
      </c>
    </row>
    <row r="39" spans="2:23" x14ac:dyDescent="0.3">
      <c r="B39" s="36" t="s">
        <v>84</v>
      </c>
      <c r="C39" t="s">
        <v>27</v>
      </c>
      <c r="D39" s="35">
        <v>10.735326205542229</v>
      </c>
      <c r="E39">
        <v>25.375</v>
      </c>
      <c r="F39" s="38">
        <v>28.05</v>
      </c>
      <c r="G39" s="38">
        <v>26.04</v>
      </c>
      <c r="H39" s="38">
        <v>33.630000000000003</v>
      </c>
      <c r="I39" s="38">
        <v>35.950000000000003</v>
      </c>
      <c r="J39" s="38">
        <v>1.28</v>
      </c>
      <c r="K39" s="38">
        <v>33.840000000000003</v>
      </c>
      <c r="L39" s="38">
        <v>24.86</v>
      </c>
      <c r="M39" s="38">
        <v>28.36</v>
      </c>
      <c r="N39" s="39">
        <v>19.87</v>
      </c>
      <c r="O39" s="38">
        <v>24.29</v>
      </c>
      <c r="P39" s="38">
        <v>23.88</v>
      </c>
      <c r="Q39" s="38">
        <v>17.57</v>
      </c>
      <c r="R39" s="39">
        <v>31.34</v>
      </c>
      <c r="S39" s="38">
        <v>23.36</v>
      </c>
      <c r="T39" s="38">
        <v>26.78</v>
      </c>
      <c r="U39" s="38">
        <v>10.18</v>
      </c>
      <c r="V39" s="39">
        <v>41.18</v>
      </c>
      <c r="W39" t="s">
        <v>89</v>
      </c>
    </row>
    <row r="40" spans="2:23" x14ac:dyDescent="0.3">
      <c r="B40" s="36" t="s">
        <v>277</v>
      </c>
      <c r="C40" t="s">
        <v>27</v>
      </c>
      <c r="D40" s="35">
        <v>10.51815181518152</v>
      </c>
      <c r="E40">
        <v>167.435</v>
      </c>
      <c r="F40" s="38">
        <v>123</v>
      </c>
      <c r="G40" s="38">
        <v>67</v>
      </c>
      <c r="H40" s="38">
        <v>137</v>
      </c>
      <c r="I40" s="38">
        <v>173</v>
      </c>
      <c r="J40" s="39">
        <v>176</v>
      </c>
      <c r="K40" s="39">
        <v>182</v>
      </c>
      <c r="L40" s="38">
        <v>179</v>
      </c>
      <c r="M40" s="38">
        <v>164</v>
      </c>
      <c r="N40" s="38">
        <v>59</v>
      </c>
      <c r="O40" s="38">
        <v>156</v>
      </c>
      <c r="P40" s="38">
        <v>157</v>
      </c>
      <c r="Q40" s="38">
        <v>140</v>
      </c>
      <c r="R40" s="38">
        <v>102</v>
      </c>
      <c r="S40" s="38">
        <v>148</v>
      </c>
      <c r="T40" s="38">
        <v>166</v>
      </c>
      <c r="U40" s="38">
        <v>190</v>
      </c>
      <c r="V40" s="39">
        <v>165.74</v>
      </c>
      <c r="W40" t="s">
        <v>91</v>
      </c>
    </row>
    <row r="41" spans="2:23" customFormat="1" hidden="1" x14ac:dyDescent="0.3">
      <c r="B41" t="s">
        <v>92</v>
      </c>
      <c r="C41" t="s">
        <v>25</v>
      </c>
      <c r="D41" s="3">
        <v>-212.4712643678161</v>
      </c>
      <c r="E41">
        <v>48.924999999999997</v>
      </c>
      <c r="F41">
        <v>85.3</v>
      </c>
      <c r="G41">
        <v>-42.1</v>
      </c>
      <c r="H41">
        <v>-39.4</v>
      </c>
      <c r="I41">
        <v>26.9</v>
      </c>
      <c r="J41" s="2">
        <v>98.2</v>
      </c>
      <c r="K41" s="2">
        <v>-3.8</v>
      </c>
      <c r="L41" s="2">
        <v>90.8</v>
      </c>
      <c r="M41">
        <v>33.6</v>
      </c>
      <c r="N41" s="2">
        <v>158.69999999999999</v>
      </c>
      <c r="O41" s="2">
        <v>69.400000000000006</v>
      </c>
      <c r="P41">
        <v>19.399999999999999</v>
      </c>
      <c r="Q41">
        <v>17.5</v>
      </c>
      <c r="R41">
        <v>-41.9</v>
      </c>
      <c r="S41" s="2">
        <v>82.7</v>
      </c>
      <c r="T41">
        <v>-118.1</v>
      </c>
      <c r="U41" s="2">
        <v>-96.7</v>
      </c>
      <c r="V41">
        <v>327.8</v>
      </c>
      <c r="W41" t="s">
        <v>93</v>
      </c>
    </row>
    <row r="42" spans="2:23" x14ac:dyDescent="0.3">
      <c r="B42" s="36" t="s">
        <v>42</v>
      </c>
      <c r="C42" t="s">
        <v>27</v>
      </c>
      <c r="D42" s="35">
        <v>10.476728183775011</v>
      </c>
      <c r="E42">
        <v>78.27</v>
      </c>
      <c r="F42" s="38">
        <v>187.68</v>
      </c>
      <c r="G42" s="38">
        <v>162.11000000000001</v>
      </c>
      <c r="H42" s="38">
        <v>163.13</v>
      </c>
      <c r="I42" s="38">
        <v>175.18</v>
      </c>
      <c r="J42" s="38">
        <v>67.150000000000006</v>
      </c>
      <c r="K42" s="38">
        <v>-1260</v>
      </c>
      <c r="L42" s="39">
        <v>-264.44</v>
      </c>
      <c r="M42" s="39">
        <v>-26.57</v>
      </c>
      <c r="N42" s="39">
        <v>-659.99</v>
      </c>
      <c r="O42" s="38">
        <v>42.4</v>
      </c>
      <c r="P42" s="38">
        <v>44.64</v>
      </c>
      <c r="Q42" s="38">
        <v>11.51</v>
      </c>
      <c r="R42" s="38">
        <v>70.099999999999994</v>
      </c>
      <c r="S42" s="39">
        <v>73.06</v>
      </c>
      <c r="T42" s="38">
        <v>47.88</v>
      </c>
      <c r="U42" s="39">
        <v>92.35</v>
      </c>
      <c r="V42" s="39">
        <v>99.79</v>
      </c>
      <c r="W42" t="s">
        <v>23</v>
      </c>
    </row>
    <row r="43" spans="2:23" x14ac:dyDescent="0.3">
      <c r="B43" s="36" t="s">
        <v>914</v>
      </c>
      <c r="C43" t="s">
        <v>27</v>
      </c>
      <c r="D43" s="35">
        <v>10.36585365853659</v>
      </c>
      <c r="E43">
        <v>4.9775</v>
      </c>
      <c r="F43" s="38">
        <v>3.35</v>
      </c>
      <c r="G43" s="38">
        <v>2.93</v>
      </c>
      <c r="H43" s="38">
        <v>3.16</v>
      </c>
      <c r="I43" s="38">
        <v>3.8</v>
      </c>
      <c r="J43" s="38">
        <v>4.3499999999999996</v>
      </c>
      <c r="K43" s="39">
        <v>4.59</v>
      </c>
      <c r="L43" s="38">
        <v>3.16</v>
      </c>
      <c r="M43" s="38">
        <v>3.71</v>
      </c>
      <c r="N43" s="38">
        <v>3.59</v>
      </c>
      <c r="O43" s="38">
        <v>3.46</v>
      </c>
      <c r="P43" s="38">
        <v>3.32</v>
      </c>
      <c r="Q43" s="38">
        <v>3.44</v>
      </c>
      <c r="R43" s="38">
        <v>3.95</v>
      </c>
      <c r="S43" s="38">
        <v>3.91</v>
      </c>
      <c r="T43" s="38">
        <v>4.63</v>
      </c>
      <c r="U43" s="39">
        <v>5.55</v>
      </c>
      <c r="V43" s="39">
        <v>5.82</v>
      </c>
      <c r="W43" t="s">
        <v>31</v>
      </c>
    </row>
    <row r="44" spans="2:23" x14ac:dyDescent="0.3">
      <c r="B44" s="36" t="s">
        <v>154</v>
      </c>
      <c r="C44" t="s">
        <v>27</v>
      </c>
      <c r="D44" s="6">
        <v>9.8480880041906804</v>
      </c>
      <c r="E44">
        <v>10.484999999999999</v>
      </c>
      <c r="F44" s="38">
        <v>11.6</v>
      </c>
      <c r="G44" s="38">
        <v>11.75</v>
      </c>
      <c r="H44" s="38">
        <v>12.16</v>
      </c>
      <c r="I44" s="38">
        <v>12.31</v>
      </c>
      <c r="J44" s="38">
        <v>11.17</v>
      </c>
      <c r="K44" s="38">
        <v>9.64</v>
      </c>
      <c r="L44" s="38">
        <v>8.93</v>
      </c>
      <c r="M44" s="38">
        <v>9.0399999999999991</v>
      </c>
      <c r="N44" s="38">
        <v>8.09</v>
      </c>
      <c r="O44" s="38">
        <v>7.27</v>
      </c>
      <c r="P44" s="38">
        <v>7.47</v>
      </c>
      <c r="Q44" s="38">
        <v>9.16</v>
      </c>
      <c r="R44" s="38">
        <v>8.68</v>
      </c>
      <c r="S44" s="38">
        <v>8.57</v>
      </c>
      <c r="T44" s="38">
        <v>9.85</v>
      </c>
      <c r="U44" s="38">
        <v>11.08</v>
      </c>
      <c r="V44" s="38">
        <v>12.44</v>
      </c>
      <c r="W44" t="s">
        <v>97</v>
      </c>
    </row>
    <row r="45" spans="2:23" customFormat="1" hidden="1" x14ac:dyDescent="0.3">
      <c r="B45" t="s">
        <v>98</v>
      </c>
      <c r="C45" t="s">
        <v>25</v>
      </c>
      <c r="D45" s="3">
        <v>0.17929179740028281</v>
      </c>
      <c r="E45">
        <v>5.5875000000000004</v>
      </c>
      <c r="F45">
        <v>3.89</v>
      </c>
      <c r="G45">
        <v>5.93</v>
      </c>
      <c r="H45">
        <v>5.97</v>
      </c>
      <c r="I45">
        <v>6.88</v>
      </c>
      <c r="J45" s="2">
        <v>7.04</v>
      </c>
      <c r="K45" s="2">
        <v>8.66</v>
      </c>
      <c r="L45">
        <v>7.08</v>
      </c>
      <c r="M45">
        <v>6.92</v>
      </c>
      <c r="N45">
        <v>5.48</v>
      </c>
      <c r="O45">
        <v>3.8</v>
      </c>
      <c r="P45">
        <v>4.32</v>
      </c>
      <c r="Q45">
        <v>5.09</v>
      </c>
      <c r="R45">
        <v>5.65</v>
      </c>
      <c r="S45" s="2">
        <v>5.85</v>
      </c>
      <c r="T45">
        <v>5.39</v>
      </c>
      <c r="U45">
        <v>5.42</v>
      </c>
      <c r="V45">
        <v>5.69</v>
      </c>
      <c r="W45" t="s">
        <v>99</v>
      </c>
    </row>
    <row r="46" spans="2:23" customFormat="1" hidden="1" x14ac:dyDescent="0.3">
      <c r="B46" t="s">
        <v>100</v>
      </c>
      <c r="C46" t="s">
        <v>101</v>
      </c>
      <c r="D46" s="3">
        <v>20.33898305084745</v>
      </c>
      <c r="E46">
        <v>4.26</v>
      </c>
      <c r="F46">
        <v>7.03</v>
      </c>
      <c r="G46">
        <v>4.5999999999999996</v>
      </c>
      <c r="H46">
        <v>7.75</v>
      </c>
      <c r="I46">
        <v>7.81</v>
      </c>
      <c r="J46">
        <v>-47.27</v>
      </c>
      <c r="K46">
        <v>4.45</v>
      </c>
      <c r="L46" s="2">
        <v>2.77</v>
      </c>
      <c r="M46">
        <v>4.92</v>
      </c>
      <c r="N46">
        <v>3.09</v>
      </c>
      <c r="O46">
        <v>3.99</v>
      </c>
      <c r="P46" s="2">
        <v>6.69</v>
      </c>
      <c r="Q46">
        <v>-4.58</v>
      </c>
      <c r="R46">
        <v>0.85</v>
      </c>
      <c r="S46" s="2">
        <v>6.42</v>
      </c>
      <c r="T46">
        <v>2.84</v>
      </c>
      <c r="U46" s="2">
        <v>4.05</v>
      </c>
      <c r="V46" s="2">
        <v>3.73</v>
      </c>
      <c r="W46" t="s">
        <v>102</v>
      </c>
    </row>
    <row r="47" spans="2:23" customFormat="1" hidden="1" x14ac:dyDescent="0.3">
      <c r="B47" t="s">
        <v>103</v>
      </c>
      <c r="C47" t="s">
        <v>25</v>
      </c>
      <c r="D47" s="3">
        <v>9.9629477151091059</v>
      </c>
      <c r="E47">
        <v>6.6775000000000002</v>
      </c>
      <c r="F47">
        <v>12.3</v>
      </c>
      <c r="G47">
        <v>9.89</v>
      </c>
      <c r="H47">
        <v>7.09</v>
      </c>
      <c r="I47">
        <v>7.65</v>
      </c>
      <c r="J47">
        <v>7.46</v>
      </c>
      <c r="K47">
        <v>5.73</v>
      </c>
      <c r="L47">
        <v>5.13</v>
      </c>
      <c r="M47">
        <v>5.9</v>
      </c>
      <c r="N47">
        <v>5.21</v>
      </c>
      <c r="O47">
        <v>0.73</v>
      </c>
      <c r="P47">
        <v>3.55</v>
      </c>
      <c r="Q47">
        <v>4.3899999999999997</v>
      </c>
      <c r="R47">
        <v>6.25</v>
      </c>
      <c r="S47" s="2">
        <v>7.6</v>
      </c>
      <c r="T47">
        <v>3.15</v>
      </c>
      <c r="U47" s="2">
        <v>7.29</v>
      </c>
      <c r="V47">
        <v>8.67</v>
      </c>
      <c r="W47" t="s">
        <v>104</v>
      </c>
    </row>
    <row r="48" spans="2:23" x14ac:dyDescent="0.3">
      <c r="B48" s="36" t="s">
        <v>233</v>
      </c>
      <c r="C48" t="s">
        <v>27</v>
      </c>
      <c r="D48" s="6">
        <v>9.8413504251808614</v>
      </c>
      <c r="E48">
        <v>108.18</v>
      </c>
      <c r="F48" s="38">
        <v>88.84</v>
      </c>
      <c r="G48" s="38">
        <v>52.74</v>
      </c>
      <c r="H48" s="38">
        <v>45.47</v>
      </c>
      <c r="I48" s="38">
        <v>55.37</v>
      </c>
      <c r="J48" s="39">
        <v>278.18</v>
      </c>
      <c r="K48" s="38">
        <v>50.72</v>
      </c>
      <c r="L48" s="39">
        <v>89.36</v>
      </c>
      <c r="M48" s="38">
        <v>81.05</v>
      </c>
      <c r="N48" s="38">
        <v>25.47</v>
      </c>
      <c r="O48" s="38">
        <v>34.94</v>
      </c>
      <c r="P48" s="38">
        <v>58.6</v>
      </c>
      <c r="Q48" s="38">
        <v>-79.989999999999995</v>
      </c>
      <c r="R48" s="39">
        <v>93.52</v>
      </c>
      <c r="S48" s="39">
        <v>60.46</v>
      </c>
      <c r="T48" s="39">
        <v>102.19</v>
      </c>
      <c r="U48" s="39">
        <v>137.78</v>
      </c>
      <c r="V48" s="38">
        <v>132.29</v>
      </c>
      <c r="W48" t="s">
        <v>23</v>
      </c>
    </row>
    <row r="49" spans="2:23" x14ac:dyDescent="0.3">
      <c r="B49" s="36" t="s">
        <v>120</v>
      </c>
      <c r="C49" t="s">
        <v>27</v>
      </c>
      <c r="D49" s="6">
        <v>9.6774193548387011</v>
      </c>
      <c r="E49">
        <v>1.7</v>
      </c>
      <c r="F49" s="38">
        <v>2.27</v>
      </c>
      <c r="G49" s="38">
        <v>3.02</v>
      </c>
      <c r="H49" s="38">
        <v>2.48</v>
      </c>
      <c r="I49" s="38">
        <v>2.63</v>
      </c>
      <c r="J49" s="38">
        <v>1.07</v>
      </c>
      <c r="K49" s="38">
        <v>1.89</v>
      </c>
      <c r="L49" s="38">
        <v>-0.25</v>
      </c>
      <c r="M49" s="38">
        <v>0.77</v>
      </c>
      <c r="N49" s="38">
        <v>-6.8</v>
      </c>
      <c r="O49" s="38">
        <v>2.39</v>
      </c>
      <c r="P49" s="38">
        <v>-0.48</v>
      </c>
      <c r="Q49" s="38">
        <v>1.42</v>
      </c>
      <c r="R49" s="38">
        <v>1.08</v>
      </c>
      <c r="S49" s="38">
        <v>2.39</v>
      </c>
      <c r="T49" s="38">
        <v>-0.35</v>
      </c>
      <c r="U49" s="39">
        <v>3.08</v>
      </c>
      <c r="V49" s="38">
        <v>1.68</v>
      </c>
      <c r="W49" t="s">
        <v>107</v>
      </c>
    </row>
    <row r="50" spans="2:23" x14ac:dyDescent="0.3">
      <c r="B50" s="36" t="s">
        <v>115</v>
      </c>
      <c r="C50" t="s">
        <v>27</v>
      </c>
      <c r="D50" s="6">
        <v>9.375</v>
      </c>
      <c r="E50">
        <v>3.4125000000000001</v>
      </c>
      <c r="F50" s="38">
        <v>3.25</v>
      </c>
      <c r="G50" s="38">
        <v>3.64</v>
      </c>
      <c r="H50" s="38">
        <v>4.37</v>
      </c>
      <c r="I50" s="38">
        <v>3.77</v>
      </c>
      <c r="J50" s="38">
        <v>3.97</v>
      </c>
      <c r="K50" s="38">
        <v>3.44</v>
      </c>
      <c r="L50" s="38">
        <v>3.17</v>
      </c>
      <c r="M50" s="38">
        <v>2.2200000000000002</v>
      </c>
      <c r="N50" s="38">
        <v>2.1800000000000002</v>
      </c>
      <c r="O50" s="38">
        <v>2.72</v>
      </c>
      <c r="P50" s="38">
        <v>2.37</v>
      </c>
      <c r="Q50" s="38">
        <v>2.84</v>
      </c>
      <c r="R50" s="38">
        <v>2.94</v>
      </c>
      <c r="S50" s="38">
        <v>2.3199999999999998</v>
      </c>
      <c r="T50" s="38">
        <v>2.98</v>
      </c>
      <c r="U50" s="39">
        <v>4.24</v>
      </c>
      <c r="V50" s="38">
        <v>4.1100000000000003</v>
      </c>
      <c r="W50" t="s">
        <v>60</v>
      </c>
    </row>
    <row r="51" spans="2:23" x14ac:dyDescent="0.3">
      <c r="B51" s="36" t="s">
        <v>148</v>
      </c>
      <c r="C51" t="s">
        <v>27</v>
      </c>
      <c r="D51" s="6">
        <v>9.1510474090408032</v>
      </c>
      <c r="E51">
        <v>9.9</v>
      </c>
      <c r="F51" s="38">
        <v>7.4</v>
      </c>
      <c r="G51" s="38">
        <v>7.69</v>
      </c>
      <c r="H51" s="38">
        <v>7.66</v>
      </c>
      <c r="I51" s="38">
        <v>9.77</v>
      </c>
      <c r="J51" s="38">
        <v>10.55</v>
      </c>
      <c r="K51" s="38">
        <v>10.33</v>
      </c>
      <c r="L51" s="38">
        <v>8.93</v>
      </c>
      <c r="M51" s="38">
        <v>10.81</v>
      </c>
      <c r="N51" s="38">
        <v>10.14</v>
      </c>
      <c r="O51" s="38">
        <v>8.3800000000000008</v>
      </c>
      <c r="P51" s="38">
        <v>9.2899999999999991</v>
      </c>
      <c r="Q51" s="38">
        <v>10.68</v>
      </c>
      <c r="R51" s="38">
        <v>10.65</v>
      </c>
      <c r="S51" s="38">
        <v>10.039999999999999</v>
      </c>
      <c r="T51" s="38">
        <v>8.67</v>
      </c>
      <c r="U51" s="38">
        <v>6.92</v>
      </c>
      <c r="V51" s="38">
        <v>13.97</v>
      </c>
      <c r="W51" t="s">
        <v>110</v>
      </c>
    </row>
    <row r="52" spans="2:23" x14ac:dyDescent="0.3">
      <c r="B52" s="36" t="s">
        <v>231</v>
      </c>
      <c r="C52" t="s">
        <v>27</v>
      </c>
      <c r="D52" s="6">
        <v>8.996782312275009</v>
      </c>
      <c r="E52">
        <v>85.532499999999999</v>
      </c>
      <c r="F52" s="38">
        <v>61.58</v>
      </c>
      <c r="G52" s="38">
        <v>71.09</v>
      </c>
      <c r="H52" s="38">
        <v>76.55</v>
      </c>
      <c r="I52" s="38">
        <v>77.069999999999993</v>
      </c>
      <c r="J52" s="38">
        <v>84.12</v>
      </c>
      <c r="K52" s="38">
        <v>70.760000000000005</v>
      </c>
      <c r="L52" s="38">
        <v>64.709999999999994</v>
      </c>
      <c r="M52" s="38">
        <v>61.89</v>
      </c>
      <c r="N52" s="38">
        <v>47.23</v>
      </c>
      <c r="O52" s="38">
        <v>60.64</v>
      </c>
      <c r="P52" s="38">
        <v>66.599999999999994</v>
      </c>
      <c r="Q52" s="38">
        <v>72.38</v>
      </c>
      <c r="R52" s="39">
        <v>79.37</v>
      </c>
      <c r="S52" s="38">
        <v>79.09</v>
      </c>
      <c r="T52" s="38">
        <v>76.61</v>
      </c>
      <c r="U52" s="38">
        <v>78.819999999999993</v>
      </c>
      <c r="V52" s="38">
        <v>107.61</v>
      </c>
      <c r="W52" t="s">
        <v>112</v>
      </c>
    </row>
    <row r="53" spans="2:23" x14ac:dyDescent="0.3">
      <c r="B53" s="36" t="s">
        <v>105</v>
      </c>
      <c r="C53" t="s">
        <v>27</v>
      </c>
      <c r="D53" s="6">
        <v>8.8081305820757692</v>
      </c>
      <c r="E53">
        <v>8.8324999999999996</v>
      </c>
      <c r="F53" s="38">
        <v>12.9</v>
      </c>
      <c r="G53" s="38">
        <v>11.5</v>
      </c>
      <c r="H53" s="38">
        <v>11.94</v>
      </c>
      <c r="I53" s="38">
        <v>12.17</v>
      </c>
      <c r="J53" s="38">
        <v>11.12</v>
      </c>
      <c r="K53" s="38">
        <v>10.62</v>
      </c>
      <c r="L53" s="38">
        <v>8.56</v>
      </c>
      <c r="M53" s="38">
        <v>7.02</v>
      </c>
      <c r="N53" s="38">
        <v>7.3</v>
      </c>
      <c r="O53" s="38">
        <v>7.26</v>
      </c>
      <c r="P53" s="38">
        <v>7.57</v>
      </c>
      <c r="Q53" s="38">
        <v>7.58</v>
      </c>
      <c r="R53" s="38">
        <v>6.67</v>
      </c>
      <c r="S53" s="38">
        <v>7.68</v>
      </c>
      <c r="T53" s="38">
        <v>8.4499999999999993</v>
      </c>
      <c r="U53" s="38">
        <v>9.67</v>
      </c>
      <c r="V53" s="38">
        <v>9.5299999999999994</v>
      </c>
      <c r="W53" t="s">
        <v>114</v>
      </c>
    </row>
    <row r="54" spans="2:23" x14ac:dyDescent="0.3">
      <c r="B54" s="36" t="s">
        <v>44</v>
      </c>
      <c r="C54" t="s">
        <v>27</v>
      </c>
      <c r="D54" s="6">
        <v>8.6421193907918479</v>
      </c>
      <c r="E54">
        <v>-46.545000000000002</v>
      </c>
      <c r="F54" s="38">
        <v>56.5</v>
      </c>
      <c r="G54" s="38">
        <v>59.69</v>
      </c>
      <c r="H54" s="38">
        <v>28.47</v>
      </c>
      <c r="I54" s="38">
        <v>49.2</v>
      </c>
      <c r="J54" s="38">
        <v>52.31</v>
      </c>
      <c r="K54" s="38">
        <v>31.13</v>
      </c>
      <c r="L54" s="38">
        <v>36.869999999999997</v>
      </c>
      <c r="M54" s="38">
        <v>34.630000000000003</v>
      </c>
      <c r="N54" s="38">
        <v>24.89</v>
      </c>
      <c r="O54" s="38">
        <v>2.66</v>
      </c>
      <c r="P54" s="38">
        <v>-79.37</v>
      </c>
      <c r="Q54" s="39">
        <v>26.68</v>
      </c>
      <c r="R54" s="39">
        <v>19.8</v>
      </c>
      <c r="S54" s="38">
        <v>2.4500000000000002</v>
      </c>
      <c r="T54" s="39">
        <v>-109.2</v>
      </c>
      <c r="U54" s="39">
        <v>-84.42</v>
      </c>
      <c r="V54" s="38">
        <v>4.99</v>
      </c>
      <c r="W54" t="s">
        <v>58</v>
      </c>
    </row>
    <row r="55" spans="2:23" x14ac:dyDescent="0.3">
      <c r="B55" s="36" t="s">
        <v>26</v>
      </c>
      <c r="C55" t="s">
        <v>27</v>
      </c>
      <c r="D55" s="6">
        <v>8.4675254965109978</v>
      </c>
      <c r="E55">
        <v>20.2075</v>
      </c>
      <c r="F55" s="38">
        <v>21.63</v>
      </c>
      <c r="G55" s="38">
        <v>22.71</v>
      </c>
      <c r="H55" s="38">
        <v>23.46</v>
      </c>
      <c r="I55" s="38">
        <v>25.74</v>
      </c>
      <c r="J55" s="38">
        <v>27.51</v>
      </c>
      <c r="K55" s="38">
        <v>23.66</v>
      </c>
      <c r="L55" s="38">
        <v>21.82</v>
      </c>
      <c r="M55" s="38">
        <v>19.239999999999998</v>
      </c>
      <c r="N55" s="38">
        <v>12.9</v>
      </c>
      <c r="O55" s="38">
        <v>15.92</v>
      </c>
      <c r="P55" s="38">
        <v>16.48</v>
      </c>
      <c r="Q55" s="38">
        <v>16.899999999999999</v>
      </c>
      <c r="R55" s="38">
        <v>14.75</v>
      </c>
      <c r="S55" s="38">
        <v>18.72</v>
      </c>
      <c r="T55" s="38">
        <v>19.73</v>
      </c>
      <c r="U55" s="38">
        <v>21.32</v>
      </c>
      <c r="V55" s="38">
        <v>21.06</v>
      </c>
      <c r="W55" t="s">
        <v>117</v>
      </c>
    </row>
    <row r="56" spans="2:23" customFormat="1" hidden="1" x14ac:dyDescent="0.3">
      <c r="B56" t="s">
        <v>118</v>
      </c>
      <c r="C56" t="s">
        <v>25</v>
      </c>
      <c r="D56" s="3">
        <v>1.4925373134328179</v>
      </c>
      <c r="E56">
        <v>0.67999999999999994</v>
      </c>
      <c r="F56">
        <v>1.81</v>
      </c>
      <c r="G56">
        <v>0.09</v>
      </c>
      <c r="H56">
        <v>-0.18</v>
      </c>
      <c r="I56">
        <v>-0.01</v>
      </c>
      <c r="J56">
        <v>0.15</v>
      </c>
      <c r="K56" s="2">
        <v>0.2</v>
      </c>
      <c r="L56" s="2">
        <v>0.08</v>
      </c>
      <c r="M56">
        <v>0</v>
      </c>
      <c r="N56">
        <v>0.17</v>
      </c>
      <c r="O56" s="2">
        <v>0.37</v>
      </c>
      <c r="P56">
        <v>-5.96</v>
      </c>
      <c r="Q56">
        <v>0.65</v>
      </c>
      <c r="R56">
        <v>0.56000000000000005</v>
      </c>
      <c r="S56">
        <v>0.77</v>
      </c>
      <c r="T56">
        <v>0.72</v>
      </c>
      <c r="U56">
        <v>0.63</v>
      </c>
      <c r="V56">
        <v>0.6</v>
      </c>
      <c r="W56" t="s">
        <v>119</v>
      </c>
    </row>
    <row r="57" spans="2:23" x14ac:dyDescent="0.3">
      <c r="B57" s="36" t="s">
        <v>207</v>
      </c>
      <c r="C57" t="s">
        <v>27</v>
      </c>
      <c r="D57" s="6">
        <v>8.4544253632760977</v>
      </c>
      <c r="E57">
        <v>2052.5</v>
      </c>
      <c r="F57" s="38">
        <v>3059</v>
      </c>
      <c r="G57" s="38">
        <v>2945</v>
      </c>
      <c r="H57" s="38">
        <v>2564</v>
      </c>
      <c r="I57" s="38">
        <v>2187</v>
      </c>
      <c r="J57" s="38">
        <v>1544</v>
      </c>
      <c r="K57" s="38">
        <v>1163</v>
      </c>
      <c r="L57" s="38">
        <v>1728</v>
      </c>
      <c r="M57" s="38">
        <v>2222</v>
      </c>
      <c r="N57" s="38">
        <v>932</v>
      </c>
      <c r="O57" s="38">
        <v>1582</v>
      </c>
      <c r="P57" s="38">
        <v>651</v>
      </c>
      <c r="Q57" s="38">
        <v>2218</v>
      </c>
      <c r="R57" s="38">
        <v>1459</v>
      </c>
      <c r="S57" s="38">
        <v>1729</v>
      </c>
      <c r="T57" s="38">
        <v>0</v>
      </c>
      <c r="U57" s="39">
        <v>4382</v>
      </c>
      <c r="V57" s="38">
        <v>2099</v>
      </c>
      <c r="W57" t="s">
        <v>58</v>
      </c>
    </row>
    <row r="58" spans="2:23" customFormat="1" hidden="1" x14ac:dyDescent="0.3">
      <c r="B58" t="s">
        <v>121</v>
      </c>
      <c r="C58" t="s">
        <v>25</v>
      </c>
      <c r="D58" s="3">
        <v>-9.8409542743538747</v>
      </c>
      <c r="E58">
        <v>-9.07</v>
      </c>
      <c r="F58">
        <v>-10.16</v>
      </c>
      <c r="G58">
        <v>-13.1</v>
      </c>
      <c r="H58">
        <v>-9.7899999999999991</v>
      </c>
      <c r="I58">
        <v>-9.23</v>
      </c>
      <c r="J58">
        <v>-13.22</v>
      </c>
      <c r="K58">
        <v>-9.1</v>
      </c>
      <c r="L58">
        <v>-7.79</v>
      </c>
      <c r="M58">
        <v>-6.31</v>
      </c>
      <c r="N58">
        <v>-7.66</v>
      </c>
      <c r="O58">
        <v>-8.0299999999999994</v>
      </c>
      <c r="P58">
        <v>-8.41</v>
      </c>
      <c r="Q58">
        <v>-7.74</v>
      </c>
      <c r="R58" s="2">
        <v>-14.14</v>
      </c>
      <c r="S58">
        <v>-9.99</v>
      </c>
      <c r="T58">
        <v>-8.43</v>
      </c>
      <c r="U58">
        <v>-7.68</v>
      </c>
      <c r="V58">
        <v>-10.18</v>
      </c>
      <c r="W58" t="s">
        <v>69</v>
      </c>
    </row>
    <row r="59" spans="2:23" customFormat="1" hidden="1" x14ac:dyDescent="0.3">
      <c r="B59" t="s">
        <v>122</v>
      </c>
      <c r="C59" t="s">
        <v>25</v>
      </c>
      <c r="D59" s="3">
        <v>8.2398829839102952</v>
      </c>
      <c r="E59">
        <v>5.55</v>
      </c>
      <c r="F59">
        <v>4.42</v>
      </c>
      <c r="G59">
        <v>4.45</v>
      </c>
      <c r="H59">
        <v>5.18</v>
      </c>
      <c r="I59">
        <v>5</v>
      </c>
      <c r="J59">
        <v>5.63</v>
      </c>
      <c r="K59">
        <v>6.15</v>
      </c>
      <c r="L59">
        <v>5.39</v>
      </c>
      <c r="M59" s="2">
        <v>7.43</v>
      </c>
      <c r="N59">
        <v>6.19</v>
      </c>
      <c r="O59">
        <v>6.78</v>
      </c>
      <c r="P59">
        <v>7.6</v>
      </c>
      <c r="Q59">
        <v>4.78</v>
      </c>
      <c r="R59">
        <v>4.97</v>
      </c>
      <c r="S59">
        <v>4.38</v>
      </c>
      <c r="T59">
        <v>5.98</v>
      </c>
      <c r="U59">
        <v>5.18</v>
      </c>
      <c r="V59">
        <v>6.66</v>
      </c>
      <c r="W59" t="s">
        <v>81</v>
      </c>
    </row>
    <row r="60" spans="2:23" customFormat="1" hidden="1" x14ac:dyDescent="0.3">
      <c r="B60" t="s">
        <v>123</v>
      </c>
      <c r="C60" t="s">
        <v>124</v>
      </c>
      <c r="D60" s="3">
        <v>95.588235294117638</v>
      </c>
      <c r="E60">
        <v>-0.33250000000000002</v>
      </c>
      <c r="F60">
        <v>0.23</v>
      </c>
      <c r="G60">
        <v>0.19</v>
      </c>
      <c r="H60">
        <v>-0.17</v>
      </c>
      <c r="I60">
        <v>0.37</v>
      </c>
      <c r="J60" s="2">
        <v>0.38</v>
      </c>
      <c r="K60">
        <v>0.01</v>
      </c>
      <c r="L60">
        <v>-1.23</v>
      </c>
      <c r="M60" s="2">
        <v>-0.4</v>
      </c>
      <c r="N60" s="2">
        <v>0.11</v>
      </c>
      <c r="O60">
        <v>0.24</v>
      </c>
      <c r="P60">
        <v>-0.72</v>
      </c>
      <c r="Q60">
        <v>0</v>
      </c>
      <c r="R60">
        <v>0.11</v>
      </c>
      <c r="S60" s="2">
        <v>0</v>
      </c>
      <c r="T60">
        <v>-0.65</v>
      </c>
      <c r="U60" s="2">
        <v>-0.14000000000000001</v>
      </c>
      <c r="V60" s="2">
        <v>-0.54</v>
      </c>
      <c r="W60" t="s">
        <v>125</v>
      </c>
    </row>
    <row r="61" spans="2:23" x14ac:dyDescent="0.3">
      <c r="B61" s="36" t="s">
        <v>206</v>
      </c>
      <c r="C61" t="s">
        <v>27</v>
      </c>
      <c r="D61" s="6">
        <v>8.1037735849056602</v>
      </c>
      <c r="E61">
        <v>2864.75</v>
      </c>
      <c r="F61" s="38">
        <v>2121</v>
      </c>
      <c r="G61" s="38">
        <v>1921</v>
      </c>
      <c r="H61" s="38">
        <v>2329</v>
      </c>
      <c r="I61" s="38">
        <v>2776</v>
      </c>
      <c r="J61" s="38">
        <v>2743</v>
      </c>
      <c r="K61" s="38">
        <v>2304</v>
      </c>
      <c r="L61" s="38">
        <v>1713</v>
      </c>
      <c r="M61" s="38">
        <v>1759</v>
      </c>
      <c r="N61" s="38">
        <v>1738</v>
      </c>
      <c r="O61" s="38">
        <v>1829</v>
      </c>
      <c r="P61" s="38">
        <v>1792</v>
      </c>
      <c r="Q61" s="38">
        <v>1862</v>
      </c>
      <c r="R61" s="38">
        <v>2321</v>
      </c>
      <c r="S61" s="38">
        <v>2455</v>
      </c>
      <c r="T61" s="39">
        <v>2803</v>
      </c>
      <c r="U61" s="39">
        <v>3021</v>
      </c>
      <c r="V61" s="38">
        <v>3180</v>
      </c>
      <c r="W61" t="s">
        <v>112</v>
      </c>
    </row>
    <row r="62" spans="2:23" customFormat="1" hidden="1" x14ac:dyDescent="0.3">
      <c r="B62" t="s">
        <v>127</v>
      </c>
      <c r="C62" t="s">
        <v>25</v>
      </c>
      <c r="D62" s="3">
        <v>3.0630546691202021</v>
      </c>
      <c r="E62">
        <v>110.61499999999999</v>
      </c>
      <c r="F62">
        <v>69.89</v>
      </c>
      <c r="G62">
        <v>74.040000000000006</v>
      </c>
      <c r="H62">
        <v>73.22</v>
      </c>
      <c r="I62">
        <v>72.92</v>
      </c>
      <c r="J62">
        <v>79.040000000000006</v>
      </c>
      <c r="K62">
        <v>82.53</v>
      </c>
      <c r="L62">
        <v>84.19</v>
      </c>
      <c r="M62">
        <v>85.02</v>
      </c>
      <c r="N62">
        <v>87.27</v>
      </c>
      <c r="O62">
        <v>96.23</v>
      </c>
      <c r="P62">
        <v>95.29</v>
      </c>
      <c r="Q62">
        <v>99.41</v>
      </c>
      <c r="R62">
        <v>99.51</v>
      </c>
      <c r="S62">
        <v>106.49</v>
      </c>
      <c r="T62">
        <v>109.91</v>
      </c>
      <c r="U62">
        <v>113.4</v>
      </c>
      <c r="V62">
        <v>112.66</v>
      </c>
      <c r="W62" t="s">
        <v>23</v>
      </c>
    </row>
    <row r="63" spans="2:23" customFormat="1" hidden="1" x14ac:dyDescent="0.3">
      <c r="B63" t="s">
        <v>128</v>
      </c>
      <c r="C63" t="s">
        <v>25</v>
      </c>
      <c r="D63" s="3">
        <v>-4.0317460317460307</v>
      </c>
      <c r="E63">
        <v>7.5575000000000001</v>
      </c>
      <c r="F63">
        <v>6.19</v>
      </c>
      <c r="G63">
        <v>4.6100000000000003</v>
      </c>
      <c r="H63">
        <v>3</v>
      </c>
      <c r="I63">
        <v>5.4</v>
      </c>
      <c r="J63" s="2">
        <v>8.81</v>
      </c>
      <c r="K63" s="2">
        <v>12.47</v>
      </c>
      <c r="L63" s="2">
        <v>11.9</v>
      </c>
      <c r="M63" s="2">
        <v>11</v>
      </c>
      <c r="N63">
        <v>9.6300000000000008</v>
      </c>
      <c r="O63">
        <v>7.78</v>
      </c>
      <c r="P63">
        <v>7.23</v>
      </c>
      <c r="Q63">
        <v>7.44</v>
      </c>
      <c r="R63">
        <v>9.8000000000000007</v>
      </c>
      <c r="S63">
        <v>7.73</v>
      </c>
      <c r="T63">
        <v>6.8</v>
      </c>
      <c r="U63">
        <v>7.17</v>
      </c>
      <c r="V63">
        <v>8.5299999999999994</v>
      </c>
      <c r="W63" t="s">
        <v>129</v>
      </c>
    </row>
    <row r="64" spans="2:23" x14ac:dyDescent="0.3">
      <c r="B64" s="36" t="s">
        <v>179</v>
      </c>
      <c r="C64" t="s">
        <v>27</v>
      </c>
      <c r="D64" s="6">
        <v>7.8276980083372028</v>
      </c>
      <c r="E64">
        <v>582</v>
      </c>
      <c r="F64" s="38">
        <v>684</v>
      </c>
      <c r="G64" s="38">
        <v>536</v>
      </c>
      <c r="H64" s="38">
        <v>478</v>
      </c>
      <c r="I64" s="38">
        <v>813</v>
      </c>
      <c r="J64" s="38">
        <v>828</v>
      </c>
      <c r="K64" s="38">
        <v>664</v>
      </c>
      <c r="L64" s="38">
        <v>612</v>
      </c>
      <c r="M64" s="38">
        <v>549</v>
      </c>
      <c r="N64" s="38">
        <v>205</v>
      </c>
      <c r="O64" s="38">
        <v>430</v>
      </c>
      <c r="P64" s="38">
        <v>480</v>
      </c>
      <c r="Q64" s="38">
        <v>470</v>
      </c>
      <c r="R64" s="39">
        <v>508</v>
      </c>
      <c r="S64" s="38">
        <v>468</v>
      </c>
      <c r="T64" s="38">
        <v>554</v>
      </c>
      <c r="U64" s="38">
        <v>629</v>
      </c>
      <c r="V64" s="38">
        <v>677</v>
      </c>
      <c r="W64" t="s">
        <v>131</v>
      </c>
    </row>
    <row r="65" spans="2:23" customFormat="1" hidden="1" x14ac:dyDescent="0.3">
      <c r="B65" t="s">
        <v>132</v>
      </c>
      <c r="C65" t="s">
        <v>25</v>
      </c>
      <c r="D65" s="3">
        <v>0.30395136778114118</v>
      </c>
      <c r="E65">
        <v>9.9</v>
      </c>
      <c r="F65">
        <v>12.1</v>
      </c>
      <c r="G65">
        <v>6.98</v>
      </c>
      <c r="H65">
        <v>10.65</v>
      </c>
      <c r="I65">
        <v>12.57</v>
      </c>
      <c r="J65" s="2">
        <v>19.420000000000002</v>
      </c>
      <c r="K65" s="2">
        <v>19.079999999999998</v>
      </c>
      <c r="L65" s="2">
        <v>20.45</v>
      </c>
      <c r="M65">
        <v>5.76</v>
      </c>
      <c r="N65">
        <v>4.41</v>
      </c>
      <c r="O65">
        <v>-1.89</v>
      </c>
      <c r="P65">
        <v>7.23</v>
      </c>
      <c r="Q65">
        <v>5.92</v>
      </c>
      <c r="R65" s="2">
        <v>7.03</v>
      </c>
      <c r="S65" s="2">
        <v>10.68</v>
      </c>
      <c r="T65" s="2">
        <v>11.14</v>
      </c>
      <c r="U65" s="2">
        <v>10.63</v>
      </c>
      <c r="V65">
        <v>7.15</v>
      </c>
      <c r="W65" t="s">
        <v>133</v>
      </c>
    </row>
    <row r="66" spans="2:23" x14ac:dyDescent="0.3">
      <c r="B66" s="36" t="s">
        <v>167</v>
      </c>
      <c r="C66" t="s">
        <v>27</v>
      </c>
      <c r="D66" s="6">
        <v>7.7796662546353534</v>
      </c>
      <c r="E66">
        <v>34.877499999999998</v>
      </c>
      <c r="F66" s="38">
        <v>12.67</v>
      </c>
      <c r="G66" s="38">
        <v>42.66</v>
      </c>
      <c r="H66" s="38">
        <v>46.14</v>
      </c>
      <c r="I66" s="38">
        <v>48.15</v>
      </c>
      <c r="J66" s="39">
        <v>48.27</v>
      </c>
      <c r="K66" s="38">
        <v>19.350000000000001</v>
      </c>
      <c r="L66" s="38">
        <v>37.270000000000003</v>
      </c>
      <c r="M66" s="38">
        <v>37.659999999999997</v>
      </c>
      <c r="N66" s="38">
        <v>37.69</v>
      </c>
      <c r="O66" s="38">
        <v>31.78</v>
      </c>
      <c r="P66" s="38">
        <v>36.880000000000003</v>
      </c>
      <c r="Q66" s="38">
        <v>22.57</v>
      </c>
      <c r="R66" s="38">
        <v>6.88</v>
      </c>
      <c r="S66" s="39">
        <v>46.78</v>
      </c>
      <c r="T66" s="39">
        <v>49.82</v>
      </c>
      <c r="U66" s="38">
        <v>25.96</v>
      </c>
      <c r="V66" s="38">
        <v>16.95</v>
      </c>
      <c r="W66" t="s">
        <v>135</v>
      </c>
    </row>
    <row r="67" spans="2:23" customFormat="1" hidden="1" x14ac:dyDescent="0.3">
      <c r="B67" t="s">
        <v>136</v>
      </c>
      <c r="C67" t="s">
        <v>25</v>
      </c>
      <c r="D67" s="3">
        <v>15.633937082936139</v>
      </c>
      <c r="E67">
        <v>6.0650000000000004</v>
      </c>
      <c r="F67">
        <v>5.75</v>
      </c>
      <c r="G67">
        <v>-15.14</v>
      </c>
      <c r="H67">
        <v>-0.33</v>
      </c>
      <c r="I67">
        <v>0.2</v>
      </c>
      <c r="J67">
        <v>4.9000000000000004</v>
      </c>
      <c r="K67">
        <v>12.38</v>
      </c>
      <c r="L67">
        <v>-1.1200000000000001</v>
      </c>
      <c r="M67">
        <v>-3.2</v>
      </c>
      <c r="N67">
        <v>2</v>
      </c>
      <c r="O67">
        <v>8.9700000000000006</v>
      </c>
      <c r="P67" s="2">
        <v>-0.15</v>
      </c>
      <c r="Q67" s="2">
        <v>-0.51</v>
      </c>
      <c r="R67">
        <v>3.02</v>
      </c>
      <c r="S67" s="2">
        <v>12.15</v>
      </c>
      <c r="T67" s="2">
        <v>3.19</v>
      </c>
      <c r="U67" s="2">
        <v>2.62</v>
      </c>
      <c r="V67" s="2">
        <v>6.3</v>
      </c>
      <c r="W67" t="s">
        <v>137</v>
      </c>
    </row>
    <row r="68" spans="2:23" customFormat="1" hidden="1" x14ac:dyDescent="0.3">
      <c r="B68" t="s">
        <v>138</v>
      </c>
      <c r="C68" t="s">
        <v>25</v>
      </c>
      <c r="D68" s="3">
        <v>-11.51651039543415</v>
      </c>
      <c r="E68">
        <v>-10.852499999999999</v>
      </c>
      <c r="F68">
        <v>-5.18</v>
      </c>
      <c r="G68">
        <v>-30.71</v>
      </c>
      <c r="H68">
        <v>-0.55000000000000004</v>
      </c>
      <c r="I68">
        <v>-106.75</v>
      </c>
      <c r="J68">
        <v>17.489999999999998</v>
      </c>
      <c r="K68">
        <v>0</v>
      </c>
      <c r="L68" s="2">
        <v>-12.04</v>
      </c>
      <c r="M68">
        <v>-12.17</v>
      </c>
      <c r="N68" s="2">
        <v>-13.68</v>
      </c>
      <c r="O68" s="2">
        <v>-11.92</v>
      </c>
      <c r="P68">
        <v>-9.16</v>
      </c>
      <c r="Q68">
        <v>-6.39</v>
      </c>
      <c r="R68">
        <v>-11.81</v>
      </c>
      <c r="S68" s="2">
        <v>-18.93</v>
      </c>
      <c r="T68">
        <v>-10.63</v>
      </c>
      <c r="U68">
        <v>-7.69</v>
      </c>
      <c r="V68">
        <v>-6.16</v>
      </c>
      <c r="W68" t="s">
        <v>139</v>
      </c>
    </row>
    <row r="69" spans="2:23" customFormat="1" hidden="1" x14ac:dyDescent="0.3">
      <c r="B69" t="s">
        <v>140</v>
      </c>
      <c r="C69" t="s">
        <v>25</v>
      </c>
      <c r="D69" s="3">
        <v>-24.087123638693139</v>
      </c>
      <c r="E69">
        <v>5.9250000000000007</v>
      </c>
      <c r="F69">
        <v>-10.1</v>
      </c>
      <c r="G69">
        <v>50</v>
      </c>
      <c r="H69">
        <v>-16.32</v>
      </c>
      <c r="I69">
        <v>-11.72</v>
      </c>
      <c r="J69" s="2">
        <v>-5.57</v>
      </c>
      <c r="K69">
        <v>-5.54</v>
      </c>
      <c r="L69">
        <v>-11.61</v>
      </c>
      <c r="M69">
        <v>-2.86</v>
      </c>
      <c r="N69">
        <v>11.28</v>
      </c>
      <c r="O69">
        <v>29.36</v>
      </c>
      <c r="P69" s="2">
        <v>-7.84</v>
      </c>
      <c r="Q69" s="2">
        <v>25.84</v>
      </c>
      <c r="R69">
        <v>-0.36</v>
      </c>
      <c r="S69" s="2">
        <v>49.92</v>
      </c>
      <c r="T69">
        <v>-6.14</v>
      </c>
      <c r="U69">
        <v>-12.2</v>
      </c>
      <c r="V69">
        <v>-7.88</v>
      </c>
      <c r="W69" t="s">
        <v>141</v>
      </c>
    </row>
    <row r="70" spans="2:23" customFormat="1" hidden="1" x14ac:dyDescent="0.3">
      <c r="B70" t="s">
        <v>142</v>
      </c>
      <c r="C70" t="s">
        <v>25</v>
      </c>
      <c r="D70" s="3">
        <v>0.63329312424609263</v>
      </c>
      <c r="E70">
        <v>8.3424999999999994</v>
      </c>
      <c r="F70">
        <v>8.9700000000000006</v>
      </c>
      <c r="G70">
        <v>8.99</v>
      </c>
      <c r="H70">
        <v>8.3800000000000008</v>
      </c>
      <c r="I70">
        <v>9.11</v>
      </c>
      <c r="J70">
        <v>5.31</v>
      </c>
      <c r="K70">
        <v>9.5500000000000007</v>
      </c>
      <c r="L70">
        <v>7.66</v>
      </c>
      <c r="M70">
        <v>7.46</v>
      </c>
      <c r="N70" s="2">
        <v>9.44</v>
      </c>
      <c r="O70">
        <v>5.92</v>
      </c>
      <c r="P70">
        <v>6.46</v>
      </c>
      <c r="Q70">
        <v>7.48</v>
      </c>
      <c r="R70">
        <v>7.81</v>
      </c>
      <c r="S70" s="2">
        <v>10.119999999999999</v>
      </c>
      <c r="T70">
        <v>7.7</v>
      </c>
      <c r="U70">
        <v>7.53</v>
      </c>
      <c r="V70">
        <v>8.02</v>
      </c>
      <c r="W70" t="s">
        <v>143</v>
      </c>
    </row>
    <row r="71" spans="2:23" x14ac:dyDescent="0.3">
      <c r="B71" s="36" t="s">
        <v>46</v>
      </c>
      <c r="C71" t="s">
        <v>27</v>
      </c>
      <c r="D71" s="6">
        <v>7.5550891920251884</v>
      </c>
      <c r="E71">
        <v>15.375</v>
      </c>
      <c r="F71" s="38">
        <v>8.42</v>
      </c>
      <c r="G71" s="38">
        <v>10.51</v>
      </c>
      <c r="H71" s="38">
        <v>13.12</v>
      </c>
      <c r="I71" s="38">
        <v>14.75</v>
      </c>
      <c r="J71" s="39">
        <v>16.53</v>
      </c>
      <c r="K71" s="38">
        <v>14.83</v>
      </c>
      <c r="L71" s="38">
        <v>11.18</v>
      </c>
      <c r="M71" s="38">
        <v>2.39</v>
      </c>
      <c r="N71" s="38">
        <v>7.83</v>
      </c>
      <c r="O71" s="38">
        <v>11.99</v>
      </c>
      <c r="P71" s="38">
        <v>10.33</v>
      </c>
      <c r="Q71" s="39">
        <v>10.75</v>
      </c>
      <c r="R71" s="39">
        <v>12.39</v>
      </c>
      <c r="S71" s="38">
        <v>13.56</v>
      </c>
      <c r="T71" s="38">
        <v>14.26</v>
      </c>
      <c r="U71" s="39">
        <v>16.97</v>
      </c>
      <c r="V71" s="38">
        <v>16.71</v>
      </c>
      <c r="W71" t="s">
        <v>74</v>
      </c>
    </row>
    <row r="72" spans="2:23" x14ac:dyDescent="0.3">
      <c r="B72" s="36" t="s">
        <v>239</v>
      </c>
      <c r="C72" t="s">
        <v>27</v>
      </c>
      <c r="D72" s="6">
        <v>7.4932483286846541</v>
      </c>
      <c r="E72">
        <v>121.39749999999999</v>
      </c>
      <c r="F72" s="38">
        <v>80.47</v>
      </c>
      <c r="G72" s="38">
        <v>77.540000000000006</v>
      </c>
      <c r="H72" s="38">
        <v>85.99</v>
      </c>
      <c r="I72" s="38">
        <v>86.23</v>
      </c>
      <c r="J72" s="38">
        <v>97.26</v>
      </c>
      <c r="K72" s="38">
        <v>83.18</v>
      </c>
      <c r="L72" s="38">
        <v>95.67</v>
      </c>
      <c r="M72" s="38">
        <v>88.85</v>
      </c>
      <c r="N72" s="38">
        <v>81.02</v>
      </c>
      <c r="O72" s="38">
        <v>75.55</v>
      </c>
      <c r="P72" s="38">
        <v>103.17</v>
      </c>
      <c r="Q72" s="38">
        <v>79.66</v>
      </c>
      <c r="R72" s="38">
        <v>86.24</v>
      </c>
      <c r="S72" s="39">
        <v>115.06</v>
      </c>
      <c r="T72" s="38">
        <v>122.65</v>
      </c>
      <c r="U72" s="39">
        <v>127.79</v>
      </c>
      <c r="V72" s="38">
        <v>120.09</v>
      </c>
      <c r="W72" t="s">
        <v>147</v>
      </c>
    </row>
    <row r="73" spans="2:23" x14ac:dyDescent="0.3">
      <c r="B73" s="36" t="s">
        <v>116</v>
      </c>
      <c r="C73" t="s">
        <v>27</v>
      </c>
      <c r="D73" s="6">
        <v>7.3529411764705843</v>
      </c>
      <c r="E73">
        <v>2.19</v>
      </c>
      <c r="F73" s="38">
        <v>2.2200000000000002</v>
      </c>
      <c r="G73" s="38">
        <v>1.27</v>
      </c>
      <c r="H73" s="38">
        <v>2.02</v>
      </c>
      <c r="I73" s="38">
        <v>2.14</v>
      </c>
      <c r="J73" s="38">
        <v>1.44</v>
      </c>
      <c r="K73" s="38">
        <v>1.95</v>
      </c>
      <c r="L73" s="38">
        <v>1.05</v>
      </c>
      <c r="M73" s="38">
        <v>1.9</v>
      </c>
      <c r="N73" s="38">
        <v>1.31</v>
      </c>
      <c r="O73" s="38">
        <v>1.2</v>
      </c>
      <c r="P73" s="38">
        <v>1.33</v>
      </c>
      <c r="Q73" s="38">
        <v>1.59</v>
      </c>
      <c r="R73" s="38">
        <v>1.75</v>
      </c>
      <c r="S73" s="38">
        <v>1.26</v>
      </c>
      <c r="T73" s="39">
        <v>2.2999999999999998</v>
      </c>
      <c r="U73" s="39">
        <v>2.85</v>
      </c>
      <c r="V73" s="38">
        <v>2.35</v>
      </c>
      <c r="W73" t="s">
        <v>23</v>
      </c>
    </row>
    <row r="74" spans="2:23" x14ac:dyDescent="0.3">
      <c r="B74" s="36" t="s">
        <v>240</v>
      </c>
      <c r="C74" t="s">
        <v>27</v>
      </c>
      <c r="D74" s="6">
        <v>7.3452544704263989</v>
      </c>
      <c r="E74">
        <v>97.55</v>
      </c>
      <c r="F74" s="38">
        <v>98.56</v>
      </c>
      <c r="G74" s="38">
        <v>98.08</v>
      </c>
      <c r="H74" s="38">
        <v>113.16</v>
      </c>
      <c r="I74" s="38">
        <v>130.02000000000001</v>
      </c>
      <c r="J74" s="38">
        <v>131.28</v>
      </c>
      <c r="K74" s="38">
        <v>115.39</v>
      </c>
      <c r="L74" s="38">
        <v>102.67</v>
      </c>
      <c r="M74" s="38">
        <v>92.5</v>
      </c>
      <c r="N74" s="38">
        <v>93.02</v>
      </c>
      <c r="O74" s="38">
        <v>80.040000000000006</v>
      </c>
      <c r="P74" s="38">
        <v>72.58</v>
      </c>
      <c r="Q74" s="38">
        <v>78.150000000000006</v>
      </c>
      <c r="R74" s="38">
        <v>86.77</v>
      </c>
      <c r="S74" s="38">
        <v>86.69</v>
      </c>
      <c r="T74" s="38">
        <v>96.28</v>
      </c>
      <c r="U74" s="38">
        <v>93.76</v>
      </c>
      <c r="V74" s="38">
        <v>113.47</v>
      </c>
      <c r="W74" t="s">
        <v>150</v>
      </c>
    </row>
    <row r="75" spans="2:23" x14ac:dyDescent="0.3">
      <c r="B75" s="36" t="s">
        <v>157</v>
      </c>
      <c r="C75" t="s">
        <v>27</v>
      </c>
      <c r="D75" s="6">
        <v>7.1600688468158369</v>
      </c>
      <c r="E75">
        <v>7.7824999999999998</v>
      </c>
      <c r="F75" s="38">
        <v>3.08</v>
      </c>
      <c r="G75" s="38">
        <v>4.91</v>
      </c>
      <c r="H75" s="38">
        <v>4.97</v>
      </c>
      <c r="I75" s="38">
        <v>6.75</v>
      </c>
      <c r="J75" s="39">
        <v>7.2</v>
      </c>
      <c r="K75" s="39">
        <v>8.85</v>
      </c>
      <c r="L75" s="38">
        <v>7.5</v>
      </c>
      <c r="M75" s="38">
        <v>6.25</v>
      </c>
      <c r="N75" s="38">
        <v>8.9</v>
      </c>
      <c r="O75" s="38">
        <v>2.98</v>
      </c>
      <c r="P75" s="38">
        <v>7.46</v>
      </c>
      <c r="Q75" s="39">
        <v>10.119999999999999</v>
      </c>
      <c r="R75" s="38">
        <v>6.65</v>
      </c>
      <c r="S75" s="39">
        <v>6.59</v>
      </c>
      <c r="T75" s="38">
        <v>7.03</v>
      </c>
      <c r="U75" s="38">
        <v>8.7799999999999994</v>
      </c>
      <c r="V75" s="38">
        <v>8.73</v>
      </c>
      <c r="W75" t="s">
        <v>152</v>
      </c>
    </row>
    <row r="76" spans="2:23" x14ac:dyDescent="0.3">
      <c r="B76" s="36" t="s">
        <v>285</v>
      </c>
      <c r="C76" t="s">
        <v>27</v>
      </c>
      <c r="D76" s="6">
        <v>7.1323637432055387</v>
      </c>
      <c r="E76">
        <v>145.85</v>
      </c>
      <c r="F76" s="38">
        <v>93.34</v>
      </c>
      <c r="G76" s="38">
        <v>101.76</v>
      </c>
      <c r="H76" s="38">
        <v>119.14</v>
      </c>
      <c r="I76" s="38">
        <v>128.5</v>
      </c>
      <c r="J76" s="38">
        <v>126.37</v>
      </c>
      <c r="K76" s="38">
        <v>122.76</v>
      </c>
      <c r="L76" s="38">
        <v>115.91</v>
      </c>
      <c r="M76" s="38">
        <v>120.94</v>
      </c>
      <c r="N76" s="38">
        <v>104.2</v>
      </c>
      <c r="O76" s="38">
        <v>108.22</v>
      </c>
      <c r="P76" s="38">
        <v>115.39</v>
      </c>
      <c r="Q76" s="38">
        <v>119.92</v>
      </c>
      <c r="R76" s="38">
        <v>121.06</v>
      </c>
      <c r="S76" s="38">
        <v>106.93</v>
      </c>
      <c r="T76" s="38">
        <v>152.09</v>
      </c>
      <c r="U76" s="38">
        <v>164.48</v>
      </c>
      <c r="V76" s="38">
        <v>159.9</v>
      </c>
      <c r="W76" t="s">
        <v>23</v>
      </c>
    </row>
    <row r="77" spans="2:23" x14ac:dyDescent="0.3">
      <c r="B77" s="36" t="s">
        <v>75</v>
      </c>
      <c r="C77" t="s">
        <v>27</v>
      </c>
      <c r="D77" s="6">
        <v>7.0728768271598463</v>
      </c>
      <c r="E77">
        <v>51.092500000000001</v>
      </c>
      <c r="F77" s="38">
        <v>36.270000000000003</v>
      </c>
      <c r="G77" s="38">
        <v>35.19</v>
      </c>
      <c r="H77" s="38">
        <v>38.130000000000003</v>
      </c>
      <c r="I77" s="38">
        <v>42.44</v>
      </c>
      <c r="J77" s="38">
        <v>41.02</v>
      </c>
      <c r="K77" s="38">
        <v>40.42</v>
      </c>
      <c r="L77" s="38">
        <v>42.07</v>
      </c>
      <c r="M77" s="38">
        <v>42.67</v>
      </c>
      <c r="N77" s="38">
        <v>36.520000000000003</v>
      </c>
      <c r="O77" s="38">
        <v>37.89</v>
      </c>
      <c r="P77" s="38">
        <v>47.72</v>
      </c>
      <c r="Q77" s="38">
        <v>45.38</v>
      </c>
      <c r="R77" s="38">
        <v>40.06</v>
      </c>
      <c r="S77" s="38">
        <v>47.7</v>
      </c>
      <c r="T77" s="38">
        <v>48.13</v>
      </c>
      <c r="U77" s="38">
        <v>54.98</v>
      </c>
      <c r="V77" s="38">
        <v>53.56</v>
      </c>
      <c r="W77" t="s">
        <v>23</v>
      </c>
    </row>
    <row r="78" spans="2:23" x14ac:dyDescent="0.3">
      <c r="B78" s="36" t="s">
        <v>184</v>
      </c>
      <c r="C78" t="s">
        <v>27</v>
      </c>
      <c r="D78" s="6">
        <v>6.8839704397489987</v>
      </c>
      <c r="E78">
        <v>431.36500000000001</v>
      </c>
      <c r="F78" s="38">
        <v>277.08</v>
      </c>
      <c r="G78" s="38">
        <v>297.91000000000003</v>
      </c>
      <c r="H78" s="38">
        <v>341.04</v>
      </c>
      <c r="I78" s="38">
        <v>384.39</v>
      </c>
      <c r="J78" s="38">
        <v>388.32</v>
      </c>
      <c r="K78" s="38">
        <v>421.39</v>
      </c>
      <c r="L78" s="38">
        <v>357.59</v>
      </c>
      <c r="M78" s="38">
        <v>353.55</v>
      </c>
      <c r="N78" s="38">
        <v>327.24</v>
      </c>
      <c r="O78" s="38">
        <v>372.25</v>
      </c>
      <c r="P78" s="38">
        <v>364.47</v>
      </c>
      <c r="Q78" s="38">
        <v>389.32</v>
      </c>
      <c r="R78" s="38">
        <v>355.82</v>
      </c>
      <c r="S78" s="38">
        <v>391.16</v>
      </c>
      <c r="T78" s="38">
        <v>402.23</v>
      </c>
      <c r="U78" s="38">
        <v>465.12</v>
      </c>
      <c r="V78" s="38">
        <v>466.95</v>
      </c>
      <c r="W78" t="s">
        <v>156</v>
      </c>
    </row>
    <row r="79" spans="2:23" x14ac:dyDescent="0.3">
      <c r="B79" s="36" t="s">
        <v>220</v>
      </c>
      <c r="C79" t="s">
        <v>27</v>
      </c>
      <c r="D79" s="6">
        <v>6.8494931115154589</v>
      </c>
      <c r="E79">
        <v>2055.25</v>
      </c>
      <c r="F79" s="38">
        <v>1738</v>
      </c>
      <c r="G79" s="38">
        <v>1269</v>
      </c>
      <c r="H79" s="38">
        <v>745</v>
      </c>
      <c r="I79" s="38">
        <v>616</v>
      </c>
      <c r="J79" s="38">
        <v>1075</v>
      </c>
      <c r="K79" s="38">
        <v>1016</v>
      </c>
      <c r="L79" s="38">
        <v>44</v>
      </c>
      <c r="M79" s="38">
        <v>570</v>
      </c>
      <c r="N79" s="39">
        <v>2117</v>
      </c>
      <c r="O79" s="39">
        <v>1468</v>
      </c>
      <c r="P79" s="39">
        <v>754</v>
      </c>
      <c r="Q79" s="39">
        <v>1658</v>
      </c>
      <c r="R79" s="38">
        <v>2692</v>
      </c>
      <c r="S79" s="38">
        <v>567</v>
      </c>
      <c r="T79" s="39">
        <v>1980</v>
      </c>
      <c r="U79" s="39">
        <v>2455</v>
      </c>
      <c r="V79" s="38">
        <v>3219</v>
      </c>
      <c r="W79" t="s">
        <v>158</v>
      </c>
    </row>
    <row r="80" spans="2:23" customFormat="1" hidden="1" x14ac:dyDescent="0.3">
      <c r="B80" t="s">
        <v>159</v>
      </c>
      <c r="C80" t="s">
        <v>25</v>
      </c>
      <c r="D80" s="3">
        <v>17.028149515459141</v>
      </c>
      <c r="E80">
        <v>6.34</v>
      </c>
      <c r="F80">
        <v>6.38</v>
      </c>
      <c r="G80">
        <v>5.86</v>
      </c>
      <c r="H80">
        <v>4.6100000000000003</v>
      </c>
      <c r="I80">
        <v>4.88</v>
      </c>
      <c r="J80">
        <v>5.26</v>
      </c>
      <c r="K80">
        <v>4.1500000000000004</v>
      </c>
      <c r="L80">
        <v>5.89</v>
      </c>
      <c r="M80">
        <v>6.08</v>
      </c>
      <c r="N80">
        <v>4.54</v>
      </c>
      <c r="O80">
        <v>4.25</v>
      </c>
      <c r="P80">
        <v>4.9400000000000004</v>
      </c>
      <c r="Q80">
        <v>4.8499999999999996</v>
      </c>
      <c r="R80">
        <v>2.71</v>
      </c>
      <c r="S80">
        <v>5.84</v>
      </c>
      <c r="T80">
        <v>5.75</v>
      </c>
      <c r="U80" s="2">
        <v>7.37</v>
      </c>
      <c r="V80" s="2">
        <v>6.4</v>
      </c>
      <c r="W80" t="s">
        <v>160</v>
      </c>
    </row>
    <row r="81" spans="2:23" x14ac:dyDescent="0.3">
      <c r="B81" s="36" t="s">
        <v>217</v>
      </c>
      <c r="C81" t="s">
        <v>218</v>
      </c>
      <c r="D81" s="6">
        <v>6.7455621301775182</v>
      </c>
      <c r="E81">
        <v>902</v>
      </c>
      <c r="F81" s="38">
        <v>709</v>
      </c>
      <c r="G81" s="38">
        <v>742</v>
      </c>
      <c r="H81" s="38">
        <v>766</v>
      </c>
      <c r="I81" s="38">
        <v>766</v>
      </c>
      <c r="J81" s="38">
        <v>617</v>
      </c>
      <c r="K81" s="38">
        <v>658</v>
      </c>
      <c r="L81" s="38">
        <v>689</v>
      </c>
      <c r="M81" s="38">
        <v>717</v>
      </c>
      <c r="N81" s="38">
        <v>722</v>
      </c>
      <c r="O81" s="38">
        <v>724</v>
      </c>
      <c r="P81" s="38">
        <v>751</v>
      </c>
      <c r="Q81" s="38">
        <v>737</v>
      </c>
      <c r="R81" s="38">
        <v>748</v>
      </c>
      <c r="S81" s="38">
        <v>802</v>
      </c>
      <c r="T81" s="38">
        <v>891</v>
      </c>
      <c r="U81" s="38">
        <v>939</v>
      </c>
      <c r="V81" s="38">
        <v>976</v>
      </c>
      <c r="W81" t="s">
        <v>83</v>
      </c>
    </row>
    <row r="82" spans="2:23" x14ac:dyDescent="0.3">
      <c r="B82" s="36" t="s">
        <v>271</v>
      </c>
      <c r="C82" t="s">
        <v>27</v>
      </c>
      <c r="D82" s="6">
        <v>6.2386980108499079</v>
      </c>
      <c r="E82">
        <v>293.75</v>
      </c>
      <c r="F82" s="38">
        <v>269</v>
      </c>
      <c r="G82" s="38">
        <v>255</v>
      </c>
      <c r="H82" s="38">
        <v>260</v>
      </c>
      <c r="I82" s="38">
        <v>278</v>
      </c>
      <c r="J82" s="38">
        <v>359</v>
      </c>
      <c r="K82" s="38">
        <v>282</v>
      </c>
      <c r="L82" s="38">
        <v>226</v>
      </c>
      <c r="M82" s="38">
        <v>228</v>
      </c>
      <c r="N82" s="38">
        <v>150</v>
      </c>
      <c r="O82" s="38">
        <v>203</v>
      </c>
      <c r="P82" s="38">
        <v>262</v>
      </c>
      <c r="Q82" s="38">
        <v>277</v>
      </c>
      <c r="R82" s="39">
        <v>270</v>
      </c>
      <c r="S82" s="38">
        <v>239</v>
      </c>
      <c r="T82" s="38">
        <v>312</v>
      </c>
      <c r="U82" s="38">
        <v>285</v>
      </c>
      <c r="V82" s="38">
        <v>339</v>
      </c>
      <c r="W82" t="s">
        <v>160</v>
      </c>
    </row>
    <row r="83" spans="2:23" x14ac:dyDescent="0.3">
      <c r="B83" s="36" t="s">
        <v>108</v>
      </c>
      <c r="C83" t="s">
        <v>27</v>
      </c>
      <c r="D83" s="6">
        <v>6.2380649267982147</v>
      </c>
      <c r="E83">
        <v>4.1725000000000003</v>
      </c>
      <c r="F83" s="38">
        <v>3.93</v>
      </c>
      <c r="G83" s="38">
        <v>3.41</v>
      </c>
      <c r="H83" s="38">
        <v>4.83</v>
      </c>
      <c r="I83" s="38">
        <v>6.3</v>
      </c>
      <c r="J83" s="39">
        <v>7.52</v>
      </c>
      <c r="K83" s="39">
        <v>8.65</v>
      </c>
      <c r="L83" s="38">
        <v>6.22</v>
      </c>
      <c r="M83" s="38">
        <v>5.41</v>
      </c>
      <c r="N83" s="38">
        <v>7.2</v>
      </c>
      <c r="O83" s="38">
        <v>5.86</v>
      </c>
      <c r="P83" s="38">
        <v>6.05</v>
      </c>
      <c r="Q83" s="38">
        <v>5.14</v>
      </c>
      <c r="R83" s="38">
        <v>3.28</v>
      </c>
      <c r="S83" s="38">
        <v>3.75</v>
      </c>
      <c r="T83" s="38">
        <v>3.02</v>
      </c>
      <c r="U83" s="38">
        <v>5.66</v>
      </c>
      <c r="V83" s="38">
        <v>4.26</v>
      </c>
      <c r="W83" t="s">
        <v>164</v>
      </c>
    </row>
    <row r="84" spans="2:23" x14ac:dyDescent="0.3">
      <c r="B84" s="36" t="s">
        <v>88</v>
      </c>
      <c r="C84" t="s">
        <v>27</v>
      </c>
      <c r="D84" s="6">
        <v>6.036720176872068</v>
      </c>
      <c r="E84">
        <v>27.577500000000001</v>
      </c>
      <c r="F84" s="38">
        <v>14.6</v>
      </c>
      <c r="G84" s="38">
        <v>11.03</v>
      </c>
      <c r="H84" s="38">
        <v>17.239999999999998</v>
      </c>
      <c r="I84" s="38">
        <v>17.38</v>
      </c>
      <c r="J84" s="39">
        <v>22.94</v>
      </c>
      <c r="K84" s="39">
        <v>19.239999999999998</v>
      </c>
      <c r="L84" s="39">
        <v>25.04</v>
      </c>
      <c r="M84" s="39">
        <v>25.97</v>
      </c>
      <c r="N84" s="38">
        <v>20.34</v>
      </c>
      <c r="O84" s="38">
        <v>17.21</v>
      </c>
      <c r="P84" s="38">
        <v>21.77</v>
      </c>
      <c r="Q84" s="38">
        <v>22.77</v>
      </c>
      <c r="R84" s="38">
        <v>21.3</v>
      </c>
      <c r="S84" s="39">
        <v>25.82</v>
      </c>
      <c r="T84" s="38">
        <v>28.03</v>
      </c>
      <c r="U84" s="38">
        <v>28.88</v>
      </c>
      <c r="V84" s="38">
        <v>27.58</v>
      </c>
      <c r="W84" t="s">
        <v>166</v>
      </c>
    </row>
    <row r="85" spans="2:23" x14ac:dyDescent="0.3">
      <c r="B85" s="36" t="s">
        <v>204</v>
      </c>
      <c r="C85" t="s">
        <v>27</v>
      </c>
      <c r="D85" s="6">
        <v>5.8194060358302213</v>
      </c>
      <c r="E85">
        <v>2200.25</v>
      </c>
      <c r="F85" s="38">
        <v>2954</v>
      </c>
      <c r="G85" s="38">
        <v>3011</v>
      </c>
      <c r="H85" s="38">
        <v>2482</v>
      </c>
      <c r="I85" s="38">
        <v>1872</v>
      </c>
      <c r="J85" s="38">
        <v>1748</v>
      </c>
      <c r="K85" s="38">
        <v>1629</v>
      </c>
      <c r="L85" s="38">
        <v>1677</v>
      </c>
      <c r="M85" s="38">
        <v>1769</v>
      </c>
      <c r="N85" s="38">
        <v>2145</v>
      </c>
      <c r="O85" s="38">
        <v>1518</v>
      </c>
      <c r="P85" s="38">
        <v>1808</v>
      </c>
      <c r="Q85" s="38">
        <v>1994</v>
      </c>
      <c r="R85" s="38">
        <v>2040</v>
      </c>
      <c r="S85" s="38">
        <v>1874</v>
      </c>
      <c r="T85" s="38">
        <v>2198</v>
      </c>
      <c r="U85" s="38">
        <v>2205</v>
      </c>
      <c r="V85" s="38">
        <v>2524</v>
      </c>
      <c r="W85" t="s">
        <v>168</v>
      </c>
    </row>
    <row r="86" spans="2:23" x14ac:dyDescent="0.3">
      <c r="B86" s="36" t="s">
        <v>171</v>
      </c>
      <c r="C86" t="s">
        <v>27</v>
      </c>
      <c r="D86" s="6">
        <v>5.8139534883721034</v>
      </c>
      <c r="E86">
        <v>1205.75</v>
      </c>
      <c r="F86" s="38">
        <v>377</v>
      </c>
      <c r="G86" s="38">
        <v>412</v>
      </c>
      <c r="H86" s="38">
        <v>445</v>
      </c>
      <c r="I86" s="38">
        <v>563</v>
      </c>
      <c r="J86" s="39">
        <v>678</v>
      </c>
      <c r="K86" s="39">
        <v>760</v>
      </c>
      <c r="L86" s="39">
        <v>707</v>
      </c>
      <c r="M86" s="39">
        <v>857</v>
      </c>
      <c r="N86" s="38">
        <v>825</v>
      </c>
      <c r="O86" s="38">
        <v>868</v>
      </c>
      <c r="P86" s="38">
        <v>900</v>
      </c>
      <c r="Q86" s="38">
        <v>984</v>
      </c>
      <c r="R86" s="38">
        <v>1058</v>
      </c>
      <c r="S86" s="38">
        <v>1035</v>
      </c>
      <c r="T86" s="38">
        <v>1157</v>
      </c>
      <c r="U86" s="38">
        <v>1308</v>
      </c>
      <c r="V86" s="38">
        <v>1323</v>
      </c>
      <c r="W86" t="s">
        <v>170</v>
      </c>
    </row>
    <row r="87" spans="2:23" x14ac:dyDescent="0.3">
      <c r="B87" s="36" t="s">
        <v>198</v>
      </c>
      <c r="C87" t="s">
        <v>27</v>
      </c>
      <c r="D87" s="6">
        <v>5.4101083603575129</v>
      </c>
      <c r="E87">
        <v>3331.75</v>
      </c>
      <c r="F87" s="38">
        <v>631.77</v>
      </c>
      <c r="G87" s="38">
        <v>1972</v>
      </c>
      <c r="H87" s="38">
        <v>1578</v>
      </c>
      <c r="I87" s="38">
        <v>1533</v>
      </c>
      <c r="J87" s="38">
        <v>549.9</v>
      </c>
      <c r="K87" s="38">
        <v>1714</v>
      </c>
      <c r="L87" s="38">
        <v>1827</v>
      </c>
      <c r="M87" s="38">
        <v>1916</v>
      </c>
      <c r="N87" s="39">
        <v>1496</v>
      </c>
      <c r="O87" s="39">
        <v>2633</v>
      </c>
      <c r="P87" s="38">
        <v>2603</v>
      </c>
      <c r="Q87" s="39">
        <v>2909</v>
      </c>
      <c r="R87" s="38">
        <v>2273</v>
      </c>
      <c r="S87" s="38">
        <v>3347</v>
      </c>
      <c r="T87" s="39">
        <v>3775</v>
      </c>
      <c r="U87" s="38">
        <v>3248</v>
      </c>
      <c r="V87" s="38">
        <v>2957</v>
      </c>
      <c r="W87" t="s">
        <v>129</v>
      </c>
    </row>
    <row r="88" spans="2:23" x14ac:dyDescent="0.3">
      <c r="B88" s="36" t="s">
        <v>228</v>
      </c>
      <c r="C88" t="s">
        <v>27</v>
      </c>
      <c r="D88" s="6">
        <v>5.3390510582806749</v>
      </c>
      <c r="E88">
        <v>315.03750000000002</v>
      </c>
      <c r="F88" s="38">
        <v>142.07</v>
      </c>
      <c r="G88" s="38">
        <v>-50.35</v>
      </c>
      <c r="H88" s="38">
        <v>237.12</v>
      </c>
      <c r="I88" s="38">
        <v>298.04000000000002</v>
      </c>
      <c r="J88" s="39">
        <v>313.16000000000003</v>
      </c>
      <c r="K88" s="39">
        <v>286.83</v>
      </c>
      <c r="L88" s="38">
        <v>297.62</v>
      </c>
      <c r="M88" s="38">
        <v>278.44</v>
      </c>
      <c r="N88" s="38">
        <v>221.62</v>
      </c>
      <c r="O88" s="38">
        <v>285.67</v>
      </c>
      <c r="P88" s="38">
        <v>229.57</v>
      </c>
      <c r="Q88" s="38">
        <v>244.67</v>
      </c>
      <c r="R88" s="38">
        <v>257.10000000000002</v>
      </c>
      <c r="S88" s="38">
        <v>283.64999999999998</v>
      </c>
      <c r="T88" s="38">
        <v>323.63</v>
      </c>
      <c r="U88" s="38">
        <v>331.9</v>
      </c>
      <c r="V88" s="38">
        <v>320.97000000000003</v>
      </c>
      <c r="W88" t="s">
        <v>23</v>
      </c>
    </row>
    <row r="89" spans="2:23" x14ac:dyDescent="0.3">
      <c r="B89" s="36" t="s">
        <v>144</v>
      </c>
      <c r="C89" t="s">
        <v>145</v>
      </c>
      <c r="D89" s="6">
        <v>5.3242320819112621</v>
      </c>
      <c r="E89">
        <v>3.8574999999999999</v>
      </c>
      <c r="F89" s="38">
        <v>4.04</v>
      </c>
      <c r="G89" s="38">
        <v>4.09</v>
      </c>
      <c r="H89" s="38">
        <v>4.71</v>
      </c>
      <c r="I89" s="38">
        <v>7.21</v>
      </c>
      <c r="J89" s="38">
        <v>4.82</v>
      </c>
      <c r="K89" s="39">
        <v>8.9</v>
      </c>
      <c r="L89" s="38">
        <v>5.37</v>
      </c>
      <c r="M89" s="38">
        <v>4.62</v>
      </c>
      <c r="N89" s="38">
        <v>4.47</v>
      </c>
      <c r="O89" s="38">
        <v>4.0599999999999996</v>
      </c>
      <c r="P89" s="38">
        <v>4.3899999999999997</v>
      </c>
      <c r="Q89" s="38">
        <v>4.4000000000000004</v>
      </c>
      <c r="R89" s="38">
        <v>2.96</v>
      </c>
      <c r="S89" s="38">
        <v>4.25</v>
      </c>
      <c r="T89" s="38">
        <v>3.78</v>
      </c>
      <c r="U89" s="38">
        <v>3.66</v>
      </c>
      <c r="V89" s="38">
        <v>3.74</v>
      </c>
      <c r="W89" t="s">
        <v>174</v>
      </c>
    </row>
    <row r="90" spans="2:23" x14ac:dyDescent="0.3">
      <c r="B90" s="36" t="s">
        <v>216</v>
      </c>
      <c r="C90" t="s">
        <v>27</v>
      </c>
      <c r="D90" s="6">
        <v>4.8845470692717496</v>
      </c>
      <c r="E90">
        <v>1181</v>
      </c>
      <c r="F90" s="38">
        <v>972</v>
      </c>
      <c r="G90" s="38">
        <v>1014</v>
      </c>
      <c r="H90" s="38">
        <v>995</v>
      </c>
      <c r="I90" s="38">
        <v>922</v>
      </c>
      <c r="J90" s="38">
        <v>1102</v>
      </c>
      <c r="K90" s="38">
        <v>1194</v>
      </c>
      <c r="L90" s="38">
        <v>1017</v>
      </c>
      <c r="M90" s="38">
        <v>935</v>
      </c>
      <c r="N90" s="38">
        <v>1117</v>
      </c>
      <c r="O90" s="38">
        <v>1223</v>
      </c>
      <c r="P90" s="38">
        <v>1038</v>
      </c>
      <c r="Q90" s="38">
        <v>1015</v>
      </c>
      <c r="R90" s="38">
        <v>1144</v>
      </c>
      <c r="S90" s="38">
        <v>1145</v>
      </c>
      <c r="T90" s="38">
        <v>1152</v>
      </c>
      <c r="U90" s="38">
        <v>1063</v>
      </c>
      <c r="V90" s="38">
        <v>1364</v>
      </c>
      <c r="W90" t="s">
        <v>176</v>
      </c>
    </row>
    <row r="91" spans="2:23" x14ac:dyDescent="0.3">
      <c r="B91" s="36" t="s">
        <v>73</v>
      </c>
      <c r="C91" t="s">
        <v>27</v>
      </c>
      <c r="D91" s="6">
        <v>4.8526534990849912</v>
      </c>
      <c r="E91">
        <v>41.54</v>
      </c>
      <c r="F91" s="38">
        <v>38.630000000000003</v>
      </c>
      <c r="G91" s="38">
        <v>28.24</v>
      </c>
      <c r="H91" s="38">
        <v>43.11</v>
      </c>
      <c r="I91" s="38">
        <v>51.49</v>
      </c>
      <c r="J91" s="38">
        <v>51.07</v>
      </c>
      <c r="K91" s="39">
        <v>48.98</v>
      </c>
      <c r="L91" s="38">
        <v>33.450000000000003</v>
      </c>
      <c r="M91" s="38">
        <v>42.07</v>
      </c>
      <c r="N91" s="38">
        <v>36.4</v>
      </c>
      <c r="O91" s="38">
        <v>37.700000000000003</v>
      </c>
      <c r="P91" s="38">
        <v>39.119999999999997</v>
      </c>
      <c r="Q91" s="38">
        <v>39.4</v>
      </c>
      <c r="R91" s="38">
        <v>38.89</v>
      </c>
      <c r="S91" s="38">
        <v>35.299999999999997</v>
      </c>
      <c r="T91" s="38">
        <v>37.81</v>
      </c>
      <c r="U91" s="38">
        <v>46.47</v>
      </c>
      <c r="V91" s="38">
        <v>46.58</v>
      </c>
      <c r="W91" t="s">
        <v>69</v>
      </c>
    </row>
    <row r="92" spans="2:23" x14ac:dyDescent="0.3">
      <c r="B92" s="36" t="s">
        <v>172</v>
      </c>
      <c r="C92" t="s">
        <v>27</v>
      </c>
      <c r="D92" s="6">
        <v>4.7992164544564231</v>
      </c>
      <c r="E92">
        <v>802.5</v>
      </c>
      <c r="F92" s="38">
        <v>828</v>
      </c>
      <c r="G92" s="38">
        <v>612</v>
      </c>
      <c r="H92" s="38">
        <v>724</v>
      </c>
      <c r="I92" s="38">
        <v>845</v>
      </c>
      <c r="J92" s="38">
        <v>914</v>
      </c>
      <c r="K92" s="38">
        <v>718</v>
      </c>
      <c r="L92" s="38">
        <v>775</v>
      </c>
      <c r="M92" s="38">
        <v>846</v>
      </c>
      <c r="N92" s="38">
        <v>650</v>
      </c>
      <c r="O92" s="38">
        <v>658</v>
      </c>
      <c r="P92" s="38">
        <v>764</v>
      </c>
      <c r="Q92" s="38">
        <v>728</v>
      </c>
      <c r="R92" s="38">
        <v>765</v>
      </c>
      <c r="S92" s="38">
        <v>653</v>
      </c>
      <c r="T92" s="38">
        <v>808</v>
      </c>
      <c r="U92" s="38">
        <v>837</v>
      </c>
      <c r="V92" s="38">
        <v>912</v>
      </c>
      <c r="W92" t="s">
        <v>23</v>
      </c>
    </row>
    <row r="93" spans="2:23" x14ac:dyDescent="0.3">
      <c r="B93" s="36" t="s">
        <v>181</v>
      </c>
      <c r="C93" t="s">
        <v>27</v>
      </c>
      <c r="D93" s="6">
        <v>4.6744390673119307</v>
      </c>
      <c r="E93">
        <v>2379.25</v>
      </c>
      <c r="F93" s="38">
        <v>2137</v>
      </c>
      <c r="G93" s="38">
        <v>1955</v>
      </c>
      <c r="H93" s="38">
        <v>1948</v>
      </c>
      <c r="I93" s="38">
        <v>2297</v>
      </c>
      <c r="J93" s="38">
        <v>1101</v>
      </c>
      <c r="K93" s="38">
        <v>2159</v>
      </c>
      <c r="L93" s="38">
        <v>1751</v>
      </c>
      <c r="M93" s="38">
        <v>1955</v>
      </c>
      <c r="N93" s="38">
        <v>1000</v>
      </c>
      <c r="O93" s="38">
        <v>1673</v>
      </c>
      <c r="P93" s="38">
        <v>2056</v>
      </c>
      <c r="Q93" s="38">
        <v>2072</v>
      </c>
      <c r="R93" s="39">
        <v>2108</v>
      </c>
      <c r="S93" s="38">
        <v>2159</v>
      </c>
      <c r="T93" s="38">
        <v>2293</v>
      </c>
      <c r="U93" s="38">
        <v>2532</v>
      </c>
      <c r="V93" s="38">
        <v>2533</v>
      </c>
      <c r="W93" t="s">
        <v>69</v>
      </c>
    </row>
    <row r="94" spans="2:23" x14ac:dyDescent="0.3">
      <c r="B94" s="36" t="s">
        <v>181</v>
      </c>
      <c r="C94" t="s">
        <v>27</v>
      </c>
      <c r="D94" s="6">
        <v>4.6744390673119307</v>
      </c>
      <c r="E94">
        <v>2379.25</v>
      </c>
      <c r="F94" s="38">
        <v>2137</v>
      </c>
      <c r="G94" s="38">
        <v>1955</v>
      </c>
      <c r="H94" s="38">
        <v>1948</v>
      </c>
      <c r="I94" s="38">
        <v>2297</v>
      </c>
      <c r="J94" s="38">
        <v>1101</v>
      </c>
      <c r="K94" s="38">
        <v>2159</v>
      </c>
      <c r="L94" s="38">
        <v>1751</v>
      </c>
      <c r="M94" s="38">
        <v>1955</v>
      </c>
      <c r="N94" s="38">
        <v>1000</v>
      </c>
      <c r="O94" s="38">
        <v>1673</v>
      </c>
      <c r="P94" s="38">
        <v>2056</v>
      </c>
      <c r="Q94" s="38">
        <v>2072</v>
      </c>
      <c r="R94" s="39">
        <v>2108</v>
      </c>
      <c r="S94" s="38">
        <v>2159</v>
      </c>
      <c r="T94" s="38">
        <v>2293</v>
      </c>
      <c r="U94" s="38">
        <v>2532</v>
      </c>
      <c r="V94" s="38">
        <v>2533</v>
      </c>
      <c r="W94" t="s">
        <v>160</v>
      </c>
    </row>
    <row r="95" spans="2:23" x14ac:dyDescent="0.3">
      <c r="B95" s="36" t="s">
        <v>267</v>
      </c>
      <c r="C95" t="s">
        <v>27</v>
      </c>
      <c r="D95" s="6">
        <v>4.595658720435436</v>
      </c>
      <c r="E95">
        <v>279.60250000000002</v>
      </c>
      <c r="F95" s="38">
        <v>137.05000000000001</v>
      </c>
      <c r="G95" s="38">
        <v>173.68</v>
      </c>
      <c r="H95" s="38">
        <v>131.66</v>
      </c>
      <c r="I95" s="38">
        <v>200.04</v>
      </c>
      <c r="J95" s="38">
        <v>195.17</v>
      </c>
      <c r="K95" s="38">
        <v>243.55</v>
      </c>
      <c r="L95" s="39">
        <v>211.43</v>
      </c>
      <c r="M95" s="38">
        <v>224.86</v>
      </c>
      <c r="N95" s="38">
        <v>165.24</v>
      </c>
      <c r="O95" s="38">
        <v>249.96</v>
      </c>
      <c r="P95" s="38">
        <v>211.34</v>
      </c>
      <c r="Q95" s="38">
        <v>232.71</v>
      </c>
      <c r="R95" s="39">
        <v>253.08</v>
      </c>
      <c r="S95" s="38">
        <v>253.06</v>
      </c>
      <c r="T95" s="38">
        <v>267.08999999999997</v>
      </c>
      <c r="U95" s="38">
        <v>296.04000000000002</v>
      </c>
      <c r="V95" s="38">
        <v>302.22000000000003</v>
      </c>
      <c r="W95" t="s">
        <v>23</v>
      </c>
    </row>
    <row r="96" spans="2:23" x14ac:dyDescent="0.3">
      <c r="B96" s="36" t="s">
        <v>258</v>
      </c>
      <c r="C96" t="s">
        <v>27</v>
      </c>
      <c r="D96" s="6">
        <v>4.5803073805100736</v>
      </c>
      <c r="E96">
        <v>77.402500000000003</v>
      </c>
      <c r="F96" s="38">
        <v>65.98</v>
      </c>
      <c r="G96" s="38">
        <v>66.31</v>
      </c>
      <c r="H96" s="38">
        <v>72.42</v>
      </c>
      <c r="I96" s="38">
        <v>71.44</v>
      </c>
      <c r="J96" s="38">
        <v>70.709999999999994</v>
      </c>
      <c r="K96" s="38">
        <v>64.260000000000005</v>
      </c>
      <c r="L96" s="38">
        <v>62.63</v>
      </c>
      <c r="M96" s="38">
        <v>60.4</v>
      </c>
      <c r="N96" s="38">
        <v>56.01</v>
      </c>
      <c r="O96" s="38">
        <v>64.88</v>
      </c>
      <c r="P96" s="38">
        <v>63.64</v>
      </c>
      <c r="Q96" s="38">
        <v>67.34</v>
      </c>
      <c r="R96" s="38">
        <v>75.989999999999995</v>
      </c>
      <c r="S96" s="38">
        <v>75.16</v>
      </c>
      <c r="T96" s="38">
        <v>81.739999999999995</v>
      </c>
      <c r="U96" s="38">
        <v>63.16</v>
      </c>
      <c r="V96" s="38">
        <v>89.55</v>
      </c>
      <c r="W96" t="s">
        <v>23</v>
      </c>
    </row>
    <row r="97" spans="2:23" customFormat="1" hidden="1" x14ac:dyDescent="0.3">
      <c r="B97" t="s">
        <v>185</v>
      </c>
      <c r="C97" t="s">
        <v>186</v>
      </c>
      <c r="D97" s="3">
        <v>-1.545972335231893</v>
      </c>
      <c r="E97">
        <v>3.0249999999999999</v>
      </c>
      <c r="F97">
        <v>4.28</v>
      </c>
      <c r="G97">
        <v>3.29</v>
      </c>
      <c r="H97">
        <v>3.29</v>
      </c>
      <c r="I97">
        <v>2.41</v>
      </c>
      <c r="J97">
        <v>2.41</v>
      </c>
      <c r="K97">
        <v>3.28</v>
      </c>
      <c r="L97">
        <v>3.28</v>
      </c>
      <c r="M97">
        <v>3.33</v>
      </c>
      <c r="N97">
        <v>3.33</v>
      </c>
      <c r="O97">
        <v>3.18</v>
      </c>
      <c r="P97">
        <v>3.18</v>
      </c>
      <c r="Q97">
        <v>3.34</v>
      </c>
      <c r="R97">
        <v>3.34</v>
      </c>
      <c r="S97">
        <v>2.9</v>
      </c>
      <c r="T97">
        <v>2.9</v>
      </c>
      <c r="U97">
        <v>3.15</v>
      </c>
      <c r="V97">
        <v>3.15</v>
      </c>
      <c r="W97" t="s">
        <v>23</v>
      </c>
    </row>
    <row r="98" spans="2:23" x14ac:dyDescent="0.3">
      <c r="B98" s="36" t="s">
        <v>53</v>
      </c>
      <c r="C98" t="s">
        <v>40</v>
      </c>
      <c r="D98" s="6">
        <v>4.5103092783505216</v>
      </c>
      <c r="E98">
        <v>20.274999999999999</v>
      </c>
      <c r="F98" s="38">
        <v>15.27</v>
      </c>
      <c r="G98" s="38">
        <v>11.71</v>
      </c>
      <c r="H98" s="38">
        <v>16.690000000000001</v>
      </c>
      <c r="I98" s="38">
        <v>12.05</v>
      </c>
      <c r="J98" s="38">
        <v>14.93</v>
      </c>
      <c r="K98" s="38">
        <v>2.99</v>
      </c>
      <c r="L98" s="38">
        <v>19.5</v>
      </c>
      <c r="M98" s="38">
        <v>16.64</v>
      </c>
      <c r="N98" s="38">
        <v>15.37</v>
      </c>
      <c r="O98" s="39">
        <v>14.14</v>
      </c>
      <c r="P98" s="38">
        <v>16.96</v>
      </c>
      <c r="Q98" s="38">
        <v>15.84</v>
      </c>
      <c r="R98" s="38">
        <v>19.2</v>
      </c>
      <c r="S98" s="38">
        <v>19.82</v>
      </c>
      <c r="T98" s="38">
        <v>19.14</v>
      </c>
      <c r="U98" s="38">
        <v>19.440000000000001</v>
      </c>
      <c r="V98" s="38">
        <v>22.7</v>
      </c>
      <c r="W98" t="s">
        <v>188</v>
      </c>
    </row>
    <row r="99" spans="2:23" x14ac:dyDescent="0.3">
      <c r="B99" s="36" t="s">
        <v>151</v>
      </c>
      <c r="C99" t="s">
        <v>27</v>
      </c>
      <c r="D99" s="6">
        <v>4.417413572343154</v>
      </c>
      <c r="E99">
        <v>8.1550000000000011</v>
      </c>
      <c r="F99" s="38">
        <v>7.52</v>
      </c>
      <c r="G99" s="38">
        <v>6.66</v>
      </c>
      <c r="H99" s="38">
        <v>5.51</v>
      </c>
      <c r="I99" s="38">
        <v>9.82</v>
      </c>
      <c r="J99" s="38">
        <v>10.45</v>
      </c>
      <c r="K99" s="39">
        <v>10.01</v>
      </c>
      <c r="L99" s="39">
        <v>10.07</v>
      </c>
      <c r="M99" s="38">
        <v>9.27</v>
      </c>
      <c r="N99" s="38">
        <v>8.8000000000000007</v>
      </c>
      <c r="O99" s="38">
        <v>8.15</v>
      </c>
      <c r="P99" s="38">
        <v>7.6</v>
      </c>
      <c r="Q99" s="38">
        <v>8.2899999999999991</v>
      </c>
      <c r="R99" s="38">
        <v>8.09</v>
      </c>
      <c r="S99" s="38">
        <v>7.69</v>
      </c>
      <c r="T99" s="38">
        <v>8.7200000000000006</v>
      </c>
      <c r="U99" s="38">
        <v>6.74</v>
      </c>
      <c r="V99" s="38">
        <v>9.4700000000000006</v>
      </c>
      <c r="W99" t="s">
        <v>83</v>
      </c>
    </row>
    <row r="100" spans="2:23" x14ac:dyDescent="0.3">
      <c r="B100" s="36" t="s">
        <v>263</v>
      </c>
      <c r="C100" t="s">
        <v>145</v>
      </c>
      <c r="D100" s="6">
        <v>4.3625105544610188</v>
      </c>
      <c r="E100">
        <v>37.08</v>
      </c>
      <c r="F100" s="38">
        <v>-0.06</v>
      </c>
      <c r="G100" s="38">
        <v>-0.62</v>
      </c>
      <c r="H100" s="38">
        <v>4.2699999999999996</v>
      </c>
      <c r="I100" s="38">
        <v>1.9</v>
      </c>
      <c r="J100" s="39">
        <v>7.47</v>
      </c>
      <c r="K100" s="39">
        <v>7.85</v>
      </c>
      <c r="L100" s="39">
        <v>19.13</v>
      </c>
      <c r="M100" s="39">
        <v>6.71</v>
      </c>
      <c r="N100" s="39">
        <v>22.65</v>
      </c>
      <c r="O100" s="39">
        <v>25.61</v>
      </c>
      <c r="P100" s="39">
        <v>27.86</v>
      </c>
      <c r="Q100" s="39">
        <v>26.11</v>
      </c>
      <c r="R100" s="39">
        <v>34.69</v>
      </c>
      <c r="S100" s="38">
        <v>32.630000000000003</v>
      </c>
      <c r="T100" s="39">
        <v>40.36</v>
      </c>
      <c r="U100" s="38">
        <v>34.44</v>
      </c>
      <c r="V100" s="38">
        <v>40.89</v>
      </c>
      <c r="W100" t="s">
        <v>23</v>
      </c>
    </row>
    <row r="101" spans="2:23" x14ac:dyDescent="0.3">
      <c r="B101" s="36" t="s">
        <v>177</v>
      </c>
      <c r="C101" t="s">
        <v>178</v>
      </c>
      <c r="D101" s="6">
        <v>4.1987466427932052</v>
      </c>
      <c r="E101">
        <v>290.97500000000002</v>
      </c>
      <c r="F101" s="38">
        <v>246.5</v>
      </c>
      <c r="G101" s="38">
        <v>226.3</v>
      </c>
      <c r="H101" s="38">
        <v>232.4</v>
      </c>
      <c r="I101" s="38">
        <v>248.1</v>
      </c>
      <c r="J101" s="38">
        <v>276.60000000000002</v>
      </c>
      <c r="K101" s="38">
        <v>245.8</v>
      </c>
      <c r="L101" s="38">
        <v>259</v>
      </c>
      <c r="M101" s="38">
        <v>267.39999999999998</v>
      </c>
      <c r="N101" s="38">
        <v>268.8</v>
      </c>
      <c r="O101" s="38">
        <v>237</v>
      </c>
      <c r="P101" s="38">
        <v>249.7</v>
      </c>
      <c r="Q101" s="38">
        <v>273.5</v>
      </c>
      <c r="R101" s="38">
        <v>285.3</v>
      </c>
      <c r="S101" s="38">
        <v>265.3</v>
      </c>
      <c r="T101" s="38">
        <v>280.89999999999998</v>
      </c>
      <c r="U101" s="38">
        <v>285.5</v>
      </c>
      <c r="V101" s="38">
        <v>332.2</v>
      </c>
      <c r="W101" t="s">
        <v>91</v>
      </c>
    </row>
    <row r="102" spans="2:23" customFormat="1" hidden="1" x14ac:dyDescent="0.3">
      <c r="B102" t="s">
        <v>192</v>
      </c>
      <c r="C102" t="s">
        <v>193</v>
      </c>
      <c r="D102" s="3">
        <v>13.14591700133867</v>
      </c>
      <c r="E102">
        <v>21.13</v>
      </c>
      <c r="F102">
        <v>7.73</v>
      </c>
      <c r="G102">
        <v>11.32</v>
      </c>
      <c r="H102">
        <v>13.57</v>
      </c>
      <c r="I102">
        <v>14.73</v>
      </c>
      <c r="J102" s="2">
        <v>33.42</v>
      </c>
      <c r="K102">
        <v>8.82</v>
      </c>
      <c r="L102">
        <v>-13.25</v>
      </c>
      <c r="M102" s="2">
        <v>22.68</v>
      </c>
      <c r="N102">
        <v>18.29</v>
      </c>
      <c r="O102" s="2">
        <v>14.33</v>
      </c>
      <c r="P102" s="2">
        <v>14.66</v>
      </c>
      <c r="Q102">
        <v>15.46</v>
      </c>
      <c r="R102">
        <v>15.73</v>
      </c>
      <c r="S102">
        <v>20.07</v>
      </c>
      <c r="T102">
        <v>14.1</v>
      </c>
      <c r="U102" s="2">
        <v>24.8</v>
      </c>
      <c r="V102" s="2">
        <v>25.55</v>
      </c>
      <c r="W102" t="s">
        <v>194</v>
      </c>
    </row>
    <row r="103" spans="2:23" customFormat="1" hidden="1" x14ac:dyDescent="0.3">
      <c r="B103" t="s">
        <v>195</v>
      </c>
      <c r="C103" t="s">
        <v>25</v>
      </c>
      <c r="D103" s="3">
        <v>29.635545655710072</v>
      </c>
      <c r="E103">
        <v>663.46500000000003</v>
      </c>
      <c r="F103">
        <v>-2569</v>
      </c>
      <c r="G103">
        <v>2748</v>
      </c>
      <c r="H103">
        <v>-1859</v>
      </c>
      <c r="I103">
        <v>1408</v>
      </c>
      <c r="J103">
        <v>944.82</v>
      </c>
      <c r="K103">
        <v>2449</v>
      </c>
      <c r="L103" s="2">
        <v>1638</v>
      </c>
      <c r="M103">
        <v>-29.89</v>
      </c>
      <c r="N103">
        <v>23.74</v>
      </c>
      <c r="O103">
        <v>875.08</v>
      </c>
      <c r="P103">
        <v>192.08</v>
      </c>
      <c r="Q103">
        <v>-279.5</v>
      </c>
      <c r="R103">
        <v>15.37</v>
      </c>
      <c r="S103">
        <v>392.66</v>
      </c>
      <c r="T103" s="2">
        <v>499.14</v>
      </c>
      <c r="U103" s="2">
        <v>1140</v>
      </c>
      <c r="V103" s="2">
        <v>622.05999999999995</v>
      </c>
      <c r="W103" t="s">
        <v>196</v>
      </c>
    </row>
    <row r="104" spans="2:23" x14ac:dyDescent="0.3">
      <c r="B104" s="36" t="s">
        <v>50</v>
      </c>
      <c r="C104" t="s">
        <v>27</v>
      </c>
      <c r="D104" s="6">
        <v>4.0753508987934062</v>
      </c>
      <c r="E104">
        <v>21.1325</v>
      </c>
      <c r="F104" s="38">
        <v>9.3699999999999992</v>
      </c>
      <c r="G104" s="38">
        <v>9.18</v>
      </c>
      <c r="H104" s="38">
        <v>6.32</v>
      </c>
      <c r="I104" s="38">
        <v>13.05</v>
      </c>
      <c r="J104" s="38">
        <v>9.9499999999999993</v>
      </c>
      <c r="K104" s="38">
        <v>6.07</v>
      </c>
      <c r="L104" s="38">
        <v>6.93</v>
      </c>
      <c r="M104" s="38">
        <v>10.27</v>
      </c>
      <c r="N104" s="38">
        <v>8.34</v>
      </c>
      <c r="O104" s="39">
        <v>10.5</v>
      </c>
      <c r="P104" s="39">
        <v>11.56</v>
      </c>
      <c r="Q104" s="38">
        <v>11.64</v>
      </c>
      <c r="R104" s="39">
        <v>13.3</v>
      </c>
      <c r="S104" s="39">
        <v>17.579999999999998</v>
      </c>
      <c r="T104" s="38">
        <v>15.77</v>
      </c>
      <c r="U104" s="39">
        <v>34.57</v>
      </c>
      <c r="V104" s="38">
        <v>16.61</v>
      </c>
      <c r="W104" t="s">
        <v>23</v>
      </c>
    </row>
    <row r="105" spans="2:23" x14ac:dyDescent="0.3">
      <c r="B105" s="36" t="s">
        <v>275</v>
      </c>
      <c r="C105" t="s">
        <v>27</v>
      </c>
      <c r="D105" s="6">
        <v>4.0109213967082216</v>
      </c>
      <c r="E105">
        <v>67.617500000000007</v>
      </c>
      <c r="F105" s="38">
        <v>317.32</v>
      </c>
      <c r="G105" s="38">
        <v>269.14999999999998</v>
      </c>
      <c r="H105" s="38">
        <v>300.77999999999997</v>
      </c>
      <c r="I105" s="38">
        <v>247.2</v>
      </c>
      <c r="J105" s="38">
        <v>182.59</v>
      </c>
      <c r="K105" s="38">
        <v>126.6</v>
      </c>
      <c r="L105" s="38">
        <v>83.86</v>
      </c>
      <c r="M105" s="38">
        <v>79.19</v>
      </c>
      <c r="N105" s="38">
        <v>-12.07</v>
      </c>
      <c r="O105" s="38">
        <v>26.3</v>
      </c>
      <c r="P105" s="38">
        <v>63.98</v>
      </c>
      <c r="Q105" s="38">
        <v>73.34</v>
      </c>
      <c r="R105" s="39">
        <v>70.69</v>
      </c>
      <c r="S105" s="39">
        <v>51.41</v>
      </c>
      <c r="T105" s="38">
        <v>72.44</v>
      </c>
      <c r="U105" s="38">
        <v>65.5</v>
      </c>
      <c r="V105" s="38">
        <v>81.12</v>
      </c>
      <c r="W105" t="s">
        <v>199</v>
      </c>
    </row>
    <row r="106" spans="2:23" x14ac:dyDescent="0.3">
      <c r="B106" s="36" t="s">
        <v>79</v>
      </c>
      <c r="C106" t="s">
        <v>27</v>
      </c>
      <c r="D106" s="6">
        <v>3.941684665226775</v>
      </c>
      <c r="E106">
        <v>43.3125</v>
      </c>
      <c r="F106" s="38">
        <v>23.07</v>
      </c>
      <c r="G106" s="38">
        <v>28.61</v>
      </c>
      <c r="H106" s="38">
        <v>26.11</v>
      </c>
      <c r="I106" s="38">
        <v>30.51</v>
      </c>
      <c r="J106" s="38">
        <v>29.45</v>
      </c>
      <c r="K106" s="38">
        <v>32.24</v>
      </c>
      <c r="L106" s="38">
        <v>35.340000000000003</v>
      </c>
      <c r="M106" s="38">
        <v>38.130000000000003</v>
      </c>
      <c r="N106" s="38">
        <v>39.97</v>
      </c>
      <c r="O106" s="38">
        <v>40.56</v>
      </c>
      <c r="P106" s="38">
        <v>40.119999999999997</v>
      </c>
      <c r="Q106" s="38">
        <v>40.04</v>
      </c>
      <c r="R106" s="38">
        <v>40.36</v>
      </c>
      <c r="S106" s="38">
        <v>37.47</v>
      </c>
      <c r="T106" s="38">
        <v>38.93</v>
      </c>
      <c r="U106" s="38">
        <v>49.92</v>
      </c>
      <c r="V106" s="38">
        <v>46.93</v>
      </c>
      <c r="W106" t="s">
        <v>23</v>
      </c>
    </row>
    <row r="107" spans="2:23" x14ac:dyDescent="0.3">
      <c r="B107" s="36" t="s">
        <v>70</v>
      </c>
      <c r="C107" t="s">
        <v>27</v>
      </c>
      <c r="D107" s="6">
        <v>3.889753278506336</v>
      </c>
      <c r="E107">
        <v>46.74</v>
      </c>
      <c r="F107" s="38">
        <v>21.82</v>
      </c>
      <c r="G107" s="38">
        <v>31.89</v>
      </c>
      <c r="H107" s="38">
        <v>31.93</v>
      </c>
      <c r="I107" s="38">
        <v>24.82</v>
      </c>
      <c r="J107" s="39">
        <v>37.1</v>
      </c>
      <c r="K107" s="38">
        <v>-13.09</v>
      </c>
      <c r="L107" s="38">
        <v>30.47</v>
      </c>
      <c r="M107" s="38">
        <v>31.83</v>
      </c>
      <c r="N107" s="38">
        <v>37.42</v>
      </c>
      <c r="O107" s="39">
        <v>34.33</v>
      </c>
      <c r="P107" s="38">
        <v>36.75</v>
      </c>
      <c r="Q107" s="38">
        <v>40.85</v>
      </c>
      <c r="R107" s="38">
        <v>43.2</v>
      </c>
      <c r="S107" s="38">
        <v>40.14</v>
      </c>
      <c r="T107" s="38">
        <v>44.77</v>
      </c>
      <c r="U107" s="38">
        <v>51.85</v>
      </c>
      <c r="V107" s="38">
        <v>50.2</v>
      </c>
      <c r="W107" t="s">
        <v>203</v>
      </c>
    </row>
    <row r="108" spans="2:23" x14ac:dyDescent="0.3">
      <c r="B108" s="36" t="s">
        <v>205</v>
      </c>
      <c r="C108" t="s">
        <v>27</v>
      </c>
      <c r="D108" s="6">
        <v>3.8134846509005</v>
      </c>
      <c r="E108">
        <v>736.375</v>
      </c>
      <c r="F108" s="38">
        <v>450.4</v>
      </c>
      <c r="G108" s="38">
        <v>408.1</v>
      </c>
      <c r="H108" s="38">
        <v>397.6</v>
      </c>
      <c r="I108" s="38">
        <v>398.9</v>
      </c>
      <c r="J108" s="38">
        <v>400.6</v>
      </c>
      <c r="K108" s="38">
        <v>387.6</v>
      </c>
      <c r="L108" s="38">
        <v>463.2</v>
      </c>
      <c r="M108" s="38">
        <v>465.8</v>
      </c>
      <c r="N108" s="38">
        <v>450.2</v>
      </c>
      <c r="O108" s="38">
        <v>469.4</v>
      </c>
      <c r="P108" s="38">
        <v>567.29999999999995</v>
      </c>
      <c r="Q108" s="38">
        <v>577.29999999999995</v>
      </c>
      <c r="R108" s="39">
        <v>756.1</v>
      </c>
      <c r="S108" s="38">
        <v>578.1</v>
      </c>
      <c r="T108" s="38">
        <v>743.4</v>
      </c>
      <c r="U108" s="38">
        <v>759.7</v>
      </c>
      <c r="V108" s="38">
        <v>864.3</v>
      </c>
      <c r="W108" t="s">
        <v>23</v>
      </c>
    </row>
    <row r="109" spans="2:23" x14ac:dyDescent="0.3">
      <c r="B109" s="36" t="s">
        <v>72</v>
      </c>
      <c r="C109" t="s">
        <v>27</v>
      </c>
      <c r="D109" s="6">
        <v>3.2350872706348621</v>
      </c>
      <c r="E109">
        <v>40.3675</v>
      </c>
      <c r="F109" s="38">
        <v>29.62</v>
      </c>
      <c r="G109" s="38">
        <v>26.59</v>
      </c>
      <c r="H109" s="38">
        <v>28.45</v>
      </c>
      <c r="I109" s="38">
        <v>34.799999999999997</v>
      </c>
      <c r="J109" s="38">
        <v>37.49</v>
      </c>
      <c r="K109" s="38">
        <v>30.6</v>
      </c>
      <c r="L109" s="38">
        <v>40.619999999999997</v>
      </c>
      <c r="M109" s="38">
        <v>37.799999999999997</v>
      </c>
      <c r="N109" s="38">
        <v>34.090000000000003</v>
      </c>
      <c r="O109" s="38">
        <v>36.659999999999997</v>
      </c>
      <c r="P109" s="38">
        <v>36.26</v>
      </c>
      <c r="Q109" s="38">
        <v>37.119999999999997</v>
      </c>
      <c r="R109" s="38">
        <v>34.479999999999997</v>
      </c>
      <c r="S109" s="38">
        <v>36.92</v>
      </c>
      <c r="T109" s="38">
        <v>41.16</v>
      </c>
      <c r="U109" s="38">
        <v>43.85</v>
      </c>
      <c r="V109" s="38">
        <v>39.54</v>
      </c>
      <c r="W109" t="s">
        <v>69</v>
      </c>
    </row>
    <row r="110" spans="2:23" x14ac:dyDescent="0.3">
      <c r="B110" s="36" t="s">
        <v>130</v>
      </c>
      <c r="C110" t="s">
        <v>27</v>
      </c>
      <c r="D110" s="6">
        <v>3.200483091787421</v>
      </c>
      <c r="E110">
        <v>4.2725</v>
      </c>
      <c r="F110" s="38">
        <v>2.59</v>
      </c>
      <c r="G110" s="38">
        <v>7.32</v>
      </c>
      <c r="H110" s="38">
        <v>5.98</v>
      </c>
      <c r="I110" s="38">
        <v>8.24</v>
      </c>
      <c r="J110" s="39">
        <v>7.3</v>
      </c>
      <c r="K110" s="38">
        <v>5.16</v>
      </c>
      <c r="L110" s="38">
        <v>2.04</v>
      </c>
      <c r="M110" s="38">
        <v>4.22</v>
      </c>
      <c r="N110" s="38">
        <v>-4.3600000000000003</v>
      </c>
      <c r="O110" s="38">
        <v>3.58</v>
      </c>
      <c r="P110" s="38">
        <v>1.42</v>
      </c>
      <c r="Q110" s="38">
        <v>2.67</v>
      </c>
      <c r="R110" s="39">
        <v>3.91</v>
      </c>
      <c r="S110" s="39">
        <v>5.36</v>
      </c>
      <c r="T110" s="39">
        <v>3.32</v>
      </c>
      <c r="U110" s="38">
        <v>3.97</v>
      </c>
      <c r="V110" s="38">
        <v>4.4400000000000004</v>
      </c>
      <c r="W110" t="s">
        <v>117</v>
      </c>
    </row>
    <row r="111" spans="2:23" x14ac:dyDescent="0.3">
      <c r="B111" s="36" t="s">
        <v>190</v>
      </c>
      <c r="C111" t="s">
        <v>40</v>
      </c>
      <c r="D111" s="6">
        <v>3.1916107680407761</v>
      </c>
      <c r="E111">
        <v>203.45</v>
      </c>
      <c r="F111" s="38">
        <v>124.11</v>
      </c>
      <c r="G111" s="38">
        <v>125.36</v>
      </c>
      <c r="H111" s="38">
        <v>119.84</v>
      </c>
      <c r="I111" s="38">
        <v>132.80000000000001</v>
      </c>
      <c r="J111" s="38">
        <v>130.87</v>
      </c>
      <c r="K111" s="38">
        <v>155.03</v>
      </c>
      <c r="L111" s="38">
        <v>148.80000000000001</v>
      </c>
      <c r="M111" s="38">
        <v>137.35</v>
      </c>
      <c r="N111" s="38">
        <v>133.31</v>
      </c>
      <c r="O111" s="38">
        <v>181.3</v>
      </c>
      <c r="P111" s="38">
        <v>197.75</v>
      </c>
      <c r="Q111" s="38">
        <v>188.54</v>
      </c>
      <c r="R111" s="38">
        <v>181.3</v>
      </c>
      <c r="S111" s="38">
        <v>196.37</v>
      </c>
      <c r="T111" s="38">
        <v>198.68</v>
      </c>
      <c r="U111" s="38">
        <v>212.28</v>
      </c>
      <c r="V111" s="38">
        <v>206.47</v>
      </c>
      <c r="W111" t="s">
        <v>58</v>
      </c>
    </row>
    <row r="112" spans="2:23" x14ac:dyDescent="0.3">
      <c r="B112" s="36" t="s">
        <v>77</v>
      </c>
      <c r="C112" t="s">
        <v>78</v>
      </c>
      <c r="D112" s="6">
        <v>3.1012560086835168</v>
      </c>
      <c r="E112">
        <v>365.69499999999999</v>
      </c>
      <c r="F112" s="38">
        <v>204.71</v>
      </c>
      <c r="G112" s="38">
        <v>162.75</v>
      </c>
      <c r="H112" s="38">
        <v>217.49</v>
      </c>
      <c r="I112" s="38">
        <v>218.13</v>
      </c>
      <c r="J112" s="38">
        <v>209.13</v>
      </c>
      <c r="K112" s="38">
        <v>232.21</v>
      </c>
      <c r="L112" s="38">
        <v>223.35</v>
      </c>
      <c r="M112" s="38">
        <v>247.19</v>
      </c>
      <c r="N112" s="38">
        <v>274.70999999999998</v>
      </c>
      <c r="O112" s="38">
        <v>294.7</v>
      </c>
      <c r="P112" s="38">
        <v>299.3</v>
      </c>
      <c r="Q112" s="38">
        <v>302.2</v>
      </c>
      <c r="R112" s="38">
        <v>325.18</v>
      </c>
      <c r="S112" s="38">
        <v>385.79</v>
      </c>
      <c r="T112" s="38">
        <v>351.79</v>
      </c>
      <c r="U112" s="38">
        <v>356.02</v>
      </c>
      <c r="V112" s="38">
        <v>369.18</v>
      </c>
      <c r="W112" t="s">
        <v>209</v>
      </c>
    </row>
    <row r="113" spans="2:23" x14ac:dyDescent="0.3">
      <c r="B113" s="36" t="s">
        <v>61</v>
      </c>
      <c r="C113" t="s">
        <v>62</v>
      </c>
      <c r="D113" s="6">
        <v>2.9095310678741049</v>
      </c>
      <c r="E113">
        <v>57.387500000000003</v>
      </c>
      <c r="F113" s="38">
        <v>75.58</v>
      </c>
      <c r="G113" s="38">
        <v>58.1</v>
      </c>
      <c r="H113" s="38">
        <v>30.8</v>
      </c>
      <c r="I113" s="38">
        <v>22.84</v>
      </c>
      <c r="J113" s="38">
        <v>35</v>
      </c>
      <c r="K113" s="38">
        <v>64.540000000000006</v>
      </c>
      <c r="L113" s="39">
        <v>48.85</v>
      </c>
      <c r="M113" s="38">
        <v>33.74</v>
      </c>
      <c r="N113" s="38">
        <v>42.85</v>
      </c>
      <c r="O113" s="39">
        <v>87.09</v>
      </c>
      <c r="P113" s="38">
        <v>51.18</v>
      </c>
      <c r="Q113" s="38">
        <v>37.49</v>
      </c>
      <c r="R113" s="38">
        <v>36.17</v>
      </c>
      <c r="S113" s="38">
        <v>91.36</v>
      </c>
      <c r="T113" s="38">
        <v>47.16</v>
      </c>
      <c r="U113" s="38">
        <v>48.37</v>
      </c>
      <c r="V113" s="38">
        <v>42.66</v>
      </c>
      <c r="W113" t="s">
        <v>211</v>
      </c>
    </row>
    <row r="114" spans="2:23" x14ac:dyDescent="0.3">
      <c r="B114" s="36" t="s">
        <v>249</v>
      </c>
      <c r="C114" t="s">
        <v>27</v>
      </c>
      <c r="D114" s="6">
        <v>2.8974146601195021</v>
      </c>
      <c r="E114">
        <v>173.92750000000001</v>
      </c>
      <c r="F114" s="38">
        <v>-47.69</v>
      </c>
      <c r="G114" s="38">
        <v>148.59</v>
      </c>
      <c r="H114" s="38">
        <v>163.11000000000001</v>
      </c>
      <c r="I114" s="38">
        <v>160.11000000000001</v>
      </c>
      <c r="J114" s="39">
        <v>0</v>
      </c>
      <c r="K114" s="38">
        <v>94.08</v>
      </c>
      <c r="L114" s="38">
        <v>137.72999999999999</v>
      </c>
      <c r="M114" s="38">
        <v>111.51</v>
      </c>
      <c r="N114" s="38">
        <v>0</v>
      </c>
      <c r="O114" s="39">
        <v>152.49</v>
      </c>
      <c r="P114" s="39">
        <v>178.28</v>
      </c>
      <c r="Q114" s="39">
        <v>175.92</v>
      </c>
      <c r="R114" s="39">
        <v>169.51</v>
      </c>
      <c r="S114" s="38">
        <v>169.19</v>
      </c>
      <c r="T114" s="38">
        <v>172.46</v>
      </c>
      <c r="U114" s="38">
        <v>164.96</v>
      </c>
      <c r="V114" s="38">
        <v>189.1</v>
      </c>
      <c r="W114" t="s">
        <v>213</v>
      </c>
    </row>
    <row r="115" spans="2:23" x14ac:dyDescent="0.3">
      <c r="B115" s="36" t="s">
        <v>249</v>
      </c>
      <c r="C115" t="s">
        <v>27</v>
      </c>
      <c r="D115" s="6">
        <v>2.8974146601195021</v>
      </c>
      <c r="E115">
        <v>173.92750000000001</v>
      </c>
      <c r="F115" s="38">
        <v>-47.69</v>
      </c>
      <c r="G115" s="38">
        <v>148.59</v>
      </c>
      <c r="H115" s="38">
        <v>163.11000000000001</v>
      </c>
      <c r="I115" s="38">
        <v>160.11000000000001</v>
      </c>
      <c r="J115" s="39">
        <v>0</v>
      </c>
      <c r="K115" s="38">
        <v>94.08</v>
      </c>
      <c r="L115" s="38">
        <v>137.72999999999999</v>
      </c>
      <c r="M115" s="38">
        <v>111.51</v>
      </c>
      <c r="N115" s="38">
        <v>0</v>
      </c>
      <c r="O115" s="39">
        <v>152.49</v>
      </c>
      <c r="P115" s="39">
        <v>178.28</v>
      </c>
      <c r="Q115" s="39">
        <v>175.92</v>
      </c>
      <c r="R115" s="39">
        <v>169.51</v>
      </c>
      <c r="S115" s="38">
        <v>169.19</v>
      </c>
      <c r="T115" s="38">
        <v>172.46</v>
      </c>
      <c r="U115" s="38">
        <v>164.96</v>
      </c>
      <c r="V115" s="38">
        <v>189.1</v>
      </c>
      <c r="W115" t="s">
        <v>69</v>
      </c>
    </row>
    <row r="116" spans="2:23" x14ac:dyDescent="0.3">
      <c r="B116" s="36" t="s">
        <v>273</v>
      </c>
      <c r="C116" t="s">
        <v>27</v>
      </c>
      <c r="D116" s="6">
        <v>2.8566529944739738</v>
      </c>
      <c r="E116">
        <v>194.9725</v>
      </c>
      <c r="F116" s="38">
        <v>166.39</v>
      </c>
      <c r="G116" s="38">
        <v>157.59</v>
      </c>
      <c r="H116" s="38">
        <v>181.13</v>
      </c>
      <c r="I116" s="38">
        <v>183.84</v>
      </c>
      <c r="J116" s="38">
        <v>174.93</v>
      </c>
      <c r="K116" s="38">
        <v>171.27</v>
      </c>
      <c r="L116" s="38">
        <v>245.9</v>
      </c>
      <c r="M116" s="38">
        <v>167.98</v>
      </c>
      <c r="N116" s="38">
        <v>128.86000000000001</v>
      </c>
      <c r="O116" s="38">
        <v>151.28</v>
      </c>
      <c r="P116" s="38">
        <v>65</v>
      </c>
      <c r="Q116" s="38">
        <v>181.15</v>
      </c>
      <c r="R116" s="39">
        <v>183.79</v>
      </c>
      <c r="S116" s="38">
        <v>170.41</v>
      </c>
      <c r="T116" s="39">
        <v>194.3</v>
      </c>
      <c r="U116" s="38">
        <v>209.73</v>
      </c>
      <c r="V116" s="38">
        <v>205.45</v>
      </c>
      <c r="W116" t="s">
        <v>60</v>
      </c>
    </row>
    <row r="117" spans="2:23" x14ac:dyDescent="0.3">
      <c r="B117" s="36" t="s">
        <v>90</v>
      </c>
      <c r="C117" t="s">
        <v>27</v>
      </c>
      <c r="D117" s="6">
        <v>2.8009535160905759</v>
      </c>
      <c r="E117">
        <v>25.875</v>
      </c>
      <c r="F117" s="38">
        <v>15.22</v>
      </c>
      <c r="G117" s="38">
        <v>14.32</v>
      </c>
      <c r="H117" s="38">
        <v>14.63</v>
      </c>
      <c r="I117" s="38">
        <v>19.97</v>
      </c>
      <c r="J117" s="39">
        <v>26.87</v>
      </c>
      <c r="K117" s="39">
        <v>26.14</v>
      </c>
      <c r="L117" s="39">
        <v>25.37</v>
      </c>
      <c r="M117" s="38">
        <v>25.99</v>
      </c>
      <c r="N117" s="38">
        <v>25.21</v>
      </c>
      <c r="O117" s="38">
        <v>26.99</v>
      </c>
      <c r="P117" s="38">
        <v>23.52</v>
      </c>
      <c r="Q117" s="38">
        <v>24.56</v>
      </c>
      <c r="R117" s="38">
        <v>23.23</v>
      </c>
      <c r="S117" s="38">
        <v>24.05</v>
      </c>
      <c r="T117" s="38">
        <v>25.96</v>
      </c>
      <c r="U117" s="38">
        <v>27.44</v>
      </c>
      <c r="V117" s="38">
        <v>26.05</v>
      </c>
      <c r="W117" t="s">
        <v>23</v>
      </c>
    </row>
    <row r="118" spans="2:23" x14ac:dyDescent="0.3">
      <c r="B118" s="36" t="s">
        <v>59</v>
      </c>
      <c r="C118" t="s">
        <v>27</v>
      </c>
      <c r="D118" s="6">
        <v>2.7551659361302332</v>
      </c>
      <c r="E118">
        <v>16.41</v>
      </c>
      <c r="F118" s="38">
        <v>7.56</v>
      </c>
      <c r="G118" s="38">
        <v>7.27</v>
      </c>
      <c r="H118" s="38">
        <v>8.64</v>
      </c>
      <c r="I118" s="38">
        <v>10.49</v>
      </c>
      <c r="J118" s="39">
        <v>12.4</v>
      </c>
      <c r="K118" s="39">
        <v>16.57</v>
      </c>
      <c r="L118" s="38">
        <v>12.48</v>
      </c>
      <c r="M118" s="38">
        <v>13.29</v>
      </c>
      <c r="N118" s="38">
        <v>13.54</v>
      </c>
      <c r="O118" s="38">
        <v>13.68</v>
      </c>
      <c r="P118" s="38">
        <v>14.37</v>
      </c>
      <c r="Q118" s="38">
        <v>15.56</v>
      </c>
      <c r="R118" s="38">
        <v>15.67</v>
      </c>
      <c r="S118" s="38">
        <v>15.51</v>
      </c>
      <c r="T118" s="38">
        <v>15.24</v>
      </c>
      <c r="U118" s="38">
        <v>17.46</v>
      </c>
      <c r="V118" s="38">
        <v>17.43</v>
      </c>
      <c r="W118" t="s">
        <v>23</v>
      </c>
    </row>
    <row r="119" spans="2:23" x14ac:dyDescent="0.3">
      <c r="B119" s="36" t="s">
        <v>52</v>
      </c>
      <c r="C119" t="s">
        <v>27</v>
      </c>
      <c r="D119" s="6">
        <v>2.6356935447844791</v>
      </c>
      <c r="E119">
        <v>11.487500000000001</v>
      </c>
      <c r="F119" s="38">
        <v>11.93</v>
      </c>
      <c r="G119" s="38">
        <v>11.34</v>
      </c>
      <c r="H119" s="38">
        <v>13.25</v>
      </c>
      <c r="I119" s="38">
        <v>14.4</v>
      </c>
      <c r="J119" s="38">
        <v>15.86</v>
      </c>
      <c r="K119" s="38">
        <v>16.59</v>
      </c>
      <c r="L119" s="38">
        <v>13.63</v>
      </c>
      <c r="M119" s="38">
        <v>14.31</v>
      </c>
      <c r="N119" s="38">
        <v>12.59</v>
      </c>
      <c r="O119" s="38">
        <v>12.66</v>
      </c>
      <c r="P119" s="38">
        <v>12.79</v>
      </c>
      <c r="Q119" s="38">
        <v>13.61</v>
      </c>
      <c r="R119" s="38">
        <v>13.55</v>
      </c>
      <c r="S119" s="38">
        <v>12.7</v>
      </c>
      <c r="T119" s="38">
        <v>7.48</v>
      </c>
      <c r="U119" s="38">
        <v>11.04</v>
      </c>
      <c r="V119" s="38">
        <v>14.73</v>
      </c>
      <c r="W119" t="s">
        <v>23</v>
      </c>
    </row>
    <row r="120" spans="2:23" x14ac:dyDescent="0.3">
      <c r="B120" s="36" t="s">
        <v>197</v>
      </c>
      <c r="C120" t="s">
        <v>27</v>
      </c>
      <c r="D120" s="6">
        <v>2.4438532450658861</v>
      </c>
      <c r="E120">
        <v>413.95</v>
      </c>
      <c r="F120" s="38">
        <v>300.89999999999998</v>
      </c>
      <c r="G120" s="38">
        <v>358</v>
      </c>
      <c r="H120" s="38">
        <v>383.4</v>
      </c>
      <c r="I120" s="38">
        <v>379.2</v>
      </c>
      <c r="J120" s="38">
        <v>332.9</v>
      </c>
      <c r="K120" s="38">
        <v>393.2</v>
      </c>
      <c r="L120" s="38">
        <v>394.9</v>
      </c>
      <c r="M120" s="38">
        <v>386.7</v>
      </c>
      <c r="N120" s="38">
        <v>353.8</v>
      </c>
      <c r="O120" s="38">
        <v>390.2</v>
      </c>
      <c r="P120" s="38">
        <v>386.9</v>
      </c>
      <c r="Q120" s="38">
        <v>388.1</v>
      </c>
      <c r="R120" s="38">
        <v>344.8</v>
      </c>
      <c r="S120" s="38">
        <v>393.9</v>
      </c>
      <c r="T120" s="38">
        <v>436.1</v>
      </c>
      <c r="U120" s="38">
        <v>441.5</v>
      </c>
      <c r="V120" s="38">
        <v>384.3</v>
      </c>
      <c r="W120" t="s">
        <v>23</v>
      </c>
    </row>
    <row r="121" spans="2:23" x14ac:dyDescent="0.3">
      <c r="B121" s="36" t="s">
        <v>248</v>
      </c>
      <c r="C121" t="s">
        <v>27</v>
      </c>
      <c r="D121" s="6">
        <v>2.295010530902752</v>
      </c>
      <c r="E121">
        <v>70.424999999999997</v>
      </c>
      <c r="F121" s="38">
        <v>66.8</v>
      </c>
      <c r="G121" s="38">
        <v>63.37</v>
      </c>
      <c r="H121" s="38">
        <v>82.14</v>
      </c>
      <c r="I121" s="38">
        <v>89.9</v>
      </c>
      <c r="J121" s="38">
        <v>92.94</v>
      </c>
      <c r="K121" s="38">
        <v>82.55</v>
      </c>
      <c r="L121" s="38">
        <v>77.67</v>
      </c>
      <c r="M121" s="38">
        <v>80.62</v>
      </c>
      <c r="N121" s="38">
        <v>74.59</v>
      </c>
      <c r="O121" s="38">
        <v>66.8</v>
      </c>
      <c r="P121" s="38">
        <v>68.78</v>
      </c>
      <c r="Q121" s="38">
        <v>67.62</v>
      </c>
      <c r="R121" s="38">
        <v>68.040000000000006</v>
      </c>
      <c r="S121" s="38">
        <v>69.53</v>
      </c>
      <c r="T121" s="38">
        <v>68.8</v>
      </c>
      <c r="U121" s="38">
        <v>69.010000000000005</v>
      </c>
      <c r="V121" s="38">
        <v>74.36</v>
      </c>
      <c r="W121" t="s">
        <v>221</v>
      </c>
    </row>
    <row r="122" spans="2:23" customFormat="1" hidden="1" x14ac:dyDescent="0.3">
      <c r="B122" t="s">
        <v>222</v>
      </c>
      <c r="C122" t="s">
        <v>223</v>
      </c>
      <c r="D122" s="3">
        <v>3.9906398611076139</v>
      </c>
      <c r="E122">
        <v>103.32250000000001</v>
      </c>
      <c r="F122">
        <v>85.98</v>
      </c>
      <c r="G122">
        <v>68.650000000000006</v>
      </c>
      <c r="H122">
        <v>108.22</v>
      </c>
      <c r="I122">
        <v>88.75</v>
      </c>
      <c r="J122">
        <v>88.75</v>
      </c>
      <c r="K122">
        <v>84.63</v>
      </c>
      <c r="L122">
        <v>94.95</v>
      </c>
      <c r="M122">
        <v>71.2</v>
      </c>
      <c r="N122">
        <v>85.48</v>
      </c>
      <c r="O122">
        <v>83.32</v>
      </c>
      <c r="P122">
        <v>89.04</v>
      </c>
      <c r="Q122">
        <v>78.55</v>
      </c>
      <c r="R122">
        <v>100.47</v>
      </c>
      <c r="S122">
        <v>114.18</v>
      </c>
      <c r="T122">
        <v>86.92</v>
      </c>
      <c r="U122">
        <v>95.86</v>
      </c>
      <c r="V122">
        <v>116.33</v>
      </c>
      <c r="W122" t="s">
        <v>23</v>
      </c>
    </row>
    <row r="123" spans="2:23" x14ac:dyDescent="0.3">
      <c r="B123" s="36" t="s">
        <v>28</v>
      </c>
      <c r="C123" t="s">
        <v>27</v>
      </c>
      <c r="D123" s="6">
        <v>1.9518952273013479</v>
      </c>
      <c r="E123">
        <v>20.239999999999998</v>
      </c>
      <c r="F123" s="38">
        <v>13.94</v>
      </c>
      <c r="G123" s="38">
        <v>10.23</v>
      </c>
      <c r="H123" s="38">
        <v>7.7</v>
      </c>
      <c r="I123" s="38">
        <v>11.84</v>
      </c>
      <c r="J123" s="38">
        <v>17.68</v>
      </c>
      <c r="K123" s="38">
        <v>8.17</v>
      </c>
      <c r="L123" s="39">
        <v>19.47</v>
      </c>
      <c r="M123" s="39">
        <v>18.649999999999999</v>
      </c>
      <c r="N123" s="39">
        <v>25.07</v>
      </c>
      <c r="O123" s="39">
        <v>19.010000000000002</v>
      </c>
      <c r="P123" s="38">
        <v>15.81</v>
      </c>
      <c r="Q123" s="38">
        <v>16.8</v>
      </c>
      <c r="R123" s="38">
        <v>18.29</v>
      </c>
      <c r="S123" s="38">
        <v>18.43</v>
      </c>
      <c r="T123" s="38">
        <v>21.83</v>
      </c>
      <c r="U123" s="38">
        <v>20.86</v>
      </c>
      <c r="V123" s="38">
        <v>19.84</v>
      </c>
      <c r="W123" t="s">
        <v>225</v>
      </c>
    </row>
    <row r="124" spans="2:23" x14ac:dyDescent="0.3">
      <c r="B124" s="36" t="s">
        <v>38</v>
      </c>
      <c r="C124" t="s">
        <v>27</v>
      </c>
      <c r="D124" s="6">
        <v>1.7482517482517499</v>
      </c>
      <c r="E124">
        <v>21.824999999999999</v>
      </c>
      <c r="F124" s="38">
        <v>19.36</v>
      </c>
      <c r="G124" s="38">
        <v>21.37</v>
      </c>
      <c r="H124" s="38">
        <v>22.92</v>
      </c>
      <c r="I124" s="38">
        <v>22.81</v>
      </c>
      <c r="J124" s="38">
        <v>27.1</v>
      </c>
      <c r="K124" s="38">
        <v>25.94</v>
      </c>
      <c r="L124" s="38">
        <v>22.81</v>
      </c>
      <c r="M124" s="38">
        <v>20.23</v>
      </c>
      <c r="N124" s="38">
        <v>16.36</v>
      </c>
      <c r="O124" s="38">
        <v>16.57</v>
      </c>
      <c r="P124" s="38">
        <v>20.85</v>
      </c>
      <c r="Q124" s="38">
        <v>20.11</v>
      </c>
      <c r="R124" s="38">
        <v>17.97</v>
      </c>
      <c r="S124" s="38">
        <v>21.45</v>
      </c>
      <c r="T124" s="38">
        <v>24.28</v>
      </c>
      <c r="U124" s="38">
        <v>22.1</v>
      </c>
      <c r="V124" s="38">
        <v>19.47</v>
      </c>
      <c r="W124" t="s">
        <v>227</v>
      </c>
    </row>
    <row r="125" spans="2:23" x14ac:dyDescent="0.3">
      <c r="B125" s="36" t="s">
        <v>175</v>
      </c>
      <c r="C125" t="s">
        <v>27</v>
      </c>
      <c r="D125" s="6">
        <v>1.7218139919126909</v>
      </c>
      <c r="E125">
        <v>584.875</v>
      </c>
      <c r="F125" s="38">
        <v>509.6</v>
      </c>
      <c r="G125" s="38">
        <v>510.8</v>
      </c>
      <c r="H125" s="38">
        <v>540.6</v>
      </c>
      <c r="I125" s="38">
        <v>524.5</v>
      </c>
      <c r="J125" s="38">
        <v>190.4</v>
      </c>
      <c r="K125" s="38">
        <v>444</v>
      </c>
      <c r="L125" s="38">
        <v>440.7</v>
      </c>
      <c r="M125" s="38">
        <v>434.3</v>
      </c>
      <c r="N125" s="38">
        <v>145.80000000000001</v>
      </c>
      <c r="O125" s="38">
        <v>290.60000000000002</v>
      </c>
      <c r="P125" s="39">
        <v>1174</v>
      </c>
      <c r="Q125" s="38">
        <v>601.1</v>
      </c>
      <c r="R125" s="39">
        <v>594.20000000000005</v>
      </c>
      <c r="S125" s="38">
        <v>521.4</v>
      </c>
      <c r="T125" s="38">
        <v>564.79999999999995</v>
      </c>
      <c r="U125" s="38">
        <v>619.5</v>
      </c>
      <c r="V125" s="38">
        <v>633.79999999999995</v>
      </c>
      <c r="W125" t="s">
        <v>60</v>
      </c>
    </row>
    <row r="126" spans="2:23" x14ac:dyDescent="0.3">
      <c r="B126" s="36" t="s">
        <v>39</v>
      </c>
      <c r="C126" t="s">
        <v>40</v>
      </c>
      <c r="D126" s="6">
        <v>1.7197125256673611</v>
      </c>
      <c r="E126">
        <v>9.9075000000000006</v>
      </c>
      <c r="F126" s="38">
        <v>4.42</v>
      </c>
      <c r="G126" s="38">
        <v>5.17</v>
      </c>
      <c r="H126" s="38">
        <v>7.65</v>
      </c>
      <c r="I126" s="38">
        <v>10.029999999999999</v>
      </c>
      <c r="J126" s="39">
        <v>9.07</v>
      </c>
      <c r="K126" s="38">
        <v>7.73</v>
      </c>
      <c r="L126" s="38">
        <v>10.27</v>
      </c>
      <c r="M126" s="38">
        <v>11.03</v>
      </c>
      <c r="N126" s="38">
        <v>7.82</v>
      </c>
      <c r="O126" s="38">
        <v>7.66</v>
      </c>
      <c r="P126" s="38">
        <v>10.55</v>
      </c>
      <c r="Q126" s="38">
        <v>9.1300000000000008</v>
      </c>
      <c r="R126" s="38">
        <v>8.4600000000000009</v>
      </c>
      <c r="S126" s="38">
        <v>6.24</v>
      </c>
      <c r="T126" s="38">
        <v>13.29</v>
      </c>
      <c r="U126" s="38">
        <v>10.97</v>
      </c>
      <c r="V126" s="38">
        <v>9.1300000000000008</v>
      </c>
      <c r="W126" t="s">
        <v>230</v>
      </c>
    </row>
    <row r="127" spans="2:23" x14ac:dyDescent="0.3">
      <c r="B127" s="36" t="s">
        <v>272</v>
      </c>
      <c r="C127" t="s">
        <v>27</v>
      </c>
      <c r="D127" s="6">
        <v>1.310980674455964</v>
      </c>
      <c r="E127">
        <v>182.95750000000001</v>
      </c>
      <c r="F127" s="38">
        <v>149.12</v>
      </c>
      <c r="G127" s="38">
        <v>151.93</v>
      </c>
      <c r="H127" s="38">
        <v>152.16999999999999</v>
      </c>
      <c r="I127" s="38">
        <v>160.12</v>
      </c>
      <c r="J127" s="38">
        <v>168.15</v>
      </c>
      <c r="K127" s="38">
        <v>153.37</v>
      </c>
      <c r="L127" s="38">
        <v>166.45</v>
      </c>
      <c r="M127" s="38">
        <v>156.13999999999999</v>
      </c>
      <c r="N127" s="38">
        <v>143.77000000000001</v>
      </c>
      <c r="O127" s="38">
        <v>147.1</v>
      </c>
      <c r="P127" s="38">
        <v>180.04</v>
      </c>
      <c r="Q127" s="38">
        <v>178.51</v>
      </c>
      <c r="R127" s="38">
        <v>173.83</v>
      </c>
      <c r="S127" s="38">
        <v>167.6</v>
      </c>
      <c r="T127" s="38">
        <v>196.16</v>
      </c>
      <c r="U127" s="38">
        <v>184.77</v>
      </c>
      <c r="V127" s="38">
        <v>183.3</v>
      </c>
      <c r="W127" t="s">
        <v>69</v>
      </c>
    </row>
    <row r="128" spans="2:23" x14ac:dyDescent="0.3">
      <c r="B128" s="36" t="s">
        <v>284</v>
      </c>
      <c r="C128" t="s">
        <v>27</v>
      </c>
      <c r="D128" s="6">
        <v>1.288412556647156</v>
      </c>
      <c r="E128">
        <v>153.10249999999999</v>
      </c>
      <c r="F128" s="38">
        <v>164.85</v>
      </c>
      <c r="G128" s="38">
        <v>154.47999999999999</v>
      </c>
      <c r="H128" s="38">
        <v>154.05000000000001</v>
      </c>
      <c r="I128" s="38">
        <v>170.74</v>
      </c>
      <c r="J128" s="38">
        <v>179.92</v>
      </c>
      <c r="K128" s="38">
        <v>158.41999999999999</v>
      </c>
      <c r="L128" s="38">
        <v>147.37</v>
      </c>
      <c r="M128" s="38">
        <v>122.04</v>
      </c>
      <c r="N128" s="38">
        <v>62.31</v>
      </c>
      <c r="O128" s="38">
        <v>133.33000000000001</v>
      </c>
      <c r="P128" s="38">
        <v>144.87</v>
      </c>
      <c r="Q128" s="38">
        <v>145.26</v>
      </c>
      <c r="R128" s="39">
        <v>150.52000000000001</v>
      </c>
      <c r="S128" s="38">
        <v>149.18</v>
      </c>
      <c r="T128" s="38">
        <v>144.58000000000001</v>
      </c>
      <c r="U128" s="38">
        <v>160.34</v>
      </c>
      <c r="V128" s="38">
        <v>158.31</v>
      </c>
      <c r="W128" t="s">
        <v>107</v>
      </c>
    </row>
    <row r="129" spans="2:23" x14ac:dyDescent="0.3">
      <c r="B129" s="36" t="s">
        <v>94</v>
      </c>
      <c r="C129" t="s">
        <v>27</v>
      </c>
      <c r="D129" s="6">
        <v>1.2716174974567671</v>
      </c>
      <c r="E129">
        <v>59.73</v>
      </c>
      <c r="F129" s="38">
        <v>59.44</v>
      </c>
      <c r="G129" s="38">
        <v>53.85</v>
      </c>
      <c r="H129" s="38">
        <v>59.6</v>
      </c>
      <c r="I129" s="38">
        <v>60.91</v>
      </c>
      <c r="J129" s="38">
        <v>66.42</v>
      </c>
      <c r="K129" s="38">
        <v>68.489999999999995</v>
      </c>
      <c r="L129" s="38">
        <v>48.77</v>
      </c>
      <c r="M129" s="38">
        <v>56.51</v>
      </c>
      <c r="N129" s="38">
        <v>53.32</v>
      </c>
      <c r="O129" s="38">
        <v>46.39</v>
      </c>
      <c r="P129" s="38">
        <v>49.25</v>
      </c>
      <c r="Q129" s="38">
        <v>55.76</v>
      </c>
      <c r="R129" s="38">
        <v>58.09</v>
      </c>
      <c r="S129" s="38">
        <v>55.79</v>
      </c>
      <c r="T129" s="38">
        <v>56.01</v>
      </c>
      <c r="U129" s="38">
        <v>66.03</v>
      </c>
      <c r="V129" s="38">
        <v>61.09</v>
      </c>
      <c r="W129" t="s">
        <v>234</v>
      </c>
    </row>
    <row r="130" spans="2:23" x14ac:dyDescent="0.3">
      <c r="B130" s="36" t="s">
        <v>153</v>
      </c>
      <c r="C130" t="s">
        <v>27</v>
      </c>
      <c r="D130" s="6">
        <v>1.1313330054107511</v>
      </c>
      <c r="E130">
        <v>10.28</v>
      </c>
      <c r="F130" s="38">
        <v>10.61</v>
      </c>
      <c r="G130" s="38">
        <v>8.49</v>
      </c>
      <c r="H130" s="38">
        <v>8.2799999999999994</v>
      </c>
      <c r="I130" s="38">
        <v>10.65</v>
      </c>
      <c r="J130" s="38">
        <v>9.56</v>
      </c>
      <c r="K130" s="38">
        <v>10.25</v>
      </c>
      <c r="L130" s="38">
        <v>11.47</v>
      </c>
      <c r="M130" s="38">
        <v>11.48</v>
      </c>
      <c r="N130" s="38">
        <v>12.08</v>
      </c>
      <c r="O130" s="38">
        <v>10.53</v>
      </c>
      <c r="P130" s="38">
        <v>11.34</v>
      </c>
      <c r="Q130" s="38">
        <v>9.8699999999999992</v>
      </c>
      <c r="R130" s="38">
        <v>9.85</v>
      </c>
      <c r="S130" s="38">
        <v>9.4600000000000009</v>
      </c>
      <c r="T130" s="38">
        <v>9.76</v>
      </c>
      <c r="U130" s="38">
        <v>11.59</v>
      </c>
      <c r="V130" s="38">
        <v>10.31</v>
      </c>
      <c r="W130" t="s">
        <v>236</v>
      </c>
    </row>
    <row r="131" spans="2:23" x14ac:dyDescent="0.3">
      <c r="B131" s="36" t="s">
        <v>238</v>
      </c>
      <c r="C131" t="s">
        <v>27</v>
      </c>
      <c r="D131" s="6">
        <v>1.110116976505293</v>
      </c>
      <c r="E131">
        <v>76.28</v>
      </c>
      <c r="F131" s="38">
        <v>45.03</v>
      </c>
      <c r="G131" s="38">
        <v>43.71</v>
      </c>
      <c r="H131" s="38">
        <v>55.25</v>
      </c>
      <c r="I131" s="38">
        <v>68.34</v>
      </c>
      <c r="J131" s="39">
        <v>70.14</v>
      </c>
      <c r="K131" s="39">
        <v>74.349999999999994</v>
      </c>
      <c r="L131" s="38">
        <v>69.97</v>
      </c>
      <c r="M131" s="38">
        <v>65.23</v>
      </c>
      <c r="N131" s="38">
        <v>60.41</v>
      </c>
      <c r="O131" s="38">
        <v>64.209999999999994</v>
      </c>
      <c r="P131" s="38">
        <v>65.17</v>
      </c>
      <c r="Q131" s="38">
        <v>73.900000000000006</v>
      </c>
      <c r="R131" s="38">
        <v>72</v>
      </c>
      <c r="S131" s="38">
        <v>71.08</v>
      </c>
      <c r="T131" s="38">
        <v>79.72</v>
      </c>
      <c r="U131" s="38">
        <v>78.97</v>
      </c>
      <c r="V131" s="38">
        <v>75.349999999999994</v>
      </c>
      <c r="W131" t="s">
        <v>49</v>
      </c>
    </row>
    <row r="132" spans="2:23" x14ac:dyDescent="0.3">
      <c r="B132" s="36" t="s">
        <v>278</v>
      </c>
      <c r="C132" t="s">
        <v>27</v>
      </c>
      <c r="D132" s="6">
        <v>0.97411633732258363</v>
      </c>
      <c r="E132">
        <v>72.56</v>
      </c>
      <c r="F132" s="38">
        <v>59.98</v>
      </c>
      <c r="G132" s="38">
        <v>81.78</v>
      </c>
      <c r="H132" s="38">
        <v>93.73</v>
      </c>
      <c r="I132" s="38">
        <v>97.33</v>
      </c>
      <c r="J132" s="39">
        <v>97.44</v>
      </c>
      <c r="K132" s="38">
        <v>73.64</v>
      </c>
      <c r="L132" s="38">
        <v>67.680000000000007</v>
      </c>
      <c r="M132" s="38">
        <v>64.180000000000007</v>
      </c>
      <c r="N132" s="38">
        <v>62.11</v>
      </c>
      <c r="O132" s="38">
        <v>36.380000000000003</v>
      </c>
      <c r="P132" s="38">
        <v>54.21</v>
      </c>
      <c r="Q132" s="38">
        <v>62.22</v>
      </c>
      <c r="R132" s="38">
        <v>73.489999999999995</v>
      </c>
      <c r="S132" s="39">
        <v>63.49</v>
      </c>
      <c r="T132" s="38">
        <v>65.17</v>
      </c>
      <c r="U132" s="38">
        <v>85.29</v>
      </c>
      <c r="V132" s="38">
        <v>76.290000000000006</v>
      </c>
      <c r="W132" t="s">
        <v>60</v>
      </c>
    </row>
    <row r="133" spans="2:23" x14ac:dyDescent="0.3">
      <c r="B133" s="36" t="s">
        <v>96</v>
      </c>
      <c r="C133" t="s">
        <v>27</v>
      </c>
      <c r="D133" s="6">
        <v>0.80737165423430124</v>
      </c>
      <c r="E133">
        <v>-28.717500000000001</v>
      </c>
      <c r="F133" s="38">
        <v>30.6</v>
      </c>
      <c r="G133" s="38">
        <v>27.39</v>
      </c>
      <c r="H133" s="38">
        <v>29.17</v>
      </c>
      <c r="I133" s="38">
        <v>29.38</v>
      </c>
      <c r="J133" s="39">
        <v>43.9</v>
      </c>
      <c r="K133" s="38">
        <v>28.67</v>
      </c>
      <c r="L133" s="38">
        <v>28.82</v>
      </c>
      <c r="M133" s="38">
        <v>22.94</v>
      </c>
      <c r="N133" s="38">
        <v>7.54</v>
      </c>
      <c r="O133" s="38">
        <v>29.06</v>
      </c>
      <c r="P133" s="38">
        <v>31.81</v>
      </c>
      <c r="Q133" s="38">
        <v>24.97</v>
      </c>
      <c r="R133" s="38">
        <v>-2.33</v>
      </c>
      <c r="S133" s="38">
        <v>-137.80000000000001</v>
      </c>
      <c r="T133" s="39">
        <v>14.87</v>
      </c>
      <c r="U133" s="39">
        <v>11.31</v>
      </c>
      <c r="V133" s="38">
        <v>-3.25</v>
      </c>
      <c r="W133" t="s">
        <v>104</v>
      </c>
    </row>
    <row r="134" spans="2:23" x14ac:dyDescent="0.3">
      <c r="B134" s="36" t="s">
        <v>183</v>
      </c>
      <c r="C134" t="s">
        <v>68</v>
      </c>
      <c r="D134" s="6">
        <v>0.72370831806523039</v>
      </c>
      <c r="E134">
        <v>274.875</v>
      </c>
      <c r="F134" s="38">
        <v>310.39999999999998</v>
      </c>
      <c r="G134" s="38">
        <v>229.6</v>
      </c>
      <c r="H134" s="38">
        <v>176.4</v>
      </c>
      <c r="I134" s="38">
        <v>241</v>
      </c>
      <c r="J134" s="38">
        <v>280</v>
      </c>
      <c r="K134" s="38">
        <v>229.4</v>
      </c>
      <c r="L134" s="38">
        <v>237.8</v>
      </c>
      <c r="M134" s="38">
        <v>253.8</v>
      </c>
      <c r="N134" s="38">
        <v>313.89999999999998</v>
      </c>
      <c r="O134" s="38">
        <v>239.7</v>
      </c>
      <c r="P134" s="38">
        <v>238.2</v>
      </c>
      <c r="Q134" s="38">
        <v>290.3</v>
      </c>
      <c r="R134" s="38">
        <v>310</v>
      </c>
      <c r="S134" s="38">
        <v>227.1</v>
      </c>
      <c r="T134" s="38">
        <v>259.7</v>
      </c>
      <c r="U134" s="38">
        <v>294.8</v>
      </c>
      <c r="V134" s="38">
        <v>317.89999999999998</v>
      </c>
      <c r="W134" t="s">
        <v>23</v>
      </c>
    </row>
    <row r="135" spans="2:23" x14ac:dyDescent="0.3">
      <c r="B135" s="36" t="s">
        <v>76</v>
      </c>
      <c r="C135" t="s">
        <v>27</v>
      </c>
      <c r="D135" s="6">
        <v>0.64121771438843123</v>
      </c>
      <c r="E135">
        <v>41.984999999999999</v>
      </c>
      <c r="F135" s="38">
        <v>27.22</v>
      </c>
      <c r="G135" s="38">
        <v>36.06</v>
      </c>
      <c r="H135" s="38">
        <v>36.200000000000003</v>
      </c>
      <c r="I135" s="38">
        <v>46.43</v>
      </c>
      <c r="J135" s="39">
        <v>50.25</v>
      </c>
      <c r="K135" s="38">
        <v>49.36</v>
      </c>
      <c r="L135" s="38">
        <v>42.15</v>
      </c>
      <c r="M135" s="38">
        <v>41.27</v>
      </c>
      <c r="N135" s="38">
        <v>46.02</v>
      </c>
      <c r="O135" s="38">
        <v>39.159999999999997</v>
      </c>
      <c r="P135" s="38">
        <v>42.87</v>
      </c>
      <c r="Q135" s="38">
        <v>41.44</v>
      </c>
      <c r="R135" s="38">
        <v>41.35</v>
      </c>
      <c r="S135" s="38">
        <v>41.7</v>
      </c>
      <c r="T135" s="38">
        <v>39.979999999999997</v>
      </c>
      <c r="U135" s="38">
        <v>43.84</v>
      </c>
      <c r="V135" s="38">
        <v>42.42</v>
      </c>
      <c r="W135" t="s">
        <v>69</v>
      </c>
    </row>
    <row r="136" spans="2:23" customFormat="1" hidden="1" x14ac:dyDescent="0.3">
      <c r="B136" t="s">
        <v>242</v>
      </c>
      <c r="C136" t="s">
        <v>25</v>
      </c>
      <c r="D136" s="3">
        <v>-10.47789068937106</v>
      </c>
      <c r="E136">
        <v>32.594999999999999</v>
      </c>
      <c r="F136">
        <v>11.8</v>
      </c>
      <c r="G136">
        <v>19.13</v>
      </c>
      <c r="H136">
        <v>-9.31</v>
      </c>
      <c r="I136">
        <v>20.04</v>
      </c>
      <c r="J136" s="2">
        <v>31.64</v>
      </c>
      <c r="K136">
        <v>16.670000000000002</v>
      </c>
      <c r="L136" s="2">
        <v>8.86</v>
      </c>
      <c r="M136" s="2">
        <v>30.43</v>
      </c>
      <c r="N136">
        <v>33.17</v>
      </c>
      <c r="O136">
        <v>23.37</v>
      </c>
      <c r="P136" s="2">
        <v>25.23</v>
      </c>
      <c r="Q136">
        <v>37.590000000000003</v>
      </c>
      <c r="R136">
        <v>44.18</v>
      </c>
      <c r="S136" s="2">
        <v>43.99</v>
      </c>
      <c r="T136">
        <v>25.78</v>
      </c>
      <c r="U136">
        <v>31.69</v>
      </c>
      <c r="V136">
        <v>28.92</v>
      </c>
      <c r="W136" t="s">
        <v>243</v>
      </c>
    </row>
    <row r="137" spans="2:23" x14ac:dyDescent="0.3">
      <c r="B137" s="36" t="s">
        <v>260</v>
      </c>
      <c r="C137" t="s">
        <v>27</v>
      </c>
      <c r="D137" s="6">
        <v>0.21905805038335829</v>
      </c>
      <c r="E137">
        <v>228.75</v>
      </c>
      <c r="F137" s="38">
        <v>289</v>
      </c>
      <c r="G137" s="38">
        <v>238</v>
      </c>
      <c r="H137" s="38">
        <v>337</v>
      </c>
      <c r="I137" s="38">
        <v>455</v>
      </c>
      <c r="J137" s="39">
        <v>446</v>
      </c>
      <c r="K137" s="39">
        <v>409</v>
      </c>
      <c r="L137" s="38">
        <v>356</v>
      </c>
      <c r="M137" s="38">
        <v>327</v>
      </c>
      <c r="N137" s="38">
        <v>52</v>
      </c>
      <c r="O137" s="38">
        <v>167</v>
      </c>
      <c r="P137" s="38">
        <v>269</v>
      </c>
      <c r="Q137" s="38">
        <v>235</v>
      </c>
      <c r="R137" s="39">
        <v>217</v>
      </c>
      <c r="S137" s="38">
        <v>225</v>
      </c>
      <c r="T137" s="38">
        <v>244</v>
      </c>
      <c r="U137" s="38">
        <v>227</v>
      </c>
      <c r="V137" s="38">
        <v>219</v>
      </c>
      <c r="W137" t="s">
        <v>23</v>
      </c>
    </row>
    <row r="138" spans="2:23" x14ac:dyDescent="0.3">
      <c r="B138" s="36" t="s">
        <v>219</v>
      </c>
      <c r="C138" t="s">
        <v>27</v>
      </c>
      <c r="D138" s="6">
        <v>0.1577535888941384</v>
      </c>
      <c r="E138">
        <v>1587.25</v>
      </c>
      <c r="F138" s="38">
        <v>1969</v>
      </c>
      <c r="G138" s="38">
        <v>1746</v>
      </c>
      <c r="H138" s="38">
        <v>1904</v>
      </c>
      <c r="I138" s="38">
        <v>2000</v>
      </c>
      <c r="J138" s="38">
        <v>2019</v>
      </c>
      <c r="K138" s="38">
        <v>1771</v>
      </c>
      <c r="L138" s="38">
        <v>1399</v>
      </c>
      <c r="M138" s="38">
        <v>1312</v>
      </c>
      <c r="N138" s="38">
        <v>0</v>
      </c>
      <c r="O138" s="38">
        <v>1365</v>
      </c>
      <c r="P138" s="38">
        <v>-5230</v>
      </c>
      <c r="Q138" s="38">
        <v>1710</v>
      </c>
      <c r="R138" s="38">
        <v>1554</v>
      </c>
      <c r="S138" s="38">
        <v>1535</v>
      </c>
      <c r="T138" s="38">
        <v>1513</v>
      </c>
      <c r="U138" s="38">
        <v>1737</v>
      </c>
      <c r="V138" s="38">
        <v>1564</v>
      </c>
      <c r="W138" t="s">
        <v>246</v>
      </c>
    </row>
    <row r="139" spans="2:23" x14ac:dyDescent="0.3">
      <c r="B139" s="36" t="s">
        <v>67</v>
      </c>
      <c r="C139" t="s">
        <v>68</v>
      </c>
      <c r="D139" s="6">
        <v>6.3080628512457437E-2</v>
      </c>
      <c r="E139">
        <v>43.622500000000002</v>
      </c>
      <c r="F139" s="38">
        <v>26.91</v>
      </c>
      <c r="G139" s="38">
        <v>30.86</v>
      </c>
      <c r="H139" s="38">
        <v>32.340000000000003</v>
      </c>
      <c r="I139" s="38">
        <v>32.32</v>
      </c>
      <c r="J139" s="38">
        <v>31.93</v>
      </c>
      <c r="K139" s="38">
        <v>41.42</v>
      </c>
      <c r="L139" s="38">
        <v>30.49</v>
      </c>
      <c r="M139" s="38">
        <v>31.86</v>
      </c>
      <c r="N139" s="38">
        <v>26.02</v>
      </c>
      <c r="O139" s="38">
        <v>39.04</v>
      </c>
      <c r="P139" s="38">
        <v>31.38</v>
      </c>
      <c r="Q139" s="38">
        <v>43.45</v>
      </c>
      <c r="R139" s="39">
        <v>43.33</v>
      </c>
      <c r="S139" s="38">
        <v>42.68</v>
      </c>
      <c r="T139" s="38">
        <v>42.12</v>
      </c>
      <c r="U139" s="38">
        <v>46.25</v>
      </c>
      <c r="V139" s="38">
        <v>43.44</v>
      </c>
      <c r="W139" t="s">
        <v>213</v>
      </c>
    </row>
    <row r="140" spans="2:23" x14ac:dyDescent="0.3">
      <c r="B140" s="36" t="s">
        <v>146</v>
      </c>
      <c r="C140" t="s">
        <v>27</v>
      </c>
      <c r="D140" s="6">
        <v>0</v>
      </c>
      <c r="E140">
        <v>6.97</v>
      </c>
      <c r="F140" s="38">
        <v>8.58</v>
      </c>
      <c r="G140" s="38">
        <v>12.7</v>
      </c>
      <c r="H140" s="38">
        <v>11.86</v>
      </c>
      <c r="I140" s="38">
        <v>9</v>
      </c>
      <c r="J140" s="38">
        <v>10.78</v>
      </c>
      <c r="K140" s="38">
        <v>4.6900000000000004</v>
      </c>
      <c r="L140" s="38">
        <v>8.06</v>
      </c>
      <c r="M140" s="38">
        <v>3.37</v>
      </c>
      <c r="N140" s="38">
        <v>4.32</v>
      </c>
      <c r="O140" s="38">
        <v>6.09</v>
      </c>
      <c r="P140" s="38">
        <v>4.8899999999999997</v>
      </c>
      <c r="Q140" s="39">
        <v>6.17</v>
      </c>
      <c r="R140" s="39">
        <v>7.27</v>
      </c>
      <c r="S140" s="38">
        <v>7.71</v>
      </c>
      <c r="T140" s="38">
        <v>5.43</v>
      </c>
      <c r="U140" s="38">
        <v>7.47</v>
      </c>
      <c r="V140" s="38">
        <v>7.27</v>
      </c>
      <c r="W140" t="s">
        <v>23</v>
      </c>
    </row>
    <row r="141" spans="2:23" x14ac:dyDescent="0.3">
      <c r="B141" s="36" t="s">
        <v>80</v>
      </c>
      <c r="C141" t="s">
        <v>62</v>
      </c>
      <c r="D141" s="6">
        <v>-0.23912003825921069</v>
      </c>
      <c r="E141">
        <v>52.15</v>
      </c>
      <c r="F141" s="38">
        <v>51.9</v>
      </c>
      <c r="G141" s="38">
        <v>63.2</v>
      </c>
      <c r="H141" s="38">
        <v>49.8</v>
      </c>
      <c r="I141" s="38">
        <v>65.5</v>
      </c>
      <c r="J141" s="38">
        <v>24.6</v>
      </c>
      <c r="K141" s="38">
        <v>53.3</v>
      </c>
      <c r="L141" s="38">
        <v>58.6</v>
      </c>
      <c r="M141" s="39">
        <v>89.3</v>
      </c>
      <c r="N141" s="38">
        <v>44.9</v>
      </c>
      <c r="O141" s="38">
        <v>53.9</v>
      </c>
      <c r="P141" s="38">
        <v>42.2</v>
      </c>
      <c r="Q141" s="38">
        <v>99.9</v>
      </c>
      <c r="R141" s="38">
        <v>19</v>
      </c>
      <c r="S141" s="38">
        <v>40.799999999999997</v>
      </c>
      <c r="T141" s="38">
        <v>42.3</v>
      </c>
      <c r="U141" s="38">
        <v>107</v>
      </c>
      <c r="V141" s="38">
        <v>18.5</v>
      </c>
      <c r="W141" t="s">
        <v>250</v>
      </c>
    </row>
    <row r="142" spans="2:23" customFormat="1" hidden="1" x14ac:dyDescent="0.3">
      <c r="B142" t="s">
        <v>251</v>
      </c>
      <c r="C142" t="s">
        <v>25</v>
      </c>
      <c r="D142" s="3">
        <v>-4.4703595724003842</v>
      </c>
      <c r="E142">
        <v>-2.4575</v>
      </c>
      <c r="F142">
        <v>-0.2</v>
      </c>
      <c r="G142">
        <v>1.95</v>
      </c>
      <c r="H142">
        <v>-2.99</v>
      </c>
      <c r="I142">
        <v>-1.24</v>
      </c>
      <c r="J142" s="2">
        <v>-0.59</v>
      </c>
      <c r="K142" s="2">
        <v>-0.49</v>
      </c>
      <c r="L142">
        <v>-2.77</v>
      </c>
      <c r="M142">
        <v>-0.14000000000000001</v>
      </c>
      <c r="N142" s="2">
        <v>-2.4900000000000002</v>
      </c>
      <c r="O142" s="2">
        <v>-2.67</v>
      </c>
      <c r="P142">
        <v>-3.5</v>
      </c>
      <c r="Q142">
        <v>0.55000000000000004</v>
      </c>
      <c r="R142">
        <v>-1.46</v>
      </c>
      <c r="S142" s="2">
        <v>-3.69</v>
      </c>
      <c r="T142">
        <v>-3.38</v>
      </c>
      <c r="U142" s="2">
        <v>-1.76</v>
      </c>
      <c r="V142">
        <v>-1</v>
      </c>
      <c r="W142" t="s">
        <v>252</v>
      </c>
    </row>
    <row r="143" spans="2:23" x14ac:dyDescent="0.3">
      <c r="B143" s="36" t="s">
        <v>200</v>
      </c>
      <c r="C143" t="s">
        <v>40</v>
      </c>
      <c r="D143" s="6">
        <v>-0.25080943043458431</v>
      </c>
      <c r="E143">
        <v>5468.5</v>
      </c>
      <c r="F143" s="38">
        <v>5240</v>
      </c>
      <c r="G143" s="38">
        <v>4103</v>
      </c>
      <c r="H143" s="38">
        <v>4274</v>
      </c>
      <c r="I143" s="38">
        <v>4939</v>
      </c>
      <c r="J143" s="38">
        <v>4873</v>
      </c>
      <c r="K143" s="38">
        <v>4334</v>
      </c>
      <c r="L143" s="38">
        <v>4822</v>
      </c>
      <c r="M143" s="38">
        <v>5865</v>
      </c>
      <c r="N143" s="38">
        <v>5879</v>
      </c>
      <c r="O143" s="38">
        <v>4460</v>
      </c>
      <c r="P143" s="38">
        <v>4947</v>
      </c>
      <c r="Q143" s="38">
        <v>5940</v>
      </c>
      <c r="R143" s="38">
        <v>5895</v>
      </c>
      <c r="S143" s="38">
        <v>4607</v>
      </c>
      <c r="T143" s="38">
        <v>5253</v>
      </c>
      <c r="U143" s="38">
        <v>6174</v>
      </c>
      <c r="V143" s="38">
        <v>5840</v>
      </c>
      <c r="W143" t="s">
        <v>254</v>
      </c>
    </row>
    <row r="144" spans="2:23" x14ac:dyDescent="0.3">
      <c r="B144" s="36" t="s">
        <v>208</v>
      </c>
      <c r="C144" t="s">
        <v>27</v>
      </c>
      <c r="D144" s="6">
        <v>-0.5609166414822897</v>
      </c>
      <c r="E144">
        <v>954.20749999999998</v>
      </c>
      <c r="F144" s="38">
        <v>650.25</v>
      </c>
      <c r="G144" s="38">
        <v>487.72</v>
      </c>
      <c r="H144" s="38">
        <v>507.11</v>
      </c>
      <c r="I144" s="38">
        <v>924.2</v>
      </c>
      <c r="J144" s="38">
        <v>672.24</v>
      </c>
      <c r="K144" s="38">
        <v>650.78</v>
      </c>
      <c r="L144" s="39">
        <v>1273</v>
      </c>
      <c r="M144" s="38">
        <v>734.86</v>
      </c>
      <c r="N144" s="38">
        <v>733.28</v>
      </c>
      <c r="O144" s="38">
        <v>734.99</v>
      </c>
      <c r="P144" s="38">
        <v>839.18</v>
      </c>
      <c r="Q144" s="38">
        <v>869.27</v>
      </c>
      <c r="R144" s="38">
        <v>1008</v>
      </c>
      <c r="S144" s="38">
        <v>882.06</v>
      </c>
      <c r="T144" s="38">
        <v>962.88</v>
      </c>
      <c r="U144" s="38">
        <v>985.42</v>
      </c>
      <c r="V144" s="38">
        <v>986.47</v>
      </c>
      <c r="W144" t="s">
        <v>257</v>
      </c>
    </row>
    <row r="145" spans="2:23" x14ac:dyDescent="0.3">
      <c r="B145" s="36" t="s">
        <v>259</v>
      </c>
      <c r="C145" t="s">
        <v>27</v>
      </c>
      <c r="D145" s="6">
        <v>-0.70254126499941227</v>
      </c>
      <c r="E145">
        <v>233.565</v>
      </c>
      <c r="F145" s="38">
        <v>193.96</v>
      </c>
      <c r="G145" s="38">
        <v>168.91</v>
      </c>
      <c r="H145" s="38">
        <v>175.79</v>
      </c>
      <c r="I145" s="38">
        <v>168.32</v>
      </c>
      <c r="J145" s="38">
        <v>208.51</v>
      </c>
      <c r="K145" s="38">
        <v>210.62</v>
      </c>
      <c r="L145" s="38">
        <v>217.68</v>
      </c>
      <c r="M145" s="38">
        <v>219.97</v>
      </c>
      <c r="N145" s="38">
        <v>218.73</v>
      </c>
      <c r="O145" s="38">
        <v>229.78</v>
      </c>
      <c r="P145" s="38">
        <v>230.31</v>
      </c>
      <c r="Q145" s="38">
        <v>236.16</v>
      </c>
      <c r="R145" s="38">
        <v>235.04</v>
      </c>
      <c r="S145" s="38">
        <v>223.86</v>
      </c>
      <c r="T145" s="38">
        <v>239.66</v>
      </c>
      <c r="U145" s="38">
        <v>242.31</v>
      </c>
      <c r="V145" s="38">
        <v>228.43</v>
      </c>
      <c r="W145" t="s">
        <v>23</v>
      </c>
    </row>
    <row r="146" spans="2:23" x14ac:dyDescent="0.3">
      <c r="B146" s="36" t="s">
        <v>241</v>
      </c>
      <c r="C146" t="s">
        <v>27</v>
      </c>
      <c r="D146" s="6">
        <v>-0.86327386335607326</v>
      </c>
      <c r="E146">
        <v>90.435000000000002</v>
      </c>
      <c r="F146" s="38">
        <v>63.53</v>
      </c>
      <c r="G146" s="38">
        <v>88.79</v>
      </c>
      <c r="H146" s="38">
        <v>87.47</v>
      </c>
      <c r="I146" s="38">
        <v>117.08</v>
      </c>
      <c r="J146" s="38">
        <v>81.790000000000006</v>
      </c>
      <c r="K146" s="38">
        <v>71.84</v>
      </c>
      <c r="L146" s="38">
        <v>78.63</v>
      </c>
      <c r="M146" s="38">
        <v>62.43</v>
      </c>
      <c r="N146" s="38">
        <v>24.19</v>
      </c>
      <c r="O146" s="38">
        <v>67.209999999999994</v>
      </c>
      <c r="P146" s="38">
        <v>72.959999999999994</v>
      </c>
      <c r="Q146" s="38">
        <v>83.19</v>
      </c>
      <c r="R146" s="39">
        <v>92.99</v>
      </c>
      <c r="S146" s="38">
        <v>80.069999999999993</v>
      </c>
      <c r="T146" s="38">
        <v>93.9</v>
      </c>
      <c r="U146" s="38">
        <v>97.93</v>
      </c>
      <c r="V146" s="38">
        <v>89.84</v>
      </c>
      <c r="W146" t="s">
        <v>23</v>
      </c>
    </row>
    <row r="147" spans="2:23" x14ac:dyDescent="0.3">
      <c r="B147" s="36" t="s">
        <v>173</v>
      </c>
      <c r="C147" t="s">
        <v>27</v>
      </c>
      <c r="D147" s="6">
        <v>-1.3939838591342619</v>
      </c>
      <c r="E147">
        <v>672</v>
      </c>
      <c r="F147" s="38">
        <v>490</v>
      </c>
      <c r="G147" s="38">
        <v>567</v>
      </c>
      <c r="H147" s="38">
        <v>661</v>
      </c>
      <c r="I147" s="38">
        <v>743</v>
      </c>
      <c r="J147" s="39">
        <v>793</v>
      </c>
      <c r="K147" s="38">
        <v>750</v>
      </c>
      <c r="L147" s="38">
        <v>699</v>
      </c>
      <c r="M147" s="38">
        <v>688</v>
      </c>
      <c r="N147" s="38">
        <v>247</v>
      </c>
      <c r="O147" s="38">
        <v>510</v>
      </c>
      <c r="P147" s="38">
        <v>586</v>
      </c>
      <c r="Q147" s="38">
        <v>638</v>
      </c>
      <c r="R147" s="39">
        <v>669</v>
      </c>
      <c r="S147" s="38">
        <v>653</v>
      </c>
      <c r="T147" s="38">
        <v>638</v>
      </c>
      <c r="U147" s="38">
        <v>766</v>
      </c>
      <c r="V147" s="38">
        <v>631</v>
      </c>
      <c r="W147" t="s">
        <v>261</v>
      </c>
    </row>
    <row r="148" spans="2:23" x14ac:dyDescent="0.3">
      <c r="B148" s="36" t="s">
        <v>201</v>
      </c>
      <c r="C148" t="s">
        <v>202</v>
      </c>
      <c r="D148" s="6">
        <v>-1.977401129943501</v>
      </c>
      <c r="E148">
        <v>260.25</v>
      </c>
      <c r="F148" s="38">
        <v>5018</v>
      </c>
      <c r="G148" s="38">
        <v>3130</v>
      </c>
      <c r="H148" s="38">
        <v>-613</v>
      </c>
      <c r="I148" s="38">
        <v>489</v>
      </c>
      <c r="J148" s="38">
        <v>-431</v>
      </c>
      <c r="K148" s="38">
        <v>-1404</v>
      </c>
      <c r="L148" s="39">
        <v>-816</v>
      </c>
      <c r="M148" s="38">
        <v>1152</v>
      </c>
      <c r="N148" s="38">
        <v>1613</v>
      </c>
      <c r="O148" s="39">
        <v>-497</v>
      </c>
      <c r="P148" s="38">
        <v>-1021</v>
      </c>
      <c r="Q148" s="38">
        <v>-390</v>
      </c>
      <c r="R148" s="39">
        <v>724</v>
      </c>
      <c r="S148" s="38">
        <v>-31</v>
      </c>
      <c r="T148" s="38">
        <v>-489</v>
      </c>
      <c r="U148" s="38">
        <v>858</v>
      </c>
      <c r="V148" s="38">
        <v>703</v>
      </c>
      <c r="W148" t="s">
        <v>83</v>
      </c>
    </row>
    <row r="149" spans="2:23" x14ac:dyDescent="0.3">
      <c r="B149" s="36" t="s">
        <v>64</v>
      </c>
      <c r="C149" t="s">
        <v>27</v>
      </c>
      <c r="D149" s="6">
        <v>-2.2422648127270461</v>
      </c>
      <c r="E149">
        <v>58.53</v>
      </c>
      <c r="F149" s="38">
        <v>48.61</v>
      </c>
      <c r="G149" s="38">
        <v>54.09</v>
      </c>
      <c r="H149" s="38">
        <v>59.36</v>
      </c>
      <c r="I149" s="38">
        <v>62.52</v>
      </c>
      <c r="J149" s="38">
        <v>68.14</v>
      </c>
      <c r="K149" s="38">
        <v>65.13</v>
      </c>
      <c r="L149" s="38">
        <v>65.790000000000006</v>
      </c>
      <c r="M149" s="38">
        <v>65.900000000000006</v>
      </c>
      <c r="N149" s="38">
        <v>68.430000000000007</v>
      </c>
      <c r="O149" s="38">
        <v>67.92</v>
      </c>
      <c r="P149" s="38">
        <v>71.260000000000005</v>
      </c>
      <c r="Q149" s="38">
        <v>61.78</v>
      </c>
      <c r="R149" s="38">
        <v>52.79</v>
      </c>
      <c r="S149" s="38">
        <v>59.45</v>
      </c>
      <c r="T149" s="38">
        <v>65.88</v>
      </c>
      <c r="U149" s="38">
        <v>61.37</v>
      </c>
      <c r="V149" s="38">
        <v>47.42</v>
      </c>
      <c r="W149" t="s">
        <v>264</v>
      </c>
    </row>
    <row r="150" spans="2:23" x14ac:dyDescent="0.3">
      <c r="B150" s="36" t="s">
        <v>214</v>
      </c>
      <c r="C150" t="s">
        <v>27</v>
      </c>
      <c r="D150" s="6">
        <v>-2.2766770941953451</v>
      </c>
      <c r="E150">
        <v>1405.75</v>
      </c>
      <c r="F150" s="38">
        <v>836</v>
      </c>
      <c r="G150" s="38">
        <v>400</v>
      </c>
      <c r="H150" s="38">
        <v>1276</v>
      </c>
      <c r="I150" s="38">
        <v>1181</v>
      </c>
      <c r="J150" s="39">
        <v>1294</v>
      </c>
      <c r="K150" s="39">
        <v>1186</v>
      </c>
      <c r="L150" s="38">
        <v>1338</v>
      </c>
      <c r="M150" s="38">
        <v>1451</v>
      </c>
      <c r="N150" s="38">
        <v>1614</v>
      </c>
      <c r="O150" s="38">
        <v>1411</v>
      </c>
      <c r="P150" s="38">
        <v>1610</v>
      </c>
      <c r="Q150" s="38">
        <v>1659</v>
      </c>
      <c r="R150" s="38">
        <v>1689</v>
      </c>
      <c r="S150" s="38">
        <v>1338</v>
      </c>
      <c r="T150" s="38">
        <v>1345</v>
      </c>
      <c r="U150" s="38">
        <v>1382</v>
      </c>
      <c r="V150" s="38">
        <v>1558</v>
      </c>
      <c r="W150" t="s">
        <v>266</v>
      </c>
    </row>
    <row r="151" spans="2:23" x14ac:dyDescent="0.3">
      <c r="B151" s="36" t="s">
        <v>191</v>
      </c>
      <c r="C151" t="s">
        <v>27</v>
      </c>
      <c r="D151" s="6">
        <v>-2.8952504879635632</v>
      </c>
      <c r="E151">
        <v>746.25</v>
      </c>
      <c r="F151" s="38">
        <v>514</v>
      </c>
      <c r="G151" s="38">
        <v>511</v>
      </c>
      <c r="H151" s="38">
        <v>374</v>
      </c>
      <c r="I151" s="38">
        <v>846</v>
      </c>
      <c r="J151" s="39">
        <v>906</v>
      </c>
      <c r="K151" s="39">
        <v>977</v>
      </c>
      <c r="L151" s="39">
        <v>1011</v>
      </c>
      <c r="M151" s="38">
        <v>1037</v>
      </c>
      <c r="N151" s="38">
        <v>1058</v>
      </c>
      <c r="O151" s="38">
        <v>987</v>
      </c>
      <c r="P151" s="38">
        <v>1032</v>
      </c>
      <c r="Q151" s="38">
        <v>975</v>
      </c>
      <c r="R151" s="38">
        <v>932</v>
      </c>
      <c r="S151" s="38">
        <v>695</v>
      </c>
      <c r="T151" s="38">
        <v>727</v>
      </c>
      <c r="U151" s="38">
        <v>720</v>
      </c>
      <c r="V151" s="38">
        <v>843</v>
      </c>
      <c r="W151" t="s">
        <v>268</v>
      </c>
    </row>
    <row r="152" spans="2:23" x14ac:dyDescent="0.3">
      <c r="B152" s="36" t="s">
        <v>215</v>
      </c>
      <c r="C152" t="s">
        <v>27</v>
      </c>
      <c r="D152" s="6">
        <v>-2.9290429042904238</v>
      </c>
      <c r="E152">
        <v>1176.5</v>
      </c>
      <c r="F152" s="38">
        <v>1386</v>
      </c>
      <c r="G152" s="38">
        <v>1274</v>
      </c>
      <c r="H152" s="38">
        <v>1610</v>
      </c>
      <c r="I152" s="38">
        <v>1571</v>
      </c>
      <c r="J152" s="38">
        <v>1453</v>
      </c>
      <c r="K152" s="38">
        <v>1445</v>
      </c>
      <c r="L152" s="38">
        <v>1460</v>
      </c>
      <c r="M152" s="38">
        <v>1271</v>
      </c>
      <c r="N152" s="38">
        <v>1320</v>
      </c>
      <c r="O152" s="38">
        <v>1348</v>
      </c>
      <c r="P152" s="38">
        <v>1460</v>
      </c>
      <c r="Q152" s="38">
        <v>1364</v>
      </c>
      <c r="R152" s="38">
        <v>1252</v>
      </c>
      <c r="S152" s="38">
        <v>1048</v>
      </c>
      <c r="T152" s="38">
        <v>1290</v>
      </c>
      <c r="U152" s="38">
        <v>1258</v>
      </c>
      <c r="V152" s="38">
        <v>1110</v>
      </c>
      <c r="W152" t="s">
        <v>270</v>
      </c>
    </row>
    <row r="153" spans="2:23" x14ac:dyDescent="0.3">
      <c r="B153" s="36" t="s">
        <v>33</v>
      </c>
      <c r="C153" t="s">
        <v>27</v>
      </c>
      <c r="D153" s="6">
        <v>-2.936962750716321</v>
      </c>
      <c r="E153">
        <v>20.324999999999999</v>
      </c>
      <c r="F153" s="38">
        <v>15.47</v>
      </c>
      <c r="G153" s="38">
        <v>22.07</v>
      </c>
      <c r="H153" s="38">
        <v>15.88</v>
      </c>
      <c r="I153" s="38">
        <v>21.25</v>
      </c>
      <c r="J153" s="38">
        <v>18.59</v>
      </c>
      <c r="K153" s="38">
        <v>15.88</v>
      </c>
      <c r="L153" s="38">
        <v>18.2</v>
      </c>
      <c r="M153" s="38">
        <v>21.65</v>
      </c>
      <c r="N153" s="38">
        <v>17.95</v>
      </c>
      <c r="O153" s="38">
        <v>19.82</v>
      </c>
      <c r="P153" s="38">
        <v>23.17</v>
      </c>
      <c r="Q153" s="38">
        <v>17.29</v>
      </c>
      <c r="R153" s="38">
        <v>22.77</v>
      </c>
      <c r="S153" s="38">
        <v>19.13</v>
      </c>
      <c r="T153" s="38">
        <v>20.68</v>
      </c>
      <c r="U153" s="38">
        <v>21.18</v>
      </c>
      <c r="V153" s="38">
        <v>20.309999999999999</v>
      </c>
      <c r="W153" t="s">
        <v>69</v>
      </c>
    </row>
    <row r="154" spans="2:23" x14ac:dyDescent="0.3">
      <c r="B154" s="36" t="s">
        <v>187</v>
      </c>
      <c r="C154" t="s">
        <v>145</v>
      </c>
      <c r="D154" s="6">
        <v>-3.1682052997034189</v>
      </c>
      <c r="E154">
        <v>275.07249999999999</v>
      </c>
      <c r="F154" s="38">
        <v>182.56</v>
      </c>
      <c r="G154" s="38">
        <v>58.47</v>
      </c>
      <c r="H154" s="38">
        <v>207.2</v>
      </c>
      <c r="I154" s="38">
        <v>239.85</v>
      </c>
      <c r="J154" s="38">
        <v>201.74</v>
      </c>
      <c r="K154" s="39">
        <v>138.79</v>
      </c>
      <c r="L154" s="38">
        <v>261.87</v>
      </c>
      <c r="M154" s="38">
        <v>266.99</v>
      </c>
      <c r="N154" s="38">
        <v>247.56</v>
      </c>
      <c r="O154" s="39">
        <v>259.58</v>
      </c>
      <c r="P154" s="38">
        <v>255</v>
      </c>
      <c r="Q154" s="39">
        <v>434</v>
      </c>
      <c r="R154" s="38">
        <v>291</v>
      </c>
      <c r="S154" s="38">
        <v>269.29000000000002</v>
      </c>
      <c r="T154" s="38">
        <v>293</v>
      </c>
      <c r="U154" s="38">
        <v>283</v>
      </c>
      <c r="V154" s="38">
        <v>255</v>
      </c>
      <c r="W154" t="s">
        <v>23</v>
      </c>
    </row>
    <row r="155" spans="2:23" x14ac:dyDescent="0.3">
      <c r="B155" s="36" t="s">
        <v>169</v>
      </c>
      <c r="C155" t="s">
        <v>27</v>
      </c>
      <c r="D155" s="6">
        <v>-4.1241013999243297</v>
      </c>
      <c r="E155">
        <v>1267</v>
      </c>
      <c r="F155" s="38">
        <v>-737</v>
      </c>
      <c r="G155" s="38">
        <v>-1360</v>
      </c>
      <c r="H155" s="38">
        <v>1013</v>
      </c>
      <c r="I155" s="38">
        <v>1499</v>
      </c>
      <c r="J155" s="39">
        <v>1415</v>
      </c>
      <c r="K155" s="39">
        <v>4</v>
      </c>
      <c r="L155" s="39">
        <v>2409</v>
      </c>
      <c r="M155" s="38">
        <v>1800</v>
      </c>
      <c r="N155" s="38">
        <v>1078</v>
      </c>
      <c r="O155" s="38">
        <v>139</v>
      </c>
      <c r="P155" s="38">
        <v>1993</v>
      </c>
      <c r="Q155" s="38">
        <v>1588</v>
      </c>
      <c r="R155" s="39">
        <v>1597</v>
      </c>
      <c r="S155" s="38">
        <v>534</v>
      </c>
      <c r="T155" s="38">
        <v>1803</v>
      </c>
      <c r="U155" s="38">
        <v>1352</v>
      </c>
      <c r="V155" s="38">
        <v>1379</v>
      </c>
      <c r="W155" t="s">
        <v>274</v>
      </c>
    </row>
    <row r="156" spans="2:23" x14ac:dyDescent="0.3">
      <c r="B156" s="36" t="s">
        <v>244</v>
      </c>
      <c r="C156" t="s">
        <v>27</v>
      </c>
      <c r="D156" s="6">
        <v>-4.8190842138968959</v>
      </c>
      <c r="E156">
        <v>44.587499999999999</v>
      </c>
      <c r="F156" s="38">
        <v>80.510000000000005</v>
      </c>
      <c r="G156" s="38">
        <v>50.99</v>
      </c>
      <c r="H156" s="38">
        <v>60.99</v>
      </c>
      <c r="I156" s="38">
        <v>57.18</v>
      </c>
      <c r="J156" s="38">
        <v>46.77</v>
      </c>
      <c r="K156" s="38">
        <v>44.9</v>
      </c>
      <c r="L156" s="38">
        <v>40.840000000000003</v>
      </c>
      <c r="M156" s="38">
        <v>40.869999999999997</v>
      </c>
      <c r="N156" s="38">
        <v>37.869999999999997</v>
      </c>
      <c r="O156" s="38">
        <v>40.270000000000003</v>
      </c>
      <c r="P156" s="38">
        <v>38.4</v>
      </c>
      <c r="Q156" s="38">
        <v>44.87</v>
      </c>
      <c r="R156" s="38">
        <v>49.34</v>
      </c>
      <c r="S156" s="38">
        <v>45.81</v>
      </c>
      <c r="T156" s="38">
        <v>43.33</v>
      </c>
      <c r="U156" s="38">
        <v>48.9</v>
      </c>
      <c r="V156" s="38">
        <v>40.31</v>
      </c>
      <c r="W156" t="s">
        <v>276</v>
      </c>
    </row>
    <row r="157" spans="2:23" x14ac:dyDescent="0.3">
      <c r="B157" s="36" t="s">
        <v>212</v>
      </c>
      <c r="C157" t="s">
        <v>27</v>
      </c>
      <c r="D157" s="6">
        <v>-5.3503693351966479</v>
      </c>
      <c r="E157">
        <v>1185.25</v>
      </c>
      <c r="F157" s="38">
        <v>1691</v>
      </c>
      <c r="G157" s="38">
        <v>1708</v>
      </c>
      <c r="H157" s="38">
        <v>177</v>
      </c>
      <c r="I157" s="38">
        <v>1503</v>
      </c>
      <c r="J157" s="39">
        <v>3055</v>
      </c>
      <c r="K157" s="38">
        <v>942</v>
      </c>
      <c r="L157" s="39">
        <v>1169</v>
      </c>
      <c r="M157" s="38">
        <v>1152</v>
      </c>
      <c r="N157" s="38">
        <v>0</v>
      </c>
      <c r="O157" s="38">
        <v>1263</v>
      </c>
      <c r="P157" s="38">
        <v>511</v>
      </c>
      <c r="Q157" s="38">
        <v>1349</v>
      </c>
      <c r="R157" s="39">
        <v>1062</v>
      </c>
      <c r="S157" s="38">
        <v>1231</v>
      </c>
      <c r="T157" s="39">
        <v>1128</v>
      </c>
      <c r="U157" s="38">
        <v>1588</v>
      </c>
      <c r="V157" s="38">
        <v>794</v>
      </c>
      <c r="W157" t="s">
        <v>250</v>
      </c>
    </row>
    <row r="158" spans="2:23" x14ac:dyDescent="0.3">
      <c r="B158" s="36" t="s">
        <v>210</v>
      </c>
      <c r="C158" t="s">
        <v>27</v>
      </c>
      <c r="D158" s="6">
        <v>-5.9317129629629646</v>
      </c>
      <c r="E158">
        <v>1625.5</v>
      </c>
      <c r="F158" s="38">
        <v>2313</v>
      </c>
      <c r="G158" s="38">
        <v>2809</v>
      </c>
      <c r="H158" s="38">
        <v>1734</v>
      </c>
      <c r="I158" s="38">
        <v>962</v>
      </c>
      <c r="J158" s="38">
        <v>1550</v>
      </c>
      <c r="K158" s="38">
        <v>1601</v>
      </c>
      <c r="L158" s="38">
        <v>1410</v>
      </c>
      <c r="M158" s="38">
        <v>1492</v>
      </c>
      <c r="N158" s="38">
        <v>1746</v>
      </c>
      <c r="O158" s="38">
        <v>1634</v>
      </c>
      <c r="P158" s="39">
        <v>2114</v>
      </c>
      <c r="Q158" s="38">
        <v>1972</v>
      </c>
      <c r="R158" s="38">
        <v>1221</v>
      </c>
      <c r="S158" s="38">
        <v>1303</v>
      </c>
      <c r="T158" s="38">
        <v>2432</v>
      </c>
      <c r="U158" s="38">
        <v>1956</v>
      </c>
      <c r="V158" s="38">
        <v>811</v>
      </c>
      <c r="W158" t="s">
        <v>270</v>
      </c>
    </row>
    <row r="159" spans="2:23" x14ac:dyDescent="0.3">
      <c r="B159" s="36" t="s">
        <v>180</v>
      </c>
      <c r="C159" t="s">
        <v>62</v>
      </c>
      <c r="D159" s="6">
        <v>-6.6309931506849384</v>
      </c>
      <c r="E159">
        <v>1090.55</v>
      </c>
      <c r="F159" s="38">
        <v>1495</v>
      </c>
      <c r="G159" s="38">
        <v>1898</v>
      </c>
      <c r="H159" s="38">
        <v>2190</v>
      </c>
      <c r="I159" s="38">
        <v>2101</v>
      </c>
      <c r="J159" s="38">
        <v>1268</v>
      </c>
      <c r="K159" s="38">
        <v>1243</v>
      </c>
      <c r="L159" s="38">
        <v>1763</v>
      </c>
      <c r="M159" s="38">
        <v>1980</v>
      </c>
      <c r="N159" s="38">
        <v>1202</v>
      </c>
      <c r="O159" s="38">
        <v>1490</v>
      </c>
      <c r="P159" s="38">
        <v>1760</v>
      </c>
      <c r="Q159" s="38">
        <v>1664</v>
      </c>
      <c r="R159" s="38">
        <v>1069</v>
      </c>
      <c r="S159" s="38">
        <v>1052</v>
      </c>
      <c r="T159" s="38">
        <v>1344</v>
      </c>
      <c r="U159" s="38">
        <v>1207</v>
      </c>
      <c r="V159" s="38">
        <v>759.2</v>
      </c>
      <c r="W159" t="s">
        <v>279</v>
      </c>
    </row>
    <row r="160" spans="2:23" x14ac:dyDescent="0.3">
      <c r="B160" s="36" t="s">
        <v>247</v>
      </c>
      <c r="C160" t="s">
        <v>27</v>
      </c>
      <c r="D160" s="6">
        <v>-7.043320472843229</v>
      </c>
      <c r="E160">
        <v>-131.91249999999999</v>
      </c>
      <c r="F160" s="38">
        <v>59.39</v>
      </c>
      <c r="G160" s="38">
        <v>79.319999999999993</v>
      </c>
      <c r="H160" s="38">
        <v>34.61</v>
      </c>
      <c r="I160" s="38">
        <v>97.56</v>
      </c>
      <c r="J160" s="39">
        <v>95.07</v>
      </c>
      <c r="K160" s="38">
        <v>56.23</v>
      </c>
      <c r="L160" s="39">
        <v>68.45</v>
      </c>
      <c r="M160" s="38">
        <v>56.49</v>
      </c>
      <c r="N160" s="38">
        <v>19.43</v>
      </c>
      <c r="O160" s="38">
        <v>45.01</v>
      </c>
      <c r="P160" s="38">
        <v>46.75</v>
      </c>
      <c r="Q160" s="38">
        <v>25.5</v>
      </c>
      <c r="R160" s="39">
        <v>54.05</v>
      </c>
      <c r="S160" s="38">
        <v>38.200000000000003</v>
      </c>
      <c r="T160" s="39">
        <v>63.64</v>
      </c>
      <c r="U160" s="38">
        <v>-723.52</v>
      </c>
      <c r="V160" s="38">
        <v>94.03</v>
      </c>
      <c r="W160" t="s">
        <v>281</v>
      </c>
    </row>
    <row r="161" spans="2:23" x14ac:dyDescent="0.3">
      <c r="B161" s="36" t="s">
        <v>286</v>
      </c>
      <c r="C161" t="s">
        <v>27</v>
      </c>
      <c r="D161" s="6">
        <v>-7.3949579831932732</v>
      </c>
      <c r="E161">
        <v>137.75</v>
      </c>
      <c r="F161" s="38">
        <v>64</v>
      </c>
      <c r="G161" s="38">
        <v>-220</v>
      </c>
      <c r="H161" s="38">
        <v>387</v>
      </c>
      <c r="I161" s="38">
        <v>480</v>
      </c>
      <c r="J161" s="38">
        <v>135</v>
      </c>
      <c r="K161" s="39">
        <v>-107</v>
      </c>
      <c r="L161" s="39">
        <v>520</v>
      </c>
      <c r="M161" s="38">
        <v>328</v>
      </c>
      <c r="N161" s="38">
        <v>77</v>
      </c>
      <c r="O161" s="38">
        <v>-145</v>
      </c>
      <c r="P161" s="38">
        <v>464</v>
      </c>
      <c r="Q161" s="39">
        <v>412</v>
      </c>
      <c r="R161" s="39">
        <v>158</v>
      </c>
      <c r="S161" s="38">
        <v>-110</v>
      </c>
      <c r="T161" s="38">
        <v>334</v>
      </c>
      <c r="U161" s="38">
        <v>213</v>
      </c>
      <c r="V161" s="38">
        <v>114</v>
      </c>
      <c r="W161" t="s">
        <v>283</v>
      </c>
    </row>
    <row r="162" spans="2:23" x14ac:dyDescent="0.3">
      <c r="B162" s="36" t="s">
        <v>255</v>
      </c>
      <c r="C162" t="s">
        <v>256</v>
      </c>
      <c r="D162" s="6">
        <v>-13.80597014925373</v>
      </c>
      <c r="E162">
        <v>-0.57750000000000001</v>
      </c>
      <c r="F162" s="38">
        <v>-0.62</v>
      </c>
      <c r="G162" s="38">
        <v>-0.48</v>
      </c>
      <c r="H162" s="38">
        <v>-0.66</v>
      </c>
      <c r="I162" s="38">
        <v>-0.59</v>
      </c>
      <c r="J162" s="38">
        <v>-0.74</v>
      </c>
      <c r="K162" s="39">
        <v>-1.06</v>
      </c>
      <c r="L162" s="38">
        <v>-0.91</v>
      </c>
      <c r="M162" s="38">
        <v>-0.65</v>
      </c>
      <c r="N162" s="38">
        <v>-0.91</v>
      </c>
      <c r="O162" s="38">
        <v>-0.66</v>
      </c>
      <c r="P162" s="38">
        <v>-0.83</v>
      </c>
      <c r="Q162" s="39">
        <v>-1.24</v>
      </c>
      <c r="R162" s="38">
        <v>-0.55000000000000004</v>
      </c>
      <c r="S162" s="38">
        <v>-0.52</v>
      </c>
      <c r="T162" s="38">
        <v>-0.69</v>
      </c>
      <c r="U162" s="38">
        <v>-0.92</v>
      </c>
      <c r="V162" s="38">
        <v>-0.18</v>
      </c>
      <c r="W162" t="s">
        <v>69</v>
      </c>
    </row>
    <row r="163" spans="2:23" x14ac:dyDescent="0.3">
      <c r="B163" s="36" t="s">
        <v>149</v>
      </c>
      <c r="C163" t="s">
        <v>27</v>
      </c>
      <c r="D163" s="6">
        <v>-13.96407185628742</v>
      </c>
      <c r="E163">
        <v>8.98</v>
      </c>
      <c r="F163" s="38">
        <v>7.4</v>
      </c>
      <c r="G163" s="38">
        <v>6.71</v>
      </c>
      <c r="H163" s="38">
        <v>7</v>
      </c>
      <c r="I163" s="38">
        <v>7.52</v>
      </c>
      <c r="J163" s="38">
        <v>5.85</v>
      </c>
      <c r="K163" s="38">
        <v>7.69</v>
      </c>
      <c r="L163" s="38">
        <v>5.53</v>
      </c>
      <c r="M163" s="38">
        <v>5.07</v>
      </c>
      <c r="N163" s="38">
        <v>3.51</v>
      </c>
      <c r="O163" s="38">
        <v>6.04</v>
      </c>
      <c r="P163" s="39">
        <v>8.18</v>
      </c>
      <c r="Q163" s="39">
        <v>9.16</v>
      </c>
      <c r="R163" s="39">
        <v>9.1</v>
      </c>
      <c r="S163" s="39">
        <v>10.1</v>
      </c>
      <c r="T163" s="38">
        <v>10.74</v>
      </c>
      <c r="U163" s="38">
        <v>11.81</v>
      </c>
      <c r="V163" s="38">
        <v>3.27</v>
      </c>
      <c r="W163" t="s">
        <v>23</v>
      </c>
    </row>
    <row r="164" spans="2:23" x14ac:dyDescent="0.3">
      <c r="B164" s="36" t="s">
        <v>265</v>
      </c>
      <c r="C164" t="s">
        <v>27</v>
      </c>
      <c r="D164" s="6">
        <v>-14.210178453403829</v>
      </c>
      <c r="E164">
        <v>324.5</v>
      </c>
      <c r="F164" s="38">
        <v>734</v>
      </c>
      <c r="G164" s="38">
        <v>898</v>
      </c>
      <c r="H164" s="38">
        <v>736</v>
      </c>
      <c r="I164" s="38">
        <v>-24</v>
      </c>
      <c r="J164" s="38">
        <v>-104</v>
      </c>
      <c r="K164" s="38">
        <v>6</v>
      </c>
      <c r="L164" s="38">
        <v>-52</v>
      </c>
      <c r="M164" s="39">
        <v>-99</v>
      </c>
      <c r="N164" s="38">
        <v>54</v>
      </c>
      <c r="O164" s="39">
        <v>-32</v>
      </c>
      <c r="P164" s="38">
        <v>140</v>
      </c>
      <c r="Q164" s="39">
        <v>266</v>
      </c>
      <c r="R164" s="39">
        <v>591</v>
      </c>
      <c r="S164" s="39">
        <v>706</v>
      </c>
      <c r="T164" s="38">
        <v>133</v>
      </c>
      <c r="U164" s="38">
        <v>83</v>
      </c>
      <c r="V164" s="38">
        <v>376</v>
      </c>
      <c r="W164" t="s">
        <v>287</v>
      </c>
    </row>
    <row r="165" spans="2:23" x14ac:dyDescent="0.3">
      <c r="B165" s="36" t="s">
        <v>57</v>
      </c>
      <c r="C165" t="s">
        <v>27</v>
      </c>
      <c r="D165" s="6">
        <v>-19.584245076586431</v>
      </c>
      <c r="E165">
        <v>16.537500000000001</v>
      </c>
      <c r="F165" s="38">
        <v>84.48</v>
      </c>
      <c r="G165" s="38">
        <v>18.13</v>
      </c>
      <c r="H165" s="38">
        <v>10.59</v>
      </c>
      <c r="I165" s="38">
        <v>22.43</v>
      </c>
      <c r="J165" s="38">
        <v>27.45</v>
      </c>
      <c r="K165" s="38">
        <v>25.24</v>
      </c>
      <c r="L165" s="38">
        <v>8.92</v>
      </c>
      <c r="M165" s="38">
        <v>28.08</v>
      </c>
      <c r="N165" s="38">
        <v>-20.91</v>
      </c>
      <c r="O165" s="38">
        <v>13.46</v>
      </c>
      <c r="P165" s="38">
        <v>6.32</v>
      </c>
      <c r="Q165" s="38">
        <v>-61.89</v>
      </c>
      <c r="R165" s="38">
        <v>18.02</v>
      </c>
      <c r="S165" s="38">
        <v>15.43</v>
      </c>
      <c r="T165" s="38">
        <v>29.8</v>
      </c>
      <c r="U165" s="39">
        <v>19.010000000000002</v>
      </c>
      <c r="V165" s="38">
        <v>1.91</v>
      </c>
      <c r="W165" t="s">
        <v>23</v>
      </c>
    </row>
  </sheetData>
  <autoFilter ref="B2:V165" xr:uid="{00000000-0001-0000-0000-000000000000}">
    <filterColumn colId="1">
      <filters>
        <filter val="('Q1 2026', &quot;Dec '25 Dec 26, 2025&quot;)"/>
        <filter val="('Q1 2026', &quot;Dec '25 Dec 31, 2025&quot;)"/>
        <filter val="('Q1 2026', &quot;Nov '25 Nov 30, 2025&quot;)"/>
        <filter val="('Q2 2026', &quot;Dec '25 Dec 31, 2025&quot;)"/>
        <filter val="('Q3 2026', &quot;Dec '25 Dec 31, 2025&quot;)"/>
        <filter val="('Q3 2026', &quot;Nov '25 Nov 30, 2025&quot;)"/>
        <filter val="('Q4 2025', &quot;Dec '25 Dec 27, 2025&quot;)"/>
        <filter val="('Q4 2025', &quot;Dec '25 Dec 28, 2025&quot;)"/>
        <filter val="('Q4 2025', &quot;Dec '25 Dec 31, 2025&quot;)"/>
        <filter val="('Q4 2025', &quot;Nov '25 Nov 30, 2025&quot;)"/>
      </filters>
    </filterColumn>
    <sortState xmlns:xlrd2="http://schemas.microsoft.com/office/spreadsheetml/2017/richdata2" ref="B5:V165">
      <sortCondition descending="1" ref="D2:D165"/>
    </sortState>
  </autoFilter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59828-BD44-4495-A95D-906B701A403F}">
  <dimension ref="B2:W13"/>
  <sheetViews>
    <sheetView zoomScale="85" zoomScaleNormal="85" workbookViewId="0">
      <selection activeCell="U8" sqref="U8"/>
    </sheetView>
  </sheetViews>
  <sheetFormatPr defaultRowHeight="15" x14ac:dyDescent="0.25"/>
  <cols>
    <col min="1" max="1" width="9" style="4"/>
    <col min="2" max="2" width="25.125" style="4" customWidth="1"/>
    <col min="3" max="6" width="9.375" style="4" hidden="1" customWidth="1"/>
    <col min="7" max="23" width="9.375" style="4" customWidth="1"/>
    <col min="24" max="16384" width="9" style="4"/>
  </cols>
  <sheetData>
    <row r="2" spans="2:23" x14ac:dyDescent="0.25">
      <c r="B2" s="4" t="s">
        <v>307</v>
      </c>
    </row>
    <row r="3" spans="2:23" x14ac:dyDescent="0.25">
      <c r="T3" s="8"/>
      <c r="U3" s="8"/>
      <c r="V3" s="8"/>
      <c r="W3" s="8"/>
    </row>
    <row r="4" spans="2:23" x14ac:dyDescent="0.25">
      <c r="B4" s="7" t="s">
        <v>915</v>
      </c>
      <c r="C4" s="4">
        <v>5</v>
      </c>
      <c r="D4" s="4">
        <v>6</v>
      </c>
      <c r="E4" s="4">
        <v>7</v>
      </c>
      <c r="F4" s="4">
        <v>8</v>
      </c>
      <c r="G4" s="4">
        <v>9</v>
      </c>
      <c r="H4" s="4">
        <v>10</v>
      </c>
      <c r="I4" s="4">
        <v>11</v>
      </c>
      <c r="J4" s="4">
        <v>12</v>
      </c>
      <c r="K4" s="4">
        <v>13</v>
      </c>
      <c r="L4" s="4">
        <v>14</v>
      </c>
      <c r="M4" s="4">
        <v>15</v>
      </c>
      <c r="N4" s="4">
        <v>16</v>
      </c>
      <c r="O4" s="4">
        <v>17</v>
      </c>
      <c r="P4" s="4">
        <v>18</v>
      </c>
      <c r="Q4" s="4">
        <v>19</v>
      </c>
      <c r="R4" s="4">
        <v>20</v>
      </c>
      <c r="S4" s="4">
        <v>21</v>
      </c>
      <c r="T4" s="8"/>
      <c r="U4" s="8"/>
      <c r="V4" s="8"/>
      <c r="W4" s="8"/>
    </row>
    <row r="5" spans="2:23" x14ac:dyDescent="0.25"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spans="2:23" x14ac:dyDescent="0.25">
      <c r="B6" s="9"/>
      <c r="C6" s="10" t="s">
        <v>288</v>
      </c>
      <c r="D6" s="10" t="s">
        <v>289</v>
      </c>
      <c r="E6" s="10" t="s">
        <v>290</v>
      </c>
      <c r="F6" s="10" t="s">
        <v>291</v>
      </c>
      <c r="G6" s="10" t="s">
        <v>292</v>
      </c>
      <c r="H6" s="10" t="s">
        <v>8</v>
      </c>
      <c r="I6" s="10" t="s">
        <v>293</v>
      </c>
      <c r="J6" s="10" t="s">
        <v>294</v>
      </c>
      <c r="K6" s="10" t="s">
        <v>295</v>
      </c>
      <c r="L6" s="10" t="s">
        <v>12</v>
      </c>
      <c r="M6" s="10" t="s">
        <v>13</v>
      </c>
      <c r="N6" s="10" t="s">
        <v>14</v>
      </c>
      <c r="O6" s="10" t="s">
        <v>15</v>
      </c>
      <c r="P6" s="10" t="s">
        <v>16</v>
      </c>
      <c r="Q6" s="10" t="s">
        <v>17</v>
      </c>
      <c r="R6" s="10" t="s">
        <v>18</v>
      </c>
      <c r="S6" s="11" t="s">
        <v>19</v>
      </c>
      <c r="T6" s="10" t="s">
        <v>296</v>
      </c>
      <c r="U6" s="10" t="s">
        <v>297</v>
      </c>
      <c r="V6" s="10" t="s">
        <v>298</v>
      </c>
      <c r="W6" s="10" t="s">
        <v>299</v>
      </c>
    </row>
    <row r="7" spans="2:23" x14ac:dyDescent="0.25">
      <c r="B7" s="8" t="s">
        <v>300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3"/>
      <c r="T7" s="12"/>
      <c r="U7" s="12"/>
      <c r="V7" s="12"/>
      <c r="W7" s="12"/>
    </row>
    <row r="8" spans="2:23" x14ac:dyDescent="0.25">
      <c r="B8" s="8" t="s">
        <v>301</v>
      </c>
      <c r="C8" s="14">
        <f>VLOOKUP($B$4,'영업이익 DATA'!$B$1:$V$165,C4,FALSE)</f>
        <v>5706</v>
      </c>
      <c r="D8" s="14">
        <f>VLOOKUP($B$4,'영업이익 DATA'!$B$1:$V$165,D4,FALSE)</f>
        <v>1331</v>
      </c>
      <c r="E8" s="14">
        <f>VLOOKUP($B$4,'영업이익 DATA'!$B$1:$V$165,E4,FALSE)</f>
        <v>5748</v>
      </c>
      <c r="F8" s="14">
        <f>VLOOKUP($B$4,'영업이익 DATA'!$B$1:$V$165,F4,FALSE)</f>
        <v>6087</v>
      </c>
      <c r="G8" s="14">
        <f>VLOOKUP($B$4,'영업이익 DATA'!$B$1:$V$165,G4,FALSE)</f>
        <v>5299</v>
      </c>
      <c r="H8" s="14">
        <f>VLOOKUP($B$4,'영업이익 DATA'!$B$1:$V$165,H4,FALSE)</f>
        <v>2821</v>
      </c>
      <c r="I8" s="14">
        <f>VLOOKUP($B$4,'영업이익 DATA'!$B$1:$V$165,I4,FALSE)</f>
        <v>5667</v>
      </c>
      <c r="J8" s="14">
        <f>VLOOKUP($B$4,'영업이익 DATA'!$B$1:$V$165,J4,FALSE)</f>
        <v>5813</v>
      </c>
      <c r="K8" s="14">
        <f>VLOOKUP($B$4,'영업이익 DATA'!$B$1:$V$165,K4,FALSE)</f>
        <v>5534</v>
      </c>
      <c r="L8" s="14">
        <f>VLOOKUP($B$4,'영업이익 DATA'!$B$1:$V$165,L4,FALSE)</f>
        <v>4193</v>
      </c>
      <c r="M8" s="14">
        <f>VLOOKUP($B$4,'영업이익 DATA'!$B$1:$V$165,M4,FALSE)</f>
        <v>5909</v>
      </c>
      <c r="N8" s="14">
        <f>VLOOKUP($B$4,'영업이익 DATA'!$B$1:$V$165,N4,FALSE)</f>
        <v>6276</v>
      </c>
      <c r="O8" s="14">
        <f>VLOOKUP($B$4,'영업이익 DATA'!$B$1:$V$165,O4,FALSE)</f>
        <v>5037</v>
      </c>
      <c r="P8" s="14">
        <f>VLOOKUP($B$4,'영업이익 DATA'!$B$1:$V$165,P4,FALSE)</f>
        <v>3582</v>
      </c>
      <c r="Q8" s="14">
        <f>VLOOKUP($B$4,'영업이익 DATA'!$B$1:$V$165,Q4,FALSE)</f>
        <v>6182</v>
      </c>
      <c r="R8" s="14">
        <f>VLOOKUP($B$4,'영업이익 DATA'!$B$1:$V$165,R4,FALSE)</f>
        <v>6646</v>
      </c>
      <c r="S8" s="15">
        <f>VLOOKUP($B$4,'영업이익 DATA'!$B$1:$V$165,S4,FALSE)</f>
        <v>7033</v>
      </c>
      <c r="T8" s="12"/>
      <c r="U8" s="12"/>
      <c r="V8" s="12"/>
      <c r="W8" s="12"/>
    </row>
    <row r="9" spans="2:23" x14ac:dyDescent="0.25">
      <c r="B9" s="8" t="s">
        <v>302</v>
      </c>
      <c r="C9" s="14">
        <f>AVERAGE(C8:C8)</f>
        <v>5706</v>
      </c>
      <c r="D9" s="14">
        <f>AVERAGE(C8:D8)</f>
        <v>3518.5</v>
      </c>
      <c r="E9" s="14">
        <f>AVERAGE(C8:E8)</f>
        <v>4261.666666666667</v>
      </c>
      <c r="F9" s="14">
        <f t="shared" ref="F9:R9" si="0">AVERAGE(C8:F8)</f>
        <v>4718</v>
      </c>
      <c r="G9" s="14">
        <f t="shared" si="0"/>
        <v>4616.25</v>
      </c>
      <c r="H9" s="14">
        <f t="shared" si="0"/>
        <v>4988.75</v>
      </c>
      <c r="I9" s="14">
        <f t="shared" si="0"/>
        <v>4968.5</v>
      </c>
      <c r="J9" s="14">
        <f t="shared" si="0"/>
        <v>4900</v>
      </c>
      <c r="K9" s="14">
        <f t="shared" si="0"/>
        <v>4958.75</v>
      </c>
      <c r="L9" s="14">
        <f t="shared" si="0"/>
        <v>5301.75</v>
      </c>
      <c r="M9" s="14">
        <f t="shared" si="0"/>
        <v>5362.25</v>
      </c>
      <c r="N9" s="14">
        <f t="shared" si="0"/>
        <v>5478</v>
      </c>
      <c r="O9" s="14">
        <f t="shared" si="0"/>
        <v>5353.75</v>
      </c>
      <c r="P9" s="14">
        <f t="shared" si="0"/>
        <v>5201</v>
      </c>
      <c r="Q9" s="14">
        <f t="shared" si="0"/>
        <v>5269.25</v>
      </c>
      <c r="R9" s="14">
        <f t="shared" si="0"/>
        <v>5361.75</v>
      </c>
      <c r="S9" s="15">
        <f>AVERAGE(P8:S8)</f>
        <v>5860.75</v>
      </c>
      <c r="T9" s="12"/>
      <c r="U9" s="12"/>
      <c r="V9" s="12"/>
      <c r="W9" s="12"/>
    </row>
    <row r="10" spans="2:23" x14ac:dyDescent="0.25">
      <c r="B10" s="8" t="s">
        <v>303</v>
      </c>
      <c r="C10" s="14">
        <f>SUM(C8:C8)</f>
        <v>5706</v>
      </c>
      <c r="D10" s="14">
        <f>SUM(C8:D8)</f>
        <v>7037</v>
      </c>
      <c r="E10" s="14">
        <f>SUM(C8:E8)</f>
        <v>12785</v>
      </c>
      <c r="F10" s="14">
        <f t="shared" ref="F10:S10" si="1">SUM(C8:F8)</f>
        <v>18872</v>
      </c>
      <c r="G10" s="14">
        <f t="shared" si="1"/>
        <v>18465</v>
      </c>
      <c r="H10" s="14">
        <f t="shared" si="1"/>
        <v>19955</v>
      </c>
      <c r="I10" s="14">
        <f t="shared" si="1"/>
        <v>19874</v>
      </c>
      <c r="J10" s="14">
        <f t="shared" si="1"/>
        <v>19600</v>
      </c>
      <c r="K10" s="14">
        <f t="shared" si="1"/>
        <v>19835</v>
      </c>
      <c r="L10" s="14">
        <f t="shared" si="1"/>
        <v>21207</v>
      </c>
      <c r="M10" s="14">
        <f t="shared" si="1"/>
        <v>21449</v>
      </c>
      <c r="N10" s="14">
        <f t="shared" si="1"/>
        <v>21912</v>
      </c>
      <c r="O10" s="14">
        <f t="shared" si="1"/>
        <v>21415</v>
      </c>
      <c r="P10" s="14">
        <f t="shared" si="1"/>
        <v>20804</v>
      </c>
      <c r="Q10" s="14">
        <f t="shared" si="1"/>
        <v>21077</v>
      </c>
      <c r="R10" s="14">
        <f t="shared" si="1"/>
        <v>21447</v>
      </c>
      <c r="S10" s="15">
        <f t="shared" si="1"/>
        <v>23443</v>
      </c>
      <c r="T10" s="12"/>
      <c r="U10" s="12"/>
      <c r="V10" s="12"/>
      <c r="W10" s="12"/>
    </row>
    <row r="11" spans="2:23" x14ac:dyDescent="0.25">
      <c r="B11" s="8" t="s">
        <v>304</v>
      </c>
      <c r="C11" s="16"/>
      <c r="D11" s="16">
        <f t="shared" ref="D11:S11" si="2">D9/C9-1</f>
        <v>-0.38336838415702768</v>
      </c>
      <c r="E11" s="16">
        <f t="shared" si="2"/>
        <v>0.21121690114158498</v>
      </c>
      <c r="F11" s="16">
        <f t="shared" si="2"/>
        <v>0.10707860774344935</v>
      </c>
      <c r="G11" s="16">
        <f t="shared" si="2"/>
        <v>-2.1566341670199218E-2</v>
      </c>
      <c r="H11" s="16">
        <f t="shared" si="2"/>
        <v>8.0693203357703691E-2</v>
      </c>
      <c r="I11" s="16">
        <f t="shared" si="2"/>
        <v>-4.0591330493610078E-3</v>
      </c>
      <c r="J11" s="16">
        <f t="shared" si="2"/>
        <v>-1.3786857200362324E-2</v>
      </c>
      <c r="K11" s="16">
        <f t="shared" si="2"/>
        <v>1.1989795918367241E-2</v>
      </c>
      <c r="L11" s="16">
        <f t="shared" si="2"/>
        <v>6.9170657927905221E-2</v>
      </c>
      <c r="M11" s="16">
        <f t="shared" si="2"/>
        <v>1.1411326448814041E-2</v>
      </c>
      <c r="N11" s="16">
        <f t="shared" si="2"/>
        <v>2.1586087929507114E-2</v>
      </c>
      <c r="O11" s="16">
        <f t="shared" si="2"/>
        <v>-2.2681635633442832E-2</v>
      </c>
      <c r="P11" s="17">
        <f t="shared" si="2"/>
        <v>-2.8531403222040619E-2</v>
      </c>
      <c r="Q11" s="17">
        <f t="shared" si="2"/>
        <v>1.3122476446837172E-2</v>
      </c>
      <c r="R11" s="17">
        <f t="shared" si="2"/>
        <v>1.755468045737052E-2</v>
      </c>
      <c r="S11" s="18">
        <f t="shared" si="2"/>
        <v>9.3066629365412323E-2</v>
      </c>
      <c r="T11" s="19"/>
      <c r="U11" s="19"/>
      <c r="V11" s="19"/>
      <c r="W11" s="19"/>
    </row>
    <row r="12" spans="2:23" x14ac:dyDescent="0.25">
      <c r="B12" s="8" t="s">
        <v>305</v>
      </c>
      <c r="C12" s="20" t="str">
        <f t="shared" ref="C12:F12" si="3">IFERROR(C8/C7,"-")</f>
        <v>-</v>
      </c>
      <c r="D12" s="20" t="str">
        <f t="shared" si="3"/>
        <v>-</v>
      </c>
      <c r="E12" s="20" t="str">
        <f t="shared" si="3"/>
        <v>-</v>
      </c>
      <c r="F12" s="20" t="str">
        <f t="shared" si="3"/>
        <v>-</v>
      </c>
      <c r="G12" s="20" t="str">
        <f>IFERROR(G8/G7,"-")</f>
        <v>-</v>
      </c>
      <c r="H12" s="20" t="str">
        <f t="shared" ref="H12:S12" si="4">IFERROR(H8/H7,"-")</f>
        <v>-</v>
      </c>
      <c r="I12" s="20" t="str">
        <f t="shared" si="4"/>
        <v>-</v>
      </c>
      <c r="J12" s="20" t="str">
        <f t="shared" si="4"/>
        <v>-</v>
      </c>
      <c r="K12" s="20" t="str">
        <f t="shared" si="4"/>
        <v>-</v>
      </c>
      <c r="L12" s="20" t="str">
        <f t="shared" si="4"/>
        <v>-</v>
      </c>
      <c r="M12" s="20" t="str">
        <f t="shared" si="4"/>
        <v>-</v>
      </c>
      <c r="N12" s="20" t="str">
        <f t="shared" si="4"/>
        <v>-</v>
      </c>
      <c r="O12" s="20" t="str">
        <f t="shared" si="4"/>
        <v>-</v>
      </c>
      <c r="P12" s="20" t="str">
        <f t="shared" si="4"/>
        <v>-</v>
      </c>
      <c r="Q12" s="20" t="str">
        <f t="shared" si="4"/>
        <v>-</v>
      </c>
      <c r="R12" s="20" t="str">
        <f t="shared" si="4"/>
        <v>-</v>
      </c>
      <c r="S12" s="21" t="str">
        <f t="shared" si="4"/>
        <v>-</v>
      </c>
      <c r="T12" s="22"/>
      <c r="U12" s="22"/>
      <c r="V12" s="22"/>
      <c r="W12" s="22"/>
    </row>
    <row r="13" spans="2:23" x14ac:dyDescent="0.25">
      <c r="B13" s="8" t="s">
        <v>306</v>
      </c>
      <c r="C13" s="22" t="e">
        <f>C8/#REF!-1</f>
        <v>#REF!</v>
      </c>
      <c r="D13" s="22" t="e">
        <f>D8/#REF!-1</f>
        <v>#REF!</v>
      </c>
      <c r="E13" s="22" t="e">
        <f>E8/#REF!-1</f>
        <v>#REF!</v>
      </c>
      <c r="F13" s="22" t="e">
        <f>F8/#REF!-1</f>
        <v>#REF!</v>
      </c>
      <c r="G13" s="22">
        <f t="shared" ref="G13:S13" si="5">G8/C8-1</f>
        <v>-7.1328426218016161E-2</v>
      </c>
      <c r="H13" s="22">
        <f t="shared" si="5"/>
        <v>1.1194590533433511</v>
      </c>
      <c r="I13" s="22">
        <f t="shared" si="5"/>
        <v>-1.4091858037578286E-2</v>
      </c>
      <c r="J13" s="22">
        <f t="shared" si="5"/>
        <v>-4.5013964185970146E-2</v>
      </c>
      <c r="K13" s="22">
        <f t="shared" si="5"/>
        <v>4.4347990186827779E-2</v>
      </c>
      <c r="L13" s="22">
        <f t="shared" si="5"/>
        <v>0.48635235732009918</v>
      </c>
      <c r="M13" s="22">
        <f t="shared" si="5"/>
        <v>4.2703370389977069E-2</v>
      </c>
      <c r="N13" s="22">
        <f t="shared" si="5"/>
        <v>7.9649062446241148E-2</v>
      </c>
      <c r="O13" s="22">
        <f t="shared" si="5"/>
        <v>-8.9808456812432214E-2</v>
      </c>
      <c r="P13" s="23">
        <f t="shared" si="5"/>
        <v>-0.14571905556880516</v>
      </c>
      <c r="Q13" s="23">
        <f t="shared" si="5"/>
        <v>4.6200710780165855E-2</v>
      </c>
      <c r="R13" s="23">
        <f t="shared" si="5"/>
        <v>5.8954748247291189E-2</v>
      </c>
      <c r="S13" s="24">
        <f t="shared" si="5"/>
        <v>0.39626761961485002</v>
      </c>
      <c r="T13" s="22"/>
      <c r="U13" s="22"/>
      <c r="V13" s="22"/>
      <c r="W13" s="22"/>
    </row>
  </sheetData>
  <phoneticPr fontId="3" type="noConversion"/>
  <conditionalFormatting sqref="B10:P10">
    <cfRule type="top10" dxfId="2" priority="12" percent="1" rank="5"/>
  </conditionalFormatting>
  <conditionalFormatting sqref="B8:W8">
    <cfRule type="top10" dxfId="1" priority="13" percent="1" rank="10"/>
  </conditionalFormatting>
  <conditionalFormatting sqref="B10:W10">
    <cfRule type="top10" priority="14" rank="10"/>
  </conditionalFormatting>
  <conditionalFormatting sqref="B11:W11">
    <cfRule type="cellIs" dxfId="0" priority="11" operator="greaterThan">
      <formula>0.1</formula>
    </cfRule>
  </conditionalFormatting>
  <conditionalFormatting sqref="C13:P13">
    <cfRule type="iconSet" priority="16">
      <iconSet iconSet="3Arrows">
        <cfvo type="percent" val="0"/>
        <cfvo type="percent" val="33"/>
        <cfvo type="percent" val="67"/>
      </iconSet>
    </cfRule>
  </conditionalFormatting>
  <conditionalFormatting sqref="C12:W12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H12:S12 H13:O13 C12:G13">
    <cfRule type="iconSet" priority="15">
      <iconSet iconSet="3Arrows">
        <cfvo type="percent" val="0"/>
        <cfvo type="percent" val="33"/>
        <cfvo type="percent" val="67"/>
      </iconSet>
    </cfRule>
  </conditionalFormatting>
  <conditionalFormatting sqref="P13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P12:W12">
    <cfRule type="iconSet" priority="10">
      <iconSet iconSet="3Arrows">
        <cfvo type="percent" val="0"/>
        <cfvo type="percent" val="33"/>
        <cfvo type="percent" val="67"/>
      </iconSet>
    </cfRule>
  </conditionalFormatting>
  <conditionalFormatting sqref="Q13">
    <cfRule type="iconSet" priority="7">
      <iconSet iconSet="3Arrows">
        <cfvo type="percent" val="0"/>
        <cfvo type="percent" val="33"/>
        <cfvo type="percent" val="67"/>
      </iconSet>
    </cfRule>
    <cfRule type="iconSet" priority="8">
      <iconSet iconSet="3Arrows">
        <cfvo type="percent" val="0"/>
        <cfvo type="percent" val="33"/>
        <cfvo type="percent" val="67"/>
      </iconSet>
    </cfRule>
  </conditionalFormatting>
  <conditionalFormatting sqref="R13">
    <cfRule type="iconSet" priority="5">
      <iconSet iconSet="3Arrows">
        <cfvo type="percent" val="0"/>
        <cfvo type="percent" val="33"/>
        <cfvo type="percent" val="67"/>
      </iconSet>
    </cfRule>
    <cfRule type="iconSet" priority="6">
      <iconSet iconSet="3Arrows">
        <cfvo type="percent" val="0"/>
        <cfvo type="percent" val="33"/>
        <cfvo type="percent" val="67"/>
      </iconSet>
    </cfRule>
  </conditionalFormatting>
  <conditionalFormatting sqref="S13">
    <cfRule type="iconSet" priority="3">
      <iconSet iconSet="3Arrows">
        <cfvo type="percent" val="0"/>
        <cfvo type="percent" val="33"/>
        <cfvo type="percent" val="67"/>
      </iconSet>
    </cfRule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T13:W13">
    <cfRule type="iconSet" priority="1">
      <iconSet iconSet="3Arrows">
        <cfvo type="percent" val="0"/>
        <cfvo type="percent" val="33"/>
        <cfvo type="percent" val="67"/>
      </iconSet>
    </cfRule>
    <cfRule type="iconSet" priority="2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기업 정보</vt:lpstr>
      <vt:lpstr>영업이익 DATA</vt:lpstr>
      <vt:lpstr>빨간줄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임지후[ 학부재학 / 수학과 ]</cp:lastModifiedBy>
  <dcterms:created xsi:type="dcterms:W3CDTF">2026-01-26T06:44:20Z</dcterms:created>
  <dcterms:modified xsi:type="dcterms:W3CDTF">2026-01-27T00:41:31Z</dcterms:modified>
</cp:coreProperties>
</file>