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63578065-F9C3-40A7-86F6-F1A171CF39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Income'!$B$2:$AA$174</definedName>
    <definedName name="_xlnm._FilterDatabase" localSheetId="1" hidden="1">Revenue!$B$2:$AA$174</definedName>
    <definedName name="_xlnm._FilterDatabase" localSheetId="0" hidden="1">기업리스트!$B$3:$G$271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4" l="1"/>
  <c r="R7" i="4"/>
  <c r="Q7" i="4"/>
  <c r="P7" i="4"/>
  <c r="O7" i="4"/>
  <c r="S14" i="4" s="1"/>
  <c r="N7" i="4"/>
  <c r="M7" i="4"/>
  <c r="L7" i="4"/>
  <c r="K7" i="4"/>
  <c r="J7" i="4"/>
  <c r="I7" i="4"/>
  <c r="H7" i="4"/>
  <c r="G7" i="4"/>
  <c r="F7" i="4"/>
  <c r="E7" i="4"/>
  <c r="D7" i="4"/>
  <c r="C7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H10" i="4" l="1"/>
  <c r="Q10" i="4"/>
  <c r="G10" i="4"/>
  <c r="S10" i="4"/>
  <c r="I14" i="4"/>
  <c r="N14" i="4"/>
  <c r="P14" i="4"/>
  <c r="O9" i="4"/>
  <c r="R13" i="4"/>
  <c r="R10" i="4"/>
  <c r="Q13" i="4"/>
  <c r="I10" i="4"/>
  <c r="O12" i="4"/>
  <c r="L9" i="4"/>
  <c r="Q14" i="4"/>
  <c r="S13" i="4"/>
  <c r="N9" i="4"/>
  <c r="J14" i="4"/>
  <c r="J10" i="4"/>
  <c r="M9" i="4"/>
  <c r="M12" i="4"/>
  <c r="R14" i="4"/>
  <c r="G14" i="4"/>
  <c r="H14" i="4"/>
  <c r="K14" i="4"/>
  <c r="L14" i="4"/>
  <c r="H13" i="4"/>
  <c r="Q9" i="4"/>
  <c r="M14" i="4"/>
  <c r="E9" i="4"/>
  <c r="C12" i="4"/>
  <c r="C9" i="4"/>
  <c r="D9" i="4"/>
  <c r="P9" i="4"/>
  <c r="K10" i="4"/>
  <c r="N12" i="4"/>
  <c r="I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J13" i="4"/>
  <c r="J9" i="4"/>
  <c r="E10" i="4"/>
  <c r="H12" i="4"/>
  <c r="C13" i="4"/>
  <c r="O13" i="4"/>
  <c r="K9" i="4"/>
  <c r="F10" i="4"/>
  <c r="I12" i="4"/>
  <c r="D13" i="4"/>
  <c r="P13" i="4"/>
  <c r="O14" i="4"/>
  <c r="L10" i="4"/>
  <c r="J12" i="4"/>
  <c r="E13" i="4"/>
  <c r="K12" i="4"/>
  <c r="F13" i="4"/>
  <c r="L12" i="4"/>
  <c r="G13" i="4"/>
  <c r="P11" i="4" l="1"/>
  <c r="I11" i="4"/>
  <c r="N11" i="4"/>
  <c r="O11" i="4"/>
  <c r="M11" i="4"/>
  <c r="H11" i="4"/>
  <c r="J11" i="4"/>
  <c r="R11" i="4"/>
  <c r="F11" i="4"/>
  <c r="D11" i="4"/>
  <c r="S11" i="4"/>
  <c r="K11" i="4"/>
  <c r="G11" i="4"/>
  <c r="Q11" i="4"/>
  <c r="L11" i="4"/>
  <c r="E11" i="4"/>
  <c r="D147" i="3" l="1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</calcChain>
</file>

<file path=xl/sharedStrings.xml><?xml version="1.0" encoding="utf-8"?>
<sst xmlns="http://schemas.openxmlformats.org/spreadsheetml/2006/main" count="2293" uniqueCount="594">
  <si>
    <t>실적 기업 정보</t>
  </si>
  <si>
    <t>Ticker</t>
  </si>
  <si>
    <t>Company</t>
  </si>
  <si>
    <t>Date</t>
  </si>
  <si>
    <t>Time</t>
  </si>
  <si>
    <t>Quarter Ending</t>
  </si>
  <si>
    <t>Market Cap (mil$)</t>
  </si>
  <si>
    <t>KO</t>
  </si>
  <si>
    <t>The Coca-Cola Company</t>
  </si>
  <si>
    <t>10-Feb-26</t>
  </si>
  <si>
    <t>Dec-25</t>
  </si>
  <si>
    <t>AZN</t>
  </si>
  <si>
    <t>AstraZeneca PLC</t>
  </si>
  <si>
    <t>Pre Market</t>
  </si>
  <si>
    <t>GILD</t>
  </si>
  <si>
    <t>Gilead Sciences, Inc.</t>
  </si>
  <si>
    <t>After Hours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</si>
  <si>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</si>
  <si>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</si>
  <si>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</si>
  <si>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</si>
  <si>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</si>
  <si>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</si>
  <si>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</si>
  <si>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</si>
  <si>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</si>
  <si>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</si>
  <si>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</si>
  <si>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</si>
  <si>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</si>
  <si>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</si>
  <si>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</si>
  <si>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</si>
  <si>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</si>
  <si>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</si>
  <si>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</si>
  <si>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</si>
  <si>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</si>
  <si>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</si>
  <si>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</si>
  <si>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</si>
  <si>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</si>
  <si>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</si>
  <si>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</si>
  <si>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</si>
  <si>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</si>
  <si>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</si>
  <si>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</si>
  <si>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</si>
  <si>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</si>
  <si>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</si>
  <si>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</si>
  <si>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</si>
  <si>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</si>
  <si>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</si>
  <si>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</si>
  <si>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</si>
  <si>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</si>
  <si>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</si>
  <si>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</si>
  <si>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</si>
  <si>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</si>
  <si>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</si>
  <si>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</si>
  <si>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</si>
  <si>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</si>
  <si>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</si>
  <si>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</si>
  <si>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</si>
  <si>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</si>
  <si>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</si>
  <si>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</si>
  <si>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</si>
  <si>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</si>
  <si>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</si>
  <si>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</si>
  <si>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</si>
  <si>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</si>
  <si>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</si>
  <si>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</si>
  <si>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</si>
  <si>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</si>
  <si>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</si>
  <si>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</si>
  <si>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</si>
  <si>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</si>
  <si>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</si>
  <si>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</si>
  <si>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</si>
  <si>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</si>
  <si>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</si>
  <si>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</si>
  <si>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</si>
  <si>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</si>
  <si>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</si>
  <si>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</si>
  <si>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</si>
  <si>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</si>
  <si>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</si>
  <si>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</si>
  <si>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</si>
  <si>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</si>
  <si>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</si>
  <si>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</si>
  <si>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</si>
  <si>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OMC</t>
  </si>
  <si>
    <t>Omnicom Group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</si>
  <si>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</si>
  <si>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</si>
  <si>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</si>
  <si>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</si>
  <si>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</si>
  <si>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</si>
  <si>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</si>
  <si>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</si>
  <si>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</si>
  <si>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</si>
  <si>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</si>
  <si>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</si>
  <si>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</si>
  <si>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</si>
  <si>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</si>
  <si>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</si>
  <si>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</si>
  <si>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</si>
  <si>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</si>
  <si>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</si>
  <si>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</si>
  <si>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</si>
  <si>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</si>
  <si>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</si>
  <si>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</si>
  <si>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</si>
  <si>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</si>
  <si>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</si>
  <si>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</si>
  <si>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</si>
  <si>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</si>
  <si>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</si>
  <si>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</si>
  <si>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</si>
  <si>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</si>
  <si>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</si>
  <si>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</si>
  <si>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</si>
  <si>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</si>
  <si>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</si>
  <si>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</si>
  <si>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</si>
  <si>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</si>
  <si>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</si>
  <si>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</si>
  <si>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</si>
  <si>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</si>
  <si>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</si>
  <si>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</si>
  <si>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</si>
  <si>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</si>
  <si>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</si>
  <si>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</si>
  <si>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</si>
  <si>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</si>
  <si>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</si>
  <si>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</si>
  <si>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</si>
  <si>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</si>
  <si>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</si>
  <si>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</si>
  <si>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</si>
  <si>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</si>
  <si>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</si>
  <si>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</si>
  <si>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</si>
  <si>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</si>
  <si>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</si>
  <si>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</si>
  <si>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</si>
  <si>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</si>
  <si>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</si>
  <si>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</si>
  <si>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</si>
  <si>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</si>
  <si>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</si>
  <si>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</si>
  <si>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</si>
  <si>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</si>
  <si>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</si>
  <si>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</si>
  <si>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</si>
  <si>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</si>
  <si>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</si>
  <si>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</si>
  <si>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</si>
  <si>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</si>
  <si>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</si>
  <si>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</si>
  <si>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</si>
  <si>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</si>
  <si>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</si>
  <si>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</si>
  <si>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</si>
  <si>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</si>
  <si>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</si>
  <si>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</si>
  <si>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</si>
  <si>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</si>
  <si>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</si>
  <si>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</si>
  <si>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</si>
  <si>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</si>
  <si>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</si>
  <si>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</si>
  <si>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</si>
  <si>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</si>
  <si>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</si>
  <si>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</si>
  <si>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</si>
  <si>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</si>
  <si>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</si>
  <si>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</si>
  <si>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</si>
  <si>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</si>
  <si>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</si>
  <si>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</si>
  <si>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</si>
  <si>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</si>
  <si>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</si>
  <si>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</si>
  <si>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</si>
  <si>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</si>
  <si>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</si>
  <si>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</si>
  <si>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</si>
  <si>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</si>
  <si>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</si>
  <si>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</si>
  <si>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</si>
  <si>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</si>
  <si>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</si>
  <si>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</si>
  <si>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</si>
  <si>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</si>
  <si>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</si>
  <si>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</si>
  <si>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</si>
  <si>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</si>
  <si>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</si>
  <si>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</si>
  <si>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</si>
  <si>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</si>
  <si>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</si>
  <si>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</si>
  <si>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</si>
  <si>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</si>
  <si>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</si>
  <si>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</si>
  <si>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</si>
  <si>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</si>
  <si>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</si>
  <si>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</si>
  <si>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</si>
  <si>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</si>
  <si>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</si>
  <si>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</si>
  <si>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</si>
  <si>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</si>
  <si>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</si>
  <si>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</si>
  <si>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</si>
  <si>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</si>
  <si>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</si>
  <si>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</si>
  <si>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</si>
  <si>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</si>
  <si>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</si>
  <si>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</si>
  <si>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</si>
  <si>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</si>
  <si>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</si>
  <si>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</si>
  <si>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</si>
  <si>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</si>
  <si>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</si>
  <si>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</si>
  <si>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</si>
  <si>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</si>
  <si>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</si>
  <si>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</si>
  <si>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</si>
  <si>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</si>
  <si>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</si>
  <si>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</si>
  <si>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</si>
  <si>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</si>
  <si>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</si>
  <si>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</si>
  <si>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</si>
  <si>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</si>
  <si>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</si>
  <si>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</si>
  <si>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</si>
  <si>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</si>
  <si>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</si>
  <si>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</si>
  <si>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</si>
  <si>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</si>
  <si>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</si>
  <si>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</si>
  <si>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</si>
  <si>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</si>
  <si>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</si>
  <si>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</si>
  <si>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</si>
  <si>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</si>
  <si>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</si>
  <si>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</si>
  <si>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</si>
  <si>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</si>
  <si>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</si>
  <si>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</si>
  <si>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</si>
  <si>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</si>
  <si>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</si>
  <si>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</si>
  <si>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</si>
  <si>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</si>
  <si>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</si>
  <si>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</si>
  <si>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</si>
  <si>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</si>
  <si>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</si>
  <si>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</si>
  <si>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</si>
  <si>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</si>
  <si>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Parade Technologies, Ltd.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</si>
  <si>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</si>
  <si>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</si>
  <si>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</si>
  <si>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</si>
  <si>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</si>
  <si>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</si>
  <si>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</si>
  <si>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</si>
  <si>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</si>
  <si>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</si>
  <si>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</si>
  <si>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</si>
  <si>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</si>
  <si>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</si>
  <si>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</si>
  <si>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</si>
  <si>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</si>
  <si>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</si>
  <si>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</si>
  <si>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</si>
  <si>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</si>
  <si>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</si>
  <si>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</si>
  <si>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</si>
  <si>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</si>
  <si>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</si>
  <si>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</si>
  <si>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</si>
  <si>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</si>
  <si>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</si>
  <si>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</si>
  <si>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</si>
  <si>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</si>
  <si>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The Ogaki Kyoritsu Bank, Ltd.</t>
  </si>
  <si>
    <t>BOLSA A</t>
  </si>
  <si>
    <t>Bolsa Mexicana de Valores, S.A.B. de C.V.</t>
  </si>
  <si>
    <t>MERY</t>
  </si>
  <si>
    <t>Mercialys SA</t>
  </si>
  <si>
    <t>AMS</t>
  </si>
  <si>
    <t>ams-OSRAM AG</t>
  </si>
  <si>
    <t>SSII</t>
  </si>
  <si>
    <t>SS Innovations International, Inc.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</si>
  <si>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</si>
  <si>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</si>
  <si>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</si>
  <si>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</si>
  <si>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</si>
  <si>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</si>
  <si>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</si>
  <si>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</si>
  <si>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</si>
  <si>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</si>
  <si>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</si>
  <si>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Sk Kaken Co.,Ltd.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</si>
  <si>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</si>
  <si>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</si>
  <si>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</si>
  <si>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</si>
  <si>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</si>
  <si>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</si>
  <si>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</si>
  <si>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</si>
  <si>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</si>
  <si>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</si>
  <si>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</si>
  <si>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</si>
  <si>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</si>
  <si>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</si>
  <si>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</si>
  <si>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</si>
  <si>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</si>
  <si>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</si>
  <si>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</si>
  <si>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</si>
  <si>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</si>
  <si>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</si>
  <si>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</si>
  <si>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</si>
  <si>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</si>
  <si>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</si>
  <si>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Genus Power Infrastructures Limited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</si>
  <si>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</si>
  <si>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</si>
  <si>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</si>
  <si>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</si>
  <si>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</si>
  <si>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</si>
  <si>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</si>
  <si>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</si>
  <si>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</si>
  <si>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</si>
  <si>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</si>
  <si>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</si>
  <si>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</si>
  <si>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</si>
  <si>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</si>
  <si>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</si>
  <si>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</si>
  <si>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</si>
  <si>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</si>
  <si>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</si>
  <si>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</si>
  <si>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</si>
  <si>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Arata Corporation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</si>
  <si>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</si>
  <si>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</si>
  <si>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</si>
  <si>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</si>
  <si>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</si>
  <si>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</si>
  <si>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</si>
  <si>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</si>
  <si>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</si>
  <si>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</si>
  <si>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</si>
  <si>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</si>
  <si>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</si>
  <si>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</si>
  <si>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</si>
  <si>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</si>
  <si>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</si>
  <si>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</si>
  <si>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</si>
  <si>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</si>
  <si>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</si>
  <si>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</si>
  <si>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</si>
  <si>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PGC</t>
  </si>
  <si>
    <t>Peapack-Gladstone Financial Corporation</t>
  </si>
  <si>
    <t>Nirlon Limited</t>
  </si>
  <si>
    <t>ITAB</t>
  </si>
  <si>
    <t>ITAB Shop Concept AB (publ)</t>
  </si>
  <si>
    <t>Press Kogyo Co., Ltd.</t>
  </si>
  <si>
    <t>A067160</t>
  </si>
  <si>
    <t>Soop Co., Ltd.</t>
  </si>
  <si>
    <t>Sato Corporation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</si>
  <si>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</si>
  <si>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</si>
  <si>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</si>
  <si>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</si>
  <si>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</si>
  <si>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</si>
  <si>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</si>
  <si>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</si>
  <si>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</si>
  <si>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</si>
  <si>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</si>
  <si>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</si>
  <si>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</si>
  <si>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</si>
  <si>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</si>
  <si>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</si>
  <si>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</si>
  <si>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</si>
  <si>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</si>
  <si>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</si>
  <si>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</si>
  <si>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</si>
  <si>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Luxury Goods</t>
  </si>
  <si>
    <t>Jun'26</t>
  </si>
  <si>
    <t>Semiconductors</t>
  </si>
  <si>
    <t>Dec'25</t>
  </si>
  <si>
    <t>Communication Equipment</t>
  </si>
  <si>
    <t>Health Information Services</t>
  </si>
  <si>
    <t>REIT - Healthcare Facilities</t>
  </si>
  <si>
    <t>Internet Retail</t>
  </si>
  <si>
    <t>Leisure</t>
  </si>
  <si>
    <t>Banks - Diversified</t>
  </si>
  <si>
    <t>Software - Infrastructure</t>
  </si>
  <si>
    <t>Building Materials</t>
  </si>
  <si>
    <t>Sep'26</t>
  </si>
  <si>
    <t>Software - Application</t>
  </si>
  <si>
    <t>Biotechnology</t>
  </si>
  <si>
    <t>Capital Markets</t>
  </si>
  <si>
    <t>REIT - Retail</t>
  </si>
  <si>
    <t>Electrical Equipment &amp; Parts</t>
  </si>
  <si>
    <t>Medical Devices</t>
  </si>
  <si>
    <t>Internet Content &amp; Information</t>
  </si>
  <si>
    <t>Healthcare Plans</t>
  </si>
  <si>
    <t>Lodging</t>
  </si>
  <si>
    <t>Utilities - Regulated Electric</t>
  </si>
  <si>
    <t>Specialty Industrial Machinery</t>
  </si>
  <si>
    <t>Industrial Distribution</t>
  </si>
  <si>
    <t>REIT - Diversified</t>
  </si>
  <si>
    <t>Insurance - Property &amp; Casualty</t>
  </si>
  <si>
    <t>Financial Data &amp; Stock Exchanges</t>
  </si>
  <si>
    <t>Oil &amp; Gas Midstream</t>
  </si>
  <si>
    <t>Insurance - Specialty</t>
  </si>
  <si>
    <t>Integrated Freight &amp; Logistics</t>
  </si>
  <si>
    <t>Electronic Components</t>
  </si>
  <si>
    <t>Diagnostics &amp; Research</t>
  </si>
  <si>
    <t>Specialty Business Services</t>
  </si>
  <si>
    <t>Mar'26</t>
  </si>
  <si>
    <t>Specialty Chemicals</t>
  </si>
  <si>
    <t>Drug Manufacturers - General</t>
  </si>
  <si>
    <t>Rental &amp; Leasing Services</t>
  </si>
  <si>
    <t>Auto Manufacturers</t>
  </si>
  <si>
    <t>Resorts &amp; Casinos</t>
  </si>
  <si>
    <t>Beverages - Non-Alcoholic</t>
  </si>
  <si>
    <t>REIT - Office</t>
  </si>
  <si>
    <t>N/A</t>
  </si>
  <si>
    <t>Building Products &amp; Equipment</t>
  </si>
  <si>
    <t>Trucking</t>
  </si>
  <si>
    <t>Scientific &amp; Technical Instruments</t>
  </si>
  <si>
    <t>Packaging &amp; Containers</t>
  </si>
  <si>
    <t>Semiconductor Equipment &amp; Materials</t>
  </si>
  <si>
    <t>Uranium</t>
  </si>
  <si>
    <t>Insurance - Diversified</t>
  </si>
  <si>
    <t>Utilities - Renewable</t>
  </si>
  <si>
    <t>Recreational Vehicles</t>
  </si>
  <si>
    <t>Japan</t>
  </si>
  <si>
    <t>Unknown</t>
  </si>
  <si>
    <t>India</t>
  </si>
  <si>
    <t>Sweden</t>
  </si>
  <si>
    <t>Gold</t>
  </si>
  <si>
    <t>Sep'25</t>
  </si>
  <si>
    <t>Credit Services</t>
  </si>
  <si>
    <t>Asset Management</t>
  </si>
  <si>
    <t>H1 2025</t>
  </si>
  <si>
    <t>Medical Instruments &amp; Supplies</t>
  </si>
  <si>
    <t>Information Technology Services</t>
  </si>
  <si>
    <t>Advertising Agencies</t>
  </si>
  <si>
    <t>Staffing &amp; Employment Services</t>
  </si>
  <si>
    <t>Medical Care Facilities</t>
  </si>
  <si>
    <t>Furnishings, Fixtures &amp; Appliances</t>
  </si>
  <si>
    <t>REIT - Mortgage</t>
  </si>
  <si>
    <t>Telecom Services</t>
  </si>
  <si>
    <t>Insurance - Life</t>
  </si>
  <si>
    <t>Auto Parts</t>
  </si>
  <si>
    <t>Coking Coal</t>
  </si>
  <si>
    <t>France</t>
  </si>
  <si>
    <t>Broadcasting</t>
  </si>
  <si>
    <t>TTM</t>
  </si>
  <si>
    <t>opm</t>
  </si>
  <si>
    <t>EDELWEISS</t>
    <phoneticPr fontId="5" type="noConversion"/>
  </si>
  <si>
    <t>RAJESHEXPO</t>
    <phoneticPr fontId="5" type="noConversion"/>
  </si>
  <si>
    <t>ESCORTS</t>
    <phoneticPr fontId="5" type="noConversion"/>
  </si>
  <si>
    <t>APOLLOHOSP</t>
    <phoneticPr fontId="5" type="noConversion"/>
  </si>
  <si>
    <t>COHANCE</t>
    <phoneticPr fontId="5" type="noConversion"/>
  </si>
  <si>
    <t>(단위: mil $)</t>
    <phoneticPr fontId="5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</si>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</sst>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8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3" borderId="0" xfId="0" applyNumberFormat="1" applyFont="1" applyFill="1"/>
    <xf numFmtId="177" fontId="3" fillId="3" borderId="1" xfId="0" applyNumberFormat="1" applyFont="1" applyFill="1" applyBorder="1"/>
    <xf numFmtId="177" fontId="3" fillId="0" borderId="0" xfId="0" applyNumberFormat="1" applyFont="1"/>
    <xf numFmtId="0" fontId="3" fillId="0" borderId="1" xfId="0" applyFont="1" applyBorder="1"/>
    <xf numFmtId="0" fontId="2" fillId="0" borderId="0" xfId="0" applyFont="1"/>
    <xf numFmtId="176" fontId="2" fillId="4" borderId="0" xfId="0" applyNumberFormat="1" applyFont="1" applyFill="1"/>
    <xf numFmtId="0" fontId="3" fillId="0" borderId="2" xfId="0" applyFont="1" applyBorder="1"/>
    <xf numFmtId="176" fontId="3" fillId="0" borderId="2" xfId="0" applyNumberFormat="1" applyFont="1" applyBorder="1"/>
    <xf numFmtId="177" fontId="3" fillId="0" borderId="3" xfId="0" applyNumberFormat="1" applyFont="1" applyBorder="1"/>
    <xf numFmtId="177" fontId="3" fillId="0" borderId="2" xfId="0" applyNumberFormat="1" applyFont="1" applyBorder="1"/>
    <xf numFmtId="0" fontId="6" fillId="0" borderId="0" xfId="0" applyFont="1"/>
    <xf numFmtId="0" fontId="2" fillId="0" borderId="2" xfId="0" applyFont="1" applyBorder="1"/>
    <xf numFmtId="0" fontId="2" fillId="0" borderId="4" xfId="0" applyFont="1" applyBorder="1"/>
    <xf numFmtId="0" fontId="3" fillId="0" borderId="4" xfId="0" applyFont="1" applyBorder="1"/>
    <xf numFmtId="176" fontId="3" fillId="0" borderId="4" xfId="0" applyNumberFormat="1" applyFont="1" applyBorder="1"/>
    <xf numFmtId="177" fontId="3" fillId="0" borderId="5" xfId="0" applyNumberFormat="1" applyFont="1" applyBorder="1"/>
    <xf numFmtId="177" fontId="3" fillId="0" borderId="4" xfId="0" applyNumberFormat="1" applyFont="1" applyBorder="1"/>
    <xf numFmtId="0" fontId="2" fillId="2" borderId="6" xfId="0" applyFont="1" applyFill="1" applyBorder="1" applyAlignment="1">
      <alignment horizontal="center"/>
    </xf>
    <xf numFmtId="178" fontId="3" fillId="0" borderId="0" xfId="0" applyNumberFormat="1" applyFont="1"/>
    <xf numFmtId="178" fontId="3" fillId="3" borderId="0" xfId="0" applyNumberFormat="1" applyFont="1" applyFill="1"/>
    <xf numFmtId="178" fontId="3" fillId="0" borderId="2" xfId="0" applyNumberFormat="1" applyFont="1" applyBorder="1"/>
    <xf numFmtId="178" fontId="3" fillId="3" borderId="2" xfId="0" applyNumberFormat="1" applyFont="1" applyFill="1" applyBorder="1"/>
    <xf numFmtId="177" fontId="3" fillId="3" borderId="2" xfId="0" applyNumberFormat="1" applyFont="1" applyFill="1" applyBorder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7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7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7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7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7" xfId="1" applyFont="1" applyBorder="1">
      <alignment vertical="center"/>
    </xf>
    <xf numFmtId="178" fontId="3" fillId="0" borderId="4" xfId="0" applyNumberFormat="1" applyFont="1" applyBorder="1"/>
  </cellXfs>
  <cellStyles count="2">
    <cellStyle name="백분율" xfId="1" builtinId="5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1"/>
  <sheetViews>
    <sheetView workbookViewId="0">
      <selection activeCell="H17" sqref="H17"/>
    </sheetView>
  </sheetViews>
  <sheetFormatPr defaultRowHeight="16.5" x14ac:dyDescent="0.3"/>
  <cols>
    <col min="1" max="1" width="3" customWidth="1"/>
    <col min="2" max="2" width="12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3" t="s">
        <v>7</v>
      </c>
      <c r="C4" s="3" t="s">
        <v>8</v>
      </c>
      <c r="D4" s="3" t="s">
        <v>9</v>
      </c>
      <c r="E4" s="3"/>
      <c r="F4" s="3" t="s">
        <v>10</v>
      </c>
      <c r="G4" s="4">
        <v>339956</v>
      </c>
    </row>
    <row r="5" spans="2:7" x14ac:dyDescent="0.3">
      <c r="B5" s="3" t="s">
        <v>11</v>
      </c>
      <c r="C5" s="3" t="s">
        <v>12</v>
      </c>
      <c r="D5" s="3" t="s">
        <v>9</v>
      </c>
      <c r="E5" s="3" t="s">
        <v>13</v>
      </c>
      <c r="F5" s="3" t="s">
        <v>10</v>
      </c>
      <c r="G5" s="4">
        <v>297912</v>
      </c>
    </row>
    <row r="6" spans="2:7" x14ac:dyDescent="0.3">
      <c r="B6" s="3" t="s">
        <v>14</v>
      </c>
      <c r="C6" s="3" t="s">
        <v>15</v>
      </c>
      <c r="D6" s="3" t="s">
        <v>9</v>
      </c>
      <c r="E6" s="3" t="s">
        <v>16</v>
      </c>
      <c r="F6" s="3" t="s">
        <v>10</v>
      </c>
      <c r="G6" s="4">
        <v>189204</v>
      </c>
    </row>
    <row r="7" spans="2:7" x14ac:dyDescent="0.3">
      <c r="B7" s="3" t="s">
        <v>17</v>
      </c>
      <c r="C7" s="3" t="s">
        <v>18</v>
      </c>
      <c r="D7" s="3" t="s">
        <v>9</v>
      </c>
      <c r="E7" s="3"/>
      <c r="F7" s="3" t="s">
        <v>10</v>
      </c>
      <c r="G7" s="4">
        <v>184874</v>
      </c>
    </row>
    <row r="8" spans="2:7" x14ac:dyDescent="0.3">
      <c r="B8" s="3" t="s">
        <v>19</v>
      </c>
      <c r="C8" s="3" t="s">
        <v>20</v>
      </c>
      <c r="D8" s="3" t="s">
        <v>9</v>
      </c>
      <c r="E8" s="3" t="s">
        <v>16</v>
      </c>
      <c r="F8" s="3" t="s">
        <v>10</v>
      </c>
      <c r="G8" s="4">
        <v>134465</v>
      </c>
    </row>
    <row r="9" spans="2:7" x14ac:dyDescent="0.3">
      <c r="B9" s="3" t="s">
        <v>21</v>
      </c>
      <c r="C9" s="3" t="s">
        <v>22</v>
      </c>
      <c r="D9" s="3" t="s">
        <v>9</v>
      </c>
      <c r="E9" s="3" t="s">
        <v>13</v>
      </c>
      <c r="F9" s="3" t="s">
        <v>10</v>
      </c>
      <c r="G9" s="4">
        <v>133014</v>
      </c>
    </row>
    <row r="10" spans="2:7" x14ac:dyDescent="0.3">
      <c r="B10" s="3" t="s">
        <v>23</v>
      </c>
      <c r="C10" s="3" t="s">
        <v>24</v>
      </c>
      <c r="D10" s="3" t="s">
        <v>9</v>
      </c>
      <c r="E10" s="3" t="s">
        <v>13</v>
      </c>
      <c r="F10" s="3" t="s">
        <v>10</v>
      </c>
      <c r="G10" s="4">
        <v>100065</v>
      </c>
    </row>
    <row r="11" spans="2:7" x14ac:dyDescent="0.3">
      <c r="B11" s="3" t="s">
        <v>25</v>
      </c>
      <c r="C11" s="3" t="s">
        <v>26</v>
      </c>
      <c r="D11" s="3" t="s">
        <v>9</v>
      </c>
      <c r="E11" s="3" t="s">
        <v>13</v>
      </c>
      <c r="F11" s="3" t="s">
        <v>10</v>
      </c>
      <c r="G11" s="4">
        <v>99460.04</v>
      </c>
    </row>
    <row r="12" spans="2:7" x14ac:dyDescent="0.3">
      <c r="B12" s="3" t="s">
        <v>27</v>
      </c>
      <c r="C12" s="3" t="s">
        <v>28</v>
      </c>
      <c r="D12" s="3" t="s">
        <v>9</v>
      </c>
      <c r="E12" s="3" t="s">
        <v>13</v>
      </c>
      <c r="F12" s="3" t="s">
        <v>10</v>
      </c>
      <c r="G12" s="4">
        <v>94765.8</v>
      </c>
    </row>
    <row r="13" spans="2:7" x14ac:dyDescent="0.3">
      <c r="B13" s="3" t="s">
        <v>29</v>
      </c>
      <c r="C13" s="3" t="s">
        <v>30</v>
      </c>
      <c r="D13" s="3" t="s">
        <v>9</v>
      </c>
      <c r="E13" s="3" t="s">
        <v>13</v>
      </c>
      <c r="F13" s="3" t="s">
        <v>10</v>
      </c>
      <c r="G13" s="4">
        <v>90043.26</v>
      </c>
    </row>
    <row r="14" spans="2:7" x14ac:dyDescent="0.3">
      <c r="B14" s="3" t="s">
        <v>31</v>
      </c>
      <c r="C14" s="3" t="s">
        <v>32</v>
      </c>
      <c r="D14" s="3" t="s">
        <v>9</v>
      </c>
      <c r="E14" s="3"/>
      <c r="F14" s="3" t="s">
        <v>10</v>
      </c>
      <c r="G14" s="4">
        <v>89425.55</v>
      </c>
    </row>
    <row r="15" spans="2:7" x14ac:dyDescent="0.3">
      <c r="B15" s="3" t="s">
        <v>33</v>
      </c>
      <c r="C15" s="3" t="s">
        <v>34</v>
      </c>
      <c r="D15" s="3" t="s">
        <v>9</v>
      </c>
      <c r="E15" s="3" t="s">
        <v>13</v>
      </c>
      <c r="F15" s="3" t="s">
        <v>10</v>
      </c>
      <c r="G15" s="4">
        <v>87093.04</v>
      </c>
    </row>
    <row r="16" spans="2:7" x14ac:dyDescent="0.3">
      <c r="B16" s="3">
        <v>981</v>
      </c>
      <c r="C16" s="3" t="s">
        <v>35</v>
      </c>
      <c r="D16" s="3" t="s">
        <v>9</v>
      </c>
      <c r="E16" s="3"/>
      <c r="F16" s="3" t="s">
        <v>10</v>
      </c>
      <c r="G16" s="4">
        <v>84427.93</v>
      </c>
    </row>
    <row r="17" spans="2:7" x14ac:dyDescent="0.3">
      <c r="B17" s="3" t="s">
        <v>36</v>
      </c>
      <c r="C17" s="3" t="s">
        <v>37</v>
      </c>
      <c r="D17" s="3" t="s">
        <v>9</v>
      </c>
      <c r="E17" s="3" t="s">
        <v>13</v>
      </c>
      <c r="F17" s="3" t="s">
        <v>10</v>
      </c>
      <c r="G17" s="4">
        <v>82231.81</v>
      </c>
    </row>
    <row r="18" spans="2:7" x14ac:dyDescent="0.3">
      <c r="B18" s="3" t="s">
        <v>38</v>
      </c>
      <c r="C18" s="3" t="s">
        <v>39</v>
      </c>
      <c r="D18" s="3" t="s">
        <v>9</v>
      </c>
      <c r="E18" s="3"/>
      <c r="F18" s="3" t="s">
        <v>10</v>
      </c>
      <c r="G18" s="4">
        <v>81723.97</v>
      </c>
    </row>
    <row r="19" spans="2:7" x14ac:dyDescent="0.3">
      <c r="B19" s="3" t="s">
        <v>40</v>
      </c>
      <c r="C19" s="3" t="s">
        <v>41</v>
      </c>
      <c r="D19" s="3" t="s">
        <v>9</v>
      </c>
      <c r="E19" s="3" t="s">
        <v>16</v>
      </c>
      <c r="F19" s="3" t="s">
        <v>10</v>
      </c>
      <c r="G19" s="4">
        <v>74470.820000000007</v>
      </c>
    </row>
    <row r="20" spans="2:7" x14ac:dyDescent="0.3">
      <c r="B20" s="3" t="s">
        <v>42</v>
      </c>
      <c r="C20" s="3" t="s">
        <v>43</v>
      </c>
      <c r="D20" s="3" t="s">
        <v>9</v>
      </c>
      <c r="E20" s="3"/>
      <c r="F20" s="3" t="s">
        <v>10</v>
      </c>
      <c r="G20" s="4">
        <v>64854.89</v>
      </c>
    </row>
    <row r="21" spans="2:7" x14ac:dyDescent="0.3">
      <c r="B21" s="3" t="s">
        <v>44</v>
      </c>
      <c r="C21" s="3" t="s">
        <v>45</v>
      </c>
      <c r="D21" s="3" t="s">
        <v>9</v>
      </c>
      <c r="E21" s="3" t="s">
        <v>16</v>
      </c>
      <c r="F21" s="3" t="s">
        <v>10</v>
      </c>
      <c r="G21" s="4">
        <v>60672.2</v>
      </c>
    </row>
    <row r="22" spans="2:7" x14ac:dyDescent="0.3">
      <c r="B22" s="3" t="s">
        <v>46</v>
      </c>
      <c r="C22" s="3" t="s">
        <v>47</v>
      </c>
      <c r="D22" s="3" t="s">
        <v>9</v>
      </c>
      <c r="E22" s="3"/>
      <c r="F22" s="3" t="s">
        <v>10</v>
      </c>
      <c r="G22" s="4">
        <v>60543.31</v>
      </c>
    </row>
    <row r="23" spans="2:7" x14ac:dyDescent="0.3">
      <c r="B23" s="3" t="s">
        <v>48</v>
      </c>
      <c r="C23" s="3" t="s">
        <v>49</v>
      </c>
      <c r="D23" s="3" t="s">
        <v>9</v>
      </c>
      <c r="E23" s="3" t="s">
        <v>13</v>
      </c>
      <c r="F23" s="3" t="s">
        <v>10</v>
      </c>
      <c r="G23" s="4">
        <v>58826.2</v>
      </c>
    </row>
    <row r="24" spans="2:7" x14ac:dyDescent="0.3">
      <c r="B24" s="3" t="s">
        <v>50</v>
      </c>
      <c r="C24" s="3" t="s">
        <v>51</v>
      </c>
      <c r="D24" s="3" t="s">
        <v>9</v>
      </c>
      <c r="E24" s="3" t="s">
        <v>16</v>
      </c>
      <c r="F24" s="3" t="s">
        <v>10</v>
      </c>
      <c r="G24" s="4">
        <v>54986.080000000002</v>
      </c>
    </row>
    <row r="25" spans="2:7" x14ac:dyDescent="0.3">
      <c r="B25" s="3" t="s">
        <v>52</v>
      </c>
      <c r="C25" s="3" t="s">
        <v>53</v>
      </c>
      <c r="D25" s="3" t="s">
        <v>9</v>
      </c>
      <c r="E25" s="3" t="s">
        <v>16</v>
      </c>
      <c r="F25" s="3" t="s">
        <v>10</v>
      </c>
      <c r="G25" s="4">
        <v>45675.41</v>
      </c>
    </row>
    <row r="26" spans="2:7" x14ac:dyDescent="0.3">
      <c r="B26" s="3">
        <v>7267</v>
      </c>
      <c r="C26" s="3" t="s">
        <v>54</v>
      </c>
      <c r="D26" s="3" t="s">
        <v>9</v>
      </c>
      <c r="E26" s="3"/>
      <c r="F26" s="3" t="s">
        <v>10</v>
      </c>
      <c r="G26" s="4">
        <v>41922.519999999997</v>
      </c>
    </row>
    <row r="27" spans="2:7" x14ac:dyDescent="0.3">
      <c r="B27" s="3" t="s">
        <v>55</v>
      </c>
      <c r="C27" s="3" t="s">
        <v>56</v>
      </c>
      <c r="D27" s="3" t="s">
        <v>9</v>
      </c>
      <c r="E27" s="3" t="s">
        <v>16</v>
      </c>
      <c r="F27" s="3" t="s">
        <v>10</v>
      </c>
      <c r="G27" s="4">
        <v>41396.269999999997</v>
      </c>
    </row>
    <row r="28" spans="2:7" x14ac:dyDescent="0.3">
      <c r="B28" s="3">
        <v>500114</v>
      </c>
      <c r="C28" s="3" t="s">
        <v>57</v>
      </c>
      <c r="D28" s="3" t="s">
        <v>9</v>
      </c>
      <c r="E28" s="3"/>
      <c r="F28" s="3" t="s">
        <v>10</v>
      </c>
      <c r="G28" s="4">
        <v>40592.79</v>
      </c>
    </row>
    <row r="29" spans="2:7" x14ac:dyDescent="0.3">
      <c r="B29" s="3" t="s">
        <v>58</v>
      </c>
      <c r="C29" s="3" t="s">
        <v>59</v>
      </c>
      <c r="D29" s="3" t="s">
        <v>9</v>
      </c>
      <c r="E29" s="3" t="s">
        <v>13</v>
      </c>
      <c r="F29" s="3" t="s">
        <v>10</v>
      </c>
      <c r="G29" s="4">
        <v>39166.42</v>
      </c>
    </row>
    <row r="30" spans="2:7" x14ac:dyDescent="0.3">
      <c r="B30" s="3" t="s">
        <v>60</v>
      </c>
      <c r="C30" s="3" t="s">
        <v>61</v>
      </c>
      <c r="D30" s="3" t="s">
        <v>9</v>
      </c>
      <c r="E30" s="3"/>
      <c r="F30" s="3" t="s">
        <v>10</v>
      </c>
      <c r="G30" s="4">
        <v>38601.49</v>
      </c>
    </row>
    <row r="31" spans="2:7" x14ac:dyDescent="0.3">
      <c r="B31" s="3" t="s">
        <v>62</v>
      </c>
      <c r="C31" s="3" t="s">
        <v>63</v>
      </c>
      <c r="D31" s="3" t="s">
        <v>9</v>
      </c>
      <c r="E31" s="3"/>
      <c r="F31" s="3" t="s">
        <v>10</v>
      </c>
      <c r="G31" s="4">
        <v>37400.76</v>
      </c>
    </row>
    <row r="32" spans="2:7" x14ac:dyDescent="0.3">
      <c r="B32" s="3" t="s">
        <v>64</v>
      </c>
      <c r="C32" s="3" t="s">
        <v>65</v>
      </c>
      <c r="D32" s="3" t="s">
        <v>9</v>
      </c>
      <c r="E32" s="3" t="s">
        <v>13</v>
      </c>
      <c r="F32" s="3" t="s">
        <v>10</v>
      </c>
      <c r="G32" s="4">
        <v>34601.82</v>
      </c>
    </row>
    <row r="33" spans="2:7" x14ac:dyDescent="0.3">
      <c r="B33" s="3" t="s">
        <v>66</v>
      </c>
      <c r="C33" s="3" t="s">
        <v>67</v>
      </c>
      <c r="D33" s="3" t="s">
        <v>9</v>
      </c>
      <c r="E33" s="3"/>
      <c r="F33" s="3" t="s">
        <v>10</v>
      </c>
      <c r="G33" s="4">
        <v>33929.129999999997</v>
      </c>
    </row>
    <row r="34" spans="2:7" x14ac:dyDescent="0.3">
      <c r="B34" s="3" t="s">
        <v>68</v>
      </c>
      <c r="C34" s="3" t="s">
        <v>69</v>
      </c>
      <c r="D34" s="3" t="s">
        <v>9</v>
      </c>
      <c r="E34" s="3" t="s">
        <v>13</v>
      </c>
      <c r="F34" s="3" t="s">
        <v>10</v>
      </c>
      <c r="G34" s="4">
        <v>32271.11</v>
      </c>
    </row>
    <row r="35" spans="2:7" x14ac:dyDescent="0.3">
      <c r="B35" s="3" t="s">
        <v>70</v>
      </c>
      <c r="C35" s="3" t="s">
        <v>71</v>
      </c>
      <c r="D35" s="3" t="s">
        <v>9</v>
      </c>
      <c r="E35" s="3"/>
      <c r="F35" s="3" t="s">
        <v>10</v>
      </c>
      <c r="G35" s="4">
        <v>31085.71</v>
      </c>
    </row>
    <row r="36" spans="2:7" x14ac:dyDescent="0.3">
      <c r="B36" s="3" t="s">
        <v>72</v>
      </c>
      <c r="C36" s="3" t="s">
        <v>73</v>
      </c>
      <c r="D36" s="3" t="s">
        <v>9</v>
      </c>
      <c r="E36" s="3" t="s">
        <v>16</v>
      </c>
      <c r="F36" s="3" t="s">
        <v>10</v>
      </c>
      <c r="G36" s="4">
        <v>30740.46</v>
      </c>
    </row>
    <row r="37" spans="2:7" x14ac:dyDescent="0.3">
      <c r="B37" s="3" t="s">
        <v>74</v>
      </c>
      <c r="C37" s="3" t="s">
        <v>75</v>
      </c>
      <c r="D37" s="3" t="s">
        <v>9</v>
      </c>
      <c r="E37" s="3" t="s">
        <v>13</v>
      </c>
      <c r="F37" s="3" t="s">
        <v>10</v>
      </c>
      <c r="G37" s="4">
        <v>27869.45</v>
      </c>
    </row>
    <row r="38" spans="2:7" x14ac:dyDescent="0.3">
      <c r="B38" s="3" t="s">
        <v>76</v>
      </c>
      <c r="C38" s="3" t="s">
        <v>77</v>
      </c>
      <c r="D38" s="3" t="s">
        <v>9</v>
      </c>
      <c r="E38" s="3"/>
      <c r="F38" s="3" t="s">
        <v>10</v>
      </c>
      <c r="G38" s="4">
        <v>26891.99</v>
      </c>
    </row>
    <row r="39" spans="2:7" x14ac:dyDescent="0.3">
      <c r="B39" s="3" t="s">
        <v>78</v>
      </c>
      <c r="C39" s="3" t="s">
        <v>79</v>
      </c>
      <c r="D39" s="3" t="s">
        <v>9</v>
      </c>
      <c r="E39" s="3"/>
      <c r="F39" s="3" t="s">
        <v>10</v>
      </c>
      <c r="G39" s="4">
        <v>24272.74</v>
      </c>
    </row>
    <row r="40" spans="2:7" x14ac:dyDescent="0.3">
      <c r="B40" s="3" t="s">
        <v>80</v>
      </c>
      <c r="C40" s="3" t="s">
        <v>81</v>
      </c>
      <c r="D40" s="3" t="s">
        <v>9</v>
      </c>
      <c r="E40" s="3"/>
      <c r="F40" s="3" t="s">
        <v>10</v>
      </c>
      <c r="G40" s="4">
        <v>22959.06</v>
      </c>
    </row>
    <row r="41" spans="2:7" x14ac:dyDescent="0.3">
      <c r="B41" s="3">
        <v>505200</v>
      </c>
      <c r="C41" s="3" t="s">
        <v>82</v>
      </c>
      <c r="D41" s="3" t="s">
        <v>9</v>
      </c>
      <c r="E41" s="3"/>
      <c r="F41" s="3" t="s">
        <v>10</v>
      </c>
      <c r="G41" s="4">
        <v>22112.7</v>
      </c>
    </row>
    <row r="42" spans="2:7" x14ac:dyDescent="0.3">
      <c r="B42" s="3" t="s">
        <v>83</v>
      </c>
      <c r="C42" s="3" t="s">
        <v>84</v>
      </c>
      <c r="D42" s="3" t="s">
        <v>9</v>
      </c>
      <c r="E42" s="3"/>
      <c r="F42" s="3" t="s">
        <v>10</v>
      </c>
      <c r="G42" s="4">
        <v>21008.560000000001</v>
      </c>
    </row>
    <row r="43" spans="2:7" x14ac:dyDescent="0.3">
      <c r="B43" s="3" t="s">
        <v>85</v>
      </c>
      <c r="C43" s="3" t="s">
        <v>86</v>
      </c>
      <c r="D43" s="3" t="s">
        <v>9</v>
      </c>
      <c r="E43" s="3" t="s">
        <v>13</v>
      </c>
      <c r="F43" s="3" t="s">
        <v>10</v>
      </c>
      <c r="G43" s="4">
        <v>20439.54</v>
      </c>
    </row>
    <row r="44" spans="2:7" x14ac:dyDescent="0.3">
      <c r="B44" s="3" t="s">
        <v>87</v>
      </c>
      <c r="C44" s="3" t="s">
        <v>88</v>
      </c>
      <c r="D44" s="3" t="s">
        <v>9</v>
      </c>
      <c r="E44" s="3" t="s">
        <v>13</v>
      </c>
      <c r="F44" s="3" t="s">
        <v>10</v>
      </c>
      <c r="G44" s="4">
        <v>20053.3</v>
      </c>
    </row>
    <row r="45" spans="2:7" x14ac:dyDescent="0.3">
      <c r="B45" s="3" t="s">
        <v>89</v>
      </c>
      <c r="C45" s="3" t="s">
        <v>90</v>
      </c>
      <c r="D45" s="3" t="s">
        <v>9</v>
      </c>
      <c r="E45" s="3"/>
      <c r="F45" s="3" t="s">
        <v>10</v>
      </c>
      <c r="G45" s="4">
        <v>18596.14</v>
      </c>
    </row>
    <row r="46" spans="2:7" x14ac:dyDescent="0.3">
      <c r="B46" s="3" t="s">
        <v>91</v>
      </c>
      <c r="C46" s="3" t="s">
        <v>92</v>
      </c>
      <c r="D46" s="3" t="s">
        <v>9</v>
      </c>
      <c r="E46" s="3" t="s">
        <v>16</v>
      </c>
      <c r="F46" s="3" t="s">
        <v>10</v>
      </c>
      <c r="G46" s="4">
        <v>18468.939999999999</v>
      </c>
    </row>
    <row r="47" spans="2:7" x14ac:dyDescent="0.3">
      <c r="B47" s="3" t="s">
        <v>93</v>
      </c>
      <c r="C47" s="3" t="s">
        <v>94</v>
      </c>
      <c r="D47" s="3" t="s">
        <v>9</v>
      </c>
      <c r="E47" s="3" t="s">
        <v>13</v>
      </c>
      <c r="F47" s="3" t="s">
        <v>10</v>
      </c>
      <c r="G47" s="4">
        <v>17579.98</v>
      </c>
    </row>
    <row r="48" spans="2:7" x14ac:dyDescent="0.3">
      <c r="B48" s="3" t="s">
        <v>95</v>
      </c>
      <c r="C48" s="3" t="s">
        <v>96</v>
      </c>
      <c r="D48" s="3" t="s">
        <v>9</v>
      </c>
      <c r="E48" s="3" t="s">
        <v>13</v>
      </c>
      <c r="F48" s="3" t="s">
        <v>10</v>
      </c>
      <c r="G48" s="4">
        <v>16959.73</v>
      </c>
    </row>
    <row r="49" spans="2:7" x14ac:dyDescent="0.3">
      <c r="B49" s="3" t="s">
        <v>97</v>
      </c>
      <c r="C49" s="3" t="s">
        <v>98</v>
      </c>
      <c r="D49" s="3" t="s">
        <v>9</v>
      </c>
      <c r="E49" s="3"/>
      <c r="F49" s="3" t="s">
        <v>10</v>
      </c>
      <c r="G49" s="4">
        <v>16258.33</v>
      </c>
    </row>
    <row r="50" spans="2:7" x14ac:dyDescent="0.3">
      <c r="B50" s="3" t="s">
        <v>99</v>
      </c>
      <c r="C50" s="3" t="s">
        <v>100</v>
      </c>
      <c r="D50" s="3" t="s">
        <v>9</v>
      </c>
      <c r="E50" s="3"/>
      <c r="F50" s="3" t="s">
        <v>10</v>
      </c>
      <c r="G50" s="4">
        <v>16195.1</v>
      </c>
    </row>
    <row r="51" spans="2:7" x14ac:dyDescent="0.3">
      <c r="B51" s="3" t="s">
        <v>101</v>
      </c>
      <c r="C51" s="3" t="s">
        <v>102</v>
      </c>
      <c r="D51" s="3" t="s">
        <v>9</v>
      </c>
      <c r="E51" s="3" t="s">
        <v>13</v>
      </c>
      <c r="F51" s="3" t="s">
        <v>10</v>
      </c>
      <c r="G51" s="4">
        <v>15810.74</v>
      </c>
    </row>
    <row r="52" spans="2:7" x14ac:dyDescent="0.3">
      <c r="B52" s="3" t="s">
        <v>103</v>
      </c>
      <c r="C52" s="3" t="s">
        <v>104</v>
      </c>
      <c r="D52" s="3" t="s">
        <v>9</v>
      </c>
      <c r="E52" s="3" t="s">
        <v>16</v>
      </c>
      <c r="F52" s="3" t="s">
        <v>10</v>
      </c>
      <c r="G52" s="4">
        <v>15154.2</v>
      </c>
    </row>
    <row r="53" spans="2:7" x14ac:dyDescent="0.3">
      <c r="B53" s="3" t="s">
        <v>105</v>
      </c>
      <c r="C53" s="3" t="s">
        <v>106</v>
      </c>
      <c r="D53" s="3" t="s">
        <v>9</v>
      </c>
      <c r="E53" s="3"/>
      <c r="F53" s="3" t="s">
        <v>10</v>
      </c>
      <c r="G53" s="4">
        <v>15034.83</v>
      </c>
    </row>
    <row r="54" spans="2:7" x14ac:dyDescent="0.3">
      <c r="B54" s="3" t="s">
        <v>107</v>
      </c>
      <c r="C54" s="3" t="s">
        <v>108</v>
      </c>
      <c r="D54" s="3" t="s">
        <v>9</v>
      </c>
      <c r="E54" s="3" t="s">
        <v>13</v>
      </c>
      <c r="F54" s="3" t="s">
        <v>10</v>
      </c>
      <c r="G54" s="4">
        <v>14949.28</v>
      </c>
    </row>
    <row r="55" spans="2:7" x14ac:dyDescent="0.3">
      <c r="B55" s="3" t="s">
        <v>109</v>
      </c>
      <c r="C55" s="3" t="s">
        <v>110</v>
      </c>
      <c r="D55" s="3" t="s">
        <v>9</v>
      </c>
      <c r="E55" s="3" t="s">
        <v>13</v>
      </c>
      <c r="F55" s="3" t="s">
        <v>10</v>
      </c>
      <c r="G55" s="4">
        <v>14735.01</v>
      </c>
    </row>
    <row r="56" spans="2:7" x14ac:dyDescent="0.3">
      <c r="B56" s="3" t="s">
        <v>111</v>
      </c>
      <c r="C56" s="3" t="s">
        <v>112</v>
      </c>
      <c r="D56" s="3" t="s">
        <v>9</v>
      </c>
      <c r="E56" s="3"/>
      <c r="F56" s="3" t="s">
        <v>10</v>
      </c>
      <c r="G56" s="4">
        <v>13928.66</v>
      </c>
    </row>
    <row r="57" spans="2:7" x14ac:dyDescent="0.3">
      <c r="B57" s="3" t="s">
        <v>113</v>
      </c>
      <c r="C57" s="3" t="s">
        <v>114</v>
      </c>
      <c r="D57" s="3" t="s">
        <v>9</v>
      </c>
      <c r="E57" s="3"/>
      <c r="F57" s="3" t="s">
        <v>10</v>
      </c>
      <c r="G57" s="4">
        <v>12991.42</v>
      </c>
    </row>
    <row r="58" spans="2:7" x14ac:dyDescent="0.3">
      <c r="B58" s="3">
        <v>517334</v>
      </c>
      <c r="C58" s="3" t="s">
        <v>115</v>
      </c>
      <c r="D58" s="3" t="s">
        <v>9</v>
      </c>
      <c r="E58" s="3"/>
      <c r="F58" s="3" t="s">
        <v>10</v>
      </c>
      <c r="G58" s="4">
        <v>12678.98</v>
      </c>
    </row>
    <row r="59" spans="2:7" x14ac:dyDescent="0.3">
      <c r="B59" s="3" t="s">
        <v>116</v>
      </c>
      <c r="C59" s="3" t="s">
        <v>117</v>
      </c>
      <c r="D59" s="3" t="s">
        <v>9</v>
      </c>
      <c r="E59" s="3"/>
      <c r="F59" s="3" t="s">
        <v>10</v>
      </c>
      <c r="G59" s="4">
        <v>12065.02</v>
      </c>
    </row>
    <row r="60" spans="2:7" x14ac:dyDescent="0.3">
      <c r="B60" s="3" t="s">
        <v>118</v>
      </c>
      <c r="C60" s="3" t="s">
        <v>119</v>
      </c>
      <c r="D60" s="3" t="s">
        <v>9</v>
      </c>
      <c r="E60" s="3" t="s">
        <v>16</v>
      </c>
      <c r="F60" s="3" t="s">
        <v>10</v>
      </c>
      <c r="G60" s="4">
        <v>11708.32</v>
      </c>
    </row>
    <row r="61" spans="2:7" x14ac:dyDescent="0.3">
      <c r="B61" s="3" t="s">
        <v>120</v>
      </c>
      <c r="C61" s="3" t="s">
        <v>121</v>
      </c>
      <c r="D61" s="3" t="s">
        <v>9</v>
      </c>
      <c r="E61" s="3"/>
      <c r="F61" s="3" t="s">
        <v>10</v>
      </c>
      <c r="G61" s="4">
        <v>11461.28</v>
      </c>
    </row>
    <row r="62" spans="2:7" x14ac:dyDescent="0.3">
      <c r="B62" s="3" t="s">
        <v>122</v>
      </c>
      <c r="C62" s="3" t="s">
        <v>123</v>
      </c>
      <c r="D62" s="3" t="s">
        <v>9</v>
      </c>
      <c r="E62" s="3" t="s">
        <v>16</v>
      </c>
      <c r="F62" s="3" t="s">
        <v>10</v>
      </c>
      <c r="G62" s="4">
        <v>11101.03</v>
      </c>
    </row>
    <row r="63" spans="2:7" x14ac:dyDescent="0.3">
      <c r="B63" s="3" t="s">
        <v>124</v>
      </c>
      <c r="C63" s="3" t="s">
        <v>125</v>
      </c>
      <c r="D63" s="3" t="s">
        <v>9</v>
      </c>
      <c r="E63" s="3"/>
      <c r="F63" s="3" t="s">
        <v>10</v>
      </c>
      <c r="G63" s="4">
        <v>11044.3</v>
      </c>
    </row>
    <row r="64" spans="2:7" x14ac:dyDescent="0.3">
      <c r="B64" s="3" t="s">
        <v>126</v>
      </c>
      <c r="C64" s="3" t="s">
        <v>127</v>
      </c>
      <c r="D64" s="3" t="s">
        <v>9</v>
      </c>
      <c r="E64" s="3"/>
      <c r="F64" s="3" t="s">
        <v>10</v>
      </c>
      <c r="G64" s="4">
        <v>10918.21</v>
      </c>
    </row>
    <row r="65" spans="2:7" x14ac:dyDescent="0.3">
      <c r="B65" s="3" t="s">
        <v>128</v>
      </c>
      <c r="C65" s="3" t="s">
        <v>129</v>
      </c>
      <c r="D65" s="3" t="s">
        <v>9</v>
      </c>
      <c r="E65" s="3" t="s">
        <v>16</v>
      </c>
      <c r="F65" s="3" t="s">
        <v>10</v>
      </c>
      <c r="G65" s="4">
        <v>10792.33</v>
      </c>
    </row>
    <row r="66" spans="2:7" x14ac:dyDescent="0.3">
      <c r="B66" s="3" t="s">
        <v>130</v>
      </c>
      <c r="C66" s="3" t="s">
        <v>131</v>
      </c>
      <c r="D66" s="3" t="s">
        <v>9</v>
      </c>
      <c r="E66" s="3" t="s">
        <v>13</v>
      </c>
      <c r="F66" s="3" t="s">
        <v>10</v>
      </c>
      <c r="G66" s="4">
        <v>10642.25</v>
      </c>
    </row>
    <row r="67" spans="2:7" x14ac:dyDescent="0.3">
      <c r="B67" s="3" t="s">
        <v>132</v>
      </c>
      <c r="C67" s="3" t="s">
        <v>133</v>
      </c>
      <c r="D67" s="3" t="s">
        <v>9</v>
      </c>
      <c r="E67" s="3"/>
      <c r="F67" s="3" t="s">
        <v>10</v>
      </c>
      <c r="G67" s="4">
        <v>10611.91</v>
      </c>
    </row>
    <row r="68" spans="2:7" x14ac:dyDescent="0.3">
      <c r="B68" s="3" t="s">
        <v>134</v>
      </c>
      <c r="C68" s="3" t="s">
        <v>135</v>
      </c>
      <c r="D68" s="3" t="s">
        <v>9</v>
      </c>
      <c r="E68" s="3" t="s">
        <v>13</v>
      </c>
      <c r="F68" s="3" t="s">
        <v>10</v>
      </c>
      <c r="G68" s="4">
        <v>10504.82</v>
      </c>
    </row>
    <row r="69" spans="2:7" x14ac:dyDescent="0.3">
      <c r="B69" s="3" t="s">
        <v>136</v>
      </c>
      <c r="C69" s="3" t="s">
        <v>137</v>
      </c>
      <c r="D69" s="3" t="s">
        <v>9</v>
      </c>
      <c r="E69" s="3" t="s">
        <v>13</v>
      </c>
      <c r="F69" s="3" t="s">
        <v>10</v>
      </c>
      <c r="G69" s="4">
        <v>10251.19</v>
      </c>
    </row>
    <row r="70" spans="2:7" x14ac:dyDescent="0.3">
      <c r="B70" s="3" t="s">
        <v>138</v>
      </c>
      <c r="C70" s="3" t="s">
        <v>139</v>
      </c>
      <c r="D70" s="3" t="s">
        <v>9</v>
      </c>
      <c r="E70" s="3" t="s">
        <v>16</v>
      </c>
      <c r="F70" s="3" t="s">
        <v>10</v>
      </c>
      <c r="G70" s="4">
        <v>9488.1299999999992</v>
      </c>
    </row>
    <row r="71" spans="2:7" x14ac:dyDescent="0.3">
      <c r="B71" s="3" t="s">
        <v>140</v>
      </c>
      <c r="C71" s="3" t="s">
        <v>141</v>
      </c>
      <c r="D71" s="3" t="s">
        <v>9</v>
      </c>
      <c r="E71" s="3"/>
      <c r="F71" s="3" t="s">
        <v>10</v>
      </c>
      <c r="G71" s="4">
        <v>9083.43</v>
      </c>
    </row>
    <row r="72" spans="2:7" x14ac:dyDescent="0.3">
      <c r="B72" s="3" t="s">
        <v>142</v>
      </c>
      <c r="C72" s="3" t="s">
        <v>143</v>
      </c>
      <c r="D72" s="3" t="s">
        <v>9</v>
      </c>
      <c r="E72" s="3" t="s">
        <v>16</v>
      </c>
      <c r="F72" s="3" t="s">
        <v>10</v>
      </c>
      <c r="G72" s="4">
        <v>8967.7199999999993</v>
      </c>
    </row>
    <row r="73" spans="2:7" x14ac:dyDescent="0.3">
      <c r="B73" s="3" t="s">
        <v>144</v>
      </c>
      <c r="C73" s="3" t="s">
        <v>145</v>
      </c>
      <c r="D73" s="3" t="s">
        <v>9</v>
      </c>
      <c r="E73" s="3" t="s">
        <v>16</v>
      </c>
      <c r="F73" s="3" t="s">
        <v>10</v>
      </c>
      <c r="G73" s="4">
        <v>8937.65</v>
      </c>
    </row>
    <row r="74" spans="2:7" x14ac:dyDescent="0.3">
      <c r="B74" s="3">
        <v>7309</v>
      </c>
      <c r="C74" s="3" t="s">
        <v>146</v>
      </c>
      <c r="D74" s="3" t="s">
        <v>9</v>
      </c>
      <c r="E74" s="3"/>
      <c r="F74" s="3" t="s">
        <v>10</v>
      </c>
      <c r="G74" s="4">
        <v>8922.7900000000009</v>
      </c>
    </row>
    <row r="75" spans="2:7" x14ac:dyDescent="0.3">
      <c r="B75" s="3" t="s">
        <v>147</v>
      </c>
      <c r="C75" s="3" t="s">
        <v>148</v>
      </c>
      <c r="D75" s="3" t="s">
        <v>9</v>
      </c>
      <c r="E75" s="3" t="s">
        <v>16</v>
      </c>
      <c r="F75" s="3" t="s">
        <v>10</v>
      </c>
      <c r="G75" s="4">
        <v>8856.06</v>
      </c>
    </row>
    <row r="76" spans="2:7" x14ac:dyDescent="0.3">
      <c r="B76" s="3" t="s">
        <v>149</v>
      </c>
      <c r="C76" s="3" t="s">
        <v>150</v>
      </c>
      <c r="D76" s="3" t="s">
        <v>9</v>
      </c>
      <c r="E76" s="3"/>
      <c r="F76" s="3" t="s">
        <v>10</v>
      </c>
      <c r="G76" s="4">
        <v>8580.49</v>
      </c>
    </row>
    <row r="77" spans="2:7" x14ac:dyDescent="0.3">
      <c r="B77" s="3">
        <v>5019</v>
      </c>
      <c r="C77" s="3" t="s">
        <v>151</v>
      </c>
      <c r="D77" s="3" t="s">
        <v>9</v>
      </c>
      <c r="E77" s="3"/>
      <c r="F77" s="3" t="s">
        <v>10</v>
      </c>
      <c r="G77" s="4">
        <v>8374.32</v>
      </c>
    </row>
    <row r="78" spans="2:7" x14ac:dyDescent="0.3">
      <c r="B78" s="3" t="s">
        <v>152</v>
      </c>
      <c r="C78" s="3" t="s">
        <v>153</v>
      </c>
      <c r="D78" s="3" t="s">
        <v>9</v>
      </c>
      <c r="E78" s="3"/>
      <c r="F78" s="3" t="s">
        <v>10</v>
      </c>
      <c r="G78" s="4">
        <v>8153.92</v>
      </c>
    </row>
    <row r="79" spans="2:7" x14ac:dyDescent="0.3">
      <c r="B79" s="3" t="s">
        <v>154</v>
      </c>
      <c r="C79" s="3" t="s">
        <v>155</v>
      </c>
      <c r="D79" s="3" t="s">
        <v>9</v>
      </c>
      <c r="E79" s="3"/>
      <c r="F79" s="3" t="s">
        <v>10</v>
      </c>
      <c r="G79" s="4">
        <v>8102.04</v>
      </c>
    </row>
    <row r="80" spans="2:7" x14ac:dyDescent="0.3">
      <c r="B80" s="3" t="s">
        <v>156</v>
      </c>
      <c r="C80" s="3" t="s">
        <v>157</v>
      </c>
      <c r="D80" s="3" t="s">
        <v>9</v>
      </c>
      <c r="E80" s="3" t="s">
        <v>16</v>
      </c>
      <c r="F80" s="3" t="s">
        <v>10</v>
      </c>
      <c r="G80" s="4">
        <v>8031.86</v>
      </c>
    </row>
    <row r="81" spans="2:7" x14ac:dyDescent="0.3">
      <c r="B81" s="3" t="s">
        <v>158</v>
      </c>
      <c r="C81" s="3" t="s">
        <v>159</v>
      </c>
      <c r="D81" s="3" t="s">
        <v>9</v>
      </c>
      <c r="E81" s="3" t="s">
        <v>13</v>
      </c>
      <c r="F81" s="3" t="s">
        <v>10</v>
      </c>
      <c r="G81" s="4">
        <v>7900.21</v>
      </c>
    </row>
    <row r="82" spans="2:7" x14ac:dyDescent="0.3">
      <c r="B82" s="3" t="s">
        <v>160</v>
      </c>
      <c r="C82" s="3" t="s">
        <v>161</v>
      </c>
      <c r="D82" s="3" t="s">
        <v>9</v>
      </c>
      <c r="E82" s="3"/>
      <c r="F82" s="3" t="s">
        <v>10</v>
      </c>
      <c r="G82" s="4">
        <v>7861.23</v>
      </c>
    </row>
    <row r="83" spans="2:7" x14ac:dyDescent="0.3">
      <c r="B83" s="3" t="s">
        <v>162</v>
      </c>
      <c r="C83" s="3" t="s">
        <v>163</v>
      </c>
      <c r="D83" s="3" t="s">
        <v>9</v>
      </c>
      <c r="E83" s="3"/>
      <c r="F83" s="3" t="s">
        <v>10</v>
      </c>
      <c r="G83" s="4">
        <v>7846.59</v>
      </c>
    </row>
    <row r="84" spans="2:7" x14ac:dyDescent="0.3">
      <c r="B84" s="3" t="s">
        <v>164</v>
      </c>
      <c r="C84" s="3" t="s">
        <v>165</v>
      </c>
      <c r="D84" s="3" t="s">
        <v>9</v>
      </c>
      <c r="E84" s="3" t="s">
        <v>16</v>
      </c>
      <c r="F84" s="3" t="s">
        <v>10</v>
      </c>
      <c r="G84" s="4">
        <v>7795.87</v>
      </c>
    </row>
    <row r="85" spans="2:7" x14ac:dyDescent="0.3">
      <c r="B85" s="3" t="s">
        <v>166</v>
      </c>
      <c r="C85" s="3" t="s">
        <v>167</v>
      </c>
      <c r="D85" s="3" t="s">
        <v>9</v>
      </c>
      <c r="E85" s="3"/>
      <c r="F85" s="3" t="s">
        <v>10</v>
      </c>
      <c r="G85" s="4">
        <v>7386.14</v>
      </c>
    </row>
    <row r="86" spans="2:7" x14ac:dyDescent="0.3">
      <c r="B86" s="3" t="s">
        <v>168</v>
      </c>
      <c r="C86" s="3" t="s">
        <v>169</v>
      </c>
      <c r="D86" s="3" t="s">
        <v>9</v>
      </c>
      <c r="E86" s="3" t="s">
        <v>13</v>
      </c>
      <c r="F86" s="3" t="s">
        <v>10</v>
      </c>
      <c r="G86" s="4">
        <v>7055.27</v>
      </c>
    </row>
    <row r="87" spans="2:7" x14ac:dyDescent="0.3">
      <c r="B87" s="3" t="s">
        <v>170</v>
      </c>
      <c r="C87" s="3" t="s">
        <v>171</v>
      </c>
      <c r="D87" s="3" t="s">
        <v>9</v>
      </c>
      <c r="E87" s="3"/>
      <c r="F87" s="3" t="s">
        <v>10</v>
      </c>
      <c r="G87" s="4">
        <v>6992.17</v>
      </c>
    </row>
    <row r="88" spans="2:7" x14ac:dyDescent="0.3">
      <c r="B88" s="3">
        <v>4911</v>
      </c>
      <c r="C88" s="3" t="s">
        <v>172</v>
      </c>
      <c r="D88" s="3" t="s">
        <v>9</v>
      </c>
      <c r="E88" s="3"/>
      <c r="F88" s="3" t="s">
        <v>10</v>
      </c>
      <c r="G88" s="4">
        <v>6974.36</v>
      </c>
    </row>
    <row r="89" spans="2:7" x14ac:dyDescent="0.3">
      <c r="B89" s="3" t="s">
        <v>173</v>
      </c>
      <c r="C89" s="3" t="s">
        <v>174</v>
      </c>
      <c r="D89" s="3" t="s">
        <v>9</v>
      </c>
      <c r="E89" s="3"/>
      <c r="F89" s="3" t="s">
        <v>10</v>
      </c>
      <c r="G89" s="4">
        <v>6905.68</v>
      </c>
    </row>
    <row r="90" spans="2:7" x14ac:dyDescent="0.3">
      <c r="B90" s="3">
        <v>5706</v>
      </c>
      <c r="C90" s="3" t="s">
        <v>175</v>
      </c>
      <c r="D90" s="3" t="s">
        <v>9</v>
      </c>
      <c r="E90" s="3"/>
      <c r="F90" s="3" t="s">
        <v>10</v>
      </c>
      <c r="G90" s="4">
        <v>6779.99</v>
      </c>
    </row>
    <row r="91" spans="2:7" x14ac:dyDescent="0.3">
      <c r="B91" s="3">
        <v>9005</v>
      </c>
      <c r="C91" s="3" t="s">
        <v>176</v>
      </c>
      <c r="D91" s="3" t="s">
        <v>9</v>
      </c>
      <c r="E91" s="3"/>
      <c r="F91" s="3" t="s">
        <v>10</v>
      </c>
      <c r="G91" s="4">
        <v>6618.68</v>
      </c>
    </row>
    <row r="92" spans="2:7" x14ac:dyDescent="0.3">
      <c r="B92" s="3">
        <v>3288</v>
      </c>
      <c r="C92" s="3" t="s">
        <v>177</v>
      </c>
      <c r="D92" s="3" t="s">
        <v>9</v>
      </c>
      <c r="E92" s="3"/>
      <c r="F92" s="3" t="s">
        <v>10</v>
      </c>
      <c r="G92" s="4">
        <v>6492.12</v>
      </c>
    </row>
    <row r="93" spans="2:7" x14ac:dyDescent="0.3">
      <c r="B93" s="3" t="s">
        <v>178</v>
      </c>
      <c r="C93" s="3" t="s">
        <v>179</v>
      </c>
      <c r="D93" s="3" t="s">
        <v>9</v>
      </c>
      <c r="E93" s="3" t="s">
        <v>16</v>
      </c>
      <c r="F93" s="3" t="s">
        <v>10</v>
      </c>
      <c r="G93" s="4">
        <v>6393.64</v>
      </c>
    </row>
    <row r="94" spans="2:7" x14ac:dyDescent="0.3">
      <c r="B94" s="3" t="s">
        <v>180</v>
      </c>
      <c r="C94" s="3" t="s">
        <v>181</v>
      </c>
      <c r="D94" s="3" t="s">
        <v>9</v>
      </c>
      <c r="E94" s="3" t="s">
        <v>16</v>
      </c>
      <c r="F94" s="3" t="s">
        <v>10</v>
      </c>
      <c r="G94" s="4">
        <v>6262.78</v>
      </c>
    </row>
    <row r="95" spans="2:7" x14ac:dyDescent="0.3">
      <c r="B95" s="3" t="s">
        <v>182</v>
      </c>
      <c r="C95" s="3" t="s">
        <v>183</v>
      </c>
      <c r="D95" s="3" t="s">
        <v>9</v>
      </c>
      <c r="E95" s="3"/>
      <c r="F95" s="3" t="s">
        <v>10</v>
      </c>
      <c r="G95" s="4">
        <v>5920.53</v>
      </c>
    </row>
    <row r="96" spans="2:7" x14ac:dyDescent="0.3">
      <c r="B96" s="3" t="s">
        <v>184</v>
      </c>
      <c r="C96" s="3" t="s">
        <v>185</v>
      </c>
      <c r="D96" s="3" t="s">
        <v>9</v>
      </c>
      <c r="E96" s="3" t="s">
        <v>16</v>
      </c>
      <c r="F96" s="3" t="s">
        <v>10</v>
      </c>
      <c r="G96" s="4">
        <v>5646.62</v>
      </c>
    </row>
    <row r="97" spans="2:7" x14ac:dyDescent="0.3">
      <c r="B97" s="3">
        <v>8</v>
      </c>
      <c r="C97" s="3" t="s">
        <v>186</v>
      </c>
      <c r="D97" s="3" t="s">
        <v>9</v>
      </c>
      <c r="E97" s="3"/>
      <c r="F97" s="3" t="s">
        <v>10</v>
      </c>
      <c r="G97" s="4">
        <v>5497.05</v>
      </c>
    </row>
    <row r="98" spans="2:7" x14ac:dyDescent="0.3">
      <c r="B98" s="3">
        <v>532478</v>
      </c>
      <c r="C98" s="3" t="s">
        <v>187</v>
      </c>
      <c r="D98" s="3" t="s">
        <v>9</v>
      </c>
      <c r="E98" s="3"/>
      <c r="F98" s="3" t="s">
        <v>10</v>
      </c>
      <c r="G98" s="4">
        <v>5354.22</v>
      </c>
    </row>
    <row r="99" spans="2:7" x14ac:dyDescent="0.3">
      <c r="B99" s="3" t="s">
        <v>188</v>
      </c>
      <c r="C99" s="3" t="s">
        <v>189</v>
      </c>
      <c r="D99" s="3" t="s">
        <v>9</v>
      </c>
      <c r="E99" s="3"/>
      <c r="F99" s="3" t="s">
        <v>10</v>
      </c>
      <c r="G99" s="4">
        <v>5255.81</v>
      </c>
    </row>
    <row r="100" spans="2:7" x14ac:dyDescent="0.3">
      <c r="B100" s="3" t="s">
        <v>190</v>
      </c>
      <c r="C100" s="3" t="s">
        <v>191</v>
      </c>
      <c r="D100" s="3" t="s">
        <v>9</v>
      </c>
      <c r="E100" s="3"/>
      <c r="F100" s="3" t="s">
        <v>10</v>
      </c>
      <c r="G100" s="4">
        <v>5195.29</v>
      </c>
    </row>
    <row r="101" spans="2:7" x14ac:dyDescent="0.3">
      <c r="B101" s="3" t="s">
        <v>192</v>
      </c>
      <c r="C101" s="3" t="s">
        <v>193</v>
      </c>
      <c r="D101" s="3" t="s">
        <v>9</v>
      </c>
      <c r="E101" s="3"/>
      <c r="F101" s="3" t="s">
        <v>10</v>
      </c>
      <c r="G101" s="4">
        <v>5146.8999999999996</v>
      </c>
    </row>
    <row r="102" spans="2:7" x14ac:dyDescent="0.3">
      <c r="B102" s="3">
        <v>4732</v>
      </c>
      <c r="C102" s="3" t="s">
        <v>194</v>
      </c>
      <c r="D102" s="3" t="s">
        <v>9</v>
      </c>
      <c r="E102" s="3"/>
      <c r="F102" s="3" t="s">
        <v>10</v>
      </c>
      <c r="G102" s="4">
        <v>5082.6400000000003</v>
      </c>
    </row>
    <row r="103" spans="2:7" x14ac:dyDescent="0.3">
      <c r="B103" s="3" t="s">
        <v>195</v>
      </c>
      <c r="C103" s="3" t="s">
        <v>196</v>
      </c>
      <c r="D103" s="3" t="s">
        <v>9</v>
      </c>
      <c r="E103" s="3" t="s">
        <v>16</v>
      </c>
      <c r="F103" s="3" t="s">
        <v>10</v>
      </c>
      <c r="G103" s="4">
        <v>5019.24</v>
      </c>
    </row>
    <row r="104" spans="2:7" x14ac:dyDescent="0.3">
      <c r="B104" s="3">
        <v>2267</v>
      </c>
      <c r="C104" s="3" t="s">
        <v>197</v>
      </c>
      <c r="D104" s="3" t="s">
        <v>9</v>
      </c>
      <c r="E104" s="3"/>
      <c r="F104" s="3" t="s">
        <v>10</v>
      </c>
      <c r="G104" s="4">
        <v>4712.5200000000004</v>
      </c>
    </row>
    <row r="105" spans="2:7" x14ac:dyDescent="0.3">
      <c r="B105" s="3" t="s">
        <v>198</v>
      </c>
      <c r="C105" s="3" t="s">
        <v>199</v>
      </c>
      <c r="D105" s="3" t="s">
        <v>9</v>
      </c>
      <c r="E105" s="3"/>
      <c r="F105" s="3" t="s">
        <v>10</v>
      </c>
      <c r="G105" s="4">
        <v>4638.63</v>
      </c>
    </row>
    <row r="106" spans="2:7" x14ac:dyDescent="0.3">
      <c r="B106" s="3" t="s">
        <v>200</v>
      </c>
      <c r="C106" s="3" t="s">
        <v>201</v>
      </c>
      <c r="D106" s="3" t="s">
        <v>9</v>
      </c>
      <c r="E106" s="3"/>
      <c r="F106" s="3" t="s">
        <v>10</v>
      </c>
      <c r="G106" s="4">
        <v>4619.62</v>
      </c>
    </row>
    <row r="107" spans="2:7" x14ac:dyDescent="0.3">
      <c r="B107" s="3" t="s">
        <v>202</v>
      </c>
      <c r="C107" s="3" t="s">
        <v>203</v>
      </c>
      <c r="D107" s="3" t="s">
        <v>9</v>
      </c>
      <c r="E107" s="3"/>
      <c r="F107" s="3" t="s">
        <v>10</v>
      </c>
      <c r="G107" s="4">
        <v>4584.33</v>
      </c>
    </row>
    <row r="108" spans="2:7" x14ac:dyDescent="0.3">
      <c r="B108" s="3" t="s">
        <v>204</v>
      </c>
      <c r="C108" s="3" t="s">
        <v>205</v>
      </c>
      <c r="D108" s="3" t="s">
        <v>9</v>
      </c>
      <c r="E108" s="3"/>
      <c r="F108" s="3" t="s">
        <v>10</v>
      </c>
      <c r="G108" s="4">
        <v>4519.76</v>
      </c>
    </row>
    <row r="109" spans="2:7" x14ac:dyDescent="0.3">
      <c r="B109" s="3" t="s">
        <v>206</v>
      </c>
      <c r="C109" s="3" t="s">
        <v>207</v>
      </c>
      <c r="D109" s="3" t="s">
        <v>9</v>
      </c>
      <c r="E109" s="3"/>
      <c r="F109" s="3" t="s">
        <v>10</v>
      </c>
      <c r="G109" s="4">
        <v>4498.21</v>
      </c>
    </row>
    <row r="110" spans="2:7" x14ac:dyDescent="0.3">
      <c r="B110" s="3" t="s">
        <v>208</v>
      </c>
      <c r="C110" s="3" t="s">
        <v>209</v>
      </c>
      <c r="D110" s="3" t="s">
        <v>9</v>
      </c>
      <c r="E110" s="3"/>
      <c r="F110" s="3" t="s">
        <v>10</v>
      </c>
      <c r="G110" s="4">
        <v>4482.2</v>
      </c>
    </row>
    <row r="111" spans="2:7" x14ac:dyDescent="0.3">
      <c r="B111" s="3" t="s">
        <v>210</v>
      </c>
      <c r="C111" s="3" t="s">
        <v>211</v>
      </c>
      <c r="D111" s="3" t="s">
        <v>9</v>
      </c>
      <c r="E111" s="3" t="s">
        <v>16</v>
      </c>
      <c r="F111" s="3" t="s">
        <v>10</v>
      </c>
      <c r="G111" s="4">
        <v>4449.1099999999997</v>
      </c>
    </row>
    <row r="112" spans="2:7" x14ac:dyDescent="0.3">
      <c r="B112" s="3">
        <v>3291</v>
      </c>
      <c r="C112" s="3" t="s">
        <v>212</v>
      </c>
      <c r="D112" s="3" t="s">
        <v>9</v>
      </c>
      <c r="E112" s="3"/>
      <c r="F112" s="3" t="s">
        <v>10</v>
      </c>
      <c r="G112" s="4">
        <v>4269.0600000000004</v>
      </c>
    </row>
    <row r="113" spans="2:7" x14ac:dyDescent="0.3">
      <c r="B113" s="3" t="s">
        <v>213</v>
      </c>
      <c r="C113" s="3" t="s">
        <v>214</v>
      </c>
      <c r="D113" s="3" t="s">
        <v>9</v>
      </c>
      <c r="E113" s="3" t="s">
        <v>13</v>
      </c>
      <c r="F113" s="3" t="s">
        <v>10</v>
      </c>
      <c r="G113" s="4">
        <v>4121.51</v>
      </c>
    </row>
    <row r="114" spans="2:7" x14ac:dyDescent="0.3">
      <c r="B114" s="3">
        <v>9142</v>
      </c>
      <c r="C114" s="3" t="s">
        <v>215</v>
      </c>
      <c r="D114" s="3" t="s">
        <v>9</v>
      </c>
      <c r="E114" s="3"/>
      <c r="F114" s="3" t="s">
        <v>10</v>
      </c>
      <c r="G114" s="4">
        <v>4065.06</v>
      </c>
    </row>
    <row r="115" spans="2:7" x14ac:dyDescent="0.3">
      <c r="B115" s="3">
        <v>3436</v>
      </c>
      <c r="C115" s="3" t="s">
        <v>216</v>
      </c>
      <c r="D115" s="3" t="s">
        <v>9</v>
      </c>
      <c r="E115" s="3"/>
      <c r="F115" s="3" t="s">
        <v>10</v>
      </c>
      <c r="G115" s="4">
        <v>4018.89</v>
      </c>
    </row>
    <row r="116" spans="2:7" x14ac:dyDescent="0.3">
      <c r="B116" s="3" t="s">
        <v>217</v>
      </c>
      <c r="C116" s="3" t="s">
        <v>218</v>
      </c>
      <c r="D116" s="3" t="s">
        <v>9</v>
      </c>
      <c r="E116" s="3"/>
      <c r="F116" s="3" t="s">
        <v>10</v>
      </c>
      <c r="G116" s="4">
        <v>4012.06</v>
      </c>
    </row>
    <row r="117" spans="2:7" x14ac:dyDescent="0.3">
      <c r="B117" s="3" t="s">
        <v>219</v>
      </c>
      <c r="C117" s="3" t="s">
        <v>220</v>
      </c>
      <c r="D117" s="3" t="s">
        <v>9</v>
      </c>
      <c r="E117" s="3" t="s">
        <v>16</v>
      </c>
      <c r="F117" s="3" t="s">
        <v>10</v>
      </c>
      <c r="G117" s="4">
        <v>3911.57</v>
      </c>
    </row>
    <row r="118" spans="2:7" x14ac:dyDescent="0.3">
      <c r="B118" s="3" t="s">
        <v>221</v>
      </c>
      <c r="C118" s="3" t="s">
        <v>222</v>
      </c>
      <c r="D118" s="3" t="s">
        <v>9</v>
      </c>
      <c r="E118" s="3" t="s">
        <v>16</v>
      </c>
      <c r="F118" s="3" t="s">
        <v>10</v>
      </c>
      <c r="G118" s="4">
        <v>3789.7</v>
      </c>
    </row>
    <row r="119" spans="2:7" x14ac:dyDescent="0.3">
      <c r="B119" s="3" t="s">
        <v>223</v>
      </c>
      <c r="C119" s="3" t="s">
        <v>224</v>
      </c>
      <c r="D119" s="3" t="s">
        <v>9</v>
      </c>
      <c r="E119" s="3"/>
      <c r="F119" s="3" t="s">
        <v>10</v>
      </c>
      <c r="G119" s="4">
        <v>3744.71</v>
      </c>
    </row>
    <row r="120" spans="2:7" x14ac:dyDescent="0.3">
      <c r="B120" s="3">
        <v>7003</v>
      </c>
      <c r="C120" s="3" t="s">
        <v>225</v>
      </c>
      <c r="D120" s="3" t="s">
        <v>9</v>
      </c>
      <c r="E120" s="3"/>
      <c r="F120" s="3" t="s">
        <v>10</v>
      </c>
      <c r="G120" s="4">
        <v>3702.13</v>
      </c>
    </row>
    <row r="121" spans="2:7" x14ac:dyDescent="0.3">
      <c r="B121" s="3">
        <v>5901</v>
      </c>
      <c r="C121" s="3" t="s">
        <v>226</v>
      </c>
      <c r="D121" s="3" t="s">
        <v>9</v>
      </c>
      <c r="E121" s="3"/>
      <c r="F121" s="3" t="s">
        <v>10</v>
      </c>
      <c r="G121" s="4">
        <v>3654.04</v>
      </c>
    </row>
    <row r="122" spans="2:7" x14ac:dyDescent="0.3">
      <c r="B122" s="3">
        <v>8252</v>
      </c>
      <c r="C122" s="3" t="s">
        <v>227</v>
      </c>
      <c r="D122" s="3" t="s">
        <v>9</v>
      </c>
      <c r="E122" s="3"/>
      <c r="F122" s="3" t="s">
        <v>10</v>
      </c>
      <c r="G122" s="4">
        <v>3592.02</v>
      </c>
    </row>
    <row r="123" spans="2:7" x14ac:dyDescent="0.3">
      <c r="B123" s="3" t="s">
        <v>228</v>
      </c>
      <c r="C123" s="3" t="s">
        <v>229</v>
      </c>
      <c r="D123" s="3" t="s">
        <v>9</v>
      </c>
      <c r="E123" s="3"/>
      <c r="F123" s="3" t="s">
        <v>10</v>
      </c>
      <c r="G123" s="4">
        <v>3587.88</v>
      </c>
    </row>
    <row r="124" spans="2:7" x14ac:dyDescent="0.3">
      <c r="B124" s="3" t="s">
        <v>230</v>
      </c>
      <c r="C124" s="3" t="s">
        <v>231</v>
      </c>
      <c r="D124" s="3" t="s">
        <v>9</v>
      </c>
      <c r="E124" s="3"/>
      <c r="F124" s="3" t="s">
        <v>10</v>
      </c>
      <c r="G124" s="4">
        <v>3537.42</v>
      </c>
    </row>
    <row r="125" spans="2:7" x14ac:dyDescent="0.3">
      <c r="B125" s="3">
        <v>5714</v>
      </c>
      <c r="C125" s="3" t="s">
        <v>232</v>
      </c>
      <c r="D125" s="3" t="s">
        <v>9</v>
      </c>
      <c r="E125" s="3"/>
      <c r="F125" s="3" t="s">
        <v>10</v>
      </c>
      <c r="G125" s="4">
        <v>3488.46</v>
      </c>
    </row>
    <row r="126" spans="2:7" x14ac:dyDescent="0.3">
      <c r="B126" s="3">
        <v>4182</v>
      </c>
      <c r="C126" s="3" t="s">
        <v>233</v>
      </c>
      <c r="D126" s="3" t="s">
        <v>9</v>
      </c>
      <c r="E126" s="3"/>
      <c r="F126" s="3" t="s">
        <v>10</v>
      </c>
      <c r="G126" s="4">
        <v>3478.35</v>
      </c>
    </row>
    <row r="127" spans="2:7" x14ac:dyDescent="0.3">
      <c r="B127" s="3">
        <v>7564</v>
      </c>
      <c r="C127" s="3" t="s">
        <v>234</v>
      </c>
      <c r="D127" s="3" t="s">
        <v>9</v>
      </c>
      <c r="E127" s="3"/>
      <c r="F127" s="3" t="s">
        <v>10</v>
      </c>
      <c r="G127" s="4">
        <v>3473.59</v>
      </c>
    </row>
    <row r="128" spans="2:7" x14ac:dyDescent="0.3">
      <c r="B128" s="3" t="s">
        <v>235</v>
      </c>
      <c r="C128" s="3" t="s">
        <v>236</v>
      </c>
      <c r="D128" s="3" t="s">
        <v>9</v>
      </c>
      <c r="E128" s="3" t="s">
        <v>16</v>
      </c>
      <c r="F128" s="3" t="s">
        <v>10</v>
      </c>
      <c r="G128" s="4">
        <v>3472.24</v>
      </c>
    </row>
    <row r="129" spans="2:7" x14ac:dyDescent="0.3">
      <c r="B129" s="3" t="s">
        <v>237</v>
      </c>
      <c r="C129" s="3" t="s">
        <v>238</v>
      </c>
      <c r="D129" s="3" t="s">
        <v>9</v>
      </c>
      <c r="E129" s="3"/>
      <c r="F129" s="3" t="s">
        <v>10</v>
      </c>
      <c r="G129" s="4">
        <v>3328.06</v>
      </c>
    </row>
    <row r="130" spans="2:7" x14ac:dyDescent="0.3">
      <c r="B130" s="3">
        <v>6753</v>
      </c>
      <c r="C130" s="3" t="s">
        <v>239</v>
      </c>
      <c r="D130" s="3" t="s">
        <v>9</v>
      </c>
      <c r="E130" s="3"/>
      <c r="F130" s="3" t="s">
        <v>10</v>
      </c>
      <c r="G130" s="4">
        <v>3294.81</v>
      </c>
    </row>
    <row r="131" spans="2:7" x14ac:dyDescent="0.3">
      <c r="B131" s="3" t="s">
        <v>240</v>
      </c>
      <c r="C131" s="3" t="s">
        <v>241</v>
      </c>
      <c r="D131" s="3" t="s">
        <v>9</v>
      </c>
      <c r="E131" s="3" t="s">
        <v>16</v>
      </c>
      <c r="F131" s="3" t="s">
        <v>10</v>
      </c>
      <c r="G131" s="4">
        <v>3172.81</v>
      </c>
    </row>
    <row r="132" spans="2:7" x14ac:dyDescent="0.3">
      <c r="B132" s="3">
        <v>1963</v>
      </c>
      <c r="C132" s="3" t="s">
        <v>242</v>
      </c>
      <c r="D132" s="3" t="s">
        <v>9</v>
      </c>
      <c r="E132" s="3"/>
      <c r="F132" s="3" t="s">
        <v>10</v>
      </c>
      <c r="G132" s="4">
        <v>3170.98</v>
      </c>
    </row>
    <row r="133" spans="2:7" x14ac:dyDescent="0.3">
      <c r="B133" s="3" t="s">
        <v>243</v>
      </c>
      <c r="C133" s="3" t="s">
        <v>244</v>
      </c>
      <c r="D133" s="3" t="s">
        <v>9</v>
      </c>
      <c r="E133" s="3" t="s">
        <v>13</v>
      </c>
      <c r="F133" s="3" t="s">
        <v>10</v>
      </c>
      <c r="G133" s="4">
        <v>3082.58</v>
      </c>
    </row>
    <row r="134" spans="2:7" x14ac:dyDescent="0.3">
      <c r="B134" s="3" t="s">
        <v>245</v>
      </c>
      <c r="C134" s="3" t="s">
        <v>246</v>
      </c>
      <c r="D134" s="3" t="s">
        <v>9</v>
      </c>
      <c r="E134" s="3"/>
      <c r="F134" s="3" t="s">
        <v>10</v>
      </c>
      <c r="G134" s="4">
        <v>2948.94</v>
      </c>
    </row>
    <row r="135" spans="2:7" x14ac:dyDescent="0.3">
      <c r="B135" s="3" t="s">
        <v>247</v>
      </c>
      <c r="C135" s="3" t="s">
        <v>248</v>
      </c>
      <c r="D135" s="3" t="s">
        <v>9</v>
      </c>
      <c r="E135" s="3"/>
      <c r="F135" s="3" t="s">
        <v>10</v>
      </c>
      <c r="G135" s="4">
        <v>2941.68</v>
      </c>
    </row>
    <row r="136" spans="2:7" x14ac:dyDescent="0.3">
      <c r="B136" s="3" t="s">
        <v>249</v>
      </c>
      <c r="C136" s="3" t="s">
        <v>250</v>
      </c>
      <c r="D136" s="3" t="s">
        <v>9</v>
      </c>
      <c r="E136" s="3" t="s">
        <v>13</v>
      </c>
      <c r="F136" s="3" t="s">
        <v>10</v>
      </c>
      <c r="G136" s="4">
        <v>2918.05</v>
      </c>
    </row>
    <row r="137" spans="2:7" x14ac:dyDescent="0.3">
      <c r="B137" s="3" t="s">
        <v>251</v>
      </c>
      <c r="C137" s="3" t="s">
        <v>252</v>
      </c>
      <c r="D137" s="3" t="s">
        <v>9</v>
      </c>
      <c r="E137" s="3" t="s">
        <v>16</v>
      </c>
      <c r="F137" s="3" t="s">
        <v>10</v>
      </c>
      <c r="G137" s="4">
        <v>2917.16</v>
      </c>
    </row>
    <row r="138" spans="2:7" x14ac:dyDescent="0.3">
      <c r="B138" s="3" t="s">
        <v>253</v>
      </c>
      <c r="C138" s="3" t="s">
        <v>254</v>
      </c>
      <c r="D138" s="3" t="s">
        <v>9</v>
      </c>
      <c r="E138" s="3"/>
      <c r="F138" s="3" t="s">
        <v>10</v>
      </c>
      <c r="G138" s="4">
        <v>2892.54</v>
      </c>
    </row>
    <row r="139" spans="2:7" x14ac:dyDescent="0.3">
      <c r="B139" s="3" t="s">
        <v>255</v>
      </c>
      <c r="C139" s="3" t="s">
        <v>256</v>
      </c>
      <c r="D139" s="3" t="s">
        <v>9</v>
      </c>
      <c r="E139" s="3"/>
      <c r="F139" s="3" t="s">
        <v>10</v>
      </c>
      <c r="G139" s="4">
        <v>2892.23</v>
      </c>
    </row>
    <row r="140" spans="2:7" x14ac:dyDescent="0.3">
      <c r="B140" s="3">
        <v>2409</v>
      </c>
      <c r="C140" s="3" t="s">
        <v>257</v>
      </c>
      <c r="D140" s="3" t="s">
        <v>9</v>
      </c>
      <c r="E140" s="3"/>
      <c r="F140" s="3" t="s">
        <v>10</v>
      </c>
      <c r="G140" s="4">
        <v>2875.76</v>
      </c>
    </row>
    <row r="141" spans="2:7" x14ac:dyDescent="0.3">
      <c r="B141" s="3" t="s">
        <v>258</v>
      </c>
      <c r="C141" s="3" t="s">
        <v>259</v>
      </c>
      <c r="D141" s="3" t="s">
        <v>9</v>
      </c>
      <c r="E141" s="3" t="s">
        <v>16</v>
      </c>
      <c r="F141" s="3" t="s">
        <v>10</v>
      </c>
      <c r="G141" s="4">
        <v>2862.74</v>
      </c>
    </row>
    <row r="142" spans="2:7" x14ac:dyDescent="0.3">
      <c r="B142" s="3" t="s">
        <v>260</v>
      </c>
      <c r="C142" s="3" t="s">
        <v>261</v>
      </c>
      <c r="D142" s="3" t="s">
        <v>9</v>
      </c>
      <c r="E142" s="3"/>
      <c r="F142" s="3" t="s">
        <v>10</v>
      </c>
      <c r="G142" s="4">
        <v>2850.39</v>
      </c>
    </row>
    <row r="143" spans="2:7" x14ac:dyDescent="0.3">
      <c r="B143" s="3">
        <v>5233</v>
      </c>
      <c r="C143" s="3" t="s">
        <v>262</v>
      </c>
      <c r="D143" s="3" t="s">
        <v>9</v>
      </c>
      <c r="E143" s="3"/>
      <c r="F143" s="3" t="s">
        <v>10</v>
      </c>
      <c r="G143" s="4">
        <v>2842.44</v>
      </c>
    </row>
    <row r="144" spans="2:7" x14ac:dyDescent="0.3">
      <c r="B144" s="3">
        <v>6302</v>
      </c>
      <c r="C144" s="3" t="s">
        <v>263</v>
      </c>
      <c r="D144" s="3" t="s">
        <v>9</v>
      </c>
      <c r="E144" s="3"/>
      <c r="F144" s="3" t="s">
        <v>10</v>
      </c>
      <c r="G144" s="4">
        <v>2836.49</v>
      </c>
    </row>
    <row r="145" spans="2:7" x14ac:dyDescent="0.3">
      <c r="B145" s="3">
        <v>2784</v>
      </c>
      <c r="C145" s="3" t="s">
        <v>264</v>
      </c>
      <c r="D145" s="3" t="s">
        <v>9</v>
      </c>
      <c r="E145" s="3"/>
      <c r="F145" s="3" t="s">
        <v>10</v>
      </c>
      <c r="G145" s="4">
        <v>2824.79</v>
      </c>
    </row>
    <row r="146" spans="2:7" x14ac:dyDescent="0.3">
      <c r="B146" s="3">
        <v>6728</v>
      </c>
      <c r="C146" s="3" t="s">
        <v>265</v>
      </c>
      <c r="D146" s="3" t="s">
        <v>9</v>
      </c>
      <c r="E146" s="3"/>
      <c r="F146" s="3" t="s">
        <v>10</v>
      </c>
      <c r="G146" s="4">
        <v>2626.55</v>
      </c>
    </row>
    <row r="147" spans="2:7" x14ac:dyDescent="0.3">
      <c r="B147" s="3" t="s">
        <v>266</v>
      </c>
      <c r="C147" s="3" t="s">
        <v>267</v>
      </c>
      <c r="D147" s="3" t="s">
        <v>9</v>
      </c>
      <c r="E147" s="3" t="s">
        <v>16</v>
      </c>
      <c r="F147" s="3" t="s">
        <v>10</v>
      </c>
      <c r="G147" s="4">
        <v>2619.38</v>
      </c>
    </row>
    <row r="148" spans="2:7" x14ac:dyDescent="0.3">
      <c r="B148" s="3" t="s">
        <v>268</v>
      </c>
      <c r="C148" s="3" t="s">
        <v>269</v>
      </c>
      <c r="D148" s="3" t="s">
        <v>9</v>
      </c>
      <c r="E148" s="3" t="s">
        <v>16</v>
      </c>
      <c r="F148" s="3" t="s">
        <v>10</v>
      </c>
      <c r="G148" s="4">
        <v>2598.42</v>
      </c>
    </row>
    <row r="149" spans="2:7" x14ac:dyDescent="0.3">
      <c r="B149" s="3">
        <v>4967</v>
      </c>
      <c r="C149" s="3" t="s">
        <v>270</v>
      </c>
      <c r="D149" s="3" t="s">
        <v>9</v>
      </c>
      <c r="E149" s="3"/>
      <c r="F149" s="3" t="s">
        <v>10</v>
      </c>
      <c r="G149" s="4">
        <v>2525.9</v>
      </c>
    </row>
    <row r="150" spans="2:7" x14ac:dyDescent="0.3">
      <c r="B150" s="3">
        <v>8088</v>
      </c>
      <c r="C150" s="3" t="s">
        <v>271</v>
      </c>
      <c r="D150" s="3" t="s">
        <v>9</v>
      </c>
      <c r="E150" s="3"/>
      <c r="F150" s="3" t="s">
        <v>10</v>
      </c>
      <c r="G150" s="4">
        <v>2421.38</v>
      </c>
    </row>
    <row r="151" spans="2:7" x14ac:dyDescent="0.3">
      <c r="B151" s="3">
        <v>6141</v>
      </c>
      <c r="C151" s="3" t="s">
        <v>272</v>
      </c>
      <c r="D151" s="3" t="s">
        <v>9</v>
      </c>
      <c r="E151" s="3"/>
      <c r="F151" s="3" t="s">
        <v>10</v>
      </c>
      <c r="G151" s="4">
        <v>2382.64</v>
      </c>
    </row>
    <row r="152" spans="2:7" x14ac:dyDescent="0.3">
      <c r="B152" s="3" t="s">
        <v>273</v>
      </c>
      <c r="C152" s="3" t="s">
        <v>274</v>
      </c>
      <c r="D152" s="3" t="s">
        <v>9</v>
      </c>
      <c r="E152" s="3"/>
      <c r="F152" s="3" t="s">
        <v>10</v>
      </c>
      <c r="G152" s="4">
        <v>2331.61</v>
      </c>
    </row>
    <row r="153" spans="2:7" x14ac:dyDescent="0.3">
      <c r="B153" s="3" t="s">
        <v>275</v>
      </c>
      <c r="C153" s="3" t="s">
        <v>276</v>
      </c>
      <c r="D153" s="3" t="s">
        <v>9</v>
      </c>
      <c r="E153" s="3"/>
      <c r="F153" s="3" t="s">
        <v>10</v>
      </c>
      <c r="G153" s="4">
        <v>2316.7399999999998</v>
      </c>
    </row>
    <row r="154" spans="2:7" x14ac:dyDescent="0.3">
      <c r="B154" s="3">
        <v>2607</v>
      </c>
      <c r="C154" s="3" t="s">
        <v>277</v>
      </c>
      <c r="D154" s="3" t="s">
        <v>9</v>
      </c>
      <c r="E154" s="3"/>
      <c r="F154" s="3" t="s">
        <v>10</v>
      </c>
      <c r="G154" s="4">
        <v>2252.48</v>
      </c>
    </row>
    <row r="155" spans="2:7" x14ac:dyDescent="0.3">
      <c r="B155" s="3" t="s">
        <v>278</v>
      </c>
      <c r="C155" s="3" t="s">
        <v>279</v>
      </c>
      <c r="D155" s="3" t="s">
        <v>9</v>
      </c>
      <c r="E155" s="3"/>
      <c r="F155" s="3" t="s">
        <v>10</v>
      </c>
      <c r="G155" s="4">
        <v>2248.83</v>
      </c>
    </row>
    <row r="156" spans="2:7" x14ac:dyDescent="0.3">
      <c r="B156" s="3">
        <v>6544</v>
      </c>
      <c r="C156" s="3" t="s">
        <v>280</v>
      </c>
      <c r="D156" s="3" t="s">
        <v>9</v>
      </c>
      <c r="E156" s="3"/>
      <c r="F156" s="3" t="s">
        <v>10</v>
      </c>
      <c r="G156" s="4">
        <v>2208.09</v>
      </c>
    </row>
    <row r="157" spans="2:7" x14ac:dyDescent="0.3">
      <c r="B157" s="3" t="s">
        <v>281</v>
      </c>
      <c r="C157" s="3" t="s">
        <v>282</v>
      </c>
      <c r="D157" s="3" t="s">
        <v>9</v>
      </c>
      <c r="E157" s="3" t="s">
        <v>16</v>
      </c>
      <c r="F157" s="3" t="s">
        <v>10</v>
      </c>
      <c r="G157" s="4">
        <v>2205.94</v>
      </c>
    </row>
    <row r="158" spans="2:7" x14ac:dyDescent="0.3">
      <c r="B158" s="3">
        <v>9048</v>
      </c>
      <c r="C158" s="3" t="s">
        <v>283</v>
      </c>
      <c r="D158" s="3" t="s">
        <v>9</v>
      </c>
      <c r="E158" s="3"/>
      <c r="F158" s="3" t="s">
        <v>10</v>
      </c>
      <c r="G158" s="4">
        <v>2190.17</v>
      </c>
    </row>
    <row r="159" spans="2:7" x14ac:dyDescent="0.3">
      <c r="B159" s="3" t="s">
        <v>284</v>
      </c>
      <c r="C159" s="3" t="s">
        <v>285</v>
      </c>
      <c r="D159" s="3" t="s">
        <v>9</v>
      </c>
      <c r="E159" s="3"/>
      <c r="F159" s="3" t="s">
        <v>10</v>
      </c>
      <c r="G159" s="4">
        <v>2178.6</v>
      </c>
    </row>
    <row r="160" spans="2:7" x14ac:dyDescent="0.3">
      <c r="B160" s="3">
        <v>9076</v>
      </c>
      <c r="C160" s="3" t="s">
        <v>286</v>
      </c>
      <c r="D160" s="3" t="s">
        <v>9</v>
      </c>
      <c r="E160" s="3"/>
      <c r="F160" s="3" t="s">
        <v>10</v>
      </c>
      <c r="G160" s="4">
        <v>2113.29</v>
      </c>
    </row>
    <row r="161" spans="2:7" x14ac:dyDescent="0.3">
      <c r="B161" s="3">
        <v>6330</v>
      </c>
      <c r="C161" s="3" t="s">
        <v>287</v>
      </c>
      <c r="D161" s="3" t="s">
        <v>9</v>
      </c>
      <c r="E161" s="3"/>
      <c r="F161" s="3" t="s">
        <v>10</v>
      </c>
      <c r="G161" s="4">
        <v>2060.84</v>
      </c>
    </row>
    <row r="162" spans="2:7" x14ac:dyDescent="0.3">
      <c r="B162" s="3" t="s">
        <v>288</v>
      </c>
      <c r="C162" s="3" t="s">
        <v>289</v>
      </c>
      <c r="D162" s="3" t="s">
        <v>9</v>
      </c>
      <c r="E162" s="3" t="s">
        <v>16</v>
      </c>
      <c r="F162" s="3" t="s">
        <v>10</v>
      </c>
      <c r="G162" s="4">
        <v>1974.38</v>
      </c>
    </row>
    <row r="163" spans="2:7" x14ac:dyDescent="0.3">
      <c r="B163" s="3">
        <v>8050</v>
      </c>
      <c r="C163" s="3" t="s">
        <v>290</v>
      </c>
      <c r="D163" s="3" t="s">
        <v>9</v>
      </c>
      <c r="E163" s="3"/>
      <c r="F163" s="3" t="s">
        <v>10</v>
      </c>
      <c r="G163" s="4">
        <v>1936.78</v>
      </c>
    </row>
    <row r="164" spans="2:7" x14ac:dyDescent="0.3">
      <c r="B164" s="3" t="s">
        <v>291</v>
      </c>
      <c r="C164" s="3" t="s">
        <v>292</v>
      </c>
      <c r="D164" s="3" t="s">
        <v>9</v>
      </c>
      <c r="E164" s="3"/>
      <c r="F164" s="3" t="s">
        <v>10</v>
      </c>
      <c r="G164" s="4">
        <v>1929.23</v>
      </c>
    </row>
    <row r="165" spans="2:7" x14ac:dyDescent="0.3">
      <c r="B165" s="3" t="s">
        <v>293</v>
      </c>
      <c r="C165" s="3" t="s">
        <v>294</v>
      </c>
      <c r="D165" s="3" t="s">
        <v>9</v>
      </c>
      <c r="E165" s="3"/>
      <c r="F165" s="3" t="s">
        <v>10</v>
      </c>
      <c r="G165" s="4">
        <v>1904.49</v>
      </c>
    </row>
    <row r="166" spans="2:7" x14ac:dyDescent="0.3">
      <c r="B166" s="3">
        <v>7906</v>
      </c>
      <c r="C166" s="3" t="s">
        <v>295</v>
      </c>
      <c r="D166" s="3" t="s">
        <v>9</v>
      </c>
      <c r="E166" s="3"/>
      <c r="F166" s="3" t="s">
        <v>10</v>
      </c>
      <c r="G166" s="4">
        <v>1901.5</v>
      </c>
    </row>
    <row r="167" spans="2:7" x14ac:dyDescent="0.3">
      <c r="B167" s="3" t="s">
        <v>296</v>
      </c>
      <c r="C167" s="3" t="s">
        <v>297</v>
      </c>
      <c r="D167" s="3" t="s">
        <v>9</v>
      </c>
      <c r="E167" s="3"/>
      <c r="F167" s="3" t="s">
        <v>10</v>
      </c>
      <c r="G167" s="4">
        <v>1876.6</v>
      </c>
    </row>
    <row r="168" spans="2:7" x14ac:dyDescent="0.3">
      <c r="B168" s="3" t="s">
        <v>298</v>
      </c>
      <c r="C168" s="3" t="s">
        <v>299</v>
      </c>
      <c r="D168" s="3" t="s">
        <v>9</v>
      </c>
      <c r="E168" s="3"/>
      <c r="F168" s="3" t="s">
        <v>10</v>
      </c>
      <c r="G168" s="4">
        <v>1873.09</v>
      </c>
    </row>
    <row r="169" spans="2:7" x14ac:dyDescent="0.3">
      <c r="B169" s="3" t="s">
        <v>300</v>
      </c>
      <c r="C169" s="3" t="s">
        <v>301</v>
      </c>
      <c r="D169" s="3" t="s">
        <v>9</v>
      </c>
      <c r="E169" s="3"/>
      <c r="F169" s="3" t="s">
        <v>10</v>
      </c>
      <c r="G169" s="4">
        <v>1828.49</v>
      </c>
    </row>
    <row r="170" spans="2:7" x14ac:dyDescent="0.3">
      <c r="B170" s="3" t="s">
        <v>302</v>
      </c>
      <c r="C170" s="3" t="s">
        <v>303</v>
      </c>
      <c r="D170" s="3" t="s">
        <v>9</v>
      </c>
      <c r="E170" s="3"/>
      <c r="F170" s="3" t="s">
        <v>10</v>
      </c>
      <c r="G170" s="4">
        <v>1821.38</v>
      </c>
    </row>
    <row r="171" spans="2:7" x14ac:dyDescent="0.3">
      <c r="B171" s="3" t="s">
        <v>304</v>
      </c>
      <c r="C171" s="3" t="s">
        <v>305</v>
      </c>
      <c r="D171" s="3" t="s">
        <v>9</v>
      </c>
      <c r="E171" s="3" t="s">
        <v>16</v>
      </c>
      <c r="F171" s="3" t="s">
        <v>10</v>
      </c>
      <c r="G171" s="4">
        <v>1818.06</v>
      </c>
    </row>
    <row r="172" spans="2:7" x14ac:dyDescent="0.3">
      <c r="B172" s="3" t="s">
        <v>306</v>
      </c>
      <c r="C172" s="3" t="s">
        <v>307</v>
      </c>
      <c r="D172" s="3" t="s">
        <v>9</v>
      </c>
      <c r="E172" s="3"/>
      <c r="F172" s="3" t="s">
        <v>10</v>
      </c>
      <c r="G172" s="4">
        <v>1812.84</v>
      </c>
    </row>
    <row r="173" spans="2:7" x14ac:dyDescent="0.3">
      <c r="B173" s="3">
        <v>6324</v>
      </c>
      <c r="C173" s="3" t="s">
        <v>308</v>
      </c>
      <c r="D173" s="3" t="s">
        <v>9</v>
      </c>
      <c r="E173" s="3"/>
      <c r="F173" s="3" t="s">
        <v>10</v>
      </c>
      <c r="G173" s="4">
        <v>1794.48</v>
      </c>
    </row>
    <row r="174" spans="2:7" x14ac:dyDescent="0.3">
      <c r="B174" s="3">
        <v>8524</v>
      </c>
      <c r="C174" s="3" t="s">
        <v>309</v>
      </c>
      <c r="D174" s="3" t="s">
        <v>9</v>
      </c>
      <c r="E174" s="3"/>
      <c r="F174" s="3" t="s">
        <v>10</v>
      </c>
      <c r="G174" s="4">
        <v>1793.08</v>
      </c>
    </row>
    <row r="175" spans="2:7" x14ac:dyDescent="0.3">
      <c r="B175" s="3">
        <v>1414</v>
      </c>
      <c r="C175" s="3" t="s">
        <v>310</v>
      </c>
      <c r="D175" s="3" t="s">
        <v>9</v>
      </c>
      <c r="E175" s="3"/>
      <c r="F175" s="3" t="s">
        <v>10</v>
      </c>
      <c r="G175" s="4">
        <v>1777.76</v>
      </c>
    </row>
    <row r="176" spans="2:7" x14ac:dyDescent="0.3">
      <c r="B176" s="3" t="s">
        <v>311</v>
      </c>
      <c r="C176" s="3" t="s">
        <v>312</v>
      </c>
      <c r="D176" s="3" t="s">
        <v>9</v>
      </c>
      <c r="E176" s="3"/>
      <c r="F176" s="3" t="s">
        <v>10</v>
      </c>
      <c r="G176" s="4">
        <v>1773.92</v>
      </c>
    </row>
    <row r="177" spans="2:7" x14ac:dyDescent="0.3">
      <c r="B177" s="3" t="s">
        <v>313</v>
      </c>
      <c r="C177" s="3" t="s">
        <v>314</v>
      </c>
      <c r="D177" s="3" t="s">
        <v>9</v>
      </c>
      <c r="E177" s="3"/>
      <c r="F177" s="3" t="s">
        <v>10</v>
      </c>
      <c r="G177" s="4">
        <v>1764.76</v>
      </c>
    </row>
    <row r="178" spans="2:7" x14ac:dyDescent="0.3">
      <c r="B178" s="3">
        <v>4118</v>
      </c>
      <c r="C178" s="3" t="s">
        <v>315</v>
      </c>
      <c r="D178" s="3" t="s">
        <v>9</v>
      </c>
      <c r="E178" s="3"/>
      <c r="F178" s="3" t="s">
        <v>10</v>
      </c>
      <c r="G178" s="4">
        <v>1718.68</v>
      </c>
    </row>
    <row r="179" spans="2:7" x14ac:dyDescent="0.3">
      <c r="B179" s="3" t="s">
        <v>316</v>
      </c>
      <c r="C179" s="3" t="s">
        <v>317</v>
      </c>
      <c r="D179" s="3" t="s">
        <v>9</v>
      </c>
      <c r="E179" s="3"/>
      <c r="F179" s="3" t="s">
        <v>10</v>
      </c>
      <c r="G179" s="4">
        <v>1709.19</v>
      </c>
    </row>
    <row r="180" spans="2:7" x14ac:dyDescent="0.3">
      <c r="B180" s="3" t="s">
        <v>318</v>
      </c>
      <c r="C180" s="3" t="s">
        <v>319</v>
      </c>
      <c r="D180" s="3" t="s">
        <v>9</v>
      </c>
      <c r="E180" s="3"/>
      <c r="F180" s="3" t="s">
        <v>10</v>
      </c>
      <c r="G180" s="4">
        <v>1702.23</v>
      </c>
    </row>
    <row r="181" spans="2:7" x14ac:dyDescent="0.3">
      <c r="B181" s="3" t="s">
        <v>320</v>
      </c>
      <c r="C181" s="3" t="s">
        <v>321</v>
      </c>
      <c r="D181" s="3" t="s">
        <v>9</v>
      </c>
      <c r="E181" s="3"/>
      <c r="F181" s="3" t="s">
        <v>10</v>
      </c>
      <c r="G181" s="4">
        <v>1671.75</v>
      </c>
    </row>
    <row r="182" spans="2:7" x14ac:dyDescent="0.3">
      <c r="B182" s="3" t="s">
        <v>322</v>
      </c>
      <c r="C182" s="3" t="s">
        <v>323</v>
      </c>
      <c r="D182" s="3" t="s">
        <v>9</v>
      </c>
      <c r="E182" s="3"/>
      <c r="F182" s="3" t="s">
        <v>10</v>
      </c>
      <c r="G182" s="4">
        <v>1527.51</v>
      </c>
    </row>
    <row r="183" spans="2:7" x14ac:dyDescent="0.3">
      <c r="B183" s="3" t="s">
        <v>324</v>
      </c>
      <c r="C183" s="3" t="s">
        <v>325</v>
      </c>
      <c r="D183" s="3" t="s">
        <v>9</v>
      </c>
      <c r="E183" s="3"/>
      <c r="F183" s="3" t="s">
        <v>10</v>
      </c>
      <c r="G183" s="4">
        <v>1463.32</v>
      </c>
    </row>
    <row r="184" spans="2:7" x14ac:dyDescent="0.3">
      <c r="B184" s="3" t="s">
        <v>326</v>
      </c>
      <c r="C184" s="3" t="s">
        <v>327</v>
      </c>
      <c r="D184" s="3" t="s">
        <v>9</v>
      </c>
      <c r="E184" s="3" t="s">
        <v>16</v>
      </c>
      <c r="F184" s="3" t="s">
        <v>10</v>
      </c>
      <c r="G184" s="4">
        <v>1457.27</v>
      </c>
    </row>
    <row r="185" spans="2:7" x14ac:dyDescent="0.3">
      <c r="B185" s="3">
        <v>501425</v>
      </c>
      <c r="C185" s="3" t="s">
        <v>328</v>
      </c>
      <c r="D185" s="3" t="s">
        <v>9</v>
      </c>
      <c r="E185" s="3"/>
      <c r="F185" s="3" t="s">
        <v>10</v>
      </c>
      <c r="G185" s="4">
        <v>1450.86</v>
      </c>
    </row>
    <row r="186" spans="2:7" x14ac:dyDescent="0.3">
      <c r="B186" s="3" t="s">
        <v>329</v>
      </c>
      <c r="C186" s="3" t="s">
        <v>330</v>
      </c>
      <c r="D186" s="3" t="s">
        <v>9</v>
      </c>
      <c r="E186" s="3" t="s">
        <v>16</v>
      </c>
      <c r="F186" s="3" t="s">
        <v>10</v>
      </c>
      <c r="G186" s="4">
        <v>1428.8</v>
      </c>
    </row>
    <row r="187" spans="2:7" x14ac:dyDescent="0.3">
      <c r="B187" s="3">
        <v>2201</v>
      </c>
      <c r="C187" s="3" t="s">
        <v>331</v>
      </c>
      <c r="D187" s="3" t="s">
        <v>9</v>
      </c>
      <c r="E187" s="3"/>
      <c r="F187" s="3" t="s">
        <v>10</v>
      </c>
      <c r="G187" s="4">
        <v>1427.78</v>
      </c>
    </row>
    <row r="188" spans="2:7" x14ac:dyDescent="0.3">
      <c r="B188" s="3" t="s">
        <v>332</v>
      </c>
      <c r="C188" s="3" t="s">
        <v>333</v>
      </c>
      <c r="D188" s="3" t="s">
        <v>9</v>
      </c>
      <c r="E188" s="3"/>
      <c r="F188" s="3" t="s">
        <v>10</v>
      </c>
      <c r="G188" s="4">
        <v>1412.27</v>
      </c>
    </row>
    <row r="189" spans="2:7" x14ac:dyDescent="0.3">
      <c r="B189" s="3">
        <v>4966</v>
      </c>
      <c r="C189" s="3" t="s">
        <v>334</v>
      </c>
      <c r="D189" s="3" t="s">
        <v>9</v>
      </c>
      <c r="E189" s="3"/>
      <c r="F189" s="3" t="s">
        <v>10</v>
      </c>
      <c r="G189" s="4">
        <v>1411.5</v>
      </c>
    </row>
    <row r="190" spans="2:7" x14ac:dyDescent="0.3">
      <c r="B190" s="3" t="s">
        <v>335</v>
      </c>
      <c r="C190" s="3" t="s">
        <v>336</v>
      </c>
      <c r="D190" s="3" t="s">
        <v>9</v>
      </c>
      <c r="E190" s="3"/>
      <c r="F190" s="3" t="s">
        <v>10</v>
      </c>
      <c r="G190" s="4">
        <v>1406.11</v>
      </c>
    </row>
    <row r="191" spans="2:7" x14ac:dyDescent="0.3">
      <c r="B191" s="3" t="s">
        <v>337</v>
      </c>
      <c r="C191" s="3" t="s">
        <v>338</v>
      </c>
      <c r="D191" s="3" t="s">
        <v>9</v>
      </c>
      <c r="E191" s="3"/>
      <c r="F191" s="3" t="s">
        <v>10</v>
      </c>
      <c r="G191" s="4">
        <v>1399.47</v>
      </c>
    </row>
    <row r="192" spans="2:7" x14ac:dyDescent="0.3">
      <c r="B192" s="3">
        <v>3035</v>
      </c>
      <c r="C192" s="3" t="s">
        <v>339</v>
      </c>
      <c r="D192" s="3" t="s">
        <v>9</v>
      </c>
      <c r="E192" s="3"/>
      <c r="F192" s="3" t="s">
        <v>10</v>
      </c>
      <c r="G192" s="4">
        <v>1397.64</v>
      </c>
    </row>
    <row r="193" spans="2:7" x14ac:dyDescent="0.3">
      <c r="B193" s="3" t="s">
        <v>340</v>
      </c>
      <c r="C193" s="3" t="s">
        <v>341</v>
      </c>
      <c r="D193" s="3" t="s">
        <v>9</v>
      </c>
      <c r="E193" s="3" t="s">
        <v>13</v>
      </c>
      <c r="F193" s="3" t="s">
        <v>10</v>
      </c>
      <c r="G193" s="4">
        <v>1364.13</v>
      </c>
    </row>
    <row r="194" spans="2:7" x14ac:dyDescent="0.3">
      <c r="B194" s="3" t="s">
        <v>342</v>
      </c>
      <c r="C194" s="3" t="s">
        <v>343</v>
      </c>
      <c r="D194" s="3" t="s">
        <v>9</v>
      </c>
      <c r="E194" s="3" t="s">
        <v>13</v>
      </c>
      <c r="F194" s="3" t="s">
        <v>10</v>
      </c>
      <c r="G194" s="4">
        <v>1291.96</v>
      </c>
    </row>
    <row r="195" spans="2:7" x14ac:dyDescent="0.3">
      <c r="B195" s="3" t="s">
        <v>344</v>
      </c>
      <c r="C195" s="3" t="s">
        <v>345</v>
      </c>
      <c r="D195" s="3" t="s">
        <v>9</v>
      </c>
      <c r="E195" s="3"/>
      <c r="F195" s="3" t="s">
        <v>10</v>
      </c>
      <c r="G195" s="4">
        <v>1291.06</v>
      </c>
    </row>
    <row r="196" spans="2:7" x14ac:dyDescent="0.3">
      <c r="B196" s="3" t="s">
        <v>346</v>
      </c>
      <c r="C196" s="3" t="s">
        <v>347</v>
      </c>
      <c r="D196" s="3" t="s">
        <v>9</v>
      </c>
      <c r="E196" s="3" t="s">
        <v>13</v>
      </c>
      <c r="F196" s="3" t="s">
        <v>10</v>
      </c>
      <c r="G196" s="4">
        <v>1283.4000000000001</v>
      </c>
    </row>
    <row r="197" spans="2:7" x14ac:dyDescent="0.3">
      <c r="B197" s="3" t="s">
        <v>348</v>
      </c>
      <c r="C197" s="3" t="s">
        <v>349</v>
      </c>
      <c r="D197" s="3" t="s">
        <v>9</v>
      </c>
      <c r="E197" s="3"/>
      <c r="F197" s="3" t="s">
        <v>10</v>
      </c>
      <c r="G197" s="4">
        <v>1259.17</v>
      </c>
    </row>
    <row r="198" spans="2:7" x14ac:dyDescent="0.3">
      <c r="B198" s="3">
        <v>6412</v>
      </c>
      <c r="C198" s="3" t="s">
        <v>350</v>
      </c>
      <c r="D198" s="3" t="s">
        <v>9</v>
      </c>
      <c r="E198" s="3"/>
      <c r="F198" s="3" t="s">
        <v>10</v>
      </c>
      <c r="G198" s="4">
        <v>1243.6300000000001</v>
      </c>
    </row>
    <row r="199" spans="2:7" x14ac:dyDescent="0.3">
      <c r="B199" s="3" t="s">
        <v>351</v>
      </c>
      <c r="C199" s="3" t="s">
        <v>352</v>
      </c>
      <c r="D199" s="3" t="s">
        <v>9</v>
      </c>
      <c r="E199" s="3"/>
      <c r="F199" s="3" t="s">
        <v>10</v>
      </c>
      <c r="G199" s="4">
        <v>1240.47</v>
      </c>
    </row>
    <row r="200" spans="2:7" x14ac:dyDescent="0.3">
      <c r="B200" s="3" t="s">
        <v>353</v>
      </c>
      <c r="C200" s="3" t="s">
        <v>354</v>
      </c>
      <c r="D200" s="3" t="s">
        <v>9</v>
      </c>
      <c r="E200" s="3"/>
      <c r="F200" s="3" t="s">
        <v>10</v>
      </c>
      <c r="G200" s="4">
        <v>1232.7</v>
      </c>
    </row>
    <row r="201" spans="2:7" x14ac:dyDescent="0.3">
      <c r="B201" s="3" t="s">
        <v>355</v>
      </c>
      <c r="C201" s="3" t="s">
        <v>356</v>
      </c>
      <c r="D201" s="3" t="s">
        <v>9</v>
      </c>
      <c r="E201" s="3"/>
      <c r="F201" s="3" t="s">
        <v>10</v>
      </c>
      <c r="G201" s="4">
        <v>1224.1600000000001</v>
      </c>
    </row>
    <row r="202" spans="2:7" x14ac:dyDescent="0.3">
      <c r="B202" s="3" t="s">
        <v>357</v>
      </c>
      <c r="C202" s="3" t="s">
        <v>358</v>
      </c>
      <c r="D202" s="3" t="s">
        <v>9</v>
      </c>
      <c r="E202" s="3"/>
      <c r="F202" s="3" t="s">
        <v>10</v>
      </c>
      <c r="G202" s="4">
        <v>1204.22</v>
      </c>
    </row>
    <row r="203" spans="2:7" x14ac:dyDescent="0.3">
      <c r="B203" s="3" t="s">
        <v>359</v>
      </c>
      <c r="C203" s="3" t="s">
        <v>360</v>
      </c>
      <c r="D203" s="3" t="s">
        <v>9</v>
      </c>
      <c r="E203" s="3"/>
      <c r="F203" s="3" t="s">
        <v>10</v>
      </c>
      <c r="G203" s="4">
        <v>1200.27</v>
      </c>
    </row>
    <row r="204" spans="2:7" x14ac:dyDescent="0.3">
      <c r="B204" s="3" t="s">
        <v>361</v>
      </c>
      <c r="C204" s="3" t="s">
        <v>362</v>
      </c>
      <c r="D204" s="3" t="s">
        <v>9</v>
      </c>
      <c r="E204" s="3"/>
      <c r="F204" s="3" t="s">
        <v>10</v>
      </c>
      <c r="G204" s="4">
        <v>1175.19</v>
      </c>
    </row>
    <row r="205" spans="2:7" x14ac:dyDescent="0.3">
      <c r="B205" s="3">
        <v>7616</v>
      </c>
      <c r="C205" s="3" t="s">
        <v>363</v>
      </c>
      <c r="D205" s="3" t="s">
        <v>9</v>
      </c>
      <c r="E205" s="3"/>
      <c r="F205" s="3" t="s">
        <v>10</v>
      </c>
      <c r="G205" s="4">
        <v>1174.5999999999999</v>
      </c>
    </row>
    <row r="206" spans="2:7" x14ac:dyDescent="0.3">
      <c r="B206" s="3" t="s">
        <v>364</v>
      </c>
      <c r="C206" s="3" t="s">
        <v>365</v>
      </c>
      <c r="D206" s="3" t="s">
        <v>9</v>
      </c>
      <c r="E206" s="3"/>
      <c r="F206" s="3" t="s">
        <v>10</v>
      </c>
      <c r="G206" s="4">
        <v>1171.52</v>
      </c>
    </row>
    <row r="207" spans="2:7" x14ac:dyDescent="0.3">
      <c r="B207" s="3" t="s">
        <v>366</v>
      </c>
      <c r="C207" s="3" t="s">
        <v>367</v>
      </c>
      <c r="D207" s="3" t="s">
        <v>9</v>
      </c>
      <c r="E207" s="3"/>
      <c r="F207" s="3" t="s">
        <v>10</v>
      </c>
      <c r="G207" s="4">
        <v>1149.04</v>
      </c>
    </row>
    <row r="208" spans="2:7" x14ac:dyDescent="0.3">
      <c r="B208" s="3">
        <v>8361</v>
      </c>
      <c r="C208" s="3" t="s">
        <v>368</v>
      </c>
      <c r="D208" s="3" t="s">
        <v>9</v>
      </c>
      <c r="E208" s="3"/>
      <c r="F208" s="3" t="s">
        <v>10</v>
      </c>
      <c r="G208" s="4">
        <v>1146.4100000000001</v>
      </c>
    </row>
    <row r="209" spans="2:7" x14ac:dyDescent="0.3">
      <c r="B209" s="3" t="s">
        <v>369</v>
      </c>
      <c r="C209" s="3" t="s">
        <v>370</v>
      </c>
      <c r="D209" s="3" t="s">
        <v>9</v>
      </c>
      <c r="E209" s="3"/>
      <c r="F209" s="3" t="s">
        <v>10</v>
      </c>
      <c r="G209" s="4">
        <v>1143</v>
      </c>
    </row>
    <row r="210" spans="2:7" x14ac:dyDescent="0.3">
      <c r="B210" s="3" t="s">
        <v>371</v>
      </c>
      <c r="C210" s="3" t="s">
        <v>372</v>
      </c>
      <c r="D210" s="3" t="s">
        <v>9</v>
      </c>
      <c r="E210" s="3"/>
      <c r="F210" s="3" t="s">
        <v>10</v>
      </c>
      <c r="G210" s="4">
        <v>1141.3399999999999</v>
      </c>
    </row>
    <row r="211" spans="2:7" x14ac:dyDescent="0.3">
      <c r="B211" s="3" t="s">
        <v>373</v>
      </c>
      <c r="C211" s="3" t="s">
        <v>374</v>
      </c>
      <c r="D211" s="3" t="s">
        <v>9</v>
      </c>
      <c r="E211" s="3"/>
      <c r="F211" s="3" t="s">
        <v>10</v>
      </c>
      <c r="G211" s="4">
        <v>1077.3800000000001</v>
      </c>
    </row>
    <row r="212" spans="2:7" x14ac:dyDescent="0.3">
      <c r="B212" s="3" t="s">
        <v>375</v>
      </c>
      <c r="C212" s="3" t="s">
        <v>376</v>
      </c>
      <c r="D212" s="3" t="s">
        <v>9</v>
      </c>
      <c r="E212" s="3"/>
      <c r="F212" s="3" t="s">
        <v>10</v>
      </c>
      <c r="G212" s="4">
        <v>1049.43</v>
      </c>
    </row>
    <row r="213" spans="2:7" x14ac:dyDescent="0.3">
      <c r="B213" s="3">
        <v>4095</v>
      </c>
      <c r="C213" s="3" t="s">
        <v>377</v>
      </c>
      <c r="D213" s="3" t="s">
        <v>9</v>
      </c>
      <c r="E213" s="3"/>
      <c r="F213" s="3" t="s">
        <v>10</v>
      </c>
      <c r="G213" s="4">
        <v>1047.06</v>
      </c>
    </row>
    <row r="214" spans="2:7" x14ac:dyDescent="0.3">
      <c r="B214" s="3">
        <v>6055</v>
      </c>
      <c r="C214" s="3" t="s">
        <v>378</v>
      </c>
      <c r="D214" s="3" t="s">
        <v>9</v>
      </c>
      <c r="E214" s="3"/>
      <c r="F214" s="3" t="s">
        <v>10</v>
      </c>
      <c r="G214" s="4">
        <v>1034.8499999999999</v>
      </c>
    </row>
    <row r="215" spans="2:7" x14ac:dyDescent="0.3">
      <c r="B215" s="3" t="s">
        <v>379</v>
      </c>
      <c r="C215" s="3" t="s">
        <v>380</v>
      </c>
      <c r="D215" s="3" t="s">
        <v>9</v>
      </c>
      <c r="E215" s="3"/>
      <c r="F215" s="3" t="s">
        <v>10</v>
      </c>
      <c r="G215" s="4">
        <v>1006.53</v>
      </c>
    </row>
    <row r="216" spans="2:7" x14ac:dyDescent="0.3">
      <c r="B216" s="3">
        <v>9075</v>
      </c>
      <c r="C216" s="3" t="s">
        <v>381</v>
      </c>
      <c r="D216" s="3" t="s">
        <v>9</v>
      </c>
      <c r="E216" s="3"/>
      <c r="F216" s="3" t="s">
        <v>10</v>
      </c>
      <c r="G216" s="4">
        <v>997.92</v>
      </c>
    </row>
    <row r="217" spans="2:7" x14ac:dyDescent="0.3">
      <c r="B217" s="3">
        <v>5331</v>
      </c>
      <c r="C217" s="3" t="s">
        <v>382</v>
      </c>
      <c r="D217" s="3" t="s">
        <v>9</v>
      </c>
      <c r="E217" s="3"/>
      <c r="F217" s="3" t="s">
        <v>10</v>
      </c>
      <c r="G217" s="4">
        <v>994.93</v>
      </c>
    </row>
    <row r="218" spans="2:7" x14ac:dyDescent="0.3">
      <c r="B218" s="3" t="s">
        <v>383</v>
      </c>
      <c r="C218" s="3" t="s">
        <v>384</v>
      </c>
      <c r="D218" s="3" t="s">
        <v>9</v>
      </c>
      <c r="E218" s="3"/>
      <c r="F218" s="3" t="s">
        <v>10</v>
      </c>
      <c r="G218" s="4">
        <v>975.93</v>
      </c>
    </row>
    <row r="219" spans="2:7" x14ac:dyDescent="0.3">
      <c r="B219" s="3" t="s">
        <v>385</v>
      </c>
      <c r="C219" s="3" t="s">
        <v>386</v>
      </c>
      <c r="D219" s="3" t="s">
        <v>9</v>
      </c>
      <c r="E219" s="3"/>
      <c r="F219" s="3" t="s">
        <v>10</v>
      </c>
      <c r="G219" s="4">
        <v>972.63</v>
      </c>
    </row>
    <row r="220" spans="2:7" x14ac:dyDescent="0.3">
      <c r="B220" s="3">
        <v>6395</v>
      </c>
      <c r="C220" s="3" t="s">
        <v>387</v>
      </c>
      <c r="D220" s="3" t="s">
        <v>9</v>
      </c>
      <c r="E220" s="3"/>
      <c r="F220" s="3" t="s">
        <v>10</v>
      </c>
      <c r="G220" s="4">
        <v>946.37</v>
      </c>
    </row>
    <row r="221" spans="2:7" x14ac:dyDescent="0.3">
      <c r="B221" s="3">
        <v>4628</v>
      </c>
      <c r="C221" s="3" t="s">
        <v>388</v>
      </c>
      <c r="D221" s="3" t="s">
        <v>9</v>
      </c>
      <c r="E221" s="3"/>
      <c r="F221" s="3" t="s">
        <v>10</v>
      </c>
      <c r="G221" s="4">
        <v>941.07</v>
      </c>
    </row>
    <row r="222" spans="2:7" x14ac:dyDescent="0.3">
      <c r="B222" s="3" t="s">
        <v>389</v>
      </c>
      <c r="C222" s="3" t="s">
        <v>390</v>
      </c>
      <c r="D222" s="3" t="s">
        <v>9</v>
      </c>
      <c r="E222" s="3" t="s">
        <v>13</v>
      </c>
      <c r="F222" s="3" t="s">
        <v>10</v>
      </c>
      <c r="G222" s="4">
        <v>906.78</v>
      </c>
    </row>
    <row r="223" spans="2:7" x14ac:dyDescent="0.3">
      <c r="B223" s="3" t="s">
        <v>391</v>
      </c>
      <c r="C223" s="3" t="s">
        <v>392</v>
      </c>
      <c r="D223" s="3" t="s">
        <v>9</v>
      </c>
      <c r="E223" s="3" t="s">
        <v>13</v>
      </c>
      <c r="F223" s="3" t="s">
        <v>10</v>
      </c>
      <c r="G223" s="4">
        <v>903.85</v>
      </c>
    </row>
    <row r="224" spans="2:7" x14ac:dyDescent="0.3">
      <c r="B224" s="3" t="s">
        <v>393</v>
      </c>
      <c r="C224" s="3" t="s">
        <v>394</v>
      </c>
      <c r="D224" s="3" t="s">
        <v>9</v>
      </c>
      <c r="E224" s="3"/>
      <c r="F224" s="3" t="s">
        <v>10</v>
      </c>
      <c r="G224" s="4">
        <v>881.77</v>
      </c>
    </row>
    <row r="225" spans="2:7" x14ac:dyDescent="0.3">
      <c r="B225" s="3" t="s">
        <v>395</v>
      </c>
      <c r="C225" s="3" t="s">
        <v>396</v>
      </c>
      <c r="D225" s="3" t="s">
        <v>9</v>
      </c>
      <c r="E225" s="3"/>
      <c r="F225" s="3" t="s">
        <v>10</v>
      </c>
      <c r="G225" s="4">
        <v>876.42</v>
      </c>
    </row>
    <row r="226" spans="2:7" x14ac:dyDescent="0.3">
      <c r="B226" s="3" t="s">
        <v>397</v>
      </c>
      <c r="C226" s="3" t="s">
        <v>398</v>
      </c>
      <c r="D226" s="3" t="s">
        <v>9</v>
      </c>
      <c r="E226" s="3"/>
      <c r="F226" s="3" t="s">
        <v>10</v>
      </c>
      <c r="G226" s="4">
        <v>861.12</v>
      </c>
    </row>
    <row r="227" spans="2:7" x14ac:dyDescent="0.3">
      <c r="B227" s="3" t="s">
        <v>399</v>
      </c>
      <c r="C227" s="3" t="s">
        <v>400</v>
      </c>
      <c r="D227" s="3" t="s">
        <v>9</v>
      </c>
      <c r="E227" s="3"/>
      <c r="F227" s="3" t="s">
        <v>10</v>
      </c>
      <c r="G227" s="4">
        <v>860.75</v>
      </c>
    </row>
    <row r="228" spans="2:7" x14ac:dyDescent="0.3">
      <c r="B228" s="3" t="s">
        <v>401</v>
      </c>
      <c r="C228" s="3" t="s">
        <v>402</v>
      </c>
      <c r="D228" s="3" t="s">
        <v>9</v>
      </c>
      <c r="E228" s="3"/>
      <c r="F228" s="3" t="s">
        <v>10</v>
      </c>
      <c r="G228" s="4">
        <v>848.04</v>
      </c>
    </row>
    <row r="229" spans="2:7" x14ac:dyDescent="0.3">
      <c r="B229" s="3">
        <v>7552</v>
      </c>
      <c r="C229" s="3" t="s">
        <v>403</v>
      </c>
      <c r="D229" s="3" t="s">
        <v>9</v>
      </c>
      <c r="E229" s="3"/>
      <c r="F229" s="3" t="s">
        <v>10</v>
      </c>
      <c r="G229" s="4">
        <v>840.7</v>
      </c>
    </row>
    <row r="230" spans="2:7" x14ac:dyDescent="0.3">
      <c r="B230" s="3">
        <v>7226</v>
      </c>
      <c r="C230" s="3" t="s">
        <v>404</v>
      </c>
      <c r="D230" s="3" t="s">
        <v>9</v>
      </c>
      <c r="E230" s="3"/>
      <c r="F230" s="3" t="s">
        <v>10</v>
      </c>
      <c r="G230" s="4">
        <v>835.14</v>
      </c>
    </row>
    <row r="231" spans="2:7" x14ac:dyDescent="0.3">
      <c r="B231" s="3" t="s">
        <v>405</v>
      </c>
      <c r="C231" s="3" t="s">
        <v>406</v>
      </c>
      <c r="D231" s="3" t="s">
        <v>9</v>
      </c>
      <c r="E231" s="3" t="s">
        <v>16</v>
      </c>
      <c r="F231" s="3" t="s">
        <v>10</v>
      </c>
      <c r="G231" s="4">
        <v>832.26</v>
      </c>
    </row>
    <row r="232" spans="2:7" x14ac:dyDescent="0.3">
      <c r="B232" s="3" t="s">
        <v>407</v>
      </c>
      <c r="C232" s="3" t="s">
        <v>408</v>
      </c>
      <c r="D232" s="3" t="s">
        <v>9</v>
      </c>
      <c r="E232" s="3"/>
      <c r="F232" s="3" t="s">
        <v>10</v>
      </c>
      <c r="G232" s="4">
        <v>827.85</v>
      </c>
    </row>
    <row r="233" spans="2:7" x14ac:dyDescent="0.3">
      <c r="B233" s="3" t="s">
        <v>409</v>
      </c>
      <c r="C233" s="3" t="s">
        <v>410</v>
      </c>
      <c r="D233" s="3" t="s">
        <v>9</v>
      </c>
      <c r="E233" s="3"/>
      <c r="F233" s="3" t="s">
        <v>10</v>
      </c>
      <c r="G233" s="4">
        <v>826.43</v>
      </c>
    </row>
    <row r="234" spans="2:7" x14ac:dyDescent="0.3">
      <c r="B234" s="3" t="s">
        <v>411</v>
      </c>
      <c r="C234" s="3" t="s">
        <v>412</v>
      </c>
      <c r="D234" s="3" t="s">
        <v>9</v>
      </c>
      <c r="E234" s="3"/>
      <c r="F234" s="3" t="s">
        <v>10</v>
      </c>
      <c r="G234" s="4">
        <v>806.2</v>
      </c>
    </row>
    <row r="235" spans="2:7" x14ac:dyDescent="0.3">
      <c r="B235" s="3" t="s">
        <v>413</v>
      </c>
      <c r="C235" s="3" t="s">
        <v>414</v>
      </c>
      <c r="D235" s="3" t="s">
        <v>9</v>
      </c>
      <c r="E235" s="3"/>
      <c r="F235" s="3" t="s">
        <v>10</v>
      </c>
      <c r="G235" s="4">
        <v>776.74</v>
      </c>
    </row>
    <row r="236" spans="2:7" x14ac:dyDescent="0.3">
      <c r="B236" s="3">
        <v>530343</v>
      </c>
      <c r="C236" s="3" t="s">
        <v>415</v>
      </c>
      <c r="D236" s="3" t="s">
        <v>9</v>
      </c>
      <c r="E236" s="3"/>
      <c r="F236" s="3" t="s">
        <v>10</v>
      </c>
      <c r="G236" s="4">
        <v>774.97</v>
      </c>
    </row>
    <row r="237" spans="2:7" x14ac:dyDescent="0.3">
      <c r="B237" s="3" t="s">
        <v>416</v>
      </c>
      <c r="C237" s="3" t="s">
        <v>417</v>
      </c>
      <c r="D237" s="3" t="s">
        <v>9</v>
      </c>
      <c r="E237" s="3"/>
      <c r="F237" s="3" t="s">
        <v>10</v>
      </c>
      <c r="G237" s="4">
        <v>768.45</v>
      </c>
    </row>
    <row r="238" spans="2:7" x14ac:dyDescent="0.3">
      <c r="B238" s="3">
        <v>5232</v>
      </c>
      <c r="C238" s="3" t="s">
        <v>418</v>
      </c>
      <c r="D238" s="3" t="s">
        <v>9</v>
      </c>
      <c r="E238" s="3"/>
      <c r="F238" s="3" t="s">
        <v>10</v>
      </c>
      <c r="G238" s="4">
        <v>758.22</v>
      </c>
    </row>
    <row r="239" spans="2:7" x14ac:dyDescent="0.3">
      <c r="B239" s="3" t="s">
        <v>419</v>
      </c>
      <c r="C239" s="3" t="s">
        <v>420</v>
      </c>
      <c r="D239" s="3" t="s">
        <v>9</v>
      </c>
      <c r="E239" s="3"/>
      <c r="F239" s="3" t="s">
        <v>10</v>
      </c>
      <c r="G239" s="4">
        <v>751.51</v>
      </c>
    </row>
    <row r="240" spans="2:7" x14ac:dyDescent="0.3">
      <c r="B240" s="3" t="s">
        <v>421</v>
      </c>
      <c r="C240" s="3" t="s">
        <v>422</v>
      </c>
      <c r="D240" s="3" t="s">
        <v>9</v>
      </c>
      <c r="E240" s="3"/>
      <c r="F240" s="3" t="s">
        <v>10</v>
      </c>
      <c r="G240" s="4">
        <v>748.62</v>
      </c>
    </row>
    <row r="241" spans="2:7" x14ac:dyDescent="0.3">
      <c r="B241" s="3">
        <v>6016</v>
      </c>
      <c r="C241" s="3" t="s">
        <v>423</v>
      </c>
      <c r="D241" s="3" t="s">
        <v>9</v>
      </c>
      <c r="E241" s="3"/>
      <c r="F241" s="3" t="s">
        <v>10</v>
      </c>
      <c r="G241" s="4">
        <v>740.45</v>
      </c>
    </row>
    <row r="242" spans="2:7" x14ac:dyDescent="0.3">
      <c r="B242" s="3" t="s">
        <v>424</v>
      </c>
      <c r="C242" s="3" t="s">
        <v>425</v>
      </c>
      <c r="D242" s="3" t="s">
        <v>9</v>
      </c>
      <c r="E242" s="3" t="s">
        <v>16</v>
      </c>
      <c r="F242" s="3" t="s">
        <v>10</v>
      </c>
      <c r="G242" s="4">
        <v>735.89</v>
      </c>
    </row>
    <row r="243" spans="2:7" x14ac:dyDescent="0.3">
      <c r="B243" s="3" t="s">
        <v>426</v>
      </c>
      <c r="C243" s="3" t="s">
        <v>427</v>
      </c>
      <c r="D243" s="3" t="s">
        <v>9</v>
      </c>
      <c r="E243" s="3"/>
      <c r="F243" s="3" t="s">
        <v>10</v>
      </c>
      <c r="G243" s="4">
        <v>724.89</v>
      </c>
    </row>
    <row r="244" spans="2:7" x14ac:dyDescent="0.3">
      <c r="B244" s="3">
        <v>5842</v>
      </c>
      <c r="C244" s="3" t="s">
        <v>428</v>
      </c>
      <c r="D244" s="3" t="s">
        <v>9</v>
      </c>
      <c r="E244" s="3"/>
      <c r="F244" s="3" t="s">
        <v>10</v>
      </c>
      <c r="G244" s="4">
        <v>718.74</v>
      </c>
    </row>
    <row r="245" spans="2:7" x14ac:dyDescent="0.3">
      <c r="B245" s="3">
        <v>533160</v>
      </c>
      <c r="C245" s="3" t="s">
        <v>429</v>
      </c>
      <c r="D245" s="3" t="s">
        <v>9</v>
      </c>
      <c r="E245" s="3"/>
      <c r="F245" s="3" t="s">
        <v>10</v>
      </c>
      <c r="G245" s="4">
        <v>716.75</v>
      </c>
    </row>
    <row r="246" spans="2:7" x14ac:dyDescent="0.3">
      <c r="B246" s="3" t="s">
        <v>430</v>
      </c>
      <c r="C246" s="3" t="s">
        <v>431</v>
      </c>
      <c r="D246" s="3" t="s">
        <v>9</v>
      </c>
      <c r="E246" s="3" t="s">
        <v>13</v>
      </c>
      <c r="F246" s="3" t="s">
        <v>10</v>
      </c>
      <c r="G246" s="4">
        <v>714.28</v>
      </c>
    </row>
    <row r="247" spans="2:7" x14ac:dyDescent="0.3">
      <c r="B247" s="3" t="s">
        <v>432</v>
      </c>
      <c r="C247" s="3" t="s">
        <v>433</v>
      </c>
      <c r="D247" s="3" t="s">
        <v>9</v>
      </c>
      <c r="E247" s="3"/>
      <c r="F247" s="3" t="s">
        <v>10</v>
      </c>
      <c r="G247" s="4">
        <v>700.71</v>
      </c>
    </row>
    <row r="248" spans="2:7" x14ac:dyDescent="0.3">
      <c r="B248" s="3" t="s">
        <v>434</v>
      </c>
      <c r="C248" s="3" t="s">
        <v>435</v>
      </c>
      <c r="D248" s="3" t="s">
        <v>9</v>
      </c>
      <c r="E248" s="3"/>
      <c r="F248" s="3" t="s">
        <v>10</v>
      </c>
      <c r="G248" s="4">
        <v>687.1</v>
      </c>
    </row>
    <row r="249" spans="2:7" x14ac:dyDescent="0.3">
      <c r="B249" s="3">
        <v>8117</v>
      </c>
      <c r="C249" s="3" t="s">
        <v>436</v>
      </c>
      <c r="D249" s="3" t="s">
        <v>9</v>
      </c>
      <c r="E249" s="3"/>
      <c r="F249" s="3" t="s">
        <v>10</v>
      </c>
      <c r="G249" s="4">
        <v>666.36</v>
      </c>
    </row>
    <row r="250" spans="2:7" x14ac:dyDescent="0.3">
      <c r="B250" s="3">
        <v>6458</v>
      </c>
      <c r="C250" s="3" t="s">
        <v>437</v>
      </c>
      <c r="D250" s="3" t="s">
        <v>9</v>
      </c>
      <c r="E250" s="3"/>
      <c r="F250" s="3" t="s">
        <v>10</v>
      </c>
      <c r="G250" s="4">
        <v>658.29</v>
      </c>
    </row>
    <row r="251" spans="2:7" x14ac:dyDescent="0.3">
      <c r="B251" s="3">
        <v>2733</v>
      </c>
      <c r="C251" s="3" t="s">
        <v>438</v>
      </c>
      <c r="D251" s="3" t="s">
        <v>9</v>
      </c>
      <c r="E251" s="3"/>
      <c r="F251" s="3" t="s">
        <v>10</v>
      </c>
      <c r="G251" s="4">
        <v>648.58000000000004</v>
      </c>
    </row>
    <row r="252" spans="2:7" x14ac:dyDescent="0.3">
      <c r="B252" s="3" t="s">
        <v>439</v>
      </c>
      <c r="C252" s="3" t="s">
        <v>440</v>
      </c>
      <c r="D252" s="3" t="s">
        <v>9</v>
      </c>
      <c r="E252" s="3"/>
      <c r="F252" s="3" t="s">
        <v>10</v>
      </c>
      <c r="G252" s="4">
        <v>639.54</v>
      </c>
    </row>
    <row r="253" spans="2:7" x14ac:dyDescent="0.3">
      <c r="B253" s="3" t="s">
        <v>441</v>
      </c>
      <c r="C253" s="3" t="s">
        <v>442</v>
      </c>
      <c r="D253" s="3" t="s">
        <v>9</v>
      </c>
      <c r="E253" s="3"/>
      <c r="F253" s="3" t="s">
        <v>10</v>
      </c>
      <c r="G253" s="4">
        <v>635.98</v>
      </c>
    </row>
    <row r="254" spans="2:7" x14ac:dyDescent="0.3">
      <c r="B254" s="3" t="s">
        <v>443</v>
      </c>
      <c r="C254" s="3" t="s">
        <v>444</v>
      </c>
      <c r="D254" s="3" t="s">
        <v>9</v>
      </c>
      <c r="E254" s="3"/>
      <c r="F254" s="3" t="s">
        <v>10</v>
      </c>
      <c r="G254" s="4">
        <v>631.41999999999996</v>
      </c>
    </row>
    <row r="255" spans="2:7" x14ac:dyDescent="0.3">
      <c r="B255" s="3">
        <v>5943</v>
      </c>
      <c r="C255" s="3" t="s">
        <v>445</v>
      </c>
      <c r="D255" s="3" t="s">
        <v>9</v>
      </c>
      <c r="E255" s="3"/>
      <c r="F255" s="3" t="s">
        <v>10</v>
      </c>
      <c r="G255" s="4">
        <v>612.96</v>
      </c>
    </row>
    <row r="256" spans="2:7" x14ac:dyDescent="0.3">
      <c r="B256" s="3">
        <v>6226</v>
      </c>
      <c r="C256" s="3" t="s">
        <v>446</v>
      </c>
      <c r="D256" s="3" t="s">
        <v>9</v>
      </c>
      <c r="E256" s="3"/>
      <c r="F256" s="3" t="s">
        <v>10</v>
      </c>
      <c r="G256" s="4">
        <v>606.5</v>
      </c>
    </row>
    <row r="257" spans="2:7" x14ac:dyDescent="0.3">
      <c r="B257" s="3">
        <v>7944</v>
      </c>
      <c r="C257" s="3" t="s">
        <v>447</v>
      </c>
      <c r="D257" s="3" t="s">
        <v>9</v>
      </c>
      <c r="E257" s="3"/>
      <c r="F257" s="3" t="s">
        <v>10</v>
      </c>
      <c r="G257" s="4">
        <v>601.88</v>
      </c>
    </row>
    <row r="258" spans="2:7" x14ac:dyDescent="0.3">
      <c r="B258" s="3">
        <v>9543</v>
      </c>
      <c r="C258" s="3" t="s">
        <v>448</v>
      </c>
      <c r="D258" s="3" t="s">
        <v>9</v>
      </c>
      <c r="E258" s="3"/>
      <c r="F258" s="3" t="s">
        <v>10</v>
      </c>
      <c r="G258" s="4">
        <v>584.71</v>
      </c>
    </row>
    <row r="259" spans="2:7" x14ac:dyDescent="0.3">
      <c r="B259" s="3" t="s">
        <v>449</v>
      </c>
      <c r="C259" s="3" t="s">
        <v>450</v>
      </c>
      <c r="D259" s="3" t="s">
        <v>9</v>
      </c>
      <c r="E259" s="3"/>
      <c r="F259" s="3" t="s">
        <v>10</v>
      </c>
      <c r="G259" s="4">
        <v>548.9</v>
      </c>
    </row>
    <row r="260" spans="2:7" x14ac:dyDescent="0.3">
      <c r="B260" s="3">
        <v>4293</v>
      </c>
      <c r="C260" s="3" t="s">
        <v>451</v>
      </c>
      <c r="D260" s="3" t="s">
        <v>9</v>
      </c>
      <c r="E260" s="3"/>
      <c r="F260" s="3" t="s">
        <v>10</v>
      </c>
      <c r="G260" s="4">
        <v>545.34</v>
      </c>
    </row>
    <row r="261" spans="2:7" x14ac:dyDescent="0.3">
      <c r="B261" s="3" t="s">
        <v>452</v>
      </c>
      <c r="C261" s="3" t="s">
        <v>453</v>
      </c>
      <c r="D261" s="3" t="s">
        <v>9</v>
      </c>
      <c r="E261" s="3"/>
      <c r="F261" s="3" t="s">
        <v>10</v>
      </c>
      <c r="G261" s="4">
        <v>544.65</v>
      </c>
    </row>
    <row r="262" spans="2:7" x14ac:dyDescent="0.3">
      <c r="B262" s="3" t="s">
        <v>454</v>
      </c>
      <c r="C262" s="3" t="s">
        <v>455</v>
      </c>
      <c r="D262" s="3" t="s">
        <v>9</v>
      </c>
      <c r="E262" s="3"/>
      <c r="F262" s="3" t="s">
        <v>10</v>
      </c>
      <c r="G262" s="4">
        <v>537.13</v>
      </c>
    </row>
    <row r="263" spans="2:7" x14ac:dyDescent="0.3">
      <c r="B263" s="3" t="s">
        <v>456</v>
      </c>
      <c r="C263" s="3" t="s">
        <v>457</v>
      </c>
      <c r="D263" s="3" t="s">
        <v>9</v>
      </c>
      <c r="E263" s="3" t="s">
        <v>16</v>
      </c>
      <c r="F263" s="3" t="s">
        <v>10</v>
      </c>
      <c r="G263" s="4">
        <v>536.79</v>
      </c>
    </row>
    <row r="264" spans="2:7" x14ac:dyDescent="0.3">
      <c r="B264" s="3" t="s">
        <v>458</v>
      </c>
      <c r="C264" s="3" t="s">
        <v>459</v>
      </c>
      <c r="D264" s="3" t="s">
        <v>9</v>
      </c>
      <c r="E264" s="3" t="s">
        <v>16</v>
      </c>
      <c r="F264" s="3" t="s">
        <v>10</v>
      </c>
      <c r="G264" s="4">
        <v>528.17999999999995</v>
      </c>
    </row>
    <row r="265" spans="2:7" x14ac:dyDescent="0.3">
      <c r="B265" s="3" t="s">
        <v>460</v>
      </c>
      <c r="C265" s="3" t="s">
        <v>461</v>
      </c>
      <c r="D265" s="3" t="s">
        <v>9</v>
      </c>
      <c r="E265" s="3"/>
      <c r="F265" s="3" t="s">
        <v>10</v>
      </c>
      <c r="G265" s="4">
        <v>515.86</v>
      </c>
    </row>
    <row r="266" spans="2:7" x14ac:dyDescent="0.3">
      <c r="B266" s="3" t="s">
        <v>462</v>
      </c>
      <c r="C266" s="3" t="s">
        <v>463</v>
      </c>
      <c r="D266" s="3" t="s">
        <v>9</v>
      </c>
      <c r="E266" s="3"/>
      <c r="F266" s="3" t="s">
        <v>10</v>
      </c>
      <c r="G266" s="4">
        <v>514.88</v>
      </c>
    </row>
    <row r="267" spans="2:7" x14ac:dyDescent="0.3">
      <c r="B267" s="3" t="s">
        <v>465</v>
      </c>
      <c r="C267" s="3" t="s">
        <v>466</v>
      </c>
      <c r="D267" s="3" t="s">
        <v>9</v>
      </c>
      <c r="E267" s="3"/>
      <c r="F267" s="3" t="s">
        <v>10</v>
      </c>
      <c r="G267" s="4">
        <v>511.24</v>
      </c>
    </row>
    <row r="268" spans="2:7" x14ac:dyDescent="0.3">
      <c r="B268" s="3">
        <v>500307</v>
      </c>
      <c r="C268" s="3" t="s">
        <v>464</v>
      </c>
      <c r="D268" s="3" t="s">
        <v>9</v>
      </c>
      <c r="E268" s="3"/>
      <c r="F268" s="3" t="s">
        <v>10</v>
      </c>
      <c r="G268" s="4">
        <v>511.24</v>
      </c>
    </row>
    <row r="269" spans="2:7" x14ac:dyDescent="0.3">
      <c r="B269" s="3">
        <v>7246</v>
      </c>
      <c r="C269" s="3" t="s">
        <v>467</v>
      </c>
      <c r="D269" s="3" t="s">
        <v>9</v>
      </c>
      <c r="E269" s="3"/>
      <c r="F269" s="3" t="s">
        <v>10</v>
      </c>
      <c r="G269" s="4">
        <v>507.31</v>
      </c>
    </row>
    <row r="270" spans="2:7" x14ac:dyDescent="0.3">
      <c r="B270" s="3" t="s">
        <v>468</v>
      </c>
      <c r="C270" s="3" t="s">
        <v>469</v>
      </c>
      <c r="D270" s="3" t="s">
        <v>9</v>
      </c>
      <c r="E270" s="3"/>
      <c r="F270" s="3" t="s">
        <v>10</v>
      </c>
      <c r="G270" s="4">
        <v>505.97</v>
      </c>
    </row>
    <row r="271" spans="2:7" x14ac:dyDescent="0.3">
      <c r="B271" s="3">
        <v>6287</v>
      </c>
      <c r="C271" s="3" t="s">
        <v>470</v>
      </c>
      <c r="D271" s="3" t="s">
        <v>9</v>
      </c>
      <c r="E271" s="3"/>
      <c r="F271" s="3" t="s">
        <v>10</v>
      </c>
      <c r="G271" s="4">
        <v>500.25</v>
      </c>
    </row>
  </sheetData>
  <autoFilter ref="B3:G271" xr:uid="{00000000-0009-0000-0000-000000000000}">
    <sortState xmlns:xlrd2="http://schemas.microsoft.com/office/spreadsheetml/2017/richdata2" ref="B4:G271">
      <sortCondition descending="1" ref="G3:G271"/>
    </sortState>
  </autoFilter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74"/>
  <sheetViews>
    <sheetView topLeftCell="A7" workbookViewId="0">
      <selection activeCell="D18" sqref="D18"/>
    </sheetView>
  </sheetViews>
  <sheetFormatPr defaultRowHeight="16.5" x14ac:dyDescent="0.3"/>
  <cols>
    <col min="1" max="1" width="3" customWidth="1"/>
    <col min="2" max="2" width="12" style="18" customWidth="1"/>
    <col min="3" max="3" width="14" customWidth="1"/>
    <col min="4" max="4" width="34.5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25" t="s">
        <v>1</v>
      </c>
      <c r="C2" s="25" t="s">
        <v>471</v>
      </c>
      <c r="D2" s="25" t="s">
        <v>472</v>
      </c>
      <c r="E2" s="25" t="s">
        <v>473</v>
      </c>
      <c r="F2" s="25" t="s">
        <v>474</v>
      </c>
      <c r="G2" s="25" t="s">
        <v>475</v>
      </c>
      <c r="H2" s="25" t="s">
        <v>476</v>
      </c>
      <c r="I2" s="25" t="s">
        <v>477</v>
      </c>
      <c r="J2" s="25" t="s">
        <v>478</v>
      </c>
      <c r="K2" s="25" t="s">
        <v>479</v>
      </c>
      <c r="L2" s="25" t="s">
        <v>480</v>
      </c>
      <c r="M2" s="25" t="s">
        <v>481</v>
      </c>
      <c r="N2" s="25" t="s">
        <v>482</v>
      </c>
      <c r="O2" s="25" t="s">
        <v>483</v>
      </c>
      <c r="P2" s="25" t="s">
        <v>484</v>
      </c>
      <c r="Q2" s="25" t="s">
        <v>485</v>
      </c>
      <c r="R2" s="25" t="s">
        <v>486</v>
      </c>
      <c r="S2" s="25" t="s">
        <v>487</v>
      </c>
      <c r="T2" s="25" t="s">
        <v>488</v>
      </c>
      <c r="U2" s="25" t="s">
        <v>489</v>
      </c>
      <c r="V2" s="25" t="s">
        <v>490</v>
      </c>
      <c r="W2" s="25" t="s">
        <v>491</v>
      </c>
      <c r="X2" s="25" t="s">
        <v>488</v>
      </c>
      <c r="Y2" s="25" t="s">
        <v>489</v>
      </c>
      <c r="Z2" s="25" t="s">
        <v>490</v>
      </c>
      <c r="AA2" s="25" t="s">
        <v>491</v>
      </c>
    </row>
    <row r="3" spans="2:27" x14ac:dyDescent="0.3">
      <c r="B3" s="12" t="s">
        <v>346</v>
      </c>
      <c r="C3" s="3" t="s">
        <v>492</v>
      </c>
      <c r="D3" s="3" t="s">
        <v>493</v>
      </c>
      <c r="E3" s="3" t="s">
        <v>494</v>
      </c>
      <c r="F3" s="13">
        <v>25.9</v>
      </c>
      <c r="G3" s="26">
        <v>187.57</v>
      </c>
      <c r="H3" s="26">
        <v>169.51</v>
      </c>
      <c r="I3" s="26">
        <v>174.84</v>
      </c>
      <c r="J3" s="26">
        <v>175.89</v>
      </c>
      <c r="K3" s="26">
        <v>190.09</v>
      </c>
      <c r="L3" s="26">
        <v>198.88</v>
      </c>
      <c r="M3" s="26">
        <v>201.14</v>
      </c>
      <c r="N3" s="26">
        <v>187.47</v>
      </c>
      <c r="O3" s="26">
        <v>196.63</v>
      </c>
      <c r="P3" s="26">
        <v>233.57</v>
      </c>
      <c r="Q3" s="26">
        <v>223.19</v>
      </c>
      <c r="R3" s="26">
        <v>201.7</v>
      </c>
      <c r="S3" s="26">
        <v>222.99</v>
      </c>
      <c r="T3" s="26">
        <v>242.51</v>
      </c>
      <c r="U3" s="27">
        <v>595.08000000000004</v>
      </c>
      <c r="V3" s="27">
        <v>573.5</v>
      </c>
      <c r="W3" s="27">
        <v>646.91999999999996</v>
      </c>
      <c r="X3" s="7">
        <v>1.0142379034545179E-2</v>
      </c>
      <c r="Y3" s="8">
        <v>0.41767090825368652</v>
      </c>
      <c r="Z3" s="8">
        <v>0.29454637639826342</v>
      </c>
      <c r="AA3" s="8">
        <v>0.25943038284539321</v>
      </c>
    </row>
    <row r="4" spans="2:27" x14ac:dyDescent="0.3">
      <c r="B4" s="12" t="s">
        <v>72</v>
      </c>
      <c r="C4" s="3" t="s">
        <v>492</v>
      </c>
      <c r="D4" s="3" t="s">
        <v>495</v>
      </c>
      <c r="E4" s="3" t="s">
        <v>496</v>
      </c>
      <c r="F4" s="13">
        <v>17.899999999999999</v>
      </c>
      <c r="G4" s="26"/>
      <c r="H4" s="26"/>
      <c r="I4" s="26"/>
      <c r="J4" s="26">
        <v>21.4</v>
      </c>
      <c r="K4" s="26">
        <v>23.1</v>
      </c>
      <c r="L4" s="26">
        <v>17.66</v>
      </c>
      <c r="M4" s="26">
        <v>10.69</v>
      </c>
      <c r="N4" s="27">
        <v>36.93</v>
      </c>
      <c r="O4" s="27">
        <v>50.51</v>
      </c>
      <c r="P4" s="27">
        <v>65.260000000000005</v>
      </c>
      <c r="Q4" s="27">
        <v>76.849999999999994</v>
      </c>
      <c r="R4" s="27">
        <v>113.09</v>
      </c>
      <c r="S4" s="27">
        <v>141.1</v>
      </c>
      <c r="T4" s="27">
        <v>159.44</v>
      </c>
      <c r="U4" s="27">
        <v>191.93</v>
      </c>
      <c r="V4" s="27">
        <v>230.58</v>
      </c>
      <c r="W4" s="27">
        <v>270.58</v>
      </c>
      <c r="X4" s="9">
        <v>0.23764824627807221</v>
      </c>
      <c r="Y4" s="8">
        <v>0.23462730386560079</v>
      </c>
      <c r="Z4" s="8">
        <v>0.19401875949534311</v>
      </c>
      <c r="AA4" s="8">
        <v>0.17907475278334831</v>
      </c>
    </row>
    <row r="5" spans="2:27" x14ac:dyDescent="0.3">
      <c r="B5" s="12" t="s">
        <v>340</v>
      </c>
      <c r="C5" s="3" t="s">
        <v>492</v>
      </c>
      <c r="D5" s="3" t="s">
        <v>497</v>
      </c>
      <c r="E5" s="3" t="s">
        <v>496</v>
      </c>
      <c r="F5" s="13">
        <v>15</v>
      </c>
      <c r="G5" s="26">
        <v>63.42</v>
      </c>
      <c r="H5" s="26">
        <v>51.41</v>
      </c>
      <c r="I5" s="26">
        <v>55.45</v>
      </c>
      <c r="J5" s="26">
        <v>60.35</v>
      </c>
      <c r="K5" s="26">
        <v>72.63</v>
      </c>
      <c r="L5" s="26">
        <v>58.96</v>
      </c>
      <c r="M5" s="26">
        <v>67.59</v>
      </c>
      <c r="N5" s="26">
        <v>63.93</v>
      </c>
      <c r="O5" s="26">
        <v>75.61</v>
      </c>
      <c r="P5" s="26">
        <v>76.08</v>
      </c>
      <c r="Q5" s="26">
        <v>76.63</v>
      </c>
      <c r="R5" s="26">
        <v>74.61</v>
      </c>
      <c r="S5" s="26">
        <v>78.13</v>
      </c>
      <c r="T5" s="26">
        <v>92.04</v>
      </c>
      <c r="U5" s="26">
        <v>104.97</v>
      </c>
      <c r="V5" s="27">
        <v>117.69</v>
      </c>
      <c r="W5" s="27">
        <v>136.96</v>
      </c>
      <c r="X5" s="7">
        <v>5.2250777541332338E-2</v>
      </c>
      <c r="Y5" s="10">
        <v>8.8173983385706922E-2</v>
      </c>
      <c r="Z5" s="8">
        <v>0.1231736954967835</v>
      </c>
      <c r="AA5" s="8">
        <v>0.1497594379248022</v>
      </c>
    </row>
    <row r="6" spans="2:27" x14ac:dyDescent="0.3">
      <c r="B6" s="12" t="s">
        <v>219</v>
      </c>
      <c r="C6" s="3" t="s">
        <v>492</v>
      </c>
      <c r="D6" s="3" t="s">
        <v>498</v>
      </c>
      <c r="E6" s="3" t="s">
        <v>496</v>
      </c>
      <c r="F6" s="13">
        <v>10</v>
      </c>
      <c r="G6" s="26"/>
      <c r="H6" s="26"/>
      <c r="I6" s="26"/>
      <c r="J6" s="26"/>
      <c r="K6" s="26"/>
      <c r="L6" s="26"/>
      <c r="M6" s="26"/>
      <c r="N6" s="26"/>
      <c r="O6" s="26"/>
      <c r="P6" s="26">
        <v>82.71</v>
      </c>
      <c r="Q6" s="26">
        <v>89.83</v>
      </c>
      <c r="R6" s="26">
        <v>100.62</v>
      </c>
      <c r="S6" s="26">
        <v>117.26</v>
      </c>
      <c r="T6" s="27">
        <v>123.83</v>
      </c>
      <c r="U6" s="27">
        <v>139.1</v>
      </c>
      <c r="V6" s="27">
        <v>154.21</v>
      </c>
      <c r="W6" s="27">
        <v>170.73</v>
      </c>
      <c r="X6" s="9">
        <v>0.1053224732339533</v>
      </c>
      <c r="Y6" s="8">
        <v>0.1141724984937664</v>
      </c>
      <c r="Z6" s="8">
        <v>0.11145774838293709</v>
      </c>
      <c r="AA6" s="8">
        <v>0.10005613772455101</v>
      </c>
    </row>
    <row r="7" spans="2:27" x14ac:dyDescent="0.3">
      <c r="B7" s="12" t="s">
        <v>19</v>
      </c>
      <c r="C7" s="3" t="s">
        <v>492</v>
      </c>
      <c r="D7" s="3" t="s">
        <v>499</v>
      </c>
      <c r="E7" s="3" t="s">
        <v>496</v>
      </c>
      <c r="F7" s="5">
        <v>9.4</v>
      </c>
      <c r="G7" s="26">
        <v>1277</v>
      </c>
      <c r="H7" s="26">
        <v>1390</v>
      </c>
      <c r="I7" s="26">
        <v>1479</v>
      </c>
      <c r="J7" s="26">
        <v>1474</v>
      </c>
      <c r="K7" s="26">
        <v>1460</v>
      </c>
      <c r="L7" s="26">
        <v>1561</v>
      </c>
      <c r="M7" s="26">
        <v>1665</v>
      </c>
      <c r="N7" s="26">
        <v>1597</v>
      </c>
      <c r="O7" s="26">
        <v>1750</v>
      </c>
      <c r="P7" s="26">
        <v>1860</v>
      </c>
      <c r="Q7" s="26">
        <v>1825</v>
      </c>
      <c r="R7" s="26">
        <v>2056</v>
      </c>
      <c r="S7" s="26">
        <v>2251</v>
      </c>
      <c r="T7" s="26">
        <v>2423</v>
      </c>
      <c r="U7" s="26">
        <v>2548</v>
      </c>
      <c r="V7" s="26">
        <v>2686</v>
      </c>
      <c r="W7" s="26">
        <v>3181</v>
      </c>
      <c r="X7" s="7">
        <v>7.0445445445445509E-2</v>
      </c>
      <c r="Y7" s="10">
        <v>8.4511981297486827E-2</v>
      </c>
      <c r="Z7" s="10">
        <v>6.7902565208018961E-2</v>
      </c>
      <c r="AA7" s="10">
        <v>9.3863544610415905E-2</v>
      </c>
    </row>
    <row r="8" spans="2:27" x14ac:dyDescent="0.3">
      <c r="B8" s="12" t="s">
        <v>318</v>
      </c>
      <c r="C8" s="3" t="s">
        <v>492</v>
      </c>
      <c r="D8" s="3" t="s">
        <v>500</v>
      </c>
      <c r="E8" s="3" t="s">
        <v>496</v>
      </c>
      <c r="F8" s="5">
        <v>9.1</v>
      </c>
      <c r="G8" s="26">
        <v>62.05</v>
      </c>
      <c r="H8" s="26">
        <v>47.59</v>
      </c>
      <c r="I8" s="26">
        <v>57.32</v>
      </c>
      <c r="J8" s="26">
        <v>50.49</v>
      </c>
      <c r="K8" s="26">
        <v>0</v>
      </c>
      <c r="L8" s="26">
        <v>41.25</v>
      </c>
      <c r="M8" s="26">
        <v>44.03</v>
      </c>
      <c r="N8" s="26">
        <v>41.72</v>
      </c>
      <c r="O8" s="27">
        <v>59.41</v>
      </c>
      <c r="P8" s="26">
        <v>48.89</v>
      </c>
      <c r="Q8" s="26">
        <v>36.47</v>
      </c>
      <c r="R8" s="26">
        <v>36.43</v>
      </c>
      <c r="S8" s="26">
        <v>45.69</v>
      </c>
      <c r="T8" s="26">
        <v>36.26</v>
      </c>
      <c r="U8" s="26">
        <v>45.64</v>
      </c>
      <c r="V8" s="26">
        <v>45.63</v>
      </c>
      <c r="W8" s="26">
        <v>61.4</v>
      </c>
      <c r="X8" s="7">
        <v>-7.5411989491282472E-2</v>
      </c>
      <c r="Y8" s="10">
        <v>5.9218598643848708E-2</v>
      </c>
      <c r="Z8" s="10">
        <v>5.6090720643824143E-2</v>
      </c>
      <c r="AA8" s="10">
        <v>9.0693915252280322E-2</v>
      </c>
    </row>
    <row r="9" spans="2:27" x14ac:dyDescent="0.3">
      <c r="B9" s="12" t="s">
        <v>130</v>
      </c>
      <c r="C9" s="3" t="s">
        <v>492</v>
      </c>
      <c r="D9" s="3" t="s">
        <v>501</v>
      </c>
      <c r="E9" s="3" t="s">
        <v>496</v>
      </c>
      <c r="F9" s="5">
        <v>7.9</v>
      </c>
      <c r="G9" s="26">
        <v>2013</v>
      </c>
      <c r="H9" s="26">
        <v>1163</v>
      </c>
      <c r="I9" s="26">
        <v>1339</v>
      </c>
      <c r="J9" s="26">
        <v>1676</v>
      </c>
      <c r="K9" s="26">
        <v>1679</v>
      </c>
      <c r="L9" s="26">
        <v>1001</v>
      </c>
      <c r="M9" s="26">
        <v>1210</v>
      </c>
      <c r="N9" s="26">
        <v>1503</v>
      </c>
      <c r="O9" s="26">
        <v>1289</v>
      </c>
      <c r="P9" s="26">
        <v>757.3</v>
      </c>
      <c r="Q9" s="26">
        <v>995.3</v>
      </c>
      <c r="R9" s="26">
        <v>1281</v>
      </c>
      <c r="S9" s="26">
        <v>1102</v>
      </c>
      <c r="T9" s="26">
        <v>887.1</v>
      </c>
      <c r="U9" s="26">
        <v>980.8</v>
      </c>
      <c r="V9" s="26">
        <v>1388</v>
      </c>
      <c r="W9" s="26">
        <v>1446</v>
      </c>
      <c r="X9" s="7">
        <v>3.1386014121288053E-2</v>
      </c>
      <c r="Y9" s="10">
        <v>-3.3994467107422151E-3</v>
      </c>
      <c r="Z9" s="10">
        <v>2.517114022912792E-2</v>
      </c>
      <c r="AA9" s="10">
        <v>7.8937102732967723E-2</v>
      </c>
    </row>
    <row r="10" spans="2:27" x14ac:dyDescent="0.3">
      <c r="B10" s="12" t="s">
        <v>124</v>
      </c>
      <c r="C10" s="3" t="s">
        <v>492</v>
      </c>
      <c r="D10" s="3" t="s">
        <v>502</v>
      </c>
      <c r="E10" s="3" t="s">
        <v>496</v>
      </c>
      <c r="F10" s="5">
        <v>7.7</v>
      </c>
      <c r="G10" s="26">
        <v>5809</v>
      </c>
      <c r="H10" s="26">
        <v>3613</v>
      </c>
      <c r="I10" s="26">
        <v>13075</v>
      </c>
      <c r="J10" s="26">
        <v>4052</v>
      </c>
      <c r="K10" s="27">
        <v>17075</v>
      </c>
      <c r="L10" s="26">
        <v>5484</v>
      </c>
      <c r="M10" s="26">
        <v>4820</v>
      </c>
      <c r="N10" s="26">
        <v>5659</v>
      </c>
      <c r="O10" s="26">
        <v>894</v>
      </c>
      <c r="P10" s="26">
        <v>5324</v>
      </c>
      <c r="Q10" s="27">
        <v>6928</v>
      </c>
      <c r="R10" s="26">
        <v>5575</v>
      </c>
      <c r="S10" s="27">
        <v>3740</v>
      </c>
      <c r="T10" s="26">
        <v>5323</v>
      </c>
      <c r="U10" s="26">
        <v>6469</v>
      </c>
      <c r="V10" s="26">
        <v>5572</v>
      </c>
      <c r="W10" s="26">
        <v>5367</v>
      </c>
      <c r="X10" s="7">
        <v>-4.6367134974745212E-5</v>
      </c>
      <c r="Y10" s="10">
        <v>-2.1283501808402109E-2</v>
      </c>
      <c r="Z10" s="10">
        <v>-1.421329416780859E-4</v>
      </c>
      <c r="AA10" s="10">
        <v>7.7094389689158493E-2</v>
      </c>
    </row>
    <row r="11" spans="2:27" x14ac:dyDescent="0.3">
      <c r="B11" s="12" t="s">
        <v>44</v>
      </c>
      <c r="C11" s="3" t="s">
        <v>492</v>
      </c>
      <c r="D11" s="3" t="s">
        <v>503</v>
      </c>
      <c r="E11" s="3" t="s">
        <v>496</v>
      </c>
      <c r="F11" s="5">
        <v>7.7</v>
      </c>
      <c r="G11" s="26">
        <v>193.6</v>
      </c>
      <c r="H11" s="26">
        <v>212.17</v>
      </c>
      <c r="I11" s="26">
        <v>234.52</v>
      </c>
      <c r="J11" s="26">
        <v>253.86</v>
      </c>
      <c r="K11" s="26">
        <v>274.7</v>
      </c>
      <c r="L11" s="26">
        <v>290.18</v>
      </c>
      <c r="M11" s="26">
        <v>308.49</v>
      </c>
      <c r="N11" s="26">
        <v>335.6</v>
      </c>
      <c r="O11" s="26">
        <v>362.47</v>
      </c>
      <c r="P11" s="26">
        <v>378.6</v>
      </c>
      <c r="Q11" s="26">
        <v>401</v>
      </c>
      <c r="R11" s="26">
        <v>430.08</v>
      </c>
      <c r="S11" s="26">
        <v>459.95</v>
      </c>
      <c r="T11" s="26">
        <v>479.09</v>
      </c>
      <c r="U11" s="26">
        <v>512.32000000000005</v>
      </c>
      <c r="V11" s="26">
        <v>562.03</v>
      </c>
      <c r="W11" s="26">
        <v>614.51</v>
      </c>
      <c r="X11" s="7">
        <v>6.0186987536160468E-2</v>
      </c>
      <c r="Y11" s="10">
        <v>6.288839174745231E-2</v>
      </c>
      <c r="Z11" s="10">
        <v>7.0132451739093327E-2</v>
      </c>
      <c r="AA11" s="10">
        <v>7.6766051286635939E-2</v>
      </c>
    </row>
    <row r="12" spans="2:27" x14ac:dyDescent="0.3">
      <c r="B12" s="12" t="s">
        <v>120</v>
      </c>
      <c r="C12" s="3" t="s">
        <v>492</v>
      </c>
      <c r="D12" s="3" t="s">
        <v>504</v>
      </c>
      <c r="E12" s="3" t="s">
        <v>505</v>
      </c>
      <c r="F12" s="5">
        <v>7</v>
      </c>
      <c r="G12" s="26">
        <v>900</v>
      </c>
      <c r="H12" s="26">
        <v>968.2</v>
      </c>
      <c r="I12" s="26">
        <v>1001</v>
      </c>
      <c r="J12" s="26">
        <v>997.6</v>
      </c>
      <c r="K12" s="26">
        <v>860.8</v>
      </c>
      <c r="L12" s="26">
        <v>917.8</v>
      </c>
      <c r="M12" s="26">
        <v>954.3</v>
      </c>
      <c r="N12" s="26">
        <v>998.8</v>
      </c>
      <c r="O12" s="26">
        <v>978.3</v>
      </c>
      <c r="P12" s="26">
        <v>1005</v>
      </c>
      <c r="Q12" s="26">
        <v>991.9</v>
      </c>
      <c r="R12" s="26">
        <v>960.8</v>
      </c>
      <c r="S12" s="26">
        <v>953.3</v>
      </c>
      <c r="T12" s="26">
        <v>971.5</v>
      </c>
      <c r="U12" s="26">
        <v>899.9</v>
      </c>
      <c r="V12" s="26">
        <v>1292</v>
      </c>
      <c r="W12" s="26">
        <v>1240</v>
      </c>
      <c r="X12" s="7">
        <v>-8.5655842495525603E-3</v>
      </c>
      <c r="Y12" s="10">
        <v>-2.3726627981947131E-2</v>
      </c>
      <c r="Z12" s="10">
        <v>8.7491744815744177E-2</v>
      </c>
      <c r="AA12" s="10">
        <v>6.9643160784123248E-2</v>
      </c>
    </row>
    <row r="13" spans="2:27" x14ac:dyDescent="0.3">
      <c r="B13" s="12" t="s">
        <v>147</v>
      </c>
      <c r="C13" s="3" t="s">
        <v>492</v>
      </c>
      <c r="D13" s="3" t="s">
        <v>506</v>
      </c>
      <c r="E13" s="3" t="s">
        <v>496</v>
      </c>
      <c r="F13" s="5">
        <v>6.9</v>
      </c>
      <c r="G13" s="26"/>
      <c r="H13" s="26">
        <v>104.17</v>
      </c>
      <c r="I13" s="26">
        <v>109.02</v>
      </c>
      <c r="J13" s="26">
        <v>119.17</v>
      </c>
      <c r="K13" s="26">
        <v>145.24</v>
      </c>
      <c r="L13" s="27">
        <v>156.09</v>
      </c>
      <c r="M13" s="27">
        <v>164.59</v>
      </c>
      <c r="N13" s="26">
        <v>175.81</v>
      </c>
      <c r="O13" s="26">
        <v>201.62</v>
      </c>
      <c r="P13" s="26">
        <v>209.99</v>
      </c>
      <c r="Q13" s="26">
        <v>222.21</v>
      </c>
      <c r="R13" s="26">
        <v>235.09</v>
      </c>
      <c r="S13" s="26">
        <v>270.16000000000003</v>
      </c>
      <c r="T13" s="26">
        <v>279.83</v>
      </c>
      <c r="U13" s="26">
        <v>293.12</v>
      </c>
      <c r="V13" s="26">
        <v>310.88</v>
      </c>
      <c r="W13" s="26">
        <v>350.2</v>
      </c>
      <c r="X13" s="7">
        <v>7.449997333191094E-2</v>
      </c>
      <c r="Y13" s="10">
        <v>7.0396807274965667E-2</v>
      </c>
      <c r="Z13" s="10">
        <v>7.0293081061027607E-2</v>
      </c>
      <c r="AA13" s="10">
        <v>6.9359353200634244E-2</v>
      </c>
    </row>
    <row r="14" spans="2:27" x14ac:dyDescent="0.3">
      <c r="B14" s="12" t="s">
        <v>95</v>
      </c>
      <c r="C14" s="3" t="s">
        <v>492</v>
      </c>
      <c r="D14" s="3" t="s">
        <v>507</v>
      </c>
      <c r="E14" s="3" t="s">
        <v>496</v>
      </c>
      <c r="F14" s="5">
        <v>6.8</v>
      </c>
      <c r="G14" s="26">
        <v>862.85</v>
      </c>
      <c r="H14" s="26">
        <v>733.24</v>
      </c>
      <c r="I14" s="26">
        <v>911.4</v>
      </c>
      <c r="J14" s="26">
        <v>823.3</v>
      </c>
      <c r="K14" s="26">
        <v>926.7</v>
      </c>
      <c r="L14" s="26">
        <v>808.67</v>
      </c>
      <c r="M14" s="26">
        <v>954.61</v>
      </c>
      <c r="N14" s="26">
        <v>919.03</v>
      </c>
      <c r="O14" s="26">
        <v>1013</v>
      </c>
      <c r="P14" s="26">
        <v>880.89</v>
      </c>
      <c r="Q14" s="26">
        <v>1044</v>
      </c>
      <c r="R14" s="26">
        <v>1138</v>
      </c>
      <c r="S14" s="26">
        <v>1179</v>
      </c>
      <c r="T14" s="26">
        <v>1053</v>
      </c>
      <c r="U14" s="26">
        <v>1216</v>
      </c>
      <c r="V14" s="26">
        <v>1366</v>
      </c>
      <c r="W14" s="26">
        <v>1507</v>
      </c>
      <c r="X14" s="7">
        <v>4.0573895126936321E-2</v>
      </c>
      <c r="Y14" s="10">
        <v>3.8966923425464373E-2</v>
      </c>
      <c r="Z14" s="10">
        <v>4.971652856519837E-2</v>
      </c>
      <c r="AA14" s="10">
        <v>6.813460739509769E-2</v>
      </c>
    </row>
    <row r="15" spans="2:27" x14ac:dyDescent="0.3">
      <c r="B15" s="12" t="s">
        <v>58</v>
      </c>
      <c r="C15" s="3" t="s">
        <v>492</v>
      </c>
      <c r="D15" s="3" t="s">
        <v>506</v>
      </c>
      <c r="E15" s="3" t="s">
        <v>496</v>
      </c>
      <c r="F15" s="5">
        <v>6.7</v>
      </c>
      <c r="G15" s="26">
        <v>326.2</v>
      </c>
      <c r="H15" s="26">
        <v>363.03</v>
      </c>
      <c r="I15" s="26">
        <v>406.14</v>
      </c>
      <c r="J15" s="26">
        <v>436.53</v>
      </c>
      <c r="K15" s="26">
        <v>469.4</v>
      </c>
      <c r="L15" s="26">
        <v>481.71</v>
      </c>
      <c r="M15" s="26">
        <v>509.46</v>
      </c>
      <c r="N15" s="26">
        <v>547.54</v>
      </c>
      <c r="O15" s="26">
        <v>589.65</v>
      </c>
      <c r="P15" s="26">
        <v>611.25</v>
      </c>
      <c r="Q15" s="26">
        <v>645.28</v>
      </c>
      <c r="R15" s="26">
        <v>690.02</v>
      </c>
      <c r="S15" s="26">
        <v>737.73</v>
      </c>
      <c r="T15" s="26">
        <v>761.55</v>
      </c>
      <c r="U15" s="26">
        <v>826.76</v>
      </c>
      <c r="V15" s="26">
        <v>885.65</v>
      </c>
      <c r="W15" s="26">
        <v>953.19</v>
      </c>
      <c r="X15" s="7">
        <v>5.5992668425052683E-2</v>
      </c>
      <c r="Y15" s="10">
        <v>6.4023594324379651E-2</v>
      </c>
      <c r="Z15" s="10">
        <v>6.4862767982069469E-2</v>
      </c>
      <c r="AA15" s="10">
        <v>6.7086175813979576E-2</v>
      </c>
    </row>
    <row r="16" spans="2:27" x14ac:dyDescent="0.3">
      <c r="B16" s="12" t="s">
        <v>40</v>
      </c>
      <c r="C16" s="3" t="s">
        <v>492</v>
      </c>
      <c r="D16" s="3" t="s">
        <v>508</v>
      </c>
      <c r="E16" s="3" t="s">
        <v>496</v>
      </c>
      <c r="F16" s="5">
        <v>6.4</v>
      </c>
      <c r="G16" s="26">
        <v>363</v>
      </c>
      <c r="H16" s="26">
        <v>299</v>
      </c>
      <c r="I16" s="26">
        <v>318</v>
      </c>
      <c r="J16" s="26">
        <v>361</v>
      </c>
      <c r="K16" s="26">
        <v>380</v>
      </c>
      <c r="L16" s="27">
        <v>441</v>
      </c>
      <c r="M16" s="27">
        <v>486</v>
      </c>
      <c r="N16" s="26">
        <v>467</v>
      </c>
      <c r="O16" s="26">
        <v>471</v>
      </c>
      <c r="P16" s="26">
        <v>618</v>
      </c>
      <c r="Q16" s="26">
        <v>682</v>
      </c>
      <c r="R16" s="26">
        <v>637</v>
      </c>
      <c r="S16" s="27">
        <v>1014</v>
      </c>
      <c r="T16" s="27">
        <v>927</v>
      </c>
      <c r="U16" s="26">
        <v>989</v>
      </c>
      <c r="V16" s="27">
        <v>1274</v>
      </c>
      <c r="W16" s="26">
        <v>1283</v>
      </c>
      <c r="X16" s="9">
        <v>0.10471026770586241</v>
      </c>
      <c r="Y16" s="10">
        <v>9.4171779141104306E-2</v>
      </c>
      <c r="Z16" s="8">
        <v>0.1785814409868236</v>
      </c>
      <c r="AA16" s="10">
        <v>6.3986679352997067E-2</v>
      </c>
    </row>
    <row r="17" spans="2:27" x14ac:dyDescent="0.3">
      <c r="B17" s="12" t="s">
        <v>424</v>
      </c>
      <c r="C17" s="3" t="s">
        <v>492</v>
      </c>
      <c r="D17" s="3" t="s">
        <v>506</v>
      </c>
      <c r="E17" s="3" t="s">
        <v>496</v>
      </c>
      <c r="F17" s="5">
        <v>6.3</v>
      </c>
      <c r="G17" s="26"/>
      <c r="H17" s="26"/>
      <c r="I17" s="26"/>
      <c r="J17" s="26"/>
      <c r="K17" s="26"/>
      <c r="L17" s="26">
        <v>17.37</v>
      </c>
      <c r="M17" s="26">
        <v>28.72</v>
      </c>
      <c r="N17" s="26">
        <v>42.34</v>
      </c>
      <c r="O17" s="26">
        <v>52.04</v>
      </c>
      <c r="P17" s="27">
        <v>43.81</v>
      </c>
      <c r="Q17" s="27">
        <v>54.82</v>
      </c>
      <c r="R17" s="26">
        <v>57.13</v>
      </c>
      <c r="S17" s="26">
        <v>69.81</v>
      </c>
      <c r="T17" s="26">
        <v>64.510000000000005</v>
      </c>
      <c r="U17" s="26">
        <v>68.459999999999994</v>
      </c>
      <c r="V17" s="26">
        <v>70.02</v>
      </c>
      <c r="W17" s="26">
        <v>87.1</v>
      </c>
      <c r="X17" s="7">
        <v>9.176752227689855E-2</v>
      </c>
      <c r="Y17" s="10">
        <v>5.5386364559223633E-2</v>
      </c>
      <c r="Z17" s="10">
        <v>4.9594090262013779E-2</v>
      </c>
      <c r="AA17" s="10">
        <v>6.3379765395894294E-2</v>
      </c>
    </row>
    <row r="18" spans="2:27" x14ac:dyDescent="0.3">
      <c r="B18" s="12" t="s">
        <v>142</v>
      </c>
      <c r="C18" s="3" t="s">
        <v>492</v>
      </c>
      <c r="D18" s="3" t="s">
        <v>495</v>
      </c>
      <c r="E18" s="3" t="s">
        <v>496</v>
      </c>
      <c r="F18" s="5">
        <v>5.7</v>
      </c>
      <c r="G18" s="26">
        <v>141.80000000000001</v>
      </c>
      <c r="H18" s="26">
        <v>150.52000000000001</v>
      </c>
      <c r="I18" s="26">
        <v>161.37</v>
      </c>
      <c r="J18" s="26">
        <v>172.51</v>
      </c>
      <c r="K18" s="26">
        <v>175.96</v>
      </c>
      <c r="L18" s="26">
        <v>184.31</v>
      </c>
      <c r="M18" s="26">
        <v>190.08</v>
      </c>
      <c r="N18" s="26">
        <v>192.17</v>
      </c>
      <c r="O18" s="26">
        <v>170.6</v>
      </c>
      <c r="P18" s="26">
        <v>140.82</v>
      </c>
      <c r="Q18" s="26">
        <v>124.08</v>
      </c>
      <c r="R18" s="26">
        <v>127.09</v>
      </c>
      <c r="S18" s="26">
        <v>117.42</v>
      </c>
      <c r="T18" s="26">
        <v>120.15</v>
      </c>
      <c r="U18" s="26">
        <v>123.97</v>
      </c>
      <c r="V18" s="26">
        <v>133.35</v>
      </c>
      <c r="W18" s="26">
        <v>145.79</v>
      </c>
      <c r="X18" s="7">
        <v>-4.0576353035864932E-2</v>
      </c>
      <c r="Y18" s="10">
        <v>-2.250685436019362E-4</v>
      </c>
      <c r="Z18" s="10">
        <v>1.2811329635920909E-2</v>
      </c>
      <c r="AA18" s="10">
        <v>5.7325870395441347E-2</v>
      </c>
    </row>
    <row r="19" spans="2:27" x14ac:dyDescent="0.3">
      <c r="B19" s="12" t="s">
        <v>164</v>
      </c>
      <c r="C19" s="3" t="s">
        <v>492</v>
      </c>
      <c r="D19" s="3" t="s">
        <v>509</v>
      </c>
      <c r="E19" s="3" t="s">
        <v>496</v>
      </c>
      <c r="F19" s="5">
        <v>4.3</v>
      </c>
      <c r="G19" s="26">
        <v>91.41</v>
      </c>
      <c r="H19" s="26">
        <v>98.34</v>
      </c>
      <c r="I19" s="26">
        <v>104.88</v>
      </c>
      <c r="J19" s="26">
        <v>110.07</v>
      </c>
      <c r="K19" s="26">
        <v>116.53</v>
      </c>
      <c r="L19" s="26">
        <v>126.62</v>
      </c>
      <c r="M19" s="26">
        <v>129.9</v>
      </c>
      <c r="N19" s="26">
        <v>136.81</v>
      </c>
      <c r="O19" s="26">
        <v>144.16999999999999</v>
      </c>
      <c r="P19" s="26">
        <v>149.44999999999999</v>
      </c>
      <c r="Q19" s="26">
        <v>152.58000000000001</v>
      </c>
      <c r="R19" s="26">
        <v>154.33000000000001</v>
      </c>
      <c r="S19" s="26">
        <v>160.72999999999999</v>
      </c>
      <c r="T19" s="26">
        <v>169.16</v>
      </c>
      <c r="U19" s="26">
        <v>175.53</v>
      </c>
      <c r="V19" s="26">
        <v>183.22</v>
      </c>
      <c r="W19" s="26">
        <v>190.49</v>
      </c>
      <c r="X19" s="7">
        <v>3.1940235622032409E-2</v>
      </c>
      <c r="Y19" s="10">
        <v>3.6039572864321689E-2</v>
      </c>
      <c r="Z19" s="10">
        <v>4.3789314134141673E-2</v>
      </c>
      <c r="AA19" s="10">
        <v>4.3215613382899587E-2</v>
      </c>
    </row>
    <row r="20" spans="2:27" x14ac:dyDescent="0.3">
      <c r="B20" s="12" t="s">
        <v>156</v>
      </c>
      <c r="C20" s="3" t="s">
        <v>492</v>
      </c>
      <c r="D20" s="3" t="s">
        <v>510</v>
      </c>
      <c r="E20" s="3" t="s">
        <v>496</v>
      </c>
      <c r="F20" s="5">
        <v>4.3</v>
      </c>
      <c r="G20" s="26">
        <v>396.93</v>
      </c>
      <c r="H20" s="26">
        <v>397.46</v>
      </c>
      <c r="I20" s="26">
        <v>440.95</v>
      </c>
      <c r="J20" s="26">
        <v>516.27</v>
      </c>
      <c r="K20" s="26">
        <v>490.74</v>
      </c>
      <c r="L20" s="26">
        <v>425.04</v>
      </c>
      <c r="M20" s="26">
        <v>415.51</v>
      </c>
      <c r="N20" s="26">
        <v>409.99</v>
      </c>
      <c r="O20" s="26">
        <v>405.27</v>
      </c>
      <c r="P20" s="26">
        <v>327.5</v>
      </c>
      <c r="Q20" s="26">
        <v>364.9</v>
      </c>
      <c r="R20" s="26">
        <v>374.2</v>
      </c>
      <c r="S20" s="26">
        <v>415.4</v>
      </c>
      <c r="T20" s="26">
        <v>404.6</v>
      </c>
      <c r="U20" s="26">
        <v>441.5</v>
      </c>
      <c r="V20" s="26">
        <v>463.3</v>
      </c>
      <c r="W20" s="26">
        <v>489.4</v>
      </c>
      <c r="X20" s="7">
        <v>5.2024291497975612E-2</v>
      </c>
      <c r="Y20" s="10">
        <v>4.9130908857674349E-2</v>
      </c>
      <c r="Z20" s="10">
        <v>5.4472091459313983E-2</v>
      </c>
      <c r="AA20" s="10">
        <v>4.2903525046382278E-2</v>
      </c>
    </row>
    <row r="21" spans="2:27" x14ac:dyDescent="0.3">
      <c r="B21" s="12" t="s">
        <v>355</v>
      </c>
      <c r="C21" s="3" t="s">
        <v>492</v>
      </c>
      <c r="D21" s="3" t="s">
        <v>511</v>
      </c>
      <c r="E21" s="3" t="s">
        <v>496</v>
      </c>
      <c r="F21" s="5">
        <v>4.0999999999999996</v>
      </c>
      <c r="G21" s="26">
        <v>11.87</v>
      </c>
      <c r="H21" s="26">
        <v>12.31</v>
      </c>
      <c r="I21" s="26">
        <v>12.72</v>
      </c>
      <c r="J21" s="26">
        <v>13.41</v>
      </c>
      <c r="K21" s="26">
        <v>14.86</v>
      </c>
      <c r="L21" s="26">
        <v>15.48</v>
      </c>
      <c r="M21" s="26">
        <v>16.13</v>
      </c>
      <c r="N21" s="26">
        <v>16.5</v>
      </c>
      <c r="O21" s="26">
        <v>17.45</v>
      </c>
      <c r="P21" s="26">
        <v>17.600000000000001</v>
      </c>
      <c r="Q21" s="26">
        <v>17.93</v>
      </c>
      <c r="R21" s="26">
        <v>18.329999999999998</v>
      </c>
      <c r="S21" s="26">
        <v>19.39</v>
      </c>
      <c r="T21" s="26">
        <v>19.510000000000002</v>
      </c>
      <c r="U21" s="26">
        <v>20.41</v>
      </c>
      <c r="V21" s="26">
        <v>21.2</v>
      </c>
      <c r="W21" s="26">
        <v>22.69</v>
      </c>
      <c r="X21" s="7">
        <v>2.6075085324231969E-2</v>
      </c>
      <c r="Y21" s="10">
        <v>3.2996274614156551E-2</v>
      </c>
      <c r="Z21" s="10">
        <v>3.6965481710458548E-2</v>
      </c>
      <c r="AA21" s="10">
        <v>4.0988697056266288E-2</v>
      </c>
    </row>
    <row r="22" spans="2:27" x14ac:dyDescent="0.3">
      <c r="B22" s="12" t="s">
        <v>91</v>
      </c>
      <c r="C22" s="3" t="s">
        <v>492</v>
      </c>
      <c r="D22" s="3" t="s">
        <v>512</v>
      </c>
      <c r="E22" s="3" t="s">
        <v>496</v>
      </c>
      <c r="F22" s="5">
        <v>4</v>
      </c>
      <c r="G22" s="26">
        <v>535</v>
      </c>
      <c r="H22" s="26">
        <v>536</v>
      </c>
      <c r="I22" s="26">
        <v>504</v>
      </c>
      <c r="J22" s="26">
        <v>483</v>
      </c>
      <c r="K22" s="26">
        <v>435</v>
      </c>
      <c r="L22" s="26">
        <v>469</v>
      </c>
      <c r="M22" s="26">
        <v>506</v>
      </c>
      <c r="N22" s="26">
        <v>496</v>
      </c>
      <c r="O22" s="26">
        <v>474</v>
      </c>
      <c r="P22" s="26">
        <v>529</v>
      </c>
      <c r="Q22" s="26">
        <v>572</v>
      </c>
      <c r="R22" s="26">
        <v>581</v>
      </c>
      <c r="S22" s="26">
        <v>554</v>
      </c>
      <c r="T22" s="26">
        <v>598</v>
      </c>
      <c r="U22" s="26">
        <v>655</v>
      </c>
      <c r="V22" s="26">
        <v>676</v>
      </c>
      <c r="W22" s="26">
        <v>654</v>
      </c>
      <c r="X22" s="7">
        <v>3.0858676207513369E-2</v>
      </c>
      <c r="Y22" s="10">
        <v>3.6008676789587753E-2</v>
      </c>
      <c r="Z22" s="10">
        <v>3.978224455611401E-2</v>
      </c>
      <c r="AA22" s="10">
        <v>4.0273862263391143E-2</v>
      </c>
    </row>
    <row r="23" spans="2:27" x14ac:dyDescent="0.3">
      <c r="B23" s="12" t="s">
        <v>213</v>
      </c>
      <c r="C23" s="3" t="s">
        <v>492</v>
      </c>
      <c r="D23" s="3" t="s">
        <v>513</v>
      </c>
      <c r="E23" s="3" t="s">
        <v>496</v>
      </c>
      <c r="F23" s="5">
        <v>3.7</v>
      </c>
      <c r="G23" s="26">
        <v>536.25</v>
      </c>
      <c r="H23" s="26">
        <v>975.97</v>
      </c>
      <c r="I23" s="26">
        <v>1022</v>
      </c>
      <c r="J23" s="26">
        <v>984.97</v>
      </c>
      <c r="K23" s="27">
        <v>1006</v>
      </c>
      <c r="L23" s="27">
        <v>1470</v>
      </c>
      <c r="M23" s="27">
        <v>1522</v>
      </c>
      <c r="N23" s="26">
        <v>1440</v>
      </c>
      <c r="O23" s="26">
        <v>1432</v>
      </c>
      <c r="P23" s="27">
        <v>2142</v>
      </c>
      <c r="Q23" s="27">
        <v>2219</v>
      </c>
      <c r="R23" s="27">
        <v>2423</v>
      </c>
      <c r="S23" s="27">
        <v>2392</v>
      </c>
      <c r="T23" s="26">
        <v>3046</v>
      </c>
      <c r="U23" s="26">
        <v>2864</v>
      </c>
      <c r="V23" s="26">
        <v>2986</v>
      </c>
      <c r="W23" s="26">
        <v>2806</v>
      </c>
      <c r="X23" s="7">
        <v>9.8517872711421095E-2</v>
      </c>
      <c r="Y23" s="10">
        <v>6.3988095238095344E-2</v>
      </c>
      <c r="Z23" s="10">
        <v>5.2494172494172542E-2</v>
      </c>
      <c r="AA23" s="10">
        <v>3.66761162296243E-2</v>
      </c>
    </row>
    <row r="24" spans="2:27" x14ac:dyDescent="0.3">
      <c r="B24" s="12" t="s">
        <v>266</v>
      </c>
      <c r="C24" s="3" t="s">
        <v>492</v>
      </c>
      <c r="D24" s="3" t="s">
        <v>495</v>
      </c>
      <c r="E24" s="3" t="s">
        <v>496</v>
      </c>
      <c r="F24" s="5">
        <v>3.7</v>
      </c>
      <c r="G24" s="26">
        <v>480.17</v>
      </c>
      <c r="H24" s="26">
        <v>482.12</v>
      </c>
      <c r="I24" s="26">
        <v>500.97</v>
      </c>
      <c r="J24" s="26">
        <v>521.27</v>
      </c>
      <c r="K24" s="26">
        <v>496.21</v>
      </c>
      <c r="L24" s="26">
        <v>467.24</v>
      </c>
      <c r="M24" s="26">
        <v>467.15</v>
      </c>
      <c r="N24" s="26">
        <v>404.65</v>
      </c>
      <c r="O24" s="26">
        <v>322.7</v>
      </c>
      <c r="P24" s="26">
        <v>301.97000000000003</v>
      </c>
      <c r="Q24" s="26">
        <v>319.77</v>
      </c>
      <c r="R24" s="26">
        <v>350.08</v>
      </c>
      <c r="S24" s="26">
        <v>339.3</v>
      </c>
      <c r="T24" s="26">
        <v>332.11</v>
      </c>
      <c r="U24" s="26">
        <v>366.21</v>
      </c>
      <c r="V24" s="26">
        <v>392.17</v>
      </c>
      <c r="W24" s="26">
        <v>391.58</v>
      </c>
      <c r="X24" s="7">
        <v>2.2987979742510319E-2</v>
      </c>
      <c r="Y24" s="10">
        <v>3.4624159372530272E-2</v>
      </c>
      <c r="Z24" s="10">
        <v>3.03307631332419E-2</v>
      </c>
      <c r="AA24" s="10">
        <v>3.6564810216884958E-2</v>
      </c>
    </row>
    <row r="25" spans="2:27" x14ac:dyDescent="0.3">
      <c r="B25" s="12" t="s">
        <v>221</v>
      </c>
      <c r="C25" s="3" t="s">
        <v>492</v>
      </c>
      <c r="D25" s="3" t="s">
        <v>506</v>
      </c>
      <c r="E25" s="3" t="s">
        <v>496</v>
      </c>
      <c r="F25" s="5">
        <v>3.5</v>
      </c>
      <c r="G25" s="26">
        <v>105.48</v>
      </c>
      <c r="H25" s="26">
        <v>114.64</v>
      </c>
      <c r="I25" s="26">
        <v>121.43</v>
      </c>
      <c r="J25" s="26">
        <v>128.76</v>
      </c>
      <c r="K25" s="26">
        <v>133.16999999999999</v>
      </c>
      <c r="L25" s="26">
        <v>137.69</v>
      </c>
      <c r="M25" s="26">
        <v>145.08000000000001</v>
      </c>
      <c r="N25" s="26">
        <v>153.55000000000001</v>
      </c>
      <c r="O25" s="26">
        <v>160.11000000000001</v>
      </c>
      <c r="P25" s="26">
        <v>165.14</v>
      </c>
      <c r="Q25" s="26">
        <v>174.13</v>
      </c>
      <c r="R25" s="26">
        <v>186.58</v>
      </c>
      <c r="S25" s="26">
        <v>194.57</v>
      </c>
      <c r="T25" s="26">
        <v>196.27</v>
      </c>
      <c r="U25" s="26">
        <v>204.68</v>
      </c>
      <c r="V25" s="26">
        <v>215.12</v>
      </c>
      <c r="W25" s="26">
        <v>222.74</v>
      </c>
      <c r="X25" s="7">
        <v>4.3210904750006877E-2</v>
      </c>
      <c r="Y25" s="10">
        <v>4.064932472889371E-2</v>
      </c>
      <c r="Z25" s="10">
        <v>3.6491497250990879E-2</v>
      </c>
      <c r="AA25" s="10">
        <v>3.4750320734234792E-2</v>
      </c>
    </row>
    <row r="26" spans="2:27" x14ac:dyDescent="0.3">
      <c r="B26" s="12" t="s">
        <v>31</v>
      </c>
      <c r="C26" s="3" t="s">
        <v>492</v>
      </c>
      <c r="D26" s="3" t="s">
        <v>514</v>
      </c>
      <c r="E26" s="3" t="s">
        <v>496</v>
      </c>
      <c r="F26" s="5">
        <v>3.4</v>
      </c>
      <c r="G26" s="26">
        <v>1072</v>
      </c>
      <c r="H26" s="26">
        <v>1053</v>
      </c>
      <c r="I26" s="26">
        <v>1418</v>
      </c>
      <c r="J26" s="26">
        <v>1382</v>
      </c>
      <c r="K26" s="26">
        <v>1503</v>
      </c>
      <c r="L26" s="26">
        <v>1468</v>
      </c>
      <c r="M26" s="26">
        <v>1618</v>
      </c>
      <c r="N26" s="26">
        <v>1537</v>
      </c>
      <c r="O26" s="26">
        <v>1677</v>
      </c>
      <c r="P26" s="26">
        <v>1544</v>
      </c>
      <c r="Q26" s="26">
        <v>1711</v>
      </c>
      <c r="R26" s="26">
        <v>1638</v>
      </c>
      <c r="S26" s="27">
        <v>20310</v>
      </c>
      <c r="T26" s="26">
        <v>1608</v>
      </c>
      <c r="U26" s="26">
        <v>1812</v>
      </c>
      <c r="V26" s="26">
        <v>1729</v>
      </c>
      <c r="W26" s="26">
        <v>21172</v>
      </c>
      <c r="X26" s="7">
        <v>2.5393802325119901E-3</v>
      </c>
      <c r="Y26" s="10">
        <v>3.9973087426288254E-3</v>
      </c>
      <c r="Z26" s="10">
        <v>3.5871964679912161E-3</v>
      </c>
      <c r="AA26" s="10">
        <v>3.3858360501197948E-2</v>
      </c>
    </row>
    <row r="27" spans="2:27" x14ac:dyDescent="0.3">
      <c r="B27" s="12" t="s">
        <v>27</v>
      </c>
      <c r="C27" s="3" t="s">
        <v>492</v>
      </c>
      <c r="D27" s="3" t="s">
        <v>515</v>
      </c>
      <c r="E27" s="3" t="s">
        <v>496</v>
      </c>
      <c r="F27" s="5">
        <v>3.2</v>
      </c>
      <c r="G27" s="26">
        <v>0</v>
      </c>
      <c r="H27" s="26">
        <v>7011</v>
      </c>
      <c r="I27" s="26">
        <v>6564</v>
      </c>
      <c r="J27" s="26">
        <v>7842</v>
      </c>
      <c r="K27" s="26">
        <v>0</v>
      </c>
      <c r="L27" s="26">
        <v>7276</v>
      </c>
      <c r="M27" s="26">
        <v>6578</v>
      </c>
      <c r="N27" s="26">
        <v>7994</v>
      </c>
      <c r="O27" s="27">
        <v>6754</v>
      </c>
      <c r="P27" s="26">
        <v>7671</v>
      </c>
      <c r="Q27" s="26">
        <v>7172</v>
      </c>
      <c r="R27" s="26">
        <v>8154</v>
      </c>
      <c r="S27" s="26">
        <v>6937</v>
      </c>
      <c r="T27" s="26">
        <v>8249</v>
      </c>
      <c r="U27" s="26">
        <v>7508</v>
      </c>
      <c r="V27" s="26">
        <v>8542</v>
      </c>
      <c r="W27" s="26">
        <v>7938</v>
      </c>
      <c r="X27" s="7">
        <v>1.9309146789603829E-2</v>
      </c>
      <c r="Y27" s="10">
        <v>1.101206082852646E-2</v>
      </c>
      <c r="Z27" s="10">
        <v>1.257780082987559E-2</v>
      </c>
      <c r="AA27" s="10">
        <v>3.2046356767831963E-2</v>
      </c>
    </row>
    <row r="28" spans="2:27" x14ac:dyDescent="0.3">
      <c r="B28" s="12" t="s">
        <v>52</v>
      </c>
      <c r="C28" s="3" t="s">
        <v>492</v>
      </c>
      <c r="D28" s="3" t="s">
        <v>511</v>
      </c>
      <c r="E28" s="3" t="s">
        <v>496</v>
      </c>
      <c r="F28" s="5">
        <v>3.1</v>
      </c>
      <c r="G28" s="26">
        <v>1330</v>
      </c>
      <c r="H28" s="26">
        <v>1341</v>
      </c>
      <c r="I28" s="26">
        <v>1374</v>
      </c>
      <c r="J28" s="26">
        <v>1319</v>
      </c>
      <c r="K28" s="26">
        <v>1348</v>
      </c>
      <c r="L28" s="26">
        <v>1238</v>
      </c>
      <c r="M28" s="26">
        <v>1263</v>
      </c>
      <c r="N28" s="26">
        <v>1243</v>
      </c>
      <c r="O28" s="26">
        <v>1266</v>
      </c>
      <c r="P28" s="26">
        <v>1330</v>
      </c>
      <c r="Q28" s="26">
        <v>1369</v>
      </c>
      <c r="R28" s="26">
        <v>1354</v>
      </c>
      <c r="S28" s="26">
        <v>1386</v>
      </c>
      <c r="T28" s="26">
        <v>1413</v>
      </c>
      <c r="U28" s="26">
        <v>1532</v>
      </c>
      <c r="V28" s="26">
        <v>1553</v>
      </c>
      <c r="W28" s="26">
        <v>1570</v>
      </c>
      <c r="X28" s="7">
        <v>1.526015811730108E-2</v>
      </c>
      <c r="Y28" s="10">
        <v>2.9518290474465751E-2</v>
      </c>
      <c r="Z28" s="10">
        <v>3.5004397537379051E-2</v>
      </c>
      <c r="AA28" s="10">
        <v>3.1271244051665592E-2</v>
      </c>
    </row>
    <row r="29" spans="2:27" x14ac:dyDescent="0.3">
      <c r="B29" s="12" t="s">
        <v>268</v>
      </c>
      <c r="C29" s="3" t="s">
        <v>492</v>
      </c>
      <c r="D29" s="3" t="s">
        <v>509</v>
      </c>
      <c r="E29" s="3" t="s">
        <v>496</v>
      </c>
      <c r="F29" s="5">
        <v>3.1</v>
      </c>
      <c r="G29" s="26">
        <v>81.27</v>
      </c>
      <c r="H29" s="26">
        <v>84.89</v>
      </c>
      <c r="I29" s="26">
        <v>85.79</v>
      </c>
      <c r="J29" s="26">
        <v>29.62</v>
      </c>
      <c r="K29" s="26">
        <v>94.09</v>
      </c>
      <c r="L29" s="26">
        <v>82.12</v>
      </c>
      <c r="M29" s="26">
        <v>88.76</v>
      </c>
      <c r="N29" s="27">
        <v>76.78</v>
      </c>
      <c r="O29" s="26">
        <v>84.36</v>
      </c>
      <c r="P29" s="26">
        <v>91.29</v>
      </c>
      <c r="Q29" s="26">
        <v>91.98</v>
      </c>
      <c r="R29" s="26">
        <v>99.77</v>
      </c>
      <c r="S29" s="26">
        <v>92.8</v>
      </c>
      <c r="T29" s="26">
        <v>102.78</v>
      </c>
      <c r="U29" s="26">
        <v>96.5</v>
      </c>
      <c r="V29" s="26">
        <v>97.41</v>
      </c>
      <c r="W29" s="26">
        <v>104.77</v>
      </c>
      <c r="X29" s="7">
        <v>3.0571519795657531E-2</v>
      </c>
      <c r="Y29" s="10">
        <v>1.1669635711150759E-2</v>
      </c>
      <c r="Z29" s="10">
        <v>-6.0227127727446872E-3</v>
      </c>
      <c r="AA29" s="10">
        <v>3.073249634136932E-2</v>
      </c>
    </row>
    <row r="30" spans="2:27" x14ac:dyDescent="0.3">
      <c r="B30" s="12" t="s">
        <v>85</v>
      </c>
      <c r="C30" s="3" t="s">
        <v>492</v>
      </c>
      <c r="D30" s="3" t="s">
        <v>511</v>
      </c>
      <c r="E30" s="3" t="s">
        <v>496</v>
      </c>
      <c r="F30" s="5">
        <v>2.8</v>
      </c>
      <c r="G30" s="26">
        <v>1777</v>
      </c>
      <c r="H30" s="26">
        <v>1663</v>
      </c>
      <c r="I30" s="26">
        <v>1782</v>
      </c>
      <c r="J30" s="26">
        <v>1670</v>
      </c>
      <c r="K30" s="26">
        <v>1825</v>
      </c>
      <c r="L30" s="26">
        <v>1831</v>
      </c>
      <c r="M30" s="26">
        <v>1870</v>
      </c>
      <c r="N30" s="26">
        <v>1754</v>
      </c>
      <c r="O30" s="26">
        <v>1940</v>
      </c>
      <c r="P30" s="26">
        <v>1889</v>
      </c>
      <c r="Q30" s="26">
        <v>1942</v>
      </c>
      <c r="R30" s="26">
        <v>1824</v>
      </c>
      <c r="S30" s="26">
        <v>2023</v>
      </c>
      <c r="T30" s="26">
        <v>1909</v>
      </c>
      <c r="U30" s="26">
        <v>2077</v>
      </c>
      <c r="V30" s="26">
        <v>2001</v>
      </c>
      <c r="W30" s="26">
        <v>2244</v>
      </c>
      <c r="X30" s="7">
        <v>2.604845011721757E-3</v>
      </c>
      <c r="Y30" s="10">
        <v>1.7537022603273611E-2</v>
      </c>
      <c r="Z30" s="10">
        <v>2.259670624281895E-2</v>
      </c>
      <c r="AA30" s="10">
        <v>2.759051186017469E-2</v>
      </c>
    </row>
    <row r="31" spans="2:27" x14ac:dyDescent="0.3">
      <c r="B31" s="12" t="s">
        <v>184</v>
      </c>
      <c r="C31" s="3" t="s">
        <v>492</v>
      </c>
      <c r="D31" s="3" t="s">
        <v>516</v>
      </c>
      <c r="E31" s="3" t="s">
        <v>496</v>
      </c>
      <c r="F31" s="5">
        <v>2.6</v>
      </c>
      <c r="G31" s="26">
        <v>177.8</v>
      </c>
      <c r="H31" s="26">
        <v>163.19999999999999</v>
      </c>
      <c r="I31" s="26">
        <v>175.8</v>
      </c>
      <c r="J31" s="26">
        <v>160.9</v>
      </c>
      <c r="K31" s="26">
        <v>217.9</v>
      </c>
      <c r="L31" s="26">
        <v>182.1</v>
      </c>
      <c r="M31" s="26">
        <v>197.2</v>
      </c>
      <c r="N31" s="26">
        <v>191.2</v>
      </c>
      <c r="O31" s="26">
        <v>230.4</v>
      </c>
      <c r="P31" s="26">
        <v>192.6</v>
      </c>
      <c r="Q31" s="26">
        <v>207.1</v>
      </c>
      <c r="R31" s="26">
        <v>206.8</v>
      </c>
      <c r="S31" s="26">
        <v>254.3</v>
      </c>
      <c r="T31" s="26">
        <v>202</v>
      </c>
      <c r="U31" s="26">
        <v>222.9</v>
      </c>
      <c r="V31" s="26">
        <v>223.1</v>
      </c>
      <c r="W31" s="26">
        <v>277.39999999999998</v>
      </c>
      <c r="X31" s="7">
        <v>1.092007434944242E-2</v>
      </c>
      <c r="Y31" s="10">
        <v>1.815674557572966E-2</v>
      </c>
      <c r="Z31" s="10">
        <v>1.839729119638811E-2</v>
      </c>
      <c r="AA31" s="10">
        <v>2.560124127230412E-2</v>
      </c>
    </row>
    <row r="32" spans="2:27" x14ac:dyDescent="0.3">
      <c r="B32" s="12" t="s">
        <v>134</v>
      </c>
      <c r="C32" s="3" t="s">
        <v>492</v>
      </c>
      <c r="D32" s="3" t="s">
        <v>517</v>
      </c>
      <c r="E32" s="3" t="s">
        <v>496</v>
      </c>
      <c r="F32" s="5">
        <v>2.5</v>
      </c>
      <c r="G32" s="26">
        <v>4852</v>
      </c>
      <c r="H32" s="26">
        <v>4932</v>
      </c>
      <c r="I32" s="26">
        <v>5484</v>
      </c>
      <c r="J32" s="26">
        <v>5446</v>
      </c>
      <c r="K32" s="26">
        <v>5559</v>
      </c>
      <c r="L32" s="26">
        <v>5522</v>
      </c>
      <c r="M32" s="26">
        <v>5746</v>
      </c>
      <c r="N32" s="26">
        <v>5644</v>
      </c>
      <c r="O32" s="26">
        <v>5473</v>
      </c>
      <c r="P32" s="26">
        <v>5350</v>
      </c>
      <c r="Q32" s="26">
        <v>5480</v>
      </c>
      <c r="R32" s="26">
        <v>5489</v>
      </c>
      <c r="S32" s="26">
        <v>5500</v>
      </c>
      <c r="T32" s="26">
        <v>5344</v>
      </c>
      <c r="U32" s="26">
        <v>5900</v>
      </c>
      <c r="V32" s="26">
        <v>6199</v>
      </c>
      <c r="W32" s="26">
        <v>6069</v>
      </c>
      <c r="X32" s="7">
        <v>-2.7498968788675082E-4</v>
      </c>
      <c r="Y32" s="10">
        <v>1.9254572961078239E-2</v>
      </c>
      <c r="Z32" s="10">
        <v>3.1934511761795507E-2</v>
      </c>
      <c r="AA32" s="10">
        <v>2.4800592773394969E-2</v>
      </c>
    </row>
    <row r="33" spans="2:27" x14ac:dyDescent="0.3">
      <c r="B33" s="12" t="s">
        <v>103</v>
      </c>
      <c r="C33" s="3" t="s">
        <v>492</v>
      </c>
      <c r="D33" s="3" t="s">
        <v>518</v>
      </c>
      <c r="E33" s="3" t="s">
        <v>496</v>
      </c>
      <c r="F33" s="5">
        <v>2.4</v>
      </c>
      <c r="G33" s="26">
        <v>341.68</v>
      </c>
      <c r="H33" s="26">
        <v>338.16</v>
      </c>
      <c r="I33" s="26">
        <v>348.06</v>
      </c>
      <c r="J33" s="26">
        <v>386.39</v>
      </c>
      <c r="K33" s="26">
        <v>400.47</v>
      </c>
      <c r="L33" s="26">
        <v>419.55</v>
      </c>
      <c r="M33" s="26">
        <v>451.77</v>
      </c>
      <c r="N33" s="26">
        <v>451.12</v>
      </c>
      <c r="O33" s="26">
        <v>414.12</v>
      </c>
      <c r="P33" s="26">
        <v>391.44</v>
      </c>
      <c r="Q33" s="26">
        <v>386.1</v>
      </c>
      <c r="R33" s="26">
        <v>394.76</v>
      </c>
      <c r="S33" s="26">
        <v>404.09</v>
      </c>
      <c r="T33" s="26">
        <v>411.05</v>
      </c>
      <c r="U33" s="26">
        <v>426.22</v>
      </c>
      <c r="V33" s="26">
        <v>428.94</v>
      </c>
      <c r="W33" s="26">
        <v>444.55</v>
      </c>
      <c r="X33" s="7">
        <v>1.2439815020394819E-2</v>
      </c>
      <c r="Y33" s="10">
        <v>2.5137844611528681E-2</v>
      </c>
      <c r="Z33" s="10">
        <v>2.0890888198909611E-2</v>
      </c>
      <c r="AA33" s="10">
        <v>2.4223193438304591E-2</v>
      </c>
    </row>
    <row r="34" spans="2:27" x14ac:dyDescent="0.3">
      <c r="B34" s="12" t="s">
        <v>395</v>
      </c>
      <c r="C34" s="3" t="s">
        <v>492</v>
      </c>
      <c r="D34" s="3" t="s">
        <v>519</v>
      </c>
      <c r="E34" s="3" t="s">
        <v>496</v>
      </c>
      <c r="F34" s="5">
        <v>2.4</v>
      </c>
      <c r="G34" s="26">
        <v>272.5</v>
      </c>
      <c r="H34" s="26">
        <v>245.01</v>
      </c>
      <c r="I34" s="26">
        <v>219.54</v>
      </c>
      <c r="J34" s="26">
        <v>235.57</v>
      </c>
      <c r="K34" s="26">
        <v>280.16000000000003</v>
      </c>
      <c r="L34" s="26">
        <v>267.10000000000002</v>
      </c>
      <c r="M34" s="26">
        <v>267.08999999999997</v>
      </c>
      <c r="N34" s="26">
        <v>273.95999999999998</v>
      </c>
      <c r="O34" s="26">
        <v>287.32</v>
      </c>
      <c r="P34" s="26">
        <v>296</v>
      </c>
      <c r="Q34" s="26">
        <v>301.17</v>
      </c>
      <c r="R34" s="26">
        <v>322.95999999999998</v>
      </c>
      <c r="S34" s="26">
        <v>333.18</v>
      </c>
      <c r="T34" s="26">
        <v>331.12</v>
      </c>
      <c r="U34" s="26">
        <v>335.47</v>
      </c>
      <c r="V34" s="26">
        <v>354.02</v>
      </c>
      <c r="W34" s="26">
        <v>365.81</v>
      </c>
      <c r="X34" s="7">
        <v>2.802179827815943E-2</v>
      </c>
      <c r="Y34" s="10">
        <v>2.662154715428855E-2</v>
      </c>
      <c r="Z34" s="10">
        <v>2.3481738525624959E-2</v>
      </c>
      <c r="AA34" s="10">
        <v>2.410270425989269E-2</v>
      </c>
    </row>
    <row r="35" spans="2:27" x14ac:dyDescent="0.3">
      <c r="B35" s="12" t="s">
        <v>178</v>
      </c>
      <c r="C35" s="3" t="s">
        <v>492</v>
      </c>
      <c r="D35" s="3" t="s">
        <v>501</v>
      </c>
      <c r="E35" s="3" t="s">
        <v>496</v>
      </c>
      <c r="F35" s="5">
        <v>2.2999999999999998</v>
      </c>
      <c r="G35" s="26">
        <v>1795</v>
      </c>
      <c r="H35" s="26">
        <v>1041</v>
      </c>
      <c r="I35" s="26">
        <v>1236</v>
      </c>
      <c r="J35" s="26">
        <v>1756</v>
      </c>
      <c r="K35" s="26">
        <v>1402</v>
      </c>
      <c r="L35" s="26">
        <v>814.58</v>
      </c>
      <c r="M35" s="26">
        <v>1087</v>
      </c>
      <c r="N35" s="26">
        <v>1919</v>
      </c>
      <c r="O35" s="26">
        <v>1621</v>
      </c>
      <c r="P35" s="26">
        <v>809.51</v>
      </c>
      <c r="Q35" s="26">
        <v>1080</v>
      </c>
      <c r="R35" s="26">
        <v>1844</v>
      </c>
      <c r="S35" s="26">
        <v>1646</v>
      </c>
      <c r="T35" s="26">
        <v>826.63</v>
      </c>
      <c r="U35" s="26">
        <v>1019</v>
      </c>
      <c r="V35" s="26">
        <v>1736</v>
      </c>
      <c r="W35" s="26">
        <v>1767</v>
      </c>
      <c r="X35" s="7">
        <v>3.182445984857285E-3</v>
      </c>
      <c r="Y35" s="10">
        <v>-1.1303350424246241E-2</v>
      </c>
      <c r="Z35" s="10">
        <v>-2.024128359725097E-2</v>
      </c>
      <c r="AA35" s="10">
        <v>2.314624409149069E-2</v>
      </c>
    </row>
    <row r="36" spans="2:27" x14ac:dyDescent="0.3">
      <c r="B36" s="12" t="s">
        <v>21</v>
      </c>
      <c r="C36" s="3" t="s">
        <v>492</v>
      </c>
      <c r="D36" s="3" t="s">
        <v>520</v>
      </c>
      <c r="E36" s="3" t="s">
        <v>496</v>
      </c>
      <c r="F36" s="5">
        <v>2.2000000000000002</v>
      </c>
      <c r="G36" s="26">
        <v>2088</v>
      </c>
      <c r="H36" s="26">
        <v>2389</v>
      </c>
      <c r="I36" s="26">
        <v>2993</v>
      </c>
      <c r="J36" s="26">
        <v>2861</v>
      </c>
      <c r="K36" s="26">
        <v>2937</v>
      </c>
      <c r="L36" s="26">
        <v>3160</v>
      </c>
      <c r="M36" s="26">
        <v>3101</v>
      </c>
      <c r="N36" s="26">
        <v>3084</v>
      </c>
      <c r="O36" s="26">
        <v>3152</v>
      </c>
      <c r="P36" s="26">
        <v>3491</v>
      </c>
      <c r="Q36" s="26">
        <v>3549</v>
      </c>
      <c r="R36" s="26">
        <v>3575</v>
      </c>
      <c r="S36" s="26">
        <v>3592</v>
      </c>
      <c r="T36" s="26">
        <v>3777</v>
      </c>
      <c r="U36" s="26">
        <v>3755</v>
      </c>
      <c r="V36" s="26">
        <v>3888</v>
      </c>
      <c r="W36" s="26">
        <v>3916</v>
      </c>
      <c r="X36" s="7">
        <v>2.0130921376786182E-2</v>
      </c>
      <c r="Y36" s="10">
        <v>1.421375836610772E-2</v>
      </c>
      <c r="Z36" s="10">
        <v>2.129396557588947E-2</v>
      </c>
      <c r="AA36" s="10">
        <v>2.1582733812949732E-2</v>
      </c>
    </row>
    <row r="37" spans="2:27" x14ac:dyDescent="0.3">
      <c r="B37" s="12" t="s">
        <v>38</v>
      </c>
      <c r="C37" s="3" t="s">
        <v>492</v>
      </c>
      <c r="D37" s="3" t="s">
        <v>521</v>
      </c>
      <c r="E37" s="3" t="s">
        <v>496</v>
      </c>
      <c r="F37" s="5">
        <v>2.1</v>
      </c>
      <c r="G37" s="26">
        <v>2964</v>
      </c>
      <c r="H37" s="26">
        <v>2718</v>
      </c>
      <c r="I37" s="26">
        <v>2803</v>
      </c>
      <c r="J37" s="26">
        <v>3005</v>
      </c>
      <c r="K37" s="26">
        <v>2826</v>
      </c>
      <c r="L37" s="26">
        <v>2575</v>
      </c>
      <c r="M37" s="26">
        <v>2368</v>
      </c>
      <c r="N37" s="26">
        <v>2535</v>
      </c>
      <c r="O37" s="26">
        <v>2473</v>
      </c>
      <c r="P37" s="26">
        <v>2780</v>
      </c>
      <c r="Q37" s="26">
        <v>2465</v>
      </c>
      <c r="R37" s="26">
        <v>2648</v>
      </c>
      <c r="S37" s="26">
        <v>2860</v>
      </c>
      <c r="T37" s="26">
        <v>3110</v>
      </c>
      <c r="U37" s="26">
        <v>2745</v>
      </c>
      <c r="V37" s="26">
        <v>2867</v>
      </c>
      <c r="W37" s="26">
        <v>3108</v>
      </c>
      <c r="X37" s="7">
        <v>3.068911001580954E-2</v>
      </c>
      <c r="Y37" s="10">
        <v>2.5263917711810802E-2</v>
      </c>
      <c r="Z37" s="10">
        <v>1.927307929244049E-2</v>
      </c>
      <c r="AA37" s="10">
        <v>2.141253669487142E-2</v>
      </c>
    </row>
    <row r="38" spans="2:27" x14ac:dyDescent="0.3">
      <c r="B38" s="12" t="s">
        <v>281</v>
      </c>
      <c r="C38" s="3" t="s">
        <v>492</v>
      </c>
      <c r="D38" s="3" t="s">
        <v>509</v>
      </c>
      <c r="E38" s="3" t="s">
        <v>496</v>
      </c>
      <c r="F38" s="5">
        <v>2.1</v>
      </c>
      <c r="G38" s="26">
        <v>57.47</v>
      </c>
      <c r="H38" s="26">
        <v>61.44</v>
      </c>
      <c r="I38" s="26">
        <v>61.23</v>
      </c>
      <c r="J38" s="26">
        <v>59.04</v>
      </c>
      <c r="K38" s="26">
        <v>65.84</v>
      </c>
      <c r="L38" s="26">
        <v>64.540000000000006</v>
      </c>
      <c r="M38" s="26">
        <v>64.84</v>
      </c>
      <c r="N38" s="26">
        <v>64.13</v>
      </c>
      <c r="O38" s="26">
        <v>64.61</v>
      </c>
      <c r="P38" s="26">
        <v>66.8</v>
      </c>
      <c r="Q38" s="26">
        <v>67.42</v>
      </c>
      <c r="R38" s="26">
        <v>68.52</v>
      </c>
      <c r="S38" s="26">
        <v>71.23</v>
      </c>
      <c r="T38" s="26">
        <v>73.77</v>
      </c>
      <c r="U38" s="26">
        <v>73.55</v>
      </c>
      <c r="V38" s="26">
        <v>74.47</v>
      </c>
      <c r="W38" s="26">
        <v>77.38</v>
      </c>
      <c r="X38" s="7">
        <v>2.5440741687045909E-2</v>
      </c>
      <c r="Y38" s="10">
        <v>2.1819605609738609E-2</v>
      </c>
      <c r="Z38" s="10">
        <v>2.07266520360887E-2</v>
      </c>
      <c r="AA38" s="10">
        <v>2.0988328441744471E-2</v>
      </c>
    </row>
    <row r="39" spans="2:27" x14ac:dyDescent="0.3">
      <c r="B39" s="12" t="s">
        <v>25</v>
      </c>
      <c r="C39" s="3" t="s">
        <v>492</v>
      </c>
      <c r="D39" s="3" t="s">
        <v>513</v>
      </c>
      <c r="E39" s="3" t="s">
        <v>496</v>
      </c>
      <c r="F39" s="5">
        <v>2.1</v>
      </c>
      <c r="G39" s="26">
        <v>76237</v>
      </c>
      <c r="H39" s="26">
        <v>76658</v>
      </c>
      <c r="I39" s="26">
        <v>80490</v>
      </c>
      <c r="J39" s="26">
        <v>80958</v>
      </c>
      <c r="K39" s="26">
        <v>83523</v>
      </c>
      <c r="L39" s="26">
        <v>84944</v>
      </c>
      <c r="M39" s="26">
        <v>88647</v>
      </c>
      <c r="N39" s="26">
        <v>89487</v>
      </c>
      <c r="O39" s="26">
        <v>93545</v>
      </c>
      <c r="P39" s="26">
        <v>87983</v>
      </c>
      <c r="Q39" s="26">
        <v>90840</v>
      </c>
      <c r="R39" s="26">
        <v>94878</v>
      </c>
      <c r="S39" s="26">
        <v>96955</v>
      </c>
      <c r="T39" s="26">
        <v>94068</v>
      </c>
      <c r="U39" s="26">
        <v>98428</v>
      </c>
      <c r="V39" s="26">
        <v>102239</v>
      </c>
      <c r="W39" s="26">
        <v>105099</v>
      </c>
      <c r="X39" s="7">
        <v>1.641683933350602E-2</v>
      </c>
      <c r="Y39" s="10">
        <v>2.0141157983866839E-2</v>
      </c>
      <c r="Z39" s="10">
        <v>1.9152861220464779E-2</v>
      </c>
      <c r="AA39" s="10">
        <v>2.079195281983193E-2</v>
      </c>
    </row>
    <row r="40" spans="2:27" x14ac:dyDescent="0.3">
      <c r="B40" s="12" t="s">
        <v>253</v>
      </c>
      <c r="C40" s="3" t="s">
        <v>492</v>
      </c>
      <c r="D40" s="3" t="s">
        <v>522</v>
      </c>
      <c r="E40" s="3" t="s">
        <v>496</v>
      </c>
      <c r="F40" s="5">
        <v>2.1</v>
      </c>
      <c r="G40" s="26">
        <v>125.07</v>
      </c>
      <c r="H40" s="26">
        <v>127.44</v>
      </c>
      <c r="I40" s="26">
        <v>132.22</v>
      </c>
      <c r="J40" s="26">
        <v>130.58000000000001</v>
      </c>
      <c r="K40" s="26">
        <v>133.11000000000001</v>
      </c>
      <c r="L40" s="26">
        <v>136.78</v>
      </c>
      <c r="M40" s="26">
        <v>142.69</v>
      </c>
      <c r="N40" s="26">
        <v>148.16</v>
      </c>
      <c r="O40" s="26">
        <v>151.38</v>
      </c>
      <c r="P40" s="26">
        <v>156.25</v>
      </c>
      <c r="Q40" s="26">
        <v>162.12</v>
      </c>
      <c r="R40" s="26">
        <v>166.09</v>
      </c>
      <c r="S40" s="26">
        <v>166.5</v>
      </c>
      <c r="T40" s="26">
        <v>173.25</v>
      </c>
      <c r="U40" s="26">
        <v>173.78</v>
      </c>
      <c r="V40" s="26">
        <v>178.68</v>
      </c>
      <c r="W40" s="26">
        <v>180.74</v>
      </c>
      <c r="X40" s="7">
        <v>2.6115275900209008E-2</v>
      </c>
      <c r="Y40" s="10">
        <v>1.7456135097910112E-2</v>
      </c>
      <c r="Z40" s="10">
        <v>1.8525058120714592E-2</v>
      </c>
      <c r="AA40" s="10">
        <v>2.0571791797286961E-2</v>
      </c>
    </row>
    <row r="41" spans="2:27" x14ac:dyDescent="0.3">
      <c r="B41" s="12" t="s">
        <v>235</v>
      </c>
      <c r="C41" s="3" t="s">
        <v>492</v>
      </c>
      <c r="D41" s="3" t="s">
        <v>506</v>
      </c>
      <c r="E41" s="3" t="s">
        <v>496</v>
      </c>
      <c r="F41" s="5">
        <v>2</v>
      </c>
      <c r="G41" s="26">
        <v>115.33</v>
      </c>
      <c r="H41" s="26">
        <v>120.24</v>
      </c>
      <c r="I41" s="26">
        <v>128.47999999999999</v>
      </c>
      <c r="J41" s="26">
        <v>134.27000000000001</v>
      </c>
      <c r="K41" s="26">
        <v>139.96</v>
      </c>
      <c r="L41" s="26">
        <v>138.97999999999999</v>
      </c>
      <c r="M41" s="26">
        <v>144.57</v>
      </c>
      <c r="N41" s="26">
        <v>150.71</v>
      </c>
      <c r="O41" s="26">
        <v>155.72999999999999</v>
      </c>
      <c r="P41" s="26">
        <v>157.46</v>
      </c>
      <c r="Q41" s="26">
        <v>160.51</v>
      </c>
      <c r="R41" s="26">
        <v>165.91</v>
      </c>
      <c r="S41" s="26">
        <v>169.46</v>
      </c>
      <c r="T41" s="26">
        <v>166.93</v>
      </c>
      <c r="U41" s="26">
        <v>172.03</v>
      </c>
      <c r="V41" s="26">
        <v>178.29</v>
      </c>
      <c r="W41" s="26">
        <v>183.18</v>
      </c>
      <c r="X41" s="7">
        <v>1.449475005357082E-2</v>
      </c>
      <c r="Y41" s="10">
        <v>1.738054646127862E-2</v>
      </c>
      <c r="Z41" s="10">
        <v>1.835896371212908E-2</v>
      </c>
      <c r="AA41" s="10">
        <v>1.9979321693291311E-2</v>
      </c>
    </row>
    <row r="42" spans="2:27" x14ac:dyDescent="0.3">
      <c r="B42" s="12" t="s">
        <v>180</v>
      </c>
      <c r="C42" s="3" t="s">
        <v>492</v>
      </c>
      <c r="D42" s="3" t="s">
        <v>523</v>
      </c>
      <c r="E42" s="3" t="s">
        <v>496</v>
      </c>
      <c r="F42" s="5">
        <v>2</v>
      </c>
      <c r="G42" s="26">
        <v>2262</v>
      </c>
      <c r="H42" s="26">
        <v>2083</v>
      </c>
      <c r="I42" s="26">
        <v>2156</v>
      </c>
      <c r="J42" s="26">
        <v>2287</v>
      </c>
      <c r="K42" s="26">
        <v>2467</v>
      </c>
      <c r="L42" s="26">
        <v>2323</v>
      </c>
      <c r="M42" s="26">
        <v>2394</v>
      </c>
      <c r="N42" s="26">
        <v>2471</v>
      </c>
      <c r="O42" s="26">
        <v>2590</v>
      </c>
      <c r="P42" s="26">
        <v>2456</v>
      </c>
      <c r="Q42" s="26">
        <v>2846</v>
      </c>
      <c r="R42" s="26">
        <v>3157</v>
      </c>
      <c r="S42" s="26">
        <v>3250</v>
      </c>
      <c r="T42" s="26">
        <v>2977</v>
      </c>
      <c r="U42" s="26">
        <v>3299</v>
      </c>
      <c r="V42" s="26">
        <v>3395</v>
      </c>
      <c r="W42" s="26">
        <v>3507</v>
      </c>
      <c r="X42" s="7">
        <v>4.4495687078315749E-2</v>
      </c>
      <c r="Y42" s="10">
        <v>3.7040065412919043E-2</v>
      </c>
      <c r="Z42" s="10">
        <v>1.8765276354174801E-2</v>
      </c>
      <c r="AA42" s="10">
        <v>1.9890101385341641E-2</v>
      </c>
    </row>
    <row r="43" spans="2:27" x14ac:dyDescent="0.3">
      <c r="B43" s="12" t="s">
        <v>122</v>
      </c>
      <c r="C43" s="3" t="s">
        <v>492</v>
      </c>
      <c r="D43" s="3" t="s">
        <v>519</v>
      </c>
      <c r="E43" s="3" t="s">
        <v>496</v>
      </c>
      <c r="F43" s="5">
        <v>1.9</v>
      </c>
      <c r="G43" s="26">
        <v>2575</v>
      </c>
      <c r="H43" s="26">
        <v>2483</v>
      </c>
      <c r="I43" s="26">
        <v>2510</v>
      </c>
      <c r="J43" s="26">
        <v>2548</v>
      </c>
      <c r="K43" s="26">
        <v>2653</v>
      </c>
      <c r="L43" s="26">
        <v>2643</v>
      </c>
      <c r="M43" s="26">
        <v>2732</v>
      </c>
      <c r="N43" s="26">
        <v>2774</v>
      </c>
      <c r="O43" s="26">
        <v>2983</v>
      </c>
      <c r="P43" s="26">
        <v>2880</v>
      </c>
      <c r="Q43" s="26">
        <v>2925</v>
      </c>
      <c r="R43" s="26">
        <v>2968</v>
      </c>
      <c r="S43" s="26">
        <v>3105</v>
      </c>
      <c r="T43" s="26">
        <v>3074</v>
      </c>
      <c r="U43" s="26">
        <v>3158</v>
      </c>
      <c r="V43" s="26">
        <v>3232</v>
      </c>
      <c r="W43" s="26">
        <v>3350</v>
      </c>
      <c r="X43" s="7">
        <v>1.633271594544539E-2</v>
      </c>
      <c r="Y43" s="10">
        <v>1.9300861497680621E-2</v>
      </c>
      <c r="Z43" s="10">
        <v>2.1454693214140619E-2</v>
      </c>
      <c r="AA43" s="10">
        <v>1.9492401941284099E-2</v>
      </c>
    </row>
    <row r="44" spans="2:27" x14ac:dyDescent="0.3">
      <c r="B44" s="12" t="s">
        <v>342</v>
      </c>
      <c r="C44" s="3" t="s">
        <v>492</v>
      </c>
      <c r="D44" s="3" t="s">
        <v>524</v>
      </c>
      <c r="E44" s="3" t="s">
        <v>496</v>
      </c>
      <c r="F44" s="5">
        <v>1.8</v>
      </c>
      <c r="G44" s="26">
        <v>132.53</v>
      </c>
      <c r="H44" s="26">
        <v>147.69999999999999</v>
      </c>
      <c r="I44" s="26">
        <v>144.97999999999999</v>
      </c>
      <c r="J44" s="26">
        <v>151.91</v>
      </c>
      <c r="K44" s="26">
        <v>142.28</v>
      </c>
      <c r="L44" s="26">
        <v>145.99</v>
      </c>
      <c r="M44" s="26">
        <v>145.18</v>
      </c>
      <c r="N44" s="26">
        <v>134.55000000000001</v>
      </c>
      <c r="O44" s="26">
        <v>124.69</v>
      </c>
      <c r="P44" s="26">
        <v>125.75</v>
      </c>
      <c r="Q44" s="26">
        <v>130.16</v>
      </c>
      <c r="R44" s="26">
        <v>132.38</v>
      </c>
      <c r="S44" s="26">
        <v>127.44</v>
      </c>
      <c r="T44" s="26">
        <v>125.77</v>
      </c>
      <c r="U44" s="26">
        <v>135.31</v>
      </c>
      <c r="V44" s="26">
        <v>142.97</v>
      </c>
      <c r="W44" s="26">
        <v>137.27000000000001</v>
      </c>
      <c r="X44" s="7">
        <v>3.8779981773373613E-5</v>
      </c>
      <c r="Y44" s="10">
        <v>9.9854580707707807E-3</v>
      </c>
      <c r="Z44" s="10">
        <v>2.0330197734689911E-2</v>
      </c>
      <c r="AA44" s="10">
        <v>1.8495173944947259E-2</v>
      </c>
    </row>
    <row r="45" spans="2:27" x14ac:dyDescent="0.3">
      <c r="B45" s="12" t="s">
        <v>87</v>
      </c>
      <c r="C45" s="3" t="s">
        <v>492</v>
      </c>
      <c r="D45" s="3" t="s">
        <v>525</v>
      </c>
      <c r="E45" s="3" t="s">
        <v>496</v>
      </c>
      <c r="F45" s="5">
        <v>1.7</v>
      </c>
      <c r="G45" s="26">
        <v>2744</v>
      </c>
      <c r="H45" s="26">
        <v>2611</v>
      </c>
      <c r="I45" s="26">
        <v>2453</v>
      </c>
      <c r="J45" s="26">
        <v>2486</v>
      </c>
      <c r="K45" s="26">
        <v>2333</v>
      </c>
      <c r="L45" s="26">
        <v>2331</v>
      </c>
      <c r="M45" s="26">
        <v>2338</v>
      </c>
      <c r="N45" s="26">
        <v>2295</v>
      </c>
      <c r="O45" s="26">
        <v>2288</v>
      </c>
      <c r="P45" s="26">
        <v>2366</v>
      </c>
      <c r="Q45" s="26">
        <v>2397</v>
      </c>
      <c r="R45" s="26">
        <v>2488</v>
      </c>
      <c r="S45" s="26">
        <v>2621</v>
      </c>
      <c r="T45" s="26">
        <v>2652</v>
      </c>
      <c r="U45" s="26">
        <v>2761</v>
      </c>
      <c r="V45" s="26">
        <v>2816</v>
      </c>
      <c r="W45" s="26">
        <v>2806</v>
      </c>
      <c r="X45" s="7">
        <v>2.8970826580226872E-2</v>
      </c>
      <c r="Y45" s="10">
        <v>3.583382555621184E-2</v>
      </c>
      <c r="Z45" s="10">
        <v>3.1172780840144521E-2</v>
      </c>
      <c r="AA45" s="10">
        <v>1.7050691244239639E-2</v>
      </c>
    </row>
    <row r="46" spans="2:27" x14ac:dyDescent="0.3">
      <c r="B46" s="12" t="s">
        <v>393</v>
      </c>
      <c r="C46" s="3" t="s">
        <v>492</v>
      </c>
      <c r="D46" s="3" t="s">
        <v>511</v>
      </c>
      <c r="E46" s="3" t="s">
        <v>496</v>
      </c>
      <c r="F46" s="5">
        <v>1.6</v>
      </c>
      <c r="G46" s="26">
        <v>110.54</v>
      </c>
      <c r="H46" s="26">
        <v>85.92</v>
      </c>
      <c r="I46" s="26">
        <v>113.55</v>
      </c>
      <c r="J46" s="26">
        <v>121.23</v>
      </c>
      <c r="K46" s="26">
        <v>133.57</v>
      </c>
      <c r="L46" s="26">
        <v>106.07</v>
      </c>
      <c r="M46" s="26">
        <v>136.08000000000001</v>
      </c>
      <c r="N46" s="26">
        <v>123.11</v>
      </c>
      <c r="O46" s="26">
        <v>126.78</v>
      </c>
      <c r="P46" s="26">
        <v>80.28</v>
      </c>
      <c r="Q46" s="26">
        <v>86.45</v>
      </c>
      <c r="R46" s="26">
        <v>130.22999999999999</v>
      </c>
      <c r="S46" s="26">
        <v>97.85</v>
      </c>
      <c r="T46" s="26">
        <v>77.87</v>
      </c>
      <c r="U46" s="26">
        <v>95.6</v>
      </c>
      <c r="V46" s="26">
        <v>93.17</v>
      </c>
      <c r="W46" s="26">
        <v>103.85</v>
      </c>
      <c r="X46" s="7">
        <v>-6.1042020212254133E-3</v>
      </c>
      <c r="Y46" s="10">
        <v>2.3318042813455619E-2</v>
      </c>
      <c r="Z46" s="10">
        <v>-9.2292367077574267E-2</v>
      </c>
      <c r="AA46" s="10">
        <v>1.6461356964525779E-2</v>
      </c>
    </row>
    <row r="47" spans="2:27" x14ac:dyDescent="0.3">
      <c r="B47" s="12" t="s">
        <v>64</v>
      </c>
      <c r="C47" s="3" t="s">
        <v>492</v>
      </c>
      <c r="D47" s="3" t="s">
        <v>516</v>
      </c>
      <c r="E47" s="3" t="s">
        <v>496</v>
      </c>
      <c r="F47" s="5">
        <v>1.6</v>
      </c>
      <c r="G47" s="26">
        <v>1323</v>
      </c>
      <c r="H47" s="26">
        <v>1272</v>
      </c>
      <c r="I47" s="26">
        <v>1364</v>
      </c>
      <c r="J47" s="26">
        <v>1380</v>
      </c>
      <c r="K47" s="26">
        <v>1506</v>
      </c>
      <c r="L47" s="26">
        <v>1448</v>
      </c>
      <c r="M47" s="26">
        <v>1722</v>
      </c>
      <c r="N47" s="27">
        <v>2076</v>
      </c>
      <c r="O47" s="26">
        <v>2118</v>
      </c>
      <c r="P47" s="26">
        <v>2033</v>
      </c>
      <c r="Q47" s="26">
        <v>2169</v>
      </c>
      <c r="R47" s="26">
        <v>2104</v>
      </c>
      <c r="S47" s="26">
        <v>2256</v>
      </c>
      <c r="T47" s="26">
        <v>2069</v>
      </c>
      <c r="U47" s="26">
        <v>2301</v>
      </c>
      <c r="V47" s="26">
        <v>2268</v>
      </c>
      <c r="W47" s="26">
        <v>2397</v>
      </c>
      <c r="X47" s="7">
        <v>4.2046250875964466E-3</v>
      </c>
      <c r="Y47" s="10">
        <v>1.535240753663647E-2</v>
      </c>
      <c r="Z47" s="10">
        <v>1.8785796105383671E-2</v>
      </c>
      <c r="AA47" s="10">
        <v>1.5853384304025161E-2</v>
      </c>
    </row>
    <row r="48" spans="2:27" x14ac:dyDescent="0.3">
      <c r="B48" s="12" t="s">
        <v>136</v>
      </c>
      <c r="C48" s="3" t="s">
        <v>492</v>
      </c>
      <c r="D48" s="3" t="s">
        <v>526</v>
      </c>
      <c r="E48" s="3" t="s">
        <v>527</v>
      </c>
      <c r="F48" s="5">
        <v>1.5</v>
      </c>
      <c r="G48" s="26">
        <v>3948</v>
      </c>
      <c r="H48" s="26">
        <v>3861</v>
      </c>
      <c r="I48" s="26">
        <v>4127</v>
      </c>
      <c r="J48" s="26">
        <v>4390</v>
      </c>
      <c r="K48" s="26">
        <v>3914</v>
      </c>
      <c r="L48" s="26">
        <v>3916</v>
      </c>
      <c r="M48" s="26">
        <v>4053</v>
      </c>
      <c r="N48" s="26">
        <v>4200</v>
      </c>
      <c r="O48" s="26">
        <v>4408</v>
      </c>
      <c r="P48" s="26">
        <v>4200</v>
      </c>
      <c r="Q48" s="26">
        <v>4376</v>
      </c>
      <c r="R48" s="26">
        <v>4417</v>
      </c>
      <c r="S48" s="26">
        <v>4552</v>
      </c>
      <c r="T48" s="26">
        <v>4279</v>
      </c>
      <c r="U48" s="26">
        <v>4626</v>
      </c>
      <c r="V48" s="26">
        <v>5048</v>
      </c>
      <c r="W48" s="26">
        <v>4832</v>
      </c>
      <c r="X48" s="7">
        <v>4.5027073240240254E-3</v>
      </c>
      <c r="Y48" s="10">
        <v>1.418520199727635E-2</v>
      </c>
      <c r="Z48" s="10">
        <v>3.5302674275483843E-2</v>
      </c>
      <c r="AA48" s="10">
        <v>1.5131045663334231E-2</v>
      </c>
    </row>
    <row r="49" spans="2:27" x14ac:dyDescent="0.3">
      <c r="B49" s="12" t="s">
        <v>36</v>
      </c>
      <c r="C49" s="3" t="s">
        <v>492</v>
      </c>
      <c r="D49" s="3" t="s">
        <v>528</v>
      </c>
      <c r="E49" s="3" t="s">
        <v>496</v>
      </c>
      <c r="F49" s="5">
        <v>1.2</v>
      </c>
      <c r="G49" s="26">
        <v>3365</v>
      </c>
      <c r="H49" s="26">
        <v>3267</v>
      </c>
      <c r="I49" s="26">
        <v>3581</v>
      </c>
      <c r="J49" s="26">
        <v>3669</v>
      </c>
      <c r="K49" s="26">
        <v>3671</v>
      </c>
      <c r="L49" s="26">
        <v>3572</v>
      </c>
      <c r="M49" s="26">
        <v>3852</v>
      </c>
      <c r="N49" s="26">
        <v>3958</v>
      </c>
      <c r="O49" s="26">
        <v>3938</v>
      </c>
      <c r="P49" s="26">
        <v>3752</v>
      </c>
      <c r="Q49" s="26">
        <v>3986</v>
      </c>
      <c r="R49" s="26">
        <v>3999</v>
      </c>
      <c r="S49" s="26">
        <v>4005</v>
      </c>
      <c r="T49" s="26">
        <v>3695</v>
      </c>
      <c r="U49" s="26">
        <v>4025</v>
      </c>
      <c r="V49" s="26">
        <v>4165</v>
      </c>
      <c r="W49" s="26">
        <v>4196</v>
      </c>
      <c r="X49" s="7">
        <v>-3.62088679964423E-3</v>
      </c>
      <c r="Y49" s="10">
        <v>2.4864520242269261E-3</v>
      </c>
      <c r="Z49" s="10">
        <v>1.0557110150088979E-2</v>
      </c>
      <c r="AA49" s="10">
        <v>1.2020138451856569E-2</v>
      </c>
    </row>
    <row r="50" spans="2:27" x14ac:dyDescent="0.3">
      <c r="B50" s="12" t="s">
        <v>11</v>
      </c>
      <c r="C50" s="3" t="s">
        <v>492</v>
      </c>
      <c r="D50" s="3" t="s">
        <v>529</v>
      </c>
      <c r="E50" s="3" t="s">
        <v>496</v>
      </c>
      <c r="F50" s="5">
        <v>1.1000000000000001</v>
      </c>
      <c r="G50" s="26">
        <v>12011</v>
      </c>
      <c r="H50" s="26">
        <v>11390</v>
      </c>
      <c r="I50" s="26">
        <v>10771</v>
      </c>
      <c r="J50" s="26">
        <v>10982</v>
      </c>
      <c r="K50" s="26">
        <v>11207</v>
      </c>
      <c r="L50" s="26">
        <v>10879</v>
      </c>
      <c r="M50" s="26">
        <v>11416</v>
      </c>
      <c r="N50" s="26">
        <v>11492</v>
      </c>
      <c r="O50" s="26">
        <v>12024</v>
      </c>
      <c r="P50" s="26">
        <v>12679</v>
      </c>
      <c r="Q50" s="26">
        <v>12938</v>
      </c>
      <c r="R50" s="26">
        <v>13565</v>
      </c>
      <c r="S50" s="26">
        <v>14891</v>
      </c>
      <c r="T50" s="26">
        <v>13588</v>
      </c>
      <c r="U50" s="26">
        <v>14457</v>
      </c>
      <c r="V50" s="26">
        <v>15191</v>
      </c>
      <c r="W50" s="26">
        <v>15503</v>
      </c>
      <c r="X50" s="7">
        <v>1.6810607881937441E-2</v>
      </c>
      <c r="Y50" s="10">
        <v>2.7627223454948831E-2</v>
      </c>
      <c r="Z50" s="10">
        <v>2.8778251712359149E-2</v>
      </c>
      <c r="AA50" s="10">
        <v>1.052866998124791E-2</v>
      </c>
    </row>
    <row r="51" spans="2:27" x14ac:dyDescent="0.3">
      <c r="B51" s="12" t="s">
        <v>391</v>
      </c>
      <c r="C51" s="3" t="s">
        <v>492</v>
      </c>
      <c r="D51" s="3" t="s">
        <v>530</v>
      </c>
      <c r="E51" s="3" t="s">
        <v>496</v>
      </c>
      <c r="F51" s="5">
        <v>1</v>
      </c>
      <c r="G51" s="26"/>
      <c r="H51" s="26">
        <v>662.06</v>
      </c>
      <c r="I51" s="26">
        <v>662.06</v>
      </c>
      <c r="J51" s="26">
        <v>679.72</v>
      </c>
      <c r="K51" s="26">
        <v>683.17</v>
      </c>
      <c r="L51" s="26">
        <v>700.7</v>
      </c>
      <c r="M51" s="26">
        <v>699.31</v>
      </c>
      <c r="N51" s="26">
        <v>709.38</v>
      </c>
      <c r="O51" s="26">
        <v>715.9</v>
      </c>
      <c r="P51" s="26">
        <v>717.92</v>
      </c>
      <c r="Q51" s="26">
        <v>705.37</v>
      </c>
      <c r="R51" s="26">
        <v>698.25</v>
      </c>
      <c r="S51" s="26">
        <v>684.28</v>
      </c>
      <c r="T51" s="26">
        <v>683.78</v>
      </c>
      <c r="U51" s="26">
        <v>665.25</v>
      </c>
      <c r="V51" s="26">
        <v>673.8</v>
      </c>
      <c r="W51" s="26">
        <v>712.01</v>
      </c>
      <c r="X51" s="7">
        <v>-1.216756598783952E-2</v>
      </c>
      <c r="Y51" s="10">
        <v>-1.447497546614329E-2</v>
      </c>
      <c r="Z51" s="10">
        <v>-8.9509291393929935E-3</v>
      </c>
      <c r="AA51" s="10">
        <v>1.024339609398961E-2</v>
      </c>
    </row>
    <row r="52" spans="2:27" x14ac:dyDescent="0.3">
      <c r="B52" s="12" t="s">
        <v>48</v>
      </c>
      <c r="C52" s="3" t="s">
        <v>492</v>
      </c>
      <c r="D52" s="3" t="s">
        <v>531</v>
      </c>
      <c r="E52" s="3" t="s">
        <v>496</v>
      </c>
      <c r="F52" s="5">
        <v>0.9</v>
      </c>
      <c r="G52" s="26">
        <v>1172</v>
      </c>
      <c r="H52" s="26">
        <v>1186</v>
      </c>
      <c r="I52" s="26">
        <v>1291</v>
      </c>
      <c r="J52" s="26">
        <v>1250</v>
      </c>
      <c r="K52" s="26">
        <v>1368</v>
      </c>
      <c r="L52" s="26">
        <v>1429</v>
      </c>
      <c r="M52" s="26">
        <v>1474</v>
      </c>
      <c r="N52" s="26">
        <v>1544</v>
      </c>
      <c r="O52" s="26">
        <v>1523</v>
      </c>
      <c r="P52" s="26">
        <v>1585</v>
      </c>
      <c r="Q52" s="26">
        <v>1712</v>
      </c>
      <c r="R52" s="26">
        <v>1644</v>
      </c>
      <c r="S52" s="26">
        <v>1736</v>
      </c>
      <c r="T52" s="26">
        <v>1791</v>
      </c>
      <c r="U52" s="26">
        <v>1788</v>
      </c>
      <c r="V52" s="26">
        <v>1766</v>
      </c>
      <c r="W52" s="26">
        <v>1802</v>
      </c>
      <c r="X52" s="7">
        <v>3.0852179122360379E-2</v>
      </c>
      <c r="Y52" s="10">
        <v>1.104169693447621E-2</v>
      </c>
      <c r="Z52" s="10">
        <v>1.7531254490587681E-2</v>
      </c>
      <c r="AA52" s="10">
        <v>9.3207174127947212E-3</v>
      </c>
    </row>
    <row r="53" spans="2:27" x14ac:dyDescent="0.3">
      <c r="B53" s="12" t="s">
        <v>240</v>
      </c>
      <c r="C53" s="3" t="s">
        <v>492</v>
      </c>
      <c r="D53" s="3" t="s">
        <v>532</v>
      </c>
      <c r="E53" s="3" t="s">
        <v>496</v>
      </c>
      <c r="F53" s="5">
        <v>0.8</v>
      </c>
      <c r="G53" s="26">
        <v>422.35</v>
      </c>
      <c r="H53" s="26">
        <v>401.64</v>
      </c>
      <c r="I53" s="26">
        <v>422.24</v>
      </c>
      <c r="J53" s="26">
        <v>414.44</v>
      </c>
      <c r="K53" s="26">
        <v>425.47</v>
      </c>
      <c r="L53" s="26">
        <v>433.64</v>
      </c>
      <c r="M53" s="26">
        <v>416.13</v>
      </c>
      <c r="N53" s="26">
        <v>411.61</v>
      </c>
      <c r="O53" s="26">
        <v>462.71</v>
      </c>
      <c r="P53" s="26">
        <v>488.9</v>
      </c>
      <c r="Q53" s="26">
        <v>486.4</v>
      </c>
      <c r="R53" s="26">
        <v>468.02</v>
      </c>
      <c r="S53" s="26">
        <v>495.7</v>
      </c>
      <c r="T53" s="26">
        <v>497.86</v>
      </c>
      <c r="U53" s="26">
        <v>526.27</v>
      </c>
      <c r="V53" s="26">
        <v>475.57</v>
      </c>
      <c r="W53" s="26">
        <v>511.78</v>
      </c>
      <c r="X53" s="7">
        <v>4.6208909655394148E-3</v>
      </c>
      <c r="Y53" s="10">
        <v>2.0467355927678899E-2</v>
      </c>
      <c r="Z53" s="10">
        <v>3.7980732952689329E-3</v>
      </c>
      <c r="AA53" s="10">
        <v>8.0585346296482285E-3</v>
      </c>
    </row>
    <row r="54" spans="2:27" x14ac:dyDescent="0.3">
      <c r="B54" s="12" t="s">
        <v>251</v>
      </c>
      <c r="C54" s="3" t="s">
        <v>492</v>
      </c>
      <c r="D54" s="3" t="s">
        <v>503</v>
      </c>
      <c r="E54" s="3" t="s">
        <v>496</v>
      </c>
      <c r="F54" s="5">
        <v>0.7</v>
      </c>
      <c r="G54" s="26">
        <v>475</v>
      </c>
      <c r="H54" s="26">
        <v>496</v>
      </c>
      <c r="I54" s="26">
        <v>430</v>
      </c>
      <c r="J54" s="26">
        <v>417</v>
      </c>
      <c r="K54" s="26">
        <v>452</v>
      </c>
      <c r="L54" s="26">
        <v>476</v>
      </c>
      <c r="M54" s="26">
        <v>462</v>
      </c>
      <c r="N54" s="26">
        <v>438</v>
      </c>
      <c r="O54" s="26">
        <v>457</v>
      </c>
      <c r="P54" s="26">
        <v>465</v>
      </c>
      <c r="Q54" s="26">
        <v>436</v>
      </c>
      <c r="R54" s="26">
        <v>440</v>
      </c>
      <c r="S54" s="26">
        <v>409</v>
      </c>
      <c r="T54" s="26">
        <v>418</v>
      </c>
      <c r="U54" s="26">
        <v>408</v>
      </c>
      <c r="V54" s="26">
        <v>416</v>
      </c>
      <c r="W54" s="26">
        <v>421</v>
      </c>
      <c r="X54" s="7">
        <v>-2.6857142857142802E-2</v>
      </c>
      <c r="Y54" s="10">
        <v>-1.6441573693482089E-2</v>
      </c>
      <c r="Z54" s="10">
        <v>-1.432835820895517E-2</v>
      </c>
      <c r="AA54" s="10">
        <v>7.2683222289522398E-3</v>
      </c>
    </row>
    <row r="55" spans="2:27" x14ac:dyDescent="0.3">
      <c r="B55" s="12" t="s">
        <v>7</v>
      </c>
      <c r="C55" s="3" t="s">
        <v>492</v>
      </c>
      <c r="D55" s="3" t="s">
        <v>533</v>
      </c>
      <c r="E55" s="3" t="s">
        <v>496</v>
      </c>
      <c r="F55" s="5">
        <v>0.6</v>
      </c>
      <c r="G55" s="26">
        <v>9464</v>
      </c>
      <c r="H55" s="26">
        <v>10491</v>
      </c>
      <c r="I55" s="26">
        <v>11325</v>
      </c>
      <c r="J55" s="26">
        <v>11063</v>
      </c>
      <c r="K55" s="26">
        <v>10125</v>
      </c>
      <c r="L55" s="26">
        <v>10980</v>
      </c>
      <c r="M55" s="26">
        <v>11972</v>
      </c>
      <c r="N55" s="26">
        <v>11953</v>
      </c>
      <c r="O55" s="26">
        <v>10849</v>
      </c>
      <c r="P55" s="26">
        <v>11300</v>
      </c>
      <c r="Q55" s="26">
        <v>12363</v>
      </c>
      <c r="R55" s="26">
        <v>11854</v>
      </c>
      <c r="S55" s="26">
        <v>11544</v>
      </c>
      <c r="T55" s="26">
        <v>11129</v>
      </c>
      <c r="U55" s="26">
        <v>12535</v>
      </c>
      <c r="V55" s="26">
        <v>12455</v>
      </c>
      <c r="W55" s="26">
        <v>11822</v>
      </c>
      <c r="X55" s="7">
        <v>-3.6335819468349411E-3</v>
      </c>
      <c r="Y55" s="10">
        <v>3.668159522286274E-3</v>
      </c>
      <c r="Z55" s="10">
        <v>1.277038799881014E-2</v>
      </c>
      <c r="AA55" s="10">
        <v>5.8326164949751291E-3</v>
      </c>
    </row>
    <row r="56" spans="2:27" x14ac:dyDescent="0.3">
      <c r="B56" s="12" t="s">
        <v>288</v>
      </c>
      <c r="C56" s="3" t="s">
        <v>492</v>
      </c>
      <c r="D56" s="3" t="s">
        <v>534</v>
      </c>
      <c r="E56" s="3" t="s">
        <v>496</v>
      </c>
      <c r="F56" s="5">
        <v>0.4</v>
      </c>
      <c r="G56" s="26">
        <v>234.29</v>
      </c>
      <c r="H56" s="26">
        <v>239.13</v>
      </c>
      <c r="I56" s="26">
        <v>247.29</v>
      </c>
      <c r="J56" s="26">
        <v>254.02</v>
      </c>
      <c r="K56" s="26">
        <v>250.54</v>
      </c>
      <c r="L56" s="26">
        <v>252.68</v>
      </c>
      <c r="M56" s="26">
        <v>254.01</v>
      </c>
      <c r="N56" s="26">
        <v>255.7</v>
      </c>
      <c r="O56" s="26">
        <v>222.16</v>
      </c>
      <c r="P56" s="26">
        <v>244.94</v>
      </c>
      <c r="Q56" s="26">
        <v>246.92</v>
      </c>
      <c r="R56" s="26">
        <v>251.42</v>
      </c>
      <c r="S56" s="26">
        <v>245.79</v>
      </c>
      <c r="T56" s="26">
        <v>251.54</v>
      </c>
      <c r="U56" s="26">
        <v>252.43</v>
      </c>
      <c r="V56" s="26">
        <v>250.58</v>
      </c>
      <c r="W56" s="26">
        <v>249.43</v>
      </c>
      <c r="X56" s="7">
        <v>6.672935181534223E-3</v>
      </c>
      <c r="Y56" s="10">
        <v>5.5339620557011138E-3</v>
      </c>
      <c r="Z56" s="10">
        <v>-8.3900996823738083E-4</v>
      </c>
      <c r="AA56" s="10">
        <v>3.6387628206409062E-3</v>
      </c>
    </row>
    <row r="57" spans="2:27" x14ac:dyDescent="0.3">
      <c r="B57" s="12" t="s">
        <v>68</v>
      </c>
      <c r="C57" s="3" t="s">
        <v>492</v>
      </c>
      <c r="D57" s="3" t="s">
        <v>535</v>
      </c>
      <c r="E57" s="3" t="s">
        <v>496</v>
      </c>
      <c r="F57" s="5">
        <v>0.2</v>
      </c>
      <c r="G57" s="26">
        <v>4257</v>
      </c>
      <c r="H57" s="26">
        <v>4138</v>
      </c>
      <c r="I57" s="26">
        <v>4450</v>
      </c>
      <c r="J57" s="26">
        <v>4518</v>
      </c>
      <c r="K57" s="26">
        <v>4631</v>
      </c>
      <c r="L57" s="26">
        <v>4547</v>
      </c>
      <c r="M57" s="26">
        <v>4756</v>
      </c>
      <c r="N57" s="26">
        <v>4873</v>
      </c>
      <c r="O57" s="26">
        <v>4917</v>
      </c>
      <c r="P57" s="26">
        <v>4883</v>
      </c>
      <c r="Q57" s="26">
        <v>5107</v>
      </c>
      <c r="R57" s="26">
        <v>5215</v>
      </c>
      <c r="S57" s="26">
        <v>5251</v>
      </c>
      <c r="T57" s="26">
        <v>5130</v>
      </c>
      <c r="U57" s="26">
        <v>5516</v>
      </c>
      <c r="V57" s="26">
        <v>5263</v>
      </c>
      <c r="W57" s="26">
        <v>5284</v>
      </c>
      <c r="X57" s="7">
        <v>1.207469691044194E-2</v>
      </c>
      <c r="Y57" s="10">
        <v>1.9755590977152959E-2</v>
      </c>
      <c r="Z57" s="10">
        <v>2.2735884804849782E-3</v>
      </c>
      <c r="AA57" s="10">
        <v>1.5595463137996199E-3</v>
      </c>
    </row>
    <row r="58" spans="2:27" x14ac:dyDescent="0.3">
      <c r="B58" s="12" t="s">
        <v>405</v>
      </c>
      <c r="C58" s="3" t="s">
        <v>492</v>
      </c>
      <c r="D58" s="3" t="s">
        <v>503</v>
      </c>
      <c r="E58" s="3" t="s">
        <v>496</v>
      </c>
      <c r="F58" s="5">
        <v>0.1</v>
      </c>
      <c r="G58" s="26">
        <v>151.63999999999999</v>
      </c>
      <c r="H58" s="26">
        <v>157.38</v>
      </c>
      <c r="I58" s="26">
        <v>167.46</v>
      </c>
      <c r="J58" s="26">
        <v>175.77</v>
      </c>
      <c r="K58" s="26">
        <v>184.48</v>
      </c>
      <c r="L58" s="26">
        <v>183.17</v>
      </c>
      <c r="M58" s="26">
        <v>190.42</v>
      </c>
      <c r="N58" s="26">
        <v>198.84</v>
      </c>
      <c r="O58" s="26">
        <v>205.27</v>
      </c>
      <c r="P58" s="26">
        <v>205.1</v>
      </c>
      <c r="Q58" s="26">
        <v>207.99</v>
      </c>
      <c r="R58" s="26">
        <v>214.65</v>
      </c>
      <c r="S58" s="26">
        <v>216.26</v>
      </c>
      <c r="T58" s="26">
        <v>210.25</v>
      </c>
      <c r="U58" s="26">
        <v>214.19</v>
      </c>
      <c r="V58" s="26">
        <v>217.96</v>
      </c>
      <c r="W58" s="26">
        <v>217.39</v>
      </c>
      <c r="X58" s="7">
        <v>6.1018957345970737E-3</v>
      </c>
      <c r="Y58" s="10">
        <v>7.3014190661249154E-3</v>
      </c>
      <c r="Z58" s="10">
        <v>3.8697609165838638E-3</v>
      </c>
      <c r="AA58" s="10">
        <v>1.3160040062423219E-3</v>
      </c>
    </row>
    <row r="59" spans="2:27" x14ac:dyDescent="0.3">
      <c r="B59" s="12" t="s">
        <v>46</v>
      </c>
      <c r="C59" s="3" t="s">
        <v>492</v>
      </c>
      <c r="D59" s="3" t="s">
        <v>536</v>
      </c>
      <c r="E59" s="3" t="s">
        <v>496</v>
      </c>
      <c r="F59" s="5">
        <v>0.1</v>
      </c>
      <c r="G59" s="26">
        <v>1376</v>
      </c>
      <c r="H59" s="26">
        <v>1425</v>
      </c>
      <c r="I59" s="26">
        <v>0</v>
      </c>
      <c r="J59" s="26">
        <v>1497</v>
      </c>
      <c r="K59" s="26">
        <v>1150</v>
      </c>
      <c r="L59" s="26">
        <v>892.6</v>
      </c>
      <c r="M59" s="27">
        <v>1307</v>
      </c>
      <c r="N59" s="26">
        <v>1260</v>
      </c>
      <c r="O59" s="26">
        <v>1128</v>
      </c>
      <c r="P59" s="26">
        <v>1097</v>
      </c>
      <c r="Q59" s="26">
        <v>1451</v>
      </c>
      <c r="R59" s="26">
        <v>1334</v>
      </c>
      <c r="S59" s="26">
        <v>1123</v>
      </c>
      <c r="T59" s="26">
        <v>1096</v>
      </c>
      <c r="U59" s="26">
        <v>1450</v>
      </c>
      <c r="V59" s="26">
        <v>1347</v>
      </c>
      <c r="W59" s="26">
        <v>1128</v>
      </c>
      <c r="X59" s="7">
        <v>-1.998001998001486E-4</v>
      </c>
      <c r="Y59" s="10">
        <v>-1.998401278976436E-4</v>
      </c>
      <c r="Z59" s="10">
        <v>2.5984409354387061E-3</v>
      </c>
      <c r="AA59" s="10">
        <v>9.9681020733655146E-4</v>
      </c>
    </row>
    <row r="60" spans="2:27" x14ac:dyDescent="0.3">
      <c r="B60" s="12" t="s">
        <v>158</v>
      </c>
      <c r="C60" s="3" t="s">
        <v>492</v>
      </c>
      <c r="D60" s="3" t="s">
        <v>537</v>
      </c>
      <c r="E60" s="3" t="s">
        <v>496</v>
      </c>
      <c r="F60" s="5">
        <v>0</v>
      </c>
      <c r="G60" s="26">
        <v>617.08000000000004</v>
      </c>
      <c r="H60" s="26">
        <v>661.22</v>
      </c>
      <c r="I60" s="26">
        <v>745.55</v>
      </c>
      <c r="J60" s="26">
        <v>729.56</v>
      </c>
      <c r="K60" s="26">
        <v>655.73</v>
      </c>
      <c r="L60" s="26">
        <v>660.54</v>
      </c>
      <c r="M60" s="26">
        <v>694.62</v>
      </c>
      <c r="N60" s="26">
        <v>775.14</v>
      </c>
      <c r="O60" s="26">
        <v>751.13</v>
      </c>
      <c r="P60" s="26">
        <v>754.78</v>
      </c>
      <c r="Q60" s="26">
        <v>823.24</v>
      </c>
      <c r="R60" s="26">
        <v>842.1</v>
      </c>
      <c r="S60" s="26">
        <v>788.95</v>
      </c>
      <c r="T60" s="26">
        <v>787.58</v>
      </c>
      <c r="U60" s="26">
        <v>817.12</v>
      </c>
      <c r="V60" s="26">
        <v>839.64</v>
      </c>
      <c r="W60" s="26">
        <v>789.95</v>
      </c>
      <c r="X60" s="7">
        <v>1.022102976874906E-2</v>
      </c>
      <c r="Y60" s="10">
        <v>-1.8877993256978249E-3</v>
      </c>
      <c r="Z60" s="10">
        <v>-7.602565093101088E-4</v>
      </c>
      <c r="AA60" s="10">
        <v>3.0928249553863202E-4</v>
      </c>
    </row>
    <row r="61" spans="2:27" x14ac:dyDescent="0.3">
      <c r="B61" s="12" t="s">
        <v>258</v>
      </c>
      <c r="C61" s="3" t="s">
        <v>492</v>
      </c>
      <c r="D61" s="3" t="s">
        <v>534</v>
      </c>
      <c r="E61" s="3" t="s">
        <v>496</v>
      </c>
      <c r="F61" s="5">
        <v>-0.2</v>
      </c>
      <c r="G61" s="26">
        <v>203.54</v>
      </c>
      <c r="H61" s="26">
        <v>206.68</v>
      </c>
      <c r="I61" s="26">
        <v>204.17</v>
      </c>
      <c r="J61" s="26">
        <v>207.45</v>
      </c>
      <c r="K61" s="26">
        <v>212.17</v>
      </c>
      <c r="L61" s="26">
        <v>213.46</v>
      </c>
      <c r="M61" s="26">
        <v>208.09</v>
      </c>
      <c r="N61" s="26">
        <v>207.5</v>
      </c>
      <c r="O61" s="26">
        <v>206.06</v>
      </c>
      <c r="P61" s="26">
        <v>211.93</v>
      </c>
      <c r="Q61" s="26">
        <v>205.86</v>
      </c>
      <c r="R61" s="26">
        <v>205.44</v>
      </c>
      <c r="S61" s="26">
        <v>202.64</v>
      </c>
      <c r="T61" s="26">
        <v>201.7</v>
      </c>
      <c r="U61" s="26">
        <v>200.91</v>
      </c>
      <c r="V61" s="26">
        <v>202.37</v>
      </c>
      <c r="W61" s="26">
        <v>201.13</v>
      </c>
      <c r="X61" s="7">
        <v>-1.238693741145702E-2</v>
      </c>
      <c r="Y61" s="10">
        <v>-6.0688539061350974E-3</v>
      </c>
      <c r="Z61" s="10">
        <v>-3.7868975810728682E-3</v>
      </c>
      <c r="AA61" s="10">
        <v>-1.869691191401901E-3</v>
      </c>
    </row>
    <row r="62" spans="2:27" x14ac:dyDescent="0.3">
      <c r="B62" s="12" t="s">
        <v>93</v>
      </c>
      <c r="C62" s="3" t="s">
        <v>492</v>
      </c>
      <c r="D62" s="3" t="s">
        <v>538</v>
      </c>
      <c r="E62" s="3" t="s">
        <v>496</v>
      </c>
      <c r="F62" s="5">
        <v>-0.4</v>
      </c>
      <c r="G62" s="26">
        <v>926</v>
      </c>
      <c r="H62" s="26">
        <v>993.7</v>
      </c>
      <c r="I62" s="26">
        <v>941.2</v>
      </c>
      <c r="J62" s="26">
        <v>884.9</v>
      </c>
      <c r="K62" s="26">
        <v>856.5</v>
      </c>
      <c r="L62" s="26">
        <v>915.4</v>
      </c>
      <c r="M62" s="26">
        <v>993.6</v>
      </c>
      <c r="N62" s="26">
        <v>957.3</v>
      </c>
      <c r="O62" s="26">
        <v>932.4</v>
      </c>
      <c r="P62" s="26">
        <v>953.3</v>
      </c>
      <c r="Q62" s="26">
        <v>870.8</v>
      </c>
      <c r="R62" s="26">
        <v>875.8</v>
      </c>
      <c r="S62" s="26">
        <v>983.4</v>
      </c>
      <c r="T62" s="26">
        <v>840.6</v>
      </c>
      <c r="U62" s="26">
        <v>875.7</v>
      </c>
      <c r="V62" s="26">
        <v>901.2</v>
      </c>
      <c r="W62" s="26">
        <v>969.8</v>
      </c>
      <c r="X62" s="7">
        <v>-3.0597561968886518E-2</v>
      </c>
      <c r="Y62" s="10">
        <v>1.3723183778637791E-3</v>
      </c>
      <c r="Z62" s="10">
        <v>7.1039015522305071E-3</v>
      </c>
      <c r="AA62" s="10">
        <v>-3.7768335693854072E-3</v>
      </c>
    </row>
    <row r="63" spans="2:27" x14ac:dyDescent="0.3">
      <c r="B63" s="12" t="s">
        <v>304</v>
      </c>
      <c r="C63" s="3" t="s">
        <v>492</v>
      </c>
      <c r="D63" s="3" t="s">
        <v>539</v>
      </c>
      <c r="E63" s="3" t="s">
        <v>496</v>
      </c>
      <c r="F63" s="5">
        <v>-0.4</v>
      </c>
      <c r="G63" s="26">
        <v>1587</v>
      </c>
      <c r="H63" s="26">
        <v>1692</v>
      </c>
      <c r="I63" s="26">
        <v>1778</v>
      </c>
      <c r="J63" s="26">
        <v>1693</v>
      </c>
      <c r="K63" s="26">
        <v>1693</v>
      </c>
      <c r="L63" s="26">
        <v>1831</v>
      </c>
      <c r="M63" s="26">
        <v>1890</v>
      </c>
      <c r="N63" s="26">
        <v>1743</v>
      </c>
      <c r="O63" s="26">
        <v>1641</v>
      </c>
      <c r="P63" s="26">
        <v>1593</v>
      </c>
      <c r="Q63" s="26">
        <v>1729</v>
      </c>
      <c r="R63" s="26">
        <v>1679</v>
      </c>
      <c r="S63" s="26">
        <v>1529</v>
      </c>
      <c r="T63" s="26">
        <v>1567</v>
      </c>
      <c r="U63" s="26">
        <v>1706</v>
      </c>
      <c r="V63" s="26">
        <v>1653</v>
      </c>
      <c r="W63" s="26">
        <v>1500</v>
      </c>
      <c r="X63" s="7">
        <v>-3.9816232771822113E-3</v>
      </c>
      <c r="Y63" s="10">
        <v>-3.5362853628536639E-3</v>
      </c>
      <c r="Z63" s="10">
        <v>-4.0117265854034967E-3</v>
      </c>
      <c r="AA63" s="10">
        <v>-4.492641363284311E-3</v>
      </c>
    </row>
    <row r="64" spans="2:27" x14ac:dyDescent="0.3">
      <c r="B64" s="12" t="s">
        <v>109</v>
      </c>
      <c r="C64" s="3" t="s">
        <v>492</v>
      </c>
      <c r="D64" s="3" t="s">
        <v>536</v>
      </c>
      <c r="E64" s="3" t="s">
        <v>496</v>
      </c>
      <c r="F64" s="5">
        <v>-0.5</v>
      </c>
      <c r="G64" s="26">
        <v>2022</v>
      </c>
      <c r="H64" s="26">
        <v>2201</v>
      </c>
      <c r="I64" s="26">
        <v>2352</v>
      </c>
      <c r="J64" s="26">
        <v>2204</v>
      </c>
      <c r="K64" s="26">
        <v>1923</v>
      </c>
      <c r="L64" s="26">
        <v>1979</v>
      </c>
      <c r="M64" s="26">
        <v>2127</v>
      </c>
      <c r="N64" s="26">
        <v>1979</v>
      </c>
      <c r="O64" s="26">
        <v>1882</v>
      </c>
      <c r="P64" s="26">
        <v>1926</v>
      </c>
      <c r="Q64" s="26">
        <v>2091</v>
      </c>
      <c r="R64" s="26">
        <v>1983</v>
      </c>
      <c r="S64" s="26">
        <v>1828</v>
      </c>
      <c r="T64" s="26">
        <v>1801</v>
      </c>
      <c r="U64" s="26">
        <v>2051</v>
      </c>
      <c r="V64" s="26">
        <v>1917</v>
      </c>
      <c r="W64" s="26">
        <v>1793</v>
      </c>
      <c r="X64" s="7">
        <v>-1.5968318855390851E-2</v>
      </c>
      <c r="Y64" s="10">
        <v>-5.1927820329741303E-3</v>
      </c>
      <c r="Z64" s="10">
        <v>-8.6128148244812852E-3</v>
      </c>
      <c r="AA64" s="10">
        <v>-4.6070817427932287E-3</v>
      </c>
    </row>
    <row r="65" spans="2:27" x14ac:dyDescent="0.3">
      <c r="B65" s="12" t="s">
        <v>249</v>
      </c>
      <c r="C65" s="3" t="s">
        <v>492</v>
      </c>
      <c r="D65" s="3" t="s">
        <v>506</v>
      </c>
      <c r="E65" s="3" t="s">
        <v>496</v>
      </c>
      <c r="F65" s="5">
        <v>-0.6</v>
      </c>
      <c r="G65" s="26">
        <v>247.89</v>
      </c>
      <c r="H65" s="26">
        <v>257.12</v>
      </c>
      <c r="I65" s="26">
        <v>264.93</v>
      </c>
      <c r="J65" s="26">
        <v>261.3</v>
      </c>
      <c r="K65" s="26">
        <v>274.76</v>
      </c>
      <c r="L65" s="26">
        <v>261.75</v>
      </c>
      <c r="M65" s="26">
        <v>271.04000000000002</v>
      </c>
      <c r="N65" s="26">
        <v>277.63</v>
      </c>
      <c r="O65" s="26">
        <v>295.01</v>
      </c>
      <c r="P65" s="26">
        <v>279.25</v>
      </c>
      <c r="Q65" s="26">
        <v>286.66000000000003</v>
      </c>
      <c r="R65" s="26">
        <v>286.60000000000002</v>
      </c>
      <c r="S65" s="26">
        <v>302.23</v>
      </c>
      <c r="T65" s="26">
        <v>270.66000000000003</v>
      </c>
      <c r="U65" s="26">
        <v>281.38</v>
      </c>
      <c r="V65" s="26">
        <v>281.14</v>
      </c>
      <c r="W65" s="26">
        <v>295.26</v>
      </c>
      <c r="X65" s="7">
        <v>-7.4389039957045711E-3</v>
      </c>
      <c r="Y65" s="10">
        <v>-4.606726868210953E-3</v>
      </c>
      <c r="Z65" s="10">
        <v>-4.785821346866892E-3</v>
      </c>
      <c r="AA65" s="10">
        <v>-6.1387516403765829E-3</v>
      </c>
    </row>
    <row r="66" spans="2:27" x14ac:dyDescent="0.3">
      <c r="B66" s="12" t="s">
        <v>107</v>
      </c>
      <c r="C66" s="3" t="s">
        <v>492</v>
      </c>
      <c r="D66" s="3" t="s">
        <v>540</v>
      </c>
      <c r="E66" s="3" t="s">
        <v>496</v>
      </c>
      <c r="F66" s="5">
        <v>-0.8</v>
      </c>
      <c r="G66" s="26">
        <v>635.20000000000005</v>
      </c>
      <c r="H66" s="26">
        <v>649.65</v>
      </c>
      <c r="I66" s="26">
        <v>692.49</v>
      </c>
      <c r="J66" s="26">
        <v>993.83</v>
      </c>
      <c r="K66" s="27">
        <v>946.07</v>
      </c>
      <c r="L66" s="26">
        <v>922.4</v>
      </c>
      <c r="M66" s="26">
        <v>901</v>
      </c>
      <c r="N66" s="26">
        <v>888.24</v>
      </c>
      <c r="O66" s="26">
        <v>812.29</v>
      </c>
      <c r="P66" s="26">
        <v>771</v>
      </c>
      <c r="Q66" s="26">
        <v>812.7</v>
      </c>
      <c r="R66" s="26">
        <v>807.7</v>
      </c>
      <c r="S66" s="26">
        <v>849.84</v>
      </c>
      <c r="T66" s="26">
        <v>773.2</v>
      </c>
      <c r="U66" s="26">
        <v>792.4</v>
      </c>
      <c r="V66" s="26">
        <v>807.1</v>
      </c>
      <c r="W66" s="26">
        <v>823.9</v>
      </c>
      <c r="X66" s="7">
        <v>6.7875257617444618E-4</v>
      </c>
      <c r="Y66" s="10">
        <v>-6.258786966923946E-3</v>
      </c>
      <c r="Z66" s="10">
        <v>-1.8615387479303799E-4</v>
      </c>
      <c r="AA66" s="10">
        <v>-8.0495509753176764E-3</v>
      </c>
    </row>
    <row r="67" spans="2:27" x14ac:dyDescent="0.3">
      <c r="B67" s="12" t="s">
        <v>168</v>
      </c>
      <c r="C67" s="3" t="s">
        <v>492</v>
      </c>
      <c r="D67" s="3" t="s">
        <v>528</v>
      </c>
      <c r="E67" s="3" t="s">
        <v>496</v>
      </c>
      <c r="F67" s="5">
        <v>-0.9</v>
      </c>
      <c r="G67" s="26">
        <v>1137</v>
      </c>
      <c r="H67" s="26">
        <v>1174</v>
      </c>
      <c r="I67" s="26">
        <v>1235</v>
      </c>
      <c r="J67" s="26">
        <v>1239</v>
      </c>
      <c r="K67" s="26">
        <v>1237</v>
      </c>
      <c r="L67" s="26">
        <v>1284</v>
      </c>
      <c r="M67" s="26">
        <v>1294</v>
      </c>
      <c r="N67" s="26">
        <v>1309</v>
      </c>
      <c r="O67" s="26">
        <v>1297</v>
      </c>
      <c r="P67" s="26">
        <v>1294</v>
      </c>
      <c r="Q67" s="26">
        <v>1351</v>
      </c>
      <c r="R67" s="26">
        <v>1320</v>
      </c>
      <c r="S67" s="26">
        <v>1311</v>
      </c>
      <c r="T67" s="26">
        <v>1262</v>
      </c>
      <c r="U67" s="26">
        <v>1305</v>
      </c>
      <c r="V67" s="26">
        <v>1288</v>
      </c>
      <c r="W67" s="26">
        <v>1262</v>
      </c>
      <c r="X67" s="7">
        <v>-6.0652009097801329E-3</v>
      </c>
      <c r="Y67" s="10">
        <v>-8.7719298245614308E-3</v>
      </c>
      <c r="Z67" s="10">
        <v>-6.1562139284340178E-3</v>
      </c>
      <c r="AA67" s="10">
        <v>-9.4850948509485056E-3</v>
      </c>
    </row>
    <row r="68" spans="2:27" x14ac:dyDescent="0.3">
      <c r="B68" s="12" t="s">
        <v>195</v>
      </c>
      <c r="C68" s="3" t="s">
        <v>492</v>
      </c>
      <c r="D68" s="3" t="s">
        <v>541</v>
      </c>
      <c r="E68" s="3" t="s">
        <v>496</v>
      </c>
      <c r="F68" s="5">
        <v>-1.2</v>
      </c>
      <c r="G68" s="26">
        <v>89</v>
      </c>
      <c r="H68" s="26">
        <v>35.299999999999997</v>
      </c>
      <c r="I68" s="26">
        <v>99.1</v>
      </c>
      <c r="J68" s="26">
        <v>33.200000000000003</v>
      </c>
      <c r="K68" s="27">
        <v>126.2</v>
      </c>
      <c r="L68" s="27">
        <v>66.900000000000006</v>
      </c>
      <c r="M68" s="26">
        <v>98.4</v>
      </c>
      <c r="N68" s="26">
        <v>51.3</v>
      </c>
      <c r="O68" s="26">
        <v>103.6</v>
      </c>
      <c r="P68" s="26">
        <v>43.7</v>
      </c>
      <c r="Q68" s="27">
        <v>189</v>
      </c>
      <c r="R68" s="26">
        <v>57.7</v>
      </c>
      <c r="S68" s="27">
        <v>151.6</v>
      </c>
      <c r="T68" s="26">
        <v>73.099999999999994</v>
      </c>
      <c r="U68" s="26">
        <v>154.5</v>
      </c>
      <c r="V68" s="26">
        <v>74.900000000000006</v>
      </c>
      <c r="W68" s="26">
        <v>146.19999999999999</v>
      </c>
      <c r="X68" s="7">
        <v>6.6515837104072384E-2</v>
      </c>
      <c r="Y68" s="10">
        <v>-7.3186253712346216E-2</v>
      </c>
      <c r="Z68" s="10">
        <v>3.936827649347685E-2</v>
      </c>
      <c r="AA68" s="10">
        <v>-1.1891653820744421E-2</v>
      </c>
    </row>
    <row r="69" spans="2:27" x14ac:dyDescent="0.3">
      <c r="B69" s="12" t="s">
        <v>50</v>
      </c>
      <c r="C69" s="3" t="s">
        <v>492</v>
      </c>
      <c r="D69" s="3" t="s">
        <v>531</v>
      </c>
      <c r="E69" s="3" t="s">
        <v>496</v>
      </c>
      <c r="F69" s="5">
        <v>-1.2</v>
      </c>
      <c r="G69" s="26">
        <v>37678</v>
      </c>
      <c r="H69" s="26">
        <v>34476</v>
      </c>
      <c r="I69" s="26">
        <v>40190</v>
      </c>
      <c r="J69" s="26">
        <v>39392</v>
      </c>
      <c r="K69" s="26">
        <v>43999</v>
      </c>
      <c r="L69" s="26">
        <v>41474</v>
      </c>
      <c r="M69" s="26">
        <v>44954</v>
      </c>
      <c r="N69" s="26">
        <v>43801</v>
      </c>
      <c r="O69" s="26">
        <v>45962</v>
      </c>
      <c r="P69" s="26">
        <v>42777</v>
      </c>
      <c r="Q69" s="26">
        <v>47808</v>
      </c>
      <c r="R69" s="26">
        <v>46196</v>
      </c>
      <c r="S69" s="26">
        <v>48211</v>
      </c>
      <c r="T69" s="26">
        <v>40659</v>
      </c>
      <c r="U69" s="26">
        <v>50184</v>
      </c>
      <c r="V69" s="26">
        <v>50534</v>
      </c>
      <c r="W69" s="26">
        <v>45890</v>
      </c>
      <c r="X69" s="7">
        <v>-1.144914374675665E-2</v>
      </c>
      <c r="Y69" s="10">
        <v>1.299255224908946E-2</v>
      </c>
      <c r="Z69" s="10">
        <v>2.3417004048583049E-2</v>
      </c>
      <c r="AA69" s="10">
        <v>-1.224233601282787E-2</v>
      </c>
    </row>
    <row r="70" spans="2:27" x14ac:dyDescent="0.3">
      <c r="B70" s="12" t="s">
        <v>55</v>
      </c>
      <c r="C70" s="3" t="s">
        <v>492</v>
      </c>
      <c r="D70" s="3" t="s">
        <v>542</v>
      </c>
      <c r="E70" s="3" t="s">
        <v>496</v>
      </c>
      <c r="F70" s="5">
        <v>-1.3</v>
      </c>
      <c r="G70" s="26">
        <v>14033</v>
      </c>
      <c r="H70" s="26">
        <v>14959</v>
      </c>
      <c r="I70" s="26">
        <v>0</v>
      </c>
      <c r="J70" s="26">
        <v>14259</v>
      </c>
      <c r="K70" s="26">
        <v>11497</v>
      </c>
      <c r="L70" s="26">
        <v>6683</v>
      </c>
      <c r="M70" s="27">
        <v>7309</v>
      </c>
      <c r="N70" s="26">
        <v>7315</v>
      </c>
      <c r="O70" s="26">
        <v>6530</v>
      </c>
      <c r="P70" s="26">
        <v>6717</v>
      </c>
      <c r="Q70" s="26">
        <v>6517</v>
      </c>
      <c r="R70" s="26">
        <v>6689</v>
      </c>
      <c r="S70" s="26">
        <v>7104</v>
      </c>
      <c r="T70" s="26">
        <v>6548</v>
      </c>
      <c r="U70" s="26">
        <v>7055</v>
      </c>
      <c r="V70" s="26">
        <v>6413</v>
      </c>
      <c r="W70" s="26">
        <v>6759</v>
      </c>
      <c r="X70" s="7">
        <v>-6.253006253006288E-3</v>
      </c>
      <c r="Y70" s="10">
        <v>2.0031275597587331E-2</v>
      </c>
      <c r="Z70" s="10">
        <v>-1.0074463425317591E-2</v>
      </c>
      <c r="AA70" s="10">
        <v>-1.27212389380531E-2</v>
      </c>
    </row>
    <row r="71" spans="2:27" x14ac:dyDescent="0.3">
      <c r="B71" s="12" t="s">
        <v>389</v>
      </c>
      <c r="C71" s="3" t="s">
        <v>492</v>
      </c>
      <c r="D71" s="3" t="s">
        <v>543</v>
      </c>
      <c r="E71" s="3" t="s">
        <v>496</v>
      </c>
      <c r="F71" s="5">
        <v>-3.6</v>
      </c>
      <c r="G71" s="26">
        <v>231</v>
      </c>
      <c r="H71" s="26">
        <v>281</v>
      </c>
      <c r="I71" s="26">
        <v>362</v>
      </c>
      <c r="J71" s="26">
        <v>302</v>
      </c>
      <c r="K71" s="26">
        <v>0</v>
      </c>
      <c r="L71" s="26">
        <v>245</v>
      </c>
      <c r="M71" s="26">
        <v>294</v>
      </c>
      <c r="N71" s="26">
        <v>308</v>
      </c>
      <c r="O71" s="27">
        <v>231</v>
      </c>
      <c r="P71" s="26">
        <v>257</v>
      </c>
      <c r="Q71" s="26">
        <v>360</v>
      </c>
      <c r="R71" s="26">
        <v>319</v>
      </c>
      <c r="S71" s="26">
        <v>294</v>
      </c>
      <c r="T71" s="26">
        <v>282</v>
      </c>
      <c r="U71" s="26">
        <v>342</v>
      </c>
      <c r="V71" s="26">
        <v>315</v>
      </c>
      <c r="W71" s="26">
        <v>249</v>
      </c>
      <c r="X71" s="7">
        <v>2.0325203252032461E-2</v>
      </c>
      <c r="Y71" s="10">
        <v>-1.434262948207177E-2</v>
      </c>
      <c r="Z71" s="10">
        <v>-3.2336297493936739E-3</v>
      </c>
      <c r="AA71" s="10">
        <v>-3.6496350364963459E-2</v>
      </c>
    </row>
    <row r="72" spans="2:27" x14ac:dyDescent="0.3">
      <c r="B72" s="12" t="s">
        <v>243</v>
      </c>
      <c r="C72" s="3" t="s">
        <v>492</v>
      </c>
      <c r="D72" s="3" t="s">
        <v>544</v>
      </c>
      <c r="E72" s="3" t="s">
        <v>496</v>
      </c>
      <c r="F72" s="5">
        <v>-4.0999999999999996</v>
      </c>
      <c r="G72" s="26">
        <v>1016</v>
      </c>
      <c r="H72" s="26">
        <v>1495</v>
      </c>
      <c r="I72" s="26">
        <v>1469</v>
      </c>
      <c r="J72" s="26">
        <v>1649</v>
      </c>
      <c r="K72" s="26">
        <v>1142</v>
      </c>
      <c r="L72" s="26">
        <v>1789</v>
      </c>
      <c r="M72" s="26">
        <v>1446</v>
      </c>
      <c r="N72" s="26">
        <v>1549</v>
      </c>
      <c r="O72" s="26">
        <v>1053</v>
      </c>
      <c r="P72" s="26">
        <v>1730</v>
      </c>
      <c r="Q72" s="26">
        <v>1619</v>
      </c>
      <c r="R72" s="26">
        <v>1151</v>
      </c>
      <c r="S72" s="26">
        <v>687.61</v>
      </c>
      <c r="T72" s="26">
        <v>1329</v>
      </c>
      <c r="U72" s="26">
        <v>1307</v>
      </c>
      <c r="V72" s="26">
        <v>1341</v>
      </c>
      <c r="W72" s="26">
        <v>496.16</v>
      </c>
      <c r="X72" s="7">
        <v>-7.7299565695956307E-2</v>
      </c>
      <c r="Y72" s="10">
        <v>-6.5181830147014286E-2</v>
      </c>
      <c r="Z72" s="10">
        <v>4.2461801140211142E-2</v>
      </c>
      <c r="AA72" s="10">
        <v>-4.1043088275332762E-2</v>
      </c>
    </row>
    <row r="73" spans="2:27" x14ac:dyDescent="0.3">
      <c r="B73" s="19" t="s">
        <v>101</v>
      </c>
      <c r="C73" s="14" t="s">
        <v>492</v>
      </c>
      <c r="D73" s="14" t="s">
        <v>528</v>
      </c>
      <c r="E73" s="14" t="s">
        <v>496</v>
      </c>
      <c r="F73" s="15">
        <v>-11.8</v>
      </c>
      <c r="G73" s="28">
        <v>3246</v>
      </c>
      <c r="H73" s="28">
        <v>3274</v>
      </c>
      <c r="I73" s="28">
        <v>3322</v>
      </c>
      <c r="J73" s="28">
        <v>3317</v>
      </c>
      <c r="K73" s="28">
        <v>3104</v>
      </c>
      <c r="L73" s="28">
        <v>3018</v>
      </c>
      <c r="M73" s="28">
        <v>3094</v>
      </c>
      <c r="N73" s="28">
        <v>3058</v>
      </c>
      <c r="O73" s="28">
        <v>2898</v>
      </c>
      <c r="P73" s="28">
        <v>2931</v>
      </c>
      <c r="Q73" s="28">
        <v>2470</v>
      </c>
      <c r="R73" s="28">
        <v>2862</v>
      </c>
      <c r="S73" s="28">
        <v>3092</v>
      </c>
      <c r="T73" s="28">
        <v>3066</v>
      </c>
      <c r="U73" s="28">
        <v>2582</v>
      </c>
      <c r="V73" s="28">
        <v>3072</v>
      </c>
      <c r="W73" s="28">
        <v>1693</v>
      </c>
      <c r="X73" s="16">
        <v>1.1889035667107081E-2</v>
      </c>
      <c r="Y73" s="17">
        <v>9.7476066144472906E-3</v>
      </c>
      <c r="Z73" s="17">
        <v>1.810032752973623E-2</v>
      </c>
      <c r="AA73" s="17">
        <v>-0.11843887571960721</v>
      </c>
    </row>
    <row r="74" spans="2:27" x14ac:dyDescent="0.3">
      <c r="B74" s="12" t="s">
        <v>247</v>
      </c>
      <c r="C74" s="3" t="s">
        <v>548</v>
      </c>
      <c r="D74" s="3" t="str">
        <f>VLOOKUP(B74,기업리스트!B:G,2,FALSE)</f>
        <v>Wihlborgs Fastigheter AB (publ)</v>
      </c>
      <c r="E74" s="3" t="s">
        <v>496</v>
      </c>
      <c r="F74" s="5">
        <v>2.8</v>
      </c>
      <c r="G74" s="26">
        <v>772</v>
      </c>
      <c r="H74" s="26">
        <v>797</v>
      </c>
      <c r="I74" s="26">
        <v>808</v>
      </c>
      <c r="J74" s="26">
        <v>851</v>
      </c>
      <c r="K74" s="26">
        <v>892</v>
      </c>
      <c r="L74" s="26">
        <v>973</v>
      </c>
      <c r="M74" s="26">
        <v>989</v>
      </c>
      <c r="N74" s="26">
        <v>982</v>
      </c>
      <c r="O74" s="26">
        <v>976</v>
      </c>
      <c r="P74" s="26">
        <v>1041</v>
      </c>
      <c r="Q74" s="26">
        <v>1037</v>
      </c>
      <c r="R74" s="26">
        <v>1045</v>
      </c>
      <c r="S74" s="26">
        <v>1065</v>
      </c>
      <c r="T74" s="26">
        <v>1052</v>
      </c>
      <c r="U74" s="26">
        <v>1101</v>
      </c>
      <c r="V74" s="26">
        <v>1107</v>
      </c>
      <c r="W74" s="26">
        <v>1184</v>
      </c>
      <c r="X74" s="10">
        <v>2.6265520534860531E-3</v>
      </c>
      <c r="Y74" s="10">
        <v>1.5241724220052429E-2</v>
      </c>
      <c r="Z74" s="10">
        <v>1.4543748533896389E-2</v>
      </c>
      <c r="AA74" s="10">
        <v>2.751445086705195E-2</v>
      </c>
    </row>
    <row r="75" spans="2:27" x14ac:dyDescent="0.3">
      <c r="B75" s="12" t="s">
        <v>306</v>
      </c>
      <c r="C75" s="3" t="s">
        <v>548</v>
      </c>
      <c r="D75" s="3" t="str">
        <f>VLOOKUP(B75,기업리스트!B:G,2,FALSE)</f>
        <v>Alimak Group AB (publ)</v>
      </c>
      <c r="E75" s="3" t="s">
        <v>496</v>
      </c>
      <c r="F75" s="5">
        <v>-1.8</v>
      </c>
      <c r="G75" s="26">
        <v>1029</v>
      </c>
      <c r="H75" s="26">
        <v>936</v>
      </c>
      <c r="I75" s="26">
        <v>1078</v>
      </c>
      <c r="J75" s="26">
        <v>1095</v>
      </c>
      <c r="K75" s="26">
        <v>1403</v>
      </c>
      <c r="L75" s="27">
        <v>1745</v>
      </c>
      <c r="M75" s="27">
        <v>1784</v>
      </c>
      <c r="N75" s="27">
        <v>1730</v>
      </c>
      <c r="O75" s="26">
        <v>1838</v>
      </c>
      <c r="P75" s="26">
        <v>1736</v>
      </c>
      <c r="Q75" s="26">
        <v>1806</v>
      </c>
      <c r="R75" s="26">
        <v>1742</v>
      </c>
      <c r="S75" s="26">
        <v>1816</v>
      </c>
      <c r="T75" s="26">
        <v>1732</v>
      </c>
      <c r="U75" s="26">
        <v>1791</v>
      </c>
      <c r="V75" s="26">
        <v>1658</v>
      </c>
      <c r="W75" s="26">
        <v>1692</v>
      </c>
      <c r="X75" s="7">
        <v>-5.6338028169011789E-4</v>
      </c>
      <c r="Y75" s="10">
        <v>-2.1138669673055328E-3</v>
      </c>
      <c r="Z75" s="10">
        <v>-1.186273125264792E-2</v>
      </c>
      <c r="AA75" s="10">
        <v>-1.7721880806059739E-2</v>
      </c>
    </row>
    <row r="76" spans="2:27" x14ac:dyDescent="0.3">
      <c r="B76" s="19" t="s">
        <v>298</v>
      </c>
      <c r="C76" s="14" t="s">
        <v>548</v>
      </c>
      <c r="D76" s="14" t="str">
        <f>VLOOKUP(B76,기업리스트!B:G,2,FALSE)</f>
        <v>International Petroleum Corporation</v>
      </c>
      <c r="E76" s="14" t="s">
        <v>496</v>
      </c>
      <c r="F76" s="15">
        <v>-3.3</v>
      </c>
      <c r="G76" s="28">
        <v>223.06</v>
      </c>
      <c r="H76" s="28">
        <v>258.35000000000002</v>
      </c>
      <c r="I76" s="28">
        <v>314.10000000000002</v>
      </c>
      <c r="J76" s="28">
        <v>298.07</v>
      </c>
      <c r="K76" s="28">
        <v>258.77999999999997</v>
      </c>
      <c r="L76" s="28">
        <v>191.34</v>
      </c>
      <c r="M76" s="28">
        <v>204.21</v>
      </c>
      <c r="N76" s="28">
        <v>256.02999999999997</v>
      </c>
      <c r="O76" s="28">
        <v>197.15</v>
      </c>
      <c r="P76" s="28">
        <v>205.16</v>
      </c>
      <c r="Q76" s="28">
        <v>217.78</v>
      </c>
      <c r="R76" s="28">
        <v>171.98</v>
      </c>
      <c r="S76" s="28">
        <v>198.12</v>
      </c>
      <c r="T76" s="28">
        <v>177.49</v>
      </c>
      <c r="U76" s="28">
        <v>157.79</v>
      </c>
      <c r="V76" s="28">
        <v>171.19</v>
      </c>
      <c r="W76" s="28">
        <v>175.03</v>
      </c>
      <c r="X76" s="16">
        <v>-3.4891052153737452E-2</v>
      </c>
      <c r="Y76" s="17">
        <v>-7.8380391183349274E-2</v>
      </c>
      <c r="Z76" s="17">
        <v>-1.1199637075051121E-3</v>
      </c>
      <c r="AA76" s="17">
        <v>-3.277083126357172E-2</v>
      </c>
    </row>
    <row r="77" spans="2:27" x14ac:dyDescent="0.3">
      <c r="B77" s="12">
        <v>6412</v>
      </c>
      <c r="C77" s="3" t="s">
        <v>545</v>
      </c>
      <c r="D77" s="3" t="str">
        <f>VLOOKUP(B77,기업리스트!B:G,2,FALSE)</f>
        <v>Heiwa Corporation</v>
      </c>
      <c r="E77" s="3" t="s">
        <v>494</v>
      </c>
      <c r="F77" s="13">
        <v>13.9</v>
      </c>
      <c r="G77" s="26">
        <v>26703</v>
      </c>
      <c r="H77" s="26">
        <v>33622</v>
      </c>
      <c r="I77" s="26">
        <v>29182</v>
      </c>
      <c r="J77" s="26">
        <v>34731</v>
      </c>
      <c r="K77" s="26">
        <v>36199</v>
      </c>
      <c r="L77" s="26">
        <v>45323</v>
      </c>
      <c r="M77" s="26">
        <v>26037</v>
      </c>
      <c r="N77" s="26">
        <v>34942</v>
      </c>
      <c r="O77" s="26">
        <v>31773</v>
      </c>
      <c r="P77" s="26">
        <v>36089</v>
      </c>
      <c r="Q77" s="26">
        <v>33577</v>
      </c>
      <c r="R77" s="26">
        <v>35586</v>
      </c>
      <c r="S77" s="26">
        <v>36204</v>
      </c>
      <c r="T77" s="26">
        <v>46992</v>
      </c>
      <c r="U77" s="26">
        <v>27085</v>
      </c>
      <c r="V77" s="27">
        <v>70249</v>
      </c>
      <c r="W77" s="27">
        <v>61222</v>
      </c>
      <c r="X77" s="7">
        <v>7.7076970930890276E-2</v>
      </c>
      <c r="Y77" s="10">
        <v>-4.2609888487060148E-2</v>
      </c>
      <c r="Z77" s="8">
        <v>0.2376342832854588</v>
      </c>
      <c r="AA77" s="8">
        <v>0.13858084528887171</v>
      </c>
    </row>
    <row r="78" spans="2:27" x14ac:dyDescent="0.3">
      <c r="B78" s="12">
        <v>6395</v>
      </c>
      <c r="C78" s="3" t="s">
        <v>545</v>
      </c>
      <c r="D78" s="3" t="str">
        <f>VLOOKUP(B78,기업리스트!B:G,2,FALSE)</f>
        <v>Tadano Ltd.</v>
      </c>
      <c r="E78" s="3" t="s">
        <v>496</v>
      </c>
      <c r="F78" s="5">
        <v>9.4</v>
      </c>
      <c r="G78" s="26">
        <v>55747</v>
      </c>
      <c r="H78" s="26">
        <v>55747</v>
      </c>
      <c r="I78" s="26">
        <v>53665</v>
      </c>
      <c r="J78" s="26">
        <v>53665</v>
      </c>
      <c r="K78" s="26">
        <v>61622</v>
      </c>
      <c r="L78" s="26">
        <v>64886</v>
      </c>
      <c r="M78" s="26">
        <v>68381</v>
      </c>
      <c r="N78" s="26">
        <v>70655</v>
      </c>
      <c r="O78" s="26">
        <v>76344</v>
      </c>
      <c r="P78" s="26">
        <v>62460</v>
      </c>
      <c r="Q78" s="26">
        <v>78921</v>
      </c>
      <c r="R78" s="26">
        <v>71308</v>
      </c>
      <c r="S78" s="26">
        <v>78811</v>
      </c>
      <c r="T78" s="26">
        <v>80495</v>
      </c>
      <c r="U78" s="26">
        <v>84296</v>
      </c>
      <c r="V78" s="26">
        <v>75756</v>
      </c>
      <c r="W78" s="26">
        <v>108930</v>
      </c>
      <c r="X78" s="7">
        <v>6.1869639794168041E-2</v>
      </c>
      <c r="Y78" s="10">
        <v>1.7364756812638271E-2</v>
      </c>
      <c r="Z78" s="10">
        <v>1.412467054078936E-2</v>
      </c>
      <c r="AA78" s="10">
        <v>9.4311086617526518E-2</v>
      </c>
    </row>
    <row r="79" spans="2:27" x14ac:dyDescent="0.3">
      <c r="B79" s="12">
        <v>7552</v>
      </c>
      <c r="C79" s="3" t="s">
        <v>545</v>
      </c>
      <c r="D79" s="3" t="str">
        <f>VLOOKUP(B79,기업리스트!B:G,2,FALSE)</f>
        <v>Happinet Corporation</v>
      </c>
      <c r="E79" s="3" t="s">
        <v>505</v>
      </c>
      <c r="F79" s="5">
        <v>7.2</v>
      </c>
      <c r="G79" s="26">
        <v>95299</v>
      </c>
      <c r="H79" s="26">
        <v>61953</v>
      </c>
      <c r="I79" s="26">
        <v>61680</v>
      </c>
      <c r="J79" s="26">
        <v>78690</v>
      </c>
      <c r="K79" s="26">
        <v>102014</v>
      </c>
      <c r="L79" s="26">
        <v>64869</v>
      </c>
      <c r="M79" s="26">
        <v>82299</v>
      </c>
      <c r="N79" s="26">
        <v>78658</v>
      </c>
      <c r="O79" s="26">
        <v>111435</v>
      </c>
      <c r="P79" s="26">
        <v>78069</v>
      </c>
      <c r="Q79" s="26">
        <v>82358</v>
      </c>
      <c r="R79" s="26">
        <v>86189</v>
      </c>
      <c r="S79" s="26">
        <v>114633</v>
      </c>
      <c r="T79" s="26">
        <v>81238</v>
      </c>
      <c r="U79" s="26">
        <v>95927</v>
      </c>
      <c r="V79" s="26">
        <v>100508</v>
      </c>
      <c r="W79" s="26">
        <v>143065</v>
      </c>
      <c r="X79" s="7">
        <v>8.7723426224017853E-3</v>
      </c>
      <c r="Y79" s="10">
        <v>3.7234713982295053E-2</v>
      </c>
      <c r="Z79" s="10">
        <v>3.7882255209835243E-2</v>
      </c>
      <c r="AA79" s="10">
        <v>7.2474038123301776E-2</v>
      </c>
    </row>
    <row r="80" spans="2:27" x14ac:dyDescent="0.3">
      <c r="B80" s="12">
        <v>6055</v>
      </c>
      <c r="C80" s="3" t="s">
        <v>545</v>
      </c>
      <c r="D80" s="3" t="str">
        <f>VLOOKUP(B80,기업리스트!B:G,2,FALSE)</f>
        <v>JAPAN MATERIAL Co., Ltd.</v>
      </c>
      <c r="E80" s="3" t="s">
        <v>505</v>
      </c>
      <c r="F80" s="5">
        <v>6.8</v>
      </c>
      <c r="G80" s="26">
        <v>9110</v>
      </c>
      <c r="H80" s="26">
        <v>10621</v>
      </c>
      <c r="I80" s="26">
        <v>10933</v>
      </c>
      <c r="J80" s="26">
        <v>12812</v>
      </c>
      <c r="K80" s="26">
        <v>11687</v>
      </c>
      <c r="L80" s="26">
        <v>11102</v>
      </c>
      <c r="M80" s="26">
        <v>10332</v>
      </c>
      <c r="N80" s="26">
        <v>12495</v>
      </c>
      <c r="O80" s="26">
        <v>13324</v>
      </c>
      <c r="P80" s="26">
        <v>12441</v>
      </c>
      <c r="Q80" s="26">
        <v>11156</v>
      </c>
      <c r="R80" s="26">
        <v>11897</v>
      </c>
      <c r="S80" s="26">
        <v>12299</v>
      </c>
      <c r="T80" s="27">
        <v>17326</v>
      </c>
      <c r="U80" s="26">
        <v>13256</v>
      </c>
      <c r="V80" s="26">
        <v>12418</v>
      </c>
      <c r="W80" s="26">
        <v>16058</v>
      </c>
      <c r="X80" s="9">
        <v>0.1022116209486745</v>
      </c>
      <c r="Y80" s="10">
        <v>3.9864839211815273E-2</v>
      </c>
      <c r="Z80" s="10">
        <v>9.5111176019568866E-3</v>
      </c>
      <c r="AA80" s="10">
        <v>6.797591276514936E-2</v>
      </c>
    </row>
    <row r="81" spans="2:27" x14ac:dyDescent="0.3">
      <c r="B81" s="12">
        <v>8361</v>
      </c>
      <c r="C81" s="3" t="s">
        <v>545</v>
      </c>
      <c r="D81" s="3" t="str">
        <f>VLOOKUP(B81,기업리스트!B:G,2,FALSE)</f>
        <v>The Ogaki Kyoritsu Bank, Ltd.</v>
      </c>
      <c r="E81" s="3" t="s">
        <v>505</v>
      </c>
      <c r="F81" s="5">
        <v>5.5</v>
      </c>
      <c r="G81" s="26">
        <v>27572</v>
      </c>
      <c r="H81" s="26">
        <v>27903</v>
      </c>
      <c r="I81" s="26">
        <v>31210</v>
      </c>
      <c r="J81" s="26">
        <v>26998</v>
      </c>
      <c r="K81" s="26">
        <v>26992</v>
      </c>
      <c r="L81" s="26">
        <v>27449</v>
      </c>
      <c r="M81" s="26">
        <v>29072</v>
      </c>
      <c r="N81" s="26">
        <v>30013</v>
      </c>
      <c r="O81" s="26">
        <v>35761</v>
      </c>
      <c r="P81" s="26">
        <v>30447</v>
      </c>
      <c r="Q81" s="26">
        <v>30455</v>
      </c>
      <c r="R81" s="26">
        <v>28495</v>
      </c>
      <c r="S81" s="26">
        <v>29017</v>
      </c>
      <c r="T81" s="26">
        <v>33318</v>
      </c>
      <c r="U81" s="26">
        <v>30256</v>
      </c>
      <c r="V81" s="26">
        <v>32565</v>
      </c>
      <c r="W81" s="26">
        <v>35857</v>
      </c>
      <c r="X81" s="7">
        <v>2.424544395088413E-2</v>
      </c>
      <c r="Y81" s="10">
        <v>-1.6407634909511031E-3</v>
      </c>
      <c r="Z81" s="10">
        <v>3.3612473778966923E-2</v>
      </c>
      <c r="AA81" s="10">
        <v>5.46517945603886E-2</v>
      </c>
    </row>
    <row r="82" spans="2:27" x14ac:dyDescent="0.3">
      <c r="B82" s="12">
        <v>8524</v>
      </c>
      <c r="C82" s="3" t="s">
        <v>545</v>
      </c>
      <c r="D82" s="3" t="str">
        <f>VLOOKUP(B82,기업리스트!B:G,2,FALSE)</f>
        <v>North Pacific Bank,Ltd.</v>
      </c>
      <c r="E82" s="3" t="s">
        <v>505</v>
      </c>
      <c r="F82" s="5">
        <v>5.4</v>
      </c>
      <c r="G82" s="26">
        <v>27822</v>
      </c>
      <c r="H82" s="26">
        <v>26774</v>
      </c>
      <c r="I82" s="26">
        <v>31847</v>
      </c>
      <c r="J82" s="26">
        <v>29641</v>
      </c>
      <c r="K82" s="26">
        <v>29606</v>
      </c>
      <c r="L82" s="26">
        <v>27860</v>
      </c>
      <c r="M82" s="26">
        <v>32442</v>
      </c>
      <c r="N82" s="26">
        <v>29644</v>
      </c>
      <c r="O82" s="26">
        <v>29912</v>
      </c>
      <c r="P82" s="26">
        <v>34535</v>
      </c>
      <c r="Q82" s="26">
        <v>33048</v>
      </c>
      <c r="R82" s="26">
        <v>32739</v>
      </c>
      <c r="S82" s="26">
        <v>38046</v>
      </c>
      <c r="T82" s="26">
        <v>34374</v>
      </c>
      <c r="U82" s="26">
        <v>38245</v>
      </c>
      <c r="V82" s="26">
        <v>37402</v>
      </c>
      <c r="W82" s="26">
        <v>46093</v>
      </c>
      <c r="X82" s="7">
        <v>-1.1635638297872179E-3</v>
      </c>
      <c r="Y82" s="10">
        <v>3.7603015766205727E-2</v>
      </c>
      <c r="Z82" s="10">
        <v>3.2516526735655971E-2</v>
      </c>
      <c r="AA82" s="10">
        <v>5.4347018579426809E-2</v>
      </c>
    </row>
    <row r="83" spans="2:27" x14ac:dyDescent="0.3">
      <c r="B83" s="12">
        <v>6544</v>
      </c>
      <c r="C83" s="3" t="s">
        <v>545</v>
      </c>
      <c r="D83" s="3" t="str">
        <f>VLOOKUP(B83,기업리스트!B:G,2,FALSE)</f>
        <v>Japan Elevator Service Holdings Co.,Ltd.</v>
      </c>
      <c r="E83" s="3" t="s">
        <v>505</v>
      </c>
      <c r="F83" s="5">
        <v>4.4000000000000004</v>
      </c>
      <c r="G83" s="26">
        <v>7764</v>
      </c>
      <c r="H83" s="26">
        <v>8081</v>
      </c>
      <c r="I83" s="26">
        <v>7818</v>
      </c>
      <c r="J83" s="26">
        <v>8169</v>
      </c>
      <c r="K83" s="26">
        <v>9291</v>
      </c>
      <c r="L83" s="26">
        <v>9629</v>
      </c>
      <c r="M83" s="26">
        <v>9494</v>
      </c>
      <c r="N83" s="26">
        <v>10393</v>
      </c>
      <c r="O83" s="26">
        <v>10600</v>
      </c>
      <c r="P83" s="26">
        <v>11729</v>
      </c>
      <c r="Q83" s="26">
        <v>11544</v>
      </c>
      <c r="R83" s="26">
        <v>11720</v>
      </c>
      <c r="S83" s="26">
        <v>12285</v>
      </c>
      <c r="T83" s="26">
        <v>13826</v>
      </c>
      <c r="U83" s="26">
        <v>13433</v>
      </c>
      <c r="V83" s="26">
        <v>13479</v>
      </c>
      <c r="W83" s="26">
        <v>14634</v>
      </c>
      <c r="X83" s="7">
        <v>4.4354668133169677E-2</v>
      </c>
      <c r="Y83" s="10">
        <v>3.8258227848101178E-2</v>
      </c>
      <c r="Z83" s="10">
        <v>3.4312578027465568E-2</v>
      </c>
      <c r="AA83" s="10">
        <v>4.4301529524923167E-2</v>
      </c>
    </row>
    <row r="84" spans="2:27" x14ac:dyDescent="0.3">
      <c r="B84" s="12">
        <v>7564</v>
      </c>
      <c r="C84" s="3" t="s">
        <v>545</v>
      </c>
      <c r="D84" s="3" t="str">
        <f>VLOOKUP(B84,기업리스트!B:G,2,FALSE)</f>
        <v>Workman Co.,Ltd.</v>
      </c>
      <c r="E84" s="3" t="s">
        <v>505</v>
      </c>
      <c r="F84" s="5">
        <v>4.3</v>
      </c>
      <c r="G84" s="26">
        <v>36483</v>
      </c>
      <c r="H84" s="26">
        <v>24486</v>
      </c>
      <c r="I84" s="26">
        <v>33327</v>
      </c>
      <c r="J84" s="26">
        <v>26881</v>
      </c>
      <c r="K84" s="26">
        <v>40636</v>
      </c>
      <c r="L84" s="26">
        <v>27445</v>
      </c>
      <c r="M84" s="26">
        <v>35305</v>
      </c>
      <c r="N84" s="26">
        <v>30275</v>
      </c>
      <c r="O84" s="26">
        <v>40582</v>
      </c>
      <c r="P84" s="26">
        <v>26489</v>
      </c>
      <c r="Q84" s="26">
        <v>37049</v>
      </c>
      <c r="R84" s="26">
        <v>28746</v>
      </c>
      <c r="S84" s="26">
        <v>41810</v>
      </c>
      <c r="T84" s="26">
        <v>29328</v>
      </c>
      <c r="U84" s="26">
        <v>41560</v>
      </c>
      <c r="V84" s="26">
        <v>34577</v>
      </c>
      <c r="W84" s="26">
        <v>48166</v>
      </c>
      <c r="X84" s="7">
        <v>2.1171715363849319E-2</v>
      </c>
      <c r="Y84" s="10">
        <v>3.2943118167278802E-2</v>
      </c>
      <c r="Z84" s="10">
        <v>4.1224795678855182E-2</v>
      </c>
      <c r="AA84" s="10">
        <v>4.3157358682736291E-2</v>
      </c>
    </row>
    <row r="85" spans="2:27" x14ac:dyDescent="0.3">
      <c r="B85" s="12">
        <v>2607</v>
      </c>
      <c r="C85" s="3" t="s">
        <v>545</v>
      </c>
      <c r="D85" s="3" t="str">
        <f>VLOOKUP(B85,기업리스트!B:G,2,FALSE)</f>
        <v>Fuji Oil Co., Ltd.</v>
      </c>
      <c r="E85" s="3" t="s">
        <v>505</v>
      </c>
      <c r="F85" s="5">
        <v>4.3</v>
      </c>
      <c r="G85" s="26">
        <v>115433</v>
      </c>
      <c r="H85" s="26">
        <v>113895</v>
      </c>
      <c r="I85" s="26">
        <v>127928</v>
      </c>
      <c r="J85" s="26">
        <v>140470</v>
      </c>
      <c r="K85" s="26">
        <v>148289</v>
      </c>
      <c r="L85" s="26">
        <v>140723</v>
      </c>
      <c r="M85" s="26">
        <v>131053</v>
      </c>
      <c r="N85" s="26">
        <v>139985</v>
      </c>
      <c r="O85" s="26">
        <v>150500</v>
      </c>
      <c r="P85" s="26">
        <v>142549</v>
      </c>
      <c r="Q85" s="26">
        <v>152375</v>
      </c>
      <c r="R85" s="26">
        <v>163584</v>
      </c>
      <c r="S85" s="26">
        <v>175929</v>
      </c>
      <c r="T85" s="26">
        <v>179323</v>
      </c>
      <c r="U85" s="26">
        <v>181831</v>
      </c>
      <c r="V85" s="26">
        <v>193865</v>
      </c>
      <c r="W85" s="26">
        <v>207087</v>
      </c>
      <c r="X85" s="7">
        <v>5.7963202020058668E-2</v>
      </c>
      <c r="Y85" s="10">
        <v>4.3884858859583709E-2</v>
      </c>
      <c r="Z85" s="10">
        <v>4.3217391428453267E-2</v>
      </c>
      <c r="AA85" s="10">
        <v>4.26268352878727E-2</v>
      </c>
    </row>
    <row r="86" spans="2:27" x14ac:dyDescent="0.3">
      <c r="B86" s="12">
        <v>7003</v>
      </c>
      <c r="C86" s="3" t="s">
        <v>545</v>
      </c>
      <c r="D86" s="3" t="str">
        <f>VLOOKUP(B86,기업리스트!B:G,2,FALSE)</f>
        <v>MITSUI E&amp;S Co., Ltd.</v>
      </c>
      <c r="E86" s="3" t="s">
        <v>505</v>
      </c>
      <c r="F86" s="5">
        <v>4.2</v>
      </c>
      <c r="G86" s="26">
        <v>152139</v>
      </c>
      <c r="H86" s="26">
        <v>70825</v>
      </c>
      <c r="I86" s="26">
        <v>50575</v>
      </c>
      <c r="J86" s="26">
        <v>61157</v>
      </c>
      <c r="K86" s="26">
        <v>61462</v>
      </c>
      <c r="L86" s="26">
        <v>89107</v>
      </c>
      <c r="M86" s="26">
        <v>61556</v>
      </c>
      <c r="N86" s="26">
        <v>73980</v>
      </c>
      <c r="O86" s="26">
        <v>79825</v>
      </c>
      <c r="P86" s="26">
        <v>86514</v>
      </c>
      <c r="Q86" s="26">
        <v>70062</v>
      </c>
      <c r="R86" s="26">
        <v>74979</v>
      </c>
      <c r="S86" s="26">
        <v>73705</v>
      </c>
      <c r="T86" s="26">
        <v>96366</v>
      </c>
      <c r="U86" s="26">
        <v>81151</v>
      </c>
      <c r="V86" s="26">
        <v>84397</v>
      </c>
      <c r="W86" s="26">
        <v>87635</v>
      </c>
      <c r="X86" s="7">
        <v>3.2274126973727217E-2</v>
      </c>
      <c r="Y86" s="10">
        <v>3.5190662367666103E-2</v>
      </c>
      <c r="Z86" s="10">
        <v>2.887176924656876E-2</v>
      </c>
      <c r="AA86" s="10">
        <v>4.1505397489415063E-2</v>
      </c>
    </row>
    <row r="87" spans="2:27" x14ac:dyDescent="0.3">
      <c r="B87" s="12">
        <v>7906</v>
      </c>
      <c r="C87" s="3" t="s">
        <v>545</v>
      </c>
      <c r="D87" s="3" t="str">
        <f>VLOOKUP(B87,기업리스트!B:G,2,FALSE)</f>
        <v>YONEX Co., Ltd.</v>
      </c>
      <c r="E87" s="3" t="s">
        <v>505</v>
      </c>
      <c r="F87" s="5">
        <v>4.0999999999999996</v>
      </c>
      <c r="G87" s="26">
        <v>19187</v>
      </c>
      <c r="H87" s="26">
        <v>20510</v>
      </c>
      <c r="I87" s="26">
        <v>23694</v>
      </c>
      <c r="J87" s="26">
        <v>26398</v>
      </c>
      <c r="K87" s="27">
        <v>29540</v>
      </c>
      <c r="L87" s="26">
        <v>27387</v>
      </c>
      <c r="M87" s="26">
        <v>27992</v>
      </c>
      <c r="N87" s="26">
        <v>29733</v>
      </c>
      <c r="O87" s="26">
        <v>27447</v>
      </c>
      <c r="P87" s="26">
        <v>31270</v>
      </c>
      <c r="Q87" s="26">
        <v>31067</v>
      </c>
      <c r="R87" s="26">
        <v>35875</v>
      </c>
      <c r="S87" s="26">
        <v>34816</v>
      </c>
      <c r="T87" s="26">
        <v>36518</v>
      </c>
      <c r="U87" s="26">
        <v>39856</v>
      </c>
      <c r="V87" s="26">
        <v>39676</v>
      </c>
      <c r="W87" s="26">
        <v>40942</v>
      </c>
      <c r="X87" s="7">
        <v>3.9450341281534802E-2</v>
      </c>
      <c r="Y87" s="10">
        <v>6.3561283230640253E-2</v>
      </c>
      <c r="Z87" s="10">
        <v>2.5845714479991729E-2</v>
      </c>
      <c r="AA87" s="10">
        <v>4.0605570506277111E-2</v>
      </c>
    </row>
    <row r="88" spans="2:27" x14ac:dyDescent="0.3">
      <c r="B88" s="12">
        <v>7226</v>
      </c>
      <c r="C88" s="3" t="s">
        <v>545</v>
      </c>
      <c r="D88" s="3" t="str">
        <f>VLOOKUP(B88,기업리스트!B:G,2,FALSE)</f>
        <v>Kyokuto Kaihatsu Kogyo Co.,Ltd.</v>
      </c>
      <c r="E88" s="3" t="s">
        <v>505</v>
      </c>
      <c r="F88" s="5">
        <v>3.9</v>
      </c>
      <c r="G88" s="26">
        <v>27335</v>
      </c>
      <c r="H88" s="26">
        <v>32081</v>
      </c>
      <c r="I88" s="26">
        <v>23495</v>
      </c>
      <c r="J88" s="26">
        <v>28214</v>
      </c>
      <c r="K88" s="26">
        <v>26808</v>
      </c>
      <c r="L88" s="26">
        <v>34572</v>
      </c>
      <c r="M88" s="26">
        <v>26091</v>
      </c>
      <c r="N88" s="26">
        <v>33479</v>
      </c>
      <c r="O88" s="26">
        <v>30741</v>
      </c>
      <c r="P88" s="26">
        <v>37715</v>
      </c>
      <c r="Q88" s="26">
        <v>28626</v>
      </c>
      <c r="R88" s="26">
        <v>35381</v>
      </c>
      <c r="S88" s="26">
        <v>32635</v>
      </c>
      <c r="T88" s="26">
        <v>43807</v>
      </c>
      <c r="U88" s="26">
        <v>33457</v>
      </c>
      <c r="V88" s="26">
        <v>40723</v>
      </c>
      <c r="W88" s="26">
        <v>38501</v>
      </c>
      <c r="X88" s="7">
        <v>4.5341887657509572E-2</v>
      </c>
      <c r="Y88" s="10">
        <v>3.4396827318101231E-2</v>
      </c>
      <c r="Z88" s="10">
        <v>3.6770374449339283E-2</v>
      </c>
      <c r="AA88" s="10">
        <v>3.8945174011764561E-2</v>
      </c>
    </row>
    <row r="89" spans="2:27" x14ac:dyDescent="0.3">
      <c r="B89" s="12">
        <v>8050</v>
      </c>
      <c r="C89" s="3" t="s">
        <v>545</v>
      </c>
      <c r="D89" s="3" t="str">
        <f>VLOOKUP(B89,기업리스트!B:G,2,FALSE)</f>
        <v>Seiko Group Corporation</v>
      </c>
      <c r="E89" s="3" t="s">
        <v>505</v>
      </c>
      <c r="F89" s="5">
        <v>3.8</v>
      </c>
      <c r="G89" s="26">
        <v>63466</v>
      </c>
      <c r="H89" s="26">
        <v>63521</v>
      </c>
      <c r="I89" s="26">
        <v>62078</v>
      </c>
      <c r="J89" s="26">
        <v>67843</v>
      </c>
      <c r="K89" s="26">
        <v>67538</v>
      </c>
      <c r="L89" s="26">
        <v>63045</v>
      </c>
      <c r="M89" s="26">
        <v>62949</v>
      </c>
      <c r="N89" s="26">
        <v>68346</v>
      </c>
      <c r="O89" s="26">
        <v>74377</v>
      </c>
      <c r="P89" s="26">
        <v>71135</v>
      </c>
      <c r="Q89" s="26">
        <v>74040</v>
      </c>
      <c r="R89" s="26">
        <v>76961</v>
      </c>
      <c r="S89" s="26">
        <v>81513</v>
      </c>
      <c r="T89" s="26">
        <v>72230</v>
      </c>
      <c r="U89" s="26">
        <v>77114</v>
      </c>
      <c r="V89" s="26">
        <v>83410</v>
      </c>
      <c r="W89" s="26">
        <v>93592</v>
      </c>
      <c r="X89" s="7">
        <v>3.606137349373872E-3</v>
      </c>
      <c r="Y89" s="10">
        <v>1.00871551203634E-2</v>
      </c>
      <c r="Z89" s="10">
        <v>2.0950691642463989E-2</v>
      </c>
      <c r="AA89" s="10">
        <v>3.8435470475741917E-2</v>
      </c>
    </row>
    <row r="90" spans="2:27" x14ac:dyDescent="0.3">
      <c r="B90" s="12">
        <v>6141</v>
      </c>
      <c r="C90" s="3" t="s">
        <v>545</v>
      </c>
      <c r="D90" s="3" t="str">
        <f>VLOOKUP(B90,기업리스트!B:G,2,FALSE)</f>
        <v>DMG Mori Co., Ltd.</v>
      </c>
      <c r="E90" s="3" t="s">
        <v>496</v>
      </c>
      <c r="F90" s="5">
        <v>2.7</v>
      </c>
      <c r="G90" s="26">
        <v>121740</v>
      </c>
      <c r="H90" s="26">
        <v>107262</v>
      </c>
      <c r="I90" s="26">
        <v>110946</v>
      </c>
      <c r="J90" s="26">
        <v>114824</v>
      </c>
      <c r="K90" s="26">
        <v>141739</v>
      </c>
      <c r="L90" s="26">
        <v>123225</v>
      </c>
      <c r="M90" s="26">
        <v>126312</v>
      </c>
      <c r="N90" s="26">
        <v>130622</v>
      </c>
      <c r="O90" s="26">
        <v>159360</v>
      </c>
      <c r="P90" s="26">
        <v>132851</v>
      </c>
      <c r="Q90" s="26">
        <v>130865</v>
      </c>
      <c r="R90" s="26">
        <v>124117</v>
      </c>
      <c r="S90" s="26">
        <v>154190</v>
      </c>
      <c r="T90" s="26">
        <v>116097</v>
      </c>
      <c r="U90" s="26">
        <v>111390</v>
      </c>
      <c r="V90" s="26">
        <v>0</v>
      </c>
      <c r="W90" s="26">
        <v>164360</v>
      </c>
      <c r="X90" s="7">
        <v>-3.091012743001675E-2</v>
      </c>
      <c r="Y90" s="10">
        <v>-3.7076240935596798E-2</v>
      </c>
      <c r="Z90" s="10">
        <v>-0.24539041586100269</v>
      </c>
      <c r="AA90" s="10">
        <v>2.6645566801248188E-2</v>
      </c>
    </row>
    <row r="91" spans="2:27" x14ac:dyDescent="0.3">
      <c r="B91" s="12">
        <v>5714</v>
      </c>
      <c r="C91" s="3" t="s">
        <v>545</v>
      </c>
      <c r="D91" s="3" t="str">
        <f>VLOOKUP(B91,기업리스트!B:G,2,FALSE)</f>
        <v>Dowa Holdings Co., Ltd.</v>
      </c>
      <c r="E91" s="3" t="s">
        <v>505</v>
      </c>
      <c r="F91" s="5">
        <v>2.6</v>
      </c>
      <c r="G91" s="26">
        <v>188669</v>
      </c>
      <c r="H91" s="26">
        <v>219862</v>
      </c>
      <c r="I91" s="26">
        <v>209933</v>
      </c>
      <c r="J91" s="26">
        <v>191893</v>
      </c>
      <c r="K91" s="26">
        <v>191107</v>
      </c>
      <c r="L91" s="26">
        <v>187127</v>
      </c>
      <c r="M91" s="26">
        <v>190961</v>
      </c>
      <c r="N91" s="26">
        <v>179798</v>
      </c>
      <c r="O91" s="26">
        <v>180916</v>
      </c>
      <c r="P91" s="26">
        <v>165519</v>
      </c>
      <c r="Q91" s="26">
        <v>188994</v>
      </c>
      <c r="R91" s="26">
        <v>163599</v>
      </c>
      <c r="S91" s="26">
        <v>164659</v>
      </c>
      <c r="T91" s="26">
        <v>161420</v>
      </c>
      <c r="U91" s="26">
        <v>160129</v>
      </c>
      <c r="V91" s="26">
        <v>157059</v>
      </c>
      <c r="W91" s="26">
        <v>181534</v>
      </c>
      <c r="X91" s="7">
        <v>-6.0034770076643476E-3</v>
      </c>
      <c r="Y91" s="10">
        <v>-4.2531591107339062E-2</v>
      </c>
      <c r="Z91" s="10">
        <v>-1.006452685181913E-2</v>
      </c>
      <c r="AA91" s="10">
        <v>2.6233274829891681E-2</v>
      </c>
    </row>
    <row r="92" spans="2:27" x14ac:dyDescent="0.3">
      <c r="B92" s="12">
        <v>4732</v>
      </c>
      <c r="C92" s="3" t="s">
        <v>545</v>
      </c>
      <c r="D92" s="3" t="str">
        <f>VLOOKUP(B92,기업리스트!B:G,2,FALSE)</f>
        <v>USS Co., Ltd.</v>
      </c>
      <c r="E92" s="3" t="s">
        <v>505</v>
      </c>
      <c r="F92" s="5">
        <v>2.6</v>
      </c>
      <c r="G92" s="26">
        <v>19839</v>
      </c>
      <c r="H92" s="26">
        <v>21859</v>
      </c>
      <c r="I92" s="26">
        <v>21136</v>
      </c>
      <c r="J92" s="26">
        <v>21293</v>
      </c>
      <c r="K92" s="26">
        <v>21979</v>
      </c>
      <c r="L92" s="26">
        <v>24370</v>
      </c>
      <c r="M92" s="26">
        <v>23929</v>
      </c>
      <c r="N92" s="26">
        <v>24164</v>
      </c>
      <c r="O92" s="26">
        <v>23421</v>
      </c>
      <c r="P92" s="26">
        <v>26092</v>
      </c>
      <c r="Q92" s="26">
        <v>25640</v>
      </c>
      <c r="R92" s="26">
        <v>24816</v>
      </c>
      <c r="S92" s="26">
        <v>26196</v>
      </c>
      <c r="T92" s="26">
        <v>27369</v>
      </c>
      <c r="U92" s="26">
        <v>27389</v>
      </c>
      <c r="V92" s="26">
        <v>26590</v>
      </c>
      <c r="W92" s="26">
        <v>28990</v>
      </c>
      <c r="X92" s="7">
        <v>1.242894962236241E-2</v>
      </c>
      <c r="Y92" s="10">
        <v>1.6813912575345261E-2</v>
      </c>
      <c r="Z92" s="10">
        <v>1.677224165642421E-2</v>
      </c>
      <c r="AA92" s="10">
        <v>2.598006397381547E-2</v>
      </c>
    </row>
    <row r="93" spans="2:27" x14ac:dyDescent="0.3">
      <c r="B93" s="12">
        <v>5706</v>
      </c>
      <c r="C93" s="3" t="s">
        <v>545</v>
      </c>
      <c r="D93" s="3" t="str">
        <f>VLOOKUP(B93,기업리스트!B:G,2,FALSE)</f>
        <v>Mitsui Kinzoku Company, Limited</v>
      </c>
      <c r="E93" s="3" t="s">
        <v>494</v>
      </c>
      <c r="F93" s="5">
        <v>2.4</v>
      </c>
      <c r="G93" s="26">
        <v>158224</v>
      </c>
      <c r="H93" s="26">
        <v>158431</v>
      </c>
      <c r="I93" s="26">
        <v>169644</v>
      </c>
      <c r="J93" s="26">
        <v>165076</v>
      </c>
      <c r="K93" s="26">
        <v>177322</v>
      </c>
      <c r="L93" s="26">
        <v>155887</v>
      </c>
      <c r="M93" s="26">
        <v>153680</v>
      </c>
      <c r="N93" s="26">
        <v>147503</v>
      </c>
      <c r="O93" s="26">
        <v>164617</v>
      </c>
      <c r="P93" s="26">
        <v>164402</v>
      </c>
      <c r="Q93" s="26">
        <v>170175</v>
      </c>
      <c r="R93" s="26">
        <v>169869</v>
      </c>
      <c r="S93" s="26">
        <v>178257</v>
      </c>
      <c r="T93" s="26">
        <v>177765</v>
      </c>
      <c r="U93" s="26">
        <v>186453</v>
      </c>
      <c r="V93" s="26">
        <v>169040</v>
      </c>
      <c r="W93" s="26">
        <v>195272</v>
      </c>
      <c r="X93" s="7">
        <v>1.9573665268791899E-2</v>
      </c>
      <c r="Y93" s="10">
        <v>2.3385713423726969E-2</v>
      </c>
      <c r="Z93" s="10">
        <v>-1.163763574901999E-3</v>
      </c>
      <c r="AA93" s="10">
        <v>2.3913761480784061E-2</v>
      </c>
    </row>
    <row r="94" spans="2:27" x14ac:dyDescent="0.3">
      <c r="B94" s="12">
        <v>8252</v>
      </c>
      <c r="C94" s="3" t="s">
        <v>545</v>
      </c>
      <c r="D94" s="3" t="str">
        <f>VLOOKUP(B94,기업리스트!B:G,2,FALSE)</f>
        <v>Marui Group Co., Ltd.</v>
      </c>
      <c r="E94" s="3" t="s">
        <v>505</v>
      </c>
      <c r="F94" s="5">
        <v>2.1</v>
      </c>
      <c r="G94" s="26">
        <v>51992</v>
      </c>
      <c r="H94" s="26">
        <v>52828</v>
      </c>
      <c r="I94" s="26">
        <v>51068</v>
      </c>
      <c r="J94" s="26">
        <v>57881</v>
      </c>
      <c r="K94" s="26">
        <v>53199</v>
      </c>
      <c r="L94" s="26">
        <v>55706</v>
      </c>
      <c r="M94" s="26">
        <v>53534</v>
      </c>
      <c r="N94" s="26">
        <v>58614</v>
      </c>
      <c r="O94" s="26">
        <v>58351</v>
      </c>
      <c r="P94" s="26">
        <v>64728</v>
      </c>
      <c r="Q94" s="26">
        <v>59715</v>
      </c>
      <c r="R94" s="26">
        <v>64245</v>
      </c>
      <c r="S94" s="26">
        <v>63818</v>
      </c>
      <c r="T94" s="26">
        <v>66614</v>
      </c>
      <c r="U94" s="26">
        <v>67401</v>
      </c>
      <c r="V94" s="26">
        <v>69026</v>
      </c>
      <c r="W94" s="26">
        <v>69352</v>
      </c>
      <c r="X94" s="7">
        <v>7.4691294464290792E-3</v>
      </c>
      <c r="Y94" s="10">
        <v>3.0213214252020389E-2</v>
      </c>
      <c r="Z94" s="10">
        <v>1.824266058196411E-2</v>
      </c>
      <c r="AA94" s="10">
        <v>2.0737543047077311E-2</v>
      </c>
    </row>
    <row r="95" spans="2:27" x14ac:dyDescent="0.3">
      <c r="B95" s="12">
        <v>4966</v>
      </c>
      <c r="C95" s="3" t="s">
        <v>545</v>
      </c>
      <c r="D95" s="3" t="str">
        <f>VLOOKUP(B95,기업리스트!B:G,2,FALSE)</f>
        <v>Parade Technologies, Ltd.</v>
      </c>
      <c r="E95" s="3" t="s">
        <v>505</v>
      </c>
      <c r="F95" s="5">
        <v>2</v>
      </c>
      <c r="G95" s="26">
        <v>18614</v>
      </c>
      <c r="H95" s="26">
        <v>20662</v>
      </c>
      <c r="I95" s="26">
        <v>20187</v>
      </c>
      <c r="J95" s="26">
        <v>21918</v>
      </c>
      <c r="K95" s="26">
        <v>22833</v>
      </c>
      <c r="L95" s="26">
        <v>20811</v>
      </c>
      <c r="M95" s="26">
        <v>17514</v>
      </c>
      <c r="N95" s="26">
        <v>19706</v>
      </c>
      <c r="O95" s="26">
        <v>20657</v>
      </c>
      <c r="P95" s="26">
        <v>22379</v>
      </c>
      <c r="Q95" s="26">
        <v>19980</v>
      </c>
      <c r="R95" s="26">
        <v>20781</v>
      </c>
      <c r="S95" s="26">
        <v>22561</v>
      </c>
      <c r="T95" s="26">
        <v>20523</v>
      </c>
      <c r="U95" s="26">
        <v>20112</v>
      </c>
      <c r="V95" s="26">
        <v>21589</v>
      </c>
      <c r="W95" s="26">
        <v>24262</v>
      </c>
      <c r="X95" s="7">
        <v>-2.1656690120302021E-2</v>
      </c>
      <c r="Y95" s="10">
        <v>1.574333591746635E-3</v>
      </c>
      <c r="Z95" s="10">
        <v>9.6216821272492314E-3</v>
      </c>
      <c r="AA95" s="10">
        <v>2.0062511057380439E-2</v>
      </c>
    </row>
    <row r="96" spans="2:27" x14ac:dyDescent="0.3">
      <c r="B96" s="12">
        <v>7616</v>
      </c>
      <c r="C96" s="3" t="s">
        <v>545</v>
      </c>
      <c r="D96" s="3" t="str">
        <f>VLOOKUP(B96,기업리스트!B:G,2,FALSE)</f>
        <v>Colowide Co.,Ltd.</v>
      </c>
      <c r="E96" s="3" t="s">
        <v>494</v>
      </c>
      <c r="F96" s="5">
        <v>2</v>
      </c>
      <c r="G96" s="26">
        <v>39071</v>
      </c>
      <c r="H96" s="26">
        <v>51300</v>
      </c>
      <c r="I96" s="26">
        <v>45926</v>
      </c>
      <c r="J96" s="26">
        <v>51282</v>
      </c>
      <c r="K96" s="26">
        <v>53374</v>
      </c>
      <c r="L96" s="26">
        <v>57661</v>
      </c>
      <c r="M96" s="26">
        <v>58513</v>
      </c>
      <c r="N96" s="26">
        <v>57243</v>
      </c>
      <c r="O96" s="26">
        <v>60772</v>
      </c>
      <c r="P96" s="26">
        <v>61190</v>
      </c>
      <c r="Q96" s="26">
        <v>62079</v>
      </c>
      <c r="R96" s="26">
        <v>63390</v>
      </c>
      <c r="S96" s="26">
        <v>68809</v>
      </c>
      <c r="T96" s="26">
        <v>68273</v>
      </c>
      <c r="U96" s="26">
        <v>68684</v>
      </c>
      <c r="V96" s="26">
        <v>67277</v>
      </c>
      <c r="W96" s="26">
        <v>74190</v>
      </c>
      <c r="X96" s="7">
        <v>2.77255859833716E-2</v>
      </c>
      <c r="Y96" s="10">
        <v>2.5157017112865662E-2</v>
      </c>
      <c r="Z96" s="10">
        <v>1.444143916539109E-2</v>
      </c>
      <c r="AA96" s="10">
        <v>1.9707518595972081E-2</v>
      </c>
    </row>
    <row r="97" spans="2:27" x14ac:dyDescent="0.3">
      <c r="B97" s="12">
        <v>3035</v>
      </c>
      <c r="C97" s="3" t="s">
        <v>545</v>
      </c>
      <c r="D97" s="3" t="str">
        <f>VLOOKUP(B97,기업리스트!B:G,2,FALSE)</f>
        <v>Faraday Technology Corporation</v>
      </c>
      <c r="E97" s="3" t="s">
        <v>527</v>
      </c>
      <c r="F97" s="5">
        <v>1.9</v>
      </c>
      <c r="G97" s="26">
        <v>3990</v>
      </c>
      <c r="H97" s="26">
        <v>4307</v>
      </c>
      <c r="I97" s="26">
        <v>4555</v>
      </c>
      <c r="J97" s="26">
        <v>4346</v>
      </c>
      <c r="K97" s="26">
        <v>4130</v>
      </c>
      <c r="L97" s="26">
        <v>4509</v>
      </c>
      <c r="M97" s="26">
        <v>4630</v>
      </c>
      <c r="N97" s="26">
        <v>4342</v>
      </c>
      <c r="O97" s="26">
        <v>4110</v>
      </c>
      <c r="P97" s="26">
        <v>4542</v>
      </c>
      <c r="Q97" s="26">
        <v>4744</v>
      </c>
      <c r="R97" s="26">
        <v>4713</v>
      </c>
      <c r="S97" s="26">
        <v>4348</v>
      </c>
      <c r="T97" s="26">
        <v>4816</v>
      </c>
      <c r="U97" s="26">
        <v>4923</v>
      </c>
      <c r="V97" s="26">
        <v>4840</v>
      </c>
      <c r="W97" s="26">
        <v>4715</v>
      </c>
      <c r="X97" s="7">
        <v>1.493432168746933E-2</v>
      </c>
      <c r="Y97" s="10">
        <v>9.6128027495838708E-3</v>
      </c>
      <c r="Z97" s="10">
        <v>6.7553191489362341E-3</v>
      </c>
      <c r="AA97" s="10">
        <v>1.9390289005124961E-2</v>
      </c>
    </row>
    <row r="98" spans="2:27" x14ac:dyDescent="0.3">
      <c r="B98" s="12">
        <v>4095</v>
      </c>
      <c r="C98" s="3" t="s">
        <v>545</v>
      </c>
      <c r="D98" s="3" t="str">
        <f>VLOOKUP(B98,기업리스트!B:G,2,FALSE)</f>
        <v>Nihon Parkerizing Co., Ltd.</v>
      </c>
      <c r="E98" s="3" t="s">
        <v>505</v>
      </c>
      <c r="F98" s="5">
        <v>1.9</v>
      </c>
      <c r="G98" s="26">
        <v>30433</v>
      </c>
      <c r="H98" s="26">
        <v>29381</v>
      </c>
      <c r="I98" s="26">
        <v>27255</v>
      </c>
      <c r="J98" s="26">
        <v>28648</v>
      </c>
      <c r="K98" s="26">
        <v>31201</v>
      </c>
      <c r="L98" s="26">
        <v>32073</v>
      </c>
      <c r="M98" s="26">
        <v>28622</v>
      </c>
      <c r="N98" s="26">
        <v>29890</v>
      </c>
      <c r="O98" s="26">
        <v>32528</v>
      </c>
      <c r="P98" s="26">
        <v>34045</v>
      </c>
      <c r="Q98" s="26">
        <v>30344</v>
      </c>
      <c r="R98" s="26">
        <v>32389</v>
      </c>
      <c r="S98" s="26">
        <v>33724</v>
      </c>
      <c r="T98" s="26">
        <v>35824</v>
      </c>
      <c r="U98" s="26">
        <v>31876</v>
      </c>
      <c r="V98" s="26">
        <v>32858</v>
      </c>
      <c r="W98" s="26">
        <v>36282</v>
      </c>
      <c r="X98" s="7">
        <v>1.363197498888913E-2</v>
      </c>
      <c r="Y98" s="10">
        <v>1.1581406248818871E-2</v>
      </c>
      <c r="Z98" s="10">
        <v>3.5048911540731531E-3</v>
      </c>
      <c r="AA98" s="10">
        <v>1.904946307025512E-2</v>
      </c>
    </row>
    <row r="99" spans="2:27" x14ac:dyDescent="0.3">
      <c r="B99" s="12">
        <v>9142</v>
      </c>
      <c r="C99" s="3" t="s">
        <v>545</v>
      </c>
      <c r="D99" s="3" t="str">
        <f>VLOOKUP(B99,기업리스트!B:G,2,FALSE)</f>
        <v>Kyushu Railway Company</v>
      </c>
      <c r="E99" s="3" t="s">
        <v>505</v>
      </c>
      <c r="F99" s="5">
        <v>1.8</v>
      </c>
      <c r="G99" s="26">
        <v>81091</v>
      </c>
      <c r="H99" s="26">
        <v>106815</v>
      </c>
      <c r="I99" s="26">
        <v>90476</v>
      </c>
      <c r="J99" s="26">
        <v>79719</v>
      </c>
      <c r="K99" s="26">
        <v>91085</v>
      </c>
      <c r="L99" s="26">
        <v>121962</v>
      </c>
      <c r="M99" s="26">
        <v>97920</v>
      </c>
      <c r="N99" s="26">
        <v>92812</v>
      </c>
      <c r="O99" s="26">
        <v>102182</v>
      </c>
      <c r="P99" s="26">
        <v>127488</v>
      </c>
      <c r="Q99" s="26">
        <v>104141</v>
      </c>
      <c r="R99" s="26">
        <v>104271</v>
      </c>
      <c r="S99" s="26">
        <v>113491</v>
      </c>
      <c r="T99" s="26">
        <v>132490</v>
      </c>
      <c r="U99" s="26">
        <v>117517</v>
      </c>
      <c r="V99" s="26">
        <v>120099</v>
      </c>
      <c r="W99" s="26">
        <v>122403</v>
      </c>
      <c r="X99" s="7">
        <v>1.1130618993259841E-2</v>
      </c>
      <c r="Y99" s="10">
        <v>2.9437073194349409E-2</v>
      </c>
      <c r="Z99" s="10">
        <v>3.3837214522552728E-2</v>
      </c>
      <c r="AA99" s="10">
        <v>1.84285675883018E-2</v>
      </c>
    </row>
    <row r="100" spans="2:27" x14ac:dyDescent="0.3">
      <c r="B100" s="12">
        <v>4967</v>
      </c>
      <c r="C100" s="3" t="s">
        <v>545</v>
      </c>
      <c r="D100" s="3" t="str">
        <f>VLOOKUP(B100,기업리스트!B:G,2,FALSE)</f>
        <v>Kobayashi Pharmaceutical Co., Ltd.</v>
      </c>
      <c r="E100" s="3" t="s">
        <v>496</v>
      </c>
      <c r="F100" s="5">
        <v>1.6</v>
      </c>
      <c r="G100" s="26">
        <v>47594</v>
      </c>
      <c r="H100" s="26">
        <v>32646</v>
      </c>
      <c r="I100" s="26">
        <v>38618</v>
      </c>
      <c r="J100" s="26">
        <v>43015</v>
      </c>
      <c r="K100" s="26">
        <v>51979</v>
      </c>
      <c r="L100" s="26">
        <v>33467</v>
      </c>
      <c r="M100" s="26">
        <v>40158</v>
      </c>
      <c r="N100" s="26">
        <v>45490</v>
      </c>
      <c r="O100" s="26">
        <v>54340</v>
      </c>
      <c r="P100" s="26">
        <v>36485</v>
      </c>
      <c r="Q100" s="26">
        <v>36651</v>
      </c>
      <c r="R100" s="26">
        <v>41323</v>
      </c>
      <c r="S100" s="26">
        <v>51141</v>
      </c>
      <c r="T100" s="26">
        <v>32607</v>
      </c>
      <c r="U100" s="26">
        <v>36411</v>
      </c>
      <c r="V100" s="26">
        <v>43020</v>
      </c>
      <c r="W100" s="26">
        <v>53704</v>
      </c>
      <c r="X100" s="7">
        <v>-2.34178743961353E-2</v>
      </c>
      <c r="Y100" s="10">
        <v>-1.4840281470671619E-3</v>
      </c>
      <c r="Z100" s="10">
        <v>1.050891120991815E-2</v>
      </c>
      <c r="AA100" s="10">
        <v>1.5706677942627371E-2</v>
      </c>
    </row>
    <row r="101" spans="2:27" x14ac:dyDescent="0.3">
      <c r="B101" s="12">
        <v>6302</v>
      </c>
      <c r="C101" s="3" t="s">
        <v>545</v>
      </c>
      <c r="D101" s="3" t="str">
        <f>VLOOKUP(B101,기업리스트!B:G,2,FALSE)</f>
        <v>Sumitomo Heavy Industries, Ltd.</v>
      </c>
      <c r="E101" s="3" t="s">
        <v>496</v>
      </c>
      <c r="F101" s="5">
        <v>1.4</v>
      </c>
      <c r="G101" s="26">
        <v>229770</v>
      </c>
      <c r="H101" s="26">
        <v>235071</v>
      </c>
      <c r="I101" s="26">
        <v>262871</v>
      </c>
      <c r="J101" s="26">
        <v>314208</v>
      </c>
      <c r="K101" s="26">
        <v>262440</v>
      </c>
      <c r="L101" s="26">
        <v>248236</v>
      </c>
      <c r="M101" s="26">
        <v>261823</v>
      </c>
      <c r="N101" s="26">
        <v>262446</v>
      </c>
      <c r="O101" s="26">
        <v>309028</v>
      </c>
      <c r="P101" s="26">
        <v>254811</v>
      </c>
      <c r="Q101" s="26">
        <v>265542</v>
      </c>
      <c r="R101" s="26">
        <v>251719</v>
      </c>
      <c r="S101" s="26">
        <v>299054</v>
      </c>
      <c r="T101" s="26">
        <v>241536</v>
      </c>
      <c r="U101" s="26">
        <v>253091</v>
      </c>
      <c r="V101" s="26">
        <v>258584</v>
      </c>
      <c r="W101" s="26">
        <v>313670</v>
      </c>
      <c r="X101" s="7">
        <v>-1.2393499924378659E-2</v>
      </c>
      <c r="Y101" s="10">
        <v>-1.177008860416073E-2</v>
      </c>
      <c r="Z101" s="10">
        <v>6.5668643581404673E-3</v>
      </c>
      <c r="AA101" s="10">
        <v>1.3890037205456901E-2</v>
      </c>
    </row>
    <row r="102" spans="2:27" x14ac:dyDescent="0.3">
      <c r="B102" s="12">
        <v>3436</v>
      </c>
      <c r="C102" s="3" t="s">
        <v>545</v>
      </c>
      <c r="D102" s="3" t="str">
        <f>VLOOKUP(B102,기업리스트!B:G,2,FALSE)</f>
        <v>Sumco Corporation</v>
      </c>
      <c r="E102" s="3" t="s">
        <v>496</v>
      </c>
      <c r="F102" s="5">
        <v>1.3</v>
      </c>
      <c r="G102" s="26">
        <v>91211</v>
      </c>
      <c r="H102" s="26">
        <v>100449</v>
      </c>
      <c r="I102" s="26">
        <v>106963</v>
      </c>
      <c r="J102" s="26">
        <v>116246</v>
      </c>
      <c r="K102" s="26">
        <v>117425</v>
      </c>
      <c r="L102" s="26">
        <v>109948</v>
      </c>
      <c r="M102" s="26">
        <v>110711</v>
      </c>
      <c r="N102" s="26">
        <v>100192</v>
      </c>
      <c r="O102" s="26">
        <v>105090</v>
      </c>
      <c r="P102" s="26">
        <v>93514</v>
      </c>
      <c r="Q102" s="26">
        <v>104759</v>
      </c>
      <c r="R102" s="26">
        <v>98391</v>
      </c>
      <c r="S102" s="26">
        <v>99955</v>
      </c>
      <c r="T102" s="26">
        <v>102472</v>
      </c>
      <c r="U102" s="26">
        <v>102900</v>
      </c>
      <c r="V102" s="26">
        <v>99064</v>
      </c>
      <c r="W102" s="26">
        <v>105234</v>
      </c>
      <c r="X102" s="7">
        <v>2.25859073821475E-2</v>
      </c>
      <c r="Y102" s="10">
        <v>-4.5835932510965849E-3</v>
      </c>
      <c r="Z102" s="10">
        <v>1.6670051867888609E-3</v>
      </c>
      <c r="AA102" s="10">
        <v>1.3054197546434001E-2</v>
      </c>
    </row>
    <row r="103" spans="2:27" x14ac:dyDescent="0.3">
      <c r="B103" s="12">
        <v>9075</v>
      </c>
      <c r="C103" s="3" t="s">
        <v>545</v>
      </c>
      <c r="D103" s="3" t="str">
        <f>VLOOKUP(B103,기업리스트!B:G,2,FALSE)</f>
        <v>Fukuyama Transporting Co., Ltd.</v>
      </c>
      <c r="E103" s="3" t="s">
        <v>505</v>
      </c>
      <c r="F103" s="5">
        <v>1.3</v>
      </c>
      <c r="G103" s="26">
        <v>78183</v>
      </c>
      <c r="H103" s="26">
        <v>71084</v>
      </c>
      <c r="I103" s="26">
        <v>73162</v>
      </c>
      <c r="J103" s="26">
        <v>72163</v>
      </c>
      <c r="K103" s="26">
        <v>77956</v>
      </c>
      <c r="L103" s="26">
        <v>70077</v>
      </c>
      <c r="M103" s="26">
        <v>71685</v>
      </c>
      <c r="N103" s="26">
        <v>69544</v>
      </c>
      <c r="O103" s="26">
        <v>77025</v>
      </c>
      <c r="P103" s="26">
        <v>69309</v>
      </c>
      <c r="Q103" s="26">
        <v>73734</v>
      </c>
      <c r="R103" s="26">
        <v>73070</v>
      </c>
      <c r="S103" s="26">
        <v>82025</v>
      </c>
      <c r="T103" s="26">
        <v>73666</v>
      </c>
      <c r="U103" s="26">
        <v>77454</v>
      </c>
      <c r="V103" s="26">
        <v>76119</v>
      </c>
      <c r="W103" s="26">
        <v>85945</v>
      </c>
      <c r="X103" s="7">
        <v>1.4614037794578261E-2</v>
      </c>
      <c r="Y103" s="10">
        <v>1.229772392932116E-2</v>
      </c>
      <c r="Z103" s="10">
        <v>9.9570563166402337E-3</v>
      </c>
      <c r="AA103" s="10">
        <v>1.267525479848941E-2</v>
      </c>
    </row>
    <row r="104" spans="2:27" x14ac:dyDescent="0.3">
      <c r="B104" s="12">
        <v>3288</v>
      </c>
      <c r="C104" s="3" t="s">
        <v>545</v>
      </c>
      <c r="D104" s="3" t="str">
        <f>VLOOKUP(B104,기업리스트!B:G,2,FALSE)</f>
        <v>Open House Group Co., Ltd.</v>
      </c>
      <c r="E104" s="3" t="s">
        <v>527</v>
      </c>
      <c r="F104" s="5">
        <v>1</v>
      </c>
      <c r="G104" s="26">
        <v>235255</v>
      </c>
      <c r="H104" s="26">
        <v>220156</v>
      </c>
      <c r="I104" s="26">
        <v>211722</v>
      </c>
      <c r="J104" s="26">
        <v>285553</v>
      </c>
      <c r="K104" s="26">
        <v>248198</v>
      </c>
      <c r="L104" s="26">
        <v>293596</v>
      </c>
      <c r="M104" s="26">
        <v>243536</v>
      </c>
      <c r="N104" s="26">
        <v>363154</v>
      </c>
      <c r="O104" s="26">
        <v>304846</v>
      </c>
      <c r="P104" s="26">
        <v>297910</v>
      </c>
      <c r="Q104" s="26">
        <v>292300</v>
      </c>
      <c r="R104" s="26">
        <v>400806</v>
      </c>
      <c r="S104" s="26">
        <v>316131</v>
      </c>
      <c r="T104" s="26">
        <v>327302</v>
      </c>
      <c r="U104" s="26">
        <v>296292</v>
      </c>
      <c r="V104" s="26">
        <v>396743</v>
      </c>
      <c r="W104" s="26">
        <v>329850</v>
      </c>
      <c r="X104" s="7">
        <v>2.2485611794235801E-2</v>
      </c>
      <c r="Y104" s="10">
        <v>2.9868189405621859E-3</v>
      </c>
      <c r="Z104" s="10">
        <v>-3.030888506121876E-3</v>
      </c>
      <c r="AA104" s="10">
        <v>1.0265116710613359E-2</v>
      </c>
    </row>
    <row r="105" spans="2:27" x14ac:dyDescent="0.3">
      <c r="B105" s="12">
        <v>9048</v>
      </c>
      <c r="C105" s="3" t="s">
        <v>545</v>
      </c>
      <c r="D105" s="3" t="str">
        <f>VLOOKUP(B105,기업리스트!B:G,2,FALSE)</f>
        <v>Nagoya Railroad Co., Ltd.</v>
      </c>
      <c r="E105" s="3" t="s">
        <v>505</v>
      </c>
      <c r="F105" s="5">
        <v>1</v>
      </c>
      <c r="G105" s="26">
        <v>135863</v>
      </c>
      <c r="H105" s="26">
        <v>130772</v>
      </c>
      <c r="I105" s="26">
        <v>125202</v>
      </c>
      <c r="J105" s="26">
        <v>137923</v>
      </c>
      <c r="K105" s="26">
        <v>143543</v>
      </c>
      <c r="L105" s="26">
        <v>144836</v>
      </c>
      <c r="M105" s="26">
        <v>140977</v>
      </c>
      <c r="N105" s="26">
        <v>142751</v>
      </c>
      <c r="O105" s="26">
        <v>159755</v>
      </c>
      <c r="P105" s="26">
        <v>157638</v>
      </c>
      <c r="Q105" s="26">
        <v>166157</v>
      </c>
      <c r="R105" s="26">
        <v>168361</v>
      </c>
      <c r="S105" s="26">
        <v>173275</v>
      </c>
      <c r="T105" s="26">
        <v>182927</v>
      </c>
      <c r="U105" s="26">
        <v>168501</v>
      </c>
      <c r="V105" s="26">
        <v>167176</v>
      </c>
      <c r="W105" s="26">
        <v>180318</v>
      </c>
      <c r="X105" s="7">
        <v>3.8003940303352302E-2</v>
      </c>
      <c r="Y105" s="10">
        <v>3.393560342830559E-3</v>
      </c>
      <c r="Z105" s="10">
        <v>-1.7097988064593841E-3</v>
      </c>
      <c r="AA105" s="10">
        <v>1.017952561069202E-2</v>
      </c>
    </row>
    <row r="106" spans="2:27" x14ac:dyDescent="0.3">
      <c r="B106" s="12">
        <v>6324</v>
      </c>
      <c r="C106" s="3" t="s">
        <v>545</v>
      </c>
      <c r="D106" s="3" t="str">
        <f>VLOOKUP(B106,기업리스트!B:G,2,FALSE)</f>
        <v>Harmonic Drive Systems Inc.</v>
      </c>
      <c r="E106" s="3" t="s">
        <v>505</v>
      </c>
      <c r="F106" s="5">
        <v>1</v>
      </c>
      <c r="G106" s="26">
        <v>15215</v>
      </c>
      <c r="H106" s="26">
        <v>15531</v>
      </c>
      <c r="I106" s="26">
        <v>15692</v>
      </c>
      <c r="J106" s="26">
        <v>17759</v>
      </c>
      <c r="K106" s="26">
        <v>19909</v>
      </c>
      <c r="L106" s="26">
        <v>18167</v>
      </c>
      <c r="M106" s="26">
        <v>15008</v>
      </c>
      <c r="N106" s="26">
        <v>13757</v>
      </c>
      <c r="O106" s="26">
        <v>13161</v>
      </c>
      <c r="P106" s="26">
        <v>13870</v>
      </c>
      <c r="Q106" s="26">
        <v>12999</v>
      </c>
      <c r="R106" s="26">
        <v>13560</v>
      </c>
      <c r="S106" s="26">
        <v>13804</v>
      </c>
      <c r="T106" s="26">
        <v>15282</v>
      </c>
      <c r="U106" s="26">
        <v>13496</v>
      </c>
      <c r="V106" s="26">
        <v>14342</v>
      </c>
      <c r="W106" s="26">
        <v>14345</v>
      </c>
      <c r="X106" s="7">
        <v>2.6035808456106091E-2</v>
      </c>
      <c r="Y106" s="10">
        <v>8.9316200916524924E-3</v>
      </c>
      <c r="Z106" s="10">
        <v>1.392896583662862E-2</v>
      </c>
      <c r="AA106" s="10">
        <v>9.5038999367578203E-3</v>
      </c>
    </row>
    <row r="107" spans="2:27" x14ac:dyDescent="0.3">
      <c r="B107" s="12">
        <v>2784</v>
      </c>
      <c r="C107" s="3" t="s">
        <v>545</v>
      </c>
      <c r="D107" s="3" t="str">
        <f>VLOOKUP(B107,기업리스트!B:G,2,FALSE)</f>
        <v>Alfresa Holdings Corporation</v>
      </c>
      <c r="E107" s="3" t="s">
        <v>505</v>
      </c>
      <c r="F107" s="5">
        <v>0.9</v>
      </c>
      <c r="G107" s="26">
        <v>676690</v>
      </c>
      <c r="H107" s="26">
        <v>620247</v>
      </c>
      <c r="I107" s="26">
        <v>657122</v>
      </c>
      <c r="J107" s="26">
        <v>675297</v>
      </c>
      <c r="K107" s="26">
        <v>715516</v>
      </c>
      <c r="L107" s="26">
        <v>648134</v>
      </c>
      <c r="M107" s="26">
        <v>709056</v>
      </c>
      <c r="N107" s="26">
        <v>718800</v>
      </c>
      <c r="O107" s="26">
        <v>751947</v>
      </c>
      <c r="P107" s="26">
        <v>678697</v>
      </c>
      <c r="Q107" s="26">
        <v>722365</v>
      </c>
      <c r="R107" s="26">
        <v>733990</v>
      </c>
      <c r="S107" s="26">
        <v>805969</v>
      </c>
      <c r="T107" s="26">
        <v>698727</v>
      </c>
      <c r="U107" s="26">
        <v>758118</v>
      </c>
      <c r="V107" s="26">
        <v>771644</v>
      </c>
      <c r="W107" s="26">
        <v>833324</v>
      </c>
      <c r="X107" s="7">
        <v>6.8105600062018379E-3</v>
      </c>
      <c r="Y107" s="10">
        <v>1.2074428978089189E-2</v>
      </c>
      <c r="Z107" s="10">
        <v>1.256471894725175E-2</v>
      </c>
      <c r="AA107" s="10">
        <v>9.0147894615777435E-3</v>
      </c>
    </row>
    <row r="108" spans="2:27" x14ac:dyDescent="0.3">
      <c r="B108" s="12">
        <v>2201</v>
      </c>
      <c r="C108" s="3" t="s">
        <v>545</v>
      </c>
      <c r="D108" s="3" t="str">
        <f>VLOOKUP(B108,기업리스트!B:G,2,FALSE)</f>
        <v>Morinaga&amp;Co., Ltd.</v>
      </c>
      <c r="E108" s="3" t="s">
        <v>505</v>
      </c>
      <c r="F108" s="5">
        <v>0.9</v>
      </c>
      <c r="G108" s="26">
        <v>45241</v>
      </c>
      <c r="H108" s="26">
        <v>42588</v>
      </c>
      <c r="I108" s="26">
        <v>46803</v>
      </c>
      <c r="J108" s="26">
        <v>51631</v>
      </c>
      <c r="K108" s="26">
        <v>49435</v>
      </c>
      <c r="L108" s="26">
        <v>46504</v>
      </c>
      <c r="M108" s="26">
        <v>51092</v>
      </c>
      <c r="N108" s="26">
        <v>58516</v>
      </c>
      <c r="O108" s="26">
        <v>54189</v>
      </c>
      <c r="P108" s="26">
        <v>49571</v>
      </c>
      <c r="Q108" s="26">
        <v>56928</v>
      </c>
      <c r="R108" s="26">
        <v>61917</v>
      </c>
      <c r="S108" s="26">
        <v>57739</v>
      </c>
      <c r="T108" s="26">
        <v>52373</v>
      </c>
      <c r="U108" s="26">
        <v>60253</v>
      </c>
      <c r="V108" s="26">
        <v>61616</v>
      </c>
      <c r="W108" s="26">
        <v>59765</v>
      </c>
      <c r="X108" s="7">
        <v>1.2389732705445409E-2</v>
      </c>
      <c r="Y108" s="10">
        <v>1.452237756434616E-2</v>
      </c>
      <c r="Z108" s="10">
        <v>-1.2958386788473051E-3</v>
      </c>
      <c r="AA108" s="10">
        <v>8.7334738620834518E-3</v>
      </c>
    </row>
    <row r="109" spans="2:27" x14ac:dyDescent="0.3">
      <c r="B109" s="12">
        <v>4911</v>
      </c>
      <c r="C109" s="3" t="s">
        <v>545</v>
      </c>
      <c r="D109" s="3" t="str">
        <f>VLOOKUP(B109,기업리스트!B:G,2,FALSE)</f>
        <v>Shiseido Company, Limited</v>
      </c>
      <c r="E109" s="3" t="s">
        <v>496</v>
      </c>
      <c r="F109" s="5">
        <v>0.9</v>
      </c>
      <c r="G109" s="26">
        <v>289792</v>
      </c>
      <c r="H109" s="26">
        <v>234023</v>
      </c>
      <c r="I109" s="26">
        <v>259376</v>
      </c>
      <c r="J109" s="26">
        <v>269343</v>
      </c>
      <c r="K109" s="26">
        <v>304612</v>
      </c>
      <c r="L109" s="26">
        <v>240009</v>
      </c>
      <c r="M109" s="26">
        <v>254179</v>
      </c>
      <c r="N109" s="26">
        <v>228228</v>
      </c>
      <c r="O109" s="26">
        <v>250621</v>
      </c>
      <c r="P109" s="26">
        <v>249453</v>
      </c>
      <c r="Q109" s="26">
        <v>259083</v>
      </c>
      <c r="R109" s="26">
        <v>214218</v>
      </c>
      <c r="S109" s="26">
        <v>267832</v>
      </c>
      <c r="T109" s="26">
        <v>228241</v>
      </c>
      <c r="U109" s="26">
        <v>241590</v>
      </c>
      <c r="V109" s="26">
        <v>223986</v>
      </c>
      <c r="W109" s="26">
        <v>276175</v>
      </c>
      <c r="X109" s="7">
        <v>-2.1413587512845941E-2</v>
      </c>
      <c r="Y109" s="10">
        <v>-1.8045666584826869E-2</v>
      </c>
      <c r="Z109" s="10">
        <v>1.0261786925046311E-2</v>
      </c>
      <c r="AA109" s="10">
        <v>8.6757226389253539E-3</v>
      </c>
    </row>
    <row r="110" spans="2:27" x14ac:dyDescent="0.3">
      <c r="B110" s="12">
        <v>8088</v>
      </c>
      <c r="C110" s="3" t="s">
        <v>545</v>
      </c>
      <c r="D110" s="3" t="str">
        <f>VLOOKUP(B110,기업리스트!B:G,2,FALSE)</f>
        <v>Iwatani Corporation</v>
      </c>
      <c r="E110" s="3" t="s">
        <v>505</v>
      </c>
      <c r="F110" s="5">
        <v>0.9</v>
      </c>
      <c r="G110" s="26">
        <v>182419</v>
      </c>
      <c r="H110" s="26">
        <v>210968</v>
      </c>
      <c r="I110" s="26">
        <v>203803</v>
      </c>
      <c r="J110" s="26">
        <v>209415</v>
      </c>
      <c r="K110" s="26">
        <v>242570</v>
      </c>
      <c r="L110" s="26">
        <v>250473</v>
      </c>
      <c r="M110" s="26">
        <v>201909</v>
      </c>
      <c r="N110" s="26">
        <v>192302</v>
      </c>
      <c r="O110" s="26">
        <v>223302</v>
      </c>
      <c r="P110" s="26">
        <v>230375</v>
      </c>
      <c r="Q110" s="26">
        <v>197519</v>
      </c>
      <c r="R110" s="26">
        <v>202485</v>
      </c>
      <c r="S110" s="26">
        <v>224370</v>
      </c>
      <c r="T110" s="26">
        <v>258637</v>
      </c>
      <c r="U110" s="26">
        <v>206353</v>
      </c>
      <c r="V110" s="26">
        <v>202775</v>
      </c>
      <c r="W110" s="26">
        <v>232002</v>
      </c>
      <c r="X110" s="7">
        <v>3.3064677466718262E-2</v>
      </c>
      <c r="Y110" s="10">
        <v>1.000440538113345E-2</v>
      </c>
      <c r="Z110" s="10">
        <v>3.2516861113762729E-4</v>
      </c>
      <c r="AA110" s="10">
        <v>8.5547590891512648E-3</v>
      </c>
    </row>
    <row r="111" spans="2:27" x14ac:dyDescent="0.3">
      <c r="B111" s="12">
        <v>4628</v>
      </c>
      <c r="C111" s="3" t="s">
        <v>545</v>
      </c>
      <c r="D111" s="3" t="str">
        <f>VLOOKUP(B111,기업리스트!B:G,2,FALSE)</f>
        <v>Sk Kaken Co.,Ltd.</v>
      </c>
      <c r="E111" s="3" t="s">
        <v>494</v>
      </c>
      <c r="F111" s="5">
        <v>0.8</v>
      </c>
      <c r="G111" s="26">
        <v>21265</v>
      </c>
      <c r="H111" s="26">
        <v>25343</v>
      </c>
      <c r="I111" s="26">
        <v>20761</v>
      </c>
      <c r="J111" s="26">
        <v>22388</v>
      </c>
      <c r="K111" s="26">
        <v>23141</v>
      </c>
      <c r="L111" s="26">
        <v>26636</v>
      </c>
      <c r="M111" s="26">
        <v>23415</v>
      </c>
      <c r="N111" s="26">
        <v>24560</v>
      </c>
      <c r="O111" s="26">
        <v>24440</v>
      </c>
      <c r="P111" s="26">
        <v>28872</v>
      </c>
      <c r="Q111" s="26">
        <v>23011</v>
      </c>
      <c r="R111" s="26">
        <v>26249</v>
      </c>
      <c r="S111" s="26">
        <v>25867</v>
      </c>
      <c r="T111" s="26">
        <v>29841</v>
      </c>
      <c r="U111" s="26">
        <v>24185</v>
      </c>
      <c r="V111" s="26">
        <v>26208</v>
      </c>
      <c r="W111" s="26">
        <v>26755</v>
      </c>
      <c r="X111" s="7">
        <v>9.3173972826661178E-3</v>
      </c>
      <c r="Y111" s="10">
        <v>1.118436094809838E-2</v>
      </c>
      <c r="Z111" s="10">
        <v>-3.8627499010757132E-4</v>
      </c>
      <c r="AA111" s="10">
        <v>8.3693838889360439E-3</v>
      </c>
    </row>
    <row r="112" spans="2:27" x14ac:dyDescent="0.3">
      <c r="B112" s="12">
        <v>2733</v>
      </c>
      <c r="C112" s="3" t="s">
        <v>545</v>
      </c>
      <c r="D112" s="3" t="str">
        <f>VLOOKUP(B112,기업리스트!B:G,2,FALSE)</f>
        <v>Arata Corporation</v>
      </c>
      <c r="E112" s="3" t="s">
        <v>494</v>
      </c>
      <c r="F112" s="5">
        <v>0.6</v>
      </c>
      <c r="G112" s="26">
        <v>215653</v>
      </c>
      <c r="H112" s="26">
        <v>223387</v>
      </c>
      <c r="I112" s="26">
        <v>204207</v>
      </c>
      <c r="J112" s="26">
        <v>220051</v>
      </c>
      <c r="K112" s="26">
        <v>225169</v>
      </c>
      <c r="L112" s="26">
        <v>233776</v>
      </c>
      <c r="M112" s="26">
        <v>212604</v>
      </c>
      <c r="N112" s="26">
        <v>235239</v>
      </c>
      <c r="O112" s="26">
        <v>236149</v>
      </c>
      <c r="P112" s="26">
        <v>247731</v>
      </c>
      <c r="Q112" s="26">
        <v>225030</v>
      </c>
      <c r="R112" s="26">
        <v>245604</v>
      </c>
      <c r="S112" s="26">
        <v>245918</v>
      </c>
      <c r="T112" s="26">
        <v>262978</v>
      </c>
      <c r="U112" s="26">
        <v>231712</v>
      </c>
      <c r="V112" s="26">
        <v>251192</v>
      </c>
      <c r="W112" s="26">
        <v>252107</v>
      </c>
      <c r="X112" s="7">
        <v>1.5811748210846851E-2</v>
      </c>
      <c r="Y112" s="10">
        <v>6.8216389492921081E-3</v>
      </c>
      <c r="Z112" s="10">
        <v>5.666124524950078E-3</v>
      </c>
      <c r="AA112" s="10">
        <v>6.2401693889897469E-3</v>
      </c>
    </row>
    <row r="113" spans="2:27" x14ac:dyDescent="0.3">
      <c r="B113" s="12">
        <v>3291</v>
      </c>
      <c r="C113" s="3" t="s">
        <v>545</v>
      </c>
      <c r="D113" s="3" t="str">
        <f>VLOOKUP(B113,기업리스트!B:G,2,FALSE)</f>
        <v>Iida Group Holdings Co., Ltd.</v>
      </c>
      <c r="E113" s="3" t="s">
        <v>505</v>
      </c>
      <c r="F113" s="5">
        <v>0.6</v>
      </c>
      <c r="G113" s="26">
        <v>343453</v>
      </c>
      <c r="H113" s="26">
        <v>360573</v>
      </c>
      <c r="I113" s="26">
        <v>325372</v>
      </c>
      <c r="J113" s="26">
        <v>352755</v>
      </c>
      <c r="K113" s="26">
        <v>341770</v>
      </c>
      <c r="L113" s="26">
        <v>419868</v>
      </c>
      <c r="M113" s="26">
        <v>316935</v>
      </c>
      <c r="N113" s="26">
        <v>354755</v>
      </c>
      <c r="O113" s="26">
        <v>346104</v>
      </c>
      <c r="P113" s="26">
        <v>421386</v>
      </c>
      <c r="Q113" s="26">
        <v>327544</v>
      </c>
      <c r="R113" s="26">
        <v>359575</v>
      </c>
      <c r="S113" s="26">
        <v>362782</v>
      </c>
      <c r="T113" s="26">
        <v>409738</v>
      </c>
      <c r="U113" s="26">
        <v>326061</v>
      </c>
      <c r="V113" s="26">
        <v>358966</v>
      </c>
      <c r="W113" s="26">
        <v>371656</v>
      </c>
      <c r="X113" s="7">
        <v>-7.9168782161468387E-3</v>
      </c>
      <c r="Y113" s="10">
        <v>-1.016004642243717E-3</v>
      </c>
      <c r="Z113" s="10">
        <v>-4.1765078633559938E-4</v>
      </c>
      <c r="AA113" s="10">
        <v>6.0883113889294016E-3</v>
      </c>
    </row>
    <row r="114" spans="2:27" x14ac:dyDescent="0.3">
      <c r="B114" s="12">
        <v>9005</v>
      </c>
      <c r="C114" s="3" t="s">
        <v>545</v>
      </c>
      <c r="D114" s="3" t="str">
        <f>VLOOKUP(B114,기업리스트!B:G,2,FALSE)</f>
        <v>Tokyu Corporation</v>
      </c>
      <c r="E114" s="3" t="s">
        <v>505</v>
      </c>
      <c r="F114" s="5">
        <v>0.5</v>
      </c>
      <c r="G114" s="26">
        <v>211439</v>
      </c>
      <c r="H114" s="26">
        <v>224621</v>
      </c>
      <c r="I114" s="26">
        <v>209182</v>
      </c>
      <c r="J114" s="26">
        <v>225511</v>
      </c>
      <c r="K114" s="26">
        <v>235812</v>
      </c>
      <c r="L114" s="26">
        <v>260788</v>
      </c>
      <c r="M114" s="26">
        <v>239259</v>
      </c>
      <c r="N114" s="26">
        <v>244209</v>
      </c>
      <c r="O114" s="26">
        <v>245433</v>
      </c>
      <c r="P114" s="26">
        <v>308918</v>
      </c>
      <c r="Q114" s="26">
        <v>273080</v>
      </c>
      <c r="R114" s="26">
        <v>252154</v>
      </c>
      <c r="S114" s="26">
        <v>260530</v>
      </c>
      <c r="T114" s="26">
        <v>269251</v>
      </c>
      <c r="U114" s="26">
        <v>261358</v>
      </c>
      <c r="V114" s="26">
        <v>257628</v>
      </c>
      <c r="W114" s="26">
        <v>265700</v>
      </c>
      <c r="X114" s="7">
        <v>-3.6236094135100427E-2</v>
      </c>
      <c r="Y114" s="10">
        <v>-1.1110742501291401E-2</v>
      </c>
      <c r="Z114" s="10">
        <v>5.2468482008409811E-3</v>
      </c>
      <c r="AA114" s="10">
        <v>4.9295982806476513E-3</v>
      </c>
    </row>
    <row r="115" spans="2:27" x14ac:dyDescent="0.3">
      <c r="B115" s="12">
        <v>8117</v>
      </c>
      <c r="C115" s="3" t="s">
        <v>545</v>
      </c>
      <c r="D115" s="3" t="str">
        <f>VLOOKUP(B115,기업리스트!B:G,2,FALSE)</f>
        <v>Central Automotive Products Ltd.</v>
      </c>
      <c r="E115" s="3" t="s">
        <v>494</v>
      </c>
      <c r="F115" s="5">
        <v>0.5</v>
      </c>
      <c r="G115" s="26">
        <v>7293</v>
      </c>
      <c r="H115" s="26">
        <v>7796</v>
      </c>
      <c r="I115" s="26">
        <v>8518</v>
      </c>
      <c r="J115" s="26">
        <v>7224</v>
      </c>
      <c r="K115" s="26">
        <v>8932</v>
      </c>
      <c r="L115" s="26">
        <v>9754</v>
      </c>
      <c r="M115" s="26">
        <v>9968</v>
      </c>
      <c r="N115" s="26">
        <v>8927</v>
      </c>
      <c r="O115" s="26">
        <v>10325</v>
      </c>
      <c r="P115" s="26">
        <v>10243</v>
      </c>
      <c r="Q115" s="26">
        <v>9836</v>
      </c>
      <c r="R115" s="26">
        <v>8993</v>
      </c>
      <c r="S115" s="26">
        <v>10446</v>
      </c>
      <c r="T115" s="26">
        <v>10923</v>
      </c>
      <c r="U115" s="26">
        <v>11196</v>
      </c>
      <c r="V115" s="26">
        <v>9795</v>
      </c>
      <c r="W115" s="26">
        <v>10654</v>
      </c>
      <c r="X115" s="7">
        <v>1.720734855002792E-2</v>
      </c>
      <c r="Y115" s="10">
        <v>3.3832528981541321E-2</v>
      </c>
      <c r="Z115" s="10">
        <v>1.929833004475667E-2</v>
      </c>
      <c r="AA115" s="10">
        <v>4.9102927289896847E-3</v>
      </c>
    </row>
    <row r="116" spans="2:27" x14ac:dyDescent="0.3">
      <c r="B116" s="12">
        <v>5331</v>
      </c>
      <c r="C116" s="3" t="s">
        <v>545</v>
      </c>
      <c r="D116" s="3" t="str">
        <f>VLOOKUP(B116,기업리스트!B:G,2,FALSE)</f>
        <v>Noritake Co., Limited</v>
      </c>
      <c r="E116" s="3" t="s">
        <v>505</v>
      </c>
      <c r="F116" s="5">
        <v>0.5</v>
      </c>
      <c r="G116" s="26">
        <v>32428</v>
      </c>
      <c r="H116" s="26">
        <v>33754</v>
      </c>
      <c r="I116" s="26">
        <v>32217</v>
      </c>
      <c r="J116" s="26">
        <v>35584</v>
      </c>
      <c r="K116" s="26">
        <v>36134</v>
      </c>
      <c r="L116" s="26">
        <v>35559</v>
      </c>
      <c r="M116" s="26">
        <v>33463</v>
      </c>
      <c r="N116" s="26">
        <v>34096</v>
      </c>
      <c r="O116" s="26">
        <v>36336</v>
      </c>
      <c r="P116" s="26">
        <v>34017</v>
      </c>
      <c r="Q116" s="26">
        <v>34812</v>
      </c>
      <c r="R116" s="26">
        <v>34977</v>
      </c>
      <c r="S116" s="26">
        <v>35208</v>
      </c>
      <c r="T116" s="26">
        <v>33185</v>
      </c>
      <c r="U116" s="26">
        <v>33443</v>
      </c>
      <c r="V116" s="26">
        <v>34871</v>
      </c>
      <c r="W116" s="26">
        <v>35876</v>
      </c>
      <c r="X116" s="7">
        <v>-5.9850087041593003E-3</v>
      </c>
      <c r="Y116" s="10">
        <v>-9.9072238062845042E-3</v>
      </c>
      <c r="Z116" s="10">
        <v>-7.747801743985816E-4</v>
      </c>
      <c r="AA116" s="10">
        <v>4.8863628051234453E-3</v>
      </c>
    </row>
    <row r="117" spans="2:27" x14ac:dyDescent="0.3">
      <c r="B117" s="12">
        <v>5232</v>
      </c>
      <c r="C117" s="3" t="s">
        <v>545</v>
      </c>
      <c r="D117" s="3" t="str">
        <f>VLOOKUP(B117,기업리스트!B:G,2,FALSE)</f>
        <v>Sumitomo Osaka Cement Co., Ltd.</v>
      </c>
      <c r="E117" s="3" t="s">
        <v>505</v>
      </c>
      <c r="F117" s="5">
        <v>0.5</v>
      </c>
      <c r="G117" s="26">
        <v>47894</v>
      </c>
      <c r="H117" s="26">
        <v>47221</v>
      </c>
      <c r="I117" s="26">
        <v>45500</v>
      </c>
      <c r="J117" s="26">
        <v>50173</v>
      </c>
      <c r="K117" s="26">
        <v>54826</v>
      </c>
      <c r="L117" s="26">
        <v>54206</v>
      </c>
      <c r="M117" s="26">
        <v>52766</v>
      </c>
      <c r="N117" s="26">
        <v>57020</v>
      </c>
      <c r="O117" s="26">
        <v>57693</v>
      </c>
      <c r="P117" s="26">
        <v>55023</v>
      </c>
      <c r="Q117" s="26">
        <v>53225</v>
      </c>
      <c r="R117" s="26">
        <v>55388</v>
      </c>
      <c r="S117" s="26">
        <v>57554</v>
      </c>
      <c r="T117" s="26">
        <v>53298</v>
      </c>
      <c r="U117" s="26">
        <v>51536</v>
      </c>
      <c r="V117" s="26">
        <v>54236</v>
      </c>
      <c r="W117" s="26">
        <v>58574</v>
      </c>
      <c r="X117" s="7">
        <v>-7.7987250779872896E-3</v>
      </c>
      <c r="Y117" s="10">
        <v>-7.695987970746998E-3</v>
      </c>
      <c r="Z117" s="10">
        <v>-5.2898391007273338E-3</v>
      </c>
      <c r="AA117" s="10">
        <v>4.7086195435408476E-3</v>
      </c>
    </row>
    <row r="118" spans="2:27" x14ac:dyDescent="0.3">
      <c r="B118" s="12">
        <v>9076</v>
      </c>
      <c r="C118" s="3" t="s">
        <v>545</v>
      </c>
      <c r="D118" s="3" t="str">
        <f>VLOOKUP(B118,기업리스트!B:G,2,FALSE)</f>
        <v>Seino Holdings Co., Ltd.</v>
      </c>
      <c r="E118" s="3" t="s">
        <v>505</v>
      </c>
      <c r="F118" s="5">
        <v>0.3</v>
      </c>
      <c r="G118" s="26">
        <v>158671</v>
      </c>
      <c r="H118" s="26">
        <v>154032</v>
      </c>
      <c r="I118" s="26">
        <v>152529</v>
      </c>
      <c r="J118" s="26">
        <v>153837</v>
      </c>
      <c r="K118" s="26">
        <v>166448</v>
      </c>
      <c r="L118" s="26">
        <v>158693</v>
      </c>
      <c r="M118" s="26">
        <v>159242</v>
      </c>
      <c r="N118" s="26">
        <v>156268</v>
      </c>
      <c r="O118" s="26">
        <v>171257</v>
      </c>
      <c r="P118" s="26">
        <v>156044</v>
      </c>
      <c r="Q118" s="26">
        <v>164632</v>
      </c>
      <c r="R118" s="26">
        <v>166972</v>
      </c>
      <c r="S118" s="26">
        <v>210080</v>
      </c>
      <c r="T118" s="26">
        <v>195693</v>
      </c>
      <c r="U118" s="26">
        <v>199571</v>
      </c>
      <c r="V118" s="26">
        <v>198988</v>
      </c>
      <c r="W118" s="26">
        <v>212868</v>
      </c>
      <c r="X118" s="7">
        <v>5.6825869106585943E-2</v>
      </c>
      <c r="Y118" s="10">
        <v>4.7382817744518801E-2</v>
      </c>
      <c r="Z118" s="10">
        <v>4.1454534154413469E-2</v>
      </c>
      <c r="AA118" s="10">
        <v>3.4662303625865309E-3</v>
      </c>
    </row>
    <row r="119" spans="2:27" x14ac:dyDescent="0.3">
      <c r="B119" s="12">
        <v>5901</v>
      </c>
      <c r="C119" s="3" t="s">
        <v>545</v>
      </c>
      <c r="D119" s="3" t="str">
        <f>VLOOKUP(B119,기업리스트!B:G,2,FALSE)</f>
        <v>Toyo Seikan Group Holdings, Ltd.</v>
      </c>
      <c r="E119" s="3" t="s">
        <v>505</v>
      </c>
      <c r="F119" s="5">
        <v>0.3</v>
      </c>
      <c r="G119" s="26">
        <v>205624</v>
      </c>
      <c r="H119" s="26">
        <v>206365</v>
      </c>
      <c r="I119" s="26">
        <v>225595</v>
      </c>
      <c r="J119" s="26">
        <v>225222</v>
      </c>
      <c r="K119" s="26">
        <v>225649</v>
      </c>
      <c r="L119" s="26">
        <v>229559</v>
      </c>
      <c r="M119" s="26">
        <v>235349</v>
      </c>
      <c r="N119" s="26">
        <v>236612</v>
      </c>
      <c r="O119" s="26">
        <v>241750</v>
      </c>
      <c r="P119" s="26">
        <v>236952</v>
      </c>
      <c r="Q119" s="26">
        <v>229867</v>
      </c>
      <c r="R119" s="26">
        <v>234458</v>
      </c>
      <c r="S119" s="26">
        <v>234358</v>
      </c>
      <c r="T119" s="26">
        <v>223833</v>
      </c>
      <c r="U119" s="26">
        <v>240137</v>
      </c>
      <c r="V119" s="26">
        <v>244166</v>
      </c>
      <c r="W119" s="26">
        <v>237223</v>
      </c>
      <c r="X119" s="7">
        <v>-1.4021493424251959E-2</v>
      </c>
      <c r="Y119" s="10">
        <v>1.113259824219859E-2</v>
      </c>
      <c r="Z119" s="10">
        <v>1.040753184546084E-2</v>
      </c>
      <c r="AA119" s="10">
        <v>3.03980714996599E-3</v>
      </c>
    </row>
    <row r="120" spans="2:27" x14ac:dyDescent="0.3">
      <c r="B120" s="12">
        <v>2267</v>
      </c>
      <c r="C120" s="3" t="s">
        <v>545</v>
      </c>
      <c r="D120" s="3" t="str">
        <f>VLOOKUP(B120,기업리스트!B:G,2,FALSE)</f>
        <v>Yakult Honsha Co.,Ltd.</v>
      </c>
      <c r="E120" s="3" t="s">
        <v>505</v>
      </c>
      <c r="F120" s="5">
        <v>-0.1</v>
      </c>
      <c r="G120" s="26">
        <v>113543</v>
      </c>
      <c r="H120" s="26">
        <v>98577</v>
      </c>
      <c r="I120" s="26">
        <v>107983</v>
      </c>
      <c r="J120" s="26">
        <v>124802</v>
      </c>
      <c r="K120" s="26">
        <v>135083</v>
      </c>
      <c r="L120" s="26">
        <v>115203</v>
      </c>
      <c r="M120" s="26">
        <v>122115</v>
      </c>
      <c r="N120" s="26">
        <v>130714</v>
      </c>
      <c r="O120" s="26">
        <v>134892</v>
      </c>
      <c r="P120" s="26">
        <v>115358</v>
      </c>
      <c r="Q120" s="26">
        <v>122644</v>
      </c>
      <c r="R120" s="26">
        <v>132449</v>
      </c>
      <c r="S120" s="26">
        <v>131171</v>
      </c>
      <c r="T120" s="26">
        <v>113419</v>
      </c>
      <c r="U120" s="26">
        <v>116586</v>
      </c>
      <c r="V120" s="26">
        <v>124588</v>
      </c>
      <c r="W120" s="26">
        <v>130604</v>
      </c>
      <c r="X120" s="7">
        <v>-3.8654604463121971E-3</v>
      </c>
      <c r="Y120" s="10">
        <v>-1.212368641718853E-2</v>
      </c>
      <c r="Z120" s="10">
        <v>-1.5925044315016509E-2</v>
      </c>
      <c r="AA120" s="10">
        <v>-1.167233471397688E-3</v>
      </c>
    </row>
    <row r="121" spans="2:27" x14ac:dyDescent="0.3">
      <c r="B121" s="12">
        <v>7309</v>
      </c>
      <c r="C121" s="3" t="s">
        <v>545</v>
      </c>
      <c r="D121" s="3" t="str">
        <f>VLOOKUP(B121,기업리스트!B:G,2,FALSE)</f>
        <v>Shimano Inc.</v>
      </c>
      <c r="E121" s="3" t="s">
        <v>496</v>
      </c>
      <c r="F121" s="5">
        <v>-0.2</v>
      </c>
      <c r="G121" s="26">
        <v>151328</v>
      </c>
      <c r="H121" s="26">
        <v>144047</v>
      </c>
      <c r="I121" s="26">
        <v>159639</v>
      </c>
      <c r="J121" s="26">
        <v>163979</v>
      </c>
      <c r="K121" s="26">
        <v>161244</v>
      </c>
      <c r="L121" s="26">
        <v>126071</v>
      </c>
      <c r="M121" s="26">
        <v>137179</v>
      </c>
      <c r="N121" s="26">
        <v>112014</v>
      </c>
      <c r="O121" s="26">
        <v>99098</v>
      </c>
      <c r="P121" s="26">
        <v>100557</v>
      </c>
      <c r="Q121" s="26">
        <v>116330</v>
      </c>
      <c r="R121" s="26">
        <v>117992</v>
      </c>
      <c r="S121" s="26">
        <v>116114</v>
      </c>
      <c r="T121" s="26">
        <v>113539</v>
      </c>
      <c r="U121" s="26">
        <v>123870</v>
      </c>
      <c r="V121" s="26">
        <v>113611</v>
      </c>
      <c r="W121" s="26">
        <v>115223</v>
      </c>
      <c r="X121" s="7">
        <v>2.878536917424435E-2</v>
      </c>
      <c r="Y121" s="10">
        <v>1.625087558596916E-2</v>
      </c>
      <c r="Z121" s="10">
        <v>-9.2913268930998605E-3</v>
      </c>
      <c r="AA121" s="10">
        <v>-1.907375613849571E-3</v>
      </c>
    </row>
    <row r="122" spans="2:27" x14ac:dyDescent="0.3">
      <c r="B122" s="12">
        <v>6458</v>
      </c>
      <c r="C122" s="3" t="s">
        <v>545</v>
      </c>
      <c r="D122" s="3" t="str">
        <f>VLOOKUP(B122,기업리스트!B:G,2,FALSE)</f>
        <v>Sinko Industries Ltd.</v>
      </c>
      <c r="E122" s="3" t="s">
        <v>505</v>
      </c>
      <c r="F122" s="5">
        <v>-0.2</v>
      </c>
      <c r="G122" s="26">
        <v>10862</v>
      </c>
      <c r="H122" s="26">
        <v>13531</v>
      </c>
      <c r="I122" s="26">
        <v>7935</v>
      </c>
      <c r="J122" s="26">
        <v>9975</v>
      </c>
      <c r="K122" s="26">
        <v>12646</v>
      </c>
      <c r="L122" s="26">
        <v>14249</v>
      </c>
      <c r="M122" s="26">
        <v>9879</v>
      </c>
      <c r="N122" s="26">
        <v>12411</v>
      </c>
      <c r="O122" s="26">
        <v>13996</v>
      </c>
      <c r="P122" s="26">
        <v>15657</v>
      </c>
      <c r="Q122" s="26">
        <v>11651</v>
      </c>
      <c r="R122" s="26">
        <v>12550</v>
      </c>
      <c r="S122" s="26">
        <v>14907</v>
      </c>
      <c r="T122" s="26">
        <v>17897</v>
      </c>
      <c r="U122" s="26">
        <v>12227</v>
      </c>
      <c r="V122" s="26">
        <v>13651</v>
      </c>
      <c r="W122" s="26">
        <v>14788</v>
      </c>
      <c r="X122" s="7">
        <v>4.0902035971879913E-2</v>
      </c>
      <c r="Y122" s="10">
        <v>1.010437680905185E-2</v>
      </c>
      <c r="Z122" s="10">
        <v>1.9120890571542759E-2</v>
      </c>
      <c r="AA122" s="10">
        <v>-2.0278790770593691E-3</v>
      </c>
    </row>
    <row r="123" spans="2:27" x14ac:dyDescent="0.3">
      <c r="B123" s="12">
        <v>5233</v>
      </c>
      <c r="C123" s="3" t="s">
        <v>545</v>
      </c>
      <c r="D123" s="3" t="str">
        <f>VLOOKUP(B123,기업리스트!B:G,2,FALSE)</f>
        <v>Taiheiyo Cement Corporation</v>
      </c>
      <c r="E123" s="3" t="s">
        <v>505</v>
      </c>
      <c r="F123" s="5">
        <v>-0.6</v>
      </c>
      <c r="G123" s="26">
        <v>188092</v>
      </c>
      <c r="H123" s="26">
        <v>180311</v>
      </c>
      <c r="I123" s="26">
        <v>176516</v>
      </c>
      <c r="J123" s="26">
        <v>199466</v>
      </c>
      <c r="K123" s="26">
        <v>224366</v>
      </c>
      <c r="L123" s="26">
        <v>209194</v>
      </c>
      <c r="M123" s="26">
        <v>193534</v>
      </c>
      <c r="N123" s="26">
        <v>225020</v>
      </c>
      <c r="O123" s="26">
        <v>241620</v>
      </c>
      <c r="P123" s="26">
        <v>226101</v>
      </c>
      <c r="Q123" s="26">
        <v>208852</v>
      </c>
      <c r="R123" s="26">
        <v>234824</v>
      </c>
      <c r="S123" s="26">
        <v>238197</v>
      </c>
      <c r="T123" s="26">
        <v>214422</v>
      </c>
      <c r="U123" s="26">
        <v>211191</v>
      </c>
      <c r="V123" s="26">
        <v>226950</v>
      </c>
      <c r="W123" s="26">
        <v>233123</v>
      </c>
      <c r="X123" s="7">
        <v>-1.286270311704962E-2</v>
      </c>
      <c r="Y123" s="10">
        <v>2.6096318734345481E-3</v>
      </c>
      <c r="Z123" s="10">
        <v>-8.762187943033517E-3</v>
      </c>
      <c r="AA123" s="10">
        <v>-5.6962593740177434E-3</v>
      </c>
    </row>
    <row r="124" spans="2:27" x14ac:dyDescent="0.3">
      <c r="B124" s="12">
        <v>4118</v>
      </c>
      <c r="C124" s="3" t="s">
        <v>545</v>
      </c>
      <c r="D124" s="3" t="str">
        <f>VLOOKUP(B124,기업리스트!B:G,2,FALSE)</f>
        <v>Kaneka Corporation</v>
      </c>
      <c r="E124" s="3" t="s">
        <v>505</v>
      </c>
      <c r="F124" s="5">
        <v>-0.8</v>
      </c>
      <c r="G124" s="26">
        <v>178449</v>
      </c>
      <c r="H124" s="26">
        <v>182814</v>
      </c>
      <c r="I124" s="26">
        <v>192739</v>
      </c>
      <c r="J124" s="26">
        <v>187863</v>
      </c>
      <c r="K124" s="26">
        <v>186541</v>
      </c>
      <c r="L124" s="26">
        <v>188678</v>
      </c>
      <c r="M124" s="26">
        <v>182740</v>
      </c>
      <c r="N124" s="26">
        <v>187376</v>
      </c>
      <c r="O124" s="26">
        <v>194612</v>
      </c>
      <c r="P124" s="26">
        <v>197574</v>
      </c>
      <c r="Q124" s="26">
        <v>198382</v>
      </c>
      <c r="R124" s="26">
        <v>197581</v>
      </c>
      <c r="S124" s="26">
        <v>207085</v>
      </c>
      <c r="T124" s="26">
        <v>204152</v>
      </c>
      <c r="U124" s="26">
        <v>198682</v>
      </c>
      <c r="V124" s="26">
        <v>198746</v>
      </c>
      <c r="W124" s="26">
        <v>200850</v>
      </c>
      <c r="X124" s="7">
        <v>8.2161119729411425E-3</v>
      </c>
      <c r="Y124" s="10">
        <v>3.7165510406333979E-4</v>
      </c>
      <c r="Z124" s="10">
        <v>1.4427244582042591E-3</v>
      </c>
      <c r="AA124" s="10">
        <v>-7.710238479469278E-3</v>
      </c>
    </row>
    <row r="125" spans="2:27" x14ac:dyDescent="0.3">
      <c r="B125" s="12">
        <v>7267</v>
      </c>
      <c r="C125" s="3" t="s">
        <v>545</v>
      </c>
      <c r="D125" s="3" t="str">
        <f>VLOOKUP(B125,기업리스트!B:G,2,FALSE)</f>
        <v>Honda Motor Co., Ltd.</v>
      </c>
      <c r="E125" s="3" t="s">
        <v>505</v>
      </c>
      <c r="F125" s="5">
        <v>-0.9</v>
      </c>
      <c r="G125" s="26">
        <v>3688785</v>
      </c>
      <c r="H125" s="26">
        <v>3875683</v>
      </c>
      <c r="I125" s="26">
        <v>3829550</v>
      </c>
      <c r="J125" s="26">
        <v>4255754</v>
      </c>
      <c r="K125" s="26">
        <v>4438186</v>
      </c>
      <c r="L125" s="26">
        <v>4384235</v>
      </c>
      <c r="M125" s="26">
        <v>4624996</v>
      </c>
      <c r="N125" s="26">
        <v>4984396</v>
      </c>
      <c r="O125" s="26">
        <v>5390100</v>
      </c>
      <c r="P125" s="26">
        <v>5429310</v>
      </c>
      <c r="Q125" s="26">
        <v>5404858</v>
      </c>
      <c r="R125" s="26">
        <v>5392755</v>
      </c>
      <c r="S125" s="26">
        <v>5531112</v>
      </c>
      <c r="T125" s="26">
        <v>5360042</v>
      </c>
      <c r="U125" s="26">
        <v>5340268</v>
      </c>
      <c r="V125" s="26">
        <v>5292412</v>
      </c>
      <c r="W125" s="26">
        <v>5342984</v>
      </c>
      <c r="X125" s="7">
        <v>-3.1835595447842202E-3</v>
      </c>
      <c r="Y125" s="10">
        <v>-2.9780392771981972E-3</v>
      </c>
      <c r="Z125" s="10">
        <v>-4.640315328532485E-3</v>
      </c>
      <c r="AA125" s="10">
        <v>-8.7404502376295934E-3</v>
      </c>
    </row>
    <row r="126" spans="2:27" x14ac:dyDescent="0.3">
      <c r="B126" s="12">
        <v>4182</v>
      </c>
      <c r="C126" s="3" t="s">
        <v>545</v>
      </c>
      <c r="D126" s="3" t="str">
        <f>VLOOKUP(B126,기업리스트!B:G,2,FALSE)</f>
        <v>Mitsubishi Gas Chemical Company, Inc.</v>
      </c>
      <c r="E126" s="3" t="s">
        <v>505</v>
      </c>
      <c r="F126" s="5">
        <v>-1</v>
      </c>
      <c r="G126" s="26">
        <v>189416</v>
      </c>
      <c r="H126" s="26">
        <v>180359</v>
      </c>
      <c r="I126" s="26">
        <v>193982</v>
      </c>
      <c r="J126" s="26">
        <v>200927</v>
      </c>
      <c r="K126" s="26">
        <v>204413</v>
      </c>
      <c r="L126" s="26">
        <v>181889</v>
      </c>
      <c r="M126" s="26">
        <v>187008</v>
      </c>
      <c r="N126" s="26">
        <v>212644</v>
      </c>
      <c r="O126" s="26">
        <v>222087</v>
      </c>
      <c r="P126" s="26">
        <v>191678</v>
      </c>
      <c r="Q126" s="26">
        <v>188115</v>
      </c>
      <c r="R126" s="26">
        <v>200015</v>
      </c>
      <c r="S126" s="26">
        <v>195060</v>
      </c>
      <c r="T126" s="26">
        <v>190401</v>
      </c>
      <c r="U126" s="26">
        <v>177977</v>
      </c>
      <c r="V126" s="26">
        <v>183701</v>
      </c>
      <c r="W126" s="26">
        <v>187783</v>
      </c>
      <c r="X126" s="7">
        <v>-1.648022630951318E-3</v>
      </c>
      <c r="Y126" s="10">
        <v>-1.3105116269449881E-2</v>
      </c>
      <c r="Z126" s="10">
        <v>-2.136870246105527E-2</v>
      </c>
      <c r="AA126" s="10">
        <v>-9.7398208365511163E-3</v>
      </c>
    </row>
    <row r="127" spans="2:27" x14ac:dyDescent="0.3">
      <c r="B127" s="12">
        <v>1963</v>
      </c>
      <c r="C127" s="3" t="s">
        <v>545</v>
      </c>
      <c r="D127" s="3" t="str">
        <f>VLOOKUP(B127,기업리스트!B:G,2,FALSE)</f>
        <v>JGC Holdings Corporation</v>
      </c>
      <c r="E127" s="3" t="s">
        <v>505</v>
      </c>
      <c r="F127" s="5">
        <v>-1.4</v>
      </c>
      <c r="G127" s="26">
        <v>101534</v>
      </c>
      <c r="H127" s="26">
        <v>108959</v>
      </c>
      <c r="I127" s="26">
        <v>118190</v>
      </c>
      <c r="J127" s="26">
        <v>149019</v>
      </c>
      <c r="K127" s="27">
        <v>149409</v>
      </c>
      <c r="L127" s="27">
        <v>190272</v>
      </c>
      <c r="M127" s="27">
        <v>179860</v>
      </c>
      <c r="N127" s="27">
        <v>223401</v>
      </c>
      <c r="O127" s="26">
        <v>197808</v>
      </c>
      <c r="P127" s="26">
        <v>231526</v>
      </c>
      <c r="Q127" s="26">
        <v>204165</v>
      </c>
      <c r="R127" s="26">
        <v>202543</v>
      </c>
      <c r="S127" s="26">
        <v>197430</v>
      </c>
      <c r="T127" s="26">
        <v>253944</v>
      </c>
      <c r="U127" s="26">
        <v>189821</v>
      </c>
      <c r="V127" s="26">
        <v>191433</v>
      </c>
      <c r="W127" s="26">
        <v>185562</v>
      </c>
      <c r="X127" s="7">
        <v>2.682657144498268E-2</v>
      </c>
      <c r="Y127" s="10">
        <v>-1.6716351117958439E-2</v>
      </c>
      <c r="Z127" s="10">
        <v>-1.316759467986506E-2</v>
      </c>
      <c r="AA127" s="10">
        <v>-1.42536643014648E-2</v>
      </c>
    </row>
    <row r="128" spans="2:27" x14ac:dyDescent="0.3">
      <c r="B128" s="12">
        <v>1414</v>
      </c>
      <c r="C128" s="3" t="s">
        <v>545</v>
      </c>
      <c r="D128" s="3" t="str">
        <f>VLOOKUP(B128,기업리스트!B:G,2,FALSE)</f>
        <v>SHO-BOND Holdings Co.,Ltd.</v>
      </c>
      <c r="E128" s="3" t="s">
        <v>494</v>
      </c>
      <c r="F128" s="5">
        <v>-1.9</v>
      </c>
      <c r="G128" s="26">
        <v>20718</v>
      </c>
      <c r="H128" s="26">
        <v>22200</v>
      </c>
      <c r="I128" s="26">
        <v>19371</v>
      </c>
      <c r="J128" s="26">
        <v>18287</v>
      </c>
      <c r="K128" s="26">
        <v>20134</v>
      </c>
      <c r="L128" s="26">
        <v>22367</v>
      </c>
      <c r="M128" s="26">
        <v>23136</v>
      </c>
      <c r="N128" s="26">
        <v>20775</v>
      </c>
      <c r="O128" s="26">
        <v>21925</v>
      </c>
      <c r="P128" s="26">
        <v>22079</v>
      </c>
      <c r="Q128" s="26">
        <v>20640</v>
      </c>
      <c r="R128" s="26">
        <v>21571</v>
      </c>
      <c r="S128" s="26">
        <v>24010</v>
      </c>
      <c r="T128" s="26">
        <v>22334</v>
      </c>
      <c r="U128" s="26">
        <v>22797</v>
      </c>
      <c r="V128" s="26">
        <v>20556</v>
      </c>
      <c r="W128" s="26">
        <v>22308</v>
      </c>
      <c r="X128" s="7">
        <v>2.8878822197055949E-3</v>
      </c>
      <c r="Y128" s="10">
        <v>2.4357743775055059E-2</v>
      </c>
      <c r="Z128" s="10">
        <v>-1.118925831202044E-2</v>
      </c>
      <c r="AA128" s="10">
        <v>-1.897499358952914E-2</v>
      </c>
    </row>
    <row r="129" spans="2:27" x14ac:dyDescent="0.3">
      <c r="B129" s="12">
        <v>5019</v>
      </c>
      <c r="C129" s="3" t="s">
        <v>545</v>
      </c>
      <c r="D129" s="3" t="str">
        <f>VLOOKUP(B129,기업리스트!B:G,2,FALSE)</f>
        <v>Idemitsu Kosan Co.,Ltd.</v>
      </c>
      <c r="E129" s="3" t="s">
        <v>505</v>
      </c>
      <c r="F129" s="5">
        <v>-2.7</v>
      </c>
      <c r="G129" s="26">
        <v>1780177</v>
      </c>
      <c r="H129" s="26">
        <v>2039576</v>
      </c>
      <c r="I129" s="26">
        <v>2204695</v>
      </c>
      <c r="J129" s="26">
        <v>2609393</v>
      </c>
      <c r="K129" s="26">
        <v>2397206</v>
      </c>
      <c r="L129" s="26">
        <v>2244987</v>
      </c>
      <c r="M129" s="26">
        <v>1818922</v>
      </c>
      <c r="N129" s="26">
        <v>2205540</v>
      </c>
      <c r="O129" s="26">
        <v>2377802</v>
      </c>
      <c r="P129" s="26">
        <v>2316937</v>
      </c>
      <c r="Q129" s="26">
        <v>2260289</v>
      </c>
      <c r="R129" s="26">
        <v>2243736</v>
      </c>
      <c r="S129" s="26">
        <v>2372439</v>
      </c>
      <c r="T129" s="26">
        <v>2313761</v>
      </c>
      <c r="U129" s="26">
        <v>1843035</v>
      </c>
      <c r="V129" s="26">
        <v>1962618</v>
      </c>
      <c r="W129" s="26">
        <v>2138937</v>
      </c>
      <c r="X129" s="7">
        <v>-3.4546518747524679E-4</v>
      </c>
      <c r="Y129" s="10">
        <v>-4.54019352083328E-2</v>
      </c>
      <c r="Z129" s="10">
        <v>-3.2043648611171698E-2</v>
      </c>
      <c r="AA129" s="10">
        <v>-2.7497178766518911E-2</v>
      </c>
    </row>
    <row r="130" spans="2:27" x14ac:dyDescent="0.3">
      <c r="B130" s="12">
        <v>6728</v>
      </c>
      <c r="C130" s="3" t="s">
        <v>545</v>
      </c>
      <c r="D130" s="3" t="str">
        <f>VLOOKUP(B130,기업리스트!B:G,2,FALSE)</f>
        <v>ULVAC, Inc.</v>
      </c>
      <c r="E130" s="3" t="s">
        <v>527</v>
      </c>
      <c r="F130" s="5">
        <v>-3.3</v>
      </c>
      <c r="G130" s="26">
        <v>47419</v>
      </c>
      <c r="H130" s="26">
        <v>58260</v>
      </c>
      <c r="I130" s="26">
        <v>60418</v>
      </c>
      <c r="J130" s="26">
        <v>75163</v>
      </c>
      <c r="K130" s="26">
        <v>56182</v>
      </c>
      <c r="L130" s="26">
        <v>55178</v>
      </c>
      <c r="M130" s="26">
        <v>49599</v>
      </c>
      <c r="N130" s="26">
        <v>66569</v>
      </c>
      <c r="O130" s="26">
        <v>55038</v>
      </c>
      <c r="P130" s="26">
        <v>65186</v>
      </c>
      <c r="Q130" s="26">
        <v>64983</v>
      </c>
      <c r="R130" s="26">
        <v>75908</v>
      </c>
      <c r="S130" s="26">
        <v>61019</v>
      </c>
      <c r="T130" s="26">
        <v>73853</v>
      </c>
      <c r="U130" s="26">
        <v>52854</v>
      </c>
      <c r="V130" s="26">
        <v>63458</v>
      </c>
      <c r="W130" s="26">
        <v>52729</v>
      </c>
      <c r="X130" s="7">
        <v>3.2449007098571243E-2</v>
      </c>
      <c r="Y130" s="10">
        <v>-4.398342054590354E-2</v>
      </c>
      <c r="Z130" s="10">
        <v>-4.7224561323653269E-2</v>
      </c>
      <c r="AA130" s="10">
        <v>-3.300369450283458E-2</v>
      </c>
    </row>
    <row r="131" spans="2:27" x14ac:dyDescent="0.3">
      <c r="B131" s="12">
        <v>6016</v>
      </c>
      <c r="C131" s="3" t="s">
        <v>545</v>
      </c>
      <c r="D131" s="3" t="str">
        <f>VLOOKUP(B131,기업리스트!B:G,2,FALSE)</f>
        <v>Japan Engine Corporation</v>
      </c>
      <c r="E131" s="3" t="s">
        <v>505</v>
      </c>
      <c r="F131" s="5">
        <v>-4</v>
      </c>
      <c r="G131" s="26">
        <v>2103</v>
      </c>
      <c r="H131" s="26">
        <v>2586</v>
      </c>
      <c r="I131" s="26">
        <v>4226</v>
      </c>
      <c r="J131" s="26">
        <v>3840</v>
      </c>
      <c r="K131" s="27">
        <v>3660</v>
      </c>
      <c r="L131" s="26">
        <v>3522</v>
      </c>
      <c r="M131" s="26">
        <v>3888</v>
      </c>
      <c r="N131" s="26">
        <v>4053</v>
      </c>
      <c r="O131" s="27">
        <v>6521</v>
      </c>
      <c r="P131" s="27">
        <v>6507</v>
      </c>
      <c r="Q131" s="27">
        <v>7789</v>
      </c>
      <c r="R131" s="26">
        <v>6537</v>
      </c>
      <c r="S131" s="27">
        <v>9343</v>
      </c>
      <c r="T131" s="26">
        <v>5193</v>
      </c>
      <c r="U131" s="26">
        <v>8332</v>
      </c>
      <c r="V131" s="26">
        <v>6958</v>
      </c>
      <c r="W131" s="26">
        <v>8156</v>
      </c>
      <c r="X131" s="7">
        <v>-4.354453870625663E-2</v>
      </c>
      <c r="Y131" s="10">
        <v>1.881366502667858E-2</v>
      </c>
      <c r="Z131" s="10">
        <v>1.431729297738471E-2</v>
      </c>
      <c r="AA131" s="10">
        <v>-3.9797492120968281E-2</v>
      </c>
    </row>
    <row r="132" spans="2:27" x14ac:dyDescent="0.3">
      <c r="B132" s="12">
        <v>6753</v>
      </c>
      <c r="C132" s="3" t="s">
        <v>545</v>
      </c>
      <c r="D132" s="3" t="str">
        <f>VLOOKUP(B132,기업리스트!B:G,2,FALSE)</f>
        <v>Sharp Corporation</v>
      </c>
      <c r="E132" s="3" t="s">
        <v>505</v>
      </c>
      <c r="F132" s="5">
        <v>-4.7</v>
      </c>
      <c r="G132" s="26">
        <v>675832</v>
      </c>
      <c r="H132" s="26">
        <v>601544</v>
      </c>
      <c r="I132" s="26">
        <v>562174</v>
      </c>
      <c r="J132" s="26">
        <v>695822</v>
      </c>
      <c r="K132" s="26">
        <v>709091</v>
      </c>
      <c r="L132" s="26">
        <v>581030</v>
      </c>
      <c r="M132" s="26">
        <v>541220</v>
      </c>
      <c r="N132" s="26">
        <v>617059</v>
      </c>
      <c r="O132" s="26">
        <v>606439</v>
      </c>
      <c r="P132" s="26">
        <v>557203</v>
      </c>
      <c r="Q132" s="26">
        <v>531964</v>
      </c>
      <c r="R132" s="26">
        <v>564450</v>
      </c>
      <c r="S132" s="26">
        <v>561546</v>
      </c>
      <c r="T132" s="26">
        <v>502186</v>
      </c>
      <c r="U132" s="26">
        <v>472490</v>
      </c>
      <c r="V132" s="26">
        <v>477853</v>
      </c>
      <c r="W132" s="26">
        <v>467356</v>
      </c>
      <c r="X132" s="7">
        <v>-2.4836547017081819E-2</v>
      </c>
      <c r="Y132" s="10">
        <v>-2.7532398273079739E-2</v>
      </c>
      <c r="Z132" s="10">
        <v>-4.1223475154617217E-2</v>
      </c>
      <c r="AA132" s="10">
        <v>-4.6765885083723258E-2</v>
      </c>
    </row>
    <row r="133" spans="2:27" x14ac:dyDescent="0.3">
      <c r="B133" s="12">
        <v>6330</v>
      </c>
      <c r="C133" s="3" t="s">
        <v>545</v>
      </c>
      <c r="D133" s="3" t="str">
        <f>VLOOKUP(B133,기업리스트!B:G,2,FALSE)</f>
        <v>Toyo Engineering Corporation</v>
      </c>
      <c r="E133" s="3" t="s">
        <v>494</v>
      </c>
      <c r="F133" s="5">
        <v>-5.4</v>
      </c>
      <c r="G133" s="26">
        <v>43516</v>
      </c>
      <c r="H133" s="26">
        <v>42446</v>
      </c>
      <c r="I133" s="26">
        <v>63031</v>
      </c>
      <c r="J133" s="26">
        <v>46169</v>
      </c>
      <c r="K133" s="26">
        <v>50308</v>
      </c>
      <c r="L133" s="26">
        <v>45571</v>
      </c>
      <c r="M133" s="26">
        <v>50860</v>
      </c>
      <c r="N133" s="26">
        <v>54733</v>
      </c>
      <c r="O133" s="26">
        <v>62322</v>
      </c>
      <c r="P133" s="27">
        <v>72318</v>
      </c>
      <c r="Q133" s="26">
        <v>71452</v>
      </c>
      <c r="R133" s="26">
        <v>62847</v>
      </c>
      <c r="S133" s="26">
        <v>59024</v>
      </c>
      <c r="T133" s="26">
        <v>83718</v>
      </c>
      <c r="U133" s="26">
        <v>72502</v>
      </c>
      <c r="V133" s="26">
        <v>49348</v>
      </c>
      <c r="W133" s="26">
        <v>44674</v>
      </c>
      <c r="X133" s="7">
        <v>4.2915062057438343E-2</v>
      </c>
      <c r="Y133" s="10">
        <v>3.7900527358767371E-3</v>
      </c>
      <c r="Z133" s="10">
        <v>-4.8541664419200943E-2</v>
      </c>
      <c r="AA133" s="10">
        <v>-5.4234443974118703E-2</v>
      </c>
    </row>
    <row r="134" spans="2:27" x14ac:dyDescent="0.3">
      <c r="B134" s="19">
        <v>5842</v>
      </c>
      <c r="C134" s="14" t="s">
        <v>545</v>
      </c>
      <c r="D134" s="14" t="str">
        <f>VLOOKUP(B134,기업리스트!B:G,2,FALSE)</f>
        <v>Integral Corporation</v>
      </c>
      <c r="E134" s="14" t="s">
        <v>496</v>
      </c>
      <c r="F134" s="15">
        <v>-40.1</v>
      </c>
      <c r="G134" s="28"/>
      <c r="H134" s="28"/>
      <c r="I134" s="28"/>
      <c r="J134" s="28"/>
      <c r="K134" s="28"/>
      <c r="L134" s="28">
        <v>3197</v>
      </c>
      <c r="M134" s="28">
        <v>3197</v>
      </c>
      <c r="N134" s="28">
        <v>1155</v>
      </c>
      <c r="O134" s="28">
        <v>6528</v>
      </c>
      <c r="P134" s="29">
        <v>5008</v>
      </c>
      <c r="Q134" s="28">
        <v>4673</v>
      </c>
      <c r="R134" s="29">
        <v>7702</v>
      </c>
      <c r="S134" s="29">
        <v>13843</v>
      </c>
      <c r="T134" s="28">
        <v>1002</v>
      </c>
      <c r="U134" s="28">
        <v>3951</v>
      </c>
      <c r="V134" s="28">
        <v>3981</v>
      </c>
      <c r="W134" s="28">
        <v>4715</v>
      </c>
      <c r="X134" s="16">
        <v>-0.12829052712483191</v>
      </c>
      <c r="Y134" s="17">
        <v>-2.652461425422481E-2</v>
      </c>
      <c r="Z134" s="17">
        <v>-0.14042569250509471</v>
      </c>
      <c r="AA134" s="17">
        <v>-0.40075514773675203</v>
      </c>
    </row>
    <row r="135" spans="2:27" x14ac:dyDescent="0.3">
      <c r="B135" s="12" t="s">
        <v>569</v>
      </c>
      <c r="C135" s="3" t="s">
        <v>547</v>
      </c>
      <c r="D135" s="3" t="str">
        <f>VLOOKUP(B135,기업리스트!B:G,2,FALSE)</f>
        <v>Edelweiss Financial Services Limited</v>
      </c>
      <c r="E135" s="3" t="s">
        <v>505</v>
      </c>
      <c r="F135" s="13">
        <v>26</v>
      </c>
      <c r="G135" s="26">
        <v>9941</v>
      </c>
      <c r="H135" s="26">
        <v>10356</v>
      </c>
      <c r="I135" s="26">
        <v>4996</v>
      </c>
      <c r="J135" s="26">
        <v>13056</v>
      </c>
      <c r="K135" s="26">
        <v>13670</v>
      </c>
      <c r="L135" s="27">
        <v>14787</v>
      </c>
      <c r="M135" s="27">
        <v>11613</v>
      </c>
      <c r="N135" s="26">
        <v>13479</v>
      </c>
      <c r="O135" s="26">
        <v>14942</v>
      </c>
      <c r="P135" s="26">
        <v>19194</v>
      </c>
      <c r="Q135" s="26">
        <v>14129</v>
      </c>
      <c r="R135" s="26">
        <v>19134</v>
      </c>
      <c r="S135" s="26">
        <v>12822</v>
      </c>
      <c r="T135" s="26">
        <v>16719</v>
      </c>
      <c r="U135" s="26">
        <v>13543</v>
      </c>
      <c r="V135" s="26">
        <v>11683</v>
      </c>
      <c r="W135" s="27">
        <v>27079</v>
      </c>
      <c r="X135" s="7">
        <v>-3.7914183734432227E-2</v>
      </c>
      <c r="Y135" s="10">
        <v>-9.3306158843385889E-3</v>
      </c>
      <c r="Z135" s="10">
        <v>-0.11975634060882701</v>
      </c>
      <c r="AA135" s="8">
        <v>0.26032099622035171</v>
      </c>
    </row>
    <row r="136" spans="2:27" x14ac:dyDescent="0.3">
      <c r="B136" s="12" t="s">
        <v>570</v>
      </c>
      <c r="C136" s="3" t="s">
        <v>547</v>
      </c>
      <c r="D136" s="3" t="str">
        <f>VLOOKUP(B136,기업리스트!B:G,2,FALSE)</f>
        <v>Rajesh Exports Limited</v>
      </c>
      <c r="E136" s="3" t="s">
        <v>494</v>
      </c>
      <c r="F136" s="13">
        <v>21.9</v>
      </c>
      <c r="G136" s="26">
        <v>412464</v>
      </c>
      <c r="H136" s="26">
        <v>651797</v>
      </c>
      <c r="I136" s="26">
        <v>858329</v>
      </c>
      <c r="J136" s="26">
        <v>494981</v>
      </c>
      <c r="K136" s="27">
        <v>802712</v>
      </c>
      <c r="L136" s="27">
        <v>944753</v>
      </c>
      <c r="M136" s="26">
        <v>1154599</v>
      </c>
      <c r="N136" s="27">
        <v>857007</v>
      </c>
      <c r="O136" s="26">
        <v>380794</v>
      </c>
      <c r="P136" s="26">
        <v>654889</v>
      </c>
      <c r="Q136" s="26">
        <v>914741</v>
      </c>
      <c r="R136" s="26">
        <v>603766</v>
      </c>
      <c r="S136" s="27">
        <v>669237</v>
      </c>
      <c r="T136" s="27">
        <v>966305</v>
      </c>
      <c r="U136" s="27">
        <v>1992488</v>
      </c>
      <c r="V136" s="27">
        <v>1315418</v>
      </c>
      <c r="W136" s="27">
        <v>1752118</v>
      </c>
      <c r="X136" s="9">
        <v>0.10955195412140779</v>
      </c>
      <c r="Y136" s="8">
        <v>0.34170268122023462</v>
      </c>
      <c r="Z136" s="8">
        <v>0.1681678417390631</v>
      </c>
      <c r="AA136" s="8">
        <v>0.21905378594050151</v>
      </c>
    </row>
    <row r="137" spans="2:27" x14ac:dyDescent="0.3">
      <c r="B137" s="12" t="s">
        <v>573</v>
      </c>
      <c r="C137" s="3" t="s">
        <v>547</v>
      </c>
      <c r="D137" s="3" t="str">
        <f>VLOOKUP(B137,기업리스트!B:G,2,FALSE)</f>
        <v>Cohance Lifesciences Limited</v>
      </c>
      <c r="E137" s="3" t="s">
        <v>494</v>
      </c>
      <c r="F137" s="13">
        <v>19.600000000000001</v>
      </c>
      <c r="G137" s="26">
        <v>3010</v>
      </c>
      <c r="H137" s="26">
        <v>3916</v>
      </c>
      <c r="I137" s="26">
        <v>3638</v>
      </c>
      <c r="J137" s="26">
        <v>3388</v>
      </c>
      <c r="K137" s="26">
        <v>2784</v>
      </c>
      <c r="L137" s="26">
        <v>3538</v>
      </c>
      <c r="M137" s="26">
        <v>3694</v>
      </c>
      <c r="N137" s="26">
        <v>3476</v>
      </c>
      <c r="O137" s="26">
        <v>2311</v>
      </c>
      <c r="P137" s="26">
        <v>2198</v>
      </c>
      <c r="Q137" s="26">
        <v>2529</v>
      </c>
      <c r="R137" s="26">
        <v>2307</v>
      </c>
      <c r="S137" s="26">
        <v>2577</v>
      </c>
      <c r="T137" s="26">
        <v>3072</v>
      </c>
      <c r="U137" s="27">
        <v>4020</v>
      </c>
      <c r="V137" s="27">
        <v>5493</v>
      </c>
      <c r="W137" s="27">
        <v>5556</v>
      </c>
      <c r="X137" s="7">
        <v>9.0937467485173284E-2</v>
      </c>
      <c r="Y137" s="8">
        <v>0.14220314735336201</v>
      </c>
      <c r="Z137" s="8">
        <v>0.26603206412825647</v>
      </c>
      <c r="AA137" s="8">
        <v>0.19647803719825879</v>
      </c>
    </row>
    <row r="138" spans="2:27" x14ac:dyDescent="0.3">
      <c r="B138" s="12" t="s">
        <v>348</v>
      </c>
      <c r="C138" s="3" t="s">
        <v>547</v>
      </c>
      <c r="D138" s="3" t="str">
        <f>VLOOKUP(B138,기업리스트!B:G,2,FALSE)</f>
        <v>Finolex Cables Limited</v>
      </c>
      <c r="E138" s="3" t="s">
        <v>505</v>
      </c>
      <c r="F138" s="5">
        <v>7.5</v>
      </c>
      <c r="G138" s="26">
        <v>9730</v>
      </c>
      <c r="H138" s="26">
        <v>11869</v>
      </c>
      <c r="I138" s="26">
        <v>10157</v>
      </c>
      <c r="J138" s="26">
        <v>10908</v>
      </c>
      <c r="K138" s="26">
        <v>11503</v>
      </c>
      <c r="L138" s="26">
        <v>12243</v>
      </c>
      <c r="M138" s="26">
        <v>12043</v>
      </c>
      <c r="N138" s="26">
        <v>11874</v>
      </c>
      <c r="O138" s="26">
        <v>12217</v>
      </c>
      <c r="P138" s="26">
        <v>14010</v>
      </c>
      <c r="Q138" s="26">
        <v>12305</v>
      </c>
      <c r="R138" s="26">
        <v>13117</v>
      </c>
      <c r="S138" s="26">
        <v>11821</v>
      </c>
      <c r="T138" s="26">
        <v>15946</v>
      </c>
      <c r="U138" s="26">
        <v>13955</v>
      </c>
      <c r="V138" s="26">
        <v>13758</v>
      </c>
      <c r="W138" s="26">
        <v>15986</v>
      </c>
      <c r="X138" s="7">
        <v>3.777339863032414E-2</v>
      </c>
      <c r="Y138" s="10">
        <v>3.1021451803944441E-2</v>
      </c>
      <c r="Z138" s="10">
        <v>1.168876164773236E-2</v>
      </c>
      <c r="AA138" s="10">
        <v>7.5072098053352576E-2</v>
      </c>
    </row>
    <row r="139" spans="2:27" x14ac:dyDescent="0.3">
      <c r="B139" s="12" t="s">
        <v>83</v>
      </c>
      <c r="C139" s="3" t="s">
        <v>547</v>
      </c>
      <c r="D139" s="3" t="str">
        <f>VLOOKUP(B139,기업리스트!B:G,2,FALSE)</f>
        <v>Grasim Industries Limited</v>
      </c>
      <c r="E139" s="3" t="s">
        <v>505</v>
      </c>
      <c r="F139" s="5">
        <v>5.9</v>
      </c>
      <c r="G139" s="26">
        <v>244022</v>
      </c>
      <c r="H139" s="26">
        <v>288114</v>
      </c>
      <c r="I139" s="26">
        <v>280415</v>
      </c>
      <c r="J139" s="26">
        <v>274855</v>
      </c>
      <c r="K139" s="26">
        <v>286379</v>
      </c>
      <c r="L139" s="26">
        <v>334621</v>
      </c>
      <c r="M139" s="26">
        <v>310652</v>
      </c>
      <c r="N139" s="26">
        <v>302207</v>
      </c>
      <c r="O139" s="26">
        <v>319655</v>
      </c>
      <c r="P139" s="26">
        <v>377271</v>
      </c>
      <c r="Q139" s="26">
        <v>338608</v>
      </c>
      <c r="R139" s="26">
        <v>335629</v>
      </c>
      <c r="S139" s="26">
        <v>347929</v>
      </c>
      <c r="T139" s="26">
        <v>462614</v>
      </c>
      <c r="U139" s="26">
        <v>401181</v>
      </c>
      <c r="V139" s="26">
        <v>398996</v>
      </c>
      <c r="W139" s="26">
        <v>443120</v>
      </c>
      <c r="X139" s="7">
        <v>6.0983809917845473E-2</v>
      </c>
      <c r="Y139" s="10">
        <v>4.214294373577232E-2</v>
      </c>
      <c r="Z139" s="10">
        <v>4.0951870710820293E-2</v>
      </c>
      <c r="AA139" s="10">
        <v>5.9098415615376883E-2</v>
      </c>
    </row>
    <row r="140" spans="2:27" x14ac:dyDescent="0.3">
      <c r="B140" s="12" t="s">
        <v>202</v>
      </c>
      <c r="C140" s="3" t="s">
        <v>547</v>
      </c>
      <c r="D140" s="3" t="str">
        <f>VLOOKUP(B140,기업리스트!B:G,2,FALSE)</f>
        <v>Endurance Technologies Limited</v>
      </c>
      <c r="E140" s="3" t="s">
        <v>494</v>
      </c>
      <c r="F140" s="5">
        <v>5.6</v>
      </c>
      <c r="G140" s="26">
        <v>18876</v>
      </c>
      <c r="H140" s="26">
        <v>18891</v>
      </c>
      <c r="I140" s="26">
        <v>20788</v>
      </c>
      <c r="J140" s="26">
        <v>21138</v>
      </c>
      <c r="K140" s="26">
        <v>23606</v>
      </c>
      <c r="L140" s="26">
        <v>20952</v>
      </c>
      <c r="M140" s="26">
        <v>22343</v>
      </c>
      <c r="N140" s="26">
        <v>24500</v>
      </c>
      <c r="O140" s="26">
        <v>25450</v>
      </c>
      <c r="P140" s="26">
        <v>25611</v>
      </c>
      <c r="Q140" s="26">
        <v>26848</v>
      </c>
      <c r="R140" s="26">
        <v>28255</v>
      </c>
      <c r="S140" s="26">
        <v>29127</v>
      </c>
      <c r="T140" s="26">
        <v>28592</v>
      </c>
      <c r="U140" s="26">
        <v>29635</v>
      </c>
      <c r="V140" s="26">
        <v>33189</v>
      </c>
      <c r="W140" s="26">
        <v>35828</v>
      </c>
      <c r="X140" s="7">
        <v>2.7139228521226189E-2</v>
      </c>
      <c r="Y140" s="10">
        <v>2.4702628919891501E-2</v>
      </c>
      <c r="Z140" s="10">
        <v>4.2678338191663327E-2</v>
      </c>
      <c r="AA140" s="10">
        <v>5.5590121367478762E-2</v>
      </c>
    </row>
    <row r="141" spans="2:27" x14ac:dyDescent="0.3">
      <c r="B141" s="12" t="s">
        <v>293</v>
      </c>
      <c r="C141" s="3" t="s">
        <v>547</v>
      </c>
      <c r="D141" s="3" t="str">
        <f>VLOOKUP(B141,기업리스트!B:G,2,FALSE)</f>
        <v>Chambal Fertilisers and Chemicals Limited</v>
      </c>
      <c r="E141" s="3" t="s">
        <v>505</v>
      </c>
      <c r="F141" s="5">
        <v>5</v>
      </c>
      <c r="G141" s="26">
        <v>47433</v>
      </c>
      <c r="H141" s="26">
        <v>33074</v>
      </c>
      <c r="I141" s="26">
        <v>72912</v>
      </c>
      <c r="J141" s="26">
        <v>85868</v>
      </c>
      <c r="K141" s="27">
        <v>82962</v>
      </c>
      <c r="L141" s="26">
        <v>35987</v>
      </c>
      <c r="M141" s="26">
        <v>55893</v>
      </c>
      <c r="N141" s="26">
        <v>53855</v>
      </c>
      <c r="O141" s="26">
        <v>43486</v>
      </c>
      <c r="P141" s="26">
        <v>26430</v>
      </c>
      <c r="Q141" s="26">
        <v>49332</v>
      </c>
      <c r="R141" s="26">
        <v>43462</v>
      </c>
      <c r="S141" s="26">
        <v>49181</v>
      </c>
      <c r="T141" s="26">
        <v>24487</v>
      </c>
      <c r="U141" s="26">
        <v>56976</v>
      </c>
      <c r="V141" s="27">
        <v>64128</v>
      </c>
      <c r="W141" s="26">
        <v>58983</v>
      </c>
      <c r="X141" s="7">
        <v>-1.1537662183426891E-2</v>
      </c>
      <c r="Y141" s="10">
        <v>4.5920390239213793E-2</v>
      </c>
      <c r="Z141" s="8">
        <v>0.1186978047855904</v>
      </c>
      <c r="AA141" s="10">
        <v>5.0325508800032948E-2</v>
      </c>
    </row>
    <row r="142" spans="2:27" x14ac:dyDescent="0.3">
      <c r="B142" s="12" t="s">
        <v>198</v>
      </c>
      <c r="C142" s="3" t="s">
        <v>547</v>
      </c>
      <c r="D142" s="3" t="str">
        <f>VLOOKUP(B142,기업리스트!B:G,2,FALSE)</f>
        <v>Jubilant FoodWorks Limited</v>
      </c>
      <c r="E142" s="3" t="s">
        <v>494</v>
      </c>
      <c r="F142" s="5">
        <v>4.5999999999999996</v>
      </c>
      <c r="G142" s="26">
        <v>11162</v>
      </c>
      <c r="H142" s="26">
        <v>12108</v>
      </c>
      <c r="I142" s="26">
        <v>11760</v>
      </c>
      <c r="J142" s="26">
        <v>12551</v>
      </c>
      <c r="K142" s="26">
        <v>13015</v>
      </c>
      <c r="L142" s="26">
        <v>13318</v>
      </c>
      <c r="M142" s="26">
        <v>12698</v>
      </c>
      <c r="N142" s="26">
        <v>13345</v>
      </c>
      <c r="O142" s="26">
        <v>13686</v>
      </c>
      <c r="P142" s="26">
        <v>13781</v>
      </c>
      <c r="Q142" s="26">
        <v>0</v>
      </c>
      <c r="R142" s="27">
        <v>19331</v>
      </c>
      <c r="S142" s="27">
        <v>19547</v>
      </c>
      <c r="T142" s="27">
        <v>21508</v>
      </c>
      <c r="U142" s="27">
        <v>21032</v>
      </c>
      <c r="V142" s="26">
        <v>22609</v>
      </c>
      <c r="W142" s="26">
        <v>23402</v>
      </c>
      <c r="X142" s="9">
        <v>0.14673655025731591</v>
      </c>
      <c r="Y142" s="8">
        <v>0.34829265061438092</v>
      </c>
      <c r="Z142" s="10">
        <v>4.0261367265223891E-2</v>
      </c>
      <c r="AA142" s="10">
        <v>4.5515726834797432E-2</v>
      </c>
    </row>
    <row r="143" spans="2:27" x14ac:dyDescent="0.3">
      <c r="B143" s="12" t="s">
        <v>116</v>
      </c>
      <c r="C143" s="3" t="s">
        <v>547</v>
      </c>
      <c r="D143" s="3" t="str">
        <f>VLOOKUP(B143,기업리스트!B:G,2,FALSE)</f>
        <v>Apollo Hospitals Enterprise Limited</v>
      </c>
      <c r="E143" s="3" t="s">
        <v>505</v>
      </c>
      <c r="F143" s="5">
        <v>4.3</v>
      </c>
      <c r="G143" s="26">
        <v>36389</v>
      </c>
      <c r="H143" s="26">
        <v>35464</v>
      </c>
      <c r="I143" s="26">
        <v>37956</v>
      </c>
      <c r="J143" s="26">
        <v>42511</v>
      </c>
      <c r="K143" s="26">
        <v>42636</v>
      </c>
      <c r="L143" s="26">
        <v>43023</v>
      </c>
      <c r="M143" s="26">
        <v>44178</v>
      </c>
      <c r="N143" s="26">
        <v>48469</v>
      </c>
      <c r="O143" s="26">
        <v>48506</v>
      </c>
      <c r="P143" s="26">
        <v>49439</v>
      </c>
      <c r="Q143" s="26">
        <v>50856</v>
      </c>
      <c r="R143" s="26">
        <v>55893</v>
      </c>
      <c r="S143" s="26">
        <v>55269</v>
      </c>
      <c r="T143" s="26">
        <v>55922</v>
      </c>
      <c r="U143" s="26">
        <v>58421</v>
      </c>
      <c r="V143" s="26">
        <v>63035</v>
      </c>
      <c r="W143" s="26">
        <v>65302</v>
      </c>
      <c r="X143" s="7">
        <v>3.0658715483526281E-2</v>
      </c>
      <c r="Y143" s="10">
        <v>3.4711388455538117E-2</v>
      </c>
      <c r="Z143" s="10">
        <v>3.1671138112236992E-2</v>
      </c>
      <c r="AA143" s="10">
        <v>4.3125421776339268E-2</v>
      </c>
    </row>
    <row r="144" spans="2:27" x14ac:dyDescent="0.3">
      <c r="B144" s="12" t="s">
        <v>434</v>
      </c>
      <c r="C144" s="3" t="s">
        <v>547</v>
      </c>
      <c r="D144" s="3" t="str">
        <f>VLOOKUP(B144,기업리스트!B:G,2,FALSE)</f>
        <v>Fiem Industries Limited</v>
      </c>
      <c r="E144" s="3" t="s">
        <v>494</v>
      </c>
      <c r="F144" s="5">
        <v>4.2</v>
      </c>
      <c r="G144" s="26">
        <v>4163</v>
      </c>
      <c r="H144" s="26">
        <v>3857</v>
      </c>
      <c r="I144" s="26">
        <v>4863</v>
      </c>
      <c r="J144" s="26">
        <v>4420</v>
      </c>
      <c r="K144" s="26">
        <v>5213</v>
      </c>
      <c r="L144" s="26">
        <v>4379</v>
      </c>
      <c r="M144" s="26">
        <v>4343</v>
      </c>
      <c r="N144" s="26">
        <v>4707</v>
      </c>
      <c r="O144" s="26">
        <v>5064</v>
      </c>
      <c r="P144" s="26">
        <v>4834</v>
      </c>
      <c r="Q144" s="26">
        <v>5551</v>
      </c>
      <c r="R144" s="26">
        <v>5736</v>
      </c>
      <c r="S144" s="26">
        <v>6075</v>
      </c>
      <c r="T144" s="26">
        <v>5901</v>
      </c>
      <c r="U144" s="26">
        <v>6344</v>
      </c>
      <c r="V144" s="26">
        <v>6496</v>
      </c>
      <c r="W144" s="26">
        <v>7120</v>
      </c>
      <c r="X144" s="7">
        <v>4.8071724635069479E-2</v>
      </c>
      <c r="Y144" s="10">
        <v>3.4088466663800832E-2</v>
      </c>
      <c r="Z144" s="10">
        <v>3.1592949783837643E-2</v>
      </c>
      <c r="AA144" s="10">
        <v>4.2109929078014252E-2</v>
      </c>
    </row>
    <row r="145" spans="2:27" x14ac:dyDescent="0.3">
      <c r="B145" s="12" t="s">
        <v>206</v>
      </c>
      <c r="C145" s="3" t="s">
        <v>547</v>
      </c>
      <c r="D145" s="3" t="str">
        <f>VLOOKUP(B145,기업리스트!B:G,2,FALSE)</f>
        <v>Escorts Kubota Limited</v>
      </c>
      <c r="E145" s="3" t="s">
        <v>505</v>
      </c>
      <c r="F145" s="5">
        <v>3.1</v>
      </c>
      <c r="G145" s="26">
        <v>19843</v>
      </c>
      <c r="H145" s="26">
        <v>19227</v>
      </c>
      <c r="I145" s="26">
        <v>20321</v>
      </c>
      <c r="J145" s="26">
        <v>18908</v>
      </c>
      <c r="K145" s="26">
        <v>22914</v>
      </c>
      <c r="L145" s="26">
        <v>22145</v>
      </c>
      <c r="M145" s="26">
        <v>23552</v>
      </c>
      <c r="N145" s="26">
        <v>20593</v>
      </c>
      <c r="O145" s="26">
        <v>23416</v>
      </c>
      <c r="P145" s="26">
        <v>0</v>
      </c>
      <c r="Q145" s="26">
        <v>23100</v>
      </c>
      <c r="R145" s="26">
        <v>24885</v>
      </c>
      <c r="S145" s="26">
        <v>29480</v>
      </c>
      <c r="T145" s="27">
        <v>24449</v>
      </c>
      <c r="U145" s="26">
        <v>25001</v>
      </c>
      <c r="V145" s="26">
        <v>27916</v>
      </c>
      <c r="W145" s="26">
        <v>32805</v>
      </c>
      <c r="X145" s="9">
        <v>0.31561350287226492</v>
      </c>
      <c r="Y145" s="10">
        <v>1.8652981925937558E-2</v>
      </c>
      <c r="Z145" s="10">
        <v>2.9196166257284609E-2</v>
      </c>
      <c r="AA145" s="10">
        <v>3.111955524773968E-2</v>
      </c>
    </row>
    <row r="146" spans="2:27" x14ac:dyDescent="0.3">
      <c r="B146" s="12" t="s">
        <v>97</v>
      </c>
      <c r="C146" s="3" t="s">
        <v>547</v>
      </c>
      <c r="D146" s="3" t="str">
        <f>VLOOKUP(B146,기업리스트!B:G,2,FALSE)</f>
        <v>Britannia Industries Limited</v>
      </c>
      <c r="E146" s="3" t="s">
        <v>505</v>
      </c>
      <c r="F146" s="5">
        <v>2</v>
      </c>
      <c r="G146" s="26">
        <v>35750</v>
      </c>
      <c r="H146" s="26">
        <v>35079</v>
      </c>
      <c r="I146" s="26">
        <v>37010</v>
      </c>
      <c r="J146" s="26">
        <v>43796</v>
      </c>
      <c r="K146" s="26">
        <v>41968</v>
      </c>
      <c r="L146" s="26">
        <v>39742</v>
      </c>
      <c r="M146" s="26">
        <v>40107</v>
      </c>
      <c r="N146" s="26">
        <v>44329</v>
      </c>
      <c r="O146" s="26">
        <v>42563</v>
      </c>
      <c r="P146" s="26">
        <v>40183</v>
      </c>
      <c r="Q146" s="26">
        <v>42503</v>
      </c>
      <c r="R146" s="26">
        <v>46676</v>
      </c>
      <c r="S146" s="26">
        <v>45926</v>
      </c>
      <c r="T146" s="26">
        <v>43750</v>
      </c>
      <c r="U146" s="26">
        <v>46222</v>
      </c>
      <c r="V146" s="26">
        <v>48406</v>
      </c>
      <c r="W146" s="26">
        <v>49698</v>
      </c>
      <c r="X146" s="7">
        <v>2.0349367897403159E-2</v>
      </c>
      <c r="Y146" s="10">
        <v>2.0793380112381629E-2</v>
      </c>
      <c r="Z146" s="10">
        <v>9.475609889688652E-3</v>
      </c>
      <c r="AA146" s="10">
        <v>2.046618630089414E-2</v>
      </c>
    </row>
    <row r="147" spans="2:27" x14ac:dyDescent="0.3">
      <c r="B147" s="12" t="s">
        <v>160</v>
      </c>
      <c r="C147" s="3" t="s">
        <v>547</v>
      </c>
      <c r="D147" s="3" t="str">
        <f>VLOOKUP(B147,기업리스트!B:G,2,FALSE)</f>
        <v>Torrent Power Limited</v>
      </c>
      <c r="E147" s="3" t="s">
        <v>505</v>
      </c>
      <c r="F147" s="5">
        <v>1</v>
      </c>
      <c r="G147" s="26">
        <v>37674</v>
      </c>
      <c r="H147" s="26">
        <v>37437</v>
      </c>
      <c r="I147" s="26">
        <v>65103</v>
      </c>
      <c r="J147" s="26">
        <v>67032</v>
      </c>
      <c r="K147" s="27">
        <v>64428</v>
      </c>
      <c r="L147" s="26">
        <v>60379</v>
      </c>
      <c r="M147" s="26">
        <v>73276</v>
      </c>
      <c r="N147" s="26">
        <v>69609</v>
      </c>
      <c r="O147" s="26">
        <v>63661</v>
      </c>
      <c r="P147" s="26">
        <v>65286</v>
      </c>
      <c r="Q147" s="26">
        <v>90337</v>
      </c>
      <c r="R147" s="26">
        <v>71758</v>
      </c>
      <c r="S147" s="26">
        <v>64994</v>
      </c>
      <c r="T147" s="26">
        <v>64563</v>
      </c>
      <c r="U147" s="26">
        <v>79064</v>
      </c>
      <c r="V147" s="26">
        <v>78760</v>
      </c>
      <c r="W147" s="26">
        <v>67779</v>
      </c>
      <c r="X147" s="7">
        <v>-2.4728516460025269E-3</v>
      </c>
      <c r="Y147" s="10">
        <v>-3.8652229369248281E-2</v>
      </c>
      <c r="Z147" s="10">
        <v>2.497333965810555E-2</v>
      </c>
      <c r="AA147" s="10">
        <v>9.6909677396905813E-3</v>
      </c>
    </row>
    <row r="148" spans="2:27" hidden="1" x14ac:dyDescent="0.3">
      <c r="B148" s="3" t="s">
        <v>190</v>
      </c>
      <c r="C148" s="3" t="s">
        <v>492</v>
      </c>
      <c r="D148" s="3" t="s">
        <v>549</v>
      </c>
      <c r="E148" s="3" t="s">
        <v>550</v>
      </c>
      <c r="F148" s="5">
        <v>13.4</v>
      </c>
      <c r="G148" s="4">
        <v>39.57</v>
      </c>
      <c r="H148" s="4">
        <v>40.04</v>
      </c>
      <c r="I148" s="4">
        <v>40.6</v>
      </c>
      <c r="J148" s="4">
        <v>40.020000000000003</v>
      </c>
      <c r="K148" s="4">
        <v>39.08</v>
      </c>
      <c r="L148" s="4">
        <v>45.75</v>
      </c>
      <c r="M148" s="4">
        <v>44.04</v>
      </c>
      <c r="N148" s="4">
        <v>45.69</v>
      </c>
      <c r="O148" s="4">
        <v>45.88</v>
      </c>
      <c r="P148" s="4">
        <v>45.3</v>
      </c>
      <c r="Q148" s="4">
        <v>45.05</v>
      </c>
      <c r="R148" s="4">
        <v>47.39</v>
      </c>
      <c r="S148" s="4">
        <v>41.98</v>
      </c>
      <c r="T148" s="6">
        <v>64.069999999999993</v>
      </c>
      <c r="U148" s="4">
        <v>54.92</v>
      </c>
      <c r="V148" s="4">
        <v>60.36</v>
      </c>
      <c r="W148" s="6">
        <v>71.63</v>
      </c>
      <c r="X148" s="9">
        <v>0.1044402403739149</v>
      </c>
      <c r="Y148" s="10">
        <v>4.9725426973651121E-2</v>
      </c>
      <c r="Z148" s="10">
        <v>6.2248032251871699E-2</v>
      </c>
      <c r="AA148" s="8">
        <v>0.13396286088645909</v>
      </c>
    </row>
    <row r="149" spans="2:27" hidden="1" x14ac:dyDescent="0.3">
      <c r="B149" s="3" t="s">
        <v>210</v>
      </c>
      <c r="C149" s="3" t="s">
        <v>492</v>
      </c>
      <c r="D149" s="3" t="s">
        <v>551</v>
      </c>
      <c r="E149" s="3" t="s">
        <v>550</v>
      </c>
      <c r="F149" s="5">
        <v>12.8</v>
      </c>
      <c r="G149" s="4">
        <v>228.72</v>
      </c>
      <c r="H149" s="4">
        <v>305.33</v>
      </c>
      <c r="I149" s="4">
        <v>311.10000000000002</v>
      </c>
      <c r="J149" s="4">
        <v>230.48</v>
      </c>
      <c r="K149" s="4">
        <v>160.28</v>
      </c>
      <c r="L149" s="4">
        <v>151.43</v>
      </c>
      <c r="M149" s="4">
        <v>110.06</v>
      </c>
      <c r="N149" s="4">
        <v>140.05000000000001</v>
      </c>
      <c r="O149" s="4">
        <v>143.97</v>
      </c>
      <c r="P149" s="4">
        <v>154.38</v>
      </c>
      <c r="Q149" s="4">
        <v>138.51</v>
      </c>
      <c r="R149" s="4">
        <v>139.1</v>
      </c>
      <c r="S149" s="4">
        <v>172.96</v>
      </c>
      <c r="T149" s="6">
        <v>226.4</v>
      </c>
      <c r="U149" s="6">
        <v>220.39</v>
      </c>
      <c r="V149" s="6">
        <v>265.06</v>
      </c>
      <c r="W149" s="6">
        <v>285.89999999999998</v>
      </c>
      <c r="X149" s="9">
        <v>0.1190511612529961</v>
      </c>
      <c r="Y149" s="8">
        <v>0.1209507068260041</v>
      </c>
      <c r="Z149" s="8">
        <v>0.16598800817025761</v>
      </c>
      <c r="AA149" s="8">
        <v>0.12764322283880161</v>
      </c>
    </row>
    <row r="150" spans="2:27" hidden="1" x14ac:dyDescent="0.3">
      <c r="B150" s="3" t="s">
        <v>324</v>
      </c>
      <c r="C150" s="3" t="s">
        <v>492</v>
      </c>
      <c r="D150" s="3" t="s">
        <v>552</v>
      </c>
      <c r="E150" s="3" t="s">
        <v>553</v>
      </c>
      <c r="F150" s="5">
        <v>12.3</v>
      </c>
      <c r="G150" s="3"/>
      <c r="H150" s="3"/>
      <c r="I150" s="3"/>
      <c r="J150" s="3"/>
      <c r="K150" s="3"/>
      <c r="L150" s="3"/>
      <c r="M150" s="3"/>
      <c r="N150" s="4">
        <v>10.81</v>
      </c>
      <c r="O150" s="4">
        <v>16.23</v>
      </c>
      <c r="P150" s="4">
        <v>12.31</v>
      </c>
      <c r="Q150" s="4">
        <v>15.76</v>
      </c>
      <c r="R150" s="4">
        <v>4.93</v>
      </c>
      <c r="S150" s="4">
        <v>11.57</v>
      </c>
      <c r="T150" s="4">
        <v>9.64</v>
      </c>
      <c r="U150" s="4">
        <v>13.73</v>
      </c>
      <c r="V150" s="6">
        <v>9.9600000000000009</v>
      </c>
      <c r="W150" s="6">
        <v>17.100000000000001</v>
      </c>
      <c r="X150" s="7">
        <v>-5.9905766210455513E-2</v>
      </c>
      <c r="Y150" s="10">
        <v>-4.8448687350835178E-2</v>
      </c>
      <c r="Z150" s="8">
        <v>0.12616002006521199</v>
      </c>
      <c r="AA150" s="8">
        <v>0.1231625835189309</v>
      </c>
    </row>
    <row r="151" spans="2:27" hidden="1" x14ac:dyDescent="0.3">
      <c r="B151" s="3" t="s">
        <v>322</v>
      </c>
      <c r="C151" s="3" t="s">
        <v>492</v>
      </c>
      <c r="D151" s="3" t="s">
        <v>509</v>
      </c>
      <c r="E151" s="3" t="s">
        <v>550</v>
      </c>
      <c r="F151" s="5">
        <v>3.8</v>
      </c>
      <c r="G151" s="4">
        <v>15.6</v>
      </c>
      <c r="H151" s="4">
        <v>17.809999999999999</v>
      </c>
      <c r="I151" s="4">
        <v>21.33</v>
      </c>
      <c r="J151" s="4">
        <v>22.63</v>
      </c>
      <c r="K151" s="6">
        <v>25.01</v>
      </c>
      <c r="L151" s="6">
        <v>27.3</v>
      </c>
      <c r="M151" s="4">
        <v>29.45</v>
      </c>
      <c r="N151" s="4">
        <v>31.63</v>
      </c>
      <c r="O151" s="4">
        <v>33.409999999999997</v>
      </c>
      <c r="P151" s="4">
        <v>37.409999999999997</v>
      </c>
      <c r="Q151" s="4">
        <v>37.67</v>
      </c>
      <c r="R151" s="4">
        <v>39.57</v>
      </c>
      <c r="S151" s="4">
        <v>41.44</v>
      </c>
      <c r="T151" s="4">
        <v>44.1</v>
      </c>
      <c r="U151" s="4">
        <v>45.91</v>
      </c>
      <c r="V151" s="4">
        <v>48.29</v>
      </c>
      <c r="W151" s="4">
        <v>48.31</v>
      </c>
      <c r="X151" s="7">
        <v>4.2859888525850431E-2</v>
      </c>
      <c r="Y151" s="10">
        <v>5.0620469345128212E-2</v>
      </c>
      <c r="Z151" s="10">
        <v>5.0988188515963317E-2</v>
      </c>
      <c r="AA151" s="10">
        <v>3.8221876043173397E-2</v>
      </c>
    </row>
    <row r="152" spans="2:27" hidden="1" x14ac:dyDescent="0.3">
      <c r="B152" s="3" t="s">
        <v>138</v>
      </c>
      <c r="C152" s="3" t="s">
        <v>492</v>
      </c>
      <c r="D152" s="3" t="s">
        <v>506</v>
      </c>
      <c r="E152" s="3" t="s">
        <v>550</v>
      </c>
      <c r="F152" s="5">
        <v>3.4</v>
      </c>
      <c r="G152" s="4">
        <v>256.27</v>
      </c>
      <c r="H152" s="4">
        <v>316.18</v>
      </c>
      <c r="I152" s="4">
        <v>376.31</v>
      </c>
      <c r="J152" s="4">
        <v>274.33999999999997</v>
      </c>
      <c r="K152" s="4">
        <v>270.73</v>
      </c>
      <c r="L152" s="4">
        <v>396.47</v>
      </c>
      <c r="M152" s="4">
        <v>325.47000000000003</v>
      </c>
      <c r="N152" s="4">
        <v>298.27</v>
      </c>
      <c r="O152" s="4">
        <v>334.64</v>
      </c>
      <c r="P152" s="4">
        <v>474.23</v>
      </c>
      <c r="Q152" s="4">
        <v>330.15</v>
      </c>
      <c r="R152" s="4">
        <v>351.15</v>
      </c>
      <c r="S152" s="4">
        <v>325.05</v>
      </c>
      <c r="T152" s="4">
        <v>490.83</v>
      </c>
      <c r="U152" s="4">
        <v>475.63</v>
      </c>
      <c r="V152" s="4">
        <v>384.51</v>
      </c>
      <c r="W152" s="4">
        <v>381.35</v>
      </c>
      <c r="X152" s="7">
        <v>1.1211822393926599E-2</v>
      </c>
      <c r="Y152" s="10">
        <v>9.7169345035333032E-2</v>
      </c>
      <c r="Z152" s="10">
        <v>2.0308523979399421E-2</v>
      </c>
      <c r="AA152" s="10">
        <v>3.3591484588489262E-2</v>
      </c>
    </row>
    <row r="153" spans="2:27" hidden="1" x14ac:dyDescent="0.3">
      <c r="B153" s="3" t="s">
        <v>359</v>
      </c>
      <c r="C153" s="3" t="s">
        <v>492</v>
      </c>
      <c r="D153" s="3" t="s">
        <v>554</v>
      </c>
      <c r="E153" s="3" t="s">
        <v>550</v>
      </c>
      <c r="F153" s="5">
        <v>2.7</v>
      </c>
      <c r="G153" s="4">
        <v>58.35</v>
      </c>
      <c r="H153" s="4">
        <v>59</v>
      </c>
      <c r="I153" s="4">
        <v>63.2</v>
      </c>
      <c r="J153" s="4">
        <v>81.099999999999994</v>
      </c>
      <c r="K153" s="4">
        <v>76.05</v>
      </c>
      <c r="L153" s="4">
        <v>64.040000000000006</v>
      </c>
      <c r="M153" s="4">
        <v>73.53</v>
      </c>
      <c r="N153" s="4">
        <v>92.31</v>
      </c>
      <c r="O153" s="4">
        <v>80.31</v>
      </c>
      <c r="P153" s="4">
        <v>76.27</v>
      </c>
      <c r="Q153" s="4">
        <v>77.36</v>
      </c>
      <c r="R153" s="4">
        <v>99.01</v>
      </c>
      <c r="S153" s="4">
        <v>88.59</v>
      </c>
      <c r="T153" s="4">
        <v>48.95</v>
      </c>
      <c r="U153" s="4">
        <v>42.59</v>
      </c>
      <c r="V153" s="4">
        <v>44.32</v>
      </c>
      <c r="W153" s="4">
        <v>94.73</v>
      </c>
      <c r="X153" s="7">
        <v>-8.0063300413210969E-2</v>
      </c>
      <c r="Y153" s="10">
        <v>-0.1107642317861809</v>
      </c>
      <c r="Z153" s="10">
        <v>-0.1959231926631797</v>
      </c>
      <c r="AA153" s="10">
        <v>2.735575852082861E-2</v>
      </c>
    </row>
    <row r="154" spans="2:27" hidden="1" x14ac:dyDescent="0.3">
      <c r="B154" s="3" t="s">
        <v>144</v>
      </c>
      <c r="C154" s="3" t="s">
        <v>492</v>
      </c>
      <c r="D154" s="3" t="s">
        <v>506</v>
      </c>
      <c r="E154" s="3" t="s">
        <v>550</v>
      </c>
      <c r="F154" s="5">
        <v>2.7</v>
      </c>
      <c r="G154" s="4">
        <v>864.41</v>
      </c>
      <c r="H154" s="4">
        <v>969.93</v>
      </c>
      <c r="I154" s="4">
        <v>875.58</v>
      </c>
      <c r="J154" s="4">
        <v>990.75</v>
      </c>
      <c r="K154" s="4">
        <v>1054</v>
      </c>
      <c r="L154" s="4">
        <v>1175</v>
      </c>
      <c r="M154" s="4">
        <v>1001</v>
      </c>
      <c r="N154" s="4">
        <v>1021</v>
      </c>
      <c r="O154" s="4">
        <v>1158</v>
      </c>
      <c r="P154" s="4">
        <v>1225</v>
      </c>
      <c r="Q154" s="4">
        <v>1277</v>
      </c>
      <c r="R154" s="4">
        <v>1436</v>
      </c>
      <c r="S154" s="4">
        <v>1523</v>
      </c>
      <c r="T154" s="4">
        <v>1550</v>
      </c>
      <c r="U154" s="4">
        <v>1450</v>
      </c>
      <c r="V154" s="4">
        <v>1588</v>
      </c>
      <c r="W154" s="4">
        <v>1685</v>
      </c>
      <c r="X154" s="7">
        <v>5.9512909723493879E-2</v>
      </c>
      <c r="Y154" s="10">
        <v>2.9899758036640241E-2</v>
      </c>
      <c r="Z154" s="10">
        <v>2.5507635509313561E-2</v>
      </c>
      <c r="AA154" s="10">
        <v>2.6509572901325381E-2</v>
      </c>
    </row>
    <row r="155" spans="2:27" hidden="1" x14ac:dyDescent="0.3">
      <c r="B155" s="3" t="s">
        <v>128</v>
      </c>
      <c r="C155" s="3" t="s">
        <v>492</v>
      </c>
      <c r="D155" s="3" t="s">
        <v>507</v>
      </c>
      <c r="E155" s="3" t="s">
        <v>550</v>
      </c>
      <c r="F155" s="5">
        <v>2.6</v>
      </c>
      <c r="G155" s="4">
        <v>328.42</v>
      </c>
      <c r="H155" s="4">
        <v>451.14</v>
      </c>
      <c r="I155" s="4">
        <v>355.98</v>
      </c>
      <c r="J155" s="4">
        <v>419.43</v>
      </c>
      <c r="K155" s="4">
        <v>411.74</v>
      </c>
      <c r="L155" s="4">
        <v>423.92</v>
      </c>
      <c r="M155" s="4">
        <v>408.79</v>
      </c>
      <c r="N155" s="4">
        <v>469.85</v>
      </c>
      <c r="O155" s="4">
        <v>471.92</v>
      </c>
      <c r="P155" s="4">
        <v>479.65</v>
      </c>
      <c r="Q155" s="4">
        <v>425.23</v>
      </c>
      <c r="R155" s="4">
        <v>637.17999999999995</v>
      </c>
      <c r="S155" s="4">
        <v>539.54</v>
      </c>
      <c r="T155" s="4">
        <v>566.76</v>
      </c>
      <c r="U155" s="4">
        <v>555.45000000000005</v>
      </c>
      <c r="V155" s="4">
        <v>568.26</v>
      </c>
      <c r="W155" s="4">
        <v>597.76</v>
      </c>
      <c r="X155" s="7">
        <v>4.1847617217525057E-2</v>
      </c>
      <c r="Y155" s="10">
        <v>6.0044911491162763E-2</v>
      </c>
      <c r="Z155" s="10">
        <v>-2.9979164219876009E-2</v>
      </c>
      <c r="AA155" s="10">
        <v>2.610750624436653E-2</v>
      </c>
    </row>
    <row r="156" spans="2:27" hidden="1" x14ac:dyDescent="0.3">
      <c r="B156" s="3" t="s">
        <v>430</v>
      </c>
      <c r="C156" s="3" t="s">
        <v>492</v>
      </c>
      <c r="D156" s="3" t="s">
        <v>552</v>
      </c>
      <c r="E156" s="3" t="s">
        <v>550</v>
      </c>
      <c r="F156" s="5">
        <v>1.9</v>
      </c>
      <c r="G156" s="4">
        <v>117.77</v>
      </c>
      <c r="H156" s="4">
        <v>190.3</v>
      </c>
      <c r="I156" s="4">
        <v>104.86</v>
      </c>
      <c r="J156" s="4">
        <v>104.11</v>
      </c>
      <c r="K156" s="4">
        <v>137</v>
      </c>
      <c r="L156" s="4">
        <v>99.63</v>
      </c>
      <c r="M156" s="4">
        <v>98.93</v>
      </c>
      <c r="N156" s="4">
        <v>107.44</v>
      </c>
      <c r="O156" s="4">
        <v>121.55</v>
      </c>
      <c r="P156" s="4">
        <v>116</v>
      </c>
      <c r="Q156" s="4">
        <v>106.95</v>
      </c>
      <c r="R156" s="4">
        <v>116.83</v>
      </c>
      <c r="S156" s="4">
        <v>122.81</v>
      </c>
      <c r="T156" s="6">
        <v>165.14</v>
      </c>
      <c r="U156" s="4">
        <v>125.67</v>
      </c>
      <c r="V156" s="4">
        <v>119.48</v>
      </c>
      <c r="W156" s="4">
        <v>132.80000000000001</v>
      </c>
      <c r="X156" s="9">
        <v>0.10622797725847929</v>
      </c>
      <c r="Y156" s="10">
        <v>3.6581791178942107E-2</v>
      </c>
      <c r="Z156" s="10">
        <v>4.9957583184088161E-3</v>
      </c>
      <c r="AA156" s="10">
        <v>1.873944850872267E-2</v>
      </c>
    </row>
    <row r="157" spans="2:27" hidden="1" x14ac:dyDescent="0.3">
      <c r="B157" s="3" t="s">
        <v>33</v>
      </c>
      <c r="C157" s="3" t="s">
        <v>492</v>
      </c>
      <c r="D157" s="3" t="s">
        <v>512</v>
      </c>
      <c r="E157" s="3" t="s">
        <v>550</v>
      </c>
      <c r="F157" s="5">
        <v>1.7</v>
      </c>
      <c r="G157" s="4">
        <v>2501</v>
      </c>
      <c r="H157" s="4">
        <v>2689</v>
      </c>
      <c r="I157" s="4">
        <v>2661</v>
      </c>
      <c r="J157" s="4">
        <v>2864</v>
      </c>
      <c r="K157" s="4">
        <v>3036</v>
      </c>
      <c r="L157" s="4">
        <v>3166</v>
      </c>
      <c r="M157" s="4">
        <v>3042</v>
      </c>
      <c r="N157" s="4">
        <v>3177</v>
      </c>
      <c r="O157" s="4">
        <v>3357</v>
      </c>
      <c r="P157" s="4">
        <v>3671</v>
      </c>
      <c r="Q157" s="4">
        <v>3636</v>
      </c>
      <c r="R157" s="4">
        <v>3807</v>
      </c>
      <c r="S157" s="4">
        <v>3988</v>
      </c>
      <c r="T157" s="4">
        <v>4242</v>
      </c>
      <c r="U157" s="4">
        <v>4190</v>
      </c>
      <c r="V157" s="4">
        <v>4193</v>
      </c>
      <c r="W157" s="4">
        <v>4272</v>
      </c>
      <c r="X157" s="7">
        <v>3.7809561647463852E-2</v>
      </c>
      <c r="Y157" s="10">
        <v>3.5347412748037987E-2</v>
      </c>
      <c r="Z157" s="10">
        <v>2.3787514636100401E-2</v>
      </c>
      <c r="AA157" s="10">
        <v>1.7095046048275501E-2</v>
      </c>
    </row>
    <row r="158" spans="2:27" hidden="1" x14ac:dyDescent="0.3">
      <c r="B158" s="3" t="s">
        <v>76</v>
      </c>
      <c r="C158" s="3" t="s">
        <v>492</v>
      </c>
      <c r="D158" s="3" t="s">
        <v>555</v>
      </c>
      <c r="E158" s="3" t="s">
        <v>550</v>
      </c>
      <c r="F158" s="5">
        <v>1.4</v>
      </c>
      <c r="G158" s="4">
        <v>3507</v>
      </c>
      <c r="H158" s="4">
        <v>3672</v>
      </c>
      <c r="I158" s="4">
        <v>3492</v>
      </c>
      <c r="J158" s="4">
        <v>0</v>
      </c>
      <c r="K158" s="4">
        <v>2415</v>
      </c>
      <c r="L158" s="4">
        <v>2525</v>
      </c>
      <c r="M158" s="4">
        <v>2397</v>
      </c>
      <c r="N158" s="6">
        <v>2429</v>
      </c>
      <c r="O158" s="4">
        <v>2492</v>
      </c>
      <c r="P158" s="4">
        <v>2513</v>
      </c>
      <c r="Q158" s="4">
        <v>2468</v>
      </c>
      <c r="R158" s="4">
        <v>2490</v>
      </c>
      <c r="S158" s="4">
        <v>2570</v>
      </c>
      <c r="T158" s="4">
        <v>2599</v>
      </c>
      <c r="U158" s="4">
        <v>2532</v>
      </c>
      <c r="V158" s="4">
        <v>2616</v>
      </c>
      <c r="W158" s="4">
        <v>2717</v>
      </c>
      <c r="X158" s="7">
        <v>8.5648839756995443E-3</v>
      </c>
      <c r="Y158" s="10">
        <v>6.3197393107534694E-3</v>
      </c>
      <c r="Z158" s="10">
        <v>1.2363850456284849E-2</v>
      </c>
      <c r="AA158" s="10">
        <v>1.4248328002326231E-2</v>
      </c>
    </row>
    <row r="159" spans="2:27" hidden="1" x14ac:dyDescent="0.3">
      <c r="B159" s="3" t="s">
        <v>105</v>
      </c>
      <c r="C159" s="3" t="s">
        <v>492</v>
      </c>
      <c r="D159" s="3" t="s">
        <v>556</v>
      </c>
      <c r="E159" s="3" t="s">
        <v>550</v>
      </c>
      <c r="F159" s="5">
        <v>1</v>
      </c>
      <c r="G159" s="4">
        <v>3435</v>
      </c>
      <c r="H159" s="4">
        <v>3856</v>
      </c>
      <c r="I159" s="4">
        <v>3410</v>
      </c>
      <c r="J159" s="4">
        <v>3567</v>
      </c>
      <c r="K159" s="4">
        <v>3443</v>
      </c>
      <c r="L159" s="4">
        <v>3868</v>
      </c>
      <c r="M159" s="4">
        <v>3443</v>
      </c>
      <c r="N159" s="4">
        <v>3610</v>
      </c>
      <c r="O159" s="4">
        <v>3578</v>
      </c>
      <c r="P159" s="4">
        <v>4061</v>
      </c>
      <c r="Q159" s="4">
        <v>3631</v>
      </c>
      <c r="R159" s="4">
        <v>3854</v>
      </c>
      <c r="S159" s="4">
        <v>3883</v>
      </c>
      <c r="T159" s="4">
        <v>4322</v>
      </c>
      <c r="U159" s="4">
        <v>3690</v>
      </c>
      <c r="V159" s="4">
        <v>4016</v>
      </c>
      <c r="W159" s="4">
        <v>4037</v>
      </c>
      <c r="X159" s="7">
        <v>1.6916196772311931E-2</v>
      </c>
      <c r="Y159" s="10">
        <v>3.7603569152326881E-3</v>
      </c>
      <c r="Z159" s="10">
        <v>1.028636738840571E-2</v>
      </c>
      <c r="AA159" s="10">
        <v>9.6788385393753451E-3</v>
      </c>
    </row>
    <row r="160" spans="2:27" hidden="1" x14ac:dyDescent="0.3">
      <c r="B160" s="3" t="s">
        <v>326</v>
      </c>
      <c r="C160" s="3" t="s">
        <v>492</v>
      </c>
      <c r="D160" s="3" t="s">
        <v>557</v>
      </c>
      <c r="E160" s="3" t="s">
        <v>550</v>
      </c>
      <c r="F160" s="5">
        <v>0.9</v>
      </c>
      <c r="G160" s="4">
        <v>1210</v>
      </c>
      <c r="H160" s="4">
        <v>1291</v>
      </c>
      <c r="I160" s="4">
        <v>1578</v>
      </c>
      <c r="J160" s="4">
        <v>1432</v>
      </c>
      <c r="K160" s="4">
        <v>1439</v>
      </c>
      <c r="L160" s="4">
        <v>1490</v>
      </c>
      <c r="M160" s="4">
        <v>1770</v>
      </c>
      <c r="N160" s="4">
        <v>1585</v>
      </c>
      <c r="O160" s="4">
        <v>1551</v>
      </c>
      <c r="P160" s="4">
        <v>1580</v>
      </c>
      <c r="Q160" s="4">
        <v>1802</v>
      </c>
      <c r="R160" s="4">
        <v>1605</v>
      </c>
      <c r="S160" s="4">
        <v>1561</v>
      </c>
      <c r="T160" s="4">
        <v>1613</v>
      </c>
      <c r="U160" s="4">
        <v>1863</v>
      </c>
      <c r="V160" s="4">
        <v>1658</v>
      </c>
      <c r="W160" s="4">
        <v>1623</v>
      </c>
      <c r="X160" s="7">
        <v>5.0397067806964291E-3</v>
      </c>
      <c r="Y160" s="10">
        <v>9.2691080382920621E-3</v>
      </c>
      <c r="Z160" s="10">
        <v>7.9795242396867305E-3</v>
      </c>
      <c r="AA160" s="10">
        <v>9.2606422703509494E-3</v>
      </c>
    </row>
    <row r="161" spans="2:27" hidden="1" x14ac:dyDescent="0.3">
      <c r="B161" s="3" t="s">
        <v>14</v>
      </c>
      <c r="C161" s="3" t="s">
        <v>492</v>
      </c>
      <c r="D161" s="3" t="s">
        <v>529</v>
      </c>
      <c r="E161" s="3" t="s">
        <v>550</v>
      </c>
      <c r="F161" s="5">
        <v>0.8</v>
      </c>
      <c r="G161" s="4">
        <v>7421</v>
      </c>
      <c r="H161" s="4">
        <v>7244</v>
      </c>
      <c r="I161" s="4">
        <v>6590</v>
      </c>
      <c r="J161" s="4">
        <v>6260</v>
      </c>
      <c r="K161" s="4">
        <v>7042</v>
      </c>
      <c r="L161" s="4">
        <v>7389</v>
      </c>
      <c r="M161" s="4">
        <v>6352</v>
      </c>
      <c r="N161" s="4">
        <v>6599</v>
      </c>
      <c r="O161" s="4">
        <v>7050</v>
      </c>
      <c r="P161" s="4">
        <v>7114</v>
      </c>
      <c r="Q161" s="4">
        <v>6686</v>
      </c>
      <c r="R161" s="4">
        <v>6954</v>
      </c>
      <c r="S161" s="4">
        <v>7545</v>
      </c>
      <c r="T161" s="4">
        <v>7569</v>
      </c>
      <c r="U161" s="4">
        <v>6667</v>
      </c>
      <c r="V161" s="4">
        <v>7082</v>
      </c>
      <c r="W161" s="4">
        <v>7769</v>
      </c>
      <c r="X161" s="7">
        <v>1.6078306653945381E-2</v>
      </c>
      <c r="Y161" s="10">
        <v>-6.6077763093830288E-4</v>
      </c>
      <c r="Z161" s="10">
        <v>4.4544979989560307E-3</v>
      </c>
      <c r="AA161" s="10">
        <v>7.7608010255343363E-3</v>
      </c>
    </row>
    <row r="162" spans="2:27" hidden="1" x14ac:dyDescent="0.3">
      <c r="B162" s="3" t="s">
        <v>188</v>
      </c>
      <c r="C162" s="3" t="s">
        <v>492</v>
      </c>
      <c r="D162" s="3" t="s">
        <v>507</v>
      </c>
      <c r="E162" s="3" t="s">
        <v>550</v>
      </c>
      <c r="F162" s="5">
        <v>0.8</v>
      </c>
      <c r="G162" s="4">
        <v>0.82</v>
      </c>
      <c r="H162" s="4">
        <v>12.9</v>
      </c>
      <c r="I162" s="4">
        <v>0.94</v>
      </c>
      <c r="J162" s="4">
        <v>0.16</v>
      </c>
      <c r="K162" s="4">
        <v>0.09</v>
      </c>
      <c r="L162" s="4">
        <v>0.01</v>
      </c>
      <c r="M162" s="6">
        <v>100</v>
      </c>
      <c r="N162" s="6">
        <v>70</v>
      </c>
      <c r="O162" s="4">
        <v>0</v>
      </c>
      <c r="P162" s="6">
        <v>201.21</v>
      </c>
      <c r="Q162" s="4">
        <v>0.5</v>
      </c>
      <c r="R162" s="4">
        <v>0.52</v>
      </c>
      <c r="S162" s="4">
        <v>0.6</v>
      </c>
      <c r="T162" s="4">
        <v>35.69</v>
      </c>
      <c r="U162" s="4">
        <v>0.87</v>
      </c>
      <c r="V162" s="4">
        <v>0.89</v>
      </c>
      <c r="W162" s="4">
        <v>0.89</v>
      </c>
      <c r="X162" s="7">
        <v>-0.81605285214218803</v>
      </c>
      <c r="Y162" s="10">
        <v>9.9169123559368355E-3</v>
      </c>
      <c r="Z162" s="10">
        <v>9.8195329087047423E-3</v>
      </c>
      <c r="AA162" s="10">
        <v>7.6215505913270754E-3</v>
      </c>
    </row>
    <row r="163" spans="2:27" hidden="1" x14ac:dyDescent="0.3">
      <c r="B163" s="3" t="s">
        <v>373</v>
      </c>
      <c r="C163" s="3" t="s">
        <v>492</v>
      </c>
      <c r="D163" s="3" t="s">
        <v>558</v>
      </c>
      <c r="E163" s="3" t="s">
        <v>550</v>
      </c>
      <c r="F163" s="5">
        <v>0.6</v>
      </c>
      <c r="G163" s="4">
        <v>4.0999999999999996</v>
      </c>
      <c r="H163" s="4">
        <v>4.6900000000000004</v>
      </c>
      <c r="I163" s="4">
        <v>4.8499999999999996</v>
      </c>
      <c r="J163" s="4">
        <v>5.03</v>
      </c>
      <c r="K163" s="4">
        <v>4.83</v>
      </c>
      <c r="L163" s="4">
        <v>5.04</v>
      </c>
      <c r="M163" s="4">
        <v>4.93</v>
      </c>
      <c r="N163" s="4">
        <v>5.57</v>
      </c>
      <c r="O163" s="4">
        <v>5.13</v>
      </c>
      <c r="P163" s="4">
        <v>5.7</v>
      </c>
      <c r="Q163" s="4">
        <v>5.22</v>
      </c>
      <c r="R163" s="4">
        <v>7.06</v>
      </c>
      <c r="S163" s="4">
        <v>7</v>
      </c>
      <c r="T163" s="6">
        <v>9.07</v>
      </c>
      <c r="U163" s="4">
        <v>6.11</v>
      </c>
      <c r="V163" s="4">
        <v>7.07</v>
      </c>
      <c r="W163" s="4">
        <v>7.17</v>
      </c>
      <c r="X163" s="9">
        <v>0.13490792634107279</v>
      </c>
      <c r="Y163" s="10">
        <v>3.1393298059964707E-2</v>
      </c>
      <c r="Z163" s="10">
        <v>3.419972640217317E-4</v>
      </c>
      <c r="AA163" s="10">
        <v>5.811965811965969E-3</v>
      </c>
    </row>
    <row r="164" spans="2:27" hidden="1" x14ac:dyDescent="0.3">
      <c r="B164" s="3" t="s">
        <v>329</v>
      </c>
      <c r="C164" s="3" t="s">
        <v>492</v>
      </c>
      <c r="D164" s="3" t="s">
        <v>559</v>
      </c>
      <c r="E164" s="3" t="s">
        <v>550</v>
      </c>
      <c r="F164" s="5">
        <v>-0.7</v>
      </c>
      <c r="G164" s="4">
        <v>716.5</v>
      </c>
      <c r="H164" s="4">
        <v>744.8</v>
      </c>
      <c r="I164" s="4">
        <v>777.1</v>
      </c>
      <c r="J164" s="4">
        <v>855.6</v>
      </c>
      <c r="K164" s="4">
        <v>858.4</v>
      </c>
      <c r="L164" s="4">
        <v>784.4</v>
      </c>
      <c r="M164" s="4">
        <v>676.7</v>
      </c>
      <c r="N164" s="4">
        <v>695.1</v>
      </c>
      <c r="O164" s="4">
        <v>677.3</v>
      </c>
      <c r="P164" s="4">
        <v>677.1</v>
      </c>
      <c r="Q164" s="4">
        <v>638.1</v>
      </c>
      <c r="R164" s="4">
        <v>676.5</v>
      </c>
      <c r="S164" s="4">
        <v>718.1</v>
      </c>
      <c r="T164" s="4">
        <v>667.7</v>
      </c>
      <c r="U164" s="4">
        <v>660.3</v>
      </c>
      <c r="V164" s="4">
        <v>730.9</v>
      </c>
      <c r="W164" s="4">
        <v>698.9</v>
      </c>
      <c r="X164" s="7">
        <v>-3.468890693040128E-3</v>
      </c>
      <c r="Y164" s="10">
        <v>8.2210042956598617E-3</v>
      </c>
      <c r="Z164" s="10">
        <v>1.9980900609711361E-2</v>
      </c>
      <c r="AA164" s="10">
        <v>-6.9139359020524696E-3</v>
      </c>
    </row>
    <row r="165" spans="2:27" hidden="1" x14ac:dyDescent="0.3">
      <c r="B165" s="3" t="s">
        <v>335</v>
      </c>
      <c r="C165" s="3" t="s">
        <v>492</v>
      </c>
      <c r="D165" s="3" t="s">
        <v>560</v>
      </c>
      <c r="E165" s="3" t="s">
        <v>550</v>
      </c>
      <c r="F165" s="5">
        <v>-1.6</v>
      </c>
      <c r="G165" s="4">
        <v>72.41</v>
      </c>
      <c r="H165" s="4">
        <v>69.040000000000006</v>
      </c>
      <c r="I165" s="4">
        <v>45.57</v>
      </c>
      <c r="J165" s="4">
        <v>76.959999999999994</v>
      </c>
      <c r="K165" s="6">
        <v>131.87</v>
      </c>
      <c r="L165" s="4">
        <v>66.87</v>
      </c>
      <c r="M165" s="6">
        <v>82.73</v>
      </c>
      <c r="N165" s="4">
        <v>30.52</v>
      </c>
      <c r="O165" s="4">
        <v>86.99</v>
      </c>
      <c r="P165" s="4">
        <v>84.93</v>
      </c>
      <c r="Q165" s="4">
        <v>-67.150000000000006</v>
      </c>
      <c r="R165" s="6">
        <v>70.849999999999994</v>
      </c>
      <c r="S165" s="4">
        <v>72.47</v>
      </c>
      <c r="T165" s="4">
        <v>71.709999999999994</v>
      </c>
      <c r="U165" s="6">
        <v>61.81</v>
      </c>
      <c r="V165" s="4">
        <v>67.790000000000006</v>
      </c>
      <c r="W165" s="4">
        <v>67.989999999999995</v>
      </c>
      <c r="X165" s="7">
        <v>-8.2060831781502142E-2</v>
      </c>
      <c r="Y165" s="8">
        <v>0.87205842575060855</v>
      </c>
      <c r="Z165" s="10">
        <v>-1.105331599479842E-2</v>
      </c>
      <c r="AA165" s="10">
        <v>-1.6363503542990539E-2</v>
      </c>
    </row>
    <row r="166" spans="2:27" hidden="1" x14ac:dyDescent="0.3">
      <c r="B166" s="3" t="s">
        <v>411</v>
      </c>
      <c r="C166" s="3" t="s">
        <v>492</v>
      </c>
      <c r="D166" s="3" t="s">
        <v>561</v>
      </c>
      <c r="E166" s="3" t="s">
        <v>550</v>
      </c>
      <c r="F166" s="5">
        <v>-1.8</v>
      </c>
      <c r="G166" s="4">
        <v>504.66</v>
      </c>
      <c r="H166" s="4">
        <v>498.64</v>
      </c>
      <c r="I166" s="4">
        <v>501.53</v>
      </c>
      <c r="J166" s="4">
        <v>499.32</v>
      </c>
      <c r="K166" s="4">
        <v>497.39</v>
      </c>
      <c r="L166" s="6">
        <v>17136</v>
      </c>
      <c r="M166" s="6">
        <v>4388</v>
      </c>
      <c r="N166" s="6">
        <v>4356</v>
      </c>
      <c r="O166" s="6">
        <v>4109</v>
      </c>
      <c r="P166" s="4">
        <v>4163</v>
      </c>
      <c r="Q166" s="4">
        <v>4015</v>
      </c>
      <c r="R166" s="4">
        <v>3953</v>
      </c>
      <c r="S166" s="4">
        <v>3891</v>
      </c>
      <c r="T166" s="4">
        <v>3967</v>
      </c>
      <c r="U166" s="4">
        <v>3870</v>
      </c>
      <c r="V166" s="4">
        <v>3725</v>
      </c>
      <c r="W166" s="4">
        <v>3614</v>
      </c>
      <c r="X166" s="7">
        <v>-1.223317937835477E-2</v>
      </c>
      <c r="Y166" s="10">
        <v>-9.1621382535068685E-3</v>
      </c>
      <c r="Z166" s="10">
        <v>-1.453988903768888E-2</v>
      </c>
      <c r="AA166" s="10">
        <v>-1.7925321943959131E-2</v>
      </c>
    </row>
    <row r="167" spans="2:27" hidden="1" x14ac:dyDescent="0.3">
      <c r="B167" s="3" t="s">
        <v>223</v>
      </c>
      <c r="C167" s="3" t="s">
        <v>492</v>
      </c>
      <c r="D167" s="3" t="s">
        <v>562</v>
      </c>
      <c r="E167" s="3" t="s">
        <v>550</v>
      </c>
      <c r="F167" s="5">
        <v>-2.5</v>
      </c>
      <c r="G167" s="4">
        <v>2511</v>
      </c>
      <c r="H167" s="4">
        <v>2015</v>
      </c>
      <c r="I167" s="4">
        <v>2011</v>
      </c>
      <c r="J167" s="4">
        <v>3862</v>
      </c>
      <c r="K167" s="4">
        <v>1120</v>
      </c>
      <c r="L167" s="4">
        <v>-182</v>
      </c>
      <c r="M167" s="4">
        <v>1284</v>
      </c>
      <c r="N167" s="4">
        <v>264</v>
      </c>
      <c r="O167" s="4">
        <v>1169</v>
      </c>
      <c r="P167" s="6">
        <v>1758</v>
      </c>
      <c r="Q167" s="4">
        <v>56</v>
      </c>
      <c r="R167" s="6">
        <v>1440</v>
      </c>
      <c r="S167" s="6">
        <v>2010</v>
      </c>
      <c r="T167" s="6">
        <v>2780</v>
      </c>
      <c r="U167" s="6">
        <v>2373</v>
      </c>
      <c r="V167" s="4">
        <v>860</v>
      </c>
      <c r="W167" s="4">
        <v>1808</v>
      </c>
      <c r="X167" s="9">
        <v>0.1941489361702127</v>
      </c>
      <c r="Y167" s="8">
        <v>0.3685968819599108</v>
      </c>
      <c r="Z167" s="10">
        <v>-6.7418342438684165E-2</v>
      </c>
      <c r="AA167" s="10">
        <v>-2.5177614358718681E-2</v>
      </c>
    </row>
    <row r="168" spans="2:27" hidden="1" x14ac:dyDescent="0.3">
      <c r="B168" s="3" t="s">
        <v>152</v>
      </c>
      <c r="C168" s="3" t="s">
        <v>492</v>
      </c>
      <c r="D168" s="3" t="s">
        <v>563</v>
      </c>
      <c r="E168" s="3" t="s">
        <v>550</v>
      </c>
      <c r="F168" s="5">
        <v>-4.0999999999999996</v>
      </c>
      <c r="G168" s="4">
        <v>567</v>
      </c>
      <c r="H168" s="4">
        <v>644</v>
      </c>
      <c r="I168" s="4">
        <v>677</v>
      </c>
      <c r="J168" s="4">
        <v>664</v>
      </c>
      <c r="K168" s="4">
        <v>710</v>
      </c>
      <c r="L168" s="4">
        <v>718</v>
      </c>
      <c r="M168" s="4">
        <v>741</v>
      </c>
      <c r="N168" s="4">
        <v>783</v>
      </c>
      <c r="O168" s="4">
        <v>736</v>
      </c>
      <c r="P168" s="4">
        <v>775</v>
      </c>
      <c r="Q168" s="4">
        <v>789</v>
      </c>
      <c r="R168" s="4">
        <v>816</v>
      </c>
      <c r="S168" s="4">
        <v>824</v>
      </c>
      <c r="T168" s="4">
        <v>796</v>
      </c>
      <c r="U168" s="4">
        <v>766</v>
      </c>
      <c r="V168" s="4">
        <v>814</v>
      </c>
      <c r="W168" s="4">
        <v>693</v>
      </c>
      <c r="X168" s="7">
        <v>6.5543071161049396E-3</v>
      </c>
      <c r="Y168" s="10">
        <v>-7.1317829457364654E-3</v>
      </c>
      <c r="Z168" s="10">
        <v>-6.2460961898813672E-4</v>
      </c>
      <c r="AA168" s="10">
        <v>-4.093749999999996E-2</v>
      </c>
    </row>
    <row r="169" spans="2:27" hidden="1" x14ac:dyDescent="0.3">
      <c r="B169" s="3" t="s">
        <v>208</v>
      </c>
      <c r="C169" s="3" t="s">
        <v>492</v>
      </c>
      <c r="D169" s="3" t="s">
        <v>564</v>
      </c>
      <c r="E169" s="3" t="s">
        <v>550</v>
      </c>
      <c r="F169" s="5">
        <v>-6.1</v>
      </c>
      <c r="G169" s="4">
        <v>648.84</v>
      </c>
      <c r="H169" s="4">
        <v>828.32</v>
      </c>
      <c r="I169" s="4">
        <v>1072</v>
      </c>
      <c r="J169" s="4">
        <v>1336</v>
      </c>
      <c r="K169" s="4">
        <v>869.77</v>
      </c>
      <c r="L169" s="4">
        <v>823.45</v>
      </c>
      <c r="M169" s="4">
        <v>911.24</v>
      </c>
      <c r="N169" s="4">
        <v>858.37</v>
      </c>
      <c r="O169" s="4">
        <v>741.82</v>
      </c>
      <c r="P169" s="4">
        <v>959.99</v>
      </c>
      <c r="Q169" s="4">
        <v>864.07</v>
      </c>
      <c r="R169" s="4">
        <v>803.97</v>
      </c>
      <c r="S169" s="4">
        <v>671.9</v>
      </c>
      <c r="T169" s="4">
        <v>617.35</v>
      </c>
      <c r="U169" s="4">
        <v>531.96</v>
      </c>
      <c r="V169" s="4">
        <v>550.27</v>
      </c>
      <c r="W169" s="4">
        <v>526.78</v>
      </c>
      <c r="X169" s="7">
        <v>-0.1038325055379964</v>
      </c>
      <c r="Y169" s="10">
        <v>-0.1123021414876457</v>
      </c>
      <c r="Z169" s="10">
        <v>-9.6640992236722956E-2</v>
      </c>
      <c r="AA169" s="10">
        <v>-6.11938536272707E-2</v>
      </c>
    </row>
    <row r="170" spans="2:27" hidden="1" x14ac:dyDescent="0.3">
      <c r="B170" s="3" t="s">
        <v>407</v>
      </c>
      <c r="C170" s="3" t="s">
        <v>492</v>
      </c>
      <c r="D170" s="3" t="s">
        <v>507</v>
      </c>
      <c r="E170" s="3" t="s">
        <v>550</v>
      </c>
      <c r="F170" s="5">
        <v>-16.2</v>
      </c>
      <c r="G170" s="4">
        <v>9.3000000000000007</v>
      </c>
      <c r="H170" s="4">
        <v>33.200000000000003</v>
      </c>
      <c r="I170" s="4">
        <v>26.5</v>
      </c>
      <c r="J170" s="4">
        <v>33.799999999999997</v>
      </c>
      <c r="K170" s="6">
        <v>33.200000000000003</v>
      </c>
      <c r="L170" s="4">
        <v>37.799999999999997</v>
      </c>
      <c r="M170" s="4">
        <v>32.5</v>
      </c>
      <c r="N170" s="6">
        <v>54.5</v>
      </c>
      <c r="O170" s="4">
        <v>34.6</v>
      </c>
      <c r="P170" s="4">
        <v>-43.1</v>
      </c>
      <c r="Q170" s="4">
        <v>25.3</v>
      </c>
      <c r="R170" s="6">
        <v>76.5</v>
      </c>
      <c r="S170" s="6">
        <v>102.4</v>
      </c>
      <c r="T170" s="6">
        <v>59.2</v>
      </c>
      <c r="U170" s="6">
        <v>188.8</v>
      </c>
      <c r="V170" s="4">
        <v>22.4</v>
      </c>
      <c r="W170" s="4">
        <v>41.9</v>
      </c>
      <c r="X170" s="9">
        <v>0.63500931098696478</v>
      </c>
      <c r="Y170" s="8">
        <v>0.62072892938496582</v>
      </c>
      <c r="Z170" s="10">
        <v>-0.12672757085968611</v>
      </c>
      <c r="AA170" s="10">
        <v>-0.16228540772532191</v>
      </c>
    </row>
    <row r="171" spans="2:27" hidden="1" x14ac:dyDescent="0.3">
      <c r="B171" s="3" t="s">
        <v>375</v>
      </c>
      <c r="C171" s="3" t="s">
        <v>546</v>
      </c>
      <c r="D171" s="3" t="s">
        <v>511</v>
      </c>
      <c r="E171" s="3" t="s">
        <v>550</v>
      </c>
      <c r="F171" s="5">
        <v>30.5</v>
      </c>
      <c r="G171" s="3"/>
      <c r="H171" s="3"/>
      <c r="I171" s="4">
        <v>0</v>
      </c>
      <c r="J171" s="4">
        <v>0</v>
      </c>
      <c r="K171" s="4">
        <v>0.53</v>
      </c>
      <c r="L171" s="4">
        <v>1.46</v>
      </c>
      <c r="M171" s="6">
        <v>1.51</v>
      </c>
      <c r="N171" s="6">
        <v>0.75</v>
      </c>
      <c r="O171" s="6">
        <v>2.19</v>
      </c>
      <c r="P171" s="4">
        <v>1.43</v>
      </c>
      <c r="Q171" s="6">
        <v>3.64</v>
      </c>
      <c r="R171" s="6">
        <v>4.51</v>
      </c>
      <c r="S171" s="6">
        <v>4.3899999999999997</v>
      </c>
      <c r="T171" s="6">
        <v>8.1199999999999992</v>
      </c>
      <c r="U171" s="4">
        <v>5.12</v>
      </c>
      <c r="V171" s="6">
        <v>10</v>
      </c>
      <c r="W171" s="6">
        <v>12.83</v>
      </c>
      <c r="X171" s="9">
        <v>0.4788833214030066</v>
      </c>
      <c r="Y171" s="10">
        <v>7.1636011616650563E-2</v>
      </c>
      <c r="Z171" s="8">
        <v>0.2479674796747966</v>
      </c>
      <c r="AA171" s="8">
        <v>0.30546507419471602</v>
      </c>
    </row>
    <row r="172" spans="2:27" hidden="1" x14ac:dyDescent="0.3">
      <c r="B172" s="3" t="s">
        <v>170</v>
      </c>
      <c r="C172" s="3" t="s">
        <v>565</v>
      </c>
      <c r="D172" s="3" t="s">
        <v>535</v>
      </c>
      <c r="E172" s="3" t="s">
        <v>553</v>
      </c>
      <c r="F172" s="5">
        <v>2</v>
      </c>
      <c r="G172" s="3"/>
      <c r="H172" s="3"/>
      <c r="I172" s="3"/>
      <c r="J172" s="3"/>
      <c r="K172" s="3"/>
      <c r="L172" s="3"/>
      <c r="M172" s="3"/>
      <c r="N172" s="4">
        <v>368.79</v>
      </c>
      <c r="O172" s="4">
        <v>401.35</v>
      </c>
      <c r="P172" s="4">
        <v>341.63</v>
      </c>
      <c r="Q172" s="4">
        <v>395.45</v>
      </c>
      <c r="R172" s="4">
        <v>348.51</v>
      </c>
      <c r="S172" s="4">
        <v>431.03</v>
      </c>
      <c r="T172" s="4">
        <v>371.36</v>
      </c>
      <c r="U172" s="4">
        <v>442.61</v>
      </c>
      <c r="V172" s="4">
        <v>401.77</v>
      </c>
      <c r="W172" s="4">
        <v>463.6</v>
      </c>
      <c r="X172" s="7">
        <v>1.960280096530442E-2</v>
      </c>
      <c r="Y172" s="10">
        <v>3.0497623435832729E-2</v>
      </c>
      <c r="Z172" s="10">
        <v>3.342307233716757E-2</v>
      </c>
      <c r="AA172" s="10">
        <v>1.9778111090194891E-2</v>
      </c>
    </row>
    <row r="173" spans="2:27" hidden="1" x14ac:dyDescent="0.3">
      <c r="B173" s="3" t="s">
        <v>371</v>
      </c>
      <c r="C173" s="3" t="s">
        <v>565</v>
      </c>
      <c r="D173" s="3" t="s">
        <v>535</v>
      </c>
      <c r="E173" s="3" t="s">
        <v>553</v>
      </c>
      <c r="F173" s="5">
        <v>0.2</v>
      </c>
      <c r="G173" s="3"/>
      <c r="H173" s="3"/>
      <c r="I173" s="3"/>
      <c r="J173" s="3"/>
      <c r="K173" s="3"/>
      <c r="L173" s="3"/>
      <c r="M173" s="3"/>
      <c r="N173" s="4">
        <v>83.44</v>
      </c>
      <c r="O173" s="4">
        <v>84.67</v>
      </c>
      <c r="P173" s="4">
        <v>87.57</v>
      </c>
      <c r="Q173" s="4">
        <v>86.45</v>
      </c>
      <c r="R173" s="4">
        <v>86.83</v>
      </c>
      <c r="S173" s="4">
        <v>88.16</v>
      </c>
      <c r="T173" s="4">
        <v>89.85</v>
      </c>
      <c r="U173" s="4">
        <v>91.56</v>
      </c>
      <c r="V173" s="4">
        <v>87.97</v>
      </c>
      <c r="W173" s="4">
        <v>88.74</v>
      </c>
      <c r="X173" s="7">
        <v>6.5327641041803552E-3</v>
      </c>
      <c r="Y173" s="10">
        <v>1.454638617666326E-2</v>
      </c>
      <c r="Z173" s="10">
        <v>3.1986531986532012E-3</v>
      </c>
      <c r="AA173" s="10">
        <v>1.6221961179170301E-3</v>
      </c>
    </row>
    <row r="174" spans="2:27" hidden="1" x14ac:dyDescent="0.3">
      <c r="B174" s="3" t="s">
        <v>162</v>
      </c>
      <c r="C174" s="3" t="s">
        <v>546</v>
      </c>
      <c r="D174" s="3" t="s">
        <v>566</v>
      </c>
      <c r="E174" s="3" t="s">
        <v>567</v>
      </c>
      <c r="F174" s="5">
        <v>-4.0999999999999996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>
        <v>236.24</v>
      </c>
      <c r="S174" s="4">
        <v>258.25</v>
      </c>
      <c r="T174" s="4">
        <v>266.97000000000003</v>
      </c>
      <c r="U174" s="4">
        <v>258.64999999999998</v>
      </c>
      <c r="V174" s="4">
        <v>237.56</v>
      </c>
      <c r="W174" s="4">
        <v>216.78</v>
      </c>
      <c r="X174" s="11"/>
      <c r="Y174" s="3"/>
      <c r="Z174" s="10">
        <v>1.293978100400883E-3</v>
      </c>
      <c r="AA174" s="10">
        <v>-4.0599943216862673E-2</v>
      </c>
    </row>
  </sheetData>
  <autoFilter ref="B2:AA174" xr:uid="{00000000-0009-0000-0000-000001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47">
      <sortCondition descending="1" ref="C2:C174"/>
    </sortState>
  </autoFilter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74"/>
  <sheetViews>
    <sheetView tabSelected="1" zoomScale="85" zoomScaleNormal="85" workbookViewId="0">
      <selection activeCell="B2" sqref="B2:AA147"/>
    </sheetView>
  </sheetViews>
  <sheetFormatPr defaultRowHeight="16.5" x14ac:dyDescent="0.3"/>
  <cols>
    <col min="1" max="1" width="3" customWidth="1"/>
    <col min="2" max="2" width="12" style="18" customWidth="1"/>
    <col min="3" max="3" width="14" customWidth="1"/>
    <col min="4" max="4" width="34.5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25" t="s">
        <v>1</v>
      </c>
      <c r="C2" s="25" t="s">
        <v>471</v>
      </c>
      <c r="D2" s="25" t="s">
        <v>472</v>
      </c>
      <c r="E2" s="25" t="s">
        <v>473</v>
      </c>
      <c r="F2" s="25" t="s">
        <v>474</v>
      </c>
      <c r="G2" s="25" t="s">
        <v>475</v>
      </c>
      <c r="H2" s="25" t="s">
        <v>476</v>
      </c>
      <c r="I2" s="25" t="s">
        <v>477</v>
      </c>
      <c r="J2" s="25" t="s">
        <v>478</v>
      </c>
      <c r="K2" s="25" t="s">
        <v>479</v>
      </c>
      <c r="L2" s="25" t="s">
        <v>480</v>
      </c>
      <c r="M2" s="25" t="s">
        <v>481</v>
      </c>
      <c r="N2" s="25" t="s">
        <v>482</v>
      </c>
      <c r="O2" s="25" t="s">
        <v>483</v>
      </c>
      <c r="P2" s="25" t="s">
        <v>484</v>
      </c>
      <c r="Q2" s="25" t="s">
        <v>485</v>
      </c>
      <c r="R2" s="25" t="s">
        <v>486</v>
      </c>
      <c r="S2" s="25" t="s">
        <v>487</v>
      </c>
      <c r="T2" s="25" t="s">
        <v>488</v>
      </c>
      <c r="U2" s="25" t="s">
        <v>489</v>
      </c>
      <c r="V2" s="25" t="s">
        <v>490</v>
      </c>
      <c r="W2" s="25" t="s">
        <v>491</v>
      </c>
      <c r="X2" s="25" t="s">
        <v>488</v>
      </c>
      <c r="Y2" s="25" t="s">
        <v>489</v>
      </c>
      <c r="Z2" s="25" t="s">
        <v>490</v>
      </c>
      <c r="AA2" s="25" t="s">
        <v>491</v>
      </c>
    </row>
    <row r="3" spans="2:27" x14ac:dyDescent="0.3">
      <c r="B3" s="12" t="s">
        <v>213</v>
      </c>
      <c r="C3" s="3" t="s">
        <v>492</v>
      </c>
      <c r="D3" s="3" t="s">
        <v>513</v>
      </c>
      <c r="E3" s="3" t="s">
        <v>496</v>
      </c>
      <c r="F3" s="13">
        <v>87.9</v>
      </c>
      <c r="G3" s="26">
        <v>-195.36</v>
      </c>
      <c r="H3" s="26">
        <v>-68.53</v>
      </c>
      <c r="I3" s="26">
        <v>-106.49</v>
      </c>
      <c r="J3" s="26">
        <v>-192.37</v>
      </c>
      <c r="K3" s="26">
        <v>-222.48</v>
      </c>
      <c r="L3" s="26">
        <v>-25.37</v>
      </c>
      <c r="M3" s="26">
        <v>-6.53</v>
      </c>
      <c r="N3" s="26">
        <v>-58.24</v>
      </c>
      <c r="O3" s="26">
        <v>-145.47999999999999</v>
      </c>
      <c r="P3" s="26">
        <v>185.56</v>
      </c>
      <c r="Q3" s="26">
        <v>67.81</v>
      </c>
      <c r="R3" s="27">
        <v>-48.37</v>
      </c>
      <c r="S3" s="26">
        <v>-147.72999999999999</v>
      </c>
      <c r="T3" s="27">
        <v>297.12</v>
      </c>
      <c r="U3" s="26">
        <v>-230.48</v>
      </c>
      <c r="V3" s="27">
        <v>-129.25</v>
      </c>
      <c r="W3" s="27">
        <v>-332.65</v>
      </c>
      <c r="X3" s="9">
        <v>1.94796577614807</v>
      </c>
      <c r="Y3" s="10">
        <v>-1.7668068471243259</v>
      </c>
      <c r="Z3" s="8">
        <v>0.62474895720685941</v>
      </c>
      <c r="AA3" s="8">
        <v>0.8791480460207286</v>
      </c>
    </row>
    <row r="4" spans="2:27" x14ac:dyDescent="0.3">
      <c r="B4" s="12" t="s">
        <v>72</v>
      </c>
      <c r="C4" s="3" t="s">
        <v>492</v>
      </c>
      <c r="D4" s="3" t="s">
        <v>495</v>
      </c>
      <c r="E4" s="3" t="s">
        <v>496</v>
      </c>
      <c r="F4" s="13">
        <v>62.7</v>
      </c>
      <c r="G4" s="26"/>
      <c r="H4" s="26"/>
      <c r="I4" s="26"/>
      <c r="J4" s="26">
        <v>-28.07</v>
      </c>
      <c r="K4" s="26">
        <v>-6.1</v>
      </c>
      <c r="L4" s="26">
        <v>-18.93</v>
      </c>
      <c r="M4" s="26">
        <v>-17.61</v>
      </c>
      <c r="N4" s="26">
        <v>-1.98</v>
      </c>
      <c r="O4" s="26">
        <v>9.02</v>
      </c>
      <c r="P4" s="27">
        <v>-82.97</v>
      </c>
      <c r="Q4" s="26">
        <v>-24.35</v>
      </c>
      <c r="R4" s="26">
        <v>-8.9</v>
      </c>
      <c r="S4" s="26">
        <v>0.14000000000000001</v>
      </c>
      <c r="T4" s="26">
        <v>11.29</v>
      </c>
      <c r="U4" s="26">
        <v>39.770000000000003</v>
      </c>
      <c r="V4" s="27">
        <v>55.41</v>
      </c>
      <c r="W4" s="27">
        <v>66.959999999999994</v>
      </c>
      <c r="X4" s="7">
        <v>-0.81202618883528599</v>
      </c>
      <c r="Y4" s="10">
        <v>-2.9385884509624201</v>
      </c>
      <c r="Z4" s="8">
        <v>1.520330969267139</v>
      </c>
      <c r="AA4" s="8">
        <v>0.62677047181315082</v>
      </c>
    </row>
    <row r="5" spans="2:27" x14ac:dyDescent="0.3">
      <c r="B5" s="12" t="s">
        <v>424</v>
      </c>
      <c r="C5" s="3" t="s">
        <v>492</v>
      </c>
      <c r="D5" s="3" t="s">
        <v>506</v>
      </c>
      <c r="E5" s="3" t="s">
        <v>496</v>
      </c>
      <c r="F5" s="13">
        <v>58.5</v>
      </c>
      <c r="G5" s="26"/>
      <c r="H5" s="26"/>
      <c r="I5" s="26"/>
      <c r="J5" s="26"/>
      <c r="K5" s="26"/>
      <c r="L5" s="26">
        <v>2.39</v>
      </c>
      <c r="M5" s="26">
        <v>-25.32</v>
      </c>
      <c r="N5" s="26">
        <v>-12.43</v>
      </c>
      <c r="O5" s="26">
        <v>-7.33</v>
      </c>
      <c r="P5" s="27">
        <v>-9.61</v>
      </c>
      <c r="Q5" s="26">
        <v>-2.2799999999999998</v>
      </c>
      <c r="R5" s="26">
        <v>0.37</v>
      </c>
      <c r="S5" s="26">
        <v>9.8699999999999992</v>
      </c>
      <c r="T5" s="26">
        <v>-2.92</v>
      </c>
      <c r="U5" s="27">
        <v>3.72</v>
      </c>
      <c r="V5" s="27">
        <v>7.53</v>
      </c>
      <c r="W5" s="27">
        <v>20.52</v>
      </c>
      <c r="X5" s="7">
        <v>-4.0545454545454547</v>
      </c>
      <c r="Y5" s="8">
        <v>1.1904761904761909</v>
      </c>
      <c r="Z5" s="8">
        <v>0.64855072463768115</v>
      </c>
      <c r="AA5" s="8">
        <v>0.58516483516483531</v>
      </c>
    </row>
    <row r="6" spans="2:27" x14ac:dyDescent="0.3">
      <c r="B6" s="12" t="s">
        <v>340</v>
      </c>
      <c r="C6" s="3" t="s">
        <v>492</v>
      </c>
      <c r="D6" s="3" t="s">
        <v>497</v>
      </c>
      <c r="E6" s="3" t="s">
        <v>496</v>
      </c>
      <c r="F6" s="13">
        <v>37.299999999999997</v>
      </c>
      <c r="G6" s="26">
        <v>5.91</v>
      </c>
      <c r="H6" s="26">
        <v>-0.81</v>
      </c>
      <c r="I6" s="26">
        <v>1.72</v>
      </c>
      <c r="J6" s="26">
        <v>3.7</v>
      </c>
      <c r="K6" s="26">
        <v>6.12</v>
      </c>
      <c r="L6" s="27">
        <v>7.01</v>
      </c>
      <c r="M6" s="27">
        <v>5.45</v>
      </c>
      <c r="N6" s="27">
        <v>12.74</v>
      </c>
      <c r="O6" s="26">
        <v>-5.31</v>
      </c>
      <c r="P6" s="26">
        <v>5.39</v>
      </c>
      <c r="Q6" s="26">
        <v>2.79</v>
      </c>
      <c r="R6" s="26">
        <v>6.75</v>
      </c>
      <c r="S6" s="27">
        <v>6.59</v>
      </c>
      <c r="T6" s="26">
        <v>-0.54</v>
      </c>
      <c r="U6" s="26">
        <v>3.48</v>
      </c>
      <c r="V6" s="26">
        <v>7.55</v>
      </c>
      <c r="W6" s="27">
        <v>12.96</v>
      </c>
      <c r="X6" s="7">
        <v>-0.27555762081784391</v>
      </c>
      <c r="Y6" s="10">
        <v>4.4259140474663283E-2</v>
      </c>
      <c r="Z6" s="10">
        <v>4.914004914004888E-2</v>
      </c>
      <c r="AA6" s="8">
        <v>0.37295081967213117</v>
      </c>
    </row>
    <row r="7" spans="2:27" x14ac:dyDescent="0.3">
      <c r="B7" s="12" t="s">
        <v>124</v>
      </c>
      <c r="C7" s="3" t="s">
        <v>492</v>
      </c>
      <c r="D7" s="3" t="s">
        <v>502</v>
      </c>
      <c r="E7" s="3" t="s">
        <v>496</v>
      </c>
      <c r="F7" s="13">
        <v>22.1</v>
      </c>
      <c r="G7" s="26">
        <v>2933</v>
      </c>
      <c r="H7" s="26">
        <v>669</v>
      </c>
      <c r="I7" s="26">
        <v>10336</v>
      </c>
      <c r="J7" s="26">
        <v>1380</v>
      </c>
      <c r="K7" s="27">
        <v>13567</v>
      </c>
      <c r="L7" s="26">
        <v>2344</v>
      </c>
      <c r="M7" s="26">
        <v>2265</v>
      </c>
      <c r="N7" s="26">
        <v>2866</v>
      </c>
      <c r="O7" s="26">
        <v>-2208</v>
      </c>
      <c r="P7" s="26">
        <v>2292</v>
      </c>
      <c r="Q7" s="27">
        <v>4080</v>
      </c>
      <c r="R7" s="26">
        <v>2669</v>
      </c>
      <c r="S7" s="27">
        <v>244</v>
      </c>
      <c r="T7" s="26">
        <v>2124</v>
      </c>
      <c r="U7" s="26">
        <v>3434</v>
      </c>
      <c r="V7" s="26">
        <v>2560</v>
      </c>
      <c r="W7" s="27">
        <v>2095</v>
      </c>
      <c r="X7" s="7">
        <v>-1.8093699515347339E-2</v>
      </c>
      <c r="Y7" s="10">
        <v>-7.085664143906989E-2</v>
      </c>
      <c r="Z7" s="10">
        <v>-1.286743005548341E-2</v>
      </c>
      <c r="AA7" s="8">
        <v>0.2213585266682612</v>
      </c>
    </row>
    <row r="8" spans="2:27" x14ac:dyDescent="0.3">
      <c r="B8" s="12" t="s">
        <v>130</v>
      </c>
      <c r="C8" s="3" t="s">
        <v>492</v>
      </c>
      <c r="D8" s="3" t="s">
        <v>501</v>
      </c>
      <c r="E8" s="3" t="s">
        <v>496</v>
      </c>
      <c r="F8" s="13">
        <v>20.100000000000001</v>
      </c>
      <c r="G8" s="26">
        <v>203.7</v>
      </c>
      <c r="H8" s="26">
        <v>120</v>
      </c>
      <c r="I8" s="26">
        <v>219.1</v>
      </c>
      <c r="J8" s="26">
        <v>221.1</v>
      </c>
      <c r="K8" s="27">
        <v>288.39999999999998</v>
      </c>
      <c r="L8" s="26">
        <v>28.5</v>
      </c>
      <c r="M8" s="26">
        <v>118</v>
      </c>
      <c r="N8" s="27">
        <v>311.89999999999998</v>
      </c>
      <c r="O8" s="26">
        <v>-139.5</v>
      </c>
      <c r="P8" s="27">
        <v>131</v>
      </c>
      <c r="Q8" s="27">
        <v>231.8</v>
      </c>
      <c r="R8" s="26">
        <v>301.89999999999998</v>
      </c>
      <c r="S8" s="27">
        <v>119.8</v>
      </c>
      <c r="T8" s="26">
        <v>197.5</v>
      </c>
      <c r="U8" s="26">
        <v>223.7</v>
      </c>
      <c r="V8" s="26">
        <v>341.1</v>
      </c>
      <c r="W8" s="27">
        <v>297.5</v>
      </c>
      <c r="X8" s="7">
        <v>8.476736775015925E-2</v>
      </c>
      <c r="Y8" s="10">
        <v>-9.5182138660400151E-3</v>
      </c>
      <c r="Z8" s="10">
        <v>4.6506109858820872E-2</v>
      </c>
      <c r="AA8" s="8">
        <v>0.20145108264369099</v>
      </c>
    </row>
    <row r="9" spans="2:27" x14ac:dyDescent="0.3">
      <c r="B9" s="12" t="s">
        <v>235</v>
      </c>
      <c r="C9" s="3" t="s">
        <v>492</v>
      </c>
      <c r="D9" s="3" t="s">
        <v>506</v>
      </c>
      <c r="E9" s="3" t="s">
        <v>496</v>
      </c>
      <c r="F9" s="13">
        <v>19.7</v>
      </c>
      <c r="G9" s="26">
        <v>-15.52</v>
      </c>
      <c r="H9" s="26">
        <v>-26.22</v>
      </c>
      <c r="I9" s="26">
        <v>-26.36</v>
      </c>
      <c r="J9" s="26">
        <v>-19.32</v>
      </c>
      <c r="K9" s="26">
        <v>-6.43</v>
      </c>
      <c r="L9" s="26">
        <v>-10.98</v>
      </c>
      <c r="M9" s="26">
        <v>-7.31</v>
      </c>
      <c r="N9" s="26">
        <v>-3.57</v>
      </c>
      <c r="O9" s="26">
        <v>14.1</v>
      </c>
      <c r="P9" s="26">
        <v>2.2400000000000002</v>
      </c>
      <c r="Q9" s="27">
        <v>3.17</v>
      </c>
      <c r="R9" s="27">
        <v>8.76</v>
      </c>
      <c r="S9" s="26">
        <v>6.23</v>
      </c>
      <c r="T9" s="27">
        <v>8.8800000000000008</v>
      </c>
      <c r="U9" s="27">
        <v>8.59</v>
      </c>
      <c r="V9" s="26">
        <v>9.8800000000000008</v>
      </c>
      <c r="W9" s="27">
        <v>12.84</v>
      </c>
      <c r="X9" s="9">
        <v>0.32549019607843133</v>
      </c>
      <c r="Y9" s="8">
        <v>0.2004437869822486</v>
      </c>
      <c r="Z9" s="10">
        <v>3.4504004929143413E-2</v>
      </c>
      <c r="AA9" s="8">
        <v>0.1968433591423466</v>
      </c>
    </row>
    <row r="10" spans="2:27" x14ac:dyDescent="0.3">
      <c r="B10" s="12" t="s">
        <v>156</v>
      </c>
      <c r="C10" s="3" t="s">
        <v>492</v>
      </c>
      <c r="D10" s="3" t="s">
        <v>510</v>
      </c>
      <c r="E10" s="3" t="s">
        <v>496</v>
      </c>
      <c r="F10" s="13">
        <v>14.9</v>
      </c>
      <c r="G10" s="26">
        <v>45.67</v>
      </c>
      <c r="H10" s="26">
        <v>46.66</v>
      </c>
      <c r="I10" s="26">
        <v>53.86</v>
      </c>
      <c r="J10" s="26">
        <v>79.42</v>
      </c>
      <c r="K10" s="26">
        <v>65.290000000000006</v>
      </c>
      <c r="L10" s="26">
        <v>42.09</v>
      </c>
      <c r="M10" s="26">
        <v>32.840000000000003</v>
      </c>
      <c r="N10" s="26">
        <v>34.99</v>
      </c>
      <c r="O10" s="26">
        <v>32.520000000000003</v>
      </c>
      <c r="P10" s="26">
        <v>2.2000000000000002</v>
      </c>
      <c r="Q10" s="26">
        <v>13.1</v>
      </c>
      <c r="R10" s="26">
        <v>18.899999999999999</v>
      </c>
      <c r="S10" s="26">
        <v>35.69</v>
      </c>
      <c r="T10" s="27">
        <v>32.9</v>
      </c>
      <c r="U10" s="27">
        <v>40.6</v>
      </c>
      <c r="V10" s="27">
        <v>55.3</v>
      </c>
      <c r="W10" s="27">
        <v>60.2</v>
      </c>
      <c r="X10" s="9">
        <v>0.43926169695235351</v>
      </c>
      <c r="Y10" s="8">
        <v>0.27338701660204801</v>
      </c>
      <c r="Z10" s="8">
        <v>0.28417518932000951</v>
      </c>
      <c r="AA10" s="8">
        <v>0.14900601860295451</v>
      </c>
    </row>
    <row r="11" spans="2:27" x14ac:dyDescent="0.3">
      <c r="B11" s="12" t="s">
        <v>38</v>
      </c>
      <c r="C11" s="3" t="s">
        <v>492</v>
      </c>
      <c r="D11" s="3" t="s">
        <v>521</v>
      </c>
      <c r="E11" s="3" t="s">
        <v>496</v>
      </c>
      <c r="F11" s="13">
        <v>11.1</v>
      </c>
      <c r="G11" s="26">
        <v>945</v>
      </c>
      <c r="H11" s="26">
        <v>654</v>
      </c>
      <c r="I11" s="26">
        <v>472</v>
      </c>
      <c r="J11" s="26">
        <v>820</v>
      </c>
      <c r="K11" s="26">
        <v>1081</v>
      </c>
      <c r="L11" s="27">
        <v>1372</v>
      </c>
      <c r="M11" s="27">
        <v>870</v>
      </c>
      <c r="N11" s="26">
        <v>864</v>
      </c>
      <c r="O11" s="26">
        <v>1107</v>
      </c>
      <c r="P11" s="26">
        <v>1043</v>
      </c>
      <c r="Q11" s="26">
        <v>696</v>
      </c>
      <c r="R11" s="26">
        <v>839</v>
      </c>
      <c r="S11" s="26">
        <v>815</v>
      </c>
      <c r="T11" s="26">
        <v>1108</v>
      </c>
      <c r="U11" s="26">
        <v>945</v>
      </c>
      <c r="V11" s="26">
        <v>1134</v>
      </c>
      <c r="W11" s="27">
        <v>1260</v>
      </c>
      <c r="X11" s="7">
        <v>1.91570881226053E-2</v>
      </c>
      <c r="Y11" s="10">
        <v>7.2006940427993049E-2</v>
      </c>
      <c r="Z11" s="10">
        <v>7.9579174534664121E-2</v>
      </c>
      <c r="AA11" s="8">
        <v>0.1111944027986007</v>
      </c>
    </row>
    <row r="12" spans="2:27" x14ac:dyDescent="0.3">
      <c r="B12" s="12" t="s">
        <v>266</v>
      </c>
      <c r="C12" s="3" t="s">
        <v>492</v>
      </c>
      <c r="D12" s="3" t="s">
        <v>495</v>
      </c>
      <c r="E12" s="3" t="s">
        <v>496</v>
      </c>
      <c r="F12" s="5">
        <v>8.3000000000000007</v>
      </c>
      <c r="G12" s="26">
        <v>86.24</v>
      </c>
      <c r="H12" s="26">
        <v>93.06</v>
      </c>
      <c r="I12" s="26">
        <v>106.24</v>
      </c>
      <c r="J12" s="26">
        <v>112.45</v>
      </c>
      <c r="K12" s="26">
        <v>92.8</v>
      </c>
      <c r="L12" s="26">
        <v>86.38</v>
      </c>
      <c r="M12" s="26">
        <v>89.46</v>
      </c>
      <c r="N12" s="26">
        <v>56.44</v>
      </c>
      <c r="O12" s="26">
        <v>17.68</v>
      </c>
      <c r="P12" s="26">
        <v>8.08</v>
      </c>
      <c r="Q12" s="26">
        <v>11.88</v>
      </c>
      <c r="R12" s="26">
        <v>21.1</v>
      </c>
      <c r="S12" s="26">
        <v>10.35</v>
      </c>
      <c r="T12" s="26">
        <v>1.28</v>
      </c>
      <c r="U12" s="26">
        <v>9.48</v>
      </c>
      <c r="V12" s="26">
        <v>12.28</v>
      </c>
      <c r="W12" s="26">
        <v>13.13</v>
      </c>
      <c r="X12" s="7">
        <v>-0.132269986383972</v>
      </c>
      <c r="Y12" s="10">
        <v>-5.3799596503026237E-2</v>
      </c>
      <c r="Z12" s="10">
        <v>-0.20895522388059709</v>
      </c>
      <c r="AA12" s="10">
        <v>8.3258460616951302E-2</v>
      </c>
    </row>
    <row r="13" spans="2:27" x14ac:dyDescent="0.3">
      <c r="B13" s="12" t="s">
        <v>40</v>
      </c>
      <c r="C13" s="3" t="s">
        <v>492</v>
      </c>
      <c r="D13" s="3" t="s">
        <v>508</v>
      </c>
      <c r="E13" s="3" t="s">
        <v>496</v>
      </c>
      <c r="F13" s="5">
        <v>7.8</v>
      </c>
      <c r="G13" s="26">
        <v>-493</v>
      </c>
      <c r="H13" s="26">
        <v>-391</v>
      </c>
      <c r="I13" s="26">
        <v>-281</v>
      </c>
      <c r="J13" s="26">
        <v>-143</v>
      </c>
      <c r="K13" s="26">
        <v>-135</v>
      </c>
      <c r="L13" s="27">
        <v>-509</v>
      </c>
      <c r="M13" s="26">
        <v>20</v>
      </c>
      <c r="N13" s="26">
        <v>-52</v>
      </c>
      <c r="O13" s="26">
        <v>-49</v>
      </c>
      <c r="P13" s="26">
        <v>158</v>
      </c>
      <c r="Q13" s="27">
        <v>189</v>
      </c>
      <c r="R13" s="27">
        <v>164</v>
      </c>
      <c r="S13" s="27">
        <v>496</v>
      </c>
      <c r="T13" s="27">
        <v>370</v>
      </c>
      <c r="U13" s="27">
        <v>439</v>
      </c>
      <c r="V13" s="27">
        <v>660</v>
      </c>
      <c r="W13" s="26">
        <v>650</v>
      </c>
      <c r="X13" s="9">
        <v>0.2105263157894737</v>
      </c>
      <c r="Y13" s="8">
        <v>0.20508613617719451</v>
      </c>
      <c r="Z13" s="8">
        <v>0.33764465622872702</v>
      </c>
      <c r="AA13" s="10">
        <v>7.8371501272264554E-2</v>
      </c>
    </row>
    <row r="14" spans="2:27" x14ac:dyDescent="0.3">
      <c r="B14" s="12" t="s">
        <v>93</v>
      </c>
      <c r="C14" s="3" t="s">
        <v>492</v>
      </c>
      <c r="D14" s="3" t="s">
        <v>538</v>
      </c>
      <c r="E14" s="3" t="s">
        <v>496</v>
      </c>
      <c r="F14" s="5">
        <v>7.3</v>
      </c>
      <c r="G14" s="26">
        <v>152.4</v>
      </c>
      <c r="H14" s="26">
        <v>164.9</v>
      </c>
      <c r="I14" s="26">
        <v>140.30000000000001</v>
      </c>
      <c r="J14" s="26">
        <v>130.5</v>
      </c>
      <c r="K14" s="26">
        <v>107.3</v>
      </c>
      <c r="L14" s="26">
        <v>144.19999999999999</v>
      </c>
      <c r="M14" s="26">
        <v>100.4</v>
      </c>
      <c r="N14" s="26">
        <v>133.19999999999999</v>
      </c>
      <c r="O14" s="26">
        <v>117</v>
      </c>
      <c r="P14" s="26">
        <v>117.2</v>
      </c>
      <c r="Q14" s="26">
        <v>67.3</v>
      </c>
      <c r="R14" s="26">
        <v>119.7</v>
      </c>
      <c r="S14" s="27">
        <v>176</v>
      </c>
      <c r="T14" s="26">
        <v>102.2</v>
      </c>
      <c r="U14" s="27">
        <v>132.19999999999999</v>
      </c>
      <c r="V14" s="26">
        <v>165.5</v>
      </c>
      <c r="W14" s="26">
        <v>218.2</v>
      </c>
      <c r="X14" s="7">
        <v>-3.1236984589754321E-2</v>
      </c>
      <c r="Y14" s="8">
        <v>0.13950988822012039</v>
      </c>
      <c r="Z14" s="10">
        <v>8.6398792680626224E-2</v>
      </c>
      <c r="AA14" s="10">
        <v>7.3276610522660324E-2</v>
      </c>
    </row>
    <row r="15" spans="2:27" x14ac:dyDescent="0.3">
      <c r="B15" s="12" t="s">
        <v>44</v>
      </c>
      <c r="C15" s="3" t="s">
        <v>492</v>
      </c>
      <c r="D15" s="3" t="s">
        <v>503</v>
      </c>
      <c r="E15" s="3" t="s">
        <v>496</v>
      </c>
      <c r="F15" s="5">
        <v>6.8</v>
      </c>
      <c r="G15" s="26">
        <v>-40.68</v>
      </c>
      <c r="H15" s="26">
        <v>-37.39</v>
      </c>
      <c r="I15" s="26">
        <v>-64.540000000000006</v>
      </c>
      <c r="J15" s="26">
        <v>-45.95</v>
      </c>
      <c r="K15" s="26">
        <v>-46.74</v>
      </c>
      <c r="L15" s="26">
        <v>-47.27</v>
      </c>
      <c r="M15" s="26">
        <v>-56.17</v>
      </c>
      <c r="N15" s="26">
        <v>-39.21</v>
      </c>
      <c r="O15" s="26">
        <v>-42.83</v>
      </c>
      <c r="P15" s="26">
        <v>-39.549999999999997</v>
      </c>
      <c r="Q15" s="26">
        <v>-34.700000000000003</v>
      </c>
      <c r="R15" s="26">
        <v>-30.79</v>
      </c>
      <c r="S15" s="26">
        <v>-34.020000000000003</v>
      </c>
      <c r="T15" s="26">
        <v>-53.25</v>
      </c>
      <c r="U15" s="27">
        <v>-67.260000000000005</v>
      </c>
      <c r="V15" s="26">
        <v>-37.46</v>
      </c>
      <c r="W15" s="26">
        <v>-47.07</v>
      </c>
      <c r="X15" s="7">
        <v>9.8518625053933384E-2</v>
      </c>
      <c r="Y15" s="8">
        <v>0.21314480230426811</v>
      </c>
      <c r="Z15" s="10">
        <v>3.59917979710771E-2</v>
      </c>
      <c r="AA15" s="10">
        <v>6.7972290223449194E-2</v>
      </c>
    </row>
    <row r="16" spans="2:27" x14ac:dyDescent="0.3">
      <c r="B16" s="12" t="s">
        <v>95</v>
      </c>
      <c r="C16" s="3" t="s">
        <v>492</v>
      </c>
      <c r="D16" s="3" t="s">
        <v>507</v>
      </c>
      <c r="E16" s="3" t="s">
        <v>496</v>
      </c>
      <c r="F16" s="5">
        <v>6.8</v>
      </c>
      <c r="G16" s="26">
        <v>112.05</v>
      </c>
      <c r="H16" s="26">
        <v>123.65</v>
      </c>
      <c r="I16" s="26">
        <v>258.44</v>
      </c>
      <c r="J16" s="26">
        <v>117.15</v>
      </c>
      <c r="K16" s="26">
        <v>95.16</v>
      </c>
      <c r="L16" s="26">
        <v>31.7</v>
      </c>
      <c r="M16" s="26">
        <v>202.66</v>
      </c>
      <c r="N16" s="27">
        <v>215.06</v>
      </c>
      <c r="O16" s="27">
        <v>202.95</v>
      </c>
      <c r="P16" s="26">
        <v>92.2</v>
      </c>
      <c r="Q16" s="26">
        <v>-445.16</v>
      </c>
      <c r="R16" s="26">
        <v>170.23</v>
      </c>
      <c r="S16" s="27">
        <v>298.68</v>
      </c>
      <c r="T16" s="27">
        <v>217.46</v>
      </c>
      <c r="U16" s="27">
        <v>311.58999999999997</v>
      </c>
      <c r="V16" s="27">
        <v>432.11</v>
      </c>
      <c r="W16" s="26">
        <v>383.88</v>
      </c>
      <c r="X16" s="9">
        <v>1.0802932298404491</v>
      </c>
      <c r="Y16" s="8">
        <v>3.1373077401434442</v>
      </c>
      <c r="Z16" s="8">
        <v>0.26241532726762568</v>
      </c>
      <c r="AA16" s="10">
        <v>6.7627635255270491E-2</v>
      </c>
    </row>
    <row r="17" spans="2:27" x14ac:dyDescent="0.3">
      <c r="B17" s="12" t="s">
        <v>395</v>
      </c>
      <c r="C17" s="3" t="s">
        <v>492</v>
      </c>
      <c r="D17" s="3" t="s">
        <v>519</v>
      </c>
      <c r="E17" s="3" t="s">
        <v>496</v>
      </c>
      <c r="F17" s="5">
        <v>6.2</v>
      </c>
      <c r="G17" s="26">
        <v>73.09</v>
      </c>
      <c r="H17" s="26">
        <v>35.520000000000003</v>
      </c>
      <c r="I17" s="26">
        <v>-13.26</v>
      </c>
      <c r="J17" s="26">
        <v>-30.43</v>
      </c>
      <c r="K17" s="26">
        <v>23.44</v>
      </c>
      <c r="L17" s="26">
        <v>0.8</v>
      </c>
      <c r="M17" s="27">
        <v>-71.430000000000007</v>
      </c>
      <c r="N17" s="26">
        <v>9.17</v>
      </c>
      <c r="O17" s="26">
        <v>25</v>
      </c>
      <c r="P17" s="26">
        <v>17.14</v>
      </c>
      <c r="Q17" s="26">
        <v>-2.31</v>
      </c>
      <c r="R17" s="27">
        <v>27.46</v>
      </c>
      <c r="S17" s="27">
        <v>42.03</v>
      </c>
      <c r="T17" s="26">
        <v>24.34</v>
      </c>
      <c r="U17" s="27">
        <v>31.69</v>
      </c>
      <c r="V17" s="27">
        <v>51.79</v>
      </c>
      <c r="W17" s="26">
        <v>51.39</v>
      </c>
      <c r="X17" s="7">
        <v>8.5388994307400212E-2</v>
      </c>
      <c r="Y17" s="8">
        <v>0.37150349650349668</v>
      </c>
      <c r="Z17" s="8">
        <v>0.19383365200764799</v>
      </c>
      <c r="AA17" s="10">
        <v>6.2462462462462558E-2</v>
      </c>
    </row>
    <row r="18" spans="2:27" x14ac:dyDescent="0.3">
      <c r="B18" s="12" t="s">
        <v>251</v>
      </c>
      <c r="C18" s="3" t="s">
        <v>492</v>
      </c>
      <c r="D18" s="3" t="s">
        <v>503</v>
      </c>
      <c r="E18" s="3" t="s">
        <v>496</v>
      </c>
      <c r="F18" s="5">
        <v>5.8</v>
      </c>
      <c r="G18" s="26">
        <v>49</v>
      </c>
      <c r="H18" s="26">
        <v>71</v>
      </c>
      <c r="I18" s="26">
        <v>15</v>
      </c>
      <c r="J18" s="26">
        <v>20</v>
      </c>
      <c r="K18" s="26">
        <v>14</v>
      </c>
      <c r="L18" s="26">
        <v>76</v>
      </c>
      <c r="M18" s="27">
        <v>33</v>
      </c>
      <c r="N18" s="26">
        <v>23</v>
      </c>
      <c r="O18" s="27">
        <v>51</v>
      </c>
      <c r="P18" s="26">
        <v>46</v>
      </c>
      <c r="Q18" s="27">
        <v>63</v>
      </c>
      <c r="R18" s="27">
        <v>52</v>
      </c>
      <c r="S18" s="26">
        <v>44</v>
      </c>
      <c r="T18" s="26">
        <v>62</v>
      </c>
      <c r="U18" s="26">
        <v>24</v>
      </c>
      <c r="V18" s="26">
        <v>61</v>
      </c>
      <c r="W18" s="26">
        <v>55</v>
      </c>
      <c r="X18" s="7">
        <v>7.8048780487804947E-2</v>
      </c>
      <c r="Y18" s="10">
        <v>-0.17647058823529421</v>
      </c>
      <c r="Z18" s="10">
        <v>4.9450549450549497E-2</v>
      </c>
      <c r="AA18" s="10">
        <v>5.7591623036649109E-2</v>
      </c>
    </row>
    <row r="19" spans="2:27" x14ac:dyDescent="0.3">
      <c r="B19" s="12" t="s">
        <v>355</v>
      </c>
      <c r="C19" s="3" t="s">
        <v>492</v>
      </c>
      <c r="D19" s="3" t="s">
        <v>511</v>
      </c>
      <c r="E19" s="3" t="s">
        <v>496</v>
      </c>
      <c r="F19" s="5">
        <v>5.2</v>
      </c>
      <c r="G19" s="26">
        <v>3.11</v>
      </c>
      <c r="H19" s="26">
        <v>3.07</v>
      </c>
      <c r="I19" s="26">
        <v>4.17</v>
      </c>
      <c r="J19" s="26">
        <v>4.13</v>
      </c>
      <c r="K19" s="26">
        <v>4.25</v>
      </c>
      <c r="L19" s="26">
        <v>4.01</v>
      </c>
      <c r="M19" s="26">
        <v>4.96</v>
      </c>
      <c r="N19" s="27">
        <v>5.91</v>
      </c>
      <c r="O19" s="26">
        <v>5.16</v>
      </c>
      <c r="P19" s="26">
        <v>4.75</v>
      </c>
      <c r="Q19" s="26">
        <v>5.63</v>
      </c>
      <c r="R19" s="26">
        <v>5.79</v>
      </c>
      <c r="S19" s="26">
        <v>5.8</v>
      </c>
      <c r="T19" s="26">
        <v>5.43</v>
      </c>
      <c r="U19" s="26">
        <v>6.79</v>
      </c>
      <c r="V19" s="26">
        <v>6.83</v>
      </c>
      <c r="W19" s="26">
        <v>7.09</v>
      </c>
      <c r="X19" s="7">
        <v>3.0951297223486659E-2</v>
      </c>
      <c r="Y19" s="10">
        <v>5.1214128035319988E-2</v>
      </c>
      <c r="Z19" s="10">
        <v>4.3679126417471847E-2</v>
      </c>
      <c r="AA19" s="10">
        <v>5.1911468812877233E-2</v>
      </c>
    </row>
    <row r="20" spans="2:27" x14ac:dyDescent="0.3">
      <c r="B20" s="12" t="s">
        <v>164</v>
      </c>
      <c r="C20" s="3" t="s">
        <v>492</v>
      </c>
      <c r="D20" s="3" t="s">
        <v>509</v>
      </c>
      <c r="E20" s="3" t="s">
        <v>496</v>
      </c>
      <c r="F20" s="5">
        <v>5.2</v>
      </c>
      <c r="G20" s="26">
        <v>47.03</v>
      </c>
      <c r="H20" s="26">
        <v>49.67</v>
      </c>
      <c r="I20" s="26">
        <v>52.35</v>
      </c>
      <c r="J20" s="26">
        <v>54.43</v>
      </c>
      <c r="K20" s="26">
        <v>57.4</v>
      </c>
      <c r="L20" s="26">
        <v>60.51</v>
      </c>
      <c r="M20" s="26">
        <v>62.63</v>
      </c>
      <c r="N20" s="26">
        <v>66.290000000000006</v>
      </c>
      <c r="O20" s="26">
        <v>70.290000000000006</v>
      </c>
      <c r="P20" s="26">
        <v>72.989999999999995</v>
      </c>
      <c r="Q20" s="26">
        <v>74.790000000000006</v>
      </c>
      <c r="R20" s="26">
        <v>75.34</v>
      </c>
      <c r="S20" s="26">
        <v>74.91</v>
      </c>
      <c r="T20" s="26">
        <v>82.26</v>
      </c>
      <c r="U20" s="26">
        <v>83.46</v>
      </c>
      <c r="V20" s="26">
        <v>89.18</v>
      </c>
      <c r="W20" s="26">
        <v>91.99</v>
      </c>
      <c r="X20" s="7">
        <v>3.110425124987426E-2</v>
      </c>
      <c r="Y20" s="10">
        <v>2.8213472177025741E-2</v>
      </c>
      <c r="Z20" s="10">
        <v>4.3801626736715393E-2</v>
      </c>
      <c r="AA20" s="10">
        <v>5.1787392741275307E-2</v>
      </c>
    </row>
    <row r="21" spans="2:27" x14ac:dyDescent="0.3">
      <c r="B21" s="12" t="s">
        <v>342</v>
      </c>
      <c r="C21" s="3" t="s">
        <v>492</v>
      </c>
      <c r="D21" s="3" t="s">
        <v>524</v>
      </c>
      <c r="E21" s="3" t="s">
        <v>496</v>
      </c>
      <c r="F21" s="5">
        <v>3.9</v>
      </c>
      <c r="G21" s="26">
        <v>144.44999999999999</v>
      </c>
      <c r="H21" s="26">
        <v>26.87</v>
      </c>
      <c r="I21" s="26">
        <v>23.25</v>
      </c>
      <c r="J21" s="26">
        <v>25.21</v>
      </c>
      <c r="K21" s="26">
        <v>24.99</v>
      </c>
      <c r="L21" s="26">
        <v>23.02</v>
      </c>
      <c r="M21" s="26">
        <v>20.260000000000002</v>
      </c>
      <c r="N21" s="26">
        <v>21.34</v>
      </c>
      <c r="O21" s="26">
        <v>17.399999999999999</v>
      </c>
      <c r="P21" s="26">
        <v>16.23</v>
      </c>
      <c r="Q21" s="26">
        <v>18.95</v>
      </c>
      <c r="R21" s="26">
        <v>21.65</v>
      </c>
      <c r="S21" s="26">
        <v>19.88</v>
      </c>
      <c r="T21" s="26">
        <v>16.739999999999998</v>
      </c>
      <c r="U21" s="26">
        <v>23.03</v>
      </c>
      <c r="V21" s="26">
        <v>21.22</v>
      </c>
      <c r="W21" s="26">
        <v>23.06</v>
      </c>
      <c r="X21" s="7">
        <v>6.6484161126321162E-3</v>
      </c>
      <c r="Y21" s="10">
        <v>5.2836052836052749E-2</v>
      </c>
      <c r="Z21" s="10">
        <v>-5.2890528905288337E-3</v>
      </c>
      <c r="AA21" s="10">
        <v>3.9322369234573877E-2</v>
      </c>
    </row>
    <row r="22" spans="2:27" x14ac:dyDescent="0.3">
      <c r="B22" s="12" t="s">
        <v>268</v>
      </c>
      <c r="C22" s="3" t="s">
        <v>492</v>
      </c>
      <c r="D22" s="3" t="s">
        <v>509</v>
      </c>
      <c r="E22" s="3" t="s">
        <v>496</v>
      </c>
      <c r="F22" s="5">
        <v>3.8</v>
      </c>
      <c r="G22" s="26">
        <v>12.37</v>
      </c>
      <c r="H22" s="26">
        <v>16.61</v>
      </c>
      <c r="I22" s="26">
        <v>14.97</v>
      </c>
      <c r="J22" s="26">
        <v>-39.86</v>
      </c>
      <c r="K22" s="27">
        <v>20.76</v>
      </c>
      <c r="L22" s="26">
        <v>12.38</v>
      </c>
      <c r="M22" s="27">
        <v>18.47</v>
      </c>
      <c r="N22" s="27">
        <v>5.76</v>
      </c>
      <c r="O22" s="26">
        <v>9.4600000000000009</v>
      </c>
      <c r="P22" s="26">
        <v>15.14</v>
      </c>
      <c r="Q22" s="26">
        <v>21.76</v>
      </c>
      <c r="R22" s="27">
        <v>29.52</v>
      </c>
      <c r="S22" s="27">
        <v>17.91</v>
      </c>
      <c r="T22" s="26">
        <v>20.16</v>
      </c>
      <c r="U22" s="26">
        <v>14.86</v>
      </c>
      <c r="V22" s="26">
        <v>19.14</v>
      </c>
      <c r="W22" s="26">
        <v>20.66</v>
      </c>
      <c r="X22" s="7">
        <v>5.9528044586742553E-2</v>
      </c>
      <c r="Y22" s="10">
        <v>-7.7224398433128005E-2</v>
      </c>
      <c r="Z22" s="10">
        <v>-0.12589448150394189</v>
      </c>
      <c r="AA22" s="10">
        <v>3.8157347023726862E-2</v>
      </c>
    </row>
    <row r="23" spans="2:27" x14ac:dyDescent="0.3">
      <c r="B23" s="12" t="s">
        <v>64</v>
      </c>
      <c r="C23" s="3" t="s">
        <v>492</v>
      </c>
      <c r="D23" s="3" t="s">
        <v>516</v>
      </c>
      <c r="E23" s="3" t="s">
        <v>496</v>
      </c>
      <c r="F23" s="5">
        <v>3.6</v>
      </c>
      <c r="G23" s="26">
        <v>141</v>
      </c>
      <c r="H23" s="26">
        <v>108</v>
      </c>
      <c r="I23" s="26">
        <v>150</v>
      </c>
      <c r="J23" s="26">
        <v>180</v>
      </c>
      <c r="K23" s="27">
        <v>203</v>
      </c>
      <c r="L23" s="26">
        <v>139</v>
      </c>
      <c r="M23" s="26">
        <v>147</v>
      </c>
      <c r="N23" s="26">
        <v>211</v>
      </c>
      <c r="O23" s="27">
        <v>365</v>
      </c>
      <c r="P23" s="26">
        <v>218</v>
      </c>
      <c r="Q23" s="27">
        <v>275</v>
      </c>
      <c r="R23" s="26">
        <v>284</v>
      </c>
      <c r="S23" s="26">
        <v>344</v>
      </c>
      <c r="T23" s="26">
        <v>251</v>
      </c>
      <c r="U23" s="26">
        <v>330</v>
      </c>
      <c r="V23" s="26">
        <v>355</v>
      </c>
      <c r="W23" s="26">
        <v>390</v>
      </c>
      <c r="X23" s="7">
        <v>2.943800178412137E-2</v>
      </c>
      <c r="Y23" s="10">
        <v>4.7660311958405588E-2</v>
      </c>
      <c r="Z23" s="10">
        <v>5.8726220016542603E-2</v>
      </c>
      <c r="AA23" s="10">
        <v>3.5937499999999963E-2</v>
      </c>
    </row>
    <row r="24" spans="2:27" x14ac:dyDescent="0.3">
      <c r="B24" s="12" t="s">
        <v>36</v>
      </c>
      <c r="C24" s="3" t="s">
        <v>492</v>
      </c>
      <c r="D24" s="3" t="s">
        <v>528</v>
      </c>
      <c r="E24" s="3" t="s">
        <v>496</v>
      </c>
      <c r="F24" s="5">
        <v>3</v>
      </c>
      <c r="G24" s="26">
        <v>489.9</v>
      </c>
      <c r="H24" s="26">
        <v>351.2</v>
      </c>
      <c r="I24" s="26">
        <v>450.6</v>
      </c>
      <c r="J24" s="26">
        <v>527</v>
      </c>
      <c r="K24" s="26">
        <v>519.20000000000005</v>
      </c>
      <c r="L24" s="26">
        <v>393</v>
      </c>
      <c r="M24" s="26">
        <v>528.20000000000005</v>
      </c>
      <c r="N24" s="26">
        <v>623.1</v>
      </c>
      <c r="O24" s="26">
        <v>641.79999999999995</v>
      </c>
      <c r="P24" s="26">
        <v>560.70000000000005</v>
      </c>
      <c r="Q24" s="26">
        <v>682.4</v>
      </c>
      <c r="R24" s="26">
        <v>726</v>
      </c>
      <c r="S24" s="26">
        <v>701</v>
      </c>
      <c r="T24" s="26">
        <v>602.6</v>
      </c>
      <c r="U24" s="26">
        <v>750.2</v>
      </c>
      <c r="V24" s="26">
        <v>799.5</v>
      </c>
      <c r="W24" s="26">
        <v>786.7</v>
      </c>
      <c r="X24" s="7">
        <v>1.5692296168682951E-2</v>
      </c>
      <c r="Y24" s="10">
        <v>2.500000000000013E-2</v>
      </c>
      <c r="Z24" s="10">
        <v>2.6440751133175011E-2</v>
      </c>
      <c r="AA24" s="10">
        <v>3.0035397609785131E-2</v>
      </c>
    </row>
    <row r="25" spans="2:27" x14ac:dyDescent="0.3">
      <c r="B25" s="12" t="s">
        <v>21</v>
      </c>
      <c r="C25" s="3" t="s">
        <v>492</v>
      </c>
      <c r="D25" s="3" t="s">
        <v>520</v>
      </c>
      <c r="E25" s="3" t="s">
        <v>496</v>
      </c>
      <c r="F25" s="5">
        <v>2.7</v>
      </c>
      <c r="G25" s="26">
        <v>1031</v>
      </c>
      <c r="H25" s="26">
        <v>633</v>
      </c>
      <c r="I25" s="26">
        <v>1148</v>
      </c>
      <c r="J25" s="26">
        <v>1110</v>
      </c>
      <c r="K25" s="26">
        <v>803</v>
      </c>
      <c r="L25" s="27">
        <v>1165</v>
      </c>
      <c r="M25" s="26">
        <v>1149</v>
      </c>
      <c r="N25" s="26">
        <v>1171</v>
      </c>
      <c r="O25" s="26">
        <v>1088</v>
      </c>
      <c r="P25" s="26">
        <v>1461</v>
      </c>
      <c r="Q25" s="26">
        <v>1489</v>
      </c>
      <c r="R25" s="26">
        <v>1444</v>
      </c>
      <c r="S25" s="26">
        <v>1400</v>
      </c>
      <c r="T25" s="26">
        <v>1632</v>
      </c>
      <c r="U25" s="26">
        <v>1603</v>
      </c>
      <c r="V25" s="26">
        <v>1723</v>
      </c>
      <c r="W25" s="26">
        <v>1574</v>
      </c>
      <c r="X25" s="7">
        <v>2.9513289609941259E-2</v>
      </c>
      <c r="Y25" s="10">
        <v>1.9111483654652209E-2</v>
      </c>
      <c r="Z25" s="10">
        <v>4.5895706530679307E-2</v>
      </c>
      <c r="AA25" s="10">
        <v>2.736709657124892E-2</v>
      </c>
    </row>
    <row r="26" spans="2:27" x14ac:dyDescent="0.3">
      <c r="B26" s="12" t="s">
        <v>122</v>
      </c>
      <c r="C26" s="3" t="s">
        <v>492</v>
      </c>
      <c r="D26" s="3" t="s">
        <v>519</v>
      </c>
      <c r="E26" s="3" t="s">
        <v>496</v>
      </c>
      <c r="F26" s="5">
        <v>2.6</v>
      </c>
      <c r="G26" s="26">
        <v>197.5</v>
      </c>
      <c r="H26" s="26">
        <v>202.1</v>
      </c>
      <c r="I26" s="26">
        <v>98.2</v>
      </c>
      <c r="J26" s="26">
        <v>34.799999999999997</v>
      </c>
      <c r="K26" s="26">
        <v>185.1</v>
      </c>
      <c r="L26" s="26">
        <v>180.4</v>
      </c>
      <c r="M26" s="27">
        <v>230.2</v>
      </c>
      <c r="N26" s="27">
        <v>269</v>
      </c>
      <c r="O26" s="26">
        <v>269.39999999999998</v>
      </c>
      <c r="P26" s="27">
        <v>319.7</v>
      </c>
      <c r="Q26" s="26">
        <v>259.60000000000002</v>
      </c>
      <c r="R26" s="26">
        <v>178.2</v>
      </c>
      <c r="S26" s="26">
        <v>282</v>
      </c>
      <c r="T26" s="26">
        <v>210.5</v>
      </c>
      <c r="U26" s="26">
        <v>315.7</v>
      </c>
      <c r="V26" s="27">
        <v>360.4</v>
      </c>
      <c r="W26" s="26">
        <v>311.8</v>
      </c>
      <c r="X26" s="7">
        <v>-0.1050505050505051</v>
      </c>
      <c r="Y26" s="10">
        <v>6.0303128023218237E-2</v>
      </c>
      <c r="Z26" s="8">
        <v>0.1847120843471208</v>
      </c>
      <c r="AA26" s="10">
        <v>2.5500599007359352E-2</v>
      </c>
    </row>
    <row r="27" spans="2:27" x14ac:dyDescent="0.3">
      <c r="B27" s="12" t="s">
        <v>134</v>
      </c>
      <c r="C27" s="3" t="s">
        <v>492</v>
      </c>
      <c r="D27" s="3" t="s">
        <v>517</v>
      </c>
      <c r="E27" s="3" t="s">
        <v>496</v>
      </c>
      <c r="F27" s="5">
        <v>2.2000000000000002</v>
      </c>
      <c r="G27" s="26">
        <v>303.77999999999997</v>
      </c>
      <c r="H27" s="26">
        <v>318.5</v>
      </c>
      <c r="I27" s="26">
        <v>391.3</v>
      </c>
      <c r="J27" s="26">
        <v>418.6</v>
      </c>
      <c r="K27" s="26">
        <v>401.7</v>
      </c>
      <c r="L27" s="26">
        <v>357.9</v>
      </c>
      <c r="M27" s="26">
        <v>378.5</v>
      </c>
      <c r="N27" s="26">
        <v>401.7</v>
      </c>
      <c r="O27" s="26">
        <v>321.7</v>
      </c>
      <c r="P27" s="26">
        <v>265.10000000000002</v>
      </c>
      <c r="Q27" s="26">
        <v>342.6</v>
      </c>
      <c r="R27" s="26">
        <v>343.9</v>
      </c>
      <c r="S27" s="26">
        <v>308.2</v>
      </c>
      <c r="T27" s="26">
        <v>242.8</v>
      </c>
      <c r="U27" s="26">
        <v>323.5</v>
      </c>
      <c r="V27" s="26">
        <v>355</v>
      </c>
      <c r="W27" s="26">
        <v>335.6</v>
      </c>
      <c r="X27" s="7">
        <v>-1.770122241625649E-2</v>
      </c>
      <c r="Y27" s="10">
        <v>-1.543434343434336E-2</v>
      </c>
      <c r="Z27" s="10">
        <v>9.1103086014443502E-3</v>
      </c>
      <c r="AA27" s="10">
        <v>2.2285481903212782E-2</v>
      </c>
    </row>
    <row r="28" spans="2:27" x14ac:dyDescent="0.3">
      <c r="B28" s="12" t="s">
        <v>253</v>
      </c>
      <c r="C28" s="3" t="s">
        <v>492</v>
      </c>
      <c r="D28" s="3" t="s">
        <v>522</v>
      </c>
      <c r="E28" s="3" t="s">
        <v>496</v>
      </c>
      <c r="F28" s="5">
        <v>2</v>
      </c>
      <c r="G28" s="26">
        <v>89.91</v>
      </c>
      <c r="H28" s="26">
        <v>94.7</v>
      </c>
      <c r="I28" s="26">
        <v>104.22</v>
      </c>
      <c r="J28" s="26">
        <v>106.63</v>
      </c>
      <c r="K28" s="26">
        <v>102.82</v>
      </c>
      <c r="L28" s="26">
        <v>104.21</v>
      </c>
      <c r="M28" s="26">
        <v>112.1</v>
      </c>
      <c r="N28" s="26">
        <v>115.36</v>
      </c>
      <c r="O28" s="26">
        <v>113.25</v>
      </c>
      <c r="P28" s="26">
        <v>122.61</v>
      </c>
      <c r="Q28" s="26">
        <v>133.32</v>
      </c>
      <c r="R28" s="26">
        <v>126.4</v>
      </c>
      <c r="S28" s="26">
        <v>117.98</v>
      </c>
      <c r="T28" s="26">
        <v>138.47999999999999</v>
      </c>
      <c r="U28" s="26">
        <v>130.72</v>
      </c>
      <c r="V28" s="26">
        <v>130.81</v>
      </c>
      <c r="W28" s="26">
        <v>128.28</v>
      </c>
      <c r="X28" s="7">
        <v>3.1720333393296052E-2</v>
      </c>
      <c r="Y28" s="10">
        <v>-5.0370025959934894E-3</v>
      </c>
      <c r="Z28" s="10">
        <v>8.5867829744148416E-3</v>
      </c>
      <c r="AA28" s="10">
        <v>1.988455375586384E-2</v>
      </c>
    </row>
    <row r="29" spans="2:27" x14ac:dyDescent="0.3">
      <c r="B29" s="12" t="s">
        <v>48</v>
      </c>
      <c r="C29" s="3" t="s">
        <v>492</v>
      </c>
      <c r="D29" s="3" t="s">
        <v>531</v>
      </c>
      <c r="E29" s="3" t="s">
        <v>496</v>
      </c>
      <c r="F29" s="5">
        <v>1.9</v>
      </c>
      <c r="G29" s="26">
        <v>262.83999999999997</v>
      </c>
      <c r="H29" s="26">
        <v>305.37</v>
      </c>
      <c r="I29" s="26">
        <v>320.86</v>
      </c>
      <c r="J29" s="26">
        <v>297.3</v>
      </c>
      <c r="K29" s="26">
        <v>297.67</v>
      </c>
      <c r="L29" s="26">
        <v>383.35</v>
      </c>
      <c r="M29" s="26">
        <v>435.54</v>
      </c>
      <c r="N29" s="26">
        <v>421.88</v>
      </c>
      <c r="O29" s="26">
        <v>370.46</v>
      </c>
      <c r="P29" s="26">
        <v>440.56</v>
      </c>
      <c r="Q29" s="26">
        <v>509.2</v>
      </c>
      <c r="R29" s="26">
        <v>464.42</v>
      </c>
      <c r="S29" s="26">
        <v>469.84</v>
      </c>
      <c r="T29" s="26">
        <v>539.66</v>
      </c>
      <c r="U29" s="26">
        <v>549.54999999999995</v>
      </c>
      <c r="V29" s="26">
        <v>499.27</v>
      </c>
      <c r="W29" s="26">
        <v>509</v>
      </c>
      <c r="X29" s="7">
        <v>5.260029086740059E-2</v>
      </c>
      <c r="Y29" s="10">
        <v>2.0346726370567451E-2</v>
      </c>
      <c r="Z29" s="10">
        <v>1.722288939297334E-2</v>
      </c>
      <c r="AA29" s="10">
        <v>1.902522445489541E-2</v>
      </c>
    </row>
    <row r="30" spans="2:27" x14ac:dyDescent="0.3">
      <c r="B30" s="12" t="s">
        <v>258</v>
      </c>
      <c r="C30" s="3" t="s">
        <v>492</v>
      </c>
      <c r="D30" s="3" t="s">
        <v>534</v>
      </c>
      <c r="E30" s="3" t="s">
        <v>496</v>
      </c>
      <c r="F30" s="5">
        <v>1.1000000000000001</v>
      </c>
      <c r="G30" s="26">
        <v>60.11</v>
      </c>
      <c r="H30" s="26">
        <v>62.03</v>
      </c>
      <c r="I30" s="26">
        <v>62.47</v>
      </c>
      <c r="J30" s="26">
        <v>58.48</v>
      </c>
      <c r="K30" s="26">
        <v>57.81</v>
      </c>
      <c r="L30" s="26">
        <v>64.680000000000007</v>
      </c>
      <c r="M30" s="26">
        <v>57.38</v>
      </c>
      <c r="N30" s="26">
        <v>56.66</v>
      </c>
      <c r="O30" s="26">
        <v>45.33</v>
      </c>
      <c r="P30" s="26">
        <v>55.32</v>
      </c>
      <c r="Q30" s="26">
        <v>58.2</v>
      </c>
      <c r="R30" s="26">
        <v>50.72</v>
      </c>
      <c r="S30" s="26">
        <v>48.5</v>
      </c>
      <c r="T30" s="26">
        <v>52.8</v>
      </c>
      <c r="U30" s="26">
        <v>52.26</v>
      </c>
      <c r="V30" s="26">
        <v>53.56</v>
      </c>
      <c r="W30" s="26">
        <v>50.86</v>
      </c>
      <c r="X30" s="7">
        <v>-1.184544514430763E-2</v>
      </c>
      <c r="Y30" s="10">
        <v>-2.8256112643896821E-2</v>
      </c>
      <c r="Z30" s="10">
        <v>1.3902486782846999E-2</v>
      </c>
      <c r="AA30" s="10">
        <v>1.139436075704903E-2</v>
      </c>
    </row>
    <row r="31" spans="2:27" x14ac:dyDescent="0.3">
      <c r="B31" s="12" t="s">
        <v>87</v>
      </c>
      <c r="C31" s="3" t="s">
        <v>492</v>
      </c>
      <c r="D31" s="3" t="s">
        <v>525</v>
      </c>
      <c r="E31" s="3" t="s">
        <v>496</v>
      </c>
      <c r="F31" s="5">
        <v>1</v>
      </c>
      <c r="G31" s="26">
        <v>546</v>
      </c>
      <c r="H31" s="26">
        <v>525</v>
      </c>
      <c r="I31" s="26">
        <v>402</v>
      </c>
      <c r="J31" s="26">
        <v>396</v>
      </c>
      <c r="K31" s="26">
        <v>218</v>
      </c>
      <c r="L31" s="26">
        <v>324</v>
      </c>
      <c r="M31" s="26">
        <v>361</v>
      </c>
      <c r="N31" s="26">
        <v>353</v>
      </c>
      <c r="O31" s="26">
        <v>307</v>
      </c>
      <c r="P31" s="26">
        <v>320</v>
      </c>
      <c r="Q31" s="26">
        <v>372</v>
      </c>
      <c r="R31" s="26">
        <v>353</v>
      </c>
      <c r="S31" s="26">
        <v>368</v>
      </c>
      <c r="T31" s="26">
        <v>368</v>
      </c>
      <c r="U31" s="26">
        <v>423</v>
      </c>
      <c r="V31" s="26">
        <v>420</v>
      </c>
      <c r="W31" s="26">
        <v>384</v>
      </c>
      <c r="X31" s="7">
        <v>3.3970276008492561E-2</v>
      </c>
      <c r="Y31" s="10">
        <v>3.4907597535934309E-2</v>
      </c>
      <c r="Z31" s="10">
        <v>4.4312169312169303E-2</v>
      </c>
      <c r="AA31" s="10">
        <v>1.0132995566814349E-2</v>
      </c>
    </row>
    <row r="32" spans="2:27" x14ac:dyDescent="0.3">
      <c r="B32" s="12" t="s">
        <v>52</v>
      </c>
      <c r="C32" s="3" t="s">
        <v>492</v>
      </c>
      <c r="D32" s="3" t="s">
        <v>511</v>
      </c>
      <c r="E32" s="3" t="s">
        <v>496</v>
      </c>
      <c r="F32" s="5">
        <v>1</v>
      </c>
      <c r="G32" s="26">
        <v>363.1</v>
      </c>
      <c r="H32" s="26">
        <v>443</v>
      </c>
      <c r="I32" s="26">
        <v>444.7</v>
      </c>
      <c r="J32" s="26">
        <v>455.9</v>
      </c>
      <c r="K32" s="26">
        <v>448.3</v>
      </c>
      <c r="L32" s="26">
        <v>344.9</v>
      </c>
      <c r="M32" s="26">
        <v>240.5</v>
      </c>
      <c r="N32" s="26">
        <v>368.1</v>
      </c>
      <c r="O32" s="26">
        <v>533.9</v>
      </c>
      <c r="P32" s="26">
        <v>357.9</v>
      </c>
      <c r="Q32" s="26">
        <v>374.6</v>
      </c>
      <c r="R32" s="26">
        <v>394.3</v>
      </c>
      <c r="S32" s="26">
        <v>353.9</v>
      </c>
      <c r="T32" s="26">
        <v>409.9</v>
      </c>
      <c r="U32" s="26">
        <v>430.9</v>
      </c>
      <c r="V32" s="26">
        <v>425.1</v>
      </c>
      <c r="W32" s="26">
        <v>370.3</v>
      </c>
      <c r="X32" s="7">
        <v>3.511852502194901E-2</v>
      </c>
      <c r="Y32" s="10">
        <v>3.673256345012077E-2</v>
      </c>
      <c r="Z32" s="10">
        <v>1.9383259911894161E-2</v>
      </c>
      <c r="AA32" s="10">
        <v>1.01247067539203E-2</v>
      </c>
    </row>
    <row r="33" spans="2:27" x14ac:dyDescent="0.3">
      <c r="B33" s="12" t="s">
        <v>103</v>
      </c>
      <c r="C33" s="3" t="s">
        <v>492</v>
      </c>
      <c r="D33" s="3" t="s">
        <v>518</v>
      </c>
      <c r="E33" s="3" t="s">
        <v>496</v>
      </c>
      <c r="F33" s="5">
        <v>0.9</v>
      </c>
      <c r="G33" s="26">
        <v>195.1</v>
      </c>
      <c r="H33" s="26">
        <v>172.45</v>
      </c>
      <c r="I33" s="26">
        <v>173.23</v>
      </c>
      <c r="J33" s="26">
        <v>195.12</v>
      </c>
      <c r="K33" s="26">
        <v>188.66</v>
      </c>
      <c r="L33" s="26">
        <v>186.31</v>
      </c>
      <c r="M33" s="26">
        <v>226.67</v>
      </c>
      <c r="N33" s="26">
        <v>216.27</v>
      </c>
      <c r="O33" s="26">
        <v>205.06</v>
      </c>
      <c r="P33" s="26">
        <v>191.62</v>
      </c>
      <c r="Q33" s="26">
        <v>179.26</v>
      </c>
      <c r="R33" s="26">
        <v>209.56</v>
      </c>
      <c r="S33" s="26">
        <v>211.95</v>
      </c>
      <c r="T33" s="26">
        <v>204.17</v>
      </c>
      <c r="U33" s="26">
        <v>233.19</v>
      </c>
      <c r="V33" s="26">
        <v>229.02</v>
      </c>
      <c r="W33" s="26">
        <v>219.57</v>
      </c>
      <c r="X33" s="7">
        <v>1.5838160501772999E-2</v>
      </c>
      <c r="Y33" s="10">
        <v>6.6998782517951661E-2</v>
      </c>
      <c r="Z33" s="10">
        <v>2.265767811193764E-2</v>
      </c>
      <c r="AA33" s="10">
        <v>8.6755547459385074E-3</v>
      </c>
    </row>
    <row r="34" spans="2:27" x14ac:dyDescent="0.3">
      <c r="B34" s="12" t="s">
        <v>31</v>
      </c>
      <c r="C34" s="3" t="s">
        <v>492</v>
      </c>
      <c r="D34" s="3" t="s">
        <v>514</v>
      </c>
      <c r="E34" s="3" t="s">
        <v>496</v>
      </c>
      <c r="F34" s="5">
        <v>0</v>
      </c>
      <c r="G34" s="26">
        <v>617</v>
      </c>
      <c r="H34" s="26">
        <v>567</v>
      </c>
      <c r="I34" s="26">
        <v>950</v>
      </c>
      <c r="J34" s="26">
        <v>960</v>
      </c>
      <c r="K34" s="27">
        <v>997</v>
      </c>
      <c r="L34" s="27">
        <v>952</v>
      </c>
      <c r="M34" s="26">
        <v>1134</v>
      </c>
      <c r="N34" s="26">
        <v>1112</v>
      </c>
      <c r="O34" s="26">
        <v>726</v>
      </c>
      <c r="P34" s="26">
        <v>884</v>
      </c>
      <c r="Q34" s="26">
        <v>1203</v>
      </c>
      <c r="R34" s="26">
        <v>953</v>
      </c>
      <c r="S34" s="26">
        <v>804</v>
      </c>
      <c r="T34" s="26">
        <v>949</v>
      </c>
      <c r="U34" s="26">
        <v>1244</v>
      </c>
      <c r="V34" s="26">
        <v>1140</v>
      </c>
      <c r="W34" s="26">
        <v>806</v>
      </c>
      <c r="X34" s="7">
        <v>1.6909469302809569E-2</v>
      </c>
      <c r="Y34" s="10">
        <v>1.0488616014325819E-2</v>
      </c>
      <c r="Z34" s="10">
        <v>4.734177215189872E-2</v>
      </c>
      <c r="AA34" s="10">
        <v>4.8344210780748581E-4</v>
      </c>
    </row>
    <row r="35" spans="2:27" x14ac:dyDescent="0.3">
      <c r="B35" s="12" t="s">
        <v>27</v>
      </c>
      <c r="C35" s="3" t="s">
        <v>492</v>
      </c>
      <c r="D35" s="3" t="s">
        <v>515</v>
      </c>
      <c r="E35" s="3" t="s">
        <v>496</v>
      </c>
      <c r="F35" s="5">
        <v>0</v>
      </c>
      <c r="G35" s="26">
        <v>0</v>
      </c>
      <c r="H35" s="26">
        <v>1526</v>
      </c>
      <c r="I35" s="26">
        <v>1431</v>
      </c>
      <c r="J35" s="26">
        <v>2046</v>
      </c>
      <c r="K35" s="26">
        <v>0</v>
      </c>
      <c r="L35" s="26">
        <v>1675</v>
      </c>
      <c r="M35" s="26">
        <v>1399</v>
      </c>
      <c r="N35" s="26">
        <v>2191</v>
      </c>
      <c r="O35" s="27">
        <v>2058</v>
      </c>
      <c r="P35" s="26">
        <v>1951</v>
      </c>
      <c r="Q35" s="26">
        <v>1744</v>
      </c>
      <c r="R35" s="26">
        <v>2132</v>
      </c>
      <c r="S35" s="26">
        <v>2108</v>
      </c>
      <c r="T35" s="26">
        <v>2337</v>
      </c>
      <c r="U35" s="26">
        <v>1819</v>
      </c>
      <c r="V35" s="26">
        <v>2317</v>
      </c>
      <c r="W35" s="26">
        <v>2104</v>
      </c>
      <c r="X35" s="7">
        <v>4.8645242596093263E-2</v>
      </c>
      <c r="Y35" s="10">
        <v>9.0133397428193707E-3</v>
      </c>
      <c r="Z35" s="10">
        <v>2.2034302048594471E-2</v>
      </c>
      <c r="AA35" s="10">
        <v>-4.6614613681383871E-4</v>
      </c>
    </row>
    <row r="36" spans="2:27" x14ac:dyDescent="0.3">
      <c r="B36" s="12" t="s">
        <v>58</v>
      </c>
      <c r="C36" s="3" t="s">
        <v>492</v>
      </c>
      <c r="D36" s="3" t="s">
        <v>506</v>
      </c>
      <c r="E36" s="3" t="s">
        <v>496</v>
      </c>
      <c r="F36" s="5">
        <v>-0.4</v>
      </c>
      <c r="G36" s="26">
        <v>8.4600000000000009</v>
      </c>
      <c r="H36" s="26">
        <v>10.41</v>
      </c>
      <c r="I36" s="26">
        <v>-3.14</v>
      </c>
      <c r="J36" s="26">
        <v>-31.34</v>
      </c>
      <c r="K36" s="27">
        <v>-34.630000000000003</v>
      </c>
      <c r="L36" s="27">
        <v>-34.97</v>
      </c>
      <c r="M36" s="27">
        <v>-22.01</v>
      </c>
      <c r="N36" s="26">
        <v>-4.2300000000000004</v>
      </c>
      <c r="O36" s="26">
        <v>27.74</v>
      </c>
      <c r="P36" s="26">
        <v>12</v>
      </c>
      <c r="Q36" s="27">
        <v>12.62</v>
      </c>
      <c r="R36" s="27">
        <v>20.28</v>
      </c>
      <c r="S36" s="26">
        <v>9.39</v>
      </c>
      <c r="T36" s="26">
        <v>-12.42</v>
      </c>
      <c r="U36" s="26">
        <v>-35.5</v>
      </c>
      <c r="V36" s="27">
        <v>-5.81</v>
      </c>
      <c r="W36" s="26">
        <v>9.56</v>
      </c>
      <c r="X36" s="7">
        <v>-0.44980659421624603</v>
      </c>
      <c r="Y36" s="10">
        <v>-1.610980917308336</v>
      </c>
      <c r="Z36" s="8">
        <v>1.42958904109589</v>
      </c>
      <c r="AA36" s="10">
        <v>-3.834009923319726E-3</v>
      </c>
    </row>
    <row r="37" spans="2:27" x14ac:dyDescent="0.3">
      <c r="B37" s="12" t="s">
        <v>7</v>
      </c>
      <c r="C37" s="3" t="s">
        <v>492</v>
      </c>
      <c r="D37" s="3" t="s">
        <v>533</v>
      </c>
      <c r="E37" s="3" t="s">
        <v>496</v>
      </c>
      <c r="F37" s="5">
        <v>-0.6</v>
      </c>
      <c r="G37" s="26">
        <v>2120</v>
      </c>
      <c r="H37" s="26">
        <v>3503</v>
      </c>
      <c r="I37" s="26">
        <v>3359</v>
      </c>
      <c r="J37" s="26">
        <v>3260</v>
      </c>
      <c r="K37" s="26">
        <v>2221</v>
      </c>
      <c r="L37" s="26">
        <v>3487</v>
      </c>
      <c r="M37" s="26">
        <v>3748</v>
      </c>
      <c r="N37" s="26">
        <v>3638</v>
      </c>
      <c r="O37" s="26">
        <v>2373</v>
      </c>
      <c r="P37" s="26">
        <v>3725</v>
      </c>
      <c r="Q37" s="26">
        <v>3986</v>
      </c>
      <c r="R37" s="26">
        <v>3516</v>
      </c>
      <c r="S37" s="26">
        <v>2980</v>
      </c>
      <c r="T37" s="26">
        <v>3732</v>
      </c>
      <c r="U37" s="26">
        <v>4345</v>
      </c>
      <c r="V37" s="26">
        <v>4032</v>
      </c>
      <c r="W37" s="26">
        <v>2894</v>
      </c>
      <c r="X37" s="7">
        <v>4.9271485887247835E-4</v>
      </c>
      <c r="Y37" s="10">
        <v>2.5256789081187669E-2</v>
      </c>
      <c r="Z37" s="10">
        <v>3.5407946201880147E-2</v>
      </c>
      <c r="AA37" s="10">
        <v>-5.6995162038571126E-3</v>
      </c>
    </row>
    <row r="38" spans="2:27" x14ac:dyDescent="0.3">
      <c r="B38" s="12" t="s">
        <v>85</v>
      </c>
      <c r="C38" s="3" t="s">
        <v>492</v>
      </c>
      <c r="D38" s="3" t="s">
        <v>511</v>
      </c>
      <c r="E38" s="3" t="s">
        <v>496</v>
      </c>
      <c r="F38" s="5">
        <v>-0.7</v>
      </c>
      <c r="G38" s="26">
        <v>354.3</v>
      </c>
      <c r="H38" s="26">
        <v>276.39999999999998</v>
      </c>
      <c r="I38" s="26">
        <v>334.5</v>
      </c>
      <c r="J38" s="26">
        <v>280.7</v>
      </c>
      <c r="K38" s="26">
        <v>395.6</v>
      </c>
      <c r="L38" s="26">
        <v>374.8</v>
      </c>
      <c r="M38" s="26">
        <v>361.1</v>
      </c>
      <c r="N38" s="26">
        <v>301.7</v>
      </c>
      <c r="O38" s="26">
        <v>468</v>
      </c>
      <c r="P38" s="26">
        <v>392.5</v>
      </c>
      <c r="Q38" s="26">
        <v>401.8</v>
      </c>
      <c r="R38" s="26">
        <v>320.60000000000002</v>
      </c>
      <c r="S38" s="26">
        <v>470.3</v>
      </c>
      <c r="T38" s="26">
        <v>340.8</v>
      </c>
      <c r="U38" s="26">
        <v>405.5</v>
      </c>
      <c r="V38" s="26">
        <v>340.3</v>
      </c>
      <c r="W38" s="26">
        <v>460.1</v>
      </c>
      <c r="X38" s="7">
        <v>-3.2614181175876888E-2</v>
      </c>
      <c r="Y38" s="10">
        <v>2.4127812194327798E-3</v>
      </c>
      <c r="Z38" s="10">
        <v>1.281550871714798E-2</v>
      </c>
      <c r="AA38" s="10">
        <v>-6.5514805061339656E-3</v>
      </c>
    </row>
    <row r="39" spans="2:27" x14ac:dyDescent="0.3">
      <c r="B39" s="12" t="s">
        <v>240</v>
      </c>
      <c r="C39" s="3" t="s">
        <v>492</v>
      </c>
      <c r="D39" s="3" t="s">
        <v>532</v>
      </c>
      <c r="E39" s="3" t="s">
        <v>496</v>
      </c>
      <c r="F39" s="5">
        <v>-0.9</v>
      </c>
      <c r="G39" s="26">
        <v>150.34</v>
      </c>
      <c r="H39" s="26">
        <v>137.49</v>
      </c>
      <c r="I39" s="26">
        <v>149.28</v>
      </c>
      <c r="J39" s="26">
        <v>145.59</v>
      </c>
      <c r="K39" s="26">
        <v>157.82</v>
      </c>
      <c r="L39" s="26">
        <v>137.28</v>
      </c>
      <c r="M39" s="26">
        <v>136.97999999999999</v>
      </c>
      <c r="N39" s="26">
        <v>137.62</v>
      </c>
      <c r="O39" s="26">
        <v>159.16999999999999</v>
      </c>
      <c r="P39" s="26">
        <v>155.52000000000001</v>
      </c>
      <c r="Q39" s="26">
        <v>140.22999999999999</v>
      </c>
      <c r="R39" s="26">
        <v>130.63999999999999</v>
      </c>
      <c r="S39" s="26">
        <v>149</v>
      </c>
      <c r="T39" s="26">
        <v>154.35</v>
      </c>
      <c r="U39" s="26">
        <v>168.03</v>
      </c>
      <c r="V39" s="26">
        <v>131.47999999999999</v>
      </c>
      <c r="W39" s="26">
        <v>143.56</v>
      </c>
      <c r="X39" s="7">
        <v>-2.0334034307164521E-3</v>
      </c>
      <c r="Y39" s="10">
        <v>4.8413500052244762E-2</v>
      </c>
      <c r="Z39" s="10">
        <v>1.3953024816451001E-3</v>
      </c>
      <c r="AA39" s="10">
        <v>-9.0236539163321972E-3</v>
      </c>
    </row>
    <row r="40" spans="2:27" x14ac:dyDescent="0.3">
      <c r="B40" s="12" t="s">
        <v>219</v>
      </c>
      <c r="C40" s="3" t="s">
        <v>492</v>
      </c>
      <c r="D40" s="3" t="s">
        <v>498</v>
      </c>
      <c r="E40" s="3" t="s">
        <v>496</v>
      </c>
      <c r="F40" s="5">
        <v>-1.1000000000000001</v>
      </c>
      <c r="G40" s="26"/>
      <c r="H40" s="26"/>
      <c r="I40" s="26"/>
      <c r="J40" s="26"/>
      <c r="K40" s="26"/>
      <c r="L40" s="26"/>
      <c r="M40" s="26"/>
      <c r="N40" s="26"/>
      <c r="O40" s="26"/>
      <c r="P40" s="26">
        <v>-31.42</v>
      </c>
      <c r="Q40" s="26">
        <v>-17.55</v>
      </c>
      <c r="R40" s="26">
        <v>-3.87</v>
      </c>
      <c r="S40" s="26">
        <v>20.91</v>
      </c>
      <c r="T40" s="26">
        <v>13.14</v>
      </c>
      <c r="U40" s="26">
        <v>-580.66999999999996</v>
      </c>
      <c r="V40" s="26">
        <v>-6.09</v>
      </c>
      <c r="W40" s="26">
        <v>27.26</v>
      </c>
      <c r="X40" s="7">
        <v>-1.395552771688068</v>
      </c>
      <c r="Y40" s="10">
        <v>-44.585906571654803</v>
      </c>
      <c r="Z40" s="10">
        <v>4.0327708041925092E-3</v>
      </c>
      <c r="AA40" s="10">
        <v>-1.1488845868538711E-2</v>
      </c>
    </row>
    <row r="41" spans="2:27" x14ac:dyDescent="0.3">
      <c r="B41" s="12" t="s">
        <v>25</v>
      </c>
      <c r="C41" s="3" t="s">
        <v>492</v>
      </c>
      <c r="D41" s="3" t="s">
        <v>513</v>
      </c>
      <c r="E41" s="3" t="s">
        <v>496</v>
      </c>
      <c r="F41" s="5">
        <v>-1.3</v>
      </c>
      <c r="G41" s="26">
        <v>3436</v>
      </c>
      <c r="H41" s="26">
        <v>3902</v>
      </c>
      <c r="I41" s="26">
        <v>4524</v>
      </c>
      <c r="J41" s="26">
        <v>3581</v>
      </c>
      <c r="K41" s="26">
        <v>3735</v>
      </c>
      <c r="L41" s="26">
        <v>3504</v>
      </c>
      <c r="M41" s="26">
        <v>3624</v>
      </c>
      <c r="N41" s="26">
        <v>3518</v>
      </c>
      <c r="O41" s="26">
        <v>3438</v>
      </c>
      <c r="P41" s="26">
        <v>1977</v>
      </c>
      <c r="Q41" s="26">
        <v>2753</v>
      </c>
      <c r="R41" s="26">
        <v>1509</v>
      </c>
      <c r="S41" s="26">
        <v>1780</v>
      </c>
      <c r="T41" s="27">
        <v>3292</v>
      </c>
      <c r="U41" s="26">
        <v>2759</v>
      </c>
      <c r="V41" s="26">
        <v>2316</v>
      </c>
      <c r="W41" s="26">
        <v>1652</v>
      </c>
      <c r="X41" s="9">
        <v>0.16398553435590471</v>
      </c>
      <c r="Y41" s="10">
        <v>6.4281122776943533E-4</v>
      </c>
      <c r="Z41" s="10">
        <v>8.6402569593147849E-2</v>
      </c>
      <c r="AA41" s="10">
        <v>-1.261456588154131E-2</v>
      </c>
    </row>
    <row r="42" spans="2:27" x14ac:dyDescent="0.3">
      <c r="B42" s="12" t="s">
        <v>136</v>
      </c>
      <c r="C42" s="3" t="s">
        <v>492</v>
      </c>
      <c r="D42" s="3" t="s">
        <v>526</v>
      </c>
      <c r="E42" s="3" t="s">
        <v>527</v>
      </c>
      <c r="F42" s="5">
        <v>-1.3</v>
      </c>
      <c r="G42" s="26">
        <v>140.25</v>
      </c>
      <c r="H42" s="26">
        <v>120.99</v>
      </c>
      <c r="I42" s="26">
        <v>145.59</v>
      </c>
      <c r="J42" s="26">
        <v>195.59</v>
      </c>
      <c r="K42" s="26">
        <v>151.69</v>
      </c>
      <c r="L42" s="26">
        <v>126.06</v>
      </c>
      <c r="M42" s="26">
        <v>132.51</v>
      </c>
      <c r="N42" s="27">
        <v>266.87</v>
      </c>
      <c r="O42" s="26">
        <v>186.95</v>
      </c>
      <c r="P42" s="26">
        <v>159.09</v>
      </c>
      <c r="Q42" s="26">
        <v>161.68</v>
      </c>
      <c r="R42" s="26">
        <v>218.5</v>
      </c>
      <c r="S42" s="26">
        <v>228.39</v>
      </c>
      <c r="T42" s="26">
        <v>174.18</v>
      </c>
      <c r="U42" s="26">
        <v>182.59</v>
      </c>
      <c r="V42" s="26">
        <v>268.89</v>
      </c>
      <c r="W42" s="26">
        <v>217.55</v>
      </c>
      <c r="X42" s="7">
        <v>1.9657139879634359E-2</v>
      </c>
      <c r="Y42" s="10">
        <v>2.6713510060683451E-2</v>
      </c>
      <c r="Z42" s="10">
        <v>6.2700644551178408E-2</v>
      </c>
      <c r="AA42" s="10">
        <v>-1.269246531233525E-2</v>
      </c>
    </row>
    <row r="43" spans="2:27" x14ac:dyDescent="0.3">
      <c r="B43" s="12" t="s">
        <v>46</v>
      </c>
      <c r="C43" s="3" t="s">
        <v>492</v>
      </c>
      <c r="D43" s="3" t="s">
        <v>536</v>
      </c>
      <c r="E43" s="3" t="s">
        <v>496</v>
      </c>
      <c r="F43" s="5">
        <v>-1.5</v>
      </c>
      <c r="G43" s="26">
        <v>196.6</v>
      </c>
      <c r="H43" s="26">
        <v>274.89999999999998</v>
      </c>
      <c r="I43" s="26">
        <v>0</v>
      </c>
      <c r="J43" s="26">
        <v>348.7</v>
      </c>
      <c r="K43" s="26">
        <v>212.3</v>
      </c>
      <c r="L43" s="26">
        <v>124.7</v>
      </c>
      <c r="M43" s="27">
        <v>308.8</v>
      </c>
      <c r="N43" s="26">
        <v>300</v>
      </c>
      <c r="O43" s="26">
        <v>255</v>
      </c>
      <c r="P43" s="27">
        <v>225.2</v>
      </c>
      <c r="Q43" s="26">
        <v>382</v>
      </c>
      <c r="R43" s="26">
        <v>316.39999999999998</v>
      </c>
      <c r="S43" s="26">
        <v>205.6</v>
      </c>
      <c r="T43" s="26">
        <v>188.9</v>
      </c>
      <c r="U43" s="26">
        <v>336.3</v>
      </c>
      <c r="V43" s="26">
        <v>293.89999999999998</v>
      </c>
      <c r="W43" s="26">
        <v>190</v>
      </c>
      <c r="X43" s="7">
        <v>-3.2146652497343157E-2</v>
      </c>
      <c r="Y43" s="10">
        <v>-4.1815353646262321E-2</v>
      </c>
      <c r="Z43" s="10">
        <v>-2.1485867074102379E-2</v>
      </c>
      <c r="AA43" s="10">
        <v>-1.522396799063142E-2</v>
      </c>
    </row>
    <row r="44" spans="2:27" x14ac:dyDescent="0.3">
      <c r="B44" s="12" t="s">
        <v>249</v>
      </c>
      <c r="C44" s="3" t="s">
        <v>492</v>
      </c>
      <c r="D44" s="3" t="s">
        <v>506</v>
      </c>
      <c r="E44" s="3" t="s">
        <v>496</v>
      </c>
      <c r="F44" s="5">
        <v>-1.7</v>
      </c>
      <c r="G44" s="26">
        <v>3.37</v>
      </c>
      <c r="H44" s="26">
        <v>2.2200000000000002</v>
      </c>
      <c r="I44" s="26">
        <v>13.4</v>
      </c>
      <c r="J44" s="26">
        <v>9.15</v>
      </c>
      <c r="K44" s="27">
        <v>19.37</v>
      </c>
      <c r="L44" s="27">
        <v>9.14</v>
      </c>
      <c r="M44" s="27">
        <v>26.37</v>
      </c>
      <c r="N44" s="27">
        <v>33.130000000000003</v>
      </c>
      <c r="O44" s="27">
        <v>43.39</v>
      </c>
      <c r="P44" s="27">
        <v>23.34</v>
      </c>
      <c r="Q44" s="27">
        <v>48.3</v>
      </c>
      <c r="R44" s="26">
        <v>41.95</v>
      </c>
      <c r="S44" s="27">
        <v>62.94</v>
      </c>
      <c r="T44" s="27">
        <v>47.71</v>
      </c>
      <c r="U44" s="26">
        <v>57.69</v>
      </c>
      <c r="V44" s="26">
        <v>55.17</v>
      </c>
      <c r="W44" s="26">
        <v>59.14</v>
      </c>
      <c r="X44" s="9">
        <v>0.13805018976944439</v>
      </c>
      <c r="Y44" s="10">
        <v>4.6739671478347462E-2</v>
      </c>
      <c r="Z44" s="10">
        <v>6.2865566598506728E-2</v>
      </c>
      <c r="AA44" s="10">
        <v>-1.7001476444006961E-2</v>
      </c>
    </row>
    <row r="45" spans="2:27" x14ac:dyDescent="0.3">
      <c r="B45" s="12" t="s">
        <v>288</v>
      </c>
      <c r="C45" s="3" t="s">
        <v>492</v>
      </c>
      <c r="D45" s="3" t="s">
        <v>534</v>
      </c>
      <c r="E45" s="3" t="s">
        <v>496</v>
      </c>
      <c r="F45" s="5">
        <v>-2</v>
      </c>
      <c r="G45" s="26">
        <v>51.38</v>
      </c>
      <c r="H45" s="26">
        <v>60.98</v>
      </c>
      <c r="I45" s="26">
        <v>59.81</v>
      </c>
      <c r="J45" s="26">
        <v>58.16</v>
      </c>
      <c r="K45" s="26">
        <v>60.01</v>
      </c>
      <c r="L45" s="26">
        <v>58.91</v>
      </c>
      <c r="M45" s="26">
        <v>32.31</v>
      </c>
      <c r="N45" s="26">
        <v>28.96</v>
      </c>
      <c r="O45" s="26">
        <v>75.64</v>
      </c>
      <c r="P45" s="26">
        <v>54.53</v>
      </c>
      <c r="Q45" s="27">
        <v>56.84</v>
      </c>
      <c r="R45" s="26">
        <v>49.36</v>
      </c>
      <c r="S45" s="26">
        <v>48.68</v>
      </c>
      <c r="T45" s="26">
        <v>52.63</v>
      </c>
      <c r="U45" s="26">
        <v>45.65</v>
      </c>
      <c r="V45" s="26">
        <v>47.42</v>
      </c>
      <c r="W45" s="26">
        <v>44.76</v>
      </c>
      <c r="X45" s="7">
        <v>-9.0731101666586822E-3</v>
      </c>
      <c r="Y45" s="10">
        <v>-5.3925112042793162E-2</v>
      </c>
      <c r="Z45" s="10">
        <v>-9.8818255908720287E-3</v>
      </c>
      <c r="AA45" s="10">
        <v>-2.016668381520725E-2</v>
      </c>
    </row>
    <row r="46" spans="2:27" x14ac:dyDescent="0.3">
      <c r="B46" s="12" t="s">
        <v>393</v>
      </c>
      <c r="C46" s="3" t="s">
        <v>492</v>
      </c>
      <c r="D46" s="3" t="s">
        <v>511</v>
      </c>
      <c r="E46" s="3" t="s">
        <v>496</v>
      </c>
      <c r="F46" s="5">
        <v>-2.1</v>
      </c>
      <c r="G46" s="26">
        <v>54.15</v>
      </c>
      <c r="H46" s="26">
        <v>35.01</v>
      </c>
      <c r="I46" s="26">
        <v>49.2</v>
      </c>
      <c r="J46" s="26">
        <v>53.75</v>
      </c>
      <c r="K46" s="26">
        <v>59.9</v>
      </c>
      <c r="L46" s="26">
        <v>41</v>
      </c>
      <c r="M46" s="26">
        <v>57.01</v>
      </c>
      <c r="N46" s="26">
        <v>46.41</v>
      </c>
      <c r="O46" s="26">
        <v>51.24</v>
      </c>
      <c r="P46" s="26">
        <v>18.09</v>
      </c>
      <c r="Q46" s="26">
        <v>18.309999999999999</v>
      </c>
      <c r="R46" s="26">
        <v>48.26</v>
      </c>
      <c r="S46" s="26">
        <v>27.86</v>
      </c>
      <c r="T46" s="26">
        <v>15.62</v>
      </c>
      <c r="U46" s="26">
        <v>22.88</v>
      </c>
      <c r="V46" s="26">
        <v>20.9</v>
      </c>
      <c r="W46" s="26">
        <v>25.99</v>
      </c>
      <c r="X46" s="7">
        <v>-2.195165303945967E-2</v>
      </c>
      <c r="Y46" s="10">
        <v>4.1526578827805423E-2</v>
      </c>
      <c r="Z46" s="10">
        <v>-0.23870179724306409</v>
      </c>
      <c r="AA46" s="10">
        <v>-2.1430208572083331E-2</v>
      </c>
    </row>
    <row r="47" spans="2:27" x14ac:dyDescent="0.3">
      <c r="B47" s="12" t="s">
        <v>109</v>
      </c>
      <c r="C47" s="3" t="s">
        <v>492</v>
      </c>
      <c r="D47" s="3" t="s">
        <v>536</v>
      </c>
      <c r="E47" s="3" t="s">
        <v>496</v>
      </c>
      <c r="F47" s="5">
        <v>-2.2000000000000002</v>
      </c>
      <c r="G47" s="26">
        <v>267</v>
      </c>
      <c r="H47" s="26">
        <v>351</v>
      </c>
      <c r="I47" s="26">
        <v>405</v>
      </c>
      <c r="J47" s="26">
        <v>349</v>
      </c>
      <c r="K47" s="26">
        <v>240</v>
      </c>
      <c r="L47" s="26">
        <v>315</v>
      </c>
      <c r="M47" s="26">
        <v>403</v>
      </c>
      <c r="N47" s="26">
        <v>383</v>
      </c>
      <c r="O47" s="26">
        <v>268</v>
      </c>
      <c r="P47" s="26">
        <v>318</v>
      </c>
      <c r="Q47" s="26">
        <v>397</v>
      </c>
      <c r="R47" s="26">
        <v>357</v>
      </c>
      <c r="S47" s="26">
        <v>294</v>
      </c>
      <c r="T47" s="26">
        <v>286</v>
      </c>
      <c r="U47" s="26">
        <v>412</v>
      </c>
      <c r="V47" s="26">
        <v>303</v>
      </c>
      <c r="W47" s="26">
        <v>265</v>
      </c>
      <c r="X47" s="7">
        <v>-2.3426061493411421E-2</v>
      </c>
      <c r="Y47" s="10">
        <v>1.124437781109444E-2</v>
      </c>
      <c r="Z47" s="10">
        <v>-4.0029651593773141E-2</v>
      </c>
      <c r="AA47" s="10">
        <v>-2.2393822393822371E-2</v>
      </c>
    </row>
    <row r="48" spans="2:27" x14ac:dyDescent="0.3">
      <c r="B48" s="12" t="s">
        <v>281</v>
      </c>
      <c r="C48" s="3" t="s">
        <v>492</v>
      </c>
      <c r="D48" s="3" t="s">
        <v>509</v>
      </c>
      <c r="E48" s="3" t="s">
        <v>496</v>
      </c>
      <c r="F48" s="5">
        <v>-2.4</v>
      </c>
      <c r="G48" s="26">
        <v>10.79</v>
      </c>
      <c r="H48" s="26">
        <v>14.39</v>
      </c>
      <c r="I48" s="26">
        <v>11.11</v>
      </c>
      <c r="J48" s="26">
        <v>8.06</v>
      </c>
      <c r="K48" s="26">
        <v>12.53</v>
      </c>
      <c r="L48" s="26">
        <v>10.199999999999999</v>
      </c>
      <c r="M48" s="26">
        <v>9.82</v>
      </c>
      <c r="N48" s="26">
        <v>6.35</v>
      </c>
      <c r="O48" s="26">
        <v>8.89</v>
      </c>
      <c r="P48" s="26">
        <v>11.68</v>
      </c>
      <c r="Q48" s="26">
        <v>10.68</v>
      </c>
      <c r="R48" s="27">
        <v>12.25</v>
      </c>
      <c r="S48" s="26">
        <v>12.39</v>
      </c>
      <c r="T48" s="26">
        <v>14.51</v>
      </c>
      <c r="U48" s="26">
        <v>12.44</v>
      </c>
      <c r="V48" s="26">
        <v>13.32</v>
      </c>
      <c r="W48" s="26">
        <v>11.15</v>
      </c>
      <c r="X48" s="7">
        <v>6.0212765957446727E-2</v>
      </c>
      <c r="Y48" s="10">
        <v>3.5320088300220931E-2</v>
      </c>
      <c r="Z48" s="10">
        <v>2.0740453576274302E-2</v>
      </c>
      <c r="AA48" s="10">
        <v>-2.35472844663881E-2</v>
      </c>
    </row>
    <row r="49" spans="2:27" x14ac:dyDescent="0.3">
      <c r="B49" s="12" t="s">
        <v>178</v>
      </c>
      <c r="C49" s="3" t="s">
        <v>492</v>
      </c>
      <c r="D49" s="3" t="s">
        <v>501</v>
      </c>
      <c r="E49" s="3" t="s">
        <v>496</v>
      </c>
      <c r="F49" s="5">
        <v>-2.4</v>
      </c>
      <c r="G49" s="26">
        <v>243.58</v>
      </c>
      <c r="H49" s="26">
        <v>87.4</v>
      </c>
      <c r="I49" s="26">
        <v>134.69999999999999</v>
      </c>
      <c r="J49" s="26">
        <v>397.33</v>
      </c>
      <c r="K49" s="26">
        <v>80.11</v>
      </c>
      <c r="L49" s="26">
        <v>-86.38</v>
      </c>
      <c r="M49" s="26">
        <v>70.3</v>
      </c>
      <c r="N49" s="27">
        <v>501.92</v>
      </c>
      <c r="O49" s="27">
        <v>155.71</v>
      </c>
      <c r="P49" s="26">
        <v>-23.64</v>
      </c>
      <c r="Q49" s="26">
        <v>94.25</v>
      </c>
      <c r="R49" s="26">
        <v>501.65</v>
      </c>
      <c r="S49" s="26">
        <v>155.44</v>
      </c>
      <c r="T49" s="26">
        <v>-18.75</v>
      </c>
      <c r="U49" s="26">
        <v>85.89</v>
      </c>
      <c r="V49" s="26">
        <v>385.13</v>
      </c>
      <c r="W49" s="26">
        <v>141.1</v>
      </c>
      <c r="X49" s="7">
        <v>6.7198021162566679E-3</v>
      </c>
      <c r="Y49" s="10">
        <v>-1.1411567179459009E-2</v>
      </c>
      <c r="Z49" s="10">
        <v>-0.16088811565386679</v>
      </c>
      <c r="AA49" s="10">
        <v>-2.3596781359530139E-2</v>
      </c>
    </row>
    <row r="50" spans="2:27" x14ac:dyDescent="0.3">
      <c r="B50" s="12" t="s">
        <v>11</v>
      </c>
      <c r="C50" s="3" t="s">
        <v>492</v>
      </c>
      <c r="D50" s="3" t="s">
        <v>529</v>
      </c>
      <c r="E50" s="3" t="s">
        <v>496</v>
      </c>
      <c r="F50" s="5">
        <v>-2.4</v>
      </c>
      <c r="G50" s="26">
        <v>3676</v>
      </c>
      <c r="H50" s="26">
        <v>1524</v>
      </c>
      <c r="I50" s="26">
        <v>539</v>
      </c>
      <c r="J50" s="26">
        <v>1245</v>
      </c>
      <c r="K50" s="27">
        <v>5695</v>
      </c>
      <c r="L50" s="27">
        <v>2541</v>
      </c>
      <c r="M50" s="27">
        <v>2456</v>
      </c>
      <c r="N50" s="26">
        <v>1954</v>
      </c>
      <c r="O50" s="26">
        <v>3341</v>
      </c>
      <c r="P50" s="26">
        <v>3115</v>
      </c>
      <c r="Q50" s="26">
        <v>2746</v>
      </c>
      <c r="R50" s="26">
        <v>2106</v>
      </c>
      <c r="S50" s="26">
        <v>3383</v>
      </c>
      <c r="T50" s="26">
        <v>3796</v>
      </c>
      <c r="U50" s="26">
        <v>3487</v>
      </c>
      <c r="V50" s="27">
        <v>3662</v>
      </c>
      <c r="W50" s="26">
        <v>3034</v>
      </c>
      <c r="X50" s="7">
        <v>6.0000000000000053E-2</v>
      </c>
      <c r="Y50" s="10">
        <v>6.159089020031594E-2</v>
      </c>
      <c r="Z50" s="8">
        <v>0.1218290009395553</v>
      </c>
      <c r="AA50" s="10">
        <v>-2.4357900614181971E-2</v>
      </c>
    </row>
    <row r="51" spans="2:27" x14ac:dyDescent="0.3">
      <c r="B51" s="12" t="s">
        <v>120</v>
      </c>
      <c r="C51" s="3" t="s">
        <v>492</v>
      </c>
      <c r="D51" s="3" t="s">
        <v>504</v>
      </c>
      <c r="E51" s="3" t="s">
        <v>505</v>
      </c>
      <c r="F51" s="5">
        <v>-3.3</v>
      </c>
      <c r="G51" s="26">
        <v>203.8</v>
      </c>
      <c r="H51" s="26">
        <v>224.9</v>
      </c>
      <c r="I51" s="26">
        <v>208.1</v>
      </c>
      <c r="J51" s="26">
        <v>218.1</v>
      </c>
      <c r="K51" s="26">
        <v>165.1</v>
      </c>
      <c r="L51" s="26">
        <v>187.1</v>
      </c>
      <c r="M51" s="26">
        <v>233.8</v>
      </c>
      <c r="N51" s="26">
        <v>239.7</v>
      </c>
      <c r="O51" s="26">
        <v>233.7</v>
      </c>
      <c r="P51" s="26">
        <v>232</v>
      </c>
      <c r="Q51" s="26">
        <v>235.3</v>
      </c>
      <c r="R51" s="26">
        <v>210.2</v>
      </c>
      <c r="S51" s="26">
        <v>206.2</v>
      </c>
      <c r="T51" s="26">
        <v>208.6</v>
      </c>
      <c r="U51" s="26">
        <v>168.7</v>
      </c>
      <c r="V51" s="26">
        <v>154.5</v>
      </c>
      <c r="W51" s="26">
        <v>181.6</v>
      </c>
      <c r="X51" s="7">
        <v>-2.647957451623861E-2</v>
      </c>
      <c r="Y51" s="10">
        <v>-7.7414855283040818E-2</v>
      </c>
      <c r="Z51" s="10">
        <v>-7.0177648985762842E-2</v>
      </c>
      <c r="AA51" s="10">
        <v>-3.3333333333333333E-2</v>
      </c>
    </row>
    <row r="52" spans="2:27" x14ac:dyDescent="0.3">
      <c r="B52" s="12" t="s">
        <v>346</v>
      </c>
      <c r="C52" s="3" t="s">
        <v>492</v>
      </c>
      <c r="D52" s="3" t="s">
        <v>493</v>
      </c>
      <c r="E52" s="3" t="s">
        <v>494</v>
      </c>
      <c r="F52" s="5">
        <v>-3.6</v>
      </c>
      <c r="G52" s="26">
        <v>10.3</v>
      </c>
      <c r="H52" s="26">
        <v>-1.98</v>
      </c>
      <c r="I52" s="26">
        <v>1.97</v>
      </c>
      <c r="J52" s="26">
        <v>9.0500000000000007</v>
      </c>
      <c r="K52" s="26">
        <v>5.25</v>
      </c>
      <c r="L52" s="26">
        <v>-5.97</v>
      </c>
      <c r="M52" s="26">
        <v>-1.07</v>
      </c>
      <c r="N52" s="26">
        <v>-6.29</v>
      </c>
      <c r="O52" s="27">
        <v>-1.5</v>
      </c>
      <c r="P52" s="26">
        <v>1.21</v>
      </c>
      <c r="Q52" s="26">
        <v>0.97</v>
      </c>
      <c r="R52" s="27">
        <v>-6.9</v>
      </c>
      <c r="S52" s="26">
        <v>7.1</v>
      </c>
      <c r="T52" s="27">
        <v>1.94</v>
      </c>
      <c r="U52" s="27">
        <v>631.22</v>
      </c>
      <c r="V52" s="26">
        <v>-40.86</v>
      </c>
      <c r="W52" s="26">
        <v>-14.21</v>
      </c>
      <c r="X52" s="9">
        <v>0.30672268907563049</v>
      </c>
      <c r="Y52" s="8">
        <v>202.6527331189711</v>
      </c>
      <c r="Z52" s="10">
        <v>-5.3618794998105401E-2</v>
      </c>
      <c r="AA52" s="10">
        <v>-3.5552218885552163E-2</v>
      </c>
    </row>
    <row r="53" spans="2:27" x14ac:dyDescent="0.3">
      <c r="B53" s="12" t="s">
        <v>142</v>
      </c>
      <c r="C53" s="3" t="s">
        <v>492</v>
      </c>
      <c r="D53" s="3" t="s">
        <v>495</v>
      </c>
      <c r="E53" s="3" t="s">
        <v>496</v>
      </c>
      <c r="F53" s="5">
        <v>-4</v>
      </c>
      <c r="G53" s="26">
        <v>31.4</v>
      </c>
      <c r="H53" s="26">
        <v>38.270000000000003</v>
      </c>
      <c r="I53" s="26">
        <v>46.98</v>
      </c>
      <c r="J53" s="26">
        <v>51.12</v>
      </c>
      <c r="K53" s="27">
        <v>54.06</v>
      </c>
      <c r="L53" s="27">
        <v>59.16</v>
      </c>
      <c r="M53" s="26">
        <v>52.96</v>
      </c>
      <c r="N53" s="26">
        <v>58.43</v>
      </c>
      <c r="O53" s="26">
        <v>43.63</v>
      </c>
      <c r="P53" s="26">
        <v>22.11</v>
      </c>
      <c r="Q53" s="26">
        <v>25.14</v>
      </c>
      <c r="R53" s="26">
        <v>7.83</v>
      </c>
      <c r="S53" s="26">
        <v>2.83</v>
      </c>
      <c r="T53" s="26">
        <v>7.75</v>
      </c>
      <c r="U53" s="26">
        <v>6.21</v>
      </c>
      <c r="V53" s="26">
        <v>-0.73</v>
      </c>
      <c r="W53" s="26">
        <v>2.19</v>
      </c>
      <c r="X53" s="7">
        <v>-0.24797098946641341</v>
      </c>
      <c r="Y53" s="10">
        <v>-0.43467278989667052</v>
      </c>
      <c r="Z53" s="10">
        <v>-0.34768480909829408</v>
      </c>
      <c r="AA53" s="10">
        <v>-3.9850560398505541E-2</v>
      </c>
    </row>
    <row r="54" spans="2:27" x14ac:dyDescent="0.3">
      <c r="B54" s="12" t="s">
        <v>168</v>
      </c>
      <c r="C54" s="3" t="s">
        <v>492</v>
      </c>
      <c r="D54" s="3" t="s">
        <v>528</v>
      </c>
      <c r="E54" s="3" t="s">
        <v>496</v>
      </c>
      <c r="F54" s="5">
        <v>-4.5999999999999996</v>
      </c>
      <c r="G54" s="26">
        <v>115</v>
      </c>
      <c r="H54" s="26">
        <v>92.8</v>
      </c>
      <c r="I54" s="26">
        <v>108.1</v>
      </c>
      <c r="J54" s="26">
        <v>128.5</v>
      </c>
      <c r="K54" s="26">
        <v>122.2</v>
      </c>
      <c r="L54" s="26">
        <v>130</v>
      </c>
      <c r="M54" s="26">
        <v>144</v>
      </c>
      <c r="N54" s="26">
        <v>160</v>
      </c>
      <c r="O54" s="27">
        <v>188</v>
      </c>
      <c r="P54" s="26">
        <v>173</v>
      </c>
      <c r="Q54" s="26">
        <v>206</v>
      </c>
      <c r="R54" s="26">
        <v>200</v>
      </c>
      <c r="S54" s="26">
        <v>198</v>
      </c>
      <c r="T54" s="26">
        <v>184</v>
      </c>
      <c r="U54" s="26">
        <v>203</v>
      </c>
      <c r="V54" s="26">
        <v>203</v>
      </c>
      <c r="W54" s="26">
        <v>162</v>
      </c>
      <c r="X54" s="7">
        <v>1.4157014157014199E-2</v>
      </c>
      <c r="Y54" s="10">
        <v>-3.8071065989847548E-3</v>
      </c>
      <c r="Z54" s="10">
        <v>3.8216560509554132E-3</v>
      </c>
      <c r="AA54" s="10">
        <v>-4.5685279187817278E-2</v>
      </c>
    </row>
    <row r="55" spans="2:27" x14ac:dyDescent="0.3">
      <c r="B55" s="12" t="s">
        <v>68</v>
      </c>
      <c r="C55" s="3" t="s">
        <v>492</v>
      </c>
      <c r="D55" s="3" t="s">
        <v>535</v>
      </c>
      <c r="E55" s="3" t="s">
        <v>496</v>
      </c>
      <c r="F55" s="5">
        <v>-6.3</v>
      </c>
      <c r="G55" s="26">
        <v>548</v>
      </c>
      <c r="H55" s="26">
        <v>699</v>
      </c>
      <c r="I55" s="26">
        <v>860</v>
      </c>
      <c r="J55" s="26">
        <v>975</v>
      </c>
      <c r="K55" s="27">
        <v>1166</v>
      </c>
      <c r="L55" s="26">
        <v>938</v>
      </c>
      <c r="M55" s="26">
        <v>1131</v>
      </c>
      <c r="N55" s="26">
        <v>1327</v>
      </c>
      <c r="O55" s="26">
        <v>1451</v>
      </c>
      <c r="P55" s="26">
        <v>1181</v>
      </c>
      <c r="Q55" s="26">
        <v>1428</v>
      </c>
      <c r="R55" s="26">
        <v>1602</v>
      </c>
      <c r="S55" s="26">
        <v>1668</v>
      </c>
      <c r="T55" s="26">
        <v>1375</v>
      </c>
      <c r="U55" s="26">
        <v>1699</v>
      </c>
      <c r="V55" s="26">
        <v>1336</v>
      </c>
      <c r="W55" s="26">
        <v>1288</v>
      </c>
      <c r="X55" s="7">
        <v>3.2998809321313161E-2</v>
      </c>
      <c r="Y55" s="10">
        <v>4.4623744442614743E-2</v>
      </c>
      <c r="Z55" s="10">
        <v>-4.1929382093316543E-2</v>
      </c>
      <c r="AA55" s="10">
        <v>-6.2520565975649922E-2</v>
      </c>
    </row>
    <row r="56" spans="2:27" x14ac:dyDescent="0.3">
      <c r="B56" s="12" t="s">
        <v>180</v>
      </c>
      <c r="C56" s="3" t="s">
        <v>492</v>
      </c>
      <c r="D56" s="3" t="s">
        <v>523</v>
      </c>
      <c r="E56" s="3" t="s">
        <v>496</v>
      </c>
      <c r="F56" s="5">
        <v>-7.2</v>
      </c>
      <c r="G56" s="26">
        <v>88</v>
      </c>
      <c r="H56" s="26">
        <v>78</v>
      </c>
      <c r="I56" s="26">
        <v>93</v>
      </c>
      <c r="J56" s="26">
        <v>93</v>
      </c>
      <c r="K56" s="26">
        <v>104</v>
      </c>
      <c r="L56" s="26">
        <v>78</v>
      </c>
      <c r="M56" s="26">
        <v>110</v>
      </c>
      <c r="N56" s="26">
        <v>102</v>
      </c>
      <c r="O56" s="26">
        <v>102</v>
      </c>
      <c r="P56" s="26">
        <v>62</v>
      </c>
      <c r="Q56" s="26">
        <v>93</v>
      </c>
      <c r="R56" s="26">
        <v>117</v>
      </c>
      <c r="S56" s="26">
        <v>129</v>
      </c>
      <c r="T56" s="26">
        <v>54</v>
      </c>
      <c r="U56" s="26">
        <v>108</v>
      </c>
      <c r="V56" s="26">
        <v>140</v>
      </c>
      <c r="W56" s="26">
        <v>98</v>
      </c>
      <c r="X56" s="7">
        <v>-1.995012468827928E-2</v>
      </c>
      <c r="Y56" s="10">
        <v>3.8167938931297662E-2</v>
      </c>
      <c r="Z56" s="10">
        <v>5.6372549019607858E-2</v>
      </c>
      <c r="AA56" s="10">
        <v>-7.1925754060324865E-2</v>
      </c>
    </row>
    <row r="57" spans="2:27" x14ac:dyDescent="0.3">
      <c r="B57" s="12" t="s">
        <v>107</v>
      </c>
      <c r="C57" s="3" t="s">
        <v>492</v>
      </c>
      <c r="D57" s="3" t="s">
        <v>540</v>
      </c>
      <c r="E57" s="3" t="s">
        <v>496</v>
      </c>
      <c r="F57" s="5">
        <v>-8.3000000000000007</v>
      </c>
      <c r="G57" s="26">
        <v>164.53</v>
      </c>
      <c r="H57" s="26">
        <v>169.6</v>
      </c>
      <c r="I57" s="26">
        <v>160.38</v>
      </c>
      <c r="J57" s="26">
        <v>125.93</v>
      </c>
      <c r="K57" s="27">
        <v>228.08</v>
      </c>
      <c r="L57" s="26">
        <v>133.56</v>
      </c>
      <c r="M57" s="26">
        <v>131.30000000000001</v>
      </c>
      <c r="N57" s="26">
        <v>143.27000000000001</v>
      </c>
      <c r="O57" s="26">
        <v>119.72</v>
      </c>
      <c r="P57" s="26">
        <v>132.69999999999999</v>
      </c>
      <c r="Q57" s="26">
        <v>130.9</v>
      </c>
      <c r="R57" s="26">
        <v>136.19999999999999</v>
      </c>
      <c r="S57" s="26">
        <v>149.97999999999999</v>
      </c>
      <c r="T57" s="26">
        <v>122.3</v>
      </c>
      <c r="U57" s="26">
        <v>119.4</v>
      </c>
      <c r="V57" s="26">
        <v>124.3</v>
      </c>
      <c r="W57" s="26">
        <v>107.2</v>
      </c>
      <c r="X57" s="7">
        <v>-1.8916657572119688E-2</v>
      </c>
      <c r="Y57" s="10">
        <v>-2.1320775705439551E-2</v>
      </c>
      <c r="Z57" s="10">
        <v>-2.2543002197469079E-2</v>
      </c>
      <c r="AA57" s="10">
        <v>-8.2910190317454169E-2</v>
      </c>
    </row>
    <row r="58" spans="2:27" x14ac:dyDescent="0.3">
      <c r="B58" s="12" t="s">
        <v>184</v>
      </c>
      <c r="C58" s="3" t="s">
        <v>492</v>
      </c>
      <c r="D58" s="3" t="s">
        <v>516</v>
      </c>
      <c r="E58" s="3" t="s">
        <v>496</v>
      </c>
      <c r="F58" s="5">
        <v>-9.1999999999999993</v>
      </c>
      <c r="G58" s="26">
        <v>-11.7</v>
      </c>
      <c r="H58" s="26">
        <v>-25.3</v>
      </c>
      <c r="I58" s="26">
        <v>-16.600000000000001</v>
      </c>
      <c r="J58" s="26">
        <v>-27</v>
      </c>
      <c r="K58" s="26">
        <v>-1.2</v>
      </c>
      <c r="L58" s="26">
        <v>-12.2</v>
      </c>
      <c r="M58" s="26">
        <v>-4.0999999999999996</v>
      </c>
      <c r="N58" s="26">
        <v>-10.9</v>
      </c>
      <c r="O58" s="26">
        <v>13.4</v>
      </c>
      <c r="P58" s="26">
        <v>-4.3</v>
      </c>
      <c r="Q58" s="26">
        <v>4</v>
      </c>
      <c r="R58" s="27">
        <v>0.2</v>
      </c>
      <c r="S58" s="27">
        <v>29.3</v>
      </c>
      <c r="T58" s="27">
        <v>8.6999999999999993</v>
      </c>
      <c r="U58" s="27">
        <v>10.3</v>
      </c>
      <c r="V58" s="27">
        <v>8.4</v>
      </c>
      <c r="W58" s="26">
        <v>24.1</v>
      </c>
      <c r="X58" s="9">
        <v>0.44520547945205502</v>
      </c>
      <c r="Y58" s="8">
        <v>0.14928909952606631</v>
      </c>
      <c r="Z58" s="8">
        <v>0.1690721649484537</v>
      </c>
      <c r="AA58" s="10">
        <v>-9.1710758377425039E-2</v>
      </c>
    </row>
    <row r="59" spans="2:27" x14ac:dyDescent="0.3">
      <c r="B59" s="12" t="s">
        <v>318</v>
      </c>
      <c r="C59" s="3" t="s">
        <v>492</v>
      </c>
      <c r="D59" s="3" t="s">
        <v>500</v>
      </c>
      <c r="E59" s="3" t="s">
        <v>496</v>
      </c>
      <c r="F59" s="5">
        <v>-9.6</v>
      </c>
      <c r="G59" s="26">
        <v>-84.67</v>
      </c>
      <c r="H59" s="26">
        <v>-66.39</v>
      </c>
      <c r="I59" s="26">
        <v>-67.73</v>
      </c>
      <c r="J59" s="26">
        <v>-43.15</v>
      </c>
      <c r="K59" s="26">
        <v>0</v>
      </c>
      <c r="L59" s="26">
        <v>-28.43</v>
      </c>
      <c r="M59" s="26">
        <v>-22.07</v>
      </c>
      <c r="N59" s="26">
        <v>-18.350000000000001</v>
      </c>
      <c r="O59" s="26">
        <v>-4.47</v>
      </c>
      <c r="P59" s="26">
        <v>-8.33</v>
      </c>
      <c r="Q59" s="26">
        <v>-20.23</v>
      </c>
      <c r="R59" s="26">
        <v>-20.11</v>
      </c>
      <c r="S59" s="27">
        <v>-17.329999999999998</v>
      </c>
      <c r="T59" s="27">
        <v>-18.66</v>
      </c>
      <c r="U59" s="26">
        <v>-16.52</v>
      </c>
      <c r="V59" s="26">
        <v>-17.399999999999999</v>
      </c>
      <c r="W59" s="26">
        <v>-10.63</v>
      </c>
      <c r="X59" s="9">
        <v>0.1565151515151515</v>
      </c>
      <c r="Y59" s="10">
        <v>-4.8604742565177439E-2</v>
      </c>
      <c r="Z59" s="10">
        <v>-3.7317543376480411E-2</v>
      </c>
      <c r="AA59" s="10">
        <v>-9.5837505364039455E-2</v>
      </c>
    </row>
    <row r="60" spans="2:27" x14ac:dyDescent="0.3">
      <c r="B60" s="12" t="s">
        <v>391</v>
      </c>
      <c r="C60" s="3" t="s">
        <v>492</v>
      </c>
      <c r="D60" s="3" t="s">
        <v>530</v>
      </c>
      <c r="E60" s="3" t="s">
        <v>496</v>
      </c>
      <c r="F60" s="5">
        <v>-10.5</v>
      </c>
      <c r="G60" s="26"/>
      <c r="H60" s="26">
        <v>52.39</v>
      </c>
      <c r="I60" s="26">
        <v>52.39</v>
      </c>
      <c r="J60" s="26">
        <v>56.89</v>
      </c>
      <c r="K60" s="26">
        <v>15.24</v>
      </c>
      <c r="L60" s="26">
        <v>44.37</v>
      </c>
      <c r="M60" s="26">
        <v>55.99</v>
      </c>
      <c r="N60" s="26">
        <v>66.37</v>
      </c>
      <c r="O60" s="27">
        <v>51.18</v>
      </c>
      <c r="P60" s="26">
        <v>48</v>
      </c>
      <c r="Q60" s="26">
        <v>43.05</v>
      </c>
      <c r="R60" s="26">
        <v>38.520000000000003</v>
      </c>
      <c r="S60" s="26">
        <v>33.619999999999997</v>
      </c>
      <c r="T60" s="26">
        <v>34.700000000000003</v>
      </c>
      <c r="U60" s="26">
        <v>-0.87</v>
      </c>
      <c r="V60" s="26">
        <v>25.36</v>
      </c>
      <c r="W60" s="26">
        <v>23.92</v>
      </c>
      <c r="X60" s="7">
        <v>-8.1500091917396933E-2</v>
      </c>
      <c r="Y60" s="10">
        <v>-0.29301487757688971</v>
      </c>
      <c r="Z60" s="10">
        <v>-0.12418609040294409</v>
      </c>
      <c r="AA60" s="10">
        <v>-0.1045145997198578</v>
      </c>
    </row>
    <row r="61" spans="2:27" x14ac:dyDescent="0.3">
      <c r="B61" s="12" t="s">
        <v>158</v>
      </c>
      <c r="C61" s="3" t="s">
        <v>492</v>
      </c>
      <c r="D61" s="3" t="s">
        <v>537</v>
      </c>
      <c r="E61" s="3" t="s">
        <v>496</v>
      </c>
      <c r="F61" s="5">
        <v>-10.6</v>
      </c>
      <c r="G61" s="26">
        <v>97.61</v>
      </c>
      <c r="H61" s="26">
        <v>103.45</v>
      </c>
      <c r="I61" s="26">
        <v>145.99</v>
      </c>
      <c r="J61" s="26">
        <v>128.36000000000001</v>
      </c>
      <c r="K61" s="26">
        <v>92.74</v>
      </c>
      <c r="L61" s="26">
        <v>99.14</v>
      </c>
      <c r="M61" s="26">
        <v>120.26</v>
      </c>
      <c r="N61" s="26">
        <v>128.44</v>
      </c>
      <c r="O61" s="26">
        <v>113.57</v>
      </c>
      <c r="P61" s="26">
        <v>117.91</v>
      </c>
      <c r="Q61" s="26">
        <v>137.59</v>
      </c>
      <c r="R61" s="26">
        <v>125.17</v>
      </c>
      <c r="S61" s="26">
        <v>105.96</v>
      </c>
      <c r="T61" s="26">
        <v>70.17</v>
      </c>
      <c r="U61" s="26">
        <v>99.4</v>
      </c>
      <c r="V61" s="26">
        <v>118.61</v>
      </c>
      <c r="W61" s="26">
        <v>64.02</v>
      </c>
      <c r="X61" s="7">
        <v>-9.8103281754104765E-2</v>
      </c>
      <c r="Y61" s="10">
        <v>-8.7014969582355439E-2</v>
      </c>
      <c r="Z61" s="10">
        <v>-1.6371350137259769E-2</v>
      </c>
      <c r="AA61" s="10">
        <v>-0.1064088902420459</v>
      </c>
    </row>
    <row r="62" spans="2:27" x14ac:dyDescent="0.3">
      <c r="B62" s="12" t="s">
        <v>405</v>
      </c>
      <c r="C62" s="3" t="s">
        <v>492</v>
      </c>
      <c r="D62" s="3" t="s">
        <v>503</v>
      </c>
      <c r="E62" s="3" t="s">
        <v>496</v>
      </c>
      <c r="F62" s="5">
        <v>-12.4</v>
      </c>
      <c r="G62" s="26">
        <v>-40.6</v>
      </c>
      <c r="H62" s="26">
        <v>-40.26</v>
      </c>
      <c r="I62" s="26">
        <v>-34.65</v>
      </c>
      <c r="J62" s="26">
        <v>-23.24</v>
      </c>
      <c r="K62" s="26">
        <v>-13.35</v>
      </c>
      <c r="L62" s="26">
        <v>-23.6</v>
      </c>
      <c r="M62" s="26">
        <v>-24.43</v>
      </c>
      <c r="N62" s="26">
        <v>7.51</v>
      </c>
      <c r="O62" s="26">
        <v>9.61</v>
      </c>
      <c r="P62" s="26">
        <v>9.5299999999999994</v>
      </c>
      <c r="Q62" s="27">
        <v>5.22</v>
      </c>
      <c r="R62" s="27">
        <v>12.82</v>
      </c>
      <c r="S62" s="26">
        <v>3.98</v>
      </c>
      <c r="T62" s="26">
        <v>0.08</v>
      </c>
      <c r="U62" s="26">
        <v>3.68</v>
      </c>
      <c r="V62" s="26">
        <v>6.1</v>
      </c>
      <c r="W62" s="26">
        <v>2.27</v>
      </c>
      <c r="X62" s="7">
        <v>-0.29952456418383511</v>
      </c>
      <c r="Y62" s="10">
        <v>-6.9683257918552122E-2</v>
      </c>
      <c r="Z62" s="10">
        <v>-0.3268482490272373</v>
      </c>
      <c r="AA62" s="10">
        <v>-0.1235549132947977</v>
      </c>
    </row>
    <row r="63" spans="2:27" x14ac:dyDescent="0.3">
      <c r="B63" s="12" t="s">
        <v>101</v>
      </c>
      <c r="C63" s="3" t="s">
        <v>492</v>
      </c>
      <c r="D63" s="3" t="s">
        <v>528</v>
      </c>
      <c r="E63" s="3" t="s">
        <v>496</v>
      </c>
      <c r="F63" s="5">
        <v>-12.6</v>
      </c>
      <c r="G63" s="26">
        <v>452</v>
      </c>
      <c r="H63" s="26">
        <v>486</v>
      </c>
      <c r="I63" s="26">
        <v>505</v>
      </c>
      <c r="J63" s="26">
        <v>598</v>
      </c>
      <c r="K63" s="26">
        <v>461</v>
      </c>
      <c r="L63" s="26">
        <v>419</v>
      </c>
      <c r="M63" s="26">
        <v>433</v>
      </c>
      <c r="N63" s="26">
        <v>458</v>
      </c>
      <c r="O63" s="26">
        <v>397</v>
      </c>
      <c r="P63" s="26">
        <v>387</v>
      </c>
      <c r="Q63" s="26">
        <v>407</v>
      </c>
      <c r="R63" s="26">
        <v>501</v>
      </c>
      <c r="S63" s="26">
        <v>481</v>
      </c>
      <c r="T63" s="26">
        <v>497</v>
      </c>
      <c r="U63" s="26">
        <v>471</v>
      </c>
      <c r="V63" s="26">
        <v>546</v>
      </c>
      <c r="W63" s="26">
        <v>230</v>
      </c>
      <c r="X63" s="7">
        <v>6.1936936936936908E-2</v>
      </c>
      <c r="Y63" s="10">
        <v>3.3934252386002228E-2</v>
      </c>
      <c r="Z63" s="10">
        <v>2.3076923076922991E-2</v>
      </c>
      <c r="AA63" s="10">
        <v>-0.12581453634085221</v>
      </c>
    </row>
    <row r="64" spans="2:27" x14ac:dyDescent="0.3">
      <c r="B64" s="12" t="s">
        <v>55</v>
      </c>
      <c r="C64" s="3" t="s">
        <v>492</v>
      </c>
      <c r="D64" s="3" t="s">
        <v>542</v>
      </c>
      <c r="E64" s="3" t="s">
        <v>496</v>
      </c>
      <c r="F64" s="5">
        <v>-22.4</v>
      </c>
      <c r="G64" s="26">
        <v>3028</v>
      </c>
      <c r="H64" s="26">
        <v>5925</v>
      </c>
      <c r="I64" s="26">
        <v>0</v>
      </c>
      <c r="J64" s="26">
        <v>4441</v>
      </c>
      <c r="K64" s="26">
        <v>1266</v>
      </c>
      <c r="L64" s="26">
        <v>487</v>
      </c>
      <c r="M64" s="27">
        <v>905</v>
      </c>
      <c r="N64" s="26">
        <v>1193</v>
      </c>
      <c r="O64" s="26">
        <v>1017</v>
      </c>
      <c r="P64" s="27">
        <v>1118</v>
      </c>
      <c r="Q64" s="26">
        <v>1015</v>
      </c>
      <c r="R64" s="26">
        <v>840</v>
      </c>
      <c r="S64" s="27">
        <v>1818</v>
      </c>
      <c r="T64" s="26">
        <v>823</v>
      </c>
      <c r="U64" s="27">
        <v>1681</v>
      </c>
      <c r="V64" s="26">
        <v>977</v>
      </c>
      <c r="W64" s="26">
        <v>632</v>
      </c>
      <c r="X64" s="7">
        <v>-6.1573784178668323E-2</v>
      </c>
      <c r="Y64" s="8">
        <v>0.14813167259786469</v>
      </c>
      <c r="Z64" s="10">
        <v>2.6540100736148761E-2</v>
      </c>
      <c r="AA64" s="10">
        <v>-0.22381581430458569</v>
      </c>
    </row>
    <row r="65" spans="2:27" x14ac:dyDescent="0.3">
      <c r="B65" s="12" t="s">
        <v>243</v>
      </c>
      <c r="C65" s="3" t="s">
        <v>492</v>
      </c>
      <c r="D65" s="3" t="s">
        <v>544</v>
      </c>
      <c r="E65" s="3" t="s">
        <v>496</v>
      </c>
      <c r="F65" s="5">
        <v>-29.6</v>
      </c>
      <c r="G65" s="26">
        <v>2.5099999999999998</v>
      </c>
      <c r="H65" s="26">
        <v>300.08</v>
      </c>
      <c r="I65" s="26">
        <v>288.07</v>
      </c>
      <c r="J65" s="26">
        <v>349.44</v>
      </c>
      <c r="K65" s="26">
        <v>17.28</v>
      </c>
      <c r="L65" s="26">
        <v>388.64</v>
      </c>
      <c r="M65" s="26">
        <v>240.15</v>
      </c>
      <c r="N65" s="26">
        <v>228.09</v>
      </c>
      <c r="O65" s="26">
        <v>-1.81</v>
      </c>
      <c r="P65" s="26">
        <v>278.91000000000003</v>
      </c>
      <c r="Q65" s="26">
        <v>256.93</v>
      </c>
      <c r="R65" s="26">
        <v>121.63</v>
      </c>
      <c r="S65" s="26">
        <v>-179.24</v>
      </c>
      <c r="T65" s="26">
        <v>175.87</v>
      </c>
      <c r="U65" s="26">
        <v>127.81</v>
      </c>
      <c r="V65" s="27">
        <v>490.13</v>
      </c>
      <c r="W65" s="26">
        <v>-361.06</v>
      </c>
      <c r="X65" s="7">
        <v>-0.2154611797670577</v>
      </c>
      <c r="Y65" s="10">
        <v>-0.34414563287934119</v>
      </c>
      <c r="Z65" s="8">
        <v>1.4975413500223509</v>
      </c>
      <c r="AA65" s="10">
        <v>-0.29584913028621629</v>
      </c>
    </row>
    <row r="66" spans="2:27" x14ac:dyDescent="0.3">
      <c r="B66" s="12" t="s">
        <v>147</v>
      </c>
      <c r="C66" s="3" t="s">
        <v>492</v>
      </c>
      <c r="D66" s="3" t="s">
        <v>506</v>
      </c>
      <c r="E66" s="3" t="s">
        <v>496</v>
      </c>
      <c r="F66" s="5">
        <v>-29.7</v>
      </c>
      <c r="G66" s="26"/>
      <c r="H66" s="26">
        <v>-12.65</v>
      </c>
      <c r="I66" s="26">
        <v>-12.32</v>
      </c>
      <c r="J66" s="26">
        <v>-25.66</v>
      </c>
      <c r="K66" s="26">
        <v>-4.08</v>
      </c>
      <c r="L66" s="26">
        <v>8.76</v>
      </c>
      <c r="M66" s="26">
        <v>7.03</v>
      </c>
      <c r="N66" s="27">
        <v>-302.2</v>
      </c>
      <c r="O66" s="27">
        <v>-36.33</v>
      </c>
      <c r="P66" s="26">
        <v>-22.09</v>
      </c>
      <c r="Q66" s="26">
        <v>-14.05</v>
      </c>
      <c r="R66" s="26">
        <v>-13.28</v>
      </c>
      <c r="S66" s="26">
        <v>-34.65</v>
      </c>
      <c r="T66" s="26">
        <v>-23.75</v>
      </c>
      <c r="U66" s="27">
        <v>-31.33</v>
      </c>
      <c r="V66" s="26">
        <v>-6.64</v>
      </c>
      <c r="W66" s="26">
        <v>-6.05</v>
      </c>
      <c r="X66" s="7">
        <v>1.974545022005492E-2</v>
      </c>
      <c r="Y66" s="8">
        <v>0.20156304677475781</v>
      </c>
      <c r="Z66" s="10">
        <v>-6.4459761188234155E-2</v>
      </c>
      <c r="AA66" s="10">
        <v>-0.29677285462280789</v>
      </c>
    </row>
    <row r="67" spans="2:27" x14ac:dyDescent="0.3">
      <c r="B67" s="12" t="s">
        <v>304</v>
      </c>
      <c r="C67" s="3" t="s">
        <v>492</v>
      </c>
      <c r="D67" s="3" t="s">
        <v>539</v>
      </c>
      <c r="E67" s="3" t="s">
        <v>496</v>
      </c>
      <c r="F67" s="5">
        <v>-34.1</v>
      </c>
      <c r="G67" s="26">
        <v>106</v>
      </c>
      <c r="H67" s="26">
        <v>158</v>
      </c>
      <c r="I67" s="26">
        <v>182</v>
      </c>
      <c r="J67" s="26">
        <v>182</v>
      </c>
      <c r="K67" s="26">
        <v>102</v>
      </c>
      <c r="L67" s="27">
        <v>307</v>
      </c>
      <c r="M67" s="26">
        <v>244</v>
      </c>
      <c r="N67" s="26">
        <v>202</v>
      </c>
      <c r="O67" s="26">
        <v>106</v>
      </c>
      <c r="P67" s="26">
        <v>177</v>
      </c>
      <c r="Q67" s="26">
        <v>183</v>
      </c>
      <c r="R67" s="26">
        <v>88</v>
      </c>
      <c r="S67" s="26">
        <v>125</v>
      </c>
      <c r="T67" s="26">
        <v>151</v>
      </c>
      <c r="U67" s="26">
        <v>161</v>
      </c>
      <c r="V67" s="27">
        <v>182</v>
      </c>
      <c r="W67" s="26">
        <v>-86</v>
      </c>
      <c r="X67" s="7">
        <v>-4.5375218150087271E-2</v>
      </c>
      <c r="Y67" s="10">
        <v>-4.0219378427787889E-2</v>
      </c>
      <c r="Z67" s="8">
        <v>0.17904761904761909</v>
      </c>
      <c r="AA67" s="10">
        <v>-0.34087237479806137</v>
      </c>
    </row>
    <row r="68" spans="2:27" x14ac:dyDescent="0.3">
      <c r="B68" s="12" t="s">
        <v>195</v>
      </c>
      <c r="C68" s="3" t="s">
        <v>492</v>
      </c>
      <c r="D68" s="3" t="s">
        <v>541</v>
      </c>
      <c r="E68" s="3" t="s">
        <v>496</v>
      </c>
      <c r="F68" s="5">
        <v>-45.2</v>
      </c>
      <c r="G68" s="26">
        <v>76.400000000000006</v>
      </c>
      <c r="H68" s="26">
        <v>-0.1</v>
      </c>
      <c r="I68" s="26">
        <v>48.5</v>
      </c>
      <c r="J68" s="26">
        <v>-8.4</v>
      </c>
      <c r="K68" s="26">
        <v>26.8</v>
      </c>
      <c r="L68" s="27">
        <v>7.9</v>
      </c>
      <c r="M68" s="26">
        <v>14</v>
      </c>
      <c r="N68" s="27">
        <v>-2.2999999999999998</v>
      </c>
      <c r="O68" s="27">
        <v>59.5</v>
      </c>
      <c r="P68" s="26">
        <v>-10.7</v>
      </c>
      <c r="Q68" s="27">
        <v>37.4</v>
      </c>
      <c r="R68" s="26">
        <v>-8.4</v>
      </c>
      <c r="S68" s="26">
        <v>44.7</v>
      </c>
      <c r="T68" s="27">
        <v>19.600000000000001</v>
      </c>
      <c r="U68" s="26">
        <v>32.5</v>
      </c>
      <c r="V68" s="26">
        <v>-17.600000000000001</v>
      </c>
      <c r="W68" s="26">
        <v>8.9</v>
      </c>
      <c r="X68" s="9">
        <v>0.4809523809523808</v>
      </c>
      <c r="Y68" s="10">
        <v>-5.251875669882089E-2</v>
      </c>
      <c r="Z68" s="10">
        <v>-0.1040723981900453</v>
      </c>
      <c r="AA68" s="10">
        <v>-0.4520202020202021</v>
      </c>
    </row>
    <row r="69" spans="2:27" x14ac:dyDescent="0.3">
      <c r="B69" s="12" t="s">
        <v>389</v>
      </c>
      <c r="C69" s="3" t="s">
        <v>492</v>
      </c>
      <c r="D69" s="3" t="s">
        <v>543</v>
      </c>
      <c r="E69" s="3" t="s">
        <v>496</v>
      </c>
      <c r="F69" s="5">
        <v>-55</v>
      </c>
      <c r="G69" s="26">
        <v>35</v>
      </c>
      <c r="H69" s="26">
        <v>34</v>
      </c>
      <c r="I69" s="26">
        <v>106</v>
      </c>
      <c r="J69" s="26">
        <v>41</v>
      </c>
      <c r="K69" s="26">
        <v>0</v>
      </c>
      <c r="L69" s="26">
        <v>-35</v>
      </c>
      <c r="M69" s="26">
        <v>27</v>
      </c>
      <c r="N69" s="26">
        <v>32</v>
      </c>
      <c r="O69" s="26">
        <v>-49</v>
      </c>
      <c r="P69" s="26">
        <v>-21</v>
      </c>
      <c r="Q69" s="26">
        <v>67</v>
      </c>
      <c r="R69" s="27">
        <v>35</v>
      </c>
      <c r="S69" s="27">
        <v>23</v>
      </c>
      <c r="T69" s="27">
        <v>20</v>
      </c>
      <c r="U69" s="26">
        <v>81</v>
      </c>
      <c r="V69" s="26">
        <v>7</v>
      </c>
      <c r="W69" s="26">
        <v>-49</v>
      </c>
      <c r="X69" s="9">
        <v>0.39423076923076922</v>
      </c>
      <c r="Y69" s="10">
        <v>9.6551724137931005E-2</v>
      </c>
      <c r="Z69" s="10">
        <v>-0.1761006289308176</v>
      </c>
      <c r="AA69" s="10">
        <v>-0.54961832061068705</v>
      </c>
    </row>
    <row r="70" spans="2:27" x14ac:dyDescent="0.3">
      <c r="B70" s="12" t="s">
        <v>91</v>
      </c>
      <c r="C70" s="3" t="s">
        <v>492</v>
      </c>
      <c r="D70" s="3" t="s">
        <v>512</v>
      </c>
      <c r="E70" s="3" t="s">
        <v>496</v>
      </c>
      <c r="F70" s="5">
        <v>-64.400000000000006</v>
      </c>
      <c r="G70" s="26">
        <v>44</v>
      </c>
      <c r="H70" s="26">
        <v>50</v>
      </c>
      <c r="I70" s="26">
        <v>5</v>
      </c>
      <c r="J70" s="26">
        <v>-51</v>
      </c>
      <c r="K70" s="26">
        <v>-73</v>
      </c>
      <c r="L70" s="27">
        <v>-39</v>
      </c>
      <c r="M70" s="27">
        <v>-64</v>
      </c>
      <c r="N70" s="26">
        <v>-51</v>
      </c>
      <c r="O70" s="26">
        <v>-93</v>
      </c>
      <c r="P70" s="26">
        <v>-39</v>
      </c>
      <c r="Q70" s="26">
        <v>-38</v>
      </c>
      <c r="R70" s="26">
        <v>-44</v>
      </c>
      <c r="S70" s="26">
        <v>-69</v>
      </c>
      <c r="T70" s="26">
        <v>-9</v>
      </c>
      <c r="U70" s="26">
        <v>-11</v>
      </c>
      <c r="V70" s="26">
        <v>-1</v>
      </c>
      <c r="W70" s="26">
        <v>-11</v>
      </c>
      <c r="X70" s="7">
        <v>-0.15789473684210531</v>
      </c>
      <c r="Y70" s="10">
        <v>-0.16875000000000001</v>
      </c>
      <c r="Z70" s="10">
        <v>-0.32330827067669182</v>
      </c>
      <c r="AA70" s="10">
        <v>-0.64444444444444438</v>
      </c>
    </row>
    <row r="71" spans="2:27" x14ac:dyDescent="0.3">
      <c r="B71" s="12" t="s">
        <v>19</v>
      </c>
      <c r="C71" s="3" t="s">
        <v>492</v>
      </c>
      <c r="D71" s="3" t="s">
        <v>499</v>
      </c>
      <c r="E71" s="3" t="s">
        <v>496</v>
      </c>
      <c r="F71" s="5">
        <v>-69.7</v>
      </c>
      <c r="G71" s="26">
        <v>360.4</v>
      </c>
      <c r="H71" s="26">
        <v>195.06</v>
      </c>
      <c r="I71" s="26">
        <v>249.86</v>
      </c>
      <c r="J71" s="26">
        <v>167.09</v>
      </c>
      <c r="K71" s="26">
        <v>198.74</v>
      </c>
      <c r="L71" s="26">
        <v>218.72</v>
      </c>
      <c r="M71" s="26">
        <v>318.12</v>
      </c>
      <c r="N71" s="26">
        <v>211.78</v>
      </c>
      <c r="O71" s="26">
        <v>286.12</v>
      </c>
      <c r="P71" s="27">
        <v>342.63</v>
      </c>
      <c r="Q71" s="26">
        <v>270.81</v>
      </c>
      <c r="R71" s="27">
        <v>357.09</v>
      </c>
      <c r="S71" s="26">
        <v>312.66000000000003</v>
      </c>
      <c r="T71" s="26">
        <v>413.08</v>
      </c>
      <c r="U71" s="27">
        <v>475.44</v>
      </c>
      <c r="V71" s="27">
        <v>534.62</v>
      </c>
      <c r="W71" s="26">
        <v>-897.07</v>
      </c>
      <c r="X71" s="7">
        <v>5.4902235834132007E-2</v>
      </c>
      <c r="Y71" s="8">
        <v>0.1511701781862238</v>
      </c>
      <c r="Z71" s="8">
        <v>0.11392762486603721</v>
      </c>
      <c r="AA71" s="10">
        <v>-0.69692936974305797</v>
      </c>
    </row>
    <row r="72" spans="2:27" x14ac:dyDescent="0.3">
      <c r="B72" s="12" t="s">
        <v>221</v>
      </c>
      <c r="C72" s="3" t="s">
        <v>492</v>
      </c>
      <c r="D72" s="3" t="s">
        <v>506</v>
      </c>
      <c r="E72" s="3" t="s">
        <v>496</v>
      </c>
      <c r="F72" s="5">
        <v>-135.6</v>
      </c>
      <c r="G72" s="26">
        <v>-52.48</v>
      </c>
      <c r="H72" s="26">
        <v>-47.12</v>
      </c>
      <c r="I72" s="26">
        <v>-67.349999999999994</v>
      </c>
      <c r="J72" s="26">
        <v>-58.29</v>
      </c>
      <c r="K72" s="26">
        <v>-60.61</v>
      </c>
      <c r="L72" s="26">
        <v>-48.11</v>
      </c>
      <c r="M72" s="26">
        <v>-43.29</v>
      </c>
      <c r="N72" s="26">
        <v>-38.74</v>
      </c>
      <c r="O72" s="26">
        <v>-40.04</v>
      </c>
      <c r="P72" s="26">
        <v>-32.17</v>
      </c>
      <c r="Q72" s="26">
        <v>-43.79</v>
      </c>
      <c r="R72" s="26">
        <v>-38.86</v>
      </c>
      <c r="S72" s="26">
        <v>-12.03</v>
      </c>
      <c r="T72" s="26">
        <v>-10.01</v>
      </c>
      <c r="U72" s="26">
        <v>-8.66</v>
      </c>
      <c r="V72" s="26">
        <v>-7.46</v>
      </c>
      <c r="W72" s="26">
        <v>39.729999999999997</v>
      </c>
      <c r="X72" s="7">
        <v>-0.1746945210878991</v>
      </c>
      <c r="Y72" s="10">
        <v>-0.33556213582959199</v>
      </c>
      <c r="Z72" s="10">
        <v>-0.45140885566417488</v>
      </c>
      <c r="AA72" s="10">
        <v>-1.3563941299790361</v>
      </c>
    </row>
    <row r="73" spans="2:27" x14ac:dyDescent="0.3">
      <c r="B73" s="19" t="s">
        <v>50</v>
      </c>
      <c r="C73" s="14" t="s">
        <v>492</v>
      </c>
      <c r="D73" s="14" t="s">
        <v>531</v>
      </c>
      <c r="E73" s="14" t="s">
        <v>496</v>
      </c>
      <c r="F73" s="15">
        <v>-329.5</v>
      </c>
      <c r="G73" s="28">
        <v>4435</v>
      </c>
      <c r="H73" s="28">
        <v>1808</v>
      </c>
      <c r="I73" s="28">
        <v>3318</v>
      </c>
      <c r="J73" s="28">
        <v>121</v>
      </c>
      <c r="K73" s="28">
        <v>4650</v>
      </c>
      <c r="L73" s="28">
        <v>1956</v>
      </c>
      <c r="M73" s="28">
        <v>2301</v>
      </c>
      <c r="N73" s="28">
        <v>865</v>
      </c>
      <c r="O73" s="28">
        <v>272</v>
      </c>
      <c r="P73" s="28">
        <v>1209</v>
      </c>
      <c r="Q73" s="28">
        <v>1988</v>
      </c>
      <c r="R73" s="28">
        <v>543</v>
      </c>
      <c r="S73" s="29">
        <v>1450</v>
      </c>
      <c r="T73" s="28">
        <v>394</v>
      </c>
      <c r="U73" s="28">
        <v>538</v>
      </c>
      <c r="V73" s="29">
        <v>1590</v>
      </c>
      <c r="W73" s="28">
        <v>-11637</v>
      </c>
      <c r="X73" s="16">
        <v>-0.15703275529865121</v>
      </c>
      <c r="Y73" s="17">
        <v>-0.33142857142857141</v>
      </c>
      <c r="Z73" s="30">
        <v>0.35794871794871802</v>
      </c>
      <c r="AA73" s="17">
        <v>-3.2948136958710981</v>
      </c>
    </row>
    <row r="74" spans="2:27" x14ac:dyDescent="0.3">
      <c r="B74" s="20" t="s">
        <v>247</v>
      </c>
      <c r="C74" s="21" t="s">
        <v>548</v>
      </c>
      <c r="D74" s="3" t="str">
        <f>VLOOKUP(B74,기업리스트!B:G,2,FALSE)</f>
        <v>Wihlborgs Fastigheter AB (publ)</v>
      </c>
      <c r="E74" s="21" t="s">
        <v>496</v>
      </c>
      <c r="F74" s="22">
        <v>3.2</v>
      </c>
      <c r="G74" s="51">
        <v>514</v>
      </c>
      <c r="H74" s="51">
        <v>537</v>
      </c>
      <c r="I74" s="51">
        <v>560</v>
      </c>
      <c r="J74" s="51">
        <v>574</v>
      </c>
      <c r="K74" s="51">
        <v>583</v>
      </c>
      <c r="L74" s="51">
        <v>646</v>
      </c>
      <c r="M74" s="51">
        <v>726</v>
      </c>
      <c r="N74" s="51">
        <v>697</v>
      </c>
      <c r="O74" s="51">
        <v>639</v>
      </c>
      <c r="P74" s="51">
        <v>697</v>
      </c>
      <c r="Q74" s="51">
        <v>746</v>
      </c>
      <c r="R74" s="51">
        <v>741</v>
      </c>
      <c r="S74" s="51">
        <v>729</v>
      </c>
      <c r="T74" s="51">
        <v>717</v>
      </c>
      <c r="U74" s="51">
        <v>796</v>
      </c>
      <c r="V74" s="51">
        <v>773</v>
      </c>
      <c r="W74" s="51">
        <v>824</v>
      </c>
      <c r="X74" s="23">
        <v>6.8657741160316199E-3</v>
      </c>
      <c r="Y74" s="24">
        <v>1.7047391749062338E-2</v>
      </c>
      <c r="Z74" s="24">
        <v>1.072745558162924E-2</v>
      </c>
      <c r="AA74" s="24">
        <v>3.1509121061359828E-2</v>
      </c>
    </row>
    <row r="75" spans="2:27" x14ac:dyDescent="0.3">
      <c r="B75" s="12" t="s">
        <v>306</v>
      </c>
      <c r="C75" s="3" t="s">
        <v>548</v>
      </c>
      <c r="D75" s="3" t="str">
        <f>VLOOKUP(B75,기업리스트!B:G,2,FALSE)</f>
        <v>Alimak Group AB (publ)</v>
      </c>
      <c r="E75" s="3" t="s">
        <v>496</v>
      </c>
      <c r="F75" s="5">
        <v>-5.6</v>
      </c>
      <c r="G75" s="26">
        <v>133</v>
      </c>
      <c r="H75" s="26">
        <v>99</v>
      </c>
      <c r="I75" s="26">
        <v>131</v>
      </c>
      <c r="J75" s="26">
        <v>107</v>
      </c>
      <c r="K75" s="27">
        <v>248</v>
      </c>
      <c r="L75" s="27">
        <v>248</v>
      </c>
      <c r="M75" s="27">
        <v>236</v>
      </c>
      <c r="N75" s="27">
        <v>256</v>
      </c>
      <c r="O75" s="26">
        <v>125</v>
      </c>
      <c r="P75" s="26">
        <v>228</v>
      </c>
      <c r="Q75" s="26">
        <v>248</v>
      </c>
      <c r="R75" s="26">
        <v>260</v>
      </c>
      <c r="S75" s="27">
        <v>246</v>
      </c>
      <c r="T75" s="26">
        <v>292</v>
      </c>
      <c r="U75" s="26">
        <v>287</v>
      </c>
      <c r="V75" s="26">
        <v>210</v>
      </c>
      <c r="W75" s="26">
        <v>188</v>
      </c>
      <c r="X75" s="7">
        <v>6.5173116089612959E-2</v>
      </c>
      <c r="Y75" s="10">
        <v>3.728489483747599E-2</v>
      </c>
      <c r="Z75" s="10">
        <v>-4.6082949308755783E-2</v>
      </c>
      <c r="AA75" s="10">
        <v>-5.6038647342995129E-2</v>
      </c>
    </row>
    <row r="76" spans="2:27" x14ac:dyDescent="0.3">
      <c r="B76" s="19" t="s">
        <v>298</v>
      </c>
      <c r="C76" s="14" t="s">
        <v>548</v>
      </c>
      <c r="D76" s="14" t="str">
        <f>VLOOKUP(B76,기업리스트!B:G,2,FALSE)</f>
        <v>International Petroleum Corporation</v>
      </c>
      <c r="E76" s="14" t="s">
        <v>496</v>
      </c>
      <c r="F76" s="15">
        <v>-14.1</v>
      </c>
      <c r="G76" s="28">
        <v>73.58</v>
      </c>
      <c r="H76" s="28">
        <v>112.17</v>
      </c>
      <c r="I76" s="28">
        <v>155.24</v>
      </c>
      <c r="J76" s="28">
        <v>135.04</v>
      </c>
      <c r="K76" s="28">
        <v>89.07</v>
      </c>
      <c r="L76" s="28">
        <v>57.12</v>
      </c>
      <c r="M76" s="28">
        <v>45.12</v>
      </c>
      <c r="N76" s="28">
        <v>86</v>
      </c>
      <c r="O76" s="28">
        <v>30.42</v>
      </c>
      <c r="P76" s="28">
        <v>47.62</v>
      </c>
      <c r="Q76" s="28">
        <v>65.09</v>
      </c>
      <c r="R76" s="28">
        <v>31.58</v>
      </c>
      <c r="S76" s="28">
        <v>36.01</v>
      </c>
      <c r="T76" s="28">
        <v>35.81</v>
      </c>
      <c r="U76" s="28">
        <v>15.74</v>
      </c>
      <c r="V76" s="28">
        <v>23.63</v>
      </c>
      <c r="W76" s="28">
        <v>20.3</v>
      </c>
      <c r="X76" s="16">
        <v>-6.5501941209095915E-2</v>
      </c>
      <c r="Y76" s="17">
        <v>-0.29289572081429172</v>
      </c>
      <c r="Z76" s="17">
        <v>-6.6728218902131986E-2</v>
      </c>
      <c r="AA76" s="17">
        <v>-0.14128968432412981</v>
      </c>
    </row>
    <row r="77" spans="2:27" x14ac:dyDescent="0.3">
      <c r="B77" s="12">
        <v>4911</v>
      </c>
      <c r="C77" s="3" t="s">
        <v>545</v>
      </c>
      <c r="D77" s="3" t="str">
        <f>VLOOKUP(B77,기업리스트!B:G,2,FALSE)</f>
        <v>Shiseido Company, Limited</v>
      </c>
      <c r="E77" s="3" t="s">
        <v>496</v>
      </c>
      <c r="F77" s="13">
        <v>904.6</v>
      </c>
      <c r="G77" s="26">
        <v>15333</v>
      </c>
      <c r="H77" s="26">
        <v>4377</v>
      </c>
      <c r="I77" s="26">
        <v>12605</v>
      </c>
      <c r="J77" s="26">
        <v>18681</v>
      </c>
      <c r="K77" s="26">
        <v>-11111</v>
      </c>
      <c r="L77" s="27">
        <v>10526</v>
      </c>
      <c r="M77" s="26">
        <v>3107</v>
      </c>
      <c r="N77" s="26">
        <v>12195</v>
      </c>
      <c r="O77" s="27">
        <v>-7910</v>
      </c>
      <c r="P77" s="26">
        <v>-8515</v>
      </c>
      <c r="Q77" s="26">
        <v>6017</v>
      </c>
      <c r="R77" s="26">
        <v>4911</v>
      </c>
      <c r="S77" s="27">
        <v>-11767</v>
      </c>
      <c r="T77" s="26">
        <v>7208</v>
      </c>
      <c r="U77" s="27">
        <v>10877</v>
      </c>
      <c r="V77" s="26">
        <v>-4634</v>
      </c>
      <c r="W77" s="27">
        <v>3466</v>
      </c>
      <c r="X77" s="7">
        <v>-1.6808851828094931</v>
      </c>
      <c r="Y77" s="8">
        <v>0.76307112576542635</v>
      </c>
      <c r="Z77" s="10">
        <v>-0.85003116929379285</v>
      </c>
      <c r="AA77" s="8">
        <v>9.0457244655581945</v>
      </c>
    </row>
    <row r="78" spans="2:27" x14ac:dyDescent="0.3">
      <c r="B78" s="12">
        <v>2607</v>
      </c>
      <c r="C78" s="3" t="s">
        <v>545</v>
      </c>
      <c r="D78" s="3" t="str">
        <f>VLOOKUP(B78,기업리스트!B:G,2,FALSE)</f>
        <v>Fuji Oil Co., Ltd.</v>
      </c>
      <c r="E78" s="3" t="s">
        <v>505</v>
      </c>
      <c r="F78" s="13">
        <v>93.1</v>
      </c>
      <c r="G78" s="26">
        <v>4012</v>
      </c>
      <c r="H78" s="26">
        <v>3084</v>
      </c>
      <c r="I78" s="26">
        <v>2375</v>
      </c>
      <c r="J78" s="26">
        <v>2690</v>
      </c>
      <c r="K78" s="26">
        <v>3712</v>
      </c>
      <c r="L78" s="26">
        <v>2164</v>
      </c>
      <c r="M78" s="27">
        <v>3584</v>
      </c>
      <c r="N78" s="27">
        <v>5217</v>
      </c>
      <c r="O78" s="26">
        <v>4097</v>
      </c>
      <c r="P78" s="27">
        <v>5317</v>
      </c>
      <c r="Q78" s="27">
        <v>7441</v>
      </c>
      <c r="R78" s="26">
        <v>-2786</v>
      </c>
      <c r="S78" s="26">
        <v>-4150</v>
      </c>
      <c r="T78" s="27">
        <v>9390</v>
      </c>
      <c r="U78" s="26">
        <v>4841</v>
      </c>
      <c r="V78" s="27">
        <v>9045</v>
      </c>
      <c r="W78" s="27">
        <v>13651</v>
      </c>
      <c r="X78" s="9">
        <v>0.69958777052559262</v>
      </c>
      <c r="Y78" s="10">
        <v>-0.26275896917635172</v>
      </c>
      <c r="Z78" s="8">
        <v>1.621795750514051</v>
      </c>
      <c r="AA78" s="8">
        <v>0.93072257659730218</v>
      </c>
    </row>
    <row r="79" spans="2:27" x14ac:dyDescent="0.3">
      <c r="B79" s="12">
        <v>6324</v>
      </c>
      <c r="C79" s="3" t="s">
        <v>545</v>
      </c>
      <c r="D79" s="3" t="str">
        <f>VLOOKUP(B79,기업리스트!B:G,2,FALSE)</f>
        <v>Harmonic Drive Systems Inc.</v>
      </c>
      <c r="E79" s="3" t="s">
        <v>505</v>
      </c>
      <c r="F79" s="13">
        <v>38.200000000000003</v>
      </c>
      <c r="G79" s="26">
        <v>2986</v>
      </c>
      <c r="H79" s="26">
        <v>2225</v>
      </c>
      <c r="I79" s="26">
        <v>2127</v>
      </c>
      <c r="J79" s="26">
        <v>2514</v>
      </c>
      <c r="K79" s="26">
        <v>3425</v>
      </c>
      <c r="L79" s="26">
        <v>2159</v>
      </c>
      <c r="M79" s="26">
        <v>912</v>
      </c>
      <c r="N79" s="26">
        <v>-39</v>
      </c>
      <c r="O79" s="26">
        <v>-211</v>
      </c>
      <c r="P79" s="26">
        <v>-537</v>
      </c>
      <c r="Q79" s="26">
        <v>-261.63</v>
      </c>
      <c r="R79" s="27">
        <v>-376.37</v>
      </c>
      <c r="S79" s="26">
        <v>302</v>
      </c>
      <c r="T79" s="26">
        <v>343</v>
      </c>
      <c r="U79" s="27">
        <v>122.63</v>
      </c>
      <c r="V79" s="27">
        <v>342.37</v>
      </c>
      <c r="W79" s="27">
        <v>726</v>
      </c>
      <c r="X79" s="7">
        <v>-1.008018327605956</v>
      </c>
      <c r="Y79" s="8">
        <v>54.894285714285722</v>
      </c>
      <c r="Z79" s="8">
        <v>1.836988191995093</v>
      </c>
      <c r="AA79" s="8">
        <v>0.38198198198198208</v>
      </c>
    </row>
    <row r="80" spans="2:27" x14ac:dyDescent="0.3">
      <c r="B80" s="12">
        <v>5706</v>
      </c>
      <c r="C80" s="3" t="s">
        <v>545</v>
      </c>
      <c r="D80" s="3" t="str">
        <f>VLOOKUP(B80,기업리스트!B:G,2,FALSE)</f>
        <v>Mitsui Kinzoku Company, Limited</v>
      </c>
      <c r="E80" s="3" t="s">
        <v>494</v>
      </c>
      <c r="F80" s="13">
        <v>22.7</v>
      </c>
      <c r="G80" s="26">
        <v>15655</v>
      </c>
      <c r="H80" s="26">
        <v>6998</v>
      </c>
      <c r="I80" s="26">
        <v>18016</v>
      </c>
      <c r="J80" s="26">
        <v>18225</v>
      </c>
      <c r="K80" s="26">
        <v>5072</v>
      </c>
      <c r="L80" s="26">
        <v>-4746</v>
      </c>
      <c r="M80" s="26">
        <v>-5970</v>
      </c>
      <c r="N80" s="26">
        <v>-5464</v>
      </c>
      <c r="O80" s="26">
        <v>10124</v>
      </c>
      <c r="P80" s="26">
        <v>10141</v>
      </c>
      <c r="Q80" s="27">
        <v>16894</v>
      </c>
      <c r="R80" s="27">
        <v>23482</v>
      </c>
      <c r="S80" s="26">
        <v>15341</v>
      </c>
      <c r="T80" s="27">
        <v>17393</v>
      </c>
      <c r="U80" s="26">
        <v>18528</v>
      </c>
      <c r="V80" s="26">
        <v>11425</v>
      </c>
      <c r="W80" s="27">
        <v>29549</v>
      </c>
      <c r="X80" s="9">
        <v>0.1101157034832518</v>
      </c>
      <c r="Y80" s="10">
        <v>2.2349883736835E-2</v>
      </c>
      <c r="Z80" s="10">
        <v>-0.1613106068714546</v>
      </c>
      <c r="AA80" s="8">
        <v>0.2266498636080847</v>
      </c>
    </row>
    <row r="81" spans="2:27" x14ac:dyDescent="0.3">
      <c r="B81" s="12">
        <v>6395</v>
      </c>
      <c r="C81" s="3" t="s">
        <v>545</v>
      </c>
      <c r="D81" s="3" t="str">
        <f>VLOOKUP(B81,기업리스트!B:G,2,FALSE)</f>
        <v>Tadano Ltd.</v>
      </c>
      <c r="E81" s="3" t="s">
        <v>496</v>
      </c>
      <c r="F81" s="13">
        <v>20.6</v>
      </c>
      <c r="G81" s="26">
        <v>1857</v>
      </c>
      <c r="H81" s="26">
        <v>1857</v>
      </c>
      <c r="I81" s="26">
        <v>2610</v>
      </c>
      <c r="J81" s="26">
        <v>2610</v>
      </c>
      <c r="K81" s="27">
        <v>2751</v>
      </c>
      <c r="L81" s="27">
        <v>3528</v>
      </c>
      <c r="M81" s="27">
        <v>5270</v>
      </c>
      <c r="N81" s="27">
        <v>4396</v>
      </c>
      <c r="O81" s="27">
        <v>5155</v>
      </c>
      <c r="P81" s="27">
        <v>5626</v>
      </c>
      <c r="Q81" s="26">
        <v>6658</v>
      </c>
      <c r="R81" s="27">
        <v>7125</v>
      </c>
      <c r="S81" s="26">
        <v>4370</v>
      </c>
      <c r="T81" s="26">
        <v>5393</v>
      </c>
      <c r="U81" s="26">
        <v>3464</v>
      </c>
      <c r="V81" s="26">
        <v>2151</v>
      </c>
      <c r="W81" s="27">
        <v>7545</v>
      </c>
      <c r="X81" s="7">
        <v>-9.7985617561714422E-3</v>
      </c>
      <c r="Y81" s="10">
        <v>-0.13564936719612669</v>
      </c>
      <c r="Z81" s="10">
        <v>-0.24439858490566041</v>
      </c>
      <c r="AA81" s="8">
        <v>0.2064637794251527</v>
      </c>
    </row>
    <row r="82" spans="2:27" x14ac:dyDescent="0.3">
      <c r="B82" s="12">
        <v>7003</v>
      </c>
      <c r="C82" s="3" t="s">
        <v>545</v>
      </c>
      <c r="D82" s="3" t="str">
        <f>VLOOKUP(B82,기업리스트!B:G,2,FALSE)</f>
        <v>MITSUI E&amp;S Co., Ltd.</v>
      </c>
      <c r="E82" s="3" t="s">
        <v>505</v>
      </c>
      <c r="F82" s="13">
        <v>20.100000000000001</v>
      </c>
      <c r="G82" s="26">
        <v>-4929</v>
      </c>
      <c r="H82" s="26">
        <v>-611</v>
      </c>
      <c r="I82" s="26">
        <v>-6701</v>
      </c>
      <c r="J82" s="26">
        <v>-1804</v>
      </c>
      <c r="K82" s="26">
        <v>5964</v>
      </c>
      <c r="L82" s="26">
        <v>11917</v>
      </c>
      <c r="M82" s="27">
        <v>1721</v>
      </c>
      <c r="N82" s="27">
        <v>4931</v>
      </c>
      <c r="O82" s="26">
        <v>6831</v>
      </c>
      <c r="P82" s="26">
        <v>6147</v>
      </c>
      <c r="Q82" s="27">
        <v>4300</v>
      </c>
      <c r="R82" s="26">
        <v>4916</v>
      </c>
      <c r="S82" s="26">
        <v>4540</v>
      </c>
      <c r="T82" s="27">
        <v>9375</v>
      </c>
      <c r="U82" s="27">
        <v>8897</v>
      </c>
      <c r="V82" s="27">
        <v>10905</v>
      </c>
      <c r="W82" s="27">
        <v>11315</v>
      </c>
      <c r="X82" s="9">
        <v>0.16218660503441701</v>
      </c>
      <c r="Y82" s="8">
        <v>0.1987376248324759</v>
      </c>
      <c r="Z82" s="8">
        <v>0.21599105597230239</v>
      </c>
      <c r="AA82" s="8">
        <v>0.20093721268202991</v>
      </c>
    </row>
    <row r="83" spans="2:27" x14ac:dyDescent="0.3">
      <c r="B83" s="12">
        <v>8050</v>
      </c>
      <c r="C83" s="3" t="s">
        <v>545</v>
      </c>
      <c r="D83" s="3" t="str">
        <f>VLOOKUP(B83,기업리스트!B:G,2,FALSE)</f>
        <v>Seiko Group Corporation</v>
      </c>
      <c r="E83" s="3" t="s">
        <v>505</v>
      </c>
      <c r="F83" s="13">
        <v>18.899999999999999</v>
      </c>
      <c r="G83" s="26">
        <v>3039</v>
      </c>
      <c r="H83" s="26">
        <v>2278</v>
      </c>
      <c r="I83" s="26">
        <v>3106</v>
      </c>
      <c r="J83" s="26">
        <v>5742</v>
      </c>
      <c r="K83" s="26">
        <v>3599</v>
      </c>
      <c r="L83" s="26">
        <v>-1213</v>
      </c>
      <c r="M83" s="26">
        <v>2825</v>
      </c>
      <c r="N83" s="26">
        <v>5337</v>
      </c>
      <c r="O83" s="27">
        <v>5981</v>
      </c>
      <c r="P83" s="27">
        <v>596</v>
      </c>
      <c r="Q83" s="27">
        <v>5106</v>
      </c>
      <c r="R83" s="27">
        <v>8246</v>
      </c>
      <c r="S83" s="26">
        <v>7447</v>
      </c>
      <c r="T83" s="26">
        <v>442</v>
      </c>
      <c r="U83" s="27">
        <v>8178</v>
      </c>
      <c r="V83" s="26">
        <v>8672</v>
      </c>
      <c r="W83" s="27">
        <v>12111</v>
      </c>
      <c r="X83" s="7">
        <v>-7.197943444730126E-3</v>
      </c>
      <c r="Y83" s="8">
        <v>0.14462595922979141</v>
      </c>
      <c r="Z83" s="10">
        <v>1.7521490560605368E-2</v>
      </c>
      <c r="AA83" s="8">
        <v>0.1885282347710093</v>
      </c>
    </row>
    <row r="84" spans="2:27" x14ac:dyDescent="0.3">
      <c r="B84" s="12">
        <v>9075</v>
      </c>
      <c r="C84" s="3" t="s">
        <v>545</v>
      </c>
      <c r="D84" s="3" t="str">
        <f>VLOOKUP(B84,기업리스트!B:G,2,FALSE)</f>
        <v>Fukuyama Transporting Co., Ltd.</v>
      </c>
      <c r="E84" s="3" t="s">
        <v>505</v>
      </c>
      <c r="F84" s="13">
        <v>17.100000000000001</v>
      </c>
      <c r="G84" s="26">
        <v>8470</v>
      </c>
      <c r="H84" s="26">
        <v>2664</v>
      </c>
      <c r="I84" s="26">
        <v>6738</v>
      </c>
      <c r="J84" s="26">
        <v>4952</v>
      </c>
      <c r="K84" s="26">
        <v>7208</v>
      </c>
      <c r="L84" s="26">
        <v>2477</v>
      </c>
      <c r="M84" s="26">
        <v>4288</v>
      </c>
      <c r="N84" s="26">
        <v>1951</v>
      </c>
      <c r="O84" s="26">
        <v>4705</v>
      </c>
      <c r="P84" s="26">
        <v>-495</v>
      </c>
      <c r="Q84" s="26">
        <v>3176</v>
      </c>
      <c r="R84" s="26">
        <v>1311</v>
      </c>
      <c r="S84" s="26">
        <v>3983</v>
      </c>
      <c r="T84" s="26">
        <v>-1105</v>
      </c>
      <c r="U84" s="26">
        <v>2549</v>
      </c>
      <c r="V84" s="26">
        <v>1063</v>
      </c>
      <c r="W84" s="27">
        <v>5095</v>
      </c>
      <c r="X84" s="7">
        <v>-7.6489028213166166E-2</v>
      </c>
      <c r="Y84" s="10">
        <v>-8.5132382892057046E-2</v>
      </c>
      <c r="Z84" s="10">
        <v>-3.6806173938854207E-2</v>
      </c>
      <c r="AA84" s="8">
        <v>0.17134052388289669</v>
      </c>
    </row>
    <row r="85" spans="2:27" x14ac:dyDescent="0.3">
      <c r="B85" s="12">
        <v>8524</v>
      </c>
      <c r="C85" s="3" t="s">
        <v>545</v>
      </c>
      <c r="D85" s="3" t="str">
        <f>VLOOKUP(B85,기업리스트!B:G,2,FALSE)</f>
        <v>North Pacific Bank,Ltd.</v>
      </c>
      <c r="E85" s="3" t="s">
        <v>505</v>
      </c>
      <c r="F85" s="13">
        <v>14.8</v>
      </c>
      <c r="G85" s="26">
        <v>6784</v>
      </c>
      <c r="H85" s="26">
        <v>2305</v>
      </c>
      <c r="I85" s="26">
        <v>6945</v>
      </c>
      <c r="J85" s="26">
        <v>4190</v>
      </c>
      <c r="K85" s="26">
        <v>5033</v>
      </c>
      <c r="L85" s="26">
        <v>-358</v>
      </c>
      <c r="M85" s="26">
        <v>4865</v>
      </c>
      <c r="N85" s="26">
        <v>3759</v>
      </c>
      <c r="O85" s="26">
        <v>4287</v>
      </c>
      <c r="P85" s="27">
        <v>5377</v>
      </c>
      <c r="Q85" s="27">
        <v>7344</v>
      </c>
      <c r="R85" s="26">
        <v>4200</v>
      </c>
      <c r="S85" s="26">
        <v>5766</v>
      </c>
      <c r="T85" s="27">
        <v>10231</v>
      </c>
      <c r="U85" s="26">
        <v>8055</v>
      </c>
      <c r="V85" s="27">
        <v>10080</v>
      </c>
      <c r="W85" s="27">
        <v>10808</v>
      </c>
      <c r="X85" s="9">
        <v>0.2139551284876802</v>
      </c>
      <c r="Y85" s="10">
        <v>2.5816056061871429E-2</v>
      </c>
      <c r="Z85" s="8">
        <v>0.20812685827552019</v>
      </c>
      <c r="AA85" s="8">
        <v>0.14772061408648771</v>
      </c>
    </row>
    <row r="86" spans="2:27" x14ac:dyDescent="0.3">
      <c r="B86" s="12">
        <v>7616</v>
      </c>
      <c r="C86" s="3" t="s">
        <v>545</v>
      </c>
      <c r="D86" s="3" t="str">
        <f>VLOOKUP(B86,기업리스트!B:G,2,FALSE)</f>
        <v>Colowide Co.,Ltd.</v>
      </c>
      <c r="E86" s="3" t="s">
        <v>494</v>
      </c>
      <c r="F86" s="13">
        <v>12.3</v>
      </c>
      <c r="G86" s="26">
        <v>2472</v>
      </c>
      <c r="H86" s="26">
        <v>2445</v>
      </c>
      <c r="I86" s="26">
        <v>301</v>
      </c>
      <c r="J86" s="26">
        <v>30</v>
      </c>
      <c r="K86" s="26">
        <v>-3222</v>
      </c>
      <c r="L86" s="27">
        <v>1415</v>
      </c>
      <c r="M86" s="26">
        <v>1221</v>
      </c>
      <c r="N86" s="26">
        <v>3197</v>
      </c>
      <c r="O86" s="27">
        <v>986</v>
      </c>
      <c r="P86" s="27">
        <v>2935</v>
      </c>
      <c r="Q86" s="27">
        <v>2636</v>
      </c>
      <c r="R86" s="26">
        <v>1942</v>
      </c>
      <c r="S86" s="26">
        <v>1426</v>
      </c>
      <c r="T86" s="26">
        <v>3423</v>
      </c>
      <c r="U86" s="27">
        <v>3747</v>
      </c>
      <c r="V86" s="26">
        <v>2353</v>
      </c>
      <c r="W86" s="27">
        <v>2768</v>
      </c>
      <c r="X86" s="7">
        <v>5.4592236268038892E-2</v>
      </c>
      <c r="Y86" s="8">
        <v>0.1178529754959159</v>
      </c>
      <c r="Z86" s="10">
        <v>3.9001708104004613E-2</v>
      </c>
      <c r="AA86" s="8">
        <v>0.122568271074984</v>
      </c>
    </row>
    <row r="87" spans="2:27" x14ac:dyDescent="0.3">
      <c r="B87" s="12">
        <v>6055</v>
      </c>
      <c r="C87" s="3" t="s">
        <v>545</v>
      </c>
      <c r="D87" s="3" t="str">
        <f>VLOOKUP(B87,기업리스트!B:G,2,FALSE)</f>
        <v>JAPAN MATERIAL Co., Ltd.</v>
      </c>
      <c r="E87" s="3" t="s">
        <v>505</v>
      </c>
      <c r="F87" s="13">
        <v>11.7</v>
      </c>
      <c r="G87" s="26">
        <v>2381</v>
      </c>
      <c r="H87" s="26">
        <v>2286</v>
      </c>
      <c r="I87" s="26">
        <v>2440</v>
      </c>
      <c r="J87" s="26">
        <v>3688</v>
      </c>
      <c r="K87" s="26">
        <v>3117</v>
      </c>
      <c r="L87" s="26">
        <v>1830</v>
      </c>
      <c r="M87" s="26">
        <v>1349</v>
      </c>
      <c r="N87" s="26">
        <v>1746</v>
      </c>
      <c r="O87" s="26">
        <v>2391</v>
      </c>
      <c r="P87" s="26">
        <v>2274</v>
      </c>
      <c r="Q87" s="26">
        <v>2003</v>
      </c>
      <c r="R87" s="26">
        <v>2425</v>
      </c>
      <c r="S87" s="26">
        <v>2417</v>
      </c>
      <c r="T87" s="27">
        <v>4343</v>
      </c>
      <c r="U87" s="27">
        <v>3191</v>
      </c>
      <c r="V87" s="26">
        <v>2888</v>
      </c>
      <c r="W87" s="27">
        <v>3924</v>
      </c>
      <c r="X87" s="9">
        <v>0.2268889132580327</v>
      </c>
      <c r="Y87" s="8">
        <v>0.10618519842688599</v>
      </c>
      <c r="Z87" s="10">
        <v>3.7411118293471317E-2</v>
      </c>
      <c r="AA87" s="8">
        <v>0.1173767427369732</v>
      </c>
    </row>
    <row r="88" spans="2:27" x14ac:dyDescent="0.3">
      <c r="B88" s="12">
        <v>7226</v>
      </c>
      <c r="C88" s="3" t="s">
        <v>545</v>
      </c>
      <c r="D88" s="3" t="str">
        <f>VLOOKUP(B88,기업리스트!B:G,2,FALSE)</f>
        <v>Kyokuto Kaihatsu Kogyo Co.,Ltd.</v>
      </c>
      <c r="E88" s="3" t="s">
        <v>505</v>
      </c>
      <c r="F88" s="13">
        <v>11.4</v>
      </c>
      <c r="G88" s="26">
        <v>1139</v>
      </c>
      <c r="H88" s="26">
        <v>1758</v>
      </c>
      <c r="I88" s="26">
        <v>-50</v>
      </c>
      <c r="J88" s="26">
        <v>431</v>
      </c>
      <c r="K88" s="26">
        <v>-172</v>
      </c>
      <c r="L88" s="26">
        <v>784</v>
      </c>
      <c r="M88" s="26">
        <v>-87</v>
      </c>
      <c r="N88" s="27">
        <v>1399</v>
      </c>
      <c r="O88" s="27">
        <v>850</v>
      </c>
      <c r="P88" s="27">
        <v>2663</v>
      </c>
      <c r="Q88" s="27">
        <v>933</v>
      </c>
      <c r="R88" s="26">
        <v>1808</v>
      </c>
      <c r="S88" s="26">
        <v>1053</v>
      </c>
      <c r="T88" s="26">
        <v>2862</v>
      </c>
      <c r="U88" s="26">
        <v>968</v>
      </c>
      <c r="V88" s="27">
        <v>2734</v>
      </c>
      <c r="W88" s="27">
        <v>1925</v>
      </c>
      <c r="X88" s="7">
        <v>3.081926591296269E-2</v>
      </c>
      <c r="Y88" s="10">
        <v>5.2584134615385469E-3</v>
      </c>
      <c r="Z88" s="8">
        <v>0.13839485876550589</v>
      </c>
      <c r="AA88" s="8">
        <v>0.1144807667060523</v>
      </c>
    </row>
    <row r="89" spans="2:27" x14ac:dyDescent="0.3">
      <c r="B89" s="12">
        <v>7552</v>
      </c>
      <c r="C89" s="3" t="s">
        <v>545</v>
      </c>
      <c r="D89" s="3" t="str">
        <f>VLOOKUP(B89,기업리스트!B:G,2,FALSE)</f>
        <v>Happinet Corporation</v>
      </c>
      <c r="E89" s="3" t="s">
        <v>505</v>
      </c>
      <c r="F89" s="13">
        <v>10.1</v>
      </c>
      <c r="G89" s="26">
        <v>2693</v>
      </c>
      <c r="H89" s="26">
        <v>282</v>
      </c>
      <c r="I89" s="26">
        <v>1149</v>
      </c>
      <c r="J89" s="26">
        <v>2130</v>
      </c>
      <c r="K89" s="26">
        <v>2695</v>
      </c>
      <c r="L89" s="26">
        <v>-130</v>
      </c>
      <c r="M89" s="27">
        <v>2181</v>
      </c>
      <c r="N89" s="26">
        <v>2547</v>
      </c>
      <c r="O89" s="26">
        <v>2987</v>
      </c>
      <c r="P89" s="27">
        <v>964</v>
      </c>
      <c r="Q89" s="27">
        <v>3280</v>
      </c>
      <c r="R89" s="26">
        <v>3243</v>
      </c>
      <c r="S89" s="26">
        <v>3255</v>
      </c>
      <c r="T89" s="26">
        <v>1901</v>
      </c>
      <c r="U89" s="26">
        <v>3944</v>
      </c>
      <c r="V89" s="27">
        <v>4767</v>
      </c>
      <c r="W89" s="27">
        <v>4658</v>
      </c>
      <c r="X89" s="7">
        <v>8.7227704338112E-2</v>
      </c>
      <c r="Y89" s="10">
        <v>5.6854182721123303E-2</v>
      </c>
      <c r="Z89" s="8">
        <v>0.1234707931621162</v>
      </c>
      <c r="AA89" s="8">
        <v>0.10117545251316069</v>
      </c>
    </row>
    <row r="90" spans="2:27" x14ac:dyDescent="0.3">
      <c r="B90" s="12">
        <v>3035</v>
      </c>
      <c r="C90" s="3" t="s">
        <v>545</v>
      </c>
      <c r="D90" s="3" t="str">
        <f>VLOOKUP(B90,기업리스트!B:G,2,FALSE)</f>
        <v>Faraday Technology Corporation</v>
      </c>
      <c r="E90" s="3" t="s">
        <v>527</v>
      </c>
      <c r="F90" s="5">
        <v>9.4</v>
      </c>
      <c r="G90" s="26">
        <v>74</v>
      </c>
      <c r="H90" s="26">
        <v>75</v>
      </c>
      <c r="I90" s="26">
        <v>176</v>
      </c>
      <c r="J90" s="26">
        <v>79</v>
      </c>
      <c r="K90" s="26">
        <v>76</v>
      </c>
      <c r="L90" s="26">
        <v>115</v>
      </c>
      <c r="M90" s="26">
        <v>143</v>
      </c>
      <c r="N90" s="26">
        <v>27</v>
      </c>
      <c r="O90" s="26">
        <v>47</v>
      </c>
      <c r="P90" s="26">
        <v>100</v>
      </c>
      <c r="Q90" s="26">
        <v>164</v>
      </c>
      <c r="R90" s="27">
        <v>72</v>
      </c>
      <c r="S90" s="26">
        <v>65</v>
      </c>
      <c r="T90" s="26">
        <v>101</v>
      </c>
      <c r="U90" s="26">
        <v>157</v>
      </c>
      <c r="V90" s="26">
        <v>104</v>
      </c>
      <c r="W90" s="26">
        <v>105</v>
      </c>
      <c r="X90" s="7">
        <v>2.493765586034868E-3</v>
      </c>
      <c r="Y90" s="10">
        <v>-1.7412935323383061E-2</v>
      </c>
      <c r="Z90" s="10">
        <v>8.1012658227848089E-2</v>
      </c>
      <c r="AA90" s="10">
        <v>9.3676814988290502E-2</v>
      </c>
    </row>
    <row r="91" spans="2:27" x14ac:dyDescent="0.3">
      <c r="B91" s="12">
        <v>7564</v>
      </c>
      <c r="C91" s="3" t="s">
        <v>545</v>
      </c>
      <c r="D91" s="3" t="str">
        <f>VLOOKUP(B91,기업리스트!B:G,2,FALSE)</f>
        <v>Workman Co.,Ltd.</v>
      </c>
      <c r="E91" s="3" t="s">
        <v>505</v>
      </c>
      <c r="F91" s="5">
        <v>7.5</v>
      </c>
      <c r="G91" s="26">
        <v>9980</v>
      </c>
      <c r="H91" s="26">
        <v>4217</v>
      </c>
      <c r="I91" s="26">
        <v>7460</v>
      </c>
      <c r="J91" s="26">
        <v>4700</v>
      </c>
      <c r="K91" s="26">
        <v>8608</v>
      </c>
      <c r="L91" s="26">
        <v>3340</v>
      </c>
      <c r="M91" s="26">
        <v>7112</v>
      </c>
      <c r="N91" s="26">
        <v>4880</v>
      </c>
      <c r="O91" s="26">
        <v>8687</v>
      </c>
      <c r="P91" s="26">
        <v>2465</v>
      </c>
      <c r="Q91" s="26">
        <v>7035</v>
      </c>
      <c r="R91" s="26">
        <v>4893</v>
      </c>
      <c r="S91" s="26">
        <v>8747</v>
      </c>
      <c r="T91" s="26">
        <v>3719</v>
      </c>
      <c r="U91" s="26">
        <v>9029</v>
      </c>
      <c r="V91" s="26">
        <v>5416</v>
      </c>
      <c r="W91" s="26">
        <v>10776</v>
      </c>
      <c r="X91" s="7">
        <v>5.4191875540190233E-2</v>
      </c>
      <c r="Y91" s="10">
        <v>8.1741411822579213E-2</v>
      </c>
      <c r="Z91" s="10">
        <v>1.9819614976504418E-2</v>
      </c>
      <c r="AA91" s="10">
        <v>7.5396677938389445E-2</v>
      </c>
    </row>
    <row r="92" spans="2:27" x14ac:dyDescent="0.3">
      <c r="B92" s="12">
        <v>8361</v>
      </c>
      <c r="C92" s="3" t="s">
        <v>545</v>
      </c>
      <c r="D92" s="3" t="str">
        <f>VLOOKUP(B92,기업리스트!B:G,2,FALSE)</f>
        <v>The Ogaki Kyoritsu Bank, Ltd.</v>
      </c>
      <c r="E92" s="3" t="s">
        <v>505</v>
      </c>
      <c r="F92" s="5">
        <v>6.7</v>
      </c>
      <c r="G92" s="26">
        <v>4075</v>
      </c>
      <c r="H92" s="26">
        <v>2445</v>
      </c>
      <c r="I92" s="26">
        <v>6593</v>
      </c>
      <c r="J92" s="26">
        <v>2125</v>
      </c>
      <c r="K92" s="26">
        <v>1517</v>
      </c>
      <c r="L92" s="26">
        <v>-1561</v>
      </c>
      <c r="M92" s="26">
        <v>5071</v>
      </c>
      <c r="N92" s="26">
        <v>-257</v>
      </c>
      <c r="O92" s="27">
        <v>5253</v>
      </c>
      <c r="P92" s="27">
        <v>3525</v>
      </c>
      <c r="Q92" s="26">
        <v>4196</v>
      </c>
      <c r="R92" s="27">
        <v>1668</v>
      </c>
      <c r="S92" s="26">
        <v>5431</v>
      </c>
      <c r="T92" s="27">
        <v>8716</v>
      </c>
      <c r="U92" s="26">
        <v>5667</v>
      </c>
      <c r="V92" s="27">
        <v>5127</v>
      </c>
      <c r="W92" s="26">
        <v>7103</v>
      </c>
      <c r="X92" s="9">
        <v>0.35026990553306342</v>
      </c>
      <c r="Y92" s="10">
        <v>7.3509569736644798E-2</v>
      </c>
      <c r="Z92" s="8">
        <v>0.16101852713900011</v>
      </c>
      <c r="AA92" s="10">
        <v>6.7038210176015411E-2</v>
      </c>
    </row>
    <row r="93" spans="2:27" x14ac:dyDescent="0.3">
      <c r="B93" s="12">
        <v>6544</v>
      </c>
      <c r="C93" s="3" t="s">
        <v>545</v>
      </c>
      <c r="D93" s="3" t="str">
        <f>VLOOKUP(B93,기업리스트!B:G,2,FALSE)</f>
        <v>Japan Elevator Service Holdings Co.,Ltd.</v>
      </c>
      <c r="E93" s="3" t="s">
        <v>505</v>
      </c>
      <c r="F93" s="5">
        <v>5.5</v>
      </c>
      <c r="G93" s="26">
        <v>1117</v>
      </c>
      <c r="H93" s="26">
        <v>1167</v>
      </c>
      <c r="I93" s="26">
        <v>964</v>
      </c>
      <c r="J93" s="26">
        <v>1109</v>
      </c>
      <c r="K93" s="26">
        <v>1429</v>
      </c>
      <c r="L93" s="26">
        <v>1496</v>
      </c>
      <c r="M93" s="26">
        <v>1305</v>
      </c>
      <c r="N93" s="27">
        <v>1694</v>
      </c>
      <c r="O93" s="26">
        <v>1763</v>
      </c>
      <c r="P93" s="26">
        <v>2045</v>
      </c>
      <c r="Q93" s="26">
        <v>1925</v>
      </c>
      <c r="R93" s="26">
        <v>2001</v>
      </c>
      <c r="S93" s="26">
        <v>2195</v>
      </c>
      <c r="T93" s="26">
        <v>2490</v>
      </c>
      <c r="U93" s="26">
        <v>2506</v>
      </c>
      <c r="V93" s="26">
        <v>2625</v>
      </c>
      <c r="W93" s="26">
        <v>2736</v>
      </c>
      <c r="X93" s="7">
        <v>5.4494244428116678E-2</v>
      </c>
      <c r="Y93" s="10">
        <v>6.7471838346301327E-2</v>
      </c>
      <c r="Z93" s="10">
        <v>6.788511749347248E-2</v>
      </c>
      <c r="AA93" s="10">
        <v>5.5114099429502961E-2</v>
      </c>
    </row>
    <row r="94" spans="2:27" x14ac:dyDescent="0.3">
      <c r="B94" s="12">
        <v>6302</v>
      </c>
      <c r="C94" s="3" t="s">
        <v>545</v>
      </c>
      <c r="D94" s="3" t="str">
        <f>VLOOKUP(B94,기업리스트!B:G,2,FALSE)</f>
        <v>Sumitomo Heavy Industries, Ltd.</v>
      </c>
      <c r="E94" s="3" t="s">
        <v>496</v>
      </c>
      <c r="F94" s="5">
        <v>5.5</v>
      </c>
      <c r="G94" s="26">
        <v>12419</v>
      </c>
      <c r="H94" s="26">
        <v>16682</v>
      </c>
      <c r="I94" s="26">
        <v>21532</v>
      </c>
      <c r="J94" s="26">
        <v>14781</v>
      </c>
      <c r="K94" s="26">
        <v>11952</v>
      </c>
      <c r="L94" s="26">
        <v>16157</v>
      </c>
      <c r="M94" s="26">
        <v>14499</v>
      </c>
      <c r="N94" s="26">
        <v>19076</v>
      </c>
      <c r="O94" s="27">
        <v>24635</v>
      </c>
      <c r="P94" s="26">
        <v>18434</v>
      </c>
      <c r="Q94" s="26">
        <v>14895</v>
      </c>
      <c r="R94" s="26">
        <v>7722</v>
      </c>
      <c r="S94" s="26">
        <v>14051</v>
      </c>
      <c r="T94" s="26">
        <v>11181</v>
      </c>
      <c r="U94" s="26">
        <v>10474</v>
      </c>
      <c r="V94" s="27">
        <v>13093</v>
      </c>
      <c r="W94" s="26">
        <v>16734</v>
      </c>
      <c r="X94" s="7">
        <v>-0.13162861602119699</v>
      </c>
      <c r="Y94" s="10">
        <v>-9.239482538820043E-2</v>
      </c>
      <c r="Z94" s="8">
        <v>0.12367596942065021</v>
      </c>
      <c r="AA94" s="10">
        <v>5.4980634849074672E-2</v>
      </c>
    </row>
    <row r="95" spans="2:27" x14ac:dyDescent="0.3">
      <c r="B95" s="12">
        <v>9076</v>
      </c>
      <c r="C95" s="3" t="s">
        <v>545</v>
      </c>
      <c r="D95" s="3" t="str">
        <f>VLOOKUP(B95,기업리스트!B:G,2,FALSE)</f>
        <v>Seino Holdings Co., Ltd.</v>
      </c>
      <c r="E95" s="3" t="s">
        <v>505</v>
      </c>
      <c r="F95" s="5">
        <v>5.3</v>
      </c>
      <c r="G95" s="26">
        <v>9768</v>
      </c>
      <c r="H95" s="26">
        <v>5132</v>
      </c>
      <c r="I95" s="26">
        <v>7266</v>
      </c>
      <c r="J95" s="26">
        <v>7218</v>
      </c>
      <c r="K95" s="26">
        <v>10025</v>
      </c>
      <c r="L95" s="26">
        <v>3993</v>
      </c>
      <c r="M95" s="26">
        <v>6161</v>
      </c>
      <c r="N95" s="26">
        <v>5158</v>
      </c>
      <c r="O95" s="26">
        <v>9241</v>
      </c>
      <c r="P95" s="26">
        <v>2844</v>
      </c>
      <c r="Q95" s="26">
        <v>6548</v>
      </c>
      <c r="R95" s="26">
        <v>6528</v>
      </c>
      <c r="S95" s="26">
        <v>11639</v>
      </c>
      <c r="T95" s="26">
        <v>5169</v>
      </c>
      <c r="U95" s="26">
        <v>9206</v>
      </c>
      <c r="V95" s="26">
        <v>8896</v>
      </c>
      <c r="W95" s="26">
        <v>13489</v>
      </c>
      <c r="X95" s="7">
        <v>8.4364454443194514E-2</v>
      </c>
      <c r="Y95" s="10">
        <v>8.8943916477044471E-2</v>
      </c>
      <c r="Z95" s="10">
        <v>7.2767500460942713E-2</v>
      </c>
      <c r="AA95" s="10">
        <v>5.2993411629905562E-2</v>
      </c>
    </row>
    <row r="96" spans="2:27" x14ac:dyDescent="0.3">
      <c r="B96" s="12">
        <v>3291</v>
      </c>
      <c r="C96" s="3" t="s">
        <v>545</v>
      </c>
      <c r="D96" s="3" t="str">
        <f>VLOOKUP(B96,기업리스트!B:G,2,FALSE)</f>
        <v>Iida Group Holdings Co., Ltd.</v>
      </c>
      <c r="E96" s="3" t="s">
        <v>505</v>
      </c>
      <c r="F96" s="5">
        <v>4.8</v>
      </c>
      <c r="G96" s="26">
        <v>35896</v>
      </c>
      <c r="H96" s="26">
        <v>31939</v>
      </c>
      <c r="I96" s="26">
        <v>31797</v>
      </c>
      <c r="J96" s="26">
        <v>33207</v>
      </c>
      <c r="K96" s="26">
        <v>22119</v>
      </c>
      <c r="L96" s="26">
        <v>13809</v>
      </c>
      <c r="M96" s="26">
        <v>17878</v>
      </c>
      <c r="N96" s="26">
        <v>18831</v>
      </c>
      <c r="O96" s="26">
        <v>12182</v>
      </c>
      <c r="P96" s="26">
        <v>9782</v>
      </c>
      <c r="Q96" s="26">
        <v>14631</v>
      </c>
      <c r="R96" s="26">
        <v>23291</v>
      </c>
      <c r="S96" s="27">
        <v>22029</v>
      </c>
      <c r="T96" s="27">
        <v>19534</v>
      </c>
      <c r="U96" s="26">
        <v>14199</v>
      </c>
      <c r="V96" s="26">
        <v>25325</v>
      </c>
      <c r="W96" s="26">
        <v>25912</v>
      </c>
      <c r="X96" s="9">
        <v>0.13984770481694461</v>
      </c>
      <c r="Y96" s="10">
        <v>-5.4349877335346797E-3</v>
      </c>
      <c r="Z96" s="10">
        <v>2.5729573830215239E-2</v>
      </c>
      <c r="AA96" s="10">
        <v>4.7886837594188991E-2</v>
      </c>
    </row>
    <row r="97" spans="2:27" x14ac:dyDescent="0.3">
      <c r="B97" s="12">
        <v>5331</v>
      </c>
      <c r="C97" s="3" t="s">
        <v>545</v>
      </c>
      <c r="D97" s="3" t="str">
        <f>VLOOKUP(B97,기업리스트!B:G,2,FALSE)</f>
        <v>Noritake Co., Limited</v>
      </c>
      <c r="E97" s="3" t="s">
        <v>505</v>
      </c>
      <c r="F97" s="5">
        <v>4.7</v>
      </c>
      <c r="G97" s="26">
        <v>2504</v>
      </c>
      <c r="H97" s="26">
        <v>2655</v>
      </c>
      <c r="I97" s="26">
        <v>2210</v>
      </c>
      <c r="J97" s="26">
        <v>2323</v>
      </c>
      <c r="K97" s="26">
        <v>2424</v>
      </c>
      <c r="L97" s="26">
        <v>2013</v>
      </c>
      <c r="M97" s="26">
        <v>2348</v>
      </c>
      <c r="N97" s="26">
        <v>2542</v>
      </c>
      <c r="O97" s="26">
        <v>3164</v>
      </c>
      <c r="P97" s="26">
        <v>2656</v>
      </c>
      <c r="Q97" s="26">
        <v>2618</v>
      </c>
      <c r="R97" s="26">
        <v>2826</v>
      </c>
      <c r="S97" s="26">
        <v>2670</v>
      </c>
      <c r="T97" s="26">
        <v>2100</v>
      </c>
      <c r="U97" s="26">
        <v>2140</v>
      </c>
      <c r="V97" s="26">
        <v>2601</v>
      </c>
      <c r="W97" s="26">
        <v>3119</v>
      </c>
      <c r="X97" s="7">
        <v>-5.1624883936861599E-2</v>
      </c>
      <c r="Y97" s="10">
        <v>-4.6798511846485202E-2</v>
      </c>
      <c r="Z97" s="10">
        <v>-2.3110106820049329E-2</v>
      </c>
      <c r="AA97" s="10">
        <v>4.7208495426348529E-2</v>
      </c>
    </row>
    <row r="98" spans="2:27" x14ac:dyDescent="0.3">
      <c r="B98" s="12">
        <v>3288</v>
      </c>
      <c r="C98" s="3" t="s">
        <v>545</v>
      </c>
      <c r="D98" s="3" t="str">
        <f>VLOOKUP(B98,기업리스트!B:G,2,FALSE)</f>
        <v>Open House Group Co., Ltd.</v>
      </c>
      <c r="E98" s="3" t="s">
        <v>527</v>
      </c>
      <c r="F98" s="5">
        <v>4.0999999999999996</v>
      </c>
      <c r="G98" s="26">
        <v>35041</v>
      </c>
      <c r="H98" s="26">
        <v>24958</v>
      </c>
      <c r="I98" s="26">
        <v>23971</v>
      </c>
      <c r="J98" s="26">
        <v>35389</v>
      </c>
      <c r="K98" s="26">
        <v>30669</v>
      </c>
      <c r="L98" s="27">
        <v>38982</v>
      </c>
      <c r="M98" s="26">
        <v>27158</v>
      </c>
      <c r="N98" s="26">
        <v>45522</v>
      </c>
      <c r="O98" s="26">
        <v>32645</v>
      </c>
      <c r="P98" s="26">
        <v>23078</v>
      </c>
      <c r="Q98" s="26">
        <v>25065</v>
      </c>
      <c r="R98" s="26">
        <v>38302</v>
      </c>
      <c r="S98" s="26">
        <v>34352</v>
      </c>
      <c r="T98" s="27">
        <v>39426</v>
      </c>
      <c r="U98" s="26">
        <v>28470</v>
      </c>
      <c r="V98" s="26">
        <v>43686</v>
      </c>
      <c r="W98" s="26">
        <v>40293</v>
      </c>
      <c r="X98" s="9">
        <v>0.13533448678361221</v>
      </c>
      <c r="Y98" s="10">
        <v>2.482773706660835E-2</v>
      </c>
      <c r="Z98" s="10">
        <v>3.830665243685516E-2</v>
      </c>
      <c r="AA98" s="10">
        <v>4.0710184055805947E-2</v>
      </c>
    </row>
    <row r="99" spans="2:27" x14ac:dyDescent="0.3">
      <c r="B99" s="12">
        <v>4182</v>
      </c>
      <c r="C99" s="3" t="s">
        <v>545</v>
      </c>
      <c r="D99" s="3" t="str">
        <f>VLOOKUP(B99,기업리스트!B:G,2,FALSE)</f>
        <v>Mitsubishi Gas Chemical Company, Inc.</v>
      </c>
      <c r="E99" s="3" t="s">
        <v>505</v>
      </c>
      <c r="F99" s="5">
        <v>3.6</v>
      </c>
      <c r="G99" s="26">
        <v>14850</v>
      </c>
      <c r="H99" s="26">
        <v>10472</v>
      </c>
      <c r="I99" s="26">
        <v>18845</v>
      </c>
      <c r="J99" s="26">
        <v>14681</v>
      </c>
      <c r="K99" s="26">
        <v>11875</v>
      </c>
      <c r="L99" s="26">
        <v>3630</v>
      </c>
      <c r="M99" s="26">
        <v>6212</v>
      </c>
      <c r="N99" s="26">
        <v>15892</v>
      </c>
      <c r="O99" s="27">
        <v>16555</v>
      </c>
      <c r="P99" s="27">
        <v>8679</v>
      </c>
      <c r="Q99" s="27">
        <v>15331</v>
      </c>
      <c r="R99" s="26">
        <v>18422</v>
      </c>
      <c r="S99" s="26">
        <v>11123</v>
      </c>
      <c r="T99" s="26">
        <v>6697</v>
      </c>
      <c r="U99" s="26">
        <v>10559</v>
      </c>
      <c r="V99" s="26">
        <v>14586</v>
      </c>
      <c r="W99" s="26">
        <v>12660</v>
      </c>
      <c r="X99" s="7">
        <v>-3.7008682662683201E-2</v>
      </c>
      <c r="Y99" s="10">
        <v>-9.2529036511352802E-2</v>
      </c>
      <c r="Z99" s="10">
        <v>-8.1964060596995791E-2</v>
      </c>
      <c r="AA99" s="10">
        <v>3.5773303851972527E-2</v>
      </c>
    </row>
    <row r="100" spans="2:27" x14ac:dyDescent="0.3">
      <c r="B100" s="12">
        <v>2201</v>
      </c>
      <c r="C100" s="3" t="s">
        <v>545</v>
      </c>
      <c r="D100" s="3" t="str">
        <f>VLOOKUP(B100,기업리스트!B:G,2,FALSE)</f>
        <v>Morinaga&amp;Co., Ltd.</v>
      </c>
      <c r="E100" s="3" t="s">
        <v>505</v>
      </c>
      <c r="F100" s="5">
        <v>3.4</v>
      </c>
      <c r="G100" s="26">
        <v>4067</v>
      </c>
      <c r="H100" s="26">
        <v>376</v>
      </c>
      <c r="I100" s="26">
        <v>4619</v>
      </c>
      <c r="J100" s="26">
        <v>5572</v>
      </c>
      <c r="K100" s="26">
        <v>3497</v>
      </c>
      <c r="L100" s="26">
        <v>1464</v>
      </c>
      <c r="M100" s="26">
        <v>5792</v>
      </c>
      <c r="N100" s="27">
        <v>8353</v>
      </c>
      <c r="O100" s="27">
        <v>5516</v>
      </c>
      <c r="P100" s="26">
        <v>573</v>
      </c>
      <c r="Q100" s="26">
        <v>6738</v>
      </c>
      <c r="R100" s="26">
        <v>7109</v>
      </c>
      <c r="S100" s="26">
        <v>5566</v>
      </c>
      <c r="T100" s="26">
        <v>1830</v>
      </c>
      <c r="U100" s="26">
        <v>7094</v>
      </c>
      <c r="V100" s="26">
        <v>6244</v>
      </c>
      <c r="W100" s="26">
        <v>6276</v>
      </c>
      <c r="X100" s="7">
        <v>6.2894025818072574E-2</v>
      </c>
      <c r="Y100" s="10">
        <v>1.6758461610883572E-2</v>
      </c>
      <c r="Z100" s="10">
        <v>-4.0048150377332337E-2</v>
      </c>
      <c r="AA100" s="10">
        <v>3.4243271920517022E-2</v>
      </c>
    </row>
    <row r="101" spans="2:27" x14ac:dyDescent="0.3">
      <c r="B101" s="12">
        <v>8252</v>
      </c>
      <c r="C101" s="3" t="s">
        <v>545</v>
      </c>
      <c r="D101" s="3" t="str">
        <f>VLOOKUP(B101,기업리스트!B:G,2,FALSE)</f>
        <v>Marui Group Co., Ltd.</v>
      </c>
      <c r="E101" s="3" t="s">
        <v>505</v>
      </c>
      <c r="F101" s="5">
        <v>3.3</v>
      </c>
      <c r="G101" s="26">
        <v>8553</v>
      </c>
      <c r="H101" s="26">
        <v>7100</v>
      </c>
      <c r="I101" s="26">
        <v>7465</v>
      </c>
      <c r="J101" s="26">
        <v>14950</v>
      </c>
      <c r="K101" s="26">
        <v>8124</v>
      </c>
      <c r="L101" s="26">
        <v>7544</v>
      </c>
      <c r="M101" s="26">
        <v>7882</v>
      </c>
      <c r="N101" s="26">
        <v>10808</v>
      </c>
      <c r="O101" s="26">
        <v>10234</v>
      </c>
      <c r="P101" s="27">
        <v>11927</v>
      </c>
      <c r="Q101" s="26">
        <v>10176</v>
      </c>
      <c r="R101" s="26">
        <v>11330</v>
      </c>
      <c r="S101" s="26">
        <v>11785</v>
      </c>
      <c r="T101" s="26">
        <v>11225</v>
      </c>
      <c r="U101" s="26">
        <v>13950</v>
      </c>
      <c r="V101" s="26">
        <v>12446</v>
      </c>
      <c r="W101" s="26">
        <v>13396</v>
      </c>
      <c r="X101" s="7">
        <v>-1.552479101242865E-2</v>
      </c>
      <c r="Y101" s="10">
        <v>8.4778506604366921E-2</v>
      </c>
      <c r="Z101" s="10">
        <v>2.311037481880307E-2</v>
      </c>
      <c r="AA101" s="10">
        <v>3.260737562239413E-2</v>
      </c>
    </row>
    <row r="102" spans="2:27" x14ac:dyDescent="0.3">
      <c r="B102" s="12">
        <v>4966</v>
      </c>
      <c r="C102" s="3" t="s">
        <v>545</v>
      </c>
      <c r="D102" s="3" t="str">
        <f>VLOOKUP(B102,기업리스트!B:G,2,FALSE)</f>
        <v>Parade Technologies, Ltd.</v>
      </c>
      <c r="E102" s="3" t="s">
        <v>505</v>
      </c>
      <c r="F102" s="5">
        <v>3.1</v>
      </c>
      <c r="G102" s="26">
        <v>3928</v>
      </c>
      <c r="H102" s="26">
        <v>3792</v>
      </c>
      <c r="I102" s="26">
        <v>3867</v>
      </c>
      <c r="J102" s="26">
        <v>3682</v>
      </c>
      <c r="K102" s="26">
        <v>4159</v>
      </c>
      <c r="L102" s="26">
        <v>3338</v>
      </c>
      <c r="M102" s="26">
        <v>2430</v>
      </c>
      <c r="N102" s="26">
        <v>3374</v>
      </c>
      <c r="O102" s="26">
        <v>4257</v>
      </c>
      <c r="P102" s="27">
        <v>4934</v>
      </c>
      <c r="Q102" s="27">
        <v>4507</v>
      </c>
      <c r="R102" s="26">
        <v>4621</v>
      </c>
      <c r="S102" s="26">
        <v>5395</v>
      </c>
      <c r="T102" s="26">
        <v>4306</v>
      </c>
      <c r="U102" s="26">
        <v>4510</v>
      </c>
      <c r="V102" s="26">
        <v>5066</v>
      </c>
      <c r="W102" s="26">
        <v>5987</v>
      </c>
      <c r="X102" s="7">
        <v>-3.227630158811734E-2</v>
      </c>
      <c r="Y102" s="10">
        <v>1.5932869509804881E-4</v>
      </c>
      <c r="Z102" s="10">
        <v>2.3629991503823389E-2</v>
      </c>
      <c r="AA102" s="10">
        <v>3.071017274472165E-2</v>
      </c>
    </row>
    <row r="103" spans="2:27" x14ac:dyDescent="0.3">
      <c r="B103" s="12">
        <v>6412</v>
      </c>
      <c r="C103" s="3" t="s">
        <v>545</v>
      </c>
      <c r="D103" s="3" t="str">
        <f>VLOOKUP(B103,기업리스트!B:G,2,FALSE)</f>
        <v>Heiwa Corporation</v>
      </c>
      <c r="E103" s="3" t="s">
        <v>494</v>
      </c>
      <c r="F103" s="5">
        <v>2.9</v>
      </c>
      <c r="G103" s="26">
        <v>367</v>
      </c>
      <c r="H103" s="26">
        <v>5223</v>
      </c>
      <c r="I103" s="26">
        <v>278</v>
      </c>
      <c r="J103" s="26">
        <v>7857</v>
      </c>
      <c r="K103" s="27">
        <v>7481</v>
      </c>
      <c r="L103" s="27">
        <v>12824</v>
      </c>
      <c r="M103" s="26">
        <v>-1256</v>
      </c>
      <c r="N103" s="26">
        <v>7491</v>
      </c>
      <c r="O103" s="26">
        <v>4682</v>
      </c>
      <c r="P103" s="26">
        <v>7142</v>
      </c>
      <c r="Q103" s="27">
        <v>4116</v>
      </c>
      <c r="R103" s="26">
        <v>8654</v>
      </c>
      <c r="S103" s="26">
        <v>6751</v>
      </c>
      <c r="T103" s="27">
        <v>13363</v>
      </c>
      <c r="U103" s="26">
        <v>-1077</v>
      </c>
      <c r="V103" s="27">
        <v>15354</v>
      </c>
      <c r="W103" s="26">
        <v>7754</v>
      </c>
      <c r="X103" s="9">
        <v>0.23331958144244819</v>
      </c>
      <c r="Y103" s="10">
        <v>-0.15791874467826289</v>
      </c>
      <c r="Z103" s="8">
        <v>0.24195587013831199</v>
      </c>
      <c r="AA103" s="10">
        <v>2.9164607019278369E-2</v>
      </c>
    </row>
    <row r="104" spans="2:27" x14ac:dyDescent="0.3">
      <c r="B104" s="12">
        <v>4732</v>
      </c>
      <c r="C104" s="3" t="s">
        <v>545</v>
      </c>
      <c r="D104" s="3" t="str">
        <f>VLOOKUP(B104,기업리스트!B:G,2,FALSE)</f>
        <v>USS Co., Ltd.</v>
      </c>
      <c r="E104" s="3" t="s">
        <v>505</v>
      </c>
      <c r="F104" s="5">
        <v>2.8</v>
      </c>
      <c r="G104" s="26">
        <v>9892</v>
      </c>
      <c r="H104" s="26">
        <v>11112</v>
      </c>
      <c r="I104" s="26">
        <v>10822</v>
      </c>
      <c r="J104" s="26">
        <v>10399</v>
      </c>
      <c r="K104" s="26">
        <v>10613</v>
      </c>
      <c r="L104" s="26">
        <v>11945</v>
      </c>
      <c r="M104" s="26">
        <v>11972</v>
      </c>
      <c r="N104" s="26">
        <v>11808</v>
      </c>
      <c r="O104" s="26">
        <v>11965</v>
      </c>
      <c r="P104" s="26">
        <v>13193</v>
      </c>
      <c r="Q104" s="26">
        <v>13444</v>
      </c>
      <c r="R104" s="26">
        <v>12787</v>
      </c>
      <c r="S104" s="26">
        <v>13595</v>
      </c>
      <c r="T104" s="26">
        <v>14381</v>
      </c>
      <c r="U104" s="26">
        <v>14664</v>
      </c>
      <c r="V104" s="26">
        <v>14047</v>
      </c>
      <c r="W104" s="26">
        <v>15185</v>
      </c>
      <c r="X104" s="7">
        <v>2.2407061619419411E-2</v>
      </c>
      <c r="Y104" s="10">
        <v>2.2506318372165879E-2</v>
      </c>
      <c r="Z104" s="10">
        <v>2.2732603243906361E-2</v>
      </c>
      <c r="AA104" s="10">
        <v>2.8048758974720919E-2</v>
      </c>
    </row>
    <row r="105" spans="2:27" x14ac:dyDescent="0.3">
      <c r="B105" s="12">
        <v>7906</v>
      </c>
      <c r="C105" s="3" t="s">
        <v>545</v>
      </c>
      <c r="D105" s="3" t="str">
        <f>VLOOKUP(B105,기업리스트!B:G,2,FALSE)</f>
        <v>YONEX Co., Ltd.</v>
      </c>
      <c r="E105" s="3" t="s">
        <v>505</v>
      </c>
      <c r="F105" s="5">
        <v>2.5</v>
      </c>
      <c r="G105" s="26">
        <v>1788</v>
      </c>
      <c r="H105" s="26">
        <v>761</v>
      </c>
      <c r="I105" s="26">
        <v>3423</v>
      </c>
      <c r="J105" s="26">
        <v>3694</v>
      </c>
      <c r="K105" s="26">
        <v>2201</v>
      </c>
      <c r="L105" s="26">
        <v>746</v>
      </c>
      <c r="M105" s="26">
        <v>2775</v>
      </c>
      <c r="N105" s="26">
        <v>2838</v>
      </c>
      <c r="O105" s="26">
        <v>2592</v>
      </c>
      <c r="P105" s="27">
        <v>3407</v>
      </c>
      <c r="Q105" s="26">
        <v>3320</v>
      </c>
      <c r="R105" s="27">
        <v>4372</v>
      </c>
      <c r="S105" s="26">
        <v>3699</v>
      </c>
      <c r="T105" s="26">
        <v>2787</v>
      </c>
      <c r="U105" s="27">
        <v>6277</v>
      </c>
      <c r="V105" s="26">
        <v>2570</v>
      </c>
      <c r="W105" s="26">
        <v>4086</v>
      </c>
      <c r="X105" s="7">
        <v>-4.1897553723476137E-2</v>
      </c>
      <c r="Y105" s="8">
        <v>0.20856256171533369</v>
      </c>
      <c r="Z105" s="10">
        <v>-0.1051648672308141</v>
      </c>
      <c r="AA105" s="10">
        <v>2.5239679123459261E-2</v>
      </c>
    </row>
    <row r="106" spans="2:27" x14ac:dyDescent="0.3">
      <c r="B106" s="12">
        <v>9142</v>
      </c>
      <c r="C106" s="3" t="s">
        <v>545</v>
      </c>
      <c r="D106" s="3" t="str">
        <f>VLOOKUP(B106,기업리스트!B:G,2,FALSE)</f>
        <v>Kyushu Railway Company</v>
      </c>
      <c r="E106" s="3" t="s">
        <v>505</v>
      </c>
      <c r="F106" s="5">
        <v>2.4</v>
      </c>
      <c r="G106" s="26">
        <v>6858</v>
      </c>
      <c r="H106" s="26">
        <v>1159</v>
      </c>
      <c r="I106" s="26">
        <v>7883</v>
      </c>
      <c r="J106" s="26">
        <v>3301</v>
      </c>
      <c r="K106" s="27">
        <v>11329</v>
      </c>
      <c r="L106" s="27">
        <v>11811</v>
      </c>
      <c r="M106" s="27">
        <v>13489</v>
      </c>
      <c r="N106" s="27">
        <v>13328</v>
      </c>
      <c r="O106" s="27">
        <v>16342</v>
      </c>
      <c r="P106" s="26">
        <v>3936</v>
      </c>
      <c r="Q106" s="26">
        <v>14704</v>
      </c>
      <c r="R106" s="26">
        <v>14832</v>
      </c>
      <c r="S106" s="26">
        <v>20138</v>
      </c>
      <c r="T106" s="27">
        <v>9303</v>
      </c>
      <c r="U106" s="26">
        <v>19961</v>
      </c>
      <c r="V106" s="26">
        <v>20928</v>
      </c>
      <c r="W106" s="26">
        <v>21843</v>
      </c>
      <c r="X106" s="9">
        <v>0.1001119194180191</v>
      </c>
      <c r="Y106" s="10">
        <v>8.9136443020160439E-2</v>
      </c>
      <c r="Z106" s="10">
        <v>9.49030108665192E-2</v>
      </c>
      <c r="AA106" s="10">
        <v>2.424285511161672E-2</v>
      </c>
    </row>
    <row r="107" spans="2:27" x14ac:dyDescent="0.3">
      <c r="B107" s="12">
        <v>7309</v>
      </c>
      <c r="C107" s="3" t="s">
        <v>545</v>
      </c>
      <c r="D107" s="3" t="str">
        <f>VLOOKUP(B107,기업리스트!B:G,2,FALSE)</f>
        <v>Shimano Inc.</v>
      </c>
      <c r="E107" s="3" t="s">
        <v>496</v>
      </c>
      <c r="F107" s="5">
        <v>1.3</v>
      </c>
      <c r="G107" s="26">
        <v>41315</v>
      </c>
      <c r="H107" s="26">
        <v>38034</v>
      </c>
      <c r="I107" s="26">
        <v>42876</v>
      </c>
      <c r="J107" s="26">
        <v>45668</v>
      </c>
      <c r="K107" s="26">
        <v>42581</v>
      </c>
      <c r="L107" s="26">
        <v>28011</v>
      </c>
      <c r="M107" s="26">
        <v>25897</v>
      </c>
      <c r="N107" s="26">
        <v>18180</v>
      </c>
      <c r="O107" s="26">
        <v>11566</v>
      </c>
      <c r="P107" s="26">
        <v>13421</v>
      </c>
      <c r="Q107" s="26">
        <v>17536</v>
      </c>
      <c r="R107" s="26">
        <v>19695</v>
      </c>
      <c r="S107" s="26">
        <v>14434</v>
      </c>
      <c r="T107" s="26">
        <v>16142</v>
      </c>
      <c r="U107" s="26">
        <v>11982</v>
      </c>
      <c r="V107" s="26">
        <v>8442</v>
      </c>
      <c r="W107" s="26">
        <v>15112</v>
      </c>
      <c r="X107" s="7">
        <v>4.1806225609194003E-2</v>
      </c>
      <c r="Y107" s="10">
        <v>-8.1908947453802727E-2</v>
      </c>
      <c r="Z107" s="10">
        <v>-0.1807623728976917</v>
      </c>
      <c r="AA107" s="10">
        <v>1.3294117647058901E-2</v>
      </c>
    </row>
    <row r="108" spans="2:27" x14ac:dyDescent="0.3">
      <c r="B108" s="12">
        <v>9005</v>
      </c>
      <c r="C108" s="3" t="s">
        <v>545</v>
      </c>
      <c r="D108" s="3" t="str">
        <f>VLOOKUP(B108,기업리스트!B:G,2,FALSE)</f>
        <v>Tokyu Corporation</v>
      </c>
      <c r="E108" s="3" t="s">
        <v>505</v>
      </c>
      <c r="F108" s="5">
        <v>1.1000000000000001</v>
      </c>
      <c r="G108" s="26">
        <v>9943</v>
      </c>
      <c r="H108" s="26">
        <v>-3339</v>
      </c>
      <c r="I108" s="26">
        <v>8774</v>
      </c>
      <c r="J108" s="26">
        <v>13050</v>
      </c>
      <c r="K108" s="27">
        <v>14810</v>
      </c>
      <c r="L108" s="27">
        <v>7971</v>
      </c>
      <c r="M108" s="27">
        <v>24518</v>
      </c>
      <c r="N108" s="27">
        <v>21016</v>
      </c>
      <c r="O108" s="27">
        <v>23728</v>
      </c>
      <c r="P108" s="27">
        <v>25643</v>
      </c>
      <c r="Q108" s="27">
        <v>39596</v>
      </c>
      <c r="R108" s="26">
        <v>25740</v>
      </c>
      <c r="S108" s="26">
        <v>28303</v>
      </c>
      <c r="T108" s="26">
        <v>9884</v>
      </c>
      <c r="U108" s="26">
        <v>32307</v>
      </c>
      <c r="V108" s="26">
        <v>26574</v>
      </c>
      <c r="W108" s="26">
        <v>29400</v>
      </c>
      <c r="X108" s="7">
        <v>-0.13211549102127729</v>
      </c>
      <c r="Y108" s="10">
        <v>-7.0409474223119495E-2</v>
      </c>
      <c r="Z108" s="10">
        <v>8.6663757092086957E-3</v>
      </c>
      <c r="AA108" s="10">
        <v>1.130135575060787E-2</v>
      </c>
    </row>
    <row r="109" spans="2:27" x14ac:dyDescent="0.3">
      <c r="B109" s="12">
        <v>4628</v>
      </c>
      <c r="C109" s="3" t="s">
        <v>545</v>
      </c>
      <c r="D109" s="3" t="str">
        <f>VLOOKUP(B109,기업리스트!B:G,2,FALSE)</f>
        <v>Sk Kaken Co.,Ltd.</v>
      </c>
      <c r="E109" s="3" t="s">
        <v>494</v>
      </c>
      <c r="F109" s="5">
        <v>0.8</v>
      </c>
      <c r="G109" s="26">
        <v>2516</v>
      </c>
      <c r="H109" s="26">
        <v>3362</v>
      </c>
      <c r="I109" s="26">
        <v>2121</v>
      </c>
      <c r="J109" s="26">
        <v>2430</v>
      </c>
      <c r="K109" s="26">
        <v>2120</v>
      </c>
      <c r="L109" s="26">
        <v>3041</v>
      </c>
      <c r="M109" s="26">
        <v>2351</v>
      </c>
      <c r="N109" s="26">
        <v>2972</v>
      </c>
      <c r="O109" s="26">
        <v>2636</v>
      </c>
      <c r="P109" s="26">
        <v>3965</v>
      </c>
      <c r="Q109" s="26">
        <v>2513</v>
      </c>
      <c r="R109" s="26">
        <v>3294</v>
      </c>
      <c r="S109" s="26">
        <v>2851</v>
      </c>
      <c r="T109" s="26">
        <v>4004</v>
      </c>
      <c r="U109" s="26">
        <v>2296</v>
      </c>
      <c r="V109" s="26">
        <v>2820</v>
      </c>
      <c r="W109" s="26">
        <v>2944</v>
      </c>
      <c r="X109" s="7">
        <v>3.0895983522141179E-3</v>
      </c>
      <c r="Y109" s="10">
        <v>-1.7137892907913451E-2</v>
      </c>
      <c r="Z109" s="10">
        <v>-3.8087585375652822E-2</v>
      </c>
      <c r="AA109" s="10">
        <v>7.7687745384680262E-3</v>
      </c>
    </row>
    <row r="110" spans="2:27" x14ac:dyDescent="0.3">
      <c r="B110" s="12">
        <v>5232</v>
      </c>
      <c r="C110" s="3" t="s">
        <v>545</v>
      </c>
      <c r="D110" s="3" t="str">
        <f>VLOOKUP(B110,기업리스트!B:G,2,FALSE)</f>
        <v>Sumitomo Osaka Cement Co., Ltd.</v>
      </c>
      <c r="E110" s="3" t="s">
        <v>505</v>
      </c>
      <c r="F110" s="5">
        <v>0.7</v>
      </c>
      <c r="G110" s="26">
        <v>2315</v>
      </c>
      <c r="H110" s="26">
        <v>-620</v>
      </c>
      <c r="I110" s="26">
        <v>-3146</v>
      </c>
      <c r="J110" s="26">
        <v>-2963</v>
      </c>
      <c r="K110" s="27">
        <v>-1017</v>
      </c>
      <c r="L110" s="27">
        <v>-1429</v>
      </c>
      <c r="M110" s="26">
        <v>128</v>
      </c>
      <c r="N110" s="26">
        <v>1712</v>
      </c>
      <c r="O110" s="26">
        <v>2942</v>
      </c>
      <c r="P110" s="27">
        <v>2470</v>
      </c>
      <c r="Q110" s="27">
        <v>1264</v>
      </c>
      <c r="R110" s="26">
        <v>1016</v>
      </c>
      <c r="S110" s="27">
        <v>4336</v>
      </c>
      <c r="T110" s="26">
        <v>2736</v>
      </c>
      <c r="U110" s="26">
        <v>1741</v>
      </c>
      <c r="V110" s="27">
        <v>2379</v>
      </c>
      <c r="W110" s="26">
        <v>4415</v>
      </c>
      <c r="X110" s="7">
        <v>2.9275808936825909E-2</v>
      </c>
      <c r="Y110" s="10">
        <v>5.1005132591958928E-2</v>
      </c>
      <c r="Z110" s="8">
        <v>0.13867127886865391</v>
      </c>
      <c r="AA110" s="10">
        <v>7.0586132952108471E-3</v>
      </c>
    </row>
    <row r="111" spans="2:27" x14ac:dyDescent="0.3">
      <c r="B111" s="12">
        <v>4095</v>
      </c>
      <c r="C111" s="3" t="s">
        <v>545</v>
      </c>
      <c r="D111" s="3" t="str">
        <f>VLOOKUP(B111,기업리스트!B:G,2,FALSE)</f>
        <v>Nihon Parkerizing Co., Ltd.</v>
      </c>
      <c r="E111" s="3" t="s">
        <v>505</v>
      </c>
      <c r="F111" s="5">
        <v>0.2</v>
      </c>
      <c r="G111" s="26">
        <v>3159</v>
      </c>
      <c r="H111" s="26">
        <v>2295</v>
      </c>
      <c r="I111" s="26">
        <v>2857</v>
      </c>
      <c r="J111" s="26">
        <v>3052</v>
      </c>
      <c r="K111" s="26">
        <v>3252</v>
      </c>
      <c r="L111" s="27">
        <v>3508</v>
      </c>
      <c r="M111" s="26">
        <v>3180</v>
      </c>
      <c r="N111" s="26">
        <v>3728</v>
      </c>
      <c r="O111" s="26">
        <v>4401</v>
      </c>
      <c r="P111" s="26">
        <v>3950</v>
      </c>
      <c r="Q111" s="26">
        <v>3655</v>
      </c>
      <c r="R111" s="26">
        <v>3483</v>
      </c>
      <c r="S111" s="26">
        <v>4169</v>
      </c>
      <c r="T111" s="26">
        <v>3692</v>
      </c>
      <c r="U111" s="26">
        <v>3414</v>
      </c>
      <c r="V111" s="26">
        <v>3417</v>
      </c>
      <c r="W111" s="26">
        <v>4204</v>
      </c>
      <c r="X111" s="7">
        <v>-1.6910270695418509E-2</v>
      </c>
      <c r="Y111" s="10">
        <v>-1.6067737849189911E-2</v>
      </c>
      <c r="Z111" s="10">
        <v>-4.4721506979265016E-3</v>
      </c>
      <c r="AA111" s="10">
        <v>2.3822488429077189E-3</v>
      </c>
    </row>
    <row r="112" spans="2:27" x14ac:dyDescent="0.3">
      <c r="B112" s="12">
        <v>9048</v>
      </c>
      <c r="C112" s="3" t="s">
        <v>545</v>
      </c>
      <c r="D112" s="3" t="str">
        <f>VLOOKUP(B112,기업리스트!B:G,2,FALSE)</f>
        <v>Nagoya Railroad Co., Ltd.</v>
      </c>
      <c r="E112" s="3" t="s">
        <v>505</v>
      </c>
      <c r="F112" s="5">
        <v>-0.9</v>
      </c>
      <c r="G112" s="26">
        <v>9312</v>
      </c>
      <c r="H112" s="26">
        <v>-3737</v>
      </c>
      <c r="I112" s="26">
        <v>4215</v>
      </c>
      <c r="J112" s="26">
        <v>5967</v>
      </c>
      <c r="K112" s="26">
        <v>10626</v>
      </c>
      <c r="L112" s="27">
        <v>1924</v>
      </c>
      <c r="M112" s="27">
        <v>7761</v>
      </c>
      <c r="N112" s="26">
        <v>8140</v>
      </c>
      <c r="O112" s="27">
        <v>14220</v>
      </c>
      <c r="P112" s="26">
        <v>4630</v>
      </c>
      <c r="Q112" s="27">
        <v>11674</v>
      </c>
      <c r="R112" s="27">
        <v>12495</v>
      </c>
      <c r="S112" s="26">
        <v>14722</v>
      </c>
      <c r="T112" s="26">
        <v>3186</v>
      </c>
      <c r="U112" s="26">
        <v>9276</v>
      </c>
      <c r="V112" s="26">
        <v>7892</v>
      </c>
      <c r="W112" s="26">
        <v>14407</v>
      </c>
      <c r="X112" s="7">
        <v>-3.3179384664874467E-2</v>
      </c>
      <c r="Y112" s="10">
        <v>-5.6990755044323493E-2</v>
      </c>
      <c r="Z112" s="10">
        <v>-0.1160059477305375</v>
      </c>
      <c r="AA112" s="10">
        <v>-8.9804994868285526E-3</v>
      </c>
    </row>
    <row r="113" spans="2:27" x14ac:dyDescent="0.3">
      <c r="B113" s="12">
        <v>2733</v>
      </c>
      <c r="C113" s="3" t="s">
        <v>545</v>
      </c>
      <c r="D113" s="3" t="str">
        <f>VLOOKUP(B113,기업리스트!B:G,2,FALSE)</f>
        <v>Arata Corporation</v>
      </c>
      <c r="E113" s="3" t="s">
        <v>494</v>
      </c>
      <c r="F113" s="5">
        <v>-1</v>
      </c>
      <c r="G113" s="26">
        <v>3545</v>
      </c>
      <c r="H113" s="26">
        <v>3554</v>
      </c>
      <c r="I113" s="26">
        <v>2092</v>
      </c>
      <c r="J113" s="26">
        <v>3430</v>
      </c>
      <c r="K113" s="26">
        <v>2938</v>
      </c>
      <c r="L113" s="26">
        <v>3731</v>
      </c>
      <c r="M113" s="26">
        <v>2717</v>
      </c>
      <c r="N113" s="26">
        <v>4348</v>
      </c>
      <c r="O113" s="26">
        <v>3626</v>
      </c>
      <c r="P113" s="26">
        <v>4455</v>
      </c>
      <c r="Q113" s="26">
        <v>2081</v>
      </c>
      <c r="R113" s="26">
        <v>4715</v>
      </c>
      <c r="S113" s="26">
        <v>3462</v>
      </c>
      <c r="T113" s="26">
        <v>4926</v>
      </c>
      <c r="U113" s="26">
        <v>1889</v>
      </c>
      <c r="V113" s="26">
        <v>4066</v>
      </c>
      <c r="W113" s="26">
        <v>3318</v>
      </c>
      <c r="X113" s="7">
        <v>3.2012505947121683E-2</v>
      </c>
      <c r="Y113" s="10">
        <v>-1.2644889357218079E-2</v>
      </c>
      <c r="Z113" s="10">
        <v>-4.3289754535752463E-2</v>
      </c>
      <c r="AA113" s="10">
        <v>-1.0039740640033429E-2</v>
      </c>
    </row>
    <row r="114" spans="2:27" x14ac:dyDescent="0.3">
      <c r="B114" s="12">
        <v>8117</v>
      </c>
      <c r="C114" s="3" t="s">
        <v>545</v>
      </c>
      <c r="D114" s="3" t="str">
        <f>VLOOKUP(B114,기업리스트!B:G,2,FALSE)</f>
        <v>Central Automotive Products Ltd.</v>
      </c>
      <c r="E114" s="3" t="s">
        <v>494</v>
      </c>
      <c r="F114" s="5">
        <v>-1.6</v>
      </c>
      <c r="G114" s="26">
        <v>1478</v>
      </c>
      <c r="H114" s="26">
        <v>1563</v>
      </c>
      <c r="I114" s="26">
        <v>1874</v>
      </c>
      <c r="J114" s="26">
        <v>1361</v>
      </c>
      <c r="K114" s="26">
        <v>2034</v>
      </c>
      <c r="L114" s="27">
        <v>2314</v>
      </c>
      <c r="M114" s="27">
        <v>2647</v>
      </c>
      <c r="N114" s="27">
        <v>2339</v>
      </c>
      <c r="O114" s="26">
        <v>2653</v>
      </c>
      <c r="P114" s="26">
        <v>2722</v>
      </c>
      <c r="Q114" s="26">
        <v>2453</v>
      </c>
      <c r="R114" s="26">
        <v>2273</v>
      </c>
      <c r="S114" s="26">
        <v>2900</v>
      </c>
      <c r="T114" s="26">
        <v>3009</v>
      </c>
      <c r="U114" s="26">
        <v>2858</v>
      </c>
      <c r="V114" s="26">
        <v>2446</v>
      </c>
      <c r="W114" s="26">
        <v>2726</v>
      </c>
      <c r="X114" s="7">
        <v>2.7734827986084291E-2</v>
      </c>
      <c r="Y114" s="10">
        <v>3.8081805359661443E-2</v>
      </c>
      <c r="Z114" s="10">
        <v>1.5670289855072461E-2</v>
      </c>
      <c r="AA114" s="10">
        <v>-1.551770266654773E-2</v>
      </c>
    </row>
    <row r="115" spans="2:27" x14ac:dyDescent="0.3">
      <c r="B115" s="12">
        <v>5233</v>
      </c>
      <c r="C115" s="3" t="s">
        <v>545</v>
      </c>
      <c r="D115" s="3" t="str">
        <f>VLOOKUP(B115,기업리스트!B:G,2,FALSE)</f>
        <v>Taiheiyo Cement Corporation</v>
      </c>
      <c r="E115" s="3" t="s">
        <v>505</v>
      </c>
      <c r="F115" s="5">
        <v>-2.2000000000000002</v>
      </c>
      <c r="G115" s="26">
        <v>13827</v>
      </c>
      <c r="H115" s="26">
        <v>7061</v>
      </c>
      <c r="I115" s="26">
        <v>1210</v>
      </c>
      <c r="J115" s="26">
        <v>-1523</v>
      </c>
      <c r="K115" s="26">
        <v>3706</v>
      </c>
      <c r="L115" s="26">
        <v>1064</v>
      </c>
      <c r="M115" s="27">
        <v>1863</v>
      </c>
      <c r="N115" s="27">
        <v>15890</v>
      </c>
      <c r="O115" s="27">
        <v>24109</v>
      </c>
      <c r="P115" s="27">
        <v>14608</v>
      </c>
      <c r="Q115" s="27">
        <v>11048</v>
      </c>
      <c r="R115" s="27">
        <v>25341</v>
      </c>
      <c r="S115" s="26">
        <v>27814</v>
      </c>
      <c r="T115" s="26">
        <v>13547</v>
      </c>
      <c r="U115" s="26">
        <v>10060</v>
      </c>
      <c r="V115" s="26">
        <v>22793</v>
      </c>
      <c r="W115" s="26">
        <v>26213</v>
      </c>
      <c r="X115" s="7">
        <v>-1.346258770983744E-2</v>
      </c>
      <c r="Y115" s="10">
        <v>-1.270739549839228E-2</v>
      </c>
      <c r="Z115" s="10">
        <v>-3.3193507204085322E-2</v>
      </c>
      <c r="AA115" s="10">
        <v>-2.157274907699358E-2</v>
      </c>
    </row>
    <row r="116" spans="2:27" x14ac:dyDescent="0.3">
      <c r="B116" s="12">
        <v>1414</v>
      </c>
      <c r="C116" s="3" t="s">
        <v>545</v>
      </c>
      <c r="D116" s="3" t="str">
        <f>VLOOKUP(B116,기업리스트!B:G,2,FALSE)</f>
        <v>SHO-BOND Holdings Co.,Ltd.</v>
      </c>
      <c r="E116" s="3" t="s">
        <v>494</v>
      </c>
      <c r="F116" s="5">
        <v>-2.5</v>
      </c>
      <c r="G116" s="26">
        <v>4807</v>
      </c>
      <c r="H116" s="26">
        <v>5452</v>
      </c>
      <c r="I116" s="26">
        <v>3240</v>
      </c>
      <c r="J116" s="26">
        <v>3569</v>
      </c>
      <c r="K116" s="26">
        <v>4571</v>
      </c>
      <c r="L116" s="26">
        <v>5689</v>
      </c>
      <c r="M116" s="26">
        <v>4296</v>
      </c>
      <c r="N116" s="26">
        <v>4694</v>
      </c>
      <c r="O116" s="26">
        <v>5291</v>
      </c>
      <c r="P116" s="26">
        <v>5739</v>
      </c>
      <c r="Q116" s="26">
        <v>3943</v>
      </c>
      <c r="R116" s="26">
        <v>4850</v>
      </c>
      <c r="S116" s="26">
        <v>5730</v>
      </c>
      <c r="T116" s="26">
        <v>5713</v>
      </c>
      <c r="U116" s="26">
        <v>4502</v>
      </c>
      <c r="V116" s="26">
        <v>4875</v>
      </c>
      <c r="W116" s="26">
        <v>5213</v>
      </c>
      <c r="X116" s="7">
        <v>-1.283190208271612E-3</v>
      </c>
      <c r="Y116" s="10">
        <v>2.762403637082422E-2</v>
      </c>
      <c r="Z116" s="10">
        <v>1.202212070209097E-3</v>
      </c>
      <c r="AA116" s="10">
        <v>-2.4831892411143142E-2</v>
      </c>
    </row>
    <row r="117" spans="2:27" x14ac:dyDescent="0.3">
      <c r="B117" s="12">
        <v>2267</v>
      </c>
      <c r="C117" s="3" t="s">
        <v>545</v>
      </c>
      <c r="D117" s="3" t="str">
        <f>VLOOKUP(B117,기업리스트!B:G,2,FALSE)</f>
        <v>Yakult Honsha Co.,Ltd.</v>
      </c>
      <c r="E117" s="3" t="s">
        <v>505</v>
      </c>
      <c r="F117" s="5">
        <v>-2.9</v>
      </c>
      <c r="G117" s="26">
        <v>18813</v>
      </c>
      <c r="H117" s="26">
        <v>6568</v>
      </c>
      <c r="I117" s="26">
        <v>14771</v>
      </c>
      <c r="J117" s="26">
        <v>20526</v>
      </c>
      <c r="K117" s="26">
        <v>23046</v>
      </c>
      <c r="L117" s="26">
        <v>7726</v>
      </c>
      <c r="M117" s="26">
        <v>16982</v>
      </c>
      <c r="N117" s="26">
        <v>18324</v>
      </c>
      <c r="O117" s="26">
        <v>20597</v>
      </c>
      <c r="P117" s="26">
        <v>7497</v>
      </c>
      <c r="Q117" s="26">
        <v>16099</v>
      </c>
      <c r="R117" s="26">
        <v>17679</v>
      </c>
      <c r="S117" s="26">
        <v>16965</v>
      </c>
      <c r="T117" s="26">
        <v>4649</v>
      </c>
      <c r="U117" s="26">
        <v>10907</v>
      </c>
      <c r="V117" s="26">
        <v>14420</v>
      </c>
      <c r="W117" s="26">
        <v>15601</v>
      </c>
      <c r="X117" s="7">
        <v>-4.8901098901098949E-2</v>
      </c>
      <c r="Y117" s="10">
        <v>-9.3731946851530856E-2</v>
      </c>
      <c r="Z117" s="10">
        <v>-6.4920318725099624E-2</v>
      </c>
      <c r="AA117" s="10">
        <v>-2.9057753349949981E-2</v>
      </c>
    </row>
    <row r="118" spans="2:27" x14ac:dyDescent="0.3">
      <c r="B118" s="12">
        <v>8088</v>
      </c>
      <c r="C118" s="3" t="s">
        <v>545</v>
      </c>
      <c r="D118" s="3" t="str">
        <f>VLOOKUP(B118,기업리스트!B:G,2,FALSE)</f>
        <v>Iwatani Corporation</v>
      </c>
      <c r="E118" s="3" t="s">
        <v>505</v>
      </c>
      <c r="F118" s="5">
        <v>-3</v>
      </c>
      <c r="G118" s="26">
        <v>12176</v>
      </c>
      <c r="H118" s="26">
        <v>14223</v>
      </c>
      <c r="I118" s="26">
        <v>8914</v>
      </c>
      <c r="J118" s="26">
        <v>5584</v>
      </c>
      <c r="K118" s="26">
        <v>9283</v>
      </c>
      <c r="L118" s="26">
        <v>16255</v>
      </c>
      <c r="M118" s="26">
        <v>8513</v>
      </c>
      <c r="N118" s="26">
        <v>6079</v>
      </c>
      <c r="O118" s="27">
        <v>17314</v>
      </c>
      <c r="P118" s="26">
        <v>18730</v>
      </c>
      <c r="Q118" s="26">
        <v>8420</v>
      </c>
      <c r="R118" s="26">
        <v>7722</v>
      </c>
      <c r="S118" s="26">
        <v>10978</v>
      </c>
      <c r="T118" s="26">
        <v>19109</v>
      </c>
      <c r="U118" s="26">
        <v>6423</v>
      </c>
      <c r="V118" s="26">
        <v>4337</v>
      </c>
      <c r="W118" s="26">
        <v>9739</v>
      </c>
      <c r="X118" s="7">
        <v>8.2660850599782787E-3</v>
      </c>
      <c r="Y118" s="10">
        <v>-4.3197992602046383E-2</v>
      </c>
      <c r="Z118" s="10">
        <v>-7.6528305299330857E-2</v>
      </c>
      <c r="AA118" s="10">
        <v>-3.0332704972213409E-2</v>
      </c>
    </row>
    <row r="119" spans="2:27" x14ac:dyDescent="0.3">
      <c r="B119" s="12">
        <v>5901</v>
      </c>
      <c r="C119" s="3" t="s">
        <v>545</v>
      </c>
      <c r="D119" s="3" t="str">
        <f>VLOOKUP(B119,기업리스트!B:G,2,FALSE)</f>
        <v>Toyo Seikan Group Holdings, Ltd.</v>
      </c>
      <c r="E119" s="3" t="s">
        <v>505</v>
      </c>
      <c r="F119" s="5">
        <v>-3.3</v>
      </c>
      <c r="G119" s="26">
        <v>7804</v>
      </c>
      <c r="H119" s="26">
        <v>-300</v>
      </c>
      <c r="I119" s="26">
        <v>7953</v>
      </c>
      <c r="J119" s="26">
        <v>-877</v>
      </c>
      <c r="K119" s="26">
        <v>1083</v>
      </c>
      <c r="L119" s="26">
        <v>-762</v>
      </c>
      <c r="M119" s="26">
        <v>7534</v>
      </c>
      <c r="N119" s="27">
        <v>7383</v>
      </c>
      <c r="O119" s="27">
        <v>12144</v>
      </c>
      <c r="P119" s="27">
        <v>6791</v>
      </c>
      <c r="Q119" s="27">
        <v>13467</v>
      </c>
      <c r="R119" s="26">
        <v>4846</v>
      </c>
      <c r="S119" s="26">
        <v>12309</v>
      </c>
      <c r="T119" s="26">
        <v>2491</v>
      </c>
      <c r="U119" s="26">
        <v>15082</v>
      </c>
      <c r="V119" s="27">
        <v>15074</v>
      </c>
      <c r="W119" s="26">
        <v>10846</v>
      </c>
      <c r="X119" s="7">
        <v>-0.1149333119503916</v>
      </c>
      <c r="Y119" s="10">
        <v>4.8772385467943158E-2</v>
      </c>
      <c r="Z119" s="8">
        <v>0.29451739230592028</v>
      </c>
      <c r="AA119" s="10">
        <v>-3.2542930865735342E-2</v>
      </c>
    </row>
    <row r="120" spans="2:27" x14ac:dyDescent="0.3">
      <c r="B120" s="12">
        <v>6016</v>
      </c>
      <c r="C120" s="3" t="s">
        <v>545</v>
      </c>
      <c r="D120" s="3" t="str">
        <f>VLOOKUP(B120,기업리스트!B:G,2,FALSE)</f>
        <v>Japan Engine Corporation</v>
      </c>
      <c r="E120" s="3" t="s">
        <v>505</v>
      </c>
      <c r="F120" s="5">
        <v>-4.0999999999999996</v>
      </c>
      <c r="G120" s="26">
        <v>19</v>
      </c>
      <c r="H120" s="26">
        <v>64</v>
      </c>
      <c r="I120" s="26">
        <v>98</v>
      </c>
      <c r="J120" s="26">
        <v>122</v>
      </c>
      <c r="K120" s="27">
        <v>100</v>
      </c>
      <c r="L120" s="27">
        <v>122</v>
      </c>
      <c r="M120" s="27">
        <v>229</v>
      </c>
      <c r="N120" s="27">
        <v>341</v>
      </c>
      <c r="O120" s="27">
        <v>841</v>
      </c>
      <c r="P120" s="27">
        <v>778</v>
      </c>
      <c r="Q120" s="27">
        <v>1832</v>
      </c>
      <c r="R120" s="27">
        <v>1171</v>
      </c>
      <c r="S120" s="27">
        <v>1484</v>
      </c>
      <c r="T120" s="26">
        <v>604</v>
      </c>
      <c r="U120" s="26">
        <v>1706</v>
      </c>
      <c r="V120" s="26">
        <v>1548</v>
      </c>
      <c r="W120" s="26">
        <v>1267</v>
      </c>
      <c r="X120" s="7">
        <v>-3.3048433048433079E-2</v>
      </c>
      <c r="Y120" s="10">
        <v>-2.4749558043606349E-2</v>
      </c>
      <c r="Z120" s="10">
        <v>7.5931520644511474E-2</v>
      </c>
      <c r="AA120" s="10">
        <v>-4.0621490078622258E-2</v>
      </c>
    </row>
    <row r="121" spans="2:27" x14ac:dyDescent="0.3">
      <c r="B121" s="12">
        <v>2784</v>
      </c>
      <c r="C121" s="3" t="s">
        <v>545</v>
      </c>
      <c r="D121" s="3" t="str">
        <f>VLOOKUP(B121,기업리스트!B:G,2,FALSE)</f>
        <v>Alfresa Holdings Corporation</v>
      </c>
      <c r="E121" s="3" t="s">
        <v>505</v>
      </c>
      <c r="F121" s="5">
        <v>-6.7</v>
      </c>
      <c r="G121" s="26">
        <v>9641</v>
      </c>
      <c r="H121" s="26">
        <v>10333</v>
      </c>
      <c r="I121" s="26">
        <v>3089</v>
      </c>
      <c r="J121" s="26">
        <v>7139</v>
      </c>
      <c r="K121" s="26">
        <v>9773</v>
      </c>
      <c r="L121" s="26">
        <v>10148</v>
      </c>
      <c r="M121" s="26">
        <v>5836</v>
      </c>
      <c r="N121" s="26">
        <v>10162</v>
      </c>
      <c r="O121" s="27">
        <v>13947</v>
      </c>
      <c r="P121" s="26">
        <v>8517</v>
      </c>
      <c r="Q121" s="26">
        <v>6691</v>
      </c>
      <c r="R121" s="26">
        <v>8304</v>
      </c>
      <c r="S121" s="26">
        <v>16155</v>
      </c>
      <c r="T121" s="26">
        <v>6932</v>
      </c>
      <c r="U121" s="26">
        <v>6966</v>
      </c>
      <c r="V121" s="26">
        <v>9241</v>
      </c>
      <c r="W121" s="26">
        <v>13525</v>
      </c>
      <c r="X121" s="7">
        <v>-3.9957647414727633E-2</v>
      </c>
      <c r="Y121" s="10">
        <v>7.221259387637291E-3</v>
      </c>
      <c r="Z121" s="10">
        <v>2.4428396381364511E-2</v>
      </c>
      <c r="AA121" s="10">
        <v>-6.6931338117778849E-2</v>
      </c>
    </row>
    <row r="122" spans="2:27" x14ac:dyDescent="0.3">
      <c r="B122" s="12">
        <v>4118</v>
      </c>
      <c r="C122" s="3" t="s">
        <v>545</v>
      </c>
      <c r="D122" s="3" t="str">
        <f>VLOOKUP(B122,기업리스트!B:G,2,FALSE)</f>
        <v>Kaneka Corporation</v>
      </c>
      <c r="E122" s="3" t="s">
        <v>505</v>
      </c>
      <c r="F122" s="5">
        <v>-8</v>
      </c>
      <c r="G122" s="26">
        <v>10301</v>
      </c>
      <c r="H122" s="26">
        <v>10246</v>
      </c>
      <c r="I122" s="26">
        <v>12213</v>
      </c>
      <c r="J122" s="26">
        <v>8602</v>
      </c>
      <c r="K122" s="26">
        <v>6808</v>
      </c>
      <c r="L122" s="26">
        <v>6318</v>
      </c>
      <c r="M122" s="26">
        <v>5605</v>
      </c>
      <c r="N122" s="26">
        <v>7002</v>
      </c>
      <c r="O122" s="26">
        <v>9005</v>
      </c>
      <c r="P122" s="27">
        <v>9797</v>
      </c>
      <c r="Q122" s="27">
        <v>10277</v>
      </c>
      <c r="R122" s="26">
        <v>8824</v>
      </c>
      <c r="S122" s="26">
        <v>10035</v>
      </c>
      <c r="T122" s="26">
        <v>9901</v>
      </c>
      <c r="U122" s="26">
        <v>8161</v>
      </c>
      <c r="V122" s="26">
        <v>6803</v>
      </c>
      <c r="W122" s="26">
        <v>7232</v>
      </c>
      <c r="X122" s="7">
        <v>2.6712557470527361E-3</v>
      </c>
      <c r="Y122" s="10">
        <v>-5.4204985014217333E-2</v>
      </c>
      <c r="Z122" s="10">
        <v>-5.4738495707050139E-2</v>
      </c>
      <c r="AA122" s="10">
        <v>-8.0315186246418313E-2</v>
      </c>
    </row>
    <row r="123" spans="2:27" x14ac:dyDescent="0.3">
      <c r="B123" s="12">
        <v>6458</v>
      </c>
      <c r="C123" s="3" t="s">
        <v>545</v>
      </c>
      <c r="D123" s="3" t="str">
        <f>VLOOKUP(B123,기업리스트!B:G,2,FALSE)</f>
        <v>Sinko Industries Ltd.</v>
      </c>
      <c r="E123" s="3" t="s">
        <v>505</v>
      </c>
      <c r="F123" s="5">
        <v>-8.4</v>
      </c>
      <c r="G123" s="26">
        <v>1634</v>
      </c>
      <c r="H123" s="26">
        <v>2250</v>
      </c>
      <c r="I123" s="26">
        <v>438</v>
      </c>
      <c r="J123" s="26">
        <v>1022</v>
      </c>
      <c r="K123" s="26">
        <v>1808</v>
      </c>
      <c r="L123" s="26">
        <v>2731</v>
      </c>
      <c r="M123" s="26">
        <v>927</v>
      </c>
      <c r="N123" s="26">
        <v>1601</v>
      </c>
      <c r="O123" s="27">
        <v>2826</v>
      </c>
      <c r="P123" s="26">
        <v>3273</v>
      </c>
      <c r="Q123" s="27">
        <v>1959</v>
      </c>
      <c r="R123" s="26">
        <v>1603</v>
      </c>
      <c r="S123" s="26">
        <v>3263</v>
      </c>
      <c r="T123" s="26">
        <v>3162</v>
      </c>
      <c r="U123" s="26">
        <v>1657</v>
      </c>
      <c r="V123" s="26">
        <v>1920</v>
      </c>
      <c r="W123" s="26">
        <v>2424</v>
      </c>
      <c r="X123" s="7">
        <v>-1.0992275698158079E-2</v>
      </c>
      <c r="Y123" s="10">
        <v>-3.0239311104435781E-2</v>
      </c>
      <c r="Z123" s="10">
        <v>3.2731027361899923E-2</v>
      </c>
      <c r="AA123" s="10">
        <v>-8.388322335532894E-2</v>
      </c>
    </row>
    <row r="124" spans="2:27" x14ac:dyDescent="0.3">
      <c r="B124" s="12">
        <v>6141</v>
      </c>
      <c r="C124" s="3" t="s">
        <v>545</v>
      </c>
      <c r="D124" s="3" t="str">
        <f>VLOOKUP(B124,기업리스트!B:G,2,FALSE)</f>
        <v>DMG Mori Co., Ltd.</v>
      </c>
      <c r="E124" s="3" t="s">
        <v>496</v>
      </c>
      <c r="F124" s="5">
        <v>-11.3</v>
      </c>
      <c r="G124" s="26">
        <v>4183</v>
      </c>
      <c r="H124" s="26">
        <v>9452</v>
      </c>
      <c r="I124" s="26">
        <v>8237</v>
      </c>
      <c r="J124" s="26">
        <v>9067</v>
      </c>
      <c r="K124" s="27">
        <v>15308</v>
      </c>
      <c r="L124" s="26">
        <v>9697</v>
      </c>
      <c r="M124" s="27">
        <v>12862</v>
      </c>
      <c r="N124" s="26">
        <v>13057</v>
      </c>
      <c r="O124" s="26">
        <v>18536</v>
      </c>
      <c r="P124" s="26">
        <v>10773</v>
      </c>
      <c r="Q124" s="26">
        <v>12440</v>
      </c>
      <c r="R124" s="26">
        <v>6792</v>
      </c>
      <c r="S124" s="26">
        <v>9212</v>
      </c>
      <c r="T124" s="26">
        <v>1819</v>
      </c>
      <c r="U124" s="26">
        <v>4692</v>
      </c>
      <c r="V124" s="26">
        <v>0</v>
      </c>
      <c r="W124" s="26">
        <v>7439</v>
      </c>
      <c r="X124" s="7">
        <v>-0.22831935130173139</v>
      </c>
      <c r="Y124" s="10">
        <v>-0.25602220533324532</v>
      </c>
      <c r="Z124" s="10">
        <v>-0.30166555629580277</v>
      </c>
      <c r="AA124" s="10">
        <v>-0.1127647395535203</v>
      </c>
    </row>
    <row r="125" spans="2:27" x14ac:dyDescent="0.3">
      <c r="B125" s="12">
        <v>6728</v>
      </c>
      <c r="C125" s="3" t="s">
        <v>545</v>
      </c>
      <c r="D125" s="3" t="str">
        <f>VLOOKUP(B125,기업리스트!B:G,2,FALSE)</f>
        <v>ULVAC, Inc.</v>
      </c>
      <c r="E125" s="3" t="s">
        <v>527</v>
      </c>
      <c r="F125" s="5">
        <v>-13.1</v>
      </c>
      <c r="G125" s="26">
        <v>3569</v>
      </c>
      <c r="H125" s="26">
        <v>7844</v>
      </c>
      <c r="I125" s="26">
        <v>8126</v>
      </c>
      <c r="J125" s="26">
        <v>10522</v>
      </c>
      <c r="K125" s="26">
        <v>5120</v>
      </c>
      <c r="L125" s="26">
        <v>5344</v>
      </c>
      <c r="M125" s="26">
        <v>2279</v>
      </c>
      <c r="N125" s="26">
        <v>7202</v>
      </c>
      <c r="O125" s="26">
        <v>2831</v>
      </c>
      <c r="P125" s="27">
        <v>7481</v>
      </c>
      <c r="Q125" s="27">
        <v>10094</v>
      </c>
      <c r="R125" s="26">
        <v>9364</v>
      </c>
      <c r="S125" s="26">
        <v>5766</v>
      </c>
      <c r="T125" s="26">
        <v>9577</v>
      </c>
      <c r="U125" s="26">
        <v>5408</v>
      </c>
      <c r="V125" s="26">
        <v>5772</v>
      </c>
      <c r="W125" s="26">
        <v>2284</v>
      </c>
      <c r="X125" s="7">
        <v>6.4088059929674257E-2</v>
      </c>
      <c r="Y125" s="10">
        <v>-0.13465130312347351</v>
      </c>
      <c r="Z125" s="10">
        <v>-0.1192761082517018</v>
      </c>
      <c r="AA125" s="10">
        <v>-0.13128228330128569</v>
      </c>
    </row>
    <row r="126" spans="2:27" x14ac:dyDescent="0.3">
      <c r="B126" s="12">
        <v>6753</v>
      </c>
      <c r="C126" s="3" t="s">
        <v>545</v>
      </c>
      <c r="D126" s="3" t="str">
        <f>VLOOKUP(B126,기업리스트!B:G,2,FALSE)</f>
        <v>Sharp Corporation</v>
      </c>
      <c r="E126" s="3" t="s">
        <v>505</v>
      </c>
      <c r="F126" s="5">
        <v>-14.1</v>
      </c>
      <c r="G126" s="26">
        <v>24866</v>
      </c>
      <c r="H126" s="26">
        <v>20830</v>
      </c>
      <c r="I126" s="26">
        <v>6116</v>
      </c>
      <c r="J126" s="26">
        <v>-3685</v>
      </c>
      <c r="K126" s="26">
        <v>-2144</v>
      </c>
      <c r="L126" s="26">
        <v>-26005</v>
      </c>
      <c r="M126" s="27">
        <v>-7057</v>
      </c>
      <c r="N126" s="26">
        <v>1196</v>
      </c>
      <c r="O126" s="26">
        <v>2271</v>
      </c>
      <c r="P126" s="26">
        <v>-16753</v>
      </c>
      <c r="Q126" s="26">
        <v>-5810</v>
      </c>
      <c r="R126" s="26">
        <v>6290</v>
      </c>
      <c r="S126" s="26">
        <v>19918</v>
      </c>
      <c r="T126" s="27">
        <v>6941</v>
      </c>
      <c r="U126" s="27">
        <v>15303</v>
      </c>
      <c r="V126" s="27">
        <v>13653</v>
      </c>
      <c r="W126" s="26">
        <v>12039</v>
      </c>
      <c r="X126" s="9">
        <v>6.5004115226337449</v>
      </c>
      <c r="Y126" s="8">
        <v>0.77226672519111883</v>
      </c>
      <c r="Z126" s="8">
        <v>0.1519648311731199</v>
      </c>
      <c r="AA126" s="10">
        <v>-0.14116276986473181</v>
      </c>
    </row>
    <row r="127" spans="2:27" x14ac:dyDescent="0.3">
      <c r="B127" s="12">
        <v>5714</v>
      </c>
      <c r="C127" s="3" t="s">
        <v>545</v>
      </c>
      <c r="D127" s="3" t="str">
        <f>VLOOKUP(B127,기업리스트!B:G,2,FALSE)</f>
        <v>Dowa Holdings Co., Ltd.</v>
      </c>
      <c r="E127" s="3" t="s">
        <v>505</v>
      </c>
      <c r="F127" s="5">
        <v>-14.2</v>
      </c>
      <c r="G127" s="26">
        <v>14302</v>
      </c>
      <c r="H127" s="26">
        <v>11553</v>
      </c>
      <c r="I127" s="26">
        <v>19320</v>
      </c>
      <c r="J127" s="26">
        <v>10725</v>
      </c>
      <c r="K127" s="26">
        <v>6673</v>
      </c>
      <c r="L127" s="26">
        <v>7893</v>
      </c>
      <c r="M127" s="26">
        <v>7347</v>
      </c>
      <c r="N127" s="26">
        <v>6917</v>
      </c>
      <c r="O127" s="26">
        <v>8390</v>
      </c>
      <c r="P127" s="26">
        <v>7349</v>
      </c>
      <c r="Q127" s="27">
        <v>11734</v>
      </c>
      <c r="R127" s="26">
        <v>9739</v>
      </c>
      <c r="S127" s="26">
        <v>4163</v>
      </c>
      <c r="T127" s="26">
        <v>6590</v>
      </c>
      <c r="U127" s="26">
        <v>6495</v>
      </c>
      <c r="V127" s="26">
        <v>5255</v>
      </c>
      <c r="W127" s="26">
        <v>962</v>
      </c>
      <c r="X127" s="7">
        <v>-2.301045929968171E-2</v>
      </c>
      <c r="Y127" s="10">
        <v>-0.16257059517160061</v>
      </c>
      <c r="Z127" s="10">
        <v>-0.1661540741838663</v>
      </c>
      <c r="AA127" s="10">
        <v>-0.14224770030662581</v>
      </c>
    </row>
    <row r="128" spans="2:27" x14ac:dyDescent="0.3">
      <c r="B128" s="12">
        <v>5019</v>
      </c>
      <c r="C128" s="3" t="s">
        <v>545</v>
      </c>
      <c r="D128" s="3" t="str">
        <f>VLOOKUP(B128,기업리스트!B:G,2,FALSE)</f>
        <v>Idemitsu Kosan Co.,Ltd.</v>
      </c>
      <c r="E128" s="3" t="s">
        <v>505</v>
      </c>
      <c r="F128" s="5">
        <v>-16.600000000000001</v>
      </c>
      <c r="G128" s="26">
        <v>99743</v>
      </c>
      <c r="H128" s="26">
        <v>155413</v>
      </c>
      <c r="I128" s="26">
        <v>233633</v>
      </c>
      <c r="J128" s="26">
        <v>120445</v>
      </c>
      <c r="K128" s="26">
        <v>-55211</v>
      </c>
      <c r="L128" s="26">
        <v>-16424</v>
      </c>
      <c r="M128" s="26">
        <v>44872</v>
      </c>
      <c r="N128" s="27">
        <v>158049</v>
      </c>
      <c r="O128" s="27">
        <v>90780</v>
      </c>
      <c r="P128" s="27">
        <v>52616</v>
      </c>
      <c r="Q128" s="27">
        <v>122512</v>
      </c>
      <c r="R128" s="26">
        <v>-25180</v>
      </c>
      <c r="S128" s="26">
        <v>25943</v>
      </c>
      <c r="T128" s="26">
        <v>38912</v>
      </c>
      <c r="U128" s="26">
        <v>-21015</v>
      </c>
      <c r="V128" s="27">
        <v>46860</v>
      </c>
      <c r="W128" s="26">
        <v>10847</v>
      </c>
      <c r="X128" s="7">
        <v>-7.7911888612834046E-2</v>
      </c>
      <c r="Y128" s="10">
        <v>-0.88494762218920131</v>
      </c>
      <c r="Z128" s="8">
        <v>3.860664523043944</v>
      </c>
      <c r="AA128" s="10">
        <v>-0.16643880926130089</v>
      </c>
    </row>
    <row r="129" spans="2:27" x14ac:dyDescent="0.3">
      <c r="B129" s="12">
        <v>4967</v>
      </c>
      <c r="C129" s="3" t="s">
        <v>545</v>
      </c>
      <c r="D129" s="3" t="str">
        <f>VLOOKUP(B129,기업리스트!B:G,2,FALSE)</f>
        <v>Kobayashi Pharmaceutical Co., Ltd.</v>
      </c>
      <c r="E129" s="3" t="s">
        <v>496</v>
      </c>
      <c r="F129" s="5">
        <v>-22.9</v>
      </c>
      <c r="G129" s="26">
        <v>6617</v>
      </c>
      <c r="H129" s="26">
        <v>4797</v>
      </c>
      <c r="I129" s="26">
        <v>4995</v>
      </c>
      <c r="J129" s="26">
        <v>8823</v>
      </c>
      <c r="K129" s="26">
        <v>7891</v>
      </c>
      <c r="L129" s="26">
        <v>5013</v>
      </c>
      <c r="M129" s="26">
        <v>5315</v>
      </c>
      <c r="N129" s="26">
        <v>8933</v>
      </c>
      <c r="O129" s="26">
        <v>6366</v>
      </c>
      <c r="P129" s="26">
        <v>4976</v>
      </c>
      <c r="Q129" s="26">
        <v>4412</v>
      </c>
      <c r="R129" s="26">
        <v>7452</v>
      </c>
      <c r="S129" s="26">
        <v>7870</v>
      </c>
      <c r="T129" s="26">
        <v>2480</v>
      </c>
      <c r="U129" s="26">
        <v>4169</v>
      </c>
      <c r="V129" s="26">
        <v>4848</v>
      </c>
      <c r="W129" s="26">
        <v>3427</v>
      </c>
      <c r="X129" s="7">
        <v>-0.10101173613921489</v>
      </c>
      <c r="Y129" s="10">
        <v>-1.093904744755558E-2</v>
      </c>
      <c r="Z129" s="10">
        <v>-0.1185198670975377</v>
      </c>
      <c r="AA129" s="10">
        <v>-0.22941085351370891</v>
      </c>
    </row>
    <row r="130" spans="2:27" x14ac:dyDescent="0.3">
      <c r="B130" s="12">
        <v>7267</v>
      </c>
      <c r="C130" s="3" t="s">
        <v>545</v>
      </c>
      <c r="D130" s="3" t="str">
        <f>VLOOKUP(B130,기업리스트!B:G,2,FALSE)</f>
        <v>Honda Motor Co., Ltd.</v>
      </c>
      <c r="E130" s="3" t="s">
        <v>505</v>
      </c>
      <c r="F130" s="5">
        <v>-26.8</v>
      </c>
      <c r="G130" s="26">
        <v>229449</v>
      </c>
      <c r="H130" s="26">
        <v>199587</v>
      </c>
      <c r="I130" s="26">
        <v>222216</v>
      </c>
      <c r="J130" s="26">
        <v>231236</v>
      </c>
      <c r="K130" s="26">
        <v>280491</v>
      </c>
      <c r="L130" s="26">
        <v>46826</v>
      </c>
      <c r="M130" s="27">
        <v>394447</v>
      </c>
      <c r="N130" s="26">
        <v>302126</v>
      </c>
      <c r="O130" s="26">
        <v>379812</v>
      </c>
      <c r="P130" s="27">
        <v>305592</v>
      </c>
      <c r="Q130" s="26">
        <v>484705</v>
      </c>
      <c r="R130" s="26">
        <v>257903</v>
      </c>
      <c r="S130" s="26">
        <v>397312</v>
      </c>
      <c r="T130" s="26">
        <v>73566</v>
      </c>
      <c r="U130" s="26">
        <v>244170</v>
      </c>
      <c r="V130" s="26">
        <v>193974</v>
      </c>
      <c r="W130" s="26">
        <v>153361</v>
      </c>
      <c r="X130" s="7">
        <v>-0.16051475186646669</v>
      </c>
      <c r="Y130" s="10">
        <v>-0.1982181912275873</v>
      </c>
      <c r="Z130" s="10">
        <v>-6.5706289422591713E-2</v>
      </c>
      <c r="AA130" s="10">
        <v>-0.268366442176317</v>
      </c>
    </row>
    <row r="131" spans="2:27" x14ac:dyDescent="0.3">
      <c r="B131" s="12">
        <v>5842</v>
      </c>
      <c r="C131" s="3" t="s">
        <v>545</v>
      </c>
      <c r="D131" s="3" t="str">
        <f>VLOOKUP(B131,기업리스트!B:G,2,FALSE)</f>
        <v>Integral Corporation</v>
      </c>
      <c r="E131" s="3" t="s">
        <v>496</v>
      </c>
      <c r="F131" s="5">
        <v>-49.4</v>
      </c>
      <c r="G131" s="26"/>
      <c r="H131" s="26"/>
      <c r="I131" s="26"/>
      <c r="J131" s="26"/>
      <c r="K131" s="26"/>
      <c r="L131" s="26">
        <v>2544</v>
      </c>
      <c r="M131" s="26">
        <v>2544</v>
      </c>
      <c r="N131" s="26">
        <v>245</v>
      </c>
      <c r="O131" s="26">
        <v>5662</v>
      </c>
      <c r="P131" s="27">
        <v>3659</v>
      </c>
      <c r="Q131" s="26">
        <v>3173</v>
      </c>
      <c r="R131" s="27">
        <v>6644</v>
      </c>
      <c r="S131" s="27">
        <v>12540</v>
      </c>
      <c r="T131" s="26">
        <v>24</v>
      </c>
      <c r="U131" s="26">
        <v>2867</v>
      </c>
      <c r="V131" s="26">
        <v>2866</v>
      </c>
      <c r="W131" s="26">
        <v>3497</v>
      </c>
      <c r="X131" s="7">
        <v>-0.13972170971709719</v>
      </c>
      <c r="Y131" s="10">
        <v>-1.367231133550784E-2</v>
      </c>
      <c r="Z131" s="10">
        <v>-0.17114382785956961</v>
      </c>
      <c r="AA131" s="10">
        <v>-0.49423402743619171</v>
      </c>
    </row>
    <row r="132" spans="2:27" x14ac:dyDescent="0.3">
      <c r="B132" s="12">
        <v>3436</v>
      </c>
      <c r="C132" s="3" t="s">
        <v>545</v>
      </c>
      <c r="D132" s="3" t="str">
        <f>VLOOKUP(B132,기업리스트!B:G,2,FALSE)</f>
        <v>Sumco Corporation</v>
      </c>
      <c r="E132" s="3" t="s">
        <v>496</v>
      </c>
      <c r="F132" s="5">
        <v>-137.69999999999999</v>
      </c>
      <c r="G132" s="26">
        <v>15008</v>
      </c>
      <c r="H132" s="26">
        <v>23453</v>
      </c>
      <c r="I132" s="26">
        <v>26298</v>
      </c>
      <c r="J132" s="26">
        <v>30180</v>
      </c>
      <c r="K132" s="27">
        <v>29753</v>
      </c>
      <c r="L132" s="26">
        <v>25975</v>
      </c>
      <c r="M132" s="26">
        <v>20812</v>
      </c>
      <c r="N132" s="26">
        <v>15070</v>
      </c>
      <c r="O132" s="26">
        <v>11224</v>
      </c>
      <c r="P132" s="26">
        <v>8268</v>
      </c>
      <c r="Q132" s="26">
        <v>11680</v>
      </c>
      <c r="R132" s="26">
        <v>10027</v>
      </c>
      <c r="S132" s="26">
        <v>5127</v>
      </c>
      <c r="T132" s="26">
        <v>5991</v>
      </c>
      <c r="U132" s="26">
        <v>1467</v>
      </c>
      <c r="V132" s="26">
        <v>-3960</v>
      </c>
      <c r="W132" s="26">
        <v>-6748</v>
      </c>
      <c r="X132" s="7">
        <v>-6.4868098683835695E-2</v>
      </c>
      <c r="Y132" s="10">
        <v>-0.31113480578827107</v>
      </c>
      <c r="Z132" s="10">
        <v>-0.61856536352379266</v>
      </c>
      <c r="AA132" s="10">
        <v>-1.376811594202898</v>
      </c>
    </row>
    <row r="133" spans="2:27" x14ac:dyDescent="0.3">
      <c r="B133" s="12">
        <v>6330</v>
      </c>
      <c r="C133" s="3" t="s">
        <v>545</v>
      </c>
      <c r="D133" s="3" t="str">
        <f>VLOOKUP(B133,기업리스트!B:G,2,FALSE)</f>
        <v>Toyo Engineering Corporation</v>
      </c>
      <c r="E133" s="3" t="s">
        <v>494</v>
      </c>
      <c r="F133" s="5">
        <v>-260.2</v>
      </c>
      <c r="G133" s="26">
        <v>548</v>
      </c>
      <c r="H133" s="26">
        <v>-986</v>
      </c>
      <c r="I133" s="26">
        <v>1561</v>
      </c>
      <c r="J133" s="26">
        <v>2296</v>
      </c>
      <c r="K133" s="26">
        <v>767</v>
      </c>
      <c r="L133" s="27">
        <v>1412</v>
      </c>
      <c r="M133" s="26">
        <v>290</v>
      </c>
      <c r="N133" s="26">
        <v>908</v>
      </c>
      <c r="O133" s="27">
        <v>2316</v>
      </c>
      <c r="P133" s="27">
        <v>2227</v>
      </c>
      <c r="Q133" s="27">
        <v>1262</v>
      </c>
      <c r="R133" s="26">
        <v>981</v>
      </c>
      <c r="S133" s="26">
        <v>1037</v>
      </c>
      <c r="T133" s="26">
        <v>18</v>
      </c>
      <c r="U133" s="26">
        <v>556</v>
      </c>
      <c r="V133" s="26">
        <v>670</v>
      </c>
      <c r="W133" s="26">
        <v>-4898</v>
      </c>
      <c r="X133" s="7">
        <v>-0.40112583984020328</v>
      </c>
      <c r="Y133" s="10">
        <v>-0.2140691328077623</v>
      </c>
      <c r="Z133" s="10">
        <v>-0.1199845679012346</v>
      </c>
      <c r="AA133" s="10">
        <v>-2.601928978518194</v>
      </c>
    </row>
    <row r="134" spans="2:27" x14ac:dyDescent="0.3">
      <c r="B134" s="19">
        <v>1963</v>
      </c>
      <c r="C134" s="14" t="s">
        <v>545</v>
      </c>
      <c r="D134" s="14" t="str">
        <f>VLOOKUP(B134,기업리스트!B:G,2,FALSE)</f>
        <v>JGC Holdings Corporation</v>
      </c>
      <c r="E134" s="14" t="s">
        <v>505</v>
      </c>
      <c r="F134" s="15">
        <v>-523.6</v>
      </c>
      <c r="G134" s="28">
        <v>4946</v>
      </c>
      <c r="H134" s="28">
        <v>5356</v>
      </c>
      <c r="I134" s="28">
        <v>10244</v>
      </c>
      <c r="J134" s="28">
        <v>8738</v>
      </c>
      <c r="K134" s="28">
        <v>6338</v>
      </c>
      <c r="L134" s="29">
        <v>11380</v>
      </c>
      <c r="M134" s="28">
        <v>10045</v>
      </c>
      <c r="N134" s="28">
        <v>2963</v>
      </c>
      <c r="O134" s="28">
        <v>-3734</v>
      </c>
      <c r="P134" s="28">
        <v>-28269</v>
      </c>
      <c r="Q134" s="29">
        <v>8106</v>
      </c>
      <c r="R134" s="28">
        <v>4316</v>
      </c>
      <c r="S134" s="29">
        <v>-31629</v>
      </c>
      <c r="T134" s="28">
        <v>7733</v>
      </c>
      <c r="U134" s="28">
        <v>7900</v>
      </c>
      <c r="V134" s="28">
        <v>7866</v>
      </c>
      <c r="W134" s="28">
        <v>10942</v>
      </c>
      <c r="X134" s="16">
        <v>-0.7583199932597523</v>
      </c>
      <c r="Y134" s="17">
        <v>1.7953634303643051E-2</v>
      </c>
      <c r="Z134" s="17">
        <v>-0.30393835616438358</v>
      </c>
      <c r="AA134" s="17">
        <v>-5.2362853628536294</v>
      </c>
    </row>
    <row r="135" spans="2:27" x14ac:dyDescent="0.3">
      <c r="B135" s="12" t="s">
        <v>569</v>
      </c>
      <c r="C135" s="3" t="s">
        <v>547</v>
      </c>
      <c r="D135" s="3" t="str">
        <f>VLOOKUP(B135,기업리스트!B:G,2,FALSE)</f>
        <v>Edelweiss Financial Services Limited</v>
      </c>
      <c r="E135" s="3" t="s">
        <v>505</v>
      </c>
      <c r="F135" s="13">
        <v>257.3</v>
      </c>
      <c r="G135" s="26">
        <v>-1796</v>
      </c>
      <c r="H135" s="26">
        <v>-271</v>
      </c>
      <c r="I135" s="26">
        <v>-689.8</v>
      </c>
      <c r="J135" s="26">
        <v>-35.6</v>
      </c>
      <c r="K135" s="26">
        <v>769.1</v>
      </c>
      <c r="L135" s="26">
        <v>1171</v>
      </c>
      <c r="M135" s="27">
        <v>71.5</v>
      </c>
      <c r="N135" s="27">
        <v>971.9</v>
      </c>
      <c r="O135" s="26">
        <v>724.7</v>
      </c>
      <c r="P135" s="26">
        <v>1364</v>
      </c>
      <c r="Q135" s="27">
        <v>932</v>
      </c>
      <c r="R135" s="27">
        <v>2724</v>
      </c>
      <c r="S135" s="27">
        <v>1813</v>
      </c>
      <c r="T135" s="26">
        <v>675.07</v>
      </c>
      <c r="U135" s="26">
        <v>1104</v>
      </c>
      <c r="V135" s="26">
        <v>-851.7</v>
      </c>
      <c r="W135" s="27">
        <v>8863</v>
      </c>
      <c r="X135" s="7">
        <v>-0.1008239426313479</v>
      </c>
      <c r="Y135" s="10">
        <v>2.7994472719223621E-2</v>
      </c>
      <c r="Z135" s="10">
        <v>-0.56612735451000384</v>
      </c>
      <c r="AA135" s="8">
        <v>2.5726452997223008</v>
      </c>
    </row>
    <row r="136" spans="2:27" x14ac:dyDescent="0.3">
      <c r="B136" s="12" t="s">
        <v>570</v>
      </c>
      <c r="C136" s="3" t="s">
        <v>547</v>
      </c>
      <c r="D136" s="3" t="str">
        <f>VLOOKUP(B136,기업리스트!B:G,2,FALSE)</f>
        <v>Rajesh Exports Limited</v>
      </c>
      <c r="E136" s="3" t="s">
        <v>494</v>
      </c>
      <c r="F136" s="13">
        <v>53</v>
      </c>
      <c r="G136" s="26">
        <v>2977</v>
      </c>
      <c r="H136" s="26">
        <v>3044</v>
      </c>
      <c r="I136" s="26">
        <v>2352</v>
      </c>
      <c r="J136" s="26">
        <v>2835</v>
      </c>
      <c r="K136" s="26">
        <v>3948</v>
      </c>
      <c r="L136" s="26">
        <v>4231</v>
      </c>
      <c r="M136" s="27">
        <v>4500</v>
      </c>
      <c r="N136" s="26">
        <v>3151</v>
      </c>
      <c r="O136" s="26">
        <v>529.73</v>
      </c>
      <c r="P136" s="26">
        <v>126.72</v>
      </c>
      <c r="Q136" s="26">
        <v>-488.71</v>
      </c>
      <c r="R136" s="26">
        <v>475.12</v>
      </c>
      <c r="S136" s="27">
        <v>650.62</v>
      </c>
      <c r="T136" s="27">
        <v>552.92999999999995</v>
      </c>
      <c r="U136" s="27">
        <v>353.5</v>
      </c>
      <c r="V136" s="26">
        <v>299.68</v>
      </c>
      <c r="W136" s="27">
        <v>1634</v>
      </c>
      <c r="X136" s="9">
        <v>0.55804909983633388</v>
      </c>
      <c r="Y136" s="8">
        <v>0.70776328616087936</v>
      </c>
      <c r="Z136" s="10">
        <v>-8.6331360073222285E-2</v>
      </c>
      <c r="AA136" s="8">
        <v>0.52963004852617246</v>
      </c>
    </row>
    <row r="137" spans="2:27" x14ac:dyDescent="0.3">
      <c r="B137" s="12" t="s">
        <v>571</v>
      </c>
      <c r="C137" s="3" t="s">
        <v>547</v>
      </c>
      <c r="D137" s="3" t="str">
        <f>VLOOKUP(B137,기업리스트!B:G,2,FALSE)</f>
        <v>Escorts Kubota Limited</v>
      </c>
      <c r="E137" s="3" t="s">
        <v>505</v>
      </c>
      <c r="F137" s="5">
        <v>9.4</v>
      </c>
      <c r="G137" s="26">
        <v>2314</v>
      </c>
      <c r="H137" s="26">
        <v>2654</v>
      </c>
      <c r="I137" s="26">
        <v>1668</v>
      </c>
      <c r="J137" s="26">
        <v>1125</v>
      </c>
      <c r="K137" s="26">
        <v>1534</v>
      </c>
      <c r="L137" s="26">
        <v>2096</v>
      </c>
      <c r="M137" s="27">
        <v>2908</v>
      </c>
      <c r="N137" s="27">
        <v>2199</v>
      </c>
      <c r="O137" s="27">
        <v>2727</v>
      </c>
      <c r="P137" s="26">
        <v>0</v>
      </c>
      <c r="Q137" s="26">
        <v>2819</v>
      </c>
      <c r="R137" s="26">
        <v>2010</v>
      </c>
      <c r="S137" s="26">
        <v>2712</v>
      </c>
      <c r="T137" s="27">
        <v>2258</v>
      </c>
      <c r="U137" s="26">
        <v>2618</v>
      </c>
      <c r="V137" s="27">
        <v>2976</v>
      </c>
      <c r="W137" s="26">
        <v>3704</v>
      </c>
      <c r="X137" s="9">
        <v>0.29942978384829599</v>
      </c>
      <c r="Y137" s="10">
        <v>-2.051229717318093E-2</v>
      </c>
      <c r="Z137" s="8">
        <v>0.10064596790998109</v>
      </c>
      <c r="AA137" s="10">
        <v>9.3903824308973816E-2</v>
      </c>
    </row>
    <row r="138" spans="2:27" x14ac:dyDescent="0.3">
      <c r="B138" s="12" t="s">
        <v>572</v>
      </c>
      <c r="C138" s="3" t="s">
        <v>547</v>
      </c>
      <c r="D138" s="3" t="str">
        <f>VLOOKUP(B138,기업리스트!B:G,2,FALSE)</f>
        <v>Apollo Hospitals Enterprise Limited</v>
      </c>
      <c r="E138" s="3" t="s">
        <v>505</v>
      </c>
      <c r="F138" s="5">
        <v>8.9</v>
      </c>
      <c r="G138" s="26">
        <v>4380</v>
      </c>
      <c r="H138" s="26">
        <v>3008</v>
      </c>
      <c r="I138" s="26">
        <v>3430</v>
      </c>
      <c r="J138" s="26">
        <v>4104</v>
      </c>
      <c r="K138" s="26">
        <v>3520</v>
      </c>
      <c r="L138" s="26">
        <v>3439</v>
      </c>
      <c r="M138" s="26">
        <v>3421</v>
      </c>
      <c r="N138" s="26">
        <v>4641</v>
      </c>
      <c r="O138" s="26">
        <v>4467</v>
      </c>
      <c r="P138" s="26">
        <v>4544</v>
      </c>
      <c r="Q138" s="26">
        <v>4977</v>
      </c>
      <c r="R138" s="26">
        <v>6310</v>
      </c>
      <c r="S138" s="26">
        <v>5769</v>
      </c>
      <c r="T138" s="26">
        <v>5701</v>
      </c>
      <c r="U138" s="26">
        <v>6372</v>
      </c>
      <c r="V138" s="26">
        <v>7233</v>
      </c>
      <c r="W138" s="26">
        <v>7989</v>
      </c>
      <c r="X138" s="7">
        <v>5.3564814814814898E-2</v>
      </c>
      <c r="Y138" s="10">
        <v>6.1299819835654912E-2</v>
      </c>
      <c r="Z138" s="10">
        <v>3.8216296787015658E-2</v>
      </c>
      <c r="AA138" s="10">
        <v>8.8534396809571314E-2</v>
      </c>
    </row>
    <row r="139" spans="2:27" x14ac:dyDescent="0.3">
      <c r="B139" s="12" t="s">
        <v>83</v>
      </c>
      <c r="C139" s="3" t="s">
        <v>547</v>
      </c>
      <c r="D139" s="3" t="str">
        <f>VLOOKUP(B139,기업리스트!B:G,2,FALSE)</f>
        <v>Grasim Industries Limited</v>
      </c>
      <c r="E139" s="3" t="s">
        <v>505</v>
      </c>
      <c r="F139" s="5">
        <v>6.8</v>
      </c>
      <c r="G139" s="26">
        <v>38379</v>
      </c>
      <c r="H139" s="26">
        <v>43872</v>
      </c>
      <c r="I139" s="26">
        <v>48941</v>
      </c>
      <c r="J139" s="26">
        <v>34752</v>
      </c>
      <c r="K139" s="26">
        <v>37449</v>
      </c>
      <c r="L139" s="26">
        <v>49459</v>
      </c>
      <c r="M139" s="26">
        <v>51742</v>
      </c>
      <c r="N139" s="26">
        <v>48075</v>
      </c>
      <c r="O139" s="27">
        <v>56490</v>
      </c>
      <c r="P139" s="26">
        <v>65709</v>
      </c>
      <c r="Q139" s="26">
        <v>53368</v>
      </c>
      <c r="R139" s="26">
        <v>45213</v>
      </c>
      <c r="S139" s="26">
        <v>52646</v>
      </c>
      <c r="T139" s="26">
        <v>67098</v>
      </c>
      <c r="U139" s="26">
        <v>70119</v>
      </c>
      <c r="V139" s="26">
        <v>57726</v>
      </c>
      <c r="W139" s="26">
        <v>69512</v>
      </c>
      <c r="X139" s="7">
        <v>6.4028100453590309E-3</v>
      </c>
      <c r="Y139" s="10">
        <v>7.6725065842207618E-2</v>
      </c>
      <c r="Z139" s="10">
        <v>5.322959383348369E-2</v>
      </c>
      <c r="AA139" s="10">
        <v>6.8120958524005459E-2</v>
      </c>
    </row>
    <row r="140" spans="2:27" x14ac:dyDescent="0.3">
      <c r="B140" s="12" t="s">
        <v>160</v>
      </c>
      <c r="C140" s="3" t="s">
        <v>547</v>
      </c>
      <c r="D140" s="3" t="str">
        <f>VLOOKUP(B140,기업리스트!B:G,2,FALSE)</f>
        <v>Torrent Power Limited</v>
      </c>
      <c r="E140" s="3" t="s">
        <v>505</v>
      </c>
      <c r="F140" s="5">
        <v>6.8</v>
      </c>
      <c r="G140" s="26">
        <v>6001</v>
      </c>
      <c r="H140" s="26">
        <v>6937</v>
      </c>
      <c r="I140" s="26">
        <v>7487</v>
      </c>
      <c r="J140" s="26">
        <v>8456</v>
      </c>
      <c r="K140" s="27">
        <v>11218</v>
      </c>
      <c r="L140" s="26">
        <v>9185</v>
      </c>
      <c r="M140" s="26">
        <v>8528</v>
      </c>
      <c r="N140" s="26">
        <v>9442</v>
      </c>
      <c r="O140" s="26">
        <v>6953</v>
      </c>
      <c r="P140" s="26">
        <v>8801</v>
      </c>
      <c r="Q140" s="27">
        <v>14985</v>
      </c>
      <c r="R140" s="26">
        <v>8957</v>
      </c>
      <c r="S140" s="26">
        <v>7341</v>
      </c>
      <c r="T140" s="26">
        <v>8472</v>
      </c>
      <c r="U140" s="26">
        <v>10928</v>
      </c>
      <c r="V140" s="26">
        <v>11170</v>
      </c>
      <c r="W140" s="26">
        <v>9905</v>
      </c>
      <c r="X140" s="7">
        <v>-8.2077636962378797E-3</v>
      </c>
      <c r="Y140" s="10">
        <v>-0.1020500565966546</v>
      </c>
      <c r="Z140" s="10">
        <v>6.1992268474424288E-2</v>
      </c>
      <c r="AA140" s="10">
        <v>6.7632085674342646E-2</v>
      </c>
    </row>
    <row r="141" spans="2:27" x14ac:dyDescent="0.3">
      <c r="B141" s="12" t="s">
        <v>198</v>
      </c>
      <c r="C141" s="3" t="s">
        <v>547</v>
      </c>
      <c r="D141" s="3" t="str">
        <f>VLOOKUP(B141,기업리스트!B:G,2,FALSE)</f>
        <v>Jubilant FoodWorks Limited</v>
      </c>
      <c r="E141" s="3" t="s">
        <v>494</v>
      </c>
      <c r="F141" s="5">
        <v>6.1</v>
      </c>
      <c r="G141" s="26">
        <v>1847</v>
      </c>
      <c r="H141" s="26">
        <v>2066</v>
      </c>
      <c r="I141" s="26">
        <v>2204</v>
      </c>
      <c r="J141" s="26">
        <v>1970</v>
      </c>
      <c r="K141" s="26">
        <v>1972</v>
      </c>
      <c r="L141" s="26">
        <v>1539</v>
      </c>
      <c r="M141" s="26">
        <v>1281</v>
      </c>
      <c r="N141" s="26">
        <v>1401</v>
      </c>
      <c r="O141" s="26">
        <v>1353</v>
      </c>
      <c r="P141" s="26">
        <v>1286</v>
      </c>
      <c r="Q141" s="26">
        <v>0</v>
      </c>
      <c r="R141" s="27">
        <v>1995</v>
      </c>
      <c r="S141" s="27">
        <v>1971</v>
      </c>
      <c r="T141" s="27">
        <v>1942</v>
      </c>
      <c r="U141" s="27">
        <v>1891</v>
      </c>
      <c r="V141" s="26">
        <v>2178</v>
      </c>
      <c r="W141" s="26">
        <v>2459</v>
      </c>
      <c r="X141" s="9">
        <v>0.12490479817212501</v>
      </c>
      <c r="Y141" s="8">
        <v>0.32007447528774541</v>
      </c>
      <c r="Z141" s="10">
        <v>2.3464546736761131E-2</v>
      </c>
      <c r="AA141" s="10">
        <v>6.113755950889499E-2</v>
      </c>
    </row>
    <row r="142" spans="2:27" x14ac:dyDescent="0.3">
      <c r="B142" s="12" t="s">
        <v>434</v>
      </c>
      <c r="C142" s="3" t="s">
        <v>547</v>
      </c>
      <c r="D142" s="3" t="str">
        <f>VLOOKUP(B142,기업리스트!B:G,2,FALSE)</f>
        <v>Fiem Industries Limited</v>
      </c>
      <c r="E142" s="3" t="s">
        <v>494</v>
      </c>
      <c r="F142" s="5">
        <v>5.6</v>
      </c>
      <c r="G142" s="26">
        <v>372.8</v>
      </c>
      <c r="H142" s="26">
        <v>331.2</v>
      </c>
      <c r="I142" s="26">
        <v>471.33</v>
      </c>
      <c r="J142" s="26">
        <v>404.54</v>
      </c>
      <c r="K142" s="27">
        <v>565.89</v>
      </c>
      <c r="L142" s="26">
        <v>437.04</v>
      </c>
      <c r="M142" s="26">
        <v>430.66</v>
      </c>
      <c r="N142" s="26">
        <v>465.19</v>
      </c>
      <c r="O142" s="26">
        <v>546.28</v>
      </c>
      <c r="P142" s="26">
        <v>503.28</v>
      </c>
      <c r="Q142" s="26">
        <v>553.86</v>
      </c>
      <c r="R142" s="26">
        <v>634.51</v>
      </c>
      <c r="S142" s="26">
        <v>647.74</v>
      </c>
      <c r="T142" s="26">
        <v>610.73</v>
      </c>
      <c r="U142" s="26">
        <v>660.65</v>
      </c>
      <c r="V142" s="26">
        <v>722.76</v>
      </c>
      <c r="W142" s="26">
        <v>796.58</v>
      </c>
      <c r="X142" s="7">
        <v>4.5930776826437869E-2</v>
      </c>
      <c r="Y142" s="10">
        <v>4.3644047015742649E-2</v>
      </c>
      <c r="Z142" s="10">
        <v>3.4558647885559068E-2</v>
      </c>
      <c r="AA142" s="10">
        <v>5.6338667918300667E-2</v>
      </c>
    </row>
    <row r="143" spans="2:27" x14ac:dyDescent="0.3">
      <c r="B143" s="12" t="s">
        <v>97</v>
      </c>
      <c r="C143" s="3" t="s">
        <v>547</v>
      </c>
      <c r="D143" s="3" t="str">
        <f>VLOOKUP(B143,기업리스트!B:G,2,FALSE)</f>
        <v>Britannia Industries Limited</v>
      </c>
      <c r="E143" s="3" t="s">
        <v>505</v>
      </c>
      <c r="F143" s="5">
        <v>4.4000000000000004</v>
      </c>
      <c r="G143" s="26">
        <v>4893</v>
      </c>
      <c r="H143" s="26">
        <v>4988</v>
      </c>
      <c r="I143" s="26">
        <v>4498</v>
      </c>
      <c r="J143" s="26">
        <v>6600</v>
      </c>
      <c r="K143" s="27">
        <v>7596</v>
      </c>
      <c r="L143" s="26">
        <v>7356</v>
      </c>
      <c r="M143" s="26">
        <v>6181</v>
      </c>
      <c r="N143" s="26">
        <v>8007</v>
      </c>
      <c r="O143" s="26">
        <v>7430</v>
      </c>
      <c r="P143" s="26">
        <v>7075</v>
      </c>
      <c r="Q143" s="26">
        <v>6797</v>
      </c>
      <c r="R143" s="26">
        <v>7073</v>
      </c>
      <c r="S143" s="26">
        <v>7625</v>
      </c>
      <c r="T143" s="26">
        <v>7242</v>
      </c>
      <c r="U143" s="26">
        <v>6750</v>
      </c>
      <c r="V143" s="26">
        <v>8695</v>
      </c>
      <c r="W143" s="26">
        <v>8955</v>
      </c>
      <c r="X143" s="7">
        <v>5.8452922646132777E-3</v>
      </c>
      <c r="Y143" s="10">
        <v>-1.6355221491457521E-3</v>
      </c>
      <c r="Z143" s="10">
        <v>5.6535378180550662E-2</v>
      </c>
      <c r="AA143" s="10">
        <v>4.3877012404328397E-2</v>
      </c>
    </row>
    <row r="144" spans="2:27" x14ac:dyDescent="0.3">
      <c r="B144" s="12" t="s">
        <v>202</v>
      </c>
      <c r="C144" s="3" t="s">
        <v>547</v>
      </c>
      <c r="D144" s="3" t="str">
        <f>VLOOKUP(B144,기업리스트!B:G,2,FALSE)</f>
        <v>Endurance Technologies Limited</v>
      </c>
      <c r="E144" s="3" t="s">
        <v>494</v>
      </c>
      <c r="F144" s="5">
        <v>4.4000000000000004</v>
      </c>
      <c r="G144" s="26">
        <v>1660</v>
      </c>
      <c r="H144" s="26">
        <v>1119</v>
      </c>
      <c r="I144" s="26">
        <v>1590</v>
      </c>
      <c r="J144" s="26">
        <v>1406</v>
      </c>
      <c r="K144" s="26">
        <v>1723</v>
      </c>
      <c r="L144" s="26">
        <v>1379</v>
      </c>
      <c r="M144" s="26">
        <v>1638</v>
      </c>
      <c r="N144" s="27">
        <v>2083</v>
      </c>
      <c r="O144" s="26">
        <v>1999</v>
      </c>
      <c r="P144" s="26">
        <v>1846</v>
      </c>
      <c r="Q144" s="27">
        <v>2612</v>
      </c>
      <c r="R144" s="26">
        <v>2453</v>
      </c>
      <c r="S144" s="26">
        <v>2509</v>
      </c>
      <c r="T144" s="26">
        <v>2361</v>
      </c>
      <c r="U144" s="26">
        <v>2800</v>
      </c>
      <c r="V144" s="26">
        <v>2794</v>
      </c>
      <c r="W144" s="26">
        <v>2968</v>
      </c>
      <c r="X144" s="7">
        <v>5.4670912951167772E-2</v>
      </c>
      <c r="Y144" s="10">
        <v>1.8922999496728821E-2</v>
      </c>
      <c r="Z144" s="10">
        <v>3.3685666304455131E-2</v>
      </c>
      <c r="AA144" s="10">
        <v>4.3864678899082632E-2</v>
      </c>
    </row>
    <row r="145" spans="2:27" x14ac:dyDescent="0.3">
      <c r="B145" s="12" t="s">
        <v>348</v>
      </c>
      <c r="C145" s="3" t="s">
        <v>547</v>
      </c>
      <c r="D145" s="3" t="str">
        <f>VLOOKUP(B145,기업리스트!B:G,2,FALSE)</f>
        <v>Finolex Cables Limited</v>
      </c>
      <c r="E145" s="3" t="s">
        <v>505</v>
      </c>
      <c r="F145" s="5">
        <v>3.1</v>
      </c>
      <c r="G145" s="26">
        <v>1085</v>
      </c>
      <c r="H145" s="26">
        <v>1081</v>
      </c>
      <c r="I145" s="26">
        <v>1098</v>
      </c>
      <c r="J145" s="26">
        <v>879.6</v>
      </c>
      <c r="K145" s="26">
        <v>1347</v>
      </c>
      <c r="L145" s="26">
        <v>1306</v>
      </c>
      <c r="M145" s="26">
        <v>1360</v>
      </c>
      <c r="N145" s="26">
        <v>1353</v>
      </c>
      <c r="O145" s="26">
        <v>1228</v>
      </c>
      <c r="P145" s="26">
        <v>1503</v>
      </c>
      <c r="Q145" s="26">
        <v>1161</v>
      </c>
      <c r="R145" s="26">
        <v>941.3</v>
      </c>
      <c r="S145" s="26">
        <v>1260</v>
      </c>
      <c r="T145" s="26">
        <v>1569</v>
      </c>
      <c r="U145" s="26">
        <v>1227</v>
      </c>
      <c r="V145" s="26">
        <v>1311</v>
      </c>
      <c r="W145" s="26">
        <v>1426</v>
      </c>
      <c r="X145" s="7">
        <v>1.3565453312231581E-2</v>
      </c>
      <c r="Y145" s="10">
        <v>1.338389471336154E-2</v>
      </c>
      <c r="Z145" s="10">
        <v>7.3979949172553239E-2</v>
      </c>
      <c r="AA145" s="10">
        <v>3.0929755915781731E-2</v>
      </c>
    </row>
    <row r="146" spans="2:27" x14ac:dyDescent="0.3">
      <c r="B146" s="12" t="s">
        <v>293</v>
      </c>
      <c r="C146" s="3" t="s">
        <v>547</v>
      </c>
      <c r="D146" s="3" t="str">
        <f>VLOOKUP(B146,기업리스트!B:G,2,FALSE)</f>
        <v>Chambal Fertilisers and Chemicals Limited</v>
      </c>
      <c r="E146" s="3" t="s">
        <v>505</v>
      </c>
      <c r="F146" s="5">
        <v>1.7</v>
      </c>
      <c r="G146" s="26">
        <v>5066</v>
      </c>
      <c r="H146" s="26">
        <v>2999</v>
      </c>
      <c r="I146" s="26">
        <v>5173</v>
      </c>
      <c r="J146" s="26">
        <v>3663</v>
      </c>
      <c r="K146" s="26">
        <v>5919</v>
      </c>
      <c r="L146" s="26">
        <v>1206</v>
      </c>
      <c r="M146" s="26">
        <v>5562</v>
      </c>
      <c r="N146" s="27">
        <v>5366</v>
      </c>
      <c r="O146" s="26">
        <v>5494</v>
      </c>
      <c r="P146" s="26">
        <v>1120</v>
      </c>
      <c r="Q146" s="26">
        <v>6698</v>
      </c>
      <c r="R146" s="26">
        <v>7069</v>
      </c>
      <c r="S146" s="26">
        <v>6949</v>
      </c>
      <c r="T146" s="26">
        <v>1208</v>
      </c>
      <c r="U146" s="26">
        <v>6765</v>
      </c>
      <c r="V146" s="26">
        <v>7551</v>
      </c>
      <c r="W146" s="26">
        <v>7330</v>
      </c>
      <c r="X146" s="7">
        <v>4.0300421322585489E-3</v>
      </c>
      <c r="Y146" s="10">
        <v>3.0560116767013308E-3</v>
      </c>
      <c r="Z146" s="10">
        <v>2.191805738711294E-2</v>
      </c>
      <c r="AA146" s="10">
        <v>1.6953677746629259E-2</v>
      </c>
    </row>
    <row r="147" spans="2:27" x14ac:dyDescent="0.3">
      <c r="B147" s="12" t="s">
        <v>278</v>
      </c>
      <c r="C147" s="3" t="s">
        <v>547</v>
      </c>
      <c r="D147" s="3" t="str">
        <f>VLOOKUP(B147,기업리스트!B:G,2,FALSE)</f>
        <v>Cohance Lifesciences Limited</v>
      </c>
      <c r="E147" s="3" t="s">
        <v>494</v>
      </c>
      <c r="F147" s="5">
        <v>-3.1</v>
      </c>
      <c r="G147" s="26">
        <v>1126</v>
      </c>
      <c r="H147" s="26">
        <v>1755</v>
      </c>
      <c r="I147" s="26">
        <v>1479</v>
      </c>
      <c r="J147" s="26">
        <v>1394</v>
      </c>
      <c r="K147" s="26">
        <v>878.49</v>
      </c>
      <c r="L147" s="26">
        <v>1345</v>
      </c>
      <c r="M147" s="26">
        <v>1645</v>
      </c>
      <c r="N147" s="26">
        <v>1544</v>
      </c>
      <c r="O147" s="26">
        <v>860.69</v>
      </c>
      <c r="P147" s="26">
        <v>523.92999999999995</v>
      </c>
      <c r="Q147" s="26">
        <v>615.03</v>
      </c>
      <c r="R147" s="26">
        <v>665.3</v>
      </c>
      <c r="S147" s="26">
        <v>870.5</v>
      </c>
      <c r="T147" s="27">
        <v>973.5</v>
      </c>
      <c r="U147" s="26">
        <v>771.5</v>
      </c>
      <c r="V147" s="26">
        <v>668.7</v>
      </c>
      <c r="W147" s="26">
        <v>769.3</v>
      </c>
      <c r="X147" s="9">
        <v>0.16807863135384121</v>
      </c>
      <c r="Y147" s="10">
        <v>5.0081137395857837E-2</v>
      </c>
      <c r="Z147" s="10">
        <v>1.0363326018043571E-3</v>
      </c>
      <c r="AA147" s="10">
        <v>-3.0814201327568291E-2</v>
      </c>
    </row>
    <row r="148" spans="2:27" hidden="1" x14ac:dyDescent="0.3">
      <c r="B148" s="3" t="s">
        <v>208</v>
      </c>
      <c r="C148" s="3" t="s">
        <v>492</v>
      </c>
      <c r="D148" s="3" t="s">
        <v>564</v>
      </c>
      <c r="E148" s="3" t="s">
        <v>550</v>
      </c>
      <c r="F148" s="5">
        <v>29.9</v>
      </c>
      <c r="G148" s="4">
        <v>113.56</v>
      </c>
      <c r="H148" s="4">
        <v>269.38</v>
      </c>
      <c r="I148" s="4">
        <v>464.16</v>
      </c>
      <c r="J148" s="4">
        <v>654.54</v>
      </c>
      <c r="K148" s="4">
        <v>261.19</v>
      </c>
      <c r="L148" s="4">
        <v>216.75</v>
      </c>
      <c r="M148" s="4">
        <v>311.08</v>
      </c>
      <c r="N148" s="4">
        <v>216.92</v>
      </c>
      <c r="O148" s="4">
        <v>116.04</v>
      </c>
      <c r="P148" s="4">
        <v>213.25</v>
      </c>
      <c r="Q148" s="4">
        <v>141.16999999999999</v>
      </c>
      <c r="R148" s="4">
        <v>66.739999999999995</v>
      </c>
      <c r="S148" s="4">
        <v>2.13</v>
      </c>
      <c r="T148" s="4">
        <v>14.71</v>
      </c>
      <c r="U148" s="4">
        <v>-44</v>
      </c>
      <c r="V148" s="4">
        <v>-1.2</v>
      </c>
      <c r="W148" s="6">
        <v>-6.34</v>
      </c>
      <c r="X148" s="7">
        <v>-0.46904013796687849</v>
      </c>
      <c r="Y148" s="10">
        <v>-0.82389321468298105</v>
      </c>
      <c r="Z148" s="10">
        <v>-1.716523496715513</v>
      </c>
      <c r="AA148" s="8">
        <v>0.29866008462623422</v>
      </c>
    </row>
    <row r="149" spans="2:27" hidden="1" x14ac:dyDescent="0.3">
      <c r="B149" s="3" t="s">
        <v>430</v>
      </c>
      <c r="C149" s="3" t="s">
        <v>492</v>
      </c>
      <c r="D149" s="3" t="s">
        <v>552</v>
      </c>
      <c r="E149" s="3" t="s">
        <v>550</v>
      </c>
      <c r="F149" s="5">
        <v>18.600000000000001</v>
      </c>
      <c r="G149" s="4">
        <v>25.08</v>
      </c>
      <c r="H149" s="4">
        <v>66.78</v>
      </c>
      <c r="I149" s="4">
        <v>17.97</v>
      </c>
      <c r="J149" s="4">
        <v>19.84</v>
      </c>
      <c r="K149" s="4">
        <v>28.73</v>
      </c>
      <c r="L149" s="4">
        <v>13.78</v>
      </c>
      <c r="M149" s="4">
        <v>-12.89</v>
      </c>
      <c r="N149" s="4">
        <v>-35.979999999999997</v>
      </c>
      <c r="O149" s="6">
        <v>23.9</v>
      </c>
      <c r="P149" s="4">
        <v>13.12</v>
      </c>
      <c r="Q149" s="6">
        <v>-15.96</v>
      </c>
      <c r="R149" s="4">
        <v>20.84</v>
      </c>
      <c r="S149" s="4">
        <v>25</v>
      </c>
      <c r="T149" s="6">
        <v>43.61</v>
      </c>
      <c r="U149" s="6">
        <v>15.33</v>
      </c>
      <c r="V149" s="4">
        <v>19.25</v>
      </c>
      <c r="W149" s="6">
        <v>44.17</v>
      </c>
      <c r="X149" s="9">
        <v>0.70906976744186045</v>
      </c>
      <c r="Y149" s="8">
        <v>0.42577221390665398</v>
      </c>
      <c r="Z149" s="10">
        <v>-1.5174651651078451E-2</v>
      </c>
      <c r="AA149" s="8">
        <v>0.18577381529217951</v>
      </c>
    </row>
    <row r="150" spans="2:27" hidden="1" x14ac:dyDescent="0.3">
      <c r="B150" s="3" t="s">
        <v>324</v>
      </c>
      <c r="C150" s="3" t="s">
        <v>492</v>
      </c>
      <c r="D150" s="3" t="s">
        <v>552</v>
      </c>
      <c r="E150" s="3" t="s">
        <v>553</v>
      </c>
      <c r="F150" s="5">
        <v>16.399999999999999</v>
      </c>
      <c r="G150" s="3"/>
      <c r="H150" s="3"/>
      <c r="I150" s="3"/>
      <c r="J150" s="3"/>
      <c r="K150" s="3"/>
      <c r="L150" s="3"/>
      <c r="M150" s="3"/>
      <c r="N150" s="4">
        <v>7.75</v>
      </c>
      <c r="O150" s="4">
        <v>13.03</v>
      </c>
      <c r="P150" s="4">
        <v>8.7799999999999994</v>
      </c>
      <c r="Q150" s="4">
        <v>12.64</v>
      </c>
      <c r="R150" s="4">
        <v>2.02</v>
      </c>
      <c r="S150" s="4">
        <v>8.34</v>
      </c>
      <c r="T150" s="4">
        <v>6.06</v>
      </c>
      <c r="U150" s="4">
        <v>9.7799999999999994</v>
      </c>
      <c r="V150" s="6">
        <v>5.69</v>
      </c>
      <c r="W150" s="6">
        <v>13.25</v>
      </c>
      <c r="X150" s="7">
        <v>-8.5588420390182551E-2</v>
      </c>
      <c r="Y150" s="10">
        <v>-9.841706813489326E-2</v>
      </c>
      <c r="Z150" s="8">
        <v>0.1400763358778625</v>
      </c>
      <c r="AA150" s="8">
        <v>0.16437897556076339</v>
      </c>
    </row>
    <row r="151" spans="2:27" hidden="1" x14ac:dyDescent="0.3">
      <c r="B151" s="3" t="s">
        <v>223</v>
      </c>
      <c r="C151" s="3" t="s">
        <v>492</v>
      </c>
      <c r="D151" s="3" t="s">
        <v>562</v>
      </c>
      <c r="E151" s="3" t="s">
        <v>550</v>
      </c>
      <c r="F151" s="5">
        <v>16.2</v>
      </c>
      <c r="G151" s="4">
        <v>530</v>
      </c>
      <c r="H151" s="4">
        <v>89</v>
      </c>
      <c r="I151" s="4">
        <v>2039</v>
      </c>
      <c r="J151" s="4">
        <v>2211</v>
      </c>
      <c r="K151" s="4">
        <v>549</v>
      </c>
      <c r="L151" s="4">
        <v>26</v>
      </c>
      <c r="M151" s="4">
        <v>-615</v>
      </c>
      <c r="N151" s="4">
        <v>-198</v>
      </c>
      <c r="O151" s="4">
        <v>627</v>
      </c>
      <c r="P151" s="6">
        <v>-777</v>
      </c>
      <c r="Q151" s="4">
        <v>-594</v>
      </c>
      <c r="R151" s="4">
        <v>65</v>
      </c>
      <c r="S151" s="6">
        <v>218</v>
      </c>
      <c r="T151" s="4">
        <v>2447</v>
      </c>
      <c r="U151" s="6">
        <v>-333</v>
      </c>
      <c r="V151" s="4">
        <v>120</v>
      </c>
      <c r="W151" s="6">
        <v>615</v>
      </c>
      <c r="X151" s="7">
        <v>-2.9632352941176472</v>
      </c>
      <c r="Y151" s="8">
        <v>0.12219101123595499</v>
      </c>
      <c r="Z151" s="10">
        <v>2.2945348352106709E-2</v>
      </c>
      <c r="AA151" s="8">
        <v>0.1619086460032626</v>
      </c>
    </row>
    <row r="152" spans="2:27" hidden="1" x14ac:dyDescent="0.3">
      <c r="B152" s="3" t="s">
        <v>190</v>
      </c>
      <c r="C152" s="3" t="s">
        <v>492</v>
      </c>
      <c r="D152" s="3" t="s">
        <v>549</v>
      </c>
      <c r="E152" s="3" t="s">
        <v>550</v>
      </c>
      <c r="F152" s="5">
        <v>13</v>
      </c>
      <c r="G152" s="4">
        <v>22.44</v>
      </c>
      <c r="H152" s="4">
        <v>22.34</v>
      </c>
      <c r="I152" s="4">
        <v>23.99</v>
      </c>
      <c r="J152" s="4">
        <v>23.09</v>
      </c>
      <c r="K152" s="4">
        <v>20.91</v>
      </c>
      <c r="L152" s="4">
        <v>25.55</v>
      </c>
      <c r="M152" s="4">
        <v>25.38</v>
      </c>
      <c r="N152" s="4">
        <v>21.17</v>
      </c>
      <c r="O152" s="4">
        <v>7.62</v>
      </c>
      <c r="P152" s="4">
        <v>9.41</v>
      </c>
      <c r="Q152" s="4">
        <v>29.59</v>
      </c>
      <c r="R152" s="4">
        <v>-17.579999999999998</v>
      </c>
      <c r="S152" s="6">
        <v>27.43</v>
      </c>
      <c r="T152" s="6">
        <v>41.33</v>
      </c>
      <c r="U152" s="6">
        <v>38.520000000000003</v>
      </c>
      <c r="V152" s="6">
        <v>41.43</v>
      </c>
      <c r="W152" s="6">
        <v>46.69</v>
      </c>
      <c r="X152" s="9">
        <v>0.65342886386898646</v>
      </c>
      <c r="Y152" s="8">
        <v>0.1105608518014114</v>
      </c>
      <c r="Z152" s="8">
        <v>0.65785953177257528</v>
      </c>
      <c r="AA152" s="8">
        <v>0.12951381884204149</v>
      </c>
    </row>
    <row r="153" spans="2:27" hidden="1" x14ac:dyDescent="0.3">
      <c r="B153" s="3" t="s">
        <v>322</v>
      </c>
      <c r="C153" s="3" t="s">
        <v>492</v>
      </c>
      <c r="D153" s="3" t="s">
        <v>509</v>
      </c>
      <c r="E153" s="3" t="s">
        <v>550</v>
      </c>
      <c r="F153" s="5">
        <v>9.3000000000000007</v>
      </c>
      <c r="G153" s="4">
        <v>1.88</v>
      </c>
      <c r="H153" s="4">
        <v>2.14</v>
      </c>
      <c r="I153" s="4">
        <v>3.07</v>
      </c>
      <c r="J153" s="4">
        <v>2.85</v>
      </c>
      <c r="K153" s="6">
        <v>4.46</v>
      </c>
      <c r="L153" s="6">
        <v>5.09</v>
      </c>
      <c r="M153" s="6">
        <v>5.55</v>
      </c>
      <c r="N153" s="6">
        <v>6.98</v>
      </c>
      <c r="O153" s="6">
        <v>8.4499999999999993</v>
      </c>
      <c r="P153" s="6">
        <v>10.210000000000001</v>
      </c>
      <c r="Q153" s="6">
        <v>10.19</v>
      </c>
      <c r="R153" s="6">
        <v>11.73</v>
      </c>
      <c r="S153" s="4">
        <v>12.2</v>
      </c>
      <c r="T153" s="4">
        <v>12.8</v>
      </c>
      <c r="U153" s="6">
        <v>14.97</v>
      </c>
      <c r="V153" s="4">
        <v>16.75</v>
      </c>
      <c r="W153" s="4">
        <v>17.47</v>
      </c>
      <c r="X153" s="7">
        <v>5.8425445522219732E-2</v>
      </c>
      <c r="Y153" s="8">
        <v>0.1018755328218244</v>
      </c>
      <c r="Z153" s="10">
        <v>9.7098646034816216E-2</v>
      </c>
      <c r="AA153" s="10">
        <v>9.2912552891396327E-2</v>
      </c>
    </row>
    <row r="154" spans="2:27" hidden="1" x14ac:dyDescent="0.3">
      <c r="B154" s="3" t="s">
        <v>128</v>
      </c>
      <c r="C154" s="3" t="s">
        <v>492</v>
      </c>
      <c r="D154" s="3" t="s">
        <v>507</v>
      </c>
      <c r="E154" s="3" t="s">
        <v>550</v>
      </c>
      <c r="F154" s="5">
        <v>9.1</v>
      </c>
      <c r="G154" s="4">
        <v>51.62</v>
      </c>
      <c r="H154" s="4">
        <v>116.64</v>
      </c>
      <c r="I154" s="4">
        <v>83.24</v>
      </c>
      <c r="J154" s="4">
        <v>83.71</v>
      </c>
      <c r="K154" s="4">
        <v>82.61</v>
      </c>
      <c r="L154" s="4">
        <v>-48.08</v>
      </c>
      <c r="M154" s="4">
        <v>28.83</v>
      </c>
      <c r="N154" s="4">
        <v>77.849999999999994</v>
      </c>
      <c r="O154" s="4">
        <v>-17.579999999999998</v>
      </c>
      <c r="P154" s="6">
        <v>81.790000000000006</v>
      </c>
      <c r="Q154" s="6">
        <v>62.3</v>
      </c>
      <c r="R154" s="6">
        <v>276.35000000000002</v>
      </c>
      <c r="S154" s="6">
        <v>187.84</v>
      </c>
      <c r="T154" s="6">
        <v>163.46</v>
      </c>
      <c r="U154" s="6">
        <v>186.86</v>
      </c>
      <c r="V154" s="4">
        <v>213.58</v>
      </c>
      <c r="W154" s="4">
        <v>256.36</v>
      </c>
      <c r="X154" s="9">
        <v>0.13426382586966529</v>
      </c>
      <c r="Y154" s="8">
        <v>0.18053482136386689</v>
      </c>
      <c r="Z154" s="10">
        <v>-7.706473830892191E-2</v>
      </c>
      <c r="AA154" s="10">
        <v>9.1148535397876929E-2</v>
      </c>
    </row>
    <row r="155" spans="2:27" hidden="1" x14ac:dyDescent="0.3">
      <c r="B155" s="3" t="s">
        <v>138</v>
      </c>
      <c r="C155" s="3" t="s">
        <v>492</v>
      </c>
      <c r="D155" s="3" t="s">
        <v>506</v>
      </c>
      <c r="E155" s="3" t="s">
        <v>550</v>
      </c>
      <c r="F155" s="5">
        <v>8.5</v>
      </c>
      <c r="G155" s="4">
        <v>-65.34</v>
      </c>
      <c r="H155" s="4">
        <v>-32.19</v>
      </c>
      <c r="I155" s="4">
        <v>18.62</v>
      </c>
      <c r="J155" s="4">
        <v>-85.04</v>
      </c>
      <c r="K155" s="4">
        <v>-77.22</v>
      </c>
      <c r="L155" s="4">
        <v>55.98</v>
      </c>
      <c r="M155" s="6">
        <v>-20.75</v>
      </c>
      <c r="N155" s="4">
        <v>-39.119999999999997</v>
      </c>
      <c r="O155" s="4">
        <v>7.01</v>
      </c>
      <c r="P155" s="6">
        <v>155.56</v>
      </c>
      <c r="Q155" s="6">
        <v>12.15</v>
      </c>
      <c r="R155" s="6">
        <v>13.6</v>
      </c>
      <c r="S155" s="4">
        <v>-9.18</v>
      </c>
      <c r="T155" s="4">
        <v>144.22999999999999</v>
      </c>
      <c r="U155" s="6">
        <v>127</v>
      </c>
      <c r="V155" s="4">
        <v>17.239999999999998</v>
      </c>
      <c r="W155" s="4">
        <v>14.46</v>
      </c>
      <c r="X155" s="7">
        <v>-6.5822343577528697E-2</v>
      </c>
      <c r="Y155" s="8">
        <v>0.71424129353233834</v>
      </c>
      <c r="Z155" s="10">
        <v>1.320515146018497E-2</v>
      </c>
      <c r="AA155" s="10">
        <v>8.4643202406101459E-2</v>
      </c>
    </row>
    <row r="156" spans="2:27" hidden="1" x14ac:dyDescent="0.3">
      <c r="B156" s="3" t="s">
        <v>33</v>
      </c>
      <c r="C156" s="3" t="s">
        <v>492</v>
      </c>
      <c r="D156" s="3" t="s">
        <v>512</v>
      </c>
      <c r="E156" s="3" t="s">
        <v>550</v>
      </c>
      <c r="F156" s="5">
        <v>6.8</v>
      </c>
      <c r="G156" s="4">
        <v>75</v>
      </c>
      <c r="H156" s="4">
        <v>-9</v>
      </c>
      <c r="I156" s="4">
        <v>-6</v>
      </c>
      <c r="J156" s="4">
        <v>-194</v>
      </c>
      <c r="K156" s="6">
        <v>-228</v>
      </c>
      <c r="L156" s="6">
        <v>-231</v>
      </c>
      <c r="M156" s="6">
        <v>-156</v>
      </c>
      <c r="N156" s="4">
        <v>-201</v>
      </c>
      <c r="O156" s="4">
        <v>32</v>
      </c>
      <c r="P156" s="4">
        <v>243</v>
      </c>
      <c r="Q156" s="4">
        <v>168</v>
      </c>
      <c r="R156" s="6">
        <v>266</v>
      </c>
      <c r="S156" s="6">
        <v>454</v>
      </c>
      <c r="T156" s="6">
        <v>520</v>
      </c>
      <c r="U156" s="6">
        <v>509</v>
      </c>
      <c r="V156" s="4">
        <v>406</v>
      </c>
      <c r="W156" s="4">
        <v>582</v>
      </c>
      <c r="X156" s="9">
        <v>0.24491600353669329</v>
      </c>
      <c r="Y156" s="8">
        <v>0.2421875</v>
      </c>
      <c r="Z156" s="10">
        <v>8.0045740423098977E-2</v>
      </c>
      <c r="AA156" s="10">
        <v>6.776071995764954E-2</v>
      </c>
    </row>
    <row r="157" spans="2:27" hidden="1" x14ac:dyDescent="0.3">
      <c r="B157" s="3" t="s">
        <v>188</v>
      </c>
      <c r="C157" s="3" t="s">
        <v>492</v>
      </c>
      <c r="D157" s="3" t="s">
        <v>507</v>
      </c>
      <c r="E157" s="3" t="s">
        <v>550</v>
      </c>
      <c r="F157" s="5">
        <v>4.8</v>
      </c>
      <c r="G157" s="4">
        <v>-128.85</v>
      </c>
      <c r="H157" s="4">
        <v>-145.69999999999999</v>
      </c>
      <c r="I157" s="4">
        <v>-175.97</v>
      </c>
      <c r="J157" s="4">
        <v>-183.26</v>
      </c>
      <c r="K157" s="4">
        <v>-182.39</v>
      </c>
      <c r="L157" s="4">
        <v>-131.54</v>
      </c>
      <c r="M157" s="4">
        <v>-64.489999999999995</v>
      </c>
      <c r="N157" s="4">
        <v>-95.22</v>
      </c>
      <c r="O157" s="4">
        <v>-132.41</v>
      </c>
      <c r="P157" s="4">
        <v>69.58</v>
      </c>
      <c r="Q157" s="6">
        <v>-140.59</v>
      </c>
      <c r="R157" s="6">
        <v>-151.26</v>
      </c>
      <c r="S157" s="4">
        <v>-110.13</v>
      </c>
      <c r="T157" s="6">
        <v>-64.59</v>
      </c>
      <c r="U157" s="4">
        <v>-148.41999999999999</v>
      </c>
      <c r="V157" s="4">
        <v>-133.07</v>
      </c>
      <c r="W157" s="4">
        <v>-132.06</v>
      </c>
      <c r="X157" s="9">
        <v>0.40364019253910949</v>
      </c>
      <c r="Y157" s="10">
        <v>1.6782047709882789E-2</v>
      </c>
      <c r="Z157" s="10">
        <v>-3.8343170320404678E-2</v>
      </c>
      <c r="AA157" s="10">
        <v>4.8069967777996991E-2</v>
      </c>
    </row>
    <row r="158" spans="2:27" hidden="1" x14ac:dyDescent="0.3">
      <c r="B158" s="3" t="s">
        <v>14</v>
      </c>
      <c r="C158" s="3" t="s">
        <v>492</v>
      </c>
      <c r="D158" s="3" t="s">
        <v>529</v>
      </c>
      <c r="E158" s="3" t="s">
        <v>550</v>
      </c>
      <c r="F158" s="5">
        <v>3.1</v>
      </c>
      <c r="G158" s="4">
        <v>3732</v>
      </c>
      <c r="H158" s="4">
        <v>2859</v>
      </c>
      <c r="I158" s="4">
        <v>2915</v>
      </c>
      <c r="J158" s="4">
        <v>2359</v>
      </c>
      <c r="K158" s="4">
        <v>3315</v>
      </c>
      <c r="L158" s="4">
        <v>2385</v>
      </c>
      <c r="M158" s="4">
        <v>2182</v>
      </c>
      <c r="N158" s="4">
        <v>1909</v>
      </c>
      <c r="O158" s="4">
        <v>2711</v>
      </c>
      <c r="P158" s="4">
        <v>2472</v>
      </c>
      <c r="Q158" s="4">
        <v>2302</v>
      </c>
      <c r="R158" s="4">
        <v>2693</v>
      </c>
      <c r="S158" s="4">
        <v>3176</v>
      </c>
      <c r="T158" s="4">
        <v>2515</v>
      </c>
      <c r="U158" s="4">
        <v>2566</v>
      </c>
      <c r="V158" s="4">
        <v>2773</v>
      </c>
      <c r="W158" s="4">
        <v>3514</v>
      </c>
      <c r="X158" s="7">
        <v>4.0402142253124218E-3</v>
      </c>
      <c r="Y158" s="10">
        <v>2.4705221785513709E-2</v>
      </c>
      <c r="Z158" s="10">
        <v>7.3059360730594047E-3</v>
      </c>
      <c r="AA158" s="10">
        <v>3.0643699002719901E-2</v>
      </c>
    </row>
    <row r="159" spans="2:27" hidden="1" x14ac:dyDescent="0.3">
      <c r="B159" s="3" t="s">
        <v>76</v>
      </c>
      <c r="C159" s="3" t="s">
        <v>492</v>
      </c>
      <c r="D159" s="3" t="s">
        <v>555</v>
      </c>
      <c r="E159" s="3" t="s">
        <v>550</v>
      </c>
      <c r="F159" s="5">
        <v>1.9</v>
      </c>
      <c r="G159" s="4">
        <v>354</v>
      </c>
      <c r="H159" s="4">
        <v>559</v>
      </c>
      <c r="I159" s="4">
        <v>354</v>
      </c>
      <c r="J159" s="4">
        <v>0</v>
      </c>
      <c r="K159" s="6">
        <v>486</v>
      </c>
      <c r="L159" s="4">
        <v>538</v>
      </c>
      <c r="M159" s="4">
        <v>411</v>
      </c>
      <c r="N159" s="6">
        <v>438</v>
      </c>
      <c r="O159" s="4">
        <v>579</v>
      </c>
      <c r="P159" s="4">
        <v>579</v>
      </c>
      <c r="Q159" s="4">
        <v>514</v>
      </c>
      <c r="R159" s="4">
        <v>544</v>
      </c>
      <c r="S159" s="4">
        <v>606</v>
      </c>
      <c r="T159" s="4">
        <v>652</v>
      </c>
      <c r="U159" s="4">
        <v>483</v>
      </c>
      <c r="V159" s="4">
        <v>528</v>
      </c>
      <c r="W159" s="4">
        <v>648</v>
      </c>
      <c r="X159" s="7">
        <v>3.2545697726259482E-2</v>
      </c>
      <c r="Y159" s="10">
        <v>-1.3385146804835929E-2</v>
      </c>
      <c r="Z159" s="10">
        <v>-7.0021881838074904E-3</v>
      </c>
      <c r="AA159" s="10">
        <v>1.8510356985456111E-2</v>
      </c>
    </row>
    <row r="160" spans="2:27" hidden="1" x14ac:dyDescent="0.3">
      <c r="B160" s="3" t="s">
        <v>105</v>
      </c>
      <c r="C160" s="3" t="s">
        <v>492</v>
      </c>
      <c r="D160" s="3" t="s">
        <v>556</v>
      </c>
      <c r="E160" s="3" t="s">
        <v>550</v>
      </c>
      <c r="F160" s="5">
        <v>1.3</v>
      </c>
      <c r="G160" s="4">
        <v>541.6</v>
      </c>
      <c r="H160" s="4">
        <v>587.20000000000005</v>
      </c>
      <c r="I160" s="4">
        <v>466.4</v>
      </c>
      <c r="J160" s="4">
        <v>541.6</v>
      </c>
      <c r="K160" s="4">
        <v>546</v>
      </c>
      <c r="L160" s="4">
        <v>606.9</v>
      </c>
      <c r="M160" s="4">
        <v>346.5</v>
      </c>
      <c r="N160" s="4">
        <v>544.20000000000005</v>
      </c>
      <c r="O160" s="4">
        <v>560.79999999999995</v>
      </c>
      <c r="P160" s="4">
        <v>538.4</v>
      </c>
      <c r="Q160" s="4">
        <v>478.9</v>
      </c>
      <c r="R160" s="4">
        <v>568.1</v>
      </c>
      <c r="S160" s="4">
        <v>600.1</v>
      </c>
      <c r="T160" s="4">
        <v>649.6</v>
      </c>
      <c r="U160" s="4">
        <v>486.4</v>
      </c>
      <c r="V160" s="4">
        <v>594</v>
      </c>
      <c r="W160" s="4">
        <v>629.5</v>
      </c>
      <c r="X160" s="7">
        <v>5.0880805307709893E-2</v>
      </c>
      <c r="Y160" s="10">
        <v>3.2655549266338291E-3</v>
      </c>
      <c r="Z160" s="10">
        <v>1.1240343720163141E-2</v>
      </c>
      <c r="AA160" s="10">
        <v>1.261748422814479E-2</v>
      </c>
    </row>
    <row r="161" spans="2:27" hidden="1" x14ac:dyDescent="0.3">
      <c r="B161" s="3" t="s">
        <v>411</v>
      </c>
      <c r="C161" s="3" t="s">
        <v>492</v>
      </c>
      <c r="D161" s="3" t="s">
        <v>561</v>
      </c>
      <c r="E161" s="3" t="s">
        <v>550</v>
      </c>
      <c r="F161" s="5">
        <v>-0.1</v>
      </c>
      <c r="G161" s="4">
        <v>62.6</v>
      </c>
      <c r="H161" s="4">
        <v>35.64</v>
      </c>
      <c r="I161" s="4">
        <v>45.07</v>
      </c>
      <c r="J161" s="4">
        <v>46.62</v>
      </c>
      <c r="K161" s="4">
        <v>47.03</v>
      </c>
      <c r="L161" s="6">
        <v>2095</v>
      </c>
      <c r="M161" s="6">
        <v>356.48</v>
      </c>
      <c r="N161" s="4">
        <v>252.23</v>
      </c>
      <c r="O161" s="4">
        <v>-31.35</v>
      </c>
      <c r="P161" s="4">
        <v>-94.17</v>
      </c>
      <c r="Q161" s="4">
        <v>-15.24</v>
      </c>
      <c r="R161" s="4">
        <v>-65.37</v>
      </c>
      <c r="S161" s="6">
        <v>-160.77000000000001</v>
      </c>
      <c r="T161" s="4">
        <v>-62.69</v>
      </c>
      <c r="U161" s="6">
        <v>-88.13</v>
      </c>
      <c r="V161" s="6">
        <v>-213.41</v>
      </c>
      <c r="W161" s="4">
        <v>-160.41</v>
      </c>
      <c r="X161" s="7">
        <v>-9.381612278348983E-2</v>
      </c>
      <c r="Y161" s="8">
        <v>0.23971453941526641</v>
      </c>
      <c r="Z161" s="8">
        <v>0.39272071307300499</v>
      </c>
      <c r="AA161" s="10">
        <v>-6.857142857142895E-4</v>
      </c>
    </row>
    <row r="162" spans="2:27" hidden="1" x14ac:dyDescent="0.3">
      <c r="B162" s="3" t="s">
        <v>335</v>
      </c>
      <c r="C162" s="3" t="s">
        <v>492</v>
      </c>
      <c r="D162" s="3" t="s">
        <v>560</v>
      </c>
      <c r="E162" s="3" t="s">
        <v>550</v>
      </c>
      <c r="F162" s="5">
        <v>-2.9</v>
      </c>
      <c r="G162" s="4">
        <v>48.26</v>
      </c>
      <c r="H162" s="4">
        <v>38.54</v>
      </c>
      <c r="I162" s="4">
        <v>18.670000000000002</v>
      </c>
      <c r="J162" s="4">
        <v>47.07</v>
      </c>
      <c r="K162" s="6">
        <v>101.65</v>
      </c>
      <c r="L162" s="4">
        <v>32.72</v>
      </c>
      <c r="M162" s="6">
        <v>48.2</v>
      </c>
      <c r="N162" s="4">
        <v>-8.51</v>
      </c>
      <c r="O162" s="4">
        <v>49.84</v>
      </c>
      <c r="P162" s="6">
        <v>47.13</v>
      </c>
      <c r="Q162" s="4">
        <v>-108.49</v>
      </c>
      <c r="R162" s="4">
        <v>30.14</v>
      </c>
      <c r="S162" s="4">
        <v>33.9</v>
      </c>
      <c r="T162" s="4">
        <v>33.22</v>
      </c>
      <c r="U162" s="4">
        <v>23.37</v>
      </c>
      <c r="V162" s="4">
        <v>29.23</v>
      </c>
      <c r="W162" s="4">
        <v>30.46</v>
      </c>
      <c r="X162" s="7">
        <v>-5.1902985074626748</v>
      </c>
      <c r="Y162" s="10">
        <v>-11.741763134461269</v>
      </c>
      <c r="Z162" s="10">
        <v>-7.5437287573572043E-3</v>
      </c>
      <c r="AA162" s="10">
        <v>-2.8733711994654128E-2</v>
      </c>
    </row>
    <row r="163" spans="2:27" hidden="1" x14ac:dyDescent="0.3">
      <c r="B163" s="3" t="s">
        <v>152</v>
      </c>
      <c r="C163" s="3" t="s">
        <v>492</v>
      </c>
      <c r="D163" s="3" t="s">
        <v>563</v>
      </c>
      <c r="E163" s="3" t="s">
        <v>550</v>
      </c>
      <c r="F163" s="5">
        <v>-4.0999999999999996</v>
      </c>
      <c r="G163" s="4">
        <v>149</v>
      </c>
      <c r="H163" s="4">
        <v>177</v>
      </c>
      <c r="I163" s="4">
        <v>205</v>
      </c>
      <c r="J163" s="4">
        <v>189</v>
      </c>
      <c r="K163" s="4">
        <v>205</v>
      </c>
      <c r="L163" s="4">
        <v>194</v>
      </c>
      <c r="M163" s="4">
        <v>232</v>
      </c>
      <c r="N163" s="4">
        <v>244</v>
      </c>
      <c r="O163" s="4">
        <v>224</v>
      </c>
      <c r="P163" s="4">
        <v>227</v>
      </c>
      <c r="Q163" s="4">
        <v>249</v>
      </c>
      <c r="R163" s="4">
        <v>265</v>
      </c>
      <c r="S163" s="4">
        <v>260</v>
      </c>
      <c r="T163" s="4">
        <v>242</v>
      </c>
      <c r="U163" s="4">
        <v>249</v>
      </c>
      <c r="V163" s="4">
        <v>272</v>
      </c>
      <c r="W163" s="4">
        <v>218</v>
      </c>
      <c r="X163" s="7">
        <v>1.4985014985015029E-2</v>
      </c>
      <c r="Y163" s="10">
        <v>0</v>
      </c>
      <c r="Z163" s="10">
        <v>6.8897637795275468E-3</v>
      </c>
      <c r="AA163" s="10">
        <v>-4.1055718475073277E-2</v>
      </c>
    </row>
    <row r="164" spans="2:27" hidden="1" x14ac:dyDescent="0.3">
      <c r="B164" s="3" t="s">
        <v>329</v>
      </c>
      <c r="C164" s="3" t="s">
        <v>492</v>
      </c>
      <c r="D164" s="3" t="s">
        <v>559</v>
      </c>
      <c r="E164" s="3" t="s">
        <v>550</v>
      </c>
      <c r="F164" s="5">
        <v>-8.4</v>
      </c>
      <c r="G164" s="4">
        <v>63.5</v>
      </c>
      <c r="H164" s="4">
        <v>46.7</v>
      </c>
      <c r="I164" s="4">
        <v>62</v>
      </c>
      <c r="J164" s="4">
        <v>79.900000000000006</v>
      </c>
      <c r="K164" s="4">
        <v>84.8</v>
      </c>
      <c r="L164" s="4">
        <v>64.900000000000006</v>
      </c>
      <c r="M164" s="4">
        <v>67</v>
      </c>
      <c r="N164" s="4">
        <v>88.4</v>
      </c>
      <c r="O164" s="4">
        <v>91.6</v>
      </c>
      <c r="P164" s="4">
        <v>51.4</v>
      </c>
      <c r="Q164" s="4">
        <v>62.8</v>
      </c>
      <c r="R164" s="4">
        <v>84.6</v>
      </c>
      <c r="S164" s="4">
        <v>80</v>
      </c>
      <c r="T164" s="4">
        <v>47.5</v>
      </c>
      <c r="U164" s="4">
        <v>43</v>
      </c>
      <c r="V164" s="4">
        <v>75.599999999999994</v>
      </c>
      <c r="W164" s="4">
        <v>59.4</v>
      </c>
      <c r="X164" s="7">
        <v>-1.3988522238163711E-2</v>
      </c>
      <c r="Y164" s="10">
        <v>-7.2026191342306256E-2</v>
      </c>
      <c r="Z164" s="10">
        <v>-3.5280282242257988E-2</v>
      </c>
      <c r="AA164" s="10">
        <v>-8.3705810646078849E-2</v>
      </c>
    </row>
    <row r="165" spans="2:27" hidden="1" x14ac:dyDescent="0.3">
      <c r="B165" s="3" t="s">
        <v>407</v>
      </c>
      <c r="C165" s="3" t="s">
        <v>492</v>
      </c>
      <c r="D165" s="3" t="s">
        <v>507</v>
      </c>
      <c r="E165" s="3" t="s">
        <v>550</v>
      </c>
      <c r="F165" s="5">
        <v>-13.9</v>
      </c>
      <c r="G165" s="4">
        <v>-47.3</v>
      </c>
      <c r="H165" s="4">
        <v>-47.5</v>
      </c>
      <c r="I165" s="4">
        <v>-57.7</v>
      </c>
      <c r="J165" s="4">
        <v>-65.8</v>
      </c>
      <c r="K165" s="4">
        <v>-64.3</v>
      </c>
      <c r="L165" s="6">
        <v>-75.599999999999994</v>
      </c>
      <c r="M165" s="6">
        <v>-87.7</v>
      </c>
      <c r="N165" s="4">
        <v>-74.599999999999994</v>
      </c>
      <c r="O165" s="4">
        <v>-73.900000000000006</v>
      </c>
      <c r="P165" s="6">
        <v>-165.3</v>
      </c>
      <c r="Q165" s="4">
        <v>-83.3</v>
      </c>
      <c r="R165" s="4">
        <v>-48.5</v>
      </c>
      <c r="S165" s="4">
        <v>-60.3</v>
      </c>
      <c r="T165" s="4">
        <v>-58.2</v>
      </c>
      <c r="U165" s="4">
        <v>71.400000000000006</v>
      </c>
      <c r="V165" s="6">
        <v>-70.5</v>
      </c>
      <c r="W165" s="4">
        <v>-44</v>
      </c>
      <c r="X165" s="7">
        <v>-0.29966424174594292</v>
      </c>
      <c r="Y165" s="10">
        <v>-0.61805833000399524</v>
      </c>
      <c r="Z165" s="8">
        <v>0.23012552301255229</v>
      </c>
      <c r="AA165" s="10">
        <v>-0.13860544217687079</v>
      </c>
    </row>
    <row r="166" spans="2:27" hidden="1" x14ac:dyDescent="0.3">
      <c r="B166" s="3" t="s">
        <v>359</v>
      </c>
      <c r="C166" s="3" t="s">
        <v>492</v>
      </c>
      <c r="D166" s="3" t="s">
        <v>554</v>
      </c>
      <c r="E166" s="3" t="s">
        <v>550</v>
      </c>
      <c r="F166" s="5">
        <v>-23</v>
      </c>
      <c r="G166" s="4">
        <v>7.8</v>
      </c>
      <c r="H166" s="4">
        <v>7.38</v>
      </c>
      <c r="I166" s="4">
        <v>12.16</v>
      </c>
      <c r="J166" s="4">
        <v>17.09</v>
      </c>
      <c r="K166" s="6">
        <v>13.75</v>
      </c>
      <c r="L166" s="4">
        <v>1.3</v>
      </c>
      <c r="M166" s="4">
        <v>2.85</v>
      </c>
      <c r="N166" s="4">
        <v>8.65</v>
      </c>
      <c r="O166" s="4">
        <v>6.35</v>
      </c>
      <c r="P166" s="6">
        <v>11.86</v>
      </c>
      <c r="Q166" s="4">
        <v>-2.2200000000000002</v>
      </c>
      <c r="R166" s="6">
        <v>11.96</v>
      </c>
      <c r="S166" s="4">
        <v>5.75</v>
      </c>
      <c r="T166" s="4">
        <v>-27.85</v>
      </c>
      <c r="U166" s="6">
        <v>-34.68</v>
      </c>
      <c r="V166" s="6">
        <v>-24.66</v>
      </c>
      <c r="W166" s="4">
        <v>24.5</v>
      </c>
      <c r="X166" s="7">
        <v>-1.4519195612431439</v>
      </c>
      <c r="Y166" s="8">
        <v>2.6262135922330092</v>
      </c>
      <c r="Z166" s="8">
        <v>0.8170459616242749</v>
      </c>
      <c r="AA166" s="10">
        <v>-0.23023084479371311</v>
      </c>
    </row>
    <row r="167" spans="2:27" hidden="1" x14ac:dyDescent="0.3">
      <c r="B167" s="3" t="s">
        <v>326</v>
      </c>
      <c r="C167" s="3" t="s">
        <v>492</v>
      </c>
      <c r="D167" s="3" t="s">
        <v>557</v>
      </c>
      <c r="E167" s="3" t="s">
        <v>550</v>
      </c>
      <c r="F167" s="5">
        <v>-55.3</v>
      </c>
      <c r="G167" s="4">
        <v>39.6</v>
      </c>
      <c r="H167" s="4">
        <v>14.68</v>
      </c>
      <c r="I167" s="4">
        <v>98.4</v>
      </c>
      <c r="J167" s="4">
        <v>48.35</v>
      </c>
      <c r="K167" s="4">
        <v>52.63</v>
      </c>
      <c r="L167" s="6">
        <v>50.86</v>
      </c>
      <c r="M167" s="4">
        <v>121</v>
      </c>
      <c r="N167" s="4">
        <v>16</v>
      </c>
      <c r="O167" s="4">
        <v>59</v>
      </c>
      <c r="P167" s="4">
        <v>23</v>
      </c>
      <c r="Q167" s="4">
        <v>108</v>
      </c>
      <c r="R167" s="4">
        <v>23</v>
      </c>
      <c r="S167" s="4">
        <v>1</v>
      </c>
      <c r="T167" s="4">
        <v>-15</v>
      </c>
      <c r="U167" s="4">
        <v>68</v>
      </c>
      <c r="V167" s="4">
        <v>-7</v>
      </c>
      <c r="W167" s="4">
        <v>-25</v>
      </c>
      <c r="X167" s="7">
        <v>-0.24516129032258061</v>
      </c>
      <c r="Y167" s="10">
        <v>-0.34188034188034189</v>
      </c>
      <c r="Z167" s="10">
        <v>-0.38961038961038957</v>
      </c>
      <c r="AA167" s="10">
        <v>-0.55319148936170215</v>
      </c>
    </row>
    <row r="168" spans="2:27" hidden="1" x14ac:dyDescent="0.3">
      <c r="B168" s="3" t="s">
        <v>144</v>
      </c>
      <c r="C168" s="3" t="s">
        <v>492</v>
      </c>
      <c r="D168" s="3" t="s">
        <v>506</v>
      </c>
      <c r="E168" s="3" t="s">
        <v>550</v>
      </c>
      <c r="F168" s="5">
        <v>-107.2</v>
      </c>
      <c r="G168" s="4">
        <v>-205.04</v>
      </c>
      <c r="H168" s="4">
        <v>-273.62</v>
      </c>
      <c r="I168" s="4">
        <v>-199.34</v>
      </c>
      <c r="J168" s="4">
        <v>-373.18</v>
      </c>
      <c r="K168" s="4">
        <v>-290.38</v>
      </c>
      <c r="L168" s="6">
        <v>-475.77</v>
      </c>
      <c r="M168" s="4">
        <v>-192.31</v>
      </c>
      <c r="N168" s="4">
        <v>-95.22</v>
      </c>
      <c r="O168" s="4">
        <v>-40.18</v>
      </c>
      <c r="P168" s="4">
        <v>-60.15</v>
      </c>
      <c r="Q168" s="4">
        <v>-62.95</v>
      </c>
      <c r="R168" s="4">
        <v>-27.23</v>
      </c>
      <c r="S168" s="4">
        <v>-22.49</v>
      </c>
      <c r="T168" s="4">
        <v>-0.46</v>
      </c>
      <c r="U168" s="4">
        <v>-28.85</v>
      </c>
      <c r="V168" s="4">
        <v>2.4300000000000002</v>
      </c>
      <c r="W168" s="4">
        <v>30.45</v>
      </c>
      <c r="X168" s="7">
        <v>-0.34538826524707789</v>
      </c>
      <c r="Y168" s="10">
        <v>-0.30142314151860677</v>
      </c>
      <c r="Z168" s="10">
        <v>-0.37530051879033283</v>
      </c>
      <c r="AA168" s="10">
        <v>-1.072311120113429</v>
      </c>
    </row>
    <row r="169" spans="2:27" hidden="1" x14ac:dyDescent="0.3">
      <c r="B169" s="3" t="s">
        <v>210</v>
      </c>
      <c r="C169" s="3" t="s">
        <v>492</v>
      </c>
      <c r="D169" s="3" t="s">
        <v>551</v>
      </c>
      <c r="E169" s="3" t="s">
        <v>550</v>
      </c>
      <c r="F169" s="5">
        <v>-397.1</v>
      </c>
      <c r="G169" s="4">
        <v>28.87</v>
      </c>
      <c r="H169" s="4">
        <v>60.89</v>
      </c>
      <c r="I169" s="4">
        <v>35.79</v>
      </c>
      <c r="J169" s="4">
        <v>-29.79</v>
      </c>
      <c r="K169" s="4">
        <v>-55.04</v>
      </c>
      <c r="L169" s="4">
        <v>-53.98</v>
      </c>
      <c r="M169" s="6">
        <v>-124.7</v>
      </c>
      <c r="N169" s="4">
        <v>-29.06</v>
      </c>
      <c r="O169" s="4">
        <v>-34.43</v>
      </c>
      <c r="P169" s="4">
        <v>-33.44</v>
      </c>
      <c r="Q169" s="4">
        <v>-56.75</v>
      </c>
      <c r="R169" s="4">
        <v>-44.02</v>
      </c>
      <c r="S169" s="4">
        <v>-34.33</v>
      </c>
      <c r="T169" s="4">
        <v>2.68</v>
      </c>
      <c r="U169" s="4">
        <v>2.52</v>
      </c>
      <c r="V169" s="4">
        <v>12.31</v>
      </c>
      <c r="W169" s="4">
        <v>32.46</v>
      </c>
      <c r="X169" s="7">
        <v>-0.21431114275542909</v>
      </c>
      <c r="Y169" s="10">
        <v>-0.44759099833861948</v>
      </c>
      <c r="Z169" s="10">
        <v>-0.77006151742993856</v>
      </c>
      <c r="AA169" s="10">
        <v>-3.9708680142687278</v>
      </c>
    </row>
    <row r="170" spans="2:27" hidden="1" x14ac:dyDescent="0.3">
      <c r="B170" s="3" t="s">
        <v>373</v>
      </c>
      <c r="C170" s="3" t="s">
        <v>492</v>
      </c>
      <c r="D170" s="3" t="s">
        <v>558</v>
      </c>
      <c r="E170" s="3" t="s">
        <v>550</v>
      </c>
      <c r="F170" s="5">
        <v>-1500</v>
      </c>
      <c r="G170" s="4">
        <v>0.35</v>
      </c>
      <c r="H170" s="4">
        <v>0.98</v>
      </c>
      <c r="I170" s="4">
        <v>0.75</v>
      </c>
      <c r="J170" s="4">
        <v>0.94</v>
      </c>
      <c r="K170" s="6">
        <v>0.7</v>
      </c>
      <c r="L170" s="4">
        <v>0.85</v>
      </c>
      <c r="M170" s="4">
        <v>0.37</v>
      </c>
      <c r="N170" s="4">
        <v>0.53</v>
      </c>
      <c r="O170" s="4">
        <v>0.37</v>
      </c>
      <c r="P170" s="4">
        <v>1.06</v>
      </c>
      <c r="Q170" s="4">
        <v>0.26</v>
      </c>
      <c r="R170" s="4">
        <v>0.56999999999999995</v>
      </c>
      <c r="S170" s="4">
        <v>-0.55000000000000004</v>
      </c>
      <c r="T170" s="6">
        <v>1.5</v>
      </c>
      <c r="U170" s="4">
        <v>-0.87</v>
      </c>
      <c r="V170" s="4">
        <v>-0.12</v>
      </c>
      <c r="W170" s="4">
        <v>0.05</v>
      </c>
      <c r="X170" s="9">
        <v>0.32835820895522388</v>
      </c>
      <c r="Y170" s="10">
        <v>-0.6348314606741573</v>
      </c>
      <c r="Z170" s="10">
        <v>-1.061538461538462</v>
      </c>
      <c r="AA170" s="10">
        <v>-14.999999999999989</v>
      </c>
    </row>
    <row r="171" spans="2:27" hidden="1" x14ac:dyDescent="0.3">
      <c r="B171" s="3" t="s">
        <v>170</v>
      </c>
      <c r="C171" s="3" t="s">
        <v>565</v>
      </c>
      <c r="D171" s="3" t="s">
        <v>535</v>
      </c>
      <c r="E171" s="3" t="s">
        <v>553</v>
      </c>
      <c r="F171" s="5">
        <v>10.8</v>
      </c>
      <c r="G171" s="3"/>
      <c r="H171" s="3"/>
      <c r="I171" s="3"/>
      <c r="J171" s="3"/>
      <c r="K171" s="3"/>
      <c r="L171" s="3"/>
      <c r="M171" s="3"/>
      <c r="N171" s="4">
        <v>256.44</v>
      </c>
      <c r="O171" s="4">
        <v>233.64</v>
      </c>
      <c r="P171" s="4">
        <v>236.75</v>
      </c>
      <c r="Q171" s="4">
        <v>226.24</v>
      </c>
      <c r="R171" s="4">
        <v>256.32</v>
      </c>
      <c r="S171" s="4">
        <v>237.44</v>
      </c>
      <c r="T171" s="4">
        <v>263.32</v>
      </c>
      <c r="U171" s="4">
        <v>254.76</v>
      </c>
      <c r="V171" s="4">
        <v>295.89</v>
      </c>
      <c r="W171" s="6">
        <v>350.72</v>
      </c>
      <c r="X171" s="7">
        <v>2.7771100078390228E-2</v>
      </c>
      <c r="Y171" s="10">
        <v>2.9003783102143691E-2</v>
      </c>
      <c r="Z171" s="10">
        <v>3.9106973434535057E-2</v>
      </c>
      <c r="AA171" s="8">
        <v>0.1077410334693414</v>
      </c>
    </row>
    <row r="172" spans="2:27" hidden="1" x14ac:dyDescent="0.3">
      <c r="B172" s="3" t="s">
        <v>371</v>
      </c>
      <c r="C172" s="3" t="s">
        <v>565</v>
      </c>
      <c r="D172" s="3" t="s">
        <v>535</v>
      </c>
      <c r="E172" s="3" t="s">
        <v>553</v>
      </c>
      <c r="F172" s="5">
        <v>7.7</v>
      </c>
      <c r="G172" s="3"/>
      <c r="H172" s="3"/>
      <c r="I172" s="3"/>
      <c r="J172" s="3"/>
      <c r="K172" s="3"/>
      <c r="L172" s="3"/>
      <c r="M172" s="3"/>
      <c r="N172" s="4">
        <v>32.33</v>
      </c>
      <c r="O172" s="4">
        <v>56.24</v>
      </c>
      <c r="P172" s="4">
        <v>38.549999999999997</v>
      </c>
      <c r="Q172" s="4">
        <v>56.24</v>
      </c>
      <c r="R172" s="4">
        <v>40.86</v>
      </c>
      <c r="S172" s="4">
        <v>43.48</v>
      </c>
      <c r="T172" s="4">
        <v>39.04</v>
      </c>
      <c r="U172" s="4">
        <v>63.27</v>
      </c>
      <c r="V172" s="4">
        <v>54.18</v>
      </c>
      <c r="W172" s="4">
        <v>58.95</v>
      </c>
      <c r="X172" s="7">
        <v>2.7354435326298891E-3</v>
      </c>
      <c r="Y172" s="10">
        <v>3.9138180603496282E-2</v>
      </c>
      <c r="Z172" s="10">
        <v>7.136351459951773E-2</v>
      </c>
      <c r="AA172" s="10">
        <v>7.7361604240635984E-2</v>
      </c>
    </row>
    <row r="173" spans="2:27" hidden="1" x14ac:dyDescent="0.3">
      <c r="B173" s="3" t="s">
        <v>375</v>
      </c>
      <c r="C173" s="3" t="s">
        <v>546</v>
      </c>
      <c r="D173" s="3" t="s">
        <v>511</v>
      </c>
      <c r="E173" s="3" t="s">
        <v>550</v>
      </c>
      <c r="F173" s="5">
        <v>-12.5</v>
      </c>
      <c r="G173" s="3"/>
      <c r="H173" s="3"/>
      <c r="I173" s="4">
        <v>-0.94</v>
      </c>
      <c r="J173" s="4">
        <v>-0.71</v>
      </c>
      <c r="K173" s="4">
        <v>-0.43</v>
      </c>
      <c r="L173" s="4">
        <v>-4.53</v>
      </c>
      <c r="M173" s="4">
        <v>-0.91</v>
      </c>
      <c r="N173" s="6">
        <v>-5.36</v>
      </c>
      <c r="O173" s="6">
        <v>-1.85</v>
      </c>
      <c r="P173" s="6">
        <v>-12.16</v>
      </c>
      <c r="Q173" s="6">
        <v>-9.83</v>
      </c>
      <c r="R173" s="4">
        <v>-4.0999999999999996</v>
      </c>
      <c r="S173" s="4">
        <v>-3.2</v>
      </c>
      <c r="T173" s="4">
        <v>-1.84</v>
      </c>
      <c r="U173" s="4">
        <v>-5.92</v>
      </c>
      <c r="V173" s="4">
        <v>0.1</v>
      </c>
      <c r="W173" s="4">
        <v>-1.84</v>
      </c>
      <c r="X173" s="7">
        <v>-0.35233868214407649</v>
      </c>
      <c r="Y173" s="10">
        <v>-0.20611491829204001</v>
      </c>
      <c r="Z173" s="10">
        <v>-0.27888446215139451</v>
      </c>
      <c r="AA173" s="10">
        <v>-0.12523020257826881</v>
      </c>
    </row>
    <row r="174" spans="2:27" hidden="1" x14ac:dyDescent="0.3">
      <c r="B174" s="3" t="s">
        <v>162</v>
      </c>
      <c r="C174" s="3" t="s">
        <v>546</v>
      </c>
      <c r="D174" s="3" t="s">
        <v>566</v>
      </c>
      <c r="E174" s="3" t="s">
        <v>567</v>
      </c>
      <c r="F174" s="5">
        <v>-135.4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>
        <v>11.37</v>
      </c>
      <c r="S174" s="4">
        <v>25.2</v>
      </c>
      <c r="T174" s="4">
        <v>15.91</v>
      </c>
      <c r="U174" s="4">
        <v>-2.61</v>
      </c>
      <c r="V174" s="4">
        <v>-6.1</v>
      </c>
      <c r="W174" s="4">
        <v>-18.68</v>
      </c>
      <c r="X174" s="11"/>
      <c r="Y174" s="3"/>
      <c r="Z174" s="10">
        <v>-0.35031080810106269</v>
      </c>
      <c r="AA174" s="10">
        <v>-1.354320987654321</v>
      </c>
    </row>
  </sheetData>
  <autoFilter ref="B2:AA174" xr:uid="{00000000-0009-0000-0000-000002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47">
      <sortCondition descending="1" ref="C2:C174"/>
    </sortState>
  </autoFilter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6"/>
  <sheetViews>
    <sheetView workbookViewId="0">
      <selection activeCell="B2" sqref="B2:W14"/>
    </sheetView>
  </sheetViews>
  <sheetFormatPr defaultRowHeight="16.5" x14ac:dyDescent="0.3"/>
  <cols>
    <col min="1" max="1" width="3" customWidth="1"/>
    <col min="2" max="2" width="18" customWidth="1"/>
    <col min="3" max="7" width="10" hidden="1" customWidth="1"/>
    <col min="8" max="23" width="10" customWidth="1"/>
  </cols>
  <sheetData>
    <row r="2" spans="2:27" x14ac:dyDescent="0.3">
      <c r="B2" s="31" t="s">
        <v>574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2:27" x14ac:dyDescent="0.3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2:27" x14ac:dyDescent="0.3">
      <c r="B4" s="33">
        <v>7552</v>
      </c>
      <c r="C4" s="34">
        <v>6</v>
      </c>
      <c r="D4" s="34">
        <v>7</v>
      </c>
      <c r="E4" s="34">
        <v>8</v>
      </c>
      <c r="F4" s="34">
        <v>9</v>
      </c>
      <c r="G4" s="34">
        <v>10</v>
      </c>
      <c r="H4" s="34">
        <v>11</v>
      </c>
      <c r="I4" s="34">
        <v>12</v>
      </c>
      <c r="J4" s="34">
        <v>13</v>
      </c>
      <c r="K4" s="34">
        <v>14</v>
      </c>
      <c r="L4" s="34">
        <v>15</v>
      </c>
      <c r="M4" s="34">
        <v>16</v>
      </c>
      <c r="N4" s="34">
        <v>17</v>
      </c>
      <c r="O4" s="34">
        <v>18</v>
      </c>
      <c r="P4" s="34">
        <v>19</v>
      </c>
      <c r="Q4" s="34">
        <v>20</v>
      </c>
      <c r="R4" s="34">
        <v>21</v>
      </c>
      <c r="S4" s="34">
        <v>22</v>
      </c>
      <c r="Y4" s="3" t="s">
        <v>72</v>
      </c>
      <c r="Z4" s="3">
        <v>4911</v>
      </c>
      <c r="AA4" s="3" t="s">
        <v>172</v>
      </c>
    </row>
    <row r="5" spans="2:27" ht="14.25" customHeight="1" x14ac:dyDescent="0.3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Y5" s="3" t="s">
        <v>424</v>
      </c>
      <c r="Z5" s="3">
        <v>2607</v>
      </c>
      <c r="AA5" s="3" t="s">
        <v>277</v>
      </c>
    </row>
    <row r="6" spans="2:27" ht="18" customHeight="1" x14ac:dyDescent="0.3">
      <c r="B6" s="36"/>
      <c r="C6" s="37" t="s">
        <v>575</v>
      </c>
      <c r="D6" s="37" t="s">
        <v>576</v>
      </c>
      <c r="E6" s="37" t="s">
        <v>577</v>
      </c>
      <c r="F6" s="37" t="s">
        <v>578</v>
      </c>
      <c r="G6" s="37" t="s">
        <v>579</v>
      </c>
      <c r="H6" s="37" t="s">
        <v>480</v>
      </c>
      <c r="I6" s="37" t="s">
        <v>580</v>
      </c>
      <c r="J6" s="37" t="s">
        <v>581</v>
      </c>
      <c r="K6" s="37" t="s">
        <v>582</v>
      </c>
      <c r="L6" s="37" t="s">
        <v>484</v>
      </c>
      <c r="M6" s="37" t="s">
        <v>485</v>
      </c>
      <c r="N6" s="37" t="s">
        <v>486</v>
      </c>
      <c r="O6" s="37" t="s">
        <v>487</v>
      </c>
      <c r="P6" s="37" t="s">
        <v>488</v>
      </c>
      <c r="Q6" s="37" t="s">
        <v>489</v>
      </c>
      <c r="R6" s="37" t="s">
        <v>490</v>
      </c>
      <c r="S6" s="38" t="s">
        <v>491</v>
      </c>
      <c r="T6" s="37" t="s">
        <v>583</v>
      </c>
      <c r="U6" s="37" t="s">
        <v>584</v>
      </c>
      <c r="V6" s="37" t="s">
        <v>585</v>
      </c>
      <c r="W6" s="37" t="s">
        <v>586</v>
      </c>
      <c r="Y6" s="3" t="s">
        <v>340</v>
      </c>
      <c r="Z6" s="3">
        <v>6324</v>
      </c>
      <c r="AA6" s="3" t="s">
        <v>308</v>
      </c>
    </row>
    <row r="7" spans="2:27" x14ac:dyDescent="0.3">
      <c r="B7" s="39" t="s">
        <v>587</v>
      </c>
      <c r="C7" s="40">
        <f>VLOOKUP($B$4,Revenue!$B:$W,C4,FALSE)</f>
        <v>95299</v>
      </c>
      <c r="D7" s="40">
        <f>VLOOKUP($B$4,Revenue!$B:$W,D4,FALSE)</f>
        <v>61953</v>
      </c>
      <c r="E7" s="40">
        <f>VLOOKUP($B$4,Revenue!$B:$W,E4,FALSE)</f>
        <v>61680</v>
      </c>
      <c r="F7" s="40">
        <f>VLOOKUP($B$4,Revenue!$B:$W,F4,FALSE)</f>
        <v>78690</v>
      </c>
      <c r="G7" s="40">
        <f>VLOOKUP($B$4,Revenue!$B:$W,G4,FALSE)</f>
        <v>102014</v>
      </c>
      <c r="H7" s="40">
        <f>VLOOKUP($B$4,Revenue!$B:$W,H4,FALSE)</f>
        <v>64869</v>
      </c>
      <c r="I7" s="40">
        <f>VLOOKUP($B$4,Revenue!$B:$W,I4,FALSE)</f>
        <v>82299</v>
      </c>
      <c r="J7" s="40">
        <f>VLOOKUP($B$4,Revenue!$B:$W,J4,FALSE)</f>
        <v>78658</v>
      </c>
      <c r="K7" s="40">
        <f>VLOOKUP($B$4,Revenue!$B:$W,K4,FALSE)</f>
        <v>111435</v>
      </c>
      <c r="L7" s="40">
        <f>VLOOKUP($B$4,Revenue!$B:$W,L4,FALSE)</f>
        <v>78069</v>
      </c>
      <c r="M7" s="40">
        <f>VLOOKUP($B$4,Revenue!$B:$W,M4,FALSE)</f>
        <v>82358</v>
      </c>
      <c r="N7" s="40">
        <f>VLOOKUP($B$4,Revenue!$B:$W,N4,FALSE)</f>
        <v>86189</v>
      </c>
      <c r="O7" s="40">
        <f>VLOOKUP($B$4,Revenue!$B:$W,O4,FALSE)</f>
        <v>114633</v>
      </c>
      <c r="P7" s="40">
        <f>VLOOKUP($B$4,Revenue!$B:$W,P4,FALSE)</f>
        <v>81238</v>
      </c>
      <c r="Q7" s="40">
        <f>VLOOKUP($B$4,Revenue!$B:$W,Q4,FALSE)</f>
        <v>95927</v>
      </c>
      <c r="R7" s="40">
        <f>VLOOKUP($B$4,Revenue!$B:$W,R4,FALSE)</f>
        <v>100508</v>
      </c>
      <c r="S7" s="41">
        <f>VLOOKUP($B$4,Revenue!$B:$W,S4,FALSE)</f>
        <v>143065</v>
      </c>
      <c r="T7" s="40"/>
      <c r="U7" s="40"/>
      <c r="V7" s="40"/>
      <c r="W7" s="40"/>
      <c r="Y7" s="3" t="s">
        <v>124</v>
      </c>
      <c r="Z7" s="3">
        <v>5706</v>
      </c>
      <c r="AA7" s="3" t="s">
        <v>175</v>
      </c>
    </row>
    <row r="8" spans="2:27" x14ac:dyDescent="0.3">
      <c r="B8" s="39" t="s">
        <v>588</v>
      </c>
      <c r="C8" s="40">
        <f>VLOOKUP($B$4,'Operating Income'!$B:$W,C4,FALSE)</f>
        <v>2693</v>
      </c>
      <c r="D8" s="40">
        <f>VLOOKUP($B$4,'Operating Income'!$B:$W,D4,FALSE)</f>
        <v>282</v>
      </c>
      <c r="E8" s="40">
        <f>VLOOKUP($B$4,'Operating Income'!$B:$W,E4,FALSE)</f>
        <v>1149</v>
      </c>
      <c r="F8" s="40">
        <f>VLOOKUP($B$4,'Operating Income'!$B:$W,F4,FALSE)</f>
        <v>2130</v>
      </c>
      <c r="G8" s="40">
        <f>VLOOKUP($B$4,'Operating Income'!$B:$W,G4,FALSE)</f>
        <v>2695</v>
      </c>
      <c r="H8" s="40">
        <f>VLOOKUP($B$4,'Operating Income'!$B:$W,H4,FALSE)</f>
        <v>-130</v>
      </c>
      <c r="I8" s="40">
        <f>VLOOKUP($B$4,'Operating Income'!$B:$W,I4,FALSE)</f>
        <v>2181</v>
      </c>
      <c r="J8" s="40">
        <f>VLOOKUP($B$4,'Operating Income'!$B:$W,J4,FALSE)</f>
        <v>2547</v>
      </c>
      <c r="K8" s="40">
        <f>VLOOKUP($B$4,'Operating Income'!$B:$W,K4,FALSE)</f>
        <v>2987</v>
      </c>
      <c r="L8" s="40">
        <f>VLOOKUP($B$4,'Operating Income'!$B:$W,L4,FALSE)</f>
        <v>964</v>
      </c>
      <c r="M8" s="40">
        <f>VLOOKUP($B$4,'Operating Income'!$B:$W,M4,FALSE)</f>
        <v>3280</v>
      </c>
      <c r="N8" s="40">
        <f>VLOOKUP($B$4,'Operating Income'!$B:$W,N4,FALSE)</f>
        <v>3243</v>
      </c>
      <c r="O8" s="40">
        <f>VLOOKUP($B$4,'Operating Income'!$B:$W,O4,FALSE)</f>
        <v>3255</v>
      </c>
      <c r="P8" s="40">
        <f>VLOOKUP($B$4,'Operating Income'!$B:$W,P4,FALSE)</f>
        <v>1901</v>
      </c>
      <c r="Q8" s="40">
        <f>VLOOKUP($B$4,'Operating Income'!$B:$W,Q4,FALSE)</f>
        <v>3944</v>
      </c>
      <c r="R8" s="40">
        <f>VLOOKUP($B$4,'Operating Income'!$B:$W,R4,FALSE)</f>
        <v>4767</v>
      </c>
      <c r="S8" s="41">
        <f>VLOOKUP($B$4,'Operating Income'!$B:$W,S4,FALSE)</f>
        <v>4658</v>
      </c>
      <c r="T8" s="40"/>
      <c r="U8" s="40"/>
      <c r="V8" s="40"/>
      <c r="W8" s="40"/>
      <c r="Y8" s="3" t="s">
        <v>130</v>
      </c>
      <c r="Z8" s="3">
        <v>6395</v>
      </c>
      <c r="AA8" s="3" t="s">
        <v>387</v>
      </c>
    </row>
    <row r="9" spans="2:27" x14ac:dyDescent="0.3">
      <c r="B9" s="39" t="s">
        <v>589</v>
      </c>
      <c r="C9" s="40">
        <f>AVERAGE(C8:C8)</f>
        <v>2693</v>
      </c>
      <c r="D9" s="40">
        <f>AVERAGE(C8:D8)</f>
        <v>1487.5</v>
      </c>
      <c r="E9" s="40">
        <f>AVERAGE(C8:E8)</f>
        <v>1374.6666666666667</v>
      </c>
      <c r="F9" s="40">
        <f t="shared" ref="F9:R9" si="0">AVERAGE(C8:F8)</f>
        <v>1563.5</v>
      </c>
      <c r="G9" s="40">
        <f t="shared" si="0"/>
        <v>1564</v>
      </c>
      <c r="H9" s="40">
        <f t="shared" si="0"/>
        <v>1461</v>
      </c>
      <c r="I9" s="40">
        <f t="shared" si="0"/>
        <v>1719</v>
      </c>
      <c r="J9" s="40">
        <f>AVERAGE(G8:J8)</f>
        <v>1823.25</v>
      </c>
      <c r="K9" s="40">
        <f t="shared" si="0"/>
        <v>1896.25</v>
      </c>
      <c r="L9" s="40">
        <f t="shared" si="0"/>
        <v>2169.75</v>
      </c>
      <c r="M9" s="40">
        <f t="shared" si="0"/>
        <v>2444.5</v>
      </c>
      <c r="N9" s="40">
        <f t="shared" si="0"/>
        <v>2618.5</v>
      </c>
      <c r="O9" s="40">
        <f t="shared" si="0"/>
        <v>2685.5</v>
      </c>
      <c r="P9" s="40">
        <f t="shared" si="0"/>
        <v>2919.75</v>
      </c>
      <c r="Q9" s="40">
        <f t="shared" si="0"/>
        <v>3085.75</v>
      </c>
      <c r="R9" s="40">
        <f t="shared" si="0"/>
        <v>3466.75</v>
      </c>
      <c r="S9" s="41">
        <f>AVERAGE(P8:S8)</f>
        <v>3817.5</v>
      </c>
      <c r="T9" s="40"/>
      <c r="U9" s="40"/>
      <c r="V9" s="40"/>
      <c r="W9" s="40"/>
      <c r="Y9" s="3" t="s">
        <v>235</v>
      </c>
      <c r="Z9" s="3">
        <v>7003</v>
      </c>
      <c r="AA9" s="3" t="s">
        <v>225</v>
      </c>
    </row>
    <row r="10" spans="2:27" x14ac:dyDescent="0.3">
      <c r="B10" s="39" t="s">
        <v>590</v>
      </c>
      <c r="C10" s="40">
        <f>SUM(C8:C8)</f>
        <v>2693</v>
      </c>
      <c r="D10" s="40">
        <f>SUM(C8:D8)</f>
        <v>2975</v>
      </c>
      <c r="E10" s="40">
        <f>SUM(C8:E8)</f>
        <v>4124</v>
      </c>
      <c r="F10" s="40">
        <f t="shared" ref="F10:S10" si="1">SUM(C8:F8)</f>
        <v>6254</v>
      </c>
      <c r="G10" s="40">
        <f t="shared" si="1"/>
        <v>6256</v>
      </c>
      <c r="H10" s="40">
        <f t="shared" si="1"/>
        <v>5844</v>
      </c>
      <c r="I10" s="40">
        <f t="shared" si="1"/>
        <v>6876</v>
      </c>
      <c r="J10" s="40">
        <f t="shared" si="1"/>
        <v>7293</v>
      </c>
      <c r="K10" s="40">
        <f t="shared" si="1"/>
        <v>7585</v>
      </c>
      <c r="L10" s="40">
        <f t="shared" si="1"/>
        <v>8679</v>
      </c>
      <c r="M10" s="40">
        <f t="shared" si="1"/>
        <v>9778</v>
      </c>
      <c r="N10" s="40">
        <f t="shared" si="1"/>
        <v>10474</v>
      </c>
      <c r="O10" s="40">
        <f t="shared" si="1"/>
        <v>10742</v>
      </c>
      <c r="P10" s="40">
        <f t="shared" si="1"/>
        <v>11679</v>
      </c>
      <c r="Q10" s="40">
        <f t="shared" si="1"/>
        <v>12343</v>
      </c>
      <c r="R10" s="40">
        <f t="shared" si="1"/>
        <v>13867</v>
      </c>
      <c r="S10" s="41">
        <f t="shared" si="1"/>
        <v>15270</v>
      </c>
      <c r="T10" s="40"/>
      <c r="U10" s="40"/>
      <c r="V10" s="40"/>
      <c r="W10" s="40"/>
      <c r="Y10" s="3" t="s">
        <v>156</v>
      </c>
      <c r="Z10" s="3">
        <v>8050</v>
      </c>
      <c r="AA10" s="3" t="s">
        <v>290</v>
      </c>
    </row>
    <row r="11" spans="2:27" x14ac:dyDescent="0.3">
      <c r="B11" s="39" t="s">
        <v>591</v>
      </c>
      <c r="C11" s="42"/>
      <c r="D11" s="42">
        <f t="shared" ref="D11:S11" si="2">D9/C9-1</f>
        <v>-0.44764203490531007</v>
      </c>
      <c r="E11" s="42">
        <f t="shared" si="2"/>
        <v>-7.5854341736694586E-2</v>
      </c>
      <c r="F11" s="42">
        <f t="shared" si="2"/>
        <v>0.13736663433559637</v>
      </c>
      <c r="G11" s="42">
        <f t="shared" si="2"/>
        <v>3.1979533098813739E-4</v>
      </c>
      <c r="H11" s="42">
        <f t="shared" si="2"/>
        <v>-6.5856777493606189E-2</v>
      </c>
      <c r="I11" s="42">
        <f>I9/H9-1</f>
        <v>0.1765913757700206</v>
      </c>
      <c r="J11" s="42">
        <f t="shared" si="2"/>
        <v>6.0645724258289624E-2</v>
      </c>
      <c r="K11" s="42">
        <f t="shared" si="2"/>
        <v>4.0038392979569348E-2</v>
      </c>
      <c r="L11" s="42">
        <f t="shared" si="2"/>
        <v>0.14423203691496367</v>
      </c>
      <c r="M11" s="42">
        <f t="shared" si="2"/>
        <v>0.12662749164650311</v>
      </c>
      <c r="N11" s="42">
        <f t="shared" si="2"/>
        <v>7.1180200449989739E-2</v>
      </c>
      <c r="O11" s="42">
        <f t="shared" si="2"/>
        <v>2.5587168226083534E-2</v>
      </c>
      <c r="P11" s="43">
        <f t="shared" si="2"/>
        <v>8.7227704338112E-2</v>
      </c>
      <c r="Q11" s="43">
        <f t="shared" si="2"/>
        <v>5.6854182721123303E-2</v>
      </c>
      <c r="R11" s="43">
        <f t="shared" si="2"/>
        <v>0.12347079316211618</v>
      </c>
      <c r="S11" s="44">
        <f t="shared" si="2"/>
        <v>0.10117545251316074</v>
      </c>
      <c r="T11" s="45"/>
      <c r="U11" s="45"/>
      <c r="V11" s="45"/>
      <c r="W11" s="45"/>
      <c r="Y11" s="3" t="s">
        <v>38</v>
      </c>
      <c r="Z11" s="3">
        <v>9075</v>
      </c>
      <c r="AA11" s="3" t="s">
        <v>381</v>
      </c>
    </row>
    <row r="12" spans="2:27" x14ac:dyDescent="0.3">
      <c r="B12" s="39" t="s">
        <v>568</v>
      </c>
      <c r="C12" s="46">
        <f t="shared" ref="C12:F12" si="3">IFERROR(C8/C7,"-")</f>
        <v>2.8258428734824079E-2</v>
      </c>
      <c r="D12" s="46">
        <f t="shared" si="3"/>
        <v>4.5518376834051619E-3</v>
      </c>
      <c r="E12" s="46">
        <f t="shared" si="3"/>
        <v>1.86284046692607E-2</v>
      </c>
      <c r="F12" s="46">
        <f t="shared" si="3"/>
        <v>2.7068242470453679E-2</v>
      </c>
      <c r="G12" s="46">
        <f>IFERROR(G8/G7,"-")</f>
        <v>2.6417942635324564E-2</v>
      </c>
      <c r="H12" s="46">
        <f t="shared" ref="H12:S12" si="4">IFERROR(H8/H7,"-")</f>
        <v>-2.004038909186206E-3</v>
      </c>
      <c r="I12" s="46">
        <f t="shared" si="4"/>
        <v>2.6500929537418439E-2</v>
      </c>
      <c r="J12" s="46">
        <f t="shared" si="4"/>
        <v>3.2380686007780518E-2</v>
      </c>
      <c r="K12" s="46">
        <f t="shared" si="4"/>
        <v>2.6804863821958989E-2</v>
      </c>
      <c r="L12" s="46">
        <f t="shared" si="4"/>
        <v>1.2348051083016306E-2</v>
      </c>
      <c r="M12" s="46">
        <f t="shared" si="4"/>
        <v>3.9826124966609193E-2</v>
      </c>
      <c r="N12" s="46">
        <f t="shared" si="4"/>
        <v>3.7626611284502662E-2</v>
      </c>
      <c r="O12" s="46">
        <f t="shared" si="4"/>
        <v>2.8394964800711835E-2</v>
      </c>
      <c r="P12" s="46">
        <f t="shared" si="4"/>
        <v>2.3400379132918092E-2</v>
      </c>
      <c r="Q12" s="46">
        <f t="shared" si="4"/>
        <v>4.1114597558560152E-2</v>
      </c>
      <c r="R12" s="46">
        <f t="shared" si="4"/>
        <v>4.7429060373303619E-2</v>
      </c>
      <c r="S12" s="47">
        <f t="shared" si="4"/>
        <v>3.2558627197427741E-2</v>
      </c>
      <c r="T12" s="48"/>
      <c r="U12" s="48"/>
      <c r="V12" s="48"/>
      <c r="W12" s="48"/>
      <c r="Z12" s="3">
        <v>8524</v>
      </c>
      <c r="AA12" s="3" t="s">
        <v>309</v>
      </c>
    </row>
    <row r="13" spans="2:27" x14ac:dyDescent="0.3">
      <c r="B13" s="39" t="s">
        <v>592</v>
      </c>
      <c r="C13" s="48" t="e">
        <f>C8/#REF!-1</f>
        <v>#REF!</v>
      </c>
      <c r="D13" s="48" t="e">
        <f>D8/#REF!-1</f>
        <v>#REF!</v>
      </c>
      <c r="E13" s="48" t="e">
        <f>E8/#REF!-1</f>
        <v>#REF!</v>
      </c>
      <c r="F13" s="48" t="e">
        <f>F8/#REF!-1</f>
        <v>#REF!</v>
      </c>
      <c r="G13" s="48">
        <f t="shared" ref="G13:S13" si="5">G8/C8-1</f>
        <v>7.4266617155593906E-4</v>
      </c>
      <c r="H13" s="48">
        <f t="shared" si="5"/>
        <v>-1.4609929078014185</v>
      </c>
      <c r="I13" s="48">
        <f t="shared" si="5"/>
        <v>0.89817232375979117</v>
      </c>
      <c r="J13" s="48">
        <f t="shared" si="5"/>
        <v>0.1957746478873239</v>
      </c>
      <c r="K13" s="48">
        <f t="shared" si="5"/>
        <v>0.10834879406307985</v>
      </c>
      <c r="L13" s="48">
        <f t="shared" si="5"/>
        <v>-8.4153846153846157</v>
      </c>
      <c r="M13" s="48">
        <f t="shared" si="5"/>
        <v>0.50389729481889045</v>
      </c>
      <c r="N13" s="48">
        <f t="shared" si="5"/>
        <v>0.2732626619552414</v>
      </c>
      <c r="O13" s="48">
        <f t="shared" si="5"/>
        <v>8.9722129226648795E-2</v>
      </c>
      <c r="P13" s="49">
        <f t="shared" si="5"/>
        <v>0.97199170124481338</v>
      </c>
      <c r="Q13" s="49">
        <f t="shared" si="5"/>
        <v>0.20243902439024386</v>
      </c>
      <c r="R13" s="49">
        <f t="shared" si="5"/>
        <v>0.4699352451433858</v>
      </c>
      <c r="S13" s="50">
        <f t="shared" si="5"/>
        <v>0.43102918586789563</v>
      </c>
      <c r="T13" s="48"/>
      <c r="U13" s="48"/>
      <c r="V13" s="48"/>
      <c r="W13" s="48"/>
      <c r="Z13" s="3">
        <v>7616</v>
      </c>
      <c r="AA13" s="3" t="s">
        <v>363</v>
      </c>
    </row>
    <row r="14" spans="2:27" x14ac:dyDescent="0.3">
      <c r="B14" s="39" t="s">
        <v>593</v>
      </c>
      <c r="G14" s="48">
        <f>G7/C7-1</f>
        <v>7.0462439270086774E-2</v>
      </c>
      <c r="H14" s="48">
        <f>H7/D7-1</f>
        <v>4.7067938598615022E-2</v>
      </c>
      <c r="I14" s="48">
        <f t="shared" ref="I14:S14" si="6">I7/E7-1</f>
        <v>0.33428988326848241</v>
      </c>
      <c r="J14" s="48">
        <f t="shared" si="6"/>
        <v>-4.0665904180958723E-4</v>
      </c>
      <c r="K14" s="48">
        <f t="shared" si="6"/>
        <v>9.2350069598290396E-2</v>
      </c>
      <c r="L14" s="48">
        <f t="shared" si="6"/>
        <v>0.20348702770198401</v>
      </c>
      <c r="M14" s="48">
        <f t="shared" si="6"/>
        <v>7.1689813971009819E-4</v>
      </c>
      <c r="N14" s="48">
        <f t="shared" si="6"/>
        <v>9.5743598871061986E-2</v>
      </c>
      <c r="O14" s="48">
        <f t="shared" si="6"/>
        <v>2.8698344326288927E-2</v>
      </c>
      <c r="P14" s="48">
        <f t="shared" si="6"/>
        <v>4.0592296558172869E-2</v>
      </c>
      <c r="Q14" s="48">
        <f t="shared" si="6"/>
        <v>0.16475630782680484</v>
      </c>
      <c r="R14" s="48">
        <f t="shared" si="6"/>
        <v>0.16613488960308165</v>
      </c>
      <c r="S14" s="48">
        <f t="shared" si="6"/>
        <v>0.2480263100503346</v>
      </c>
      <c r="Z14" s="3">
        <v>6055</v>
      </c>
      <c r="AA14" s="3" t="s">
        <v>378</v>
      </c>
    </row>
    <row r="15" spans="2:27" x14ac:dyDescent="0.3">
      <c r="Z15" s="3">
        <v>7226</v>
      </c>
      <c r="AA15" s="3" t="s">
        <v>404</v>
      </c>
    </row>
    <row r="16" spans="2:27" x14ac:dyDescent="0.3">
      <c r="Z16" s="3">
        <v>7552</v>
      </c>
      <c r="AA16" s="3" t="s">
        <v>403</v>
      </c>
    </row>
  </sheetData>
  <phoneticPr fontId="5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2026-02-11T09:19:57Z</dcterms:created>
  <dcterms:modified xsi:type="dcterms:W3CDTF">2026-02-12T10:37:22Z</dcterms:modified>
</cp:coreProperties>
</file>