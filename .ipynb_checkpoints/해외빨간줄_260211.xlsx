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"/>
    </mc:Choice>
  </mc:AlternateContent>
  <xr:revisionPtr revIDLastSave="0" documentId="13_ncr:1_{912BE9D7-4B74-4117-A99F-BB94A98478D2}" xr6:coauthVersionLast="47" xr6:coauthVersionMax="47" xr10:uidLastSave="{00000000-0000-0000-0000-000000000000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Income'!$B$2:$AA$138</definedName>
    <definedName name="_xlnm._FilterDatabase" localSheetId="1" hidden="1">Revenue!$B$2:$AA$135</definedName>
    <definedName name="_xlnm._FilterDatabase" localSheetId="0" hidden="1">기업리스트!$B$3:$G$258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H13" i="4" s="1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8" i="4"/>
  <c r="C9" i="4" s="1"/>
  <c r="D7" i="4"/>
  <c r="E7" i="4"/>
  <c r="F7" i="4"/>
  <c r="G7" i="4"/>
  <c r="H7" i="4"/>
  <c r="I7" i="4"/>
  <c r="J7" i="4"/>
  <c r="J14" i="4" s="1"/>
  <c r="K7" i="4"/>
  <c r="L7" i="4"/>
  <c r="M7" i="4"/>
  <c r="N7" i="4"/>
  <c r="O7" i="4"/>
  <c r="O14" i="4" s="1"/>
  <c r="P7" i="4"/>
  <c r="Q7" i="4"/>
  <c r="R7" i="4"/>
  <c r="S7" i="4"/>
  <c r="C7" i="4"/>
  <c r="D135" i="3"/>
  <c r="D134" i="3"/>
  <c r="D133" i="3"/>
  <c r="D132" i="3"/>
  <c r="D131" i="3"/>
  <c r="D130" i="3"/>
  <c r="D129" i="3"/>
  <c r="D128" i="3"/>
  <c r="D127" i="3"/>
  <c r="D126" i="3"/>
  <c r="D123" i="3"/>
  <c r="D108" i="2"/>
  <c r="D107" i="2"/>
  <c r="D106" i="2"/>
  <c r="D105" i="2"/>
  <c r="D104" i="2"/>
  <c r="D103" i="2"/>
  <c r="D102" i="2"/>
  <c r="D101" i="2"/>
  <c r="D100" i="2"/>
  <c r="R10" i="4" l="1"/>
  <c r="I14" i="4"/>
  <c r="H14" i="4"/>
  <c r="S14" i="4"/>
  <c r="K14" i="4"/>
  <c r="L9" i="4"/>
  <c r="H10" i="4"/>
  <c r="Q14" i="4"/>
  <c r="M12" i="4"/>
  <c r="G10" i="4"/>
  <c r="J10" i="4"/>
  <c r="L14" i="4"/>
  <c r="R14" i="4"/>
  <c r="P14" i="4"/>
  <c r="I10" i="4"/>
  <c r="N9" i="4"/>
  <c r="N14" i="4"/>
  <c r="Q10" i="4"/>
  <c r="S10" i="4"/>
  <c r="M9" i="4"/>
  <c r="S13" i="4"/>
  <c r="Q9" i="4"/>
  <c r="O9" i="4"/>
  <c r="M14" i="4"/>
  <c r="R13" i="4"/>
  <c r="P9" i="4"/>
  <c r="Q13" i="4"/>
  <c r="E9" i="4"/>
  <c r="C12" i="4"/>
  <c r="D9" i="4"/>
  <c r="D11" i="4" s="1"/>
  <c r="G14" i="4"/>
  <c r="K10" i="4"/>
  <c r="N12" i="4"/>
  <c r="I13" i="4"/>
  <c r="F9" i="4"/>
  <c r="R9" i="4"/>
  <c r="M10" i="4"/>
  <c r="D12" i="4"/>
  <c r="P12" i="4"/>
  <c r="K13" i="4"/>
  <c r="G9" i="4"/>
  <c r="S9" i="4"/>
  <c r="N10" i="4"/>
  <c r="E12" i="4"/>
  <c r="Q12" i="4"/>
  <c r="L13" i="4"/>
  <c r="L10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O12" i="4"/>
  <c r="K9" i="4"/>
  <c r="F10" i="4"/>
  <c r="I12" i="4"/>
  <c r="D13" i="4"/>
  <c r="P13" i="4"/>
  <c r="J12" i="4"/>
  <c r="E13" i="4"/>
  <c r="J13" i="4"/>
  <c r="K12" i="4"/>
  <c r="F13" i="4"/>
  <c r="L12" i="4"/>
  <c r="G13" i="4"/>
  <c r="M11" i="4" l="1"/>
  <c r="Q11" i="4"/>
  <c r="N11" i="4"/>
  <c r="O11" i="4"/>
  <c r="R11" i="4"/>
  <c r="P11" i="4"/>
  <c r="F11" i="4"/>
  <c r="J11" i="4"/>
  <c r="H11" i="4"/>
  <c r="E11" i="4"/>
  <c r="K11" i="4"/>
  <c r="I11" i="4"/>
  <c r="L11" i="4"/>
  <c r="S11" i="4"/>
  <c r="G11" i="4"/>
</calcChain>
</file>

<file path=xl/sharedStrings.xml><?xml version="1.0" encoding="utf-8"?>
<sst xmlns="http://schemas.openxmlformats.org/spreadsheetml/2006/main" count="2247" uniqueCount="632">
  <si>
    <t>실적 기업 정보</t>
  </si>
  <si>
    <t>Ticker</t>
  </si>
  <si>
    <t>Company</t>
  </si>
  <si>
    <t>Date</t>
  </si>
  <si>
    <t>Time</t>
  </si>
  <si>
    <t>Quarter Ending</t>
  </si>
  <si>
    <t>Market Cap (mil$)</t>
  </si>
  <si>
    <t>CSCO</t>
  </si>
  <si>
    <t>Cisco Systems, Inc.</t>
  </si>
  <si>
    <t>11-Feb-26</t>
  </si>
  <si>
    <t>After Hours</t>
  </si>
  <si>
    <t>Jan-26</t>
  </si>
  <si>
    <t>MCD</t>
  </si>
  <si>
    <t>McDonald's Corporation</t>
  </si>
  <si>
    <t>Pre Market</t>
  </si>
  <si>
    <t>Dec-25</t>
  </si>
  <si>
    <t>TMUS</t>
  </si>
  <si>
    <t>T-Mobile US, Inc.</t>
  </si>
  <si>
    <t>TTE</t>
  </si>
  <si>
    <t>TotalEnergies SE</t>
  </si>
  <si>
    <t>ENR</t>
  </si>
  <si>
    <t>Siemens Energy AG</t>
  </si>
  <si>
    <t>SHOP</t>
  </si>
  <si>
    <t>Shopify Inc.</t>
  </si>
  <si>
    <t>EL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</si>
  <si>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</si>
  <si>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</si>
  <si>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</si>
  <si>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</si>
  <si>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</si>
  <si>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</si>
  <si>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</si>
  <si>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</si>
  <si>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</si>
  <si>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</si>
  <si>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</si>
  <si>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</si>
  <si>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</si>
  <si>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</si>
  <si>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</si>
  <si>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</si>
  <si>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</si>
  <si>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</si>
  <si>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</si>
  <si>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</si>
  <si>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</si>
  <si>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</si>
  <si>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</si>
  <si>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</si>
  <si>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</si>
  <si>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</si>
  <si>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</si>
  <si>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</si>
  <si>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</si>
  <si>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</si>
  <si>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</si>
  <si>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</si>
  <si>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</si>
  <si>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</si>
  <si>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</si>
  <si>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</si>
  <si>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</si>
  <si>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</si>
  <si>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</si>
  <si>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</si>
  <si>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</si>
  <si>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</si>
  <si>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</si>
  <si>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</si>
  <si>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</si>
  <si>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</si>
  <si>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</si>
  <si>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</si>
  <si>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</si>
  <si>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</si>
  <si>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</si>
  <si>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</si>
  <si>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</si>
  <si>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</si>
  <si>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</si>
  <si>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</si>
  <si>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</si>
  <si>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</si>
  <si>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</si>
  <si>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</si>
  <si>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</si>
  <si>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</si>
  <si>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</si>
  <si>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</si>
  <si>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</si>
  <si>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</si>
  <si>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</si>
  <si>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</si>
  <si>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</si>
  <si>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</si>
  <si>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7936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</si>
  <si>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</si>
  <si>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</si>
  <si>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</si>
  <si>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</si>
  <si>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</si>
  <si>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</si>
  <si>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</si>
  <si>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</si>
  <si>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</si>
  <si>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</si>
  <si>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</si>
  <si>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</si>
  <si>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</si>
  <si>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</si>
  <si>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</si>
  <si>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</si>
  <si>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</si>
  <si>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</si>
  <si>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</si>
  <si>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</si>
  <si>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</si>
  <si>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</si>
  <si>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</si>
  <si>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</si>
  <si>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</si>
  <si>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</si>
  <si>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</si>
  <si>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</si>
  <si>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</si>
  <si>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</si>
  <si>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</si>
  <si>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</si>
  <si>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</si>
  <si>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</si>
  <si>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</si>
  <si>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</si>
  <si>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</si>
  <si>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</si>
  <si>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</si>
  <si>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</si>
  <si>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</si>
  <si>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</si>
  <si>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</si>
  <si>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8113</t>
  </si>
  <si>
    <t>Unicharm Corporation</t>
  </si>
  <si>
    <t>PAG</t>
  </si>
  <si>
    <t>Penske Automotive Group, Inc.</t>
  </si>
  <si>
    <t>PAYC</t>
  </si>
  <si>
    <t>Paycom Software, Inc.</t>
  </si>
  <si>
    <t>SCI</t>
  </si>
  <si>
    <t>Service Corporation International</t>
  </si>
  <si>
    <t>MOWI</t>
  </si>
  <si>
    <t>Mowi ASA</t>
  </si>
  <si>
    <t>TIMS3</t>
  </si>
  <si>
    <t>TIM S.A.</t>
  </si>
  <si>
    <t>ALB</t>
  </si>
  <si>
    <t>Albemarle Corporation</t>
  </si>
  <si>
    <t>BG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</si>
  <si>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</si>
  <si>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</si>
  <si>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</si>
  <si>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</si>
  <si>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</si>
  <si>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</si>
  <si>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</si>
  <si>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</si>
  <si>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</si>
  <si>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</si>
  <si>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</si>
  <si>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</si>
  <si>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</si>
  <si>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</si>
  <si>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</si>
  <si>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</si>
  <si>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</si>
  <si>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</si>
  <si>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</si>
  <si>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</si>
  <si>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</si>
  <si>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A066570</t>
  </si>
  <si>
    <t>LG Electronics Inc.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</si>
  <si>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</si>
  <si>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</si>
  <si>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</si>
  <si>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</si>
  <si>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</si>
  <si>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</si>
  <si>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</si>
  <si>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</si>
  <si>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</si>
  <si>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</si>
  <si>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</si>
  <si>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</si>
  <si>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</si>
  <si>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</si>
  <si>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</si>
  <si>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</si>
  <si>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</si>
  <si>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</si>
  <si>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</si>
  <si>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</si>
  <si>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</si>
  <si>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</si>
  <si>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</si>
  <si>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</si>
  <si>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</si>
  <si>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</si>
  <si>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</si>
  <si>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</si>
  <si>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</si>
  <si>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</si>
  <si>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</si>
  <si>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</si>
  <si>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</si>
  <si>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</si>
  <si>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</si>
  <si>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</si>
  <si>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</si>
  <si>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</si>
  <si>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</si>
  <si>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</si>
  <si>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</si>
  <si>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</si>
  <si>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</si>
  <si>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</si>
  <si>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</si>
  <si>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</si>
  <si>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</si>
  <si>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</si>
  <si>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</si>
  <si>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</si>
  <si>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</si>
  <si>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</si>
  <si>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</si>
  <si>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</si>
  <si>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</si>
  <si>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</si>
  <si>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</si>
  <si>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</si>
  <si>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</si>
  <si>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</si>
  <si>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</si>
  <si>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</si>
  <si>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</si>
  <si>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</si>
  <si>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</si>
  <si>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</si>
  <si>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</si>
  <si>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</si>
  <si>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</si>
  <si>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</si>
  <si>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</si>
  <si>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</si>
  <si>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</si>
  <si>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</si>
  <si>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</si>
  <si>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</si>
  <si>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</si>
  <si>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</si>
  <si>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</si>
  <si>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</si>
  <si>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</si>
  <si>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</si>
  <si>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AMR</t>
  </si>
  <si>
    <t>Americana Restaurants International PLC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</si>
  <si>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</si>
  <si>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</si>
  <si>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</si>
  <si>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</si>
  <si>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</si>
  <si>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</si>
  <si>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</si>
  <si>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</si>
  <si>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</si>
  <si>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</si>
  <si>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</si>
  <si>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</si>
  <si>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</si>
  <si>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</si>
  <si>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</si>
  <si>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</si>
  <si>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</si>
  <si>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</si>
  <si>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</si>
  <si>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</si>
  <si>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</si>
  <si>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</si>
  <si>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</si>
  <si>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</si>
  <si>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</si>
  <si>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</si>
  <si>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</si>
  <si>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</si>
  <si>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</si>
  <si>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</si>
  <si>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</si>
  <si>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</si>
  <si>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</si>
  <si>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</si>
  <si>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</si>
  <si>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</si>
  <si>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</si>
  <si>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</si>
  <si>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</si>
  <si>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</si>
  <si>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</si>
  <si>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</si>
  <si>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</si>
  <si>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</si>
  <si>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</si>
  <si>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</si>
  <si>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</si>
  <si>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</si>
  <si>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</si>
  <si>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</si>
  <si>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</si>
  <si>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BRG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</si>
  <si>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</si>
  <si>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</si>
  <si>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</si>
  <si>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</si>
  <si>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</si>
  <si>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</si>
  <si>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</si>
  <si>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</si>
  <si>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</si>
  <si>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</si>
  <si>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</si>
  <si>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</si>
  <si>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</si>
  <si>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</si>
  <si>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</si>
  <si>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</si>
  <si>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</si>
  <si>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</si>
  <si>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</si>
  <si>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</si>
  <si>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</si>
  <si>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</si>
  <si>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</si>
  <si>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</si>
  <si>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</si>
  <si>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</si>
  <si>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</si>
  <si>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</si>
  <si>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</si>
  <si>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</si>
  <si>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</si>
  <si>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</si>
  <si>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HI</t>
  </si>
  <si>
    <t>Hillenbrand, Inc.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</si>
  <si>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</si>
  <si>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</si>
  <si>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</si>
  <si>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</si>
  <si>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</si>
  <si>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</si>
  <si>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</si>
  <si>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</si>
  <si>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</si>
  <si>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</si>
  <si>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</si>
  <si>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</si>
  <si>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</si>
  <si>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</si>
  <si>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</si>
  <si>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</si>
  <si>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</si>
  <si>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</si>
  <si>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</si>
  <si>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</si>
  <si>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</si>
  <si>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</si>
  <si>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</si>
  <si>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</si>
  <si>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</si>
  <si>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</si>
  <si>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</si>
  <si>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</si>
  <si>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</si>
  <si>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</si>
  <si>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</si>
  <si>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</si>
  <si>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</si>
  <si>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</si>
  <si>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</si>
  <si>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A139480</t>
  </si>
  <si>
    <t>E-MART Inc.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</si>
  <si>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</si>
  <si>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</si>
  <si>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</si>
  <si>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</si>
  <si>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</si>
  <si>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</si>
  <si>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</si>
  <si>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</si>
  <si>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</si>
  <si>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</si>
  <si>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</si>
  <si>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</si>
  <si>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Korean Reinsurance Company</t>
  </si>
  <si>
    <t>A028670</t>
  </si>
  <si>
    <t>Pan Ocean Co., Ltd.</t>
  </si>
  <si>
    <t>A069960</t>
  </si>
  <si>
    <t>Hyundai Department Store Co.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</si>
  <si>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</si>
  <si>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</si>
  <si>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</si>
  <si>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</si>
  <si>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</si>
  <si>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</si>
  <si>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</si>
  <si>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</si>
  <si>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</si>
  <si>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</si>
  <si>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</si>
  <si>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</si>
  <si>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</si>
  <si>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</si>
  <si>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</si>
  <si>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</si>
  <si>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</si>
  <si>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</si>
  <si>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</si>
  <si>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</si>
  <si>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</si>
  <si>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</si>
  <si>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</si>
  <si>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</si>
  <si>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</si>
  <si>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</si>
  <si>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</si>
  <si>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</si>
  <si>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</si>
  <si>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</si>
  <si>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</si>
  <si>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</si>
  <si>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</si>
  <si>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</si>
  <si>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</si>
  <si>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</si>
  <si>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</si>
  <si>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</si>
  <si>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</si>
  <si>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</si>
  <si>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</si>
  <si>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</si>
  <si>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</si>
  <si>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</si>
  <si>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</si>
  <si>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</si>
  <si>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</si>
  <si>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</si>
  <si>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</si>
  <si>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</si>
  <si>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</si>
  <si>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</si>
  <si>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</si>
  <si>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</si>
  <si>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</si>
  <si>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</si>
  <si>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</si>
  <si>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</si>
  <si>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</si>
  <si>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</si>
  <si>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</si>
  <si>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</si>
  <si>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</si>
  <si>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</si>
  <si>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</si>
  <si>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</si>
  <si>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</si>
  <si>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</si>
  <si>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</si>
  <si>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</si>
  <si>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</si>
  <si>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</si>
  <si>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</si>
  <si>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</si>
  <si>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</si>
  <si>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</si>
  <si>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</si>
  <si>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</si>
  <si>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</si>
  <si>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</si>
  <si>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</si>
  <si>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</si>
  <si>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</si>
  <si>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</si>
  <si>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</si>
  <si>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</si>
  <si>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</si>
  <si>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</si>
  <si>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</si>
  <si>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</si>
  <si>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</si>
  <si>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</si>
  <si>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</si>
  <si>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</si>
  <si>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</si>
  <si>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</si>
  <si>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</si>
  <si>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</si>
  <si>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</si>
  <si>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</si>
  <si>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</si>
  <si>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</si>
  <si>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</si>
  <si>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</si>
  <si>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</si>
  <si>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</si>
  <si>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</si>
  <si>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</si>
  <si>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</si>
  <si>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</si>
  <si>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</si>
  <si>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</si>
  <si>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</si>
  <si>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</si>
  <si>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</si>
  <si>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</si>
  <si>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</si>
  <si>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</si>
  <si>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</si>
  <si>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</si>
  <si>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</si>
  <si>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</si>
  <si>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</si>
  <si>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</si>
  <si>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</si>
  <si>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</si>
  <si>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Information Technology Services</t>
  </si>
  <si>
    <t>Dec'25</t>
  </si>
  <si>
    <t>REIT - Mortgage</t>
  </si>
  <si>
    <t>Farm Products</t>
  </si>
  <si>
    <t>Insurance - Property &amp; Casualty</t>
  </si>
  <si>
    <t>Biotechnology</t>
  </si>
  <si>
    <t>Software - Application</t>
  </si>
  <si>
    <t>Drug Manufacturers - Specialty &amp; Generic</t>
  </si>
  <si>
    <t>Banks - Regional</t>
  </si>
  <si>
    <t>Security &amp; Protection Services</t>
  </si>
  <si>
    <t>REIT - Retail</t>
  </si>
  <si>
    <t>Electrical Equipment &amp; Parts</t>
  </si>
  <si>
    <t>Advertising Agencies</t>
  </si>
  <si>
    <t>Furnishings, Fixtures &amp; Appliances</t>
  </si>
  <si>
    <t>Packaged Foods</t>
  </si>
  <si>
    <t>Utilities - Regulated Gas</t>
  </si>
  <si>
    <t>Specialty Industrial Machinery</t>
  </si>
  <si>
    <t>Software - Infrastructure</t>
  </si>
  <si>
    <t>Oil &amp; Gas E&amp;P</t>
  </si>
  <si>
    <t>Specialty Chemicals</t>
  </si>
  <si>
    <t>Education &amp; Training Services</t>
  </si>
  <si>
    <t>Aerospace &amp; Defense</t>
  </si>
  <si>
    <t>Railroads</t>
  </si>
  <si>
    <t>Semiconductors</t>
  </si>
  <si>
    <t>Medical Devices</t>
  </si>
  <si>
    <t>Communication Equipment</t>
  </si>
  <si>
    <t>Telecom Services</t>
  </si>
  <si>
    <t>Food Distribution</t>
  </si>
  <si>
    <t>REIT - Industrial</t>
  </si>
  <si>
    <t>Healthcare Plans</t>
  </si>
  <si>
    <t>Utilities - Regulated Electric</t>
  </si>
  <si>
    <t>Oil &amp; Gas Drilling</t>
  </si>
  <si>
    <t>Restaurants</t>
  </si>
  <si>
    <t>Jun'26</t>
  </si>
  <si>
    <t>Scientific &amp; Technical Instruments</t>
  </si>
  <si>
    <t>Personal Services</t>
  </si>
  <si>
    <t>Medical Care Facilities</t>
  </si>
  <si>
    <t>Asset Management</t>
  </si>
  <si>
    <t>Lodging</t>
  </si>
  <si>
    <t>Mar'26</t>
  </si>
  <si>
    <t>Household &amp; Personal Products</t>
  </si>
  <si>
    <t>Insurance - Life</t>
  </si>
  <si>
    <t>Farm &amp; Heavy Construction Machinery</t>
  </si>
  <si>
    <t>REIT - Specialty</t>
  </si>
  <si>
    <t>Waste Management</t>
  </si>
  <si>
    <t>Sep'26</t>
  </si>
  <si>
    <t>Auto Parts</t>
  </si>
  <si>
    <t>Insurance - Diversified</t>
  </si>
  <si>
    <t>Oil &amp; Gas Midstream</t>
  </si>
  <si>
    <t>Industrial Distribution</t>
  </si>
  <si>
    <t>REIT - Residential</t>
  </si>
  <si>
    <t>Auto &amp; Truck Dealerships</t>
  </si>
  <si>
    <t>Packaging &amp; Containers</t>
  </si>
  <si>
    <t>Rental &amp; Leasing Services</t>
  </si>
  <si>
    <t>Medical Instruments &amp; Supplies</t>
  </si>
  <si>
    <t>Oil &amp; Gas Integrated</t>
  </si>
  <si>
    <t>Building Materials</t>
  </si>
  <si>
    <t>Residential Construction</t>
  </si>
  <si>
    <t>Lumber &amp; Wood Production</t>
  </si>
  <si>
    <t>Marine Shipping</t>
  </si>
  <si>
    <t>Japan</t>
  </si>
  <si>
    <t>N/A</t>
  </si>
  <si>
    <t>India</t>
  </si>
  <si>
    <t>Unknown</t>
  </si>
  <si>
    <t>Hong Kong</t>
  </si>
  <si>
    <t>Sweden</t>
  </si>
  <si>
    <t>Sep'25</t>
  </si>
  <si>
    <t>Gold</t>
  </si>
  <si>
    <t>Health Information Services</t>
  </si>
  <si>
    <t>Utilities - Renewable</t>
  </si>
  <si>
    <t>Airlines</t>
  </si>
  <si>
    <t>Confectioners</t>
  </si>
  <si>
    <t>Paper &amp; Paper Products</t>
  </si>
  <si>
    <t>H2 2024</t>
  </si>
  <si>
    <t>REIT - Office</t>
  </si>
  <si>
    <t>Semiconductor Equipment &amp; Materials</t>
  </si>
  <si>
    <t>Coking Coal</t>
  </si>
  <si>
    <t>France</t>
  </si>
  <si>
    <t>H1 2025</t>
  </si>
  <si>
    <t>opm</t>
  </si>
  <si>
    <t>Germany</t>
    <phoneticPr fontId="6" type="noConversion"/>
  </si>
  <si>
    <t>CBK</t>
    <phoneticPr fontId="6" type="noConversion"/>
  </si>
  <si>
    <t>A003690</t>
    <phoneticPr fontId="6" type="noConversion"/>
  </si>
  <si>
    <t>(단위: mil $)</t>
    <phoneticPr fontId="6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</si>
  <si>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</si>
  <si>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</si>
  <si>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</si>
  <si>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</si>
  <si>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</si>
  <si>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</si>
  <si>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</si>
  <si>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</si>
  <si>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</si>
  <si>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</si>
  <si>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</si>
  <si>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</si>
  <si>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</si>
  <si>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</si>
  <si>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</si>
  <si>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</si>
  <si>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</si>
  <si>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</si>
  <si>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6" type="noConversion"/>
  </si>
  <si>
    <t>DAR</t>
    <phoneticPr fontId="6" type="noConversion"/>
  </si>
  <si>
    <t>Ticker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</si>
</sst>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8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0" fontId="3" fillId="0" borderId="1" xfId="0" applyFont="1" applyBorder="1"/>
    <xf numFmtId="177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1" xfId="0" applyNumberFormat="1" applyFont="1" applyFill="1" applyBorder="1"/>
    <xf numFmtId="0" fontId="2" fillId="0" borderId="0" xfId="0" applyFont="1"/>
    <xf numFmtId="0" fontId="5" fillId="0" borderId="0" xfId="0" applyFont="1"/>
    <xf numFmtId="176" fontId="2" fillId="4" borderId="0" xfId="0" applyNumberFormat="1" applyFont="1" applyFill="1"/>
    <xf numFmtId="0" fontId="3" fillId="0" borderId="0" xfId="0" applyFont="1" applyBorder="1"/>
    <xf numFmtId="176" fontId="3" fillId="0" borderId="0" xfId="0" applyNumberFormat="1" applyFont="1" applyBorder="1"/>
    <xf numFmtId="3" fontId="3" fillId="0" borderId="0" xfId="0" applyNumberFormat="1" applyFont="1" applyBorder="1"/>
    <xf numFmtId="177" fontId="3" fillId="0" borderId="0" xfId="0" applyNumberFormat="1" applyFont="1" applyBorder="1"/>
    <xf numFmtId="0" fontId="3" fillId="0" borderId="2" xfId="0" applyFont="1" applyBorder="1"/>
    <xf numFmtId="176" fontId="3" fillId="0" borderId="2" xfId="0" applyNumberFormat="1" applyFont="1" applyBorder="1"/>
    <xf numFmtId="3" fontId="3" fillId="0" borderId="2" xfId="0" applyNumberFormat="1" applyFont="1" applyBorder="1"/>
    <xf numFmtId="3" fontId="3" fillId="3" borderId="2" xfId="0" applyNumberFormat="1" applyFont="1" applyFill="1" applyBorder="1"/>
    <xf numFmtId="177" fontId="3" fillId="0" borderId="3" xfId="0" applyNumberFormat="1" applyFont="1" applyBorder="1"/>
    <xf numFmtId="177" fontId="3" fillId="0" borderId="2" xfId="0" applyNumberFormat="1" applyFont="1" applyBorder="1"/>
    <xf numFmtId="0" fontId="3" fillId="0" borderId="4" xfId="0" applyFont="1" applyBorder="1"/>
    <xf numFmtId="176" fontId="3" fillId="0" borderId="4" xfId="0" applyNumberFormat="1" applyFont="1" applyBorder="1"/>
    <xf numFmtId="3" fontId="3" fillId="0" borderId="4" xfId="0" applyNumberFormat="1" applyFont="1" applyBorder="1"/>
    <xf numFmtId="177" fontId="3" fillId="0" borderId="5" xfId="0" applyNumberFormat="1" applyFont="1" applyBorder="1"/>
    <xf numFmtId="177" fontId="3" fillId="0" borderId="4" xfId="0" applyNumberFormat="1" applyFont="1" applyBorder="1"/>
    <xf numFmtId="0" fontId="2" fillId="2" borderId="6" xfId="0" applyFont="1" applyFill="1" applyBorder="1" applyAlignment="1">
      <alignment horizontal="center"/>
    </xf>
    <xf numFmtId="0" fontId="2" fillId="0" borderId="0" xfId="0" applyFont="1" applyBorder="1"/>
    <xf numFmtId="0" fontId="2" fillId="0" borderId="2" xfId="0" applyFont="1" applyBorder="1"/>
    <xf numFmtId="0" fontId="2" fillId="0" borderId="4" xfId="0" applyFont="1" applyBorder="1"/>
    <xf numFmtId="177" fontId="3" fillId="3" borderId="2" xfId="0" applyNumberFormat="1" applyFont="1" applyFill="1" applyBorder="1"/>
    <xf numFmtId="177" fontId="3" fillId="3" borderId="3" xfId="0" applyNumberFormat="1" applyFont="1" applyFill="1" applyBorder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7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7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7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7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7" xfId="1" applyFont="1" applyBorder="1">
      <alignment vertical="center"/>
    </xf>
    <xf numFmtId="178" fontId="3" fillId="0" borderId="0" xfId="0" applyNumberFormat="1" applyFont="1"/>
    <xf numFmtId="178" fontId="3" fillId="3" borderId="0" xfId="0" applyNumberFormat="1" applyFont="1" applyFill="1"/>
    <xf numFmtId="178" fontId="3" fillId="0" borderId="2" xfId="0" applyNumberFormat="1" applyFont="1" applyBorder="1"/>
    <xf numFmtId="178" fontId="3" fillId="3" borderId="2" xfId="0" applyNumberFormat="1" applyFont="1" applyFill="1" applyBorder="1"/>
    <xf numFmtId="178" fontId="3" fillId="0" borderId="4" xfId="0" applyNumberFormat="1" applyFont="1" applyBorder="1"/>
    <xf numFmtId="178" fontId="3" fillId="0" borderId="0" xfId="0" applyNumberFormat="1" applyFont="1" applyBorder="1"/>
    <xf numFmtId="178" fontId="3" fillId="3" borderId="0" xfId="0" applyNumberFormat="1" applyFont="1" applyFill="1" applyBorder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58"/>
  <sheetViews>
    <sheetView topLeftCell="C1" workbookViewId="0">
      <selection activeCell="C10" sqref="C10"/>
    </sheetView>
  </sheetViews>
  <sheetFormatPr defaultRowHeight="16.5" x14ac:dyDescent="0.3"/>
  <cols>
    <col min="1" max="1" width="3" customWidth="1"/>
    <col min="2" max="2" width="12" style="13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4">
        <v>335132</v>
      </c>
    </row>
    <row r="5" spans="2:7" x14ac:dyDescent="0.3">
      <c r="B5" s="12" t="s">
        <v>12</v>
      </c>
      <c r="C5" s="3" t="s">
        <v>13</v>
      </c>
      <c r="D5" s="3" t="s">
        <v>9</v>
      </c>
      <c r="E5" s="3" t="s">
        <v>14</v>
      </c>
      <c r="F5" s="3" t="s">
        <v>15</v>
      </c>
      <c r="G5" s="4">
        <v>232988</v>
      </c>
    </row>
    <row r="6" spans="2:7" x14ac:dyDescent="0.3">
      <c r="B6" s="12" t="s">
        <v>16</v>
      </c>
      <c r="C6" s="3" t="s">
        <v>17</v>
      </c>
      <c r="D6" s="3" t="s">
        <v>9</v>
      </c>
      <c r="E6" s="3" t="s">
        <v>14</v>
      </c>
      <c r="F6" s="3" t="s">
        <v>15</v>
      </c>
      <c r="G6" s="4">
        <v>220782</v>
      </c>
    </row>
    <row r="7" spans="2:7" x14ac:dyDescent="0.3">
      <c r="B7" s="12" t="s">
        <v>18</v>
      </c>
      <c r="C7" s="3" t="s">
        <v>19</v>
      </c>
      <c r="D7" s="3" t="s">
        <v>9</v>
      </c>
      <c r="E7" s="3" t="s">
        <v>14</v>
      </c>
      <c r="F7" s="3" t="s">
        <v>15</v>
      </c>
      <c r="G7" s="4">
        <v>158504</v>
      </c>
    </row>
    <row r="8" spans="2:7" x14ac:dyDescent="0.3">
      <c r="B8" s="12" t="s">
        <v>20</v>
      </c>
      <c r="C8" s="3" t="s">
        <v>21</v>
      </c>
      <c r="D8" s="3" t="s">
        <v>9</v>
      </c>
      <c r="E8" s="3"/>
      <c r="F8" s="3" t="s">
        <v>15</v>
      </c>
      <c r="G8" s="4">
        <v>153697</v>
      </c>
    </row>
    <row r="9" spans="2:7" x14ac:dyDescent="0.3">
      <c r="B9" s="12" t="s">
        <v>22</v>
      </c>
      <c r="C9" s="3" t="s">
        <v>23</v>
      </c>
      <c r="D9" s="3" t="s">
        <v>9</v>
      </c>
      <c r="E9" s="3" t="s">
        <v>14</v>
      </c>
      <c r="F9" s="3" t="s">
        <v>15</v>
      </c>
      <c r="G9" s="4">
        <v>145872</v>
      </c>
    </row>
    <row r="10" spans="2:7" x14ac:dyDescent="0.3">
      <c r="B10" s="12" t="s">
        <v>24</v>
      </c>
      <c r="C10" s="3" t="s">
        <v>25</v>
      </c>
      <c r="D10" s="3" t="s">
        <v>9</v>
      </c>
      <c r="E10" s="3"/>
      <c r="F10" s="3" t="s">
        <v>15</v>
      </c>
      <c r="G10" s="4">
        <v>139685</v>
      </c>
    </row>
    <row r="11" spans="2:7" x14ac:dyDescent="0.3">
      <c r="B11" s="12" t="s">
        <v>26</v>
      </c>
      <c r="C11" s="3" t="s">
        <v>27</v>
      </c>
      <c r="D11" s="3" t="s">
        <v>9</v>
      </c>
      <c r="E11" s="3"/>
      <c r="F11" s="3" t="s">
        <v>15</v>
      </c>
      <c r="G11" s="4">
        <v>137453</v>
      </c>
    </row>
    <row r="12" spans="2:7" x14ac:dyDescent="0.3">
      <c r="B12" s="12" t="s">
        <v>28</v>
      </c>
      <c r="C12" s="3" t="s">
        <v>29</v>
      </c>
      <c r="D12" s="3" t="s">
        <v>9</v>
      </c>
      <c r="E12" s="3" t="s">
        <v>10</v>
      </c>
      <c r="F12" s="3" t="s">
        <v>15</v>
      </c>
      <c r="G12" s="4">
        <v>83273.58</v>
      </c>
    </row>
    <row r="13" spans="2:7" x14ac:dyDescent="0.3">
      <c r="B13" s="12">
        <v>9999</v>
      </c>
      <c r="C13" s="3" t="s">
        <v>30</v>
      </c>
      <c r="D13" s="3" t="s">
        <v>9</v>
      </c>
      <c r="E13" s="3" t="s">
        <v>14</v>
      </c>
      <c r="F13" s="3" t="s">
        <v>15</v>
      </c>
      <c r="G13" s="4">
        <v>76373.89</v>
      </c>
    </row>
    <row r="14" spans="2:7" x14ac:dyDescent="0.3">
      <c r="B14" s="12" t="s">
        <v>31</v>
      </c>
      <c r="C14" s="3" t="s">
        <v>32</v>
      </c>
      <c r="D14" s="3" t="s">
        <v>9</v>
      </c>
      <c r="E14" s="3"/>
      <c r="F14" s="3" t="s">
        <v>15</v>
      </c>
      <c r="G14" s="4">
        <v>74777.73</v>
      </c>
    </row>
    <row r="15" spans="2:7" x14ac:dyDescent="0.3">
      <c r="B15" s="12" t="s">
        <v>33</v>
      </c>
      <c r="C15" s="3" t="s">
        <v>34</v>
      </c>
      <c r="D15" s="3" t="s">
        <v>9</v>
      </c>
      <c r="E15" s="3" t="s">
        <v>14</v>
      </c>
      <c r="F15" s="3" t="s">
        <v>15</v>
      </c>
      <c r="G15" s="4">
        <v>73072.97</v>
      </c>
    </row>
    <row r="16" spans="2:7" x14ac:dyDescent="0.3">
      <c r="B16" s="12" t="s">
        <v>35</v>
      </c>
      <c r="C16" s="3" t="s">
        <v>36</v>
      </c>
      <c r="D16" s="3" t="s">
        <v>9</v>
      </c>
      <c r="E16" s="3" t="s">
        <v>10</v>
      </c>
      <c r="F16" s="3" t="s">
        <v>15</v>
      </c>
      <c r="G16" s="4">
        <v>70316.19</v>
      </c>
    </row>
    <row r="17" spans="2:7" x14ac:dyDescent="0.3">
      <c r="B17" s="12" t="s">
        <v>37</v>
      </c>
      <c r="C17" s="3" t="s">
        <v>38</v>
      </c>
      <c r="D17" s="3" t="s">
        <v>9</v>
      </c>
      <c r="E17" s="3"/>
      <c r="F17" s="3" t="s">
        <v>15</v>
      </c>
      <c r="G17" s="4">
        <v>63832.82</v>
      </c>
    </row>
    <row r="18" spans="2:7" x14ac:dyDescent="0.3">
      <c r="B18" s="12" t="s">
        <v>39</v>
      </c>
      <c r="C18" s="3" t="s">
        <v>40</v>
      </c>
      <c r="D18" s="3" t="s">
        <v>9</v>
      </c>
      <c r="E18" s="3"/>
      <c r="F18" s="3" t="s">
        <v>15</v>
      </c>
      <c r="G18" s="4">
        <v>48177.36</v>
      </c>
    </row>
    <row r="19" spans="2:7" x14ac:dyDescent="0.3">
      <c r="B19" s="12" t="s">
        <v>41</v>
      </c>
      <c r="C19" s="3" t="s">
        <v>42</v>
      </c>
      <c r="D19" s="3" t="s">
        <v>9</v>
      </c>
      <c r="E19" s="3"/>
      <c r="F19" s="3" t="s">
        <v>15</v>
      </c>
      <c r="G19" s="4">
        <v>46473.74</v>
      </c>
    </row>
    <row r="20" spans="2:7" x14ac:dyDescent="0.3">
      <c r="B20" s="12" t="s">
        <v>43</v>
      </c>
      <c r="C20" s="3" t="s">
        <v>44</v>
      </c>
      <c r="D20" s="3" t="s">
        <v>9</v>
      </c>
      <c r="E20" s="3"/>
      <c r="F20" s="3" t="s">
        <v>15</v>
      </c>
      <c r="G20" s="4">
        <v>44093.83</v>
      </c>
    </row>
    <row r="21" spans="2:7" x14ac:dyDescent="0.3">
      <c r="B21" s="12" t="s">
        <v>45</v>
      </c>
      <c r="C21" s="3" t="s">
        <v>46</v>
      </c>
      <c r="D21" s="3" t="s">
        <v>9</v>
      </c>
      <c r="E21" s="3"/>
      <c r="F21" s="3" t="s">
        <v>15</v>
      </c>
      <c r="G21" s="4">
        <v>44071.040000000001</v>
      </c>
    </row>
    <row r="22" spans="2:7" x14ac:dyDescent="0.3">
      <c r="B22" s="12" t="s">
        <v>47</v>
      </c>
      <c r="C22" s="3" t="s">
        <v>48</v>
      </c>
      <c r="D22" s="3" t="s">
        <v>9</v>
      </c>
      <c r="E22" s="3" t="s">
        <v>10</v>
      </c>
      <c r="F22" s="3" t="s">
        <v>15</v>
      </c>
      <c r="G22" s="4">
        <v>43311.34</v>
      </c>
    </row>
    <row r="23" spans="2:7" x14ac:dyDescent="0.3">
      <c r="B23" s="12" t="s">
        <v>49</v>
      </c>
      <c r="C23" s="3" t="s">
        <v>50</v>
      </c>
      <c r="D23" s="3" t="s">
        <v>9</v>
      </c>
      <c r="E23" s="3" t="s">
        <v>14</v>
      </c>
      <c r="F23" s="3" t="s">
        <v>15</v>
      </c>
      <c r="G23" s="4">
        <v>42110.17</v>
      </c>
    </row>
    <row r="24" spans="2:7" x14ac:dyDescent="0.3">
      <c r="B24" s="12" t="s">
        <v>51</v>
      </c>
      <c r="C24" s="3" t="s">
        <v>52</v>
      </c>
      <c r="D24" s="3" t="s">
        <v>9</v>
      </c>
      <c r="E24" s="3" t="s">
        <v>14</v>
      </c>
      <c r="F24" s="3" t="s">
        <v>15</v>
      </c>
      <c r="G24" s="4">
        <v>41611.93</v>
      </c>
    </row>
    <row r="25" spans="2:7" x14ac:dyDescent="0.3">
      <c r="B25" s="12" t="s">
        <v>53</v>
      </c>
      <c r="C25" s="3" t="s">
        <v>54</v>
      </c>
      <c r="D25" s="3" t="s">
        <v>9</v>
      </c>
      <c r="E25" s="3"/>
      <c r="F25" s="3" t="s">
        <v>15</v>
      </c>
      <c r="G25" s="4">
        <v>41593.24</v>
      </c>
    </row>
    <row r="26" spans="2:7" x14ac:dyDescent="0.3">
      <c r="B26" s="12" t="s">
        <v>55</v>
      </c>
      <c r="C26" s="3" t="s">
        <v>56</v>
      </c>
      <c r="D26" s="3" t="s">
        <v>9</v>
      </c>
      <c r="E26" s="3"/>
      <c r="F26" s="3" t="s">
        <v>15</v>
      </c>
      <c r="G26" s="4">
        <v>40839.99</v>
      </c>
    </row>
    <row r="27" spans="2:7" x14ac:dyDescent="0.3">
      <c r="B27" s="12" t="s">
        <v>57</v>
      </c>
      <c r="C27" s="3" t="s">
        <v>58</v>
      </c>
      <c r="D27" s="3" t="s">
        <v>9</v>
      </c>
      <c r="E27" s="3"/>
      <c r="F27" s="3" t="s">
        <v>15</v>
      </c>
      <c r="G27" s="4">
        <v>36762.39</v>
      </c>
    </row>
    <row r="28" spans="2:7" x14ac:dyDescent="0.3">
      <c r="B28" s="12" t="s">
        <v>59</v>
      </c>
      <c r="C28" s="3" t="s">
        <v>60</v>
      </c>
      <c r="D28" s="3" t="s">
        <v>9</v>
      </c>
      <c r="E28" s="3" t="s">
        <v>10</v>
      </c>
      <c r="F28" s="3" t="s">
        <v>15</v>
      </c>
      <c r="G28" s="4">
        <v>36091.53</v>
      </c>
    </row>
    <row r="29" spans="2:7" x14ac:dyDescent="0.3">
      <c r="B29" s="12" t="s">
        <v>61</v>
      </c>
      <c r="C29" s="3" t="s">
        <v>62</v>
      </c>
      <c r="D29" s="3" t="s">
        <v>9</v>
      </c>
      <c r="E29" s="3"/>
      <c r="F29" s="3" t="s">
        <v>15</v>
      </c>
      <c r="G29" s="4">
        <v>34523.11</v>
      </c>
    </row>
    <row r="30" spans="2:7" x14ac:dyDescent="0.3">
      <c r="B30" s="12" t="s">
        <v>63</v>
      </c>
      <c r="C30" s="3" t="s">
        <v>64</v>
      </c>
      <c r="D30" s="3" t="s">
        <v>9</v>
      </c>
      <c r="E30" s="3" t="s">
        <v>10</v>
      </c>
      <c r="F30" s="3" t="s">
        <v>15</v>
      </c>
      <c r="G30" s="4">
        <v>30182.57</v>
      </c>
    </row>
    <row r="31" spans="2:7" x14ac:dyDescent="0.3">
      <c r="B31" s="12" t="s">
        <v>65</v>
      </c>
      <c r="C31" s="3" t="s">
        <v>66</v>
      </c>
      <c r="D31" s="3" t="s">
        <v>9</v>
      </c>
      <c r="E31" s="3"/>
      <c r="F31" s="3" t="s">
        <v>15</v>
      </c>
      <c r="G31" s="4">
        <v>29684.53</v>
      </c>
    </row>
    <row r="32" spans="2:7" x14ac:dyDescent="0.3">
      <c r="B32" s="12" t="s">
        <v>67</v>
      </c>
      <c r="C32" s="3" t="s">
        <v>68</v>
      </c>
      <c r="D32" s="3" t="s">
        <v>9</v>
      </c>
      <c r="E32" s="3" t="s">
        <v>14</v>
      </c>
      <c r="F32" s="3" t="s">
        <v>15</v>
      </c>
      <c r="G32" s="4">
        <v>29167.35</v>
      </c>
    </row>
    <row r="33" spans="2:7" x14ac:dyDescent="0.3">
      <c r="B33" s="12" t="s">
        <v>69</v>
      </c>
      <c r="C33" s="3" t="s">
        <v>70</v>
      </c>
      <c r="D33" s="3" t="s">
        <v>9</v>
      </c>
      <c r="E33" s="3" t="s">
        <v>10</v>
      </c>
      <c r="F33" s="3" t="s">
        <v>15</v>
      </c>
      <c r="G33" s="4">
        <v>28426.31</v>
      </c>
    </row>
    <row r="34" spans="2:7" x14ac:dyDescent="0.3">
      <c r="B34" s="12" t="s">
        <v>71</v>
      </c>
      <c r="C34" s="3" t="s">
        <v>72</v>
      </c>
      <c r="D34" s="3" t="s">
        <v>9</v>
      </c>
      <c r="E34" s="3"/>
      <c r="F34" s="3" t="s">
        <v>15</v>
      </c>
      <c r="G34" s="4">
        <v>25685.72</v>
      </c>
    </row>
    <row r="35" spans="2:7" x14ac:dyDescent="0.3">
      <c r="B35" s="12" t="s">
        <v>73</v>
      </c>
      <c r="C35" s="3" t="s">
        <v>74</v>
      </c>
      <c r="D35" s="3" t="s">
        <v>9</v>
      </c>
      <c r="E35" s="3"/>
      <c r="F35" s="3" t="s">
        <v>15</v>
      </c>
      <c r="G35" s="4">
        <v>23988.87</v>
      </c>
    </row>
    <row r="36" spans="2:7" x14ac:dyDescent="0.3">
      <c r="B36" s="12" t="s">
        <v>75</v>
      </c>
      <c r="C36" s="3" t="s">
        <v>76</v>
      </c>
      <c r="D36" s="3" t="s">
        <v>9</v>
      </c>
      <c r="E36" s="3" t="s">
        <v>14</v>
      </c>
      <c r="F36" s="3" t="s">
        <v>15</v>
      </c>
      <c r="G36" s="4">
        <v>23325.759999999998</v>
      </c>
    </row>
    <row r="37" spans="2:7" x14ac:dyDescent="0.3">
      <c r="B37" s="12" t="s">
        <v>77</v>
      </c>
      <c r="C37" s="3" t="s">
        <v>78</v>
      </c>
      <c r="D37" s="3" t="s">
        <v>9</v>
      </c>
      <c r="E37" s="3" t="s">
        <v>14</v>
      </c>
      <c r="F37" s="3" t="s">
        <v>15</v>
      </c>
      <c r="G37" s="4">
        <v>22916.31</v>
      </c>
    </row>
    <row r="38" spans="2:7" x14ac:dyDescent="0.3">
      <c r="B38" s="12" t="s">
        <v>79</v>
      </c>
      <c r="C38" s="3" t="s">
        <v>80</v>
      </c>
      <c r="D38" s="3" t="s">
        <v>9</v>
      </c>
      <c r="E38" s="3"/>
      <c r="F38" s="3" t="s">
        <v>15</v>
      </c>
      <c r="G38" s="4">
        <v>22690.720000000001</v>
      </c>
    </row>
    <row r="39" spans="2:7" x14ac:dyDescent="0.3">
      <c r="B39" s="12" t="s">
        <v>81</v>
      </c>
      <c r="C39" s="3" t="s">
        <v>82</v>
      </c>
      <c r="D39" s="3" t="s">
        <v>9</v>
      </c>
      <c r="E39" s="3"/>
      <c r="F39" s="3" t="s">
        <v>15</v>
      </c>
      <c r="G39" s="4">
        <v>22245.97</v>
      </c>
    </row>
    <row r="40" spans="2:7" x14ac:dyDescent="0.3">
      <c r="B40" s="12" t="s">
        <v>83</v>
      </c>
      <c r="C40" s="3" t="s">
        <v>84</v>
      </c>
      <c r="D40" s="3" t="s">
        <v>9</v>
      </c>
      <c r="E40" s="3"/>
      <c r="F40" s="3" t="s">
        <v>15</v>
      </c>
      <c r="G40" s="4">
        <v>20637.580000000002</v>
      </c>
    </row>
    <row r="41" spans="2:7" x14ac:dyDescent="0.3">
      <c r="B41" s="12" t="s">
        <v>85</v>
      </c>
      <c r="C41" s="3" t="s">
        <v>86</v>
      </c>
      <c r="D41" s="3" t="s">
        <v>9</v>
      </c>
      <c r="E41" s="3"/>
      <c r="F41" s="3" t="s">
        <v>15</v>
      </c>
      <c r="G41" s="4">
        <v>20607.060000000001</v>
      </c>
    </row>
    <row r="42" spans="2:7" x14ac:dyDescent="0.3">
      <c r="B42" s="12" t="s">
        <v>87</v>
      </c>
      <c r="C42" s="3" t="s">
        <v>88</v>
      </c>
      <c r="D42" s="3" t="s">
        <v>9</v>
      </c>
      <c r="E42" s="3"/>
      <c r="F42" s="3" t="s">
        <v>15</v>
      </c>
      <c r="G42" s="4">
        <v>20449.650000000001</v>
      </c>
    </row>
    <row r="43" spans="2:7" x14ac:dyDescent="0.3">
      <c r="B43" s="12" t="s">
        <v>89</v>
      </c>
      <c r="C43" s="3" t="s">
        <v>90</v>
      </c>
      <c r="D43" s="3" t="s">
        <v>9</v>
      </c>
      <c r="E43" s="3" t="s">
        <v>10</v>
      </c>
      <c r="F43" s="3" t="s">
        <v>15</v>
      </c>
      <c r="G43" s="4">
        <v>20271.2</v>
      </c>
    </row>
    <row r="44" spans="2:7" x14ac:dyDescent="0.3">
      <c r="B44" s="12" t="s">
        <v>91</v>
      </c>
      <c r="C44" s="3" t="s">
        <v>92</v>
      </c>
      <c r="D44" s="3" t="s">
        <v>9</v>
      </c>
      <c r="E44" s="3"/>
      <c r="F44" s="3" t="s">
        <v>15</v>
      </c>
      <c r="G44" s="4">
        <v>19927.310000000001</v>
      </c>
    </row>
    <row r="45" spans="2:7" x14ac:dyDescent="0.3">
      <c r="B45" s="12" t="s">
        <v>93</v>
      </c>
      <c r="C45" s="3" t="s">
        <v>94</v>
      </c>
      <c r="D45" s="3" t="s">
        <v>9</v>
      </c>
      <c r="E45" s="3" t="s">
        <v>10</v>
      </c>
      <c r="F45" s="3" t="s">
        <v>15</v>
      </c>
      <c r="G45" s="4">
        <v>18932.63</v>
      </c>
    </row>
    <row r="46" spans="2:7" x14ac:dyDescent="0.3">
      <c r="B46" s="12">
        <v>7936</v>
      </c>
      <c r="C46" s="3" t="s">
        <v>96</v>
      </c>
      <c r="D46" s="3" t="s">
        <v>9</v>
      </c>
      <c r="E46" s="3"/>
      <c r="F46" s="3" t="s">
        <v>15</v>
      </c>
      <c r="G46" s="4">
        <v>18490.099999999999</v>
      </c>
    </row>
    <row r="47" spans="2:7" x14ac:dyDescent="0.3">
      <c r="B47" s="12" t="s">
        <v>97</v>
      </c>
      <c r="C47" s="3" t="s">
        <v>98</v>
      </c>
      <c r="D47" s="3" t="s">
        <v>9</v>
      </c>
      <c r="E47" s="3" t="s">
        <v>14</v>
      </c>
      <c r="F47" s="3" t="s">
        <v>15</v>
      </c>
      <c r="G47" s="4">
        <v>17935.25</v>
      </c>
    </row>
    <row r="48" spans="2:7" x14ac:dyDescent="0.3">
      <c r="B48" s="12" t="s">
        <v>99</v>
      </c>
      <c r="C48" s="3" t="s">
        <v>100</v>
      </c>
      <c r="D48" s="3" t="s">
        <v>9</v>
      </c>
      <c r="E48" s="3" t="s">
        <v>10</v>
      </c>
      <c r="F48" s="3" t="s">
        <v>15</v>
      </c>
      <c r="G48" s="4">
        <v>17901.060000000001</v>
      </c>
    </row>
    <row r="49" spans="2:7" x14ac:dyDescent="0.3">
      <c r="B49" s="12" t="s">
        <v>101</v>
      </c>
      <c r="C49" s="3" t="s">
        <v>102</v>
      </c>
      <c r="D49" s="3" t="s">
        <v>9</v>
      </c>
      <c r="E49" s="3"/>
      <c r="F49" s="3" t="s">
        <v>15</v>
      </c>
      <c r="G49" s="4">
        <v>17540.560000000001</v>
      </c>
    </row>
    <row r="50" spans="2:7" x14ac:dyDescent="0.3">
      <c r="B50" s="12" t="s">
        <v>103</v>
      </c>
      <c r="C50" s="3" t="s">
        <v>104</v>
      </c>
      <c r="D50" s="3" t="s">
        <v>9</v>
      </c>
      <c r="E50" s="3" t="s">
        <v>10</v>
      </c>
      <c r="F50" s="3" t="s">
        <v>15</v>
      </c>
      <c r="G50" s="4">
        <v>16940.71</v>
      </c>
    </row>
    <row r="51" spans="2:7" x14ac:dyDescent="0.3">
      <c r="B51" s="12" t="s">
        <v>105</v>
      </c>
      <c r="C51" s="3" t="s">
        <v>106</v>
      </c>
      <c r="D51" s="3" t="s">
        <v>9</v>
      </c>
      <c r="E51" s="3" t="s">
        <v>10</v>
      </c>
      <c r="F51" s="3" t="s">
        <v>15</v>
      </c>
      <c r="G51" s="4">
        <v>16338.01</v>
      </c>
    </row>
    <row r="52" spans="2:7" x14ac:dyDescent="0.3">
      <c r="B52" s="12" t="s">
        <v>107</v>
      </c>
      <c r="C52" s="3" t="s">
        <v>108</v>
      </c>
      <c r="D52" s="3" t="s">
        <v>9</v>
      </c>
      <c r="E52" s="3"/>
      <c r="F52" s="3" t="s">
        <v>15</v>
      </c>
      <c r="G52" s="4">
        <v>16285.48</v>
      </c>
    </row>
    <row r="53" spans="2:7" x14ac:dyDescent="0.3">
      <c r="B53" s="12" t="s">
        <v>109</v>
      </c>
      <c r="C53" s="3" t="s">
        <v>110</v>
      </c>
      <c r="D53" s="3" t="s">
        <v>9</v>
      </c>
      <c r="E53" s="3" t="s">
        <v>14</v>
      </c>
      <c r="F53" s="3" t="s">
        <v>15</v>
      </c>
      <c r="G53" s="4">
        <v>16009.2</v>
      </c>
    </row>
    <row r="54" spans="2:7" x14ac:dyDescent="0.3">
      <c r="B54" s="12" t="s">
        <v>111</v>
      </c>
      <c r="C54" s="3" t="s">
        <v>112</v>
      </c>
      <c r="D54" s="3" t="s">
        <v>9</v>
      </c>
      <c r="E54" s="3"/>
      <c r="F54" s="3" t="s">
        <v>15</v>
      </c>
      <c r="G54" s="4">
        <v>15935.93</v>
      </c>
    </row>
    <row r="55" spans="2:7" x14ac:dyDescent="0.3">
      <c r="B55" s="12" t="s">
        <v>113</v>
      </c>
      <c r="C55" s="3" t="s">
        <v>114</v>
      </c>
      <c r="D55" s="3" t="s">
        <v>9</v>
      </c>
      <c r="E55" s="3"/>
      <c r="F55" s="3" t="s">
        <v>15</v>
      </c>
      <c r="G55" s="4">
        <v>15914.98</v>
      </c>
    </row>
    <row r="56" spans="2:7" x14ac:dyDescent="0.3">
      <c r="B56" s="12" t="s">
        <v>115</v>
      </c>
      <c r="C56" s="3" t="s">
        <v>116</v>
      </c>
      <c r="D56" s="3" t="s">
        <v>9</v>
      </c>
      <c r="E56" s="3"/>
      <c r="F56" s="3" t="s">
        <v>15</v>
      </c>
      <c r="G56" s="4">
        <v>15764.71</v>
      </c>
    </row>
    <row r="57" spans="2:7" x14ac:dyDescent="0.3">
      <c r="B57" s="12" t="s">
        <v>117</v>
      </c>
      <c r="C57" s="3" t="s">
        <v>118</v>
      </c>
      <c r="D57" s="3" t="s">
        <v>9</v>
      </c>
      <c r="E57" s="3" t="s">
        <v>14</v>
      </c>
      <c r="F57" s="3" t="s">
        <v>15</v>
      </c>
      <c r="G57" s="4">
        <v>15592.81</v>
      </c>
    </row>
    <row r="58" spans="2:7" x14ac:dyDescent="0.3">
      <c r="B58" s="12" t="s">
        <v>119</v>
      </c>
      <c r="C58" s="3" t="s">
        <v>120</v>
      </c>
      <c r="D58" s="3" t="s">
        <v>9</v>
      </c>
      <c r="E58" s="3"/>
      <c r="F58" s="3" t="s">
        <v>15</v>
      </c>
      <c r="G58" s="4">
        <v>14880.81</v>
      </c>
    </row>
    <row r="59" spans="2:7" x14ac:dyDescent="0.3">
      <c r="B59" s="12" t="s">
        <v>121</v>
      </c>
      <c r="C59" s="3" t="s">
        <v>122</v>
      </c>
      <c r="D59" s="3" t="s">
        <v>9</v>
      </c>
      <c r="E59" s="3"/>
      <c r="F59" s="3" t="s">
        <v>15</v>
      </c>
      <c r="G59" s="4">
        <v>14592.82</v>
      </c>
    </row>
    <row r="60" spans="2:7" x14ac:dyDescent="0.3">
      <c r="B60" s="12" t="s">
        <v>123</v>
      </c>
      <c r="C60" s="3" t="s">
        <v>124</v>
      </c>
      <c r="D60" s="3" t="s">
        <v>9</v>
      </c>
      <c r="E60" s="3"/>
      <c r="F60" s="3" t="s">
        <v>15</v>
      </c>
      <c r="G60" s="4">
        <v>14199.46</v>
      </c>
    </row>
    <row r="61" spans="2:7" x14ac:dyDescent="0.3">
      <c r="B61" s="12" t="s">
        <v>125</v>
      </c>
      <c r="C61" s="3" t="s">
        <v>126</v>
      </c>
      <c r="D61" s="3" t="s">
        <v>9</v>
      </c>
      <c r="E61" s="3"/>
      <c r="F61" s="3" t="s">
        <v>15</v>
      </c>
      <c r="G61" s="4">
        <v>13906.55</v>
      </c>
    </row>
    <row r="62" spans="2:7" x14ac:dyDescent="0.3">
      <c r="B62" s="12" t="s">
        <v>127</v>
      </c>
      <c r="C62" s="3" t="s">
        <v>128</v>
      </c>
      <c r="D62" s="3" t="s">
        <v>9</v>
      </c>
      <c r="E62" s="3" t="s">
        <v>14</v>
      </c>
      <c r="F62" s="3" t="s">
        <v>15</v>
      </c>
      <c r="G62" s="4">
        <v>13844.21</v>
      </c>
    </row>
    <row r="63" spans="2:7" x14ac:dyDescent="0.3">
      <c r="B63" s="12" t="s">
        <v>129</v>
      </c>
      <c r="C63" s="3" t="s">
        <v>130</v>
      </c>
      <c r="D63" s="3" t="s">
        <v>9</v>
      </c>
      <c r="E63" s="3" t="s">
        <v>10</v>
      </c>
      <c r="F63" s="3" t="s">
        <v>15</v>
      </c>
      <c r="G63" s="4">
        <v>13590.84</v>
      </c>
    </row>
    <row r="64" spans="2:7" x14ac:dyDescent="0.3">
      <c r="B64" s="12" t="s">
        <v>131</v>
      </c>
      <c r="C64" s="3" t="s">
        <v>132</v>
      </c>
      <c r="D64" s="3" t="s">
        <v>9</v>
      </c>
      <c r="E64" s="3"/>
      <c r="F64" s="3" t="s">
        <v>15</v>
      </c>
      <c r="G64" s="4">
        <v>12998</v>
      </c>
    </row>
    <row r="65" spans="2:7" x14ac:dyDescent="0.3">
      <c r="B65" s="12" t="s">
        <v>133</v>
      </c>
      <c r="C65" s="3" t="s">
        <v>134</v>
      </c>
      <c r="D65" s="3" t="s">
        <v>9</v>
      </c>
      <c r="E65" s="3"/>
      <c r="F65" s="3" t="s">
        <v>15</v>
      </c>
      <c r="G65" s="4">
        <v>12913.39</v>
      </c>
    </row>
    <row r="66" spans="2:7" x14ac:dyDescent="0.3">
      <c r="B66" s="12" t="s">
        <v>135</v>
      </c>
      <c r="C66" s="3" t="s">
        <v>136</v>
      </c>
      <c r="D66" s="3" t="s">
        <v>9</v>
      </c>
      <c r="E66" s="3"/>
      <c r="F66" s="3" t="s">
        <v>15</v>
      </c>
      <c r="G66" s="4">
        <v>12468.87</v>
      </c>
    </row>
    <row r="67" spans="2:7" x14ac:dyDescent="0.3">
      <c r="B67" s="12" t="s">
        <v>137</v>
      </c>
      <c r="C67" s="3" t="s">
        <v>138</v>
      </c>
      <c r="D67" s="3" t="s">
        <v>9</v>
      </c>
      <c r="E67" s="3" t="s">
        <v>10</v>
      </c>
      <c r="F67" s="3" t="s">
        <v>15</v>
      </c>
      <c r="G67" s="4">
        <v>12356.13</v>
      </c>
    </row>
    <row r="68" spans="2:7" x14ac:dyDescent="0.3">
      <c r="B68" s="12">
        <v>8113</v>
      </c>
      <c r="C68" s="3" t="s">
        <v>140</v>
      </c>
      <c r="D68" s="3" t="s">
        <v>9</v>
      </c>
      <c r="E68" s="3"/>
      <c r="F68" s="3" t="s">
        <v>15</v>
      </c>
      <c r="G68" s="4">
        <v>11632.46</v>
      </c>
    </row>
    <row r="69" spans="2:7" x14ac:dyDescent="0.3">
      <c r="B69" s="12" t="s">
        <v>141</v>
      </c>
      <c r="C69" s="3" t="s">
        <v>142</v>
      </c>
      <c r="D69" s="3" t="s">
        <v>9</v>
      </c>
      <c r="E69" s="3" t="s">
        <v>14</v>
      </c>
      <c r="F69" s="3" t="s">
        <v>15</v>
      </c>
      <c r="G69" s="4">
        <v>11510.87</v>
      </c>
    </row>
    <row r="70" spans="2:7" x14ac:dyDescent="0.3">
      <c r="B70" s="12" t="s">
        <v>143</v>
      </c>
      <c r="C70" s="3" t="s">
        <v>144</v>
      </c>
      <c r="D70" s="3" t="s">
        <v>9</v>
      </c>
      <c r="E70" s="3" t="s">
        <v>10</v>
      </c>
      <c r="F70" s="3" t="s">
        <v>15</v>
      </c>
      <c r="G70" s="4">
        <v>11355.96</v>
      </c>
    </row>
    <row r="71" spans="2:7" x14ac:dyDescent="0.3">
      <c r="B71" s="12" t="s">
        <v>145</v>
      </c>
      <c r="C71" s="3" t="s">
        <v>146</v>
      </c>
      <c r="D71" s="3" t="s">
        <v>9</v>
      </c>
      <c r="E71" s="3" t="s">
        <v>10</v>
      </c>
      <c r="F71" s="3" t="s">
        <v>15</v>
      </c>
      <c r="G71" s="4">
        <v>11246.75</v>
      </c>
    </row>
    <row r="72" spans="2:7" x14ac:dyDescent="0.3">
      <c r="B72" s="12" t="s">
        <v>147</v>
      </c>
      <c r="C72" s="3" t="s">
        <v>148</v>
      </c>
      <c r="D72" s="3" t="s">
        <v>9</v>
      </c>
      <c r="E72" s="3"/>
      <c r="F72" s="3" t="s">
        <v>15</v>
      </c>
      <c r="G72" s="4">
        <v>11155.46</v>
      </c>
    </row>
    <row r="73" spans="2:7" x14ac:dyDescent="0.3">
      <c r="B73" s="12" t="s">
        <v>149</v>
      </c>
      <c r="C73" s="3" t="s">
        <v>150</v>
      </c>
      <c r="D73" s="3" t="s">
        <v>9</v>
      </c>
      <c r="E73" s="3"/>
      <c r="F73" s="3" t="s">
        <v>15</v>
      </c>
      <c r="G73" s="4">
        <v>10611.91</v>
      </c>
    </row>
    <row r="74" spans="2:7" x14ac:dyDescent="0.3">
      <c r="B74" s="12" t="s">
        <v>151</v>
      </c>
      <c r="C74" s="3" t="s">
        <v>152</v>
      </c>
      <c r="D74" s="3" t="s">
        <v>9</v>
      </c>
      <c r="E74" s="3" t="s">
        <v>10</v>
      </c>
      <c r="F74" s="3" t="s">
        <v>15</v>
      </c>
      <c r="G74" s="4">
        <v>10381.99</v>
      </c>
    </row>
    <row r="75" spans="2:7" x14ac:dyDescent="0.3">
      <c r="B75" s="12" t="s">
        <v>153</v>
      </c>
      <c r="C75" s="3" t="s">
        <v>154</v>
      </c>
      <c r="D75" s="3" t="s">
        <v>9</v>
      </c>
      <c r="E75" s="3"/>
      <c r="F75" s="3" t="s">
        <v>15</v>
      </c>
      <c r="G75" s="4">
        <v>10376.129999999999</v>
      </c>
    </row>
    <row r="76" spans="2:7" x14ac:dyDescent="0.3">
      <c r="B76" s="12" t="s">
        <v>155</v>
      </c>
      <c r="C76" s="3" t="s">
        <v>156</v>
      </c>
      <c r="D76" s="3" t="s">
        <v>9</v>
      </c>
      <c r="E76" s="3" t="s">
        <v>10</v>
      </c>
      <c r="F76" s="3" t="s">
        <v>15</v>
      </c>
      <c r="G76" s="4">
        <v>10293.58</v>
      </c>
    </row>
    <row r="77" spans="2:7" x14ac:dyDescent="0.3">
      <c r="B77" s="12" t="s">
        <v>157</v>
      </c>
      <c r="C77" s="3" t="s">
        <v>158</v>
      </c>
      <c r="D77" s="3" t="s">
        <v>9</v>
      </c>
      <c r="E77" s="3"/>
      <c r="F77" s="3" t="s">
        <v>15</v>
      </c>
      <c r="G77" s="4">
        <v>9845.6</v>
      </c>
    </row>
    <row r="78" spans="2:7" x14ac:dyDescent="0.3">
      <c r="B78" s="12" t="s">
        <v>159</v>
      </c>
      <c r="C78" s="3" t="s">
        <v>160</v>
      </c>
      <c r="D78" s="3" t="s">
        <v>9</v>
      </c>
      <c r="E78" s="3" t="s">
        <v>14</v>
      </c>
      <c r="F78" s="3" t="s">
        <v>15</v>
      </c>
      <c r="G78" s="4">
        <v>9742.0499999999993</v>
      </c>
    </row>
    <row r="79" spans="2:7" x14ac:dyDescent="0.3">
      <c r="B79" s="12" t="s">
        <v>161</v>
      </c>
      <c r="C79" s="3" t="s">
        <v>162</v>
      </c>
      <c r="D79" s="3" t="s">
        <v>9</v>
      </c>
      <c r="E79" s="3" t="s">
        <v>14</v>
      </c>
      <c r="F79" s="3" t="s">
        <v>15</v>
      </c>
      <c r="G79" s="4">
        <v>9720.17</v>
      </c>
    </row>
    <row r="80" spans="2:7" x14ac:dyDescent="0.3">
      <c r="B80" s="12" t="s">
        <v>163</v>
      </c>
      <c r="C80" s="3" t="s">
        <v>164</v>
      </c>
      <c r="D80" s="3" t="s">
        <v>9</v>
      </c>
      <c r="E80" s="3"/>
      <c r="F80" s="3" t="s">
        <v>15</v>
      </c>
      <c r="G80" s="4">
        <v>9706.06</v>
      </c>
    </row>
    <row r="81" spans="2:7" x14ac:dyDescent="0.3">
      <c r="B81" s="12" t="s">
        <v>165</v>
      </c>
      <c r="C81" s="3" t="s">
        <v>166</v>
      </c>
      <c r="D81" s="3" t="s">
        <v>9</v>
      </c>
      <c r="E81" s="3" t="s">
        <v>14</v>
      </c>
      <c r="F81" s="3" t="s">
        <v>15</v>
      </c>
      <c r="G81" s="4">
        <v>9681.42</v>
      </c>
    </row>
    <row r="82" spans="2:7" x14ac:dyDescent="0.3">
      <c r="B82" s="12" t="s">
        <v>167</v>
      </c>
      <c r="C82" s="3" t="s">
        <v>168</v>
      </c>
      <c r="D82" s="3" t="s">
        <v>9</v>
      </c>
      <c r="E82" s="3" t="s">
        <v>10</v>
      </c>
      <c r="F82" s="3" t="s">
        <v>15</v>
      </c>
      <c r="G82" s="4">
        <v>9672.93</v>
      </c>
    </row>
    <row r="83" spans="2:7" x14ac:dyDescent="0.3">
      <c r="B83" s="12" t="s">
        <v>169</v>
      </c>
      <c r="C83" s="3" t="s">
        <v>170</v>
      </c>
      <c r="D83" s="3" t="s">
        <v>9</v>
      </c>
      <c r="E83" s="3"/>
      <c r="F83" s="3" t="s">
        <v>15</v>
      </c>
      <c r="G83" s="4">
        <v>9429.34</v>
      </c>
    </row>
    <row r="84" spans="2:7" x14ac:dyDescent="0.3">
      <c r="B84" s="12" t="s">
        <v>171</v>
      </c>
      <c r="C84" s="3" t="s">
        <v>172</v>
      </c>
      <c r="D84" s="3" t="s">
        <v>9</v>
      </c>
      <c r="E84" s="3" t="s">
        <v>10</v>
      </c>
      <c r="F84" s="3" t="s">
        <v>15</v>
      </c>
      <c r="G84" s="4">
        <v>9419.34</v>
      </c>
    </row>
    <row r="85" spans="2:7" x14ac:dyDescent="0.3">
      <c r="B85" s="12" t="s">
        <v>173</v>
      </c>
      <c r="C85" s="3" t="s">
        <v>174</v>
      </c>
      <c r="D85" s="3" t="s">
        <v>9</v>
      </c>
      <c r="E85" s="3" t="s">
        <v>14</v>
      </c>
      <c r="F85" s="3" t="s">
        <v>15</v>
      </c>
      <c r="G85" s="4">
        <v>9342.32</v>
      </c>
    </row>
    <row r="86" spans="2:7" x14ac:dyDescent="0.3">
      <c r="B86" s="12" t="s">
        <v>175</v>
      </c>
      <c r="C86" s="3" t="s">
        <v>176</v>
      </c>
      <c r="D86" s="3" t="s">
        <v>9</v>
      </c>
      <c r="E86" s="3"/>
      <c r="F86" s="3" t="s">
        <v>15</v>
      </c>
      <c r="G86" s="4">
        <v>9317.39</v>
      </c>
    </row>
    <row r="87" spans="2:7" x14ac:dyDescent="0.3">
      <c r="B87" s="12" t="s">
        <v>177</v>
      </c>
      <c r="C87" s="3" t="s">
        <v>178</v>
      </c>
      <c r="D87" s="3" t="s">
        <v>9</v>
      </c>
      <c r="E87" s="3" t="s">
        <v>10</v>
      </c>
      <c r="F87" s="3" t="s">
        <v>15</v>
      </c>
      <c r="G87" s="4">
        <v>9134.58</v>
      </c>
    </row>
    <row r="88" spans="2:7" x14ac:dyDescent="0.3">
      <c r="B88" s="12" t="s">
        <v>179</v>
      </c>
      <c r="C88" s="3" t="s">
        <v>180</v>
      </c>
      <c r="D88" s="3" t="s">
        <v>9</v>
      </c>
      <c r="E88" s="3" t="s">
        <v>10</v>
      </c>
      <c r="F88" s="3" t="s">
        <v>15</v>
      </c>
      <c r="G88" s="4">
        <v>9036.86</v>
      </c>
    </row>
    <row r="89" spans="2:7" x14ac:dyDescent="0.3">
      <c r="B89" s="12" t="s">
        <v>181</v>
      </c>
      <c r="C89" s="3" t="s">
        <v>182</v>
      </c>
      <c r="D89" s="3" t="s">
        <v>9</v>
      </c>
      <c r="E89" s="3" t="s">
        <v>10</v>
      </c>
      <c r="F89" s="3" t="s">
        <v>15</v>
      </c>
      <c r="G89" s="4">
        <v>9011.07</v>
      </c>
    </row>
    <row r="90" spans="2:7" x14ac:dyDescent="0.3">
      <c r="B90" s="12" t="s">
        <v>183</v>
      </c>
      <c r="C90" s="3" t="s">
        <v>184</v>
      </c>
      <c r="D90" s="3" t="s">
        <v>9</v>
      </c>
      <c r="E90" s="3" t="s">
        <v>10</v>
      </c>
      <c r="F90" s="3" t="s">
        <v>15</v>
      </c>
      <c r="G90" s="4">
        <v>8521.68</v>
      </c>
    </row>
    <row r="91" spans="2:7" x14ac:dyDescent="0.3">
      <c r="B91" s="12" t="s">
        <v>185</v>
      </c>
      <c r="C91" s="3" t="s">
        <v>186</v>
      </c>
      <c r="D91" s="3" t="s">
        <v>9</v>
      </c>
      <c r="E91" s="3"/>
      <c r="F91" s="3" t="s">
        <v>15</v>
      </c>
      <c r="G91" s="4">
        <v>8272.73</v>
      </c>
    </row>
    <row r="92" spans="2:7" x14ac:dyDescent="0.3">
      <c r="B92" s="12" t="s">
        <v>187</v>
      </c>
      <c r="C92" s="3" t="s">
        <v>188</v>
      </c>
      <c r="D92" s="3" t="s">
        <v>9</v>
      </c>
      <c r="E92" s="3" t="s">
        <v>14</v>
      </c>
      <c r="F92" s="3" t="s">
        <v>15</v>
      </c>
      <c r="G92" s="4">
        <v>8228.2800000000007</v>
      </c>
    </row>
    <row r="93" spans="2:7" x14ac:dyDescent="0.3">
      <c r="B93" s="12" t="s">
        <v>189</v>
      </c>
      <c r="C93" s="3" t="s">
        <v>190</v>
      </c>
      <c r="D93" s="3" t="s">
        <v>9</v>
      </c>
      <c r="E93" s="3"/>
      <c r="F93" s="3" t="s">
        <v>15</v>
      </c>
      <c r="G93" s="4">
        <v>8186.62</v>
      </c>
    </row>
    <row r="94" spans="2:7" x14ac:dyDescent="0.3">
      <c r="B94" s="12" t="s">
        <v>191</v>
      </c>
      <c r="C94" s="3" t="s">
        <v>192</v>
      </c>
      <c r="D94" s="3" t="s">
        <v>9</v>
      </c>
      <c r="E94" s="3" t="s">
        <v>14</v>
      </c>
      <c r="F94" s="3" t="s">
        <v>15</v>
      </c>
      <c r="G94" s="4">
        <v>8139</v>
      </c>
    </row>
    <row r="95" spans="2:7" x14ac:dyDescent="0.3">
      <c r="B95" s="12" t="s">
        <v>193</v>
      </c>
      <c r="C95" s="3" t="s">
        <v>194</v>
      </c>
      <c r="D95" s="3" t="s">
        <v>9</v>
      </c>
      <c r="E95" s="3" t="s">
        <v>14</v>
      </c>
      <c r="F95" s="3" t="s">
        <v>15</v>
      </c>
      <c r="G95" s="4">
        <v>8083.64</v>
      </c>
    </row>
    <row r="96" spans="2:7" x14ac:dyDescent="0.3">
      <c r="B96" s="12" t="s">
        <v>195</v>
      </c>
      <c r="C96" s="3" t="s">
        <v>196</v>
      </c>
      <c r="D96" s="3" t="s">
        <v>9</v>
      </c>
      <c r="E96" s="3"/>
      <c r="F96" s="3" t="s">
        <v>15</v>
      </c>
      <c r="G96" s="4">
        <v>7887.4</v>
      </c>
    </row>
    <row r="97" spans="2:7" x14ac:dyDescent="0.3">
      <c r="B97" s="12" t="s">
        <v>197</v>
      </c>
      <c r="C97" s="3" t="s">
        <v>198</v>
      </c>
      <c r="D97" s="3" t="s">
        <v>9</v>
      </c>
      <c r="E97" s="3" t="s">
        <v>14</v>
      </c>
      <c r="F97" s="3" t="s">
        <v>15</v>
      </c>
      <c r="G97" s="4">
        <v>7881.16</v>
      </c>
    </row>
    <row r="98" spans="2:7" x14ac:dyDescent="0.3">
      <c r="B98" s="12" t="s">
        <v>199</v>
      </c>
      <c r="C98" s="3" t="s">
        <v>200</v>
      </c>
      <c r="D98" s="3" t="s">
        <v>9</v>
      </c>
      <c r="E98" s="3" t="s">
        <v>10</v>
      </c>
      <c r="F98" s="3" t="s">
        <v>15</v>
      </c>
      <c r="G98" s="4">
        <v>7773.72</v>
      </c>
    </row>
    <row r="99" spans="2:7" x14ac:dyDescent="0.3">
      <c r="B99" s="12" t="s">
        <v>201</v>
      </c>
      <c r="C99" s="3" t="s">
        <v>202</v>
      </c>
      <c r="D99" s="3" t="s">
        <v>9</v>
      </c>
      <c r="E99" s="3"/>
      <c r="F99" s="3" t="s">
        <v>15</v>
      </c>
      <c r="G99" s="4">
        <v>7287.31</v>
      </c>
    </row>
    <row r="100" spans="2:7" x14ac:dyDescent="0.3">
      <c r="B100" s="12" t="s">
        <v>203</v>
      </c>
      <c r="C100" s="3" t="s">
        <v>204</v>
      </c>
      <c r="D100" s="3" t="s">
        <v>9</v>
      </c>
      <c r="E100" s="3"/>
      <c r="F100" s="3" t="s">
        <v>15</v>
      </c>
      <c r="G100" s="4">
        <v>7239.44</v>
      </c>
    </row>
    <row r="101" spans="2:7" x14ac:dyDescent="0.3">
      <c r="B101" s="12" t="s">
        <v>205</v>
      </c>
      <c r="C101" s="3" t="s">
        <v>206</v>
      </c>
      <c r="D101" s="3" t="s">
        <v>9</v>
      </c>
      <c r="E101" s="3"/>
      <c r="F101" s="3" t="s">
        <v>15</v>
      </c>
      <c r="G101" s="4">
        <v>7225.77</v>
      </c>
    </row>
    <row r="102" spans="2:7" x14ac:dyDescent="0.3">
      <c r="B102" s="12" t="s">
        <v>207</v>
      </c>
      <c r="C102" s="3" t="s">
        <v>208</v>
      </c>
      <c r="D102" s="3" t="s">
        <v>9</v>
      </c>
      <c r="E102" s="3"/>
      <c r="F102" s="3" t="s">
        <v>15</v>
      </c>
      <c r="G102" s="4">
        <v>6974.34</v>
      </c>
    </row>
    <row r="103" spans="2:7" x14ac:dyDescent="0.3">
      <c r="B103" s="12" t="s">
        <v>209</v>
      </c>
      <c r="C103" s="3" t="s">
        <v>210</v>
      </c>
      <c r="D103" s="3" t="s">
        <v>9</v>
      </c>
      <c r="E103" s="3"/>
      <c r="F103" s="3" t="s">
        <v>15</v>
      </c>
      <c r="G103" s="4">
        <v>6912.88</v>
      </c>
    </row>
    <row r="104" spans="2:7" x14ac:dyDescent="0.3">
      <c r="B104" s="12" t="s">
        <v>211</v>
      </c>
      <c r="C104" s="3" t="s">
        <v>212</v>
      </c>
      <c r="D104" s="3" t="s">
        <v>9</v>
      </c>
      <c r="E104" s="3"/>
      <c r="F104" s="3" t="s">
        <v>15</v>
      </c>
      <c r="G104" s="4">
        <v>6896.68</v>
      </c>
    </row>
    <row r="105" spans="2:7" x14ac:dyDescent="0.3">
      <c r="B105" s="12" t="s">
        <v>213</v>
      </c>
      <c r="C105" s="3" t="s">
        <v>214</v>
      </c>
      <c r="D105" s="3" t="s">
        <v>9</v>
      </c>
      <c r="E105" s="3"/>
      <c r="F105" s="3" t="s">
        <v>15</v>
      </c>
      <c r="G105" s="4">
        <v>6896.18</v>
      </c>
    </row>
    <row r="106" spans="2:7" x14ac:dyDescent="0.3">
      <c r="B106" s="12" t="s">
        <v>215</v>
      </c>
      <c r="C106" s="3" t="s">
        <v>216</v>
      </c>
      <c r="D106" s="3" t="s">
        <v>9</v>
      </c>
      <c r="E106" s="3"/>
      <c r="F106" s="3" t="s">
        <v>15</v>
      </c>
      <c r="G106" s="4">
        <v>6642.4</v>
      </c>
    </row>
    <row r="107" spans="2:7" x14ac:dyDescent="0.3">
      <c r="B107" s="12" t="s">
        <v>217</v>
      </c>
      <c r="C107" s="3" t="s">
        <v>218</v>
      </c>
      <c r="D107" s="3" t="s">
        <v>9</v>
      </c>
      <c r="E107" s="3"/>
      <c r="F107" s="3" t="s">
        <v>15</v>
      </c>
      <c r="G107" s="4">
        <v>6632.63</v>
      </c>
    </row>
    <row r="108" spans="2:7" x14ac:dyDescent="0.3">
      <c r="B108" s="12" t="s">
        <v>219</v>
      </c>
      <c r="C108" s="3" t="s">
        <v>220</v>
      </c>
      <c r="D108" s="3" t="s">
        <v>9</v>
      </c>
      <c r="E108" s="3" t="s">
        <v>10</v>
      </c>
      <c r="F108" s="3" t="s">
        <v>15</v>
      </c>
      <c r="G108" s="4">
        <v>6608.15</v>
      </c>
    </row>
    <row r="109" spans="2:7" x14ac:dyDescent="0.3">
      <c r="B109" s="12" t="s">
        <v>221</v>
      </c>
      <c r="C109" s="3" t="s">
        <v>222</v>
      </c>
      <c r="D109" s="3" t="s">
        <v>9</v>
      </c>
      <c r="E109" s="3"/>
      <c r="F109" s="3" t="s">
        <v>15</v>
      </c>
      <c r="G109" s="4">
        <v>6593.99</v>
      </c>
    </row>
    <row r="110" spans="2:7" x14ac:dyDescent="0.3">
      <c r="B110" s="12" t="s">
        <v>223</v>
      </c>
      <c r="C110" s="3" t="s">
        <v>224</v>
      </c>
      <c r="D110" s="3" t="s">
        <v>9</v>
      </c>
      <c r="E110" s="3"/>
      <c r="F110" s="3" t="s">
        <v>15</v>
      </c>
      <c r="G110" s="4">
        <v>6502.64</v>
      </c>
    </row>
    <row r="111" spans="2:7" x14ac:dyDescent="0.3">
      <c r="B111" s="12" t="s">
        <v>225</v>
      </c>
      <c r="C111" s="3" t="s">
        <v>226</v>
      </c>
      <c r="D111" s="3" t="s">
        <v>9</v>
      </c>
      <c r="E111" s="3" t="s">
        <v>10</v>
      </c>
      <c r="F111" s="3" t="s">
        <v>15</v>
      </c>
      <c r="G111" s="4">
        <v>5941.47</v>
      </c>
    </row>
    <row r="112" spans="2:7" x14ac:dyDescent="0.3">
      <c r="B112" s="12" t="s">
        <v>227</v>
      </c>
      <c r="C112" s="3" t="s">
        <v>228</v>
      </c>
      <c r="D112" s="3" t="s">
        <v>9</v>
      </c>
      <c r="E112" s="3" t="s">
        <v>10</v>
      </c>
      <c r="F112" s="3" t="s">
        <v>15</v>
      </c>
      <c r="G112" s="4">
        <v>5882.91</v>
      </c>
    </row>
    <row r="113" spans="2:7" x14ac:dyDescent="0.3">
      <c r="B113" s="12" t="s">
        <v>229</v>
      </c>
      <c r="C113" s="3" t="s">
        <v>230</v>
      </c>
      <c r="D113" s="3" t="s">
        <v>9</v>
      </c>
      <c r="E113" s="3" t="s">
        <v>14</v>
      </c>
      <c r="F113" s="3" t="s">
        <v>15</v>
      </c>
      <c r="G113" s="4">
        <v>5872.14</v>
      </c>
    </row>
    <row r="114" spans="2:7" x14ac:dyDescent="0.3">
      <c r="B114" s="12" t="s">
        <v>231</v>
      </c>
      <c r="C114" s="3" t="s">
        <v>232</v>
      </c>
      <c r="D114" s="3" t="s">
        <v>9</v>
      </c>
      <c r="E114" s="3"/>
      <c r="F114" s="3" t="s">
        <v>15</v>
      </c>
      <c r="G114" s="4">
        <v>5807.06</v>
      </c>
    </row>
    <row r="115" spans="2:7" x14ac:dyDescent="0.3">
      <c r="B115" s="12" t="s">
        <v>233</v>
      </c>
      <c r="C115" s="3" t="s">
        <v>234</v>
      </c>
      <c r="D115" s="3" t="s">
        <v>9</v>
      </c>
      <c r="E115" s="3" t="s">
        <v>14</v>
      </c>
      <c r="F115" s="3" t="s">
        <v>15</v>
      </c>
      <c r="G115" s="4">
        <v>5760.89</v>
      </c>
    </row>
    <row r="116" spans="2:7" x14ac:dyDescent="0.3">
      <c r="B116" s="12" t="s">
        <v>235</v>
      </c>
      <c r="C116" s="3" t="s">
        <v>236</v>
      </c>
      <c r="D116" s="3" t="s">
        <v>9</v>
      </c>
      <c r="E116" s="3"/>
      <c r="F116" s="3" t="s">
        <v>15</v>
      </c>
      <c r="G116" s="4">
        <v>5723.91</v>
      </c>
    </row>
    <row r="117" spans="2:7" x14ac:dyDescent="0.3">
      <c r="B117" s="12" t="s">
        <v>237</v>
      </c>
      <c r="C117" s="3" t="s">
        <v>238</v>
      </c>
      <c r="D117" s="3" t="s">
        <v>9</v>
      </c>
      <c r="E117" s="3"/>
      <c r="F117" s="3" t="s">
        <v>15</v>
      </c>
      <c r="G117" s="4">
        <v>5294.85</v>
      </c>
    </row>
    <row r="118" spans="2:7" x14ac:dyDescent="0.3">
      <c r="B118" s="12" t="s">
        <v>239</v>
      </c>
      <c r="C118" s="3" t="s">
        <v>240</v>
      </c>
      <c r="D118" s="3" t="s">
        <v>9</v>
      </c>
      <c r="E118" s="3" t="s">
        <v>10</v>
      </c>
      <c r="F118" s="3" t="s">
        <v>15</v>
      </c>
      <c r="G118" s="4">
        <v>5244.7</v>
      </c>
    </row>
    <row r="119" spans="2:7" x14ac:dyDescent="0.3">
      <c r="B119" s="12" t="s">
        <v>241</v>
      </c>
      <c r="C119" s="3" t="s">
        <v>242</v>
      </c>
      <c r="D119" s="3" t="s">
        <v>9</v>
      </c>
      <c r="E119" s="3"/>
      <c r="F119" s="3" t="s">
        <v>15</v>
      </c>
      <c r="G119" s="4">
        <v>5185.5200000000004</v>
      </c>
    </row>
    <row r="120" spans="2:7" x14ac:dyDescent="0.3">
      <c r="B120" s="12" t="s">
        <v>243</v>
      </c>
      <c r="C120" s="3" t="s">
        <v>244</v>
      </c>
      <c r="D120" s="3" t="s">
        <v>9</v>
      </c>
      <c r="E120" s="3"/>
      <c r="F120" s="3" t="s">
        <v>15</v>
      </c>
      <c r="G120" s="4">
        <v>5043.5</v>
      </c>
    </row>
    <row r="121" spans="2:7" x14ac:dyDescent="0.3">
      <c r="B121" s="12" t="s">
        <v>245</v>
      </c>
      <c r="C121" s="3" t="s">
        <v>246</v>
      </c>
      <c r="D121" s="3" t="s">
        <v>9</v>
      </c>
      <c r="E121" s="3"/>
      <c r="F121" s="3" t="s">
        <v>15</v>
      </c>
      <c r="G121" s="4">
        <v>4845.88</v>
      </c>
    </row>
    <row r="122" spans="2:7" x14ac:dyDescent="0.3">
      <c r="B122" s="12" t="s">
        <v>247</v>
      </c>
      <c r="C122" s="3" t="s">
        <v>248</v>
      </c>
      <c r="D122" s="3" t="s">
        <v>9</v>
      </c>
      <c r="E122" s="3"/>
      <c r="F122" s="3" t="s">
        <v>15</v>
      </c>
      <c r="G122" s="4">
        <v>4824.16</v>
      </c>
    </row>
    <row r="123" spans="2:7" x14ac:dyDescent="0.3">
      <c r="B123" s="12" t="s">
        <v>249</v>
      </c>
      <c r="C123" s="3" t="s">
        <v>250</v>
      </c>
      <c r="D123" s="3" t="s">
        <v>9</v>
      </c>
      <c r="E123" s="3" t="s">
        <v>10</v>
      </c>
      <c r="F123" s="3" t="s">
        <v>15</v>
      </c>
      <c r="G123" s="4">
        <v>4748.8599999999997</v>
      </c>
    </row>
    <row r="124" spans="2:7" x14ac:dyDescent="0.3">
      <c r="B124" s="12" t="s">
        <v>251</v>
      </c>
      <c r="C124" s="3" t="s">
        <v>252</v>
      </c>
      <c r="D124" s="3" t="s">
        <v>9</v>
      </c>
      <c r="E124" s="3"/>
      <c r="F124" s="3" t="s">
        <v>15</v>
      </c>
      <c r="G124" s="4">
        <v>4693.26</v>
      </c>
    </row>
    <row r="125" spans="2:7" x14ac:dyDescent="0.3">
      <c r="B125" s="12" t="s">
        <v>253</v>
      </c>
      <c r="C125" s="3" t="s">
        <v>254</v>
      </c>
      <c r="D125" s="3" t="s">
        <v>9</v>
      </c>
      <c r="E125" s="3" t="s">
        <v>10</v>
      </c>
      <c r="F125" s="3" t="s">
        <v>15</v>
      </c>
      <c r="G125" s="4">
        <v>4660.99</v>
      </c>
    </row>
    <row r="126" spans="2:7" x14ac:dyDescent="0.3">
      <c r="B126" s="12" t="s">
        <v>255</v>
      </c>
      <c r="C126" s="3" t="s">
        <v>256</v>
      </c>
      <c r="D126" s="3" t="s">
        <v>9</v>
      </c>
      <c r="E126" s="3" t="s">
        <v>10</v>
      </c>
      <c r="F126" s="3" t="s">
        <v>15</v>
      </c>
      <c r="G126" s="4">
        <v>4543.1499999999996</v>
      </c>
    </row>
    <row r="127" spans="2:7" x14ac:dyDescent="0.3">
      <c r="B127" s="12" t="s">
        <v>257</v>
      </c>
      <c r="C127" s="3" t="s">
        <v>258</v>
      </c>
      <c r="D127" s="3" t="s">
        <v>9</v>
      </c>
      <c r="E127" s="3" t="s">
        <v>14</v>
      </c>
      <c r="F127" s="3" t="s">
        <v>15</v>
      </c>
      <c r="G127" s="4">
        <v>4522.68</v>
      </c>
    </row>
    <row r="128" spans="2:7" x14ac:dyDescent="0.3">
      <c r="B128" s="12" t="s">
        <v>259</v>
      </c>
      <c r="C128" s="3" t="s">
        <v>260</v>
      </c>
      <c r="D128" s="3" t="s">
        <v>9</v>
      </c>
      <c r="E128" s="3"/>
      <c r="F128" s="3" t="s">
        <v>15</v>
      </c>
      <c r="G128" s="4">
        <v>4482.2</v>
      </c>
    </row>
    <row r="129" spans="2:7" x14ac:dyDescent="0.3">
      <c r="B129" s="12" t="s">
        <v>177</v>
      </c>
      <c r="C129" s="3" t="s">
        <v>261</v>
      </c>
      <c r="D129" s="3" t="s">
        <v>9</v>
      </c>
      <c r="E129" s="3"/>
      <c r="F129" s="3" t="s">
        <v>15</v>
      </c>
      <c r="G129" s="4">
        <v>4469.7</v>
      </c>
    </row>
    <row r="130" spans="2:7" x14ac:dyDescent="0.3">
      <c r="B130" s="12">
        <v>500164</v>
      </c>
      <c r="C130" s="3" t="s">
        <v>262</v>
      </c>
      <c r="D130" s="3" t="s">
        <v>9</v>
      </c>
      <c r="E130" s="3"/>
      <c r="F130" s="3" t="s">
        <v>15</v>
      </c>
      <c r="G130" s="4">
        <v>4401.28</v>
      </c>
    </row>
    <row r="131" spans="2:7" x14ac:dyDescent="0.3">
      <c r="B131" s="12" t="s">
        <v>263</v>
      </c>
      <c r="C131" s="3" t="s">
        <v>264</v>
      </c>
      <c r="D131" s="3" t="s">
        <v>9</v>
      </c>
      <c r="E131" s="3"/>
      <c r="F131" s="3" t="s">
        <v>15</v>
      </c>
      <c r="G131" s="4">
        <v>4372.1000000000004</v>
      </c>
    </row>
    <row r="132" spans="2:7" x14ac:dyDescent="0.3">
      <c r="B132" s="12" t="s">
        <v>265</v>
      </c>
      <c r="C132" s="3" t="s">
        <v>266</v>
      </c>
      <c r="D132" s="3" t="s">
        <v>9</v>
      </c>
      <c r="E132" s="3"/>
      <c r="F132" s="3" t="s">
        <v>15</v>
      </c>
      <c r="G132" s="4">
        <v>4140.1400000000003</v>
      </c>
    </row>
    <row r="133" spans="2:7" x14ac:dyDescent="0.3">
      <c r="B133" s="12" t="s">
        <v>267</v>
      </c>
      <c r="C133" s="3" t="s">
        <v>268</v>
      </c>
      <c r="D133" s="3" t="s">
        <v>9</v>
      </c>
      <c r="E133" s="3"/>
      <c r="F133" s="3" t="s">
        <v>15</v>
      </c>
      <c r="G133" s="4">
        <v>4135.7299999999996</v>
      </c>
    </row>
    <row r="134" spans="2:7" x14ac:dyDescent="0.3">
      <c r="B134" s="12" t="s">
        <v>269</v>
      </c>
      <c r="C134" s="3" t="s">
        <v>270</v>
      </c>
      <c r="D134" s="3" t="s">
        <v>9</v>
      </c>
      <c r="E134" s="3"/>
      <c r="F134" s="3" t="s">
        <v>15</v>
      </c>
      <c r="G134" s="4">
        <v>4114.2700000000004</v>
      </c>
    </row>
    <row r="135" spans="2:7" x14ac:dyDescent="0.3">
      <c r="B135" s="12" t="s">
        <v>271</v>
      </c>
      <c r="C135" s="3" t="s">
        <v>272</v>
      </c>
      <c r="D135" s="3" t="s">
        <v>9</v>
      </c>
      <c r="E135" s="3" t="s">
        <v>10</v>
      </c>
      <c r="F135" s="3" t="s">
        <v>15</v>
      </c>
      <c r="G135" s="4">
        <v>4010.65</v>
      </c>
    </row>
    <row r="136" spans="2:7" x14ac:dyDescent="0.3">
      <c r="B136" s="12" t="s">
        <v>273</v>
      </c>
      <c r="C136" s="3" t="s">
        <v>274</v>
      </c>
      <c r="D136" s="3" t="s">
        <v>9</v>
      </c>
      <c r="E136" s="3"/>
      <c r="F136" s="3" t="s">
        <v>15</v>
      </c>
      <c r="G136" s="4">
        <v>3977.97</v>
      </c>
    </row>
    <row r="137" spans="2:7" x14ac:dyDescent="0.3">
      <c r="B137" s="12" t="s">
        <v>275</v>
      </c>
      <c r="C137" s="3" t="s">
        <v>276</v>
      </c>
      <c r="D137" s="3" t="s">
        <v>9</v>
      </c>
      <c r="E137" s="3"/>
      <c r="F137" s="3" t="s">
        <v>15</v>
      </c>
      <c r="G137" s="4">
        <v>3834.7</v>
      </c>
    </row>
    <row r="138" spans="2:7" x14ac:dyDescent="0.3">
      <c r="B138" s="12" t="s">
        <v>277</v>
      </c>
      <c r="C138" s="3" t="s">
        <v>278</v>
      </c>
      <c r="D138" s="3" t="s">
        <v>9</v>
      </c>
      <c r="E138" s="3" t="s">
        <v>10</v>
      </c>
      <c r="F138" s="3" t="s">
        <v>15</v>
      </c>
      <c r="G138" s="4">
        <v>3797.09</v>
      </c>
    </row>
    <row r="139" spans="2:7" x14ac:dyDescent="0.3">
      <c r="B139" s="12" t="s">
        <v>279</v>
      </c>
      <c r="C139" s="3" t="s">
        <v>280</v>
      </c>
      <c r="D139" s="3" t="s">
        <v>9</v>
      </c>
      <c r="E139" s="3"/>
      <c r="F139" s="3" t="s">
        <v>15</v>
      </c>
      <c r="G139" s="4">
        <v>3466.53</v>
      </c>
    </row>
    <row r="140" spans="2:7" x14ac:dyDescent="0.3">
      <c r="B140" s="12" t="s">
        <v>281</v>
      </c>
      <c r="C140" s="3" t="s">
        <v>282</v>
      </c>
      <c r="D140" s="3" t="s">
        <v>9</v>
      </c>
      <c r="E140" s="3"/>
      <c r="F140" s="3" t="s">
        <v>15</v>
      </c>
      <c r="G140" s="4">
        <v>3439.57</v>
      </c>
    </row>
    <row r="141" spans="2:7" x14ac:dyDescent="0.3">
      <c r="B141" s="12" t="s">
        <v>283</v>
      </c>
      <c r="C141" s="3" t="s">
        <v>284</v>
      </c>
      <c r="D141" s="3" t="s">
        <v>9</v>
      </c>
      <c r="E141" s="3" t="s">
        <v>10</v>
      </c>
      <c r="F141" s="3" t="s">
        <v>15</v>
      </c>
      <c r="G141" s="4">
        <v>3431.97</v>
      </c>
    </row>
    <row r="142" spans="2:7" x14ac:dyDescent="0.3">
      <c r="B142" s="12" t="s">
        <v>285</v>
      </c>
      <c r="C142" s="3" t="s">
        <v>286</v>
      </c>
      <c r="D142" s="3" t="s">
        <v>9</v>
      </c>
      <c r="E142" s="3" t="s">
        <v>14</v>
      </c>
      <c r="F142" s="3" t="s">
        <v>15</v>
      </c>
      <c r="G142" s="4">
        <v>3415.14</v>
      </c>
    </row>
    <row r="143" spans="2:7" x14ac:dyDescent="0.3">
      <c r="B143" s="12" t="s">
        <v>287</v>
      </c>
      <c r="C143" s="3" t="s">
        <v>288</v>
      </c>
      <c r="D143" s="3" t="s">
        <v>9</v>
      </c>
      <c r="E143" s="3"/>
      <c r="F143" s="3" t="s">
        <v>15</v>
      </c>
      <c r="G143" s="4">
        <v>3380.92</v>
      </c>
    </row>
    <row r="144" spans="2:7" x14ac:dyDescent="0.3">
      <c r="B144" s="12" t="s">
        <v>289</v>
      </c>
      <c r="C144" s="3" t="s">
        <v>290</v>
      </c>
      <c r="D144" s="3" t="s">
        <v>9</v>
      </c>
      <c r="E144" s="3" t="s">
        <v>10</v>
      </c>
      <c r="F144" s="3" t="s">
        <v>15</v>
      </c>
      <c r="G144" s="4">
        <v>3280.52</v>
      </c>
    </row>
    <row r="145" spans="2:7" x14ac:dyDescent="0.3">
      <c r="B145" s="12" t="s">
        <v>291</v>
      </c>
      <c r="C145" s="3" t="s">
        <v>292</v>
      </c>
      <c r="D145" s="3" t="s">
        <v>9</v>
      </c>
      <c r="E145" s="3"/>
      <c r="F145" s="3" t="s">
        <v>15</v>
      </c>
      <c r="G145" s="4">
        <v>3228.23</v>
      </c>
    </row>
    <row r="146" spans="2:7" x14ac:dyDescent="0.3">
      <c r="B146" s="12">
        <v>523610</v>
      </c>
      <c r="C146" s="3" t="s">
        <v>293</v>
      </c>
      <c r="D146" s="3" t="s">
        <v>9</v>
      </c>
      <c r="E146" s="3"/>
      <c r="F146" s="3" t="s">
        <v>15</v>
      </c>
      <c r="G146" s="4">
        <v>3217.77</v>
      </c>
    </row>
    <row r="147" spans="2:7" x14ac:dyDescent="0.3">
      <c r="B147" s="12" t="s">
        <v>294</v>
      </c>
      <c r="C147" s="3" t="s">
        <v>295</v>
      </c>
      <c r="D147" s="3" t="s">
        <v>9</v>
      </c>
      <c r="E147" s="3" t="s">
        <v>10</v>
      </c>
      <c r="F147" s="3" t="s">
        <v>15</v>
      </c>
      <c r="G147" s="4">
        <v>3178.27</v>
      </c>
    </row>
    <row r="148" spans="2:7" x14ac:dyDescent="0.3">
      <c r="B148" s="12" t="s">
        <v>296</v>
      </c>
      <c r="C148" s="3" t="s">
        <v>297</v>
      </c>
      <c r="D148" s="3" t="s">
        <v>9</v>
      </c>
      <c r="E148" s="3" t="s">
        <v>14</v>
      </c>
      <c r="F148" s="3" t="s">
        <v>15</v>
      </c>
      <c r="G148" s="4">
        <v>3153.87</v>
      </c>
    </row>
    <row r="149" spans="2:7" x14ac:dyDescent="0.3">
      <c r="B149" s="12" t="s">
        <v>298</v>
      </c>
      <c r="C149" s="3" t="s">
        <v>299</v>
      </c>
      <c r="D149" s="3" t="s">
        <v>9</v>
      </c>
      <c r="E149" s="3" t="s">
        <v>10</v>
      </c>
      <c r="F149" s="3" t="s">
        <v>15</v>
      </c>
      <c r="G149" s="4">
        <v>3144.96</v>
      </c>
    </row>
    <row r="150" spans="2:7" x14ac:dyDescent="0.3">
      <c r="B150" s="12" t="s">
        <v>300</v>
      </c>
      <c r="C150" s="3" t="s">
        <v>301</v>
      </c>
      <c r="D150" s="3" t="s">
        <v>9</v>
      </c>
      <c r="E150" s="3"/>
      <c r="F150" s="3" t="s">
        <v>15</v>
      </c>
      <c r="G150" s="4">
        <v>3144.02</v>
      </c>
    </row>
    <row r="151" spans="2:7" x14ac:dyDescent="0.3">
      <c r="B151" s="12" t="s">
        <v>302</v>
      </c>
      <c r="C151" s="3" t="s">
        <v>303</v>
      </c>
      <c r="D151" s="3" t="s">
        <v>9</v>
      </c>
      <c r="E151" s="3"/>
      <c r="F151" s="3" t="s">
        <v>15</v>
      </c>
      <c r="G151" s="4">
        <v>3101.71</v>
      </c>
    </row>
    <row r="152" spans="2:7" x14ac:dyDescent="0.3">
      <c r="B152" s="12" t="s">
        <v>304</v>
      </c>
      <c r="C152" s="3" t="s">
        <v>305</v>
      </c>
      <c r="D152" s="3" t="s">
        <v>9</v>
      </c>
      <c r="E152" s="3"/>
      <c r="F152" s="3" t="s">
        <v>15</v>
      </c>
      <c r="G152" s="4">
        <v>3079.18</v>
      </c>
    </row>
    <row r="153" spans="2:7" x14ac:dyDescent="0.3">
      <c r="B153" s="12" t="s">
        <v>306</v>
      </c>
      <c r="C153" s="3" t="s">
        <v>307</v>
      </c>
      <c r="D153" s="3" t="s">
        <v>9</v>
      </c>
      <c r="E153" s="3"/>
      <c r="F153" s="3" t="s">
        <v>15</v>
      </c>
      <c r="G153" s="4">
        <v>3032.26</v>
      </c>
    </row>
    <row r="154" spans="2:7" x14ac:dyDescent="0.3">
      <c r="B154" s="12" t="s">
        <v>308</v>
      </c>
      <c r="C154" s="3" t="s">
        <v>309</v>
      </c>
      <c r="D154" s="3" t="s">
        <v>9</v>
      </c>
      <c r="E154" s="3"/>
      <c r="F154" s="3" t="s">
        <v>15</v>
      </c>
      <c r="G154" s="4">
        <v>2931.28</v>
      </c>
    </row>
    <row r="155" spans="2:7" x14ac:dyDescent="0.3">
      <c r="B155" s="12" t="s">
        <v>310</v>
      </c>
      <c r="C155" s="3" t="s">
        <v>311</v>
      </c>
      <c r="D155" s="3" t="s">
        <v>9</v>
      </c>
      <c r="E155" s="3"/>
      <c r="F155" s="3" t="s">
        <v>15</v>
      </c>
      <c r="G155" s="4">
        <v>2864.87</v>
      </c>
    </row>
    <row r="156" spans="2:7" x14ac:dyDescent="0.3">
      <c r="B156" s="12" t="s">
        <v>312</v>
      </c>
      <c r="C156" s="3" t="s">
        <v>313</v>
      </c>
      <c r="D156" s="3" t="s">
        <v>9</v>
      </c>
      <c r="E156" s="3"/>
      <c r="F156" s="3" t="s">
        <v>15</v>
      </c>
      <c r="G156" s="4">
        <v>2842.73</v>
      </c>
    </row>
    <row r="157" spans="2:7" x14ac:dyDescent="0.3">
      <c r="B157" s="12" t="s">
        <v>314</v>
      </c>
      <c r="C157" s="3" t="s">
        <v>315</v>
      </c>
      <c r="D157" s="3" t="s">
        <v>9</v>
      </c>
      <c r="E157" s="3"/>
      <c r="F157" s="3" t="s">
        <v>15</v>
      </c>
      <c r="G157" s="4">
        <v>2835.52</v>
      </c>
    </row>
    <row r="158" spans="2:7" x14ac:dyDescent="0.3">
      <c r="B158" s="12" t="s">
        <v>316</v>
      </c>
      <c r="C158" s="3" t="s">
        <v>317</v>
      </c>
      <c r="D158" s="3" t="s">
        <v>9</v>
      </c>
      <c r="E158" s="3"/>
      <c r="F158" s="3" t="s">
        <v>15</v>
      </c>
      <c r="G158" s="4">
        <v>2655.86</v>
      </c>
    </row>
    <row r="159" spans="2:7" x14ac:dyDescent="0.3">
      <c r="B159" s="12" t="s">
        <v>318</v>
      </c>
      <c r="C159" s="3" t="s">
        <v>319</v>
      </c>
      <c r="D159" s="3" t="s">
        <v>9</v>
      </c>
      <c r="E159" s="3"/>
      <c r="F159" s="3" t="s">
        <v>15</v>
      </c>
      <c r="G159" s="4">
        <v>2655.84</v>
      </c>
    </row>
    <row r="160" spans="2:7" x14ac:dyDescent="0.3">
      <c r="B160" s="12" t="s">
        <v>320</v>
      </c>
      <c r="C160" s="3" t="s">
        <v>321</v>
      </c>
      <c r="D160" s="3" t="s">
        <v>9</v>
      </c>
      <c r="E160" s="3"/>
      <c r="F160" s="3" t="s">
        <v>15</v>
      </c>
      <c r="G160" s="4">
        <v>2649.98</v>
      </c>
    </row>
    <row r="161" spans="2:7" x14ac:dyDescent="0.3">
      <c r="B161" s="12" t="s">
        <v>322</v>
      </c>
      <c r="C161" s="3" t="s">
        <v>323</v>
      </c>
      <c r="D161" s="3" t="s">
        <v>9</v>
      </c>
      <c r="E161" s="3"/>
      <c r="F161" s="3" t="s">
        <v>15</v>
      </c>
      <c r="G161" s="4">
        <v>2643.43</v>
      </c>
    </row>
    <row r="162" spans="2:7" x14ac:dyDescent="0.3">
      <c r="B162" s="12">
        <v>506285</v>
      </c>
      <c r="C162" s="3" t="s">
        <v>324</v>
      </c>
      <c r="D162" s="3" t="s">
        <v>9</v>
      </c>
      <c r="E162" s="3"/>
      <c r="F162" s="3" t="s">
        <v>15</v>
      </c>
      <c r="G162" s="4">
        <v>2551.36</v>
      </c>
    </row>
    <row r="163" spans="2:7" x14ac:dyDescent="0.3">
      <c r="B163" s="12" t="s">
        <v>325</v>
      </c>
      <c r="C163" s="3" t="s">
        <v>326</v>
      </c>
      <c r="D163" s="3" t="s">
        <v>9</v>
      </c>
      <c r="E163" s="3" t="s">
        <v>14</v>
      </c>
      <c r="F163" s="3" t="s">
        <v>15</v>
      </c>
      <c r="G163" s="4">
        <v>2520.85</v>
      </c>
    </row>
    <row r="164" spans="2:7" x14ac:dyDescent="0.3">
      <c r="B164" s="12" t="s">
        <v>327</v>
      </c>
      <c r="C164" s="3" t="s">
        <v>328</v>
      </c>
      <c r="D164" s="3" t="s">
        <v>9</v>
      </c>
      <c r="E164" s="3"/>
      <c r="F164" s="3" t="s">
        <v>15</v>
      </c>
      <c r="G164" s="4">
        <v>2493.42</v>
      </c>
    </row>
    <row r="165" spans="2:7" x14ac:dyDescent="0.3">
      <c r="B165" s="12" t="s">
        <v>329</v>
      </c>
      <c r="C165" s="3" t="s">
        <v>330</v>
      </c>
      <c r="D165" s="3" t="s">
        <v>9</v>
      </c>
      <c r="E165" s="3"/>
      <c r="F165" s="3" t="s">
        <v>15</v>
      </c>
      <c r="G165" s="4">
        <v>2475.27</v>
      </c>
    </row>
    <row r="166" spans="2:7" x14ac:dyDescent="0.3">
      <c r="B166" s="12" t="s">
        <v>331</v>
      </c>
      <c r="C166" s="3" t="s">
        <v>332</v>
      </c>
      <c r="D166" s="3" t="s">
        <v>9</v>
      </c>
      <c r="E166" s="3" t="s">
        <v>10</v>
      </c>
      <c r="F166" s="3" t="s">
        <v>15</v>
      </c>
      <c r="G166" s="4">
        <v>2446.25</v>
      </c>
    </row>
    <row r="167" spans="2:7" x14ac:dyDescent="0.3">
      <c r="B167" s="12" t="s">
        <v>333</v>
      </c>
      <c r="C167" s="3" t="s">
        <v>334</v>
      </c>
      <c r="D167" s="3" t="s">
        <v>9</v>
      </c>
      <c r="E167" s="3"/>
      <c r="F167" s="3" t="s">
        <v>15</v>
      </c>
      <c r="G167" s="4">
        <v>2423.52</v>
      </c>
    </row>
    <row r="168" spans="2:7" x14ac:dyDescent="0.3">
      <c r="B168" s="12" t="s">
        <v>335</v>
      </c>
      <c r="C168" s="3" t="s">
        <v>336</v>
      </c>
      <c r="D168" s="3" t="s">
        <v>9</v>
      </c>
      <c r="E168" s="3"/>
      <c r="F168" s="3" t="s">
        <v>15</v>
      </c>
      <c r="G168" s="4">
        <v>2421.7800000000002</v>
      </c>
    </row>
    <row r="169" spans="2:7" x14ac:dyDescent="0.3">
      <c r="B169" s="12" t="s">
        <v>337</v>
      </c>
      <c r="C169" s="3" t="s">
        <v>338</v>
      </c>
      <c r="D169" s="3" t="s">
        <v>9</v>
      </c>
      <c r="E169" s="3"/>
      <c r="F169" s="3" t="s">
        <v>15</v>
      </c>
      <c r="G169" s="4">
        <v>2415.31</v>
      </c>
    </row>
    <row r="170" spans="2:7" x14ac:dyDescent="0.3">
      <c r="B170" s="12" t="s">
        <v>339</v>
      </c>
      <c r="C170" s="3" t="s">
        <v>340</v>
      </c>
      <c r="D170" s="3" t="s">
        <v>9</v>
      </c>
      <c r="E170" s="3"/>
      <c r="F170" s="3" t="s">
        <v>15</v>
      </c>
      <c r="G170" s="4">
        <v>2411.7600000000002</v>
      </c>
    </row>
    <row r="171" spans="2:7" x14ac:dyDescent="0.3">
      <c r="B171" s="12" t="s">
        <v>341</v>
      </c>
      <c r="C171" s="3" t="s">
        <v>342</v>
      </c>
      <c r="D171" s="3" t="s">
        <v>9</v>
      </c>
      <c r="E171" s="3" t="s">
        <v>14</v>
      </c>
      <c r="F171" s="3" t="s">
        <v>15</v>
      </c>
      <c r="G171" s="4">
        <v>2382.5500000000002</v>
      </c>
    </row>
    <row r="172" spans="2:7" x14ac:dyDescent="0.3">
      <c r="B172" s="12" t="s">
        <v>343</v>
      </c>
      <c r="C172" s="3" t="s">
        <v>344</v>
      </c>
      <c r="D172" s="3" t="s">
        <v>9</v>
      </c>
      <c r="E172" s="3"/>
      <c r="F172" s="3" t="s">
        <v>15</v>
      </c>
      <c r="G172" s="4">
        <v>2271.94</v>
      </c>
    </row>
    <row r="173" spans="2:7" x14ac:dyDescent="0.3">
      <c r="B173" s="12" t="s">
        <v>345</v>
      </c>
      <c r="C173" s="3" t="s">
        <v>346</v>
      </c>
      <c r="D173" s="3" t="s">
        <v>9</v>
      </c>
      <c r="E173" s="3"/>
      <c r="F173" s="3" t="s">
        <v>15</v>
      </c>
      <c r="G173" s="4">
        <v>2248.52</v>
      </c>
    </row>
    <row r="174" spans="2:7" x14ac:dyDescent="0.3">
      <c r="B174" s="12" t="s">
        <v>347</v>
      </c>
      <c r="C174" s="3" t="s">
        <v>348</v>
      </c>
      <c r="D174" s="3" t="s">
        <v>9</v>
      </c>
      <c r="E174" s="3"/>
      <c r="F174" s="3" t="s">
        <v>15</v>
      </c>
      <c r="G174" s="4">
        <v>2141.2399999999998</v>
      </c>
    </row>
    <row r="175" spans="2:7" x14ac:dyDescent="0.3">
      <c r="B175" s="12" t="s">
        <v>349</v>
      </c>
      <c r="C175" s="3" t="s">
        <v>350</v>
      </c>
      <c r="D175" s="3" t="s">
        <v>9</v>
      </c>
      <c r="E175" s="3" t="s">
        <v>10</v>
      </c>
      <c r="F175" s="3" t="s">
        <v>15</v>
      </c>
      <c r="G175" s="4">
        <v>2099.0100000000002</v>
      </c>
    </row>
    <row r="176" spans="2:7" x14ac:dyDescent="0.3">
      <c r="B176" s="12" t="s">
        <v>351</v>
      </c>
      <c r="C176" s="3" t="s">
        <v>352</v>
      </c>
      <c r="D176" s="3" t="s">
        <v>9</v>
      </c>
      <c r="E176" s="3"/>
      <c r="F176" s="3" t="s">
        <v>15</v>
      </c>
      <c r="G176" s="4">
        <v>2082.63</v>
      </c>
    </row>
    <row r="177" spans="2:7" x14ac:dyDescent="0.3">
      <c r="B177" s="12" t="s">
        <v>353</v>
      </c>
      <c r="C177" s="3" t="s">
        <v>354</v>
      </c>
      <c r="D177" s="3" t="s">
        <v>9</v>
      </c>
      <c r="E177" s="3"/>
      <c r="F177" s="3" t="s">
        <v>15</v>
      </c>
      <c r="G177" s="4">
        <v>2054.4499999999998</v>
      </c>
    </row>
    <row r="178" spans="2:7" x14ac:dyDescent="0.3">
      <c r="B178" s="12" t="s">
        <v>355</v>
      </c>
      <c r="C178" s="3" t="s">
        <v>356</v>
      </c>
      <c r="D178" s="3" t="s">
        <v>9</v>
      </c>
      <c r="E178" s="3"/>
      <c r="F178" s="3" t="s">
        <v>15</v>
      </c>
      <c r="G178" s="4">
        <v>1941.91</v>
      </c>
    </row>
    <row r="179" spans="2:7" x14ac:dyDescent="0.3">
      <c r="B179" s="12" t="s">
        <v>357</v>
      </c>
      <c r="C179" s="3" t="s">
        <v>358</v>
      </c>
      <c r="D179" s="3" t="s">
        <v>9</v>
      </c>
      <c r="E179" s="3"/>
      <c r="F179" s="3" t="s">
        <v>15</v>
      </c>
      <c r="G179" s="4">
        <v>1936.49</v>
      </c>
    </row>
    <row r="180" spans="2:7" x14ac:dyDescent="0.3">
      <c r="B180" s="12" t="s">
        <v>359</v>
      </c>
      <c r="C180" s="3" t="s">
        <v>360</v>
      </c>
      <c r="D180" s="3" t="s">
        <v>9</v>
      </c>
      <c r="E180" s="3"/>
      <c r="F180" s="3" t="s">
        <v>15</v>
      </c>
      <c r="G180" s="4">
        <v>1933.92</v>
      </c>
    </row>
    <row r="181" spans="2:7" x14ac:dyDescent="0.3">
      <c r="B181" s="12" t="s">
        <v>361</v>
      </c>
      <c r="C181" s="3" t="s">
        <v>362</v>
      </c>
      <c r="D181" s="3" t="s">
        <v>9</v>
      </c>
      <c r="E181" s="3" t="s">
        <v>10</v>
      </c>
      <c r="F181" s="3" t="s">
        <v>15</v>
      </c>
      <c r="G181" s="4">
        <v>1908.2</v>
      </c>
    </row>
    <row r="182" spans="2:7" x14ac:dyDescent="0.3">
      <c r="B182" s="12" t="s">
        <v>363</v>
      </c>
      <c r="C182" s="3" t="s">
        <v>364</v>
      </c>
      <c r="D182" s="3" t="s">
        <v>9</v>
      </c>
      <c r="E182" s="3"/>
      <c r="F182" s="3" t="s">
        <v>15</v>
      </c>
      <c r="G182" s="4">
        <v>1899.04</v>
      </c>
    </row>
    <row r="183" spans="2:7" x14ac:dyDescent="0.3">
      <c r="B183" s="12" t="s">
        <v>365</v>
      </c>
      <c r="C183" s="3" t="s">
        <v>366</v>
      </c>
      <c r="D183" s="3" t="s">
        <v>9</v>
      </c>
      <c r="E183" s="3"/>
      <c r="F183" s="3" t="s">
        <v>15</v>
      </c>
      <c r="G183" s="4">
        <v>1890.8</v>
      </c>
    </row>
    <row r="184" spans="2:7" x14ac:dyDescent="0.3">
      <c r="B184" s="12" t="s">
        <v>367</v>
      </c>
      <c r="C184" s="3" t="s">
        <v>368</v>
      </c>
      <c r="D184" s="3" t="s">
        <v>9</v>
      </c>
      <c r="E184" s="3"/>
      <c r="F184" s="3" t="s">
        <v>15</v>
      </c>
      <c r="G184" s="4">
        <v>1852.45</v>
      </c>
    </row>
    <row r="185" spans="2:7" x14ac:dyDescent="0.3">
      <c r="B185" s="12" t="s">
        <v>369</v>
      </c>
      <c r="C185" s="3" t="s">
        <v>370</v>
      </c>
      <c r="D185" s="3" t="s">
        <v>9</v>
      </c>
      <c r="E185" s="3"/>
      <c r="F185" s="3" t="s">
        <v>15</v>
      </c>
      <c r="G185" s="4">
        <v>1847.06</v>
      </c>
    </row>
    <row r="186" spans="2:7" x14ac:dyDescent="0.3">
      <c r="B186" s="12" t="s">
        <v>371</v>
      </c>
      <c r="C186" s="3" t="s">
        <v>372</v>
      </c>
      <c r="D186" s="3" t="s">
        <v>9</v>
      </c>
      <c r="E186" s="3"/>
      <c r="F186" s="3" t="s">
        <v>15</v>
      </c>
      <c r="G186" s="4">
        <v>1821.02</v>
      </c>
    </row>
    <row r="187" spans="2:7" x14ac:dyDescent="0.3">
      <c r="B187" s="12" t="s">
        <v>373</v>
      </c>
      <c r="C187" s="3" t="s">
        <v>374</v>
      </c>
      <c r="D187" s="3" t="s">
        <v>9</v>
      </c>
      <c r="E187" s="3"/>
      <c r="F187" s="3" t="s">
        <v>15</v>
      </c>
      <c r="G187" s="4">
        <v>1813.64</v>
      </c>
    </row>
    <row r="188" spans="2:7" x14ac:dyDescent="0.3">
      <c r="B188" s="12">
        <v>4003</v>
      </c>
      <c r="C188" s="3" t="s">
        <v>375</v>
      </c>
      <c r="D188" s="3" t="s">
        <v>9</v>
      </c>
      <c r="E188" s="3"/>
      <c r="F188" s="3" t="s">
        <v>15</v>
      </c>
      <c r="G188" s="4">
        <v>1799.55</v>
      </c>
    </row>
    <row r="189" spans="2:7" x14ac:dyDescent="0.3">
      <c r="B189" s="12" t="s">
        <v>376</v>
      </c>
      <c r="C189" s="3" t="s">
        <v>377</v>
      </c>
      <c r="D189" s="3" t="s">
        <v>9</v>
      </c>
      <c r="E189" s="3"/>
      <c r="F189" s="3" t="s">
        <v>15</v>
      </c>
      <c r="G189" s="4">
        <v>1774.47</v>
      </c>
    </row>
    <row r="190" spans="2:7" x14ac:dyDescent="0.3">
      <c r="B190" s="12" t="s">
        <v>378</v>
      </c>
      <c r="C190" s="3" t="s">
        <v>379</v>
      </c>
      <c r="D190" s="3" t="s">
        <v>9</v>
      </c>
      <c r="E190" s="3"/>
      <c r="F190" s="3" t="s">
        <v>15</v>
      </c>
      <c r="G190" s="4">
        <v>1747.02</v>
      </c>
    </row>
    <row r="191" spans="2:7" x14ac:dyDescent="0.3">
      <c r="B191" s="12" t="s">
        <v>380</v>
      </c>
      <c r="C191" s="3" t="s">
        <v>381</v>
      </c>
      <c r="D191" s="3" t="s">
        <v>9</v>
      </c>
      <c r="E191" s="3"/>
      <c r="F191" s="3" t="s">
        <v>15</v>
      </c>
      <c r="G191" s="4">
        <v>1682.06</v>
      </c>
    </row>
    <row r="192" spans="2:7" x14ac:dyDescent="0.3">
      <c r="B192" s="12" t="s">
        <v>382</v>
      </c>
      <c r="C192" s="3" t="s">
        <v>383</v>
      </c>
      <c r="D192" s="3" t="s">
        <v>9</v>
      </c>
      <c r="E192" s="3"/>
      <c r="F192" s="3" t="s">
        <v>15</v>
      </c>
      <c r="G192" s="4">
        <v>1593.6</v>
      </c>
    </row>
    <row r="193" spans="2:7" x14ac:dyDescent="0.3">
      <c r="B193" s="12" t="s">
        <v>384</v>
      </c>
      <c r="C193" s="3" t="s">
        <v>385</v>
      </c>
      <c r="D193" s="3" t="s">
        <v>9</v>
      </c>
      <c r="E193" s="3"/>
      <c r="F193" s="3" t="s">
        <v>15</v>
      </c>
      <c r="G193" s="4">
        <v>1528.54</v>
      </c>
    </row>
    <row r="194" spans="2:7" x14ac:dyDescent="0.3">
      <c r="B194" s="12" t="s">
        <v>386</v>
      </c>
      <c r="C194" s="3" t="s">
        <v>387</v>
      </c>
      <c r="D194" s="3" t="s">
        <v>9</v>
      </c>
      <c r="E194" s="3" t="s">
        <v>10</v>
      </c>
      <c r="F194" s="3" t="s">
        <v>15</v>
      </c>
      <c r="G194" s="4">
        <v>1496.57</v>
      </c>
    </row>
    <row r="195" spans="2:7" x14ac:dyDescent="0.3">
      <c r="B195" s="12" t="s">
        <v>388</v>
      </c>
      <c r="C195" s="3" t="s">
        <v>389</v>
      </c>
      <c r="D195" s="3" t="s">
        <v>9</v>
      </c>
      <c r="E195" s="3"/>
      <c r="F195" s="3" t="s">
        <v>15</v>
      </c>
      <c r="G195" s="4">
        <v>1464.33</v>
      </c>
    </row>
    <row r="196" spans="2:7" x14ac:dyDescent="0.3">
      <c r="B196" s="12" t="s">
        <v>390</v>
      </c>
      <c r="C196" s="3" t="s">
        <v>391</v>
      </c>
      <c r="D196" s="3" t="s">
        <v>9</v>
      </c>
      <c r="E196" s="3"/>
      <c r="F196" s="3" t="s">
        <v>15</v>
      </c>
      <c r="G196" s="4">
        <v>1461.01</v>
      </c>
    </row>
    <row r="197" spans="2:7" x14ac:dyDescent="0.3">
      <c r="B197" s="12" t="s">
        <v>392</v>
      </c>
      <c r="C197" s="3" t="s">
        <v>393</v>
      </c>
      <c r="D197" s="3" t="s">
        <v>9</v>
      </c>
      <c r="E197" s="3"/>
      <c r="F197" s="3" t="s">
        <v>15</v>
      </c>
      <c r="G197" s="4">
        <v>1452.41</v>
      </c>
    </row>
    <row r="198" spans="2:7" x14ac:dyDescent="0.3">
      <c r="B198" s="12" t="s">
        <v>394</v>
      </c>
      <c r="C198" s="3" t="s">
        <v>395</v>
      </c>
      <c r="D198" s="3" t="s">
        <v>9</v>
      </c>
      <c r="E198" s="3"/>
      <c r="F198" s="3" t="s">
        <v>15</v>
      </c>
      <c r="G198" s="4">
        <v>1414.85</v>
      </c>
    </row>
    <row r="199" spans="2:7" x14ac:dyDescent="0.3">
      <c r="B199" s="12" t="s">
        <v>609</v>
      </c>
      <c r="C199" s="3" t="s">
        <v>396</v>
      </c>
      <c r="D199" s="3" t="s">
        <v>9</v>
      </c>
      <c r="E199" s="3"/>
      <c r="F199" s="3" t="s">
        <v>15</v>
      </c>
      <c r="G199" s="4">
        <v>1408.83</v>
      </c>
    </row>
    <row r="200" spans="2:7" x14ac:dyDescent="0.3">
      <c r="B200" s="12" t="s">
        <v>397</v>
      </c>
      <c r="C200" s="3" t="s">
        <v>398</v>
      </c>
      <c r="D200" s="3" t="s">
        <v>9</v>
      </c>
      <c r="E200" s="3"/>
      <c r="F200" s="3" t="s">
        <v>15</v>
      </c>
      <c r="G200" s="4">
        <v>1407.08</v>
      </c>
    </row>
    <row r="201" spans="2:7" x14ac:dyDescent="0.3">
      <c r="B201" s="12" t="s">
        <v>399</v>
      </c>
      <c r="C201" s="3" t="s">
        <v>400</v>
      </c>
      <c r="D201" s="3" t="s">
        <v>9</v>
      </c>
      <c r="E201" s="3"/>
      <c r="F201" s="3" t="s">
        <v>15</v>
      </c>
      <c r="G201" s="4">
        <v>1393.52</v>
      </c>
    </row>
    <row r="202" spans="2:7" x14ac:dyDescent="0.3">
      <c r="B202" s="12" t="s">
        <v>401</v>
      </c>
      <c r="C202" s="3" t="s">
        <v>402</v>
      </c>
      <c r="D202" s="3" t="s">
        <v>9</v>
      </c>
      <c r="E202" s="3" t="s">
        <v>10</v>
      </c>
      <c r="F202" s="3" t="s">
        <v>15</v>
      </c>
      <c r="G202" s="4">
        <v>1387.93</v>
      </c>
    </row>
    <row r="203" spans="2:7" x14ac:dyDescent="0.3">
      <c r="B203" s="12" t="s">
        <v>403</v>
      </c>
      <c r="C203" s="3" t="s">
        <v>404</v>
      </c>
      <c r="D203" s="3" t="s">
        <v>9</v>
      </c>
      <c r="E203" s="3"/>
      <c r="F203" s="3" t="s">
        <v>15</v>
      </c>
      <c r="G203" s="4">
        <v>1382.48</v>
      </c>
    </row>
    <row r="204" spans="2:7" x14ac:dyDescent="0.3">
      <c r="B204" s="12" t="s">
        <v>405</v>
      </c>
      <c r="C204" s="3" t="s">
        <v>406</v>
      </c>
      <c r="D204" s="3" t="s">
        <v>9</v>
      </c>
      <c r="E204" s="3"/>
      <c r="F204" s="3" t="s">
        <v>15</v>
      </c>
      <c r="G204" s="4">
        <v>1351.03</v>
      </c>
    </row>
    <row r="205" spans="2:7" x14ac:dyDescent="0.3">
      <c r="B205" s="12" t="s">
        <v>407</v>
      </c>
      <c r="C205" s="3" t="s">
        <v>408</v>
      </c>
      <c r="D205" s="3" t="s">
        <v>9</v>
      </c>
      <c r="E205" s="3" t="s">
        <v>14</v>
      </c>
      <c r="F205" s="3" t="s">
        <v>15</v>
      </c>
      <c r="G205" s="4">
        <v>1332.31</v>
      </c>
    </row>
    <row r="206" spans="2:7" x14ac:dyDescent="0.3">
      <c r="B206" s="12" t="s">
        <v>409</v>
      </c>
      <c r="C206" s="3" t="s">
        <v>410</v>
      </c>
      <c r="D206" s="3" t="s">
        <v>9</v>
      </c>
      <c r="E206" s="3"/>
      <c r="F206" s="3" t="s">
        <v>15</v>
      </c>
      <c r="G206" s="4">
        <v>1274.05</v>
      </c>
    </row>
    <row r="207" spans="2:7" x14ac:dyDescent="0.3">
      <c r="B207" s="12">
        <v>7817</v>
      </c>
      <c r="C207" s="3" t="s">
        <v>411</v>
      </c>
      <c r="D207" s="3" t="s">
        <v>9</v>
      </c>
      <c r="E207" s="3"/>
      <c r="F207" s="3" t="s">
        <v>15</v>
      </c>
      <c r="G207" s="4">
        <v>1252.6500000000001</v>
      </c>
    </row>
    <row r="208" spans="2:7" x14ac:dyDescent="0.3">
      <c r="B208" s="12">
        <v>4041</v>
      </c>
      <c r="C208" s="3" t="s">
        <v>412</v>
      </c>
      <c r="D208" s="3" t="s">
        <v>9</v>
      </c>
      <c r="E208" s="3"/>
      <c r="F208" s="3" t="s">
        <v>15</v>
      </c>
      <c r="G208" s="4">
        <v>1243.8</v>
      </c>
    </row>
    <row r="209" spans="2:7" x14ac:dyDescent="0.3">
      <c r="B209" s="12" t="s">
        <v>413</v>
      </c>
      <c r="C209" s="3" t="s">
        <v>414</v>
      </c>
      <c r="D209" s="3" t="s">
        <v>9</v>
      </c>
      <c r="E209" s="3"/>
      <c r="F209" s="3" t="s">
        <v>15</v>
      </c>
      <c r="G209" s="4">
        <v>1241.23</v>
      </c>
    </row>
    <row r="210" spans="2:7" x14ac:dyDescent="0.3">
      <c r="B210" s="12" t="s">
        <v>415</v>
      </c>
      <c r="C210" s="3" t="s">
        <v>416</v>
      </c>
      <c r="D210" s="3" t="s">
        <v>9</v>
      </c>
      <c r="E210" s="3"/>
      <c r="F210" s="3" t="s">
        <v>15</v>
      </c>
      <c r="G210" s="4">
        <v>1183.1600000000001</v>
      </c>
    </row>
    <row r="211" spans="2:7" x14ac:dyDescent="0.3">
      <c r="B211" s="12" t="s">
        <v>417</v>
      </c>
      <c r="C211" s="3" t="s">
        <v>418</v>
      </c>
      <c r="D211" s="3" t="s">
        <v>9</v>
      </c>
      <c r="E211" s="3"/>
      <c r="F211" s="3" t="s">
        <v>15</v>
      </c>
      <c r="G211" s="4">
        <v>1166.1600000000001</v>
      </c>
    </row>
    <row r="212" spans="2:7" x14ac:dyDescent="0.3">
      <c r="B212" s="12" t="s">
        <v>419</v>
      </c>
      <c r="C212" s="3" t="s">
        <v>420</v>
      </c>
      <c r="D212" s="3" t="s">
        <v>9</v>
      </c>
      <c r="E212" s="3"/>
      <c r="F212" s="3" t="s">
        <v>15</v>
      </c>
      <c r="G212" s="4">
        <v>1138.69</v>
      </c>
    </row>
    <row r="213" spans="2:7" x14ac:dyDescent="0.3">
      <c r="B213" s="12" t="s">
        <v>421</v>
      </c>
      <c r="C213" s="3" t="s">
        <v>422</v>
      </c>
      <c r="D213" s="3" t="s">
        <v>9</v>
      </c>
      <c r="E213" s="3"/>
      <c r="F213" s="3" t="s">
        <v>15</v>
      </c>
      <c r="G213" s="4">
        <v>1129.8499999999999</v>
      </c>
    </row>
    <row r="214" spans="2:7" x14ac:dyDescent="0.3">
      <c r="B214" s="12" t="s">
        <v>423</v>
      </c>
      <c r="C214" s="3" t="s">
        <v>424</v>
      </c>
      <c r="D214" s="3" t="s">
        <v>9</v>
      </c>
      <c r="E214" s="3"/>
      <c r="F214" s="3" t="s">
        <v>15</v>
      </c>
      <c r="G214" s="4">
        <v>1123.06</v>
      </c>
    </row>
    <row r="215" spans="2:7" x14ac:dyDescent="0.3">
      <c r="B215" s="12" t="s">
        <v>425</v>
      </c>
      <c r="C215" s="3" t="s">
        <v>426</v>
      </c>
      <c r="D215" s="3" t="s">
        <v>9</v>
      </c>
      <c r="E215" s="3"/>
      <c r="F215" s="3" t="s">
        <v>15</v>
      </c>
      <c r="G215" s="4">
        <v>1114.76</v>
      </c>
    </row>
    <row r="216" spans="2:7" x14ac:dyDescent="0.3">
      <c r="B216" s="12" t="s">
        <v>427</v>
      </c>
      <c r="C216" s="3" t="s">
        <v>428</v>
      </c>
      <c r="D216" s="3" t="s">
        <v>9</v>
      </c>
      <c r="E216" s="3"/>
      <c r="F216" s="3" t="s">
        <v>15</v>
      </c>
      <c r="G216" s="4">
        <v>1079.77</v>
      </c>
    </row>
    <row r="217" spans="2:7" x14ac:dyDescent="0.3">
      <c r="B217" s="12" t="s">
        <v>429</v>
      </c>
      <c r="C217" s="3" t="s">
        <v>430</v>
      </c>
      <c r="D217" s="3" t="s">
        <v>9</v>
      </c>
      <c r="E217" s="3"/>
      <c r="F217" s="3" t="s">
        <v>15</v>
      </c>
      <c r="G217" s="4">
        <v>1078.51</v>
      </c>
    </row>
    <row r="218" spans="2:7" x14ac:dyDescent="0.3">
      <c r="B218" s="12" t="s">
        <v>431</v>
      </c>
      <c r="C218" s="3" t="s">
        <v>432</v>
      </c>
      <c r="D218" s="3" t="s">
        <v>9</v>
      </c>
      <c r="E218" s="3"/>
      <c r="F218" s="3" t="s">
        <v>15</v>
      </c>
      <c r="G218" s="4">
        <v>1078.4100000000001</v>
      </c>
    </row>
    <row r="219" spans="2:7" x14ac:dyDescent="0.3">
      <c r="B219" s="12" t="s">
        <v>433</v>
      </c>
      <c r="C219" s="3" t="s">
        <v>434</v>
      </c>
      <c r="D219" s="3" t="s">
        <v>9</v>
      </c>
      <c r="E219" s="3" t="s">
        <v>14</v>
      </c>
      <c r="F219" s="3" t="s">
        <v>15</v>
      </c>
      <c r="G219" s="4">
        <v>1061.49</v>
      </c>
    </row>
    <row r="220" spans="2:7" x14ac:dyDescent="0.3">
      <c r="B220" s="12" t="s">
        <v>435</v>
      </c>
      <c r="C220" s="3" t="s">
        <v>436</v>
      </c>
      <c r="D220" s="3" t="s">
        <v>9</v>
      </c>
      <c r="E220" s="3"/>
      <c r="F220" s="3" t="s">
        <v>15</v>
      </c>
      <c r="G220" s="4">
        <v>1054.3599999999999</v>
      </c>
    </row>
    <row r="221" spans="2:7" x14ac:dyDescent="0.3">
      <c r="B221" s="12" t="s">
        <v>437</v>
      </c>
      <c r="C221" s="3" t="s">
        <v>438</v>
      </c>
      <c r="D221" s="3" t="s">
        <v>9</v>
      </c>
      <c r="E221" s="3"/>
      <c r="F221" s="3" t="s">
        <v>15</v>
      </c>
      <c r="G221" s="4">
        <v>1050.24</v>
      </c>
    </row>
    <row r="222" spans="2:7" x14ac:dyDescent="0.3">
      <c r="B222" s="12" t="s">
        <v>439</v>
      </c>
      <c r="C222" s="3" t="s">
        <v>440</v>
      </c>
      <c r="D222" s="3" t="s">
        <v>9</v>
      </c>
      <c r="E222" s="3"/>
      <c r="F222" s="3" t="s">
        <v>15</v>
      </c>
      <c r="G222" s="4">
        <v>1049.0999999999999</v>
      </c>
    </row>
    <row r="223" spans="2:7" x14ac:dyDescent="0.3">
      <c r="B223" s="12">
        <v>513377</v>
      </c>
      <c r="C223" s="3" t="s">
        <v>441</v>
      </c>
      <c r="D223" s="3" t="s">
        <v>9</v>
      </c>
      <c r="E223" s="3"/>
      <c r="F223" s="3" t="s">
        <v>15</v>
      </c>
      <c r="G223" s="4">
        <v>1045.92</v>
      </c>
    </row>
    <row r="224" spans="2:7" x14ac:dyDescent="0.3">
      <c r="B224" s="12" t="s">
        <v>442</v>
      </c>
      <c r="C224" s="3" t="s">
        <v>443</v>
      </c>
      <c r="D224" s="3" t="s">
        <v>9</v>
      </c>
      <c r="E224" s="3" t="s">
        <v>10</v>
      </c>
      <c r="F224" s="3" t="s">
        <v>15</v>
      </c>
      <c r="G224" s="4">
        <v>1045.28</v>
      </c>
    </row>
    <row r="225" spans="2:7" x14ac:dyDescent="0.3">
      <c r="B225" s="12" t="s">
        <v>444</v>
      </c>
      <c r="C225" s="3" t="s">
        <v>445</v>
      </c>
      <c r="D225" s="3" t="s">
        <v>9</v>
      </c>
      <c r="E225" s="3" t="s">
        <v>10</v>
      </c>
      <c r="F225" s="3" t="s">
        <v>15</v>
      </c>
      <c r="G225" s="4">
        <v>1028.53</v>
      </c>
    </row>
    <row r="226" spans="2:7" x14ac:dyDescent="0.3">
      <c r="B226" s="12" t="s">
        <v>446</v>
      </c>
      <c r="C226" s="3" t="s">
        <v>447</v>
      </c>
      <c r="D226" s="3" t="s">
        <v>9</v>
      </c>
      <c r="E226" s="3"/>
      <c r="F226" s="3" t="s">
        <v>15</v>
      </c>
      <c r="G226" s="4">
        <v>1011.76</v>
      </c>
    </row>
    <row r="227" spans="2:7" x14ac:dyDescent="0.3">
      <c r="B227" s="12" t="s">
        <v>448</v>
      </c>
      <c r="C227" s="3" t="s">
        <v>449</v>
      </c>
      <c r="D227" s="3" t="s">
        <v>9</v>
      </c>
      <c r="E227" s="3"/>
      <c r="F227" s="3" t="s">
        <v>15</v>
      </c>
      <c r="G227" s="4">
        <v>1011.58</v>
      </c>
    </row>
    <row r="228" spans="2:7" x14ac:dyDescent="0.3">
      <c r="B228" s="12" t="s">
        <v>450</v>
      </c>
      <c r="C228" s="3" t="s">
        <v>451</v>
      </c>
      <c r="D228" s="3" t="s">
        <v>9</v>
      </c>
      <c r="E228" s="3"/>
      <c r="F228" s="3" t="s">
        <v>15</v>
      </c>
      <c r="G228" s="4">
        <v>1009.46</v>
      </c>
    </row>
    <row r="229" spans="2:7" x14ac:dyDescent="0.3">
      <c r="B229" s="12" t="s">
        <v>452</v>
      </c>
      <c r="C229" s="3" t="s">
        <v>453</v>
      </c>
      <c r="D229" s="3" t="s">
        <v>9</v>
      </c>
      <c r="E229" s="3"/>
      <c r="F229" s="3" t="s">
        <v>15</v>
      </c>
      <c r="G229" s="4">
        <v>1001.38</v>
      </c>
    </row>
    <row r="230" spans="2:7" x14ac:dyDescent="0.3">
      <c r="B230" s="12" t="s">
        <v>454</v>
      </c>
      <c r="C230" s="3" t="s">
        <v>455</v>
      </c>
      <c r="D230" s="3" t="s">
        <v>9</v>
      </c>
      <c r="E230" s="3" t="s">
        <v>10</v>
      </c>
      <c r="F230" s="3" t="s">
        <v>15</v>
      </c>
      <c r="G230" s="4">
        <v>990.33</v>
      </c>
    </row>
    <row r="231" spans="2:7" x14ac:dyDescent="0.3">
      <c r="B231" s="12" t="s">
        <v>456</v>
      </c>
      <c r="C231" s="3" t="s">
        <v>457</v>
      </c>
      <c r="D231" s="3" t="s">
        <v>9</v>
      </c>
      <c r="E231" s="3"/>
      <c r="F231" s="3" t="s">
        <v>15</v>
      </c>
      <c r="G231" s="4">
        <v>979.09</v>
      </c>
    </row>
    <row r="232" spans="2:7" x14ac:dyDescent="0.3">
      <c r="B232" s="12" t="s">
        <v>458</v>
      </c>
      <c r="C232" s="3" t="s">
        <v>459</v>
      </c>
      <c r="D232" s="3" t="s">
        <v>9</v>
      </c>
      <c r="E232" s="3"/>
      <c r="F232" s="3" t="s">
        <v>15</v>
      </c>
      <c r="G232" s="4">
        <v>973.62</v>
      </c>
    </row>
    <row r="233" spans="2:7" x14ac:dyDescent="0.3">
      <c r="B233" s="12">
        <v>3227</v>
      </c>
      <c r="C233" s="3" t="s">
        <v>460</v>
      </c>
      <c r="D233" s="3" t="s">
        <v>9</v>
      </c>
      <c r="E233" s="3"/>
      <c r="F233" s="3" t="s">
        <v>15</v>
      </c>
      <c r="G233" s="4">
        <v>972.83</v>
      </c>
    </row>
    <row r="234" spans="2:7" x14ac:dyDescent="0.3">
      <c r="B234" s="12">
        <v>6740</v>
      </c>
      <c r="C234" s="3" t="s">
        <v>461</v>
      </c>
      <c r="D234" s="3" t="s">
        <v>9</v>
      </c>
      <c r="E234" s="3"/>
      <c r="F234" s="3" t="s">
        <v>15</v>
      </c>
      <c r="G234" s="4">
        <v>913.49</v>
      </c>
    </row>
    <row r="235" spans="2:7" x14ac:dyDescent="0.3">
      <c r="B235" s="12" t="s">
        <v>462</v>
      </c>
      <c r="C235" s="3" t="s">
        <v>463</v>
      </c>
      <c r="D235" s="3" t="s">
        <v>9</v>
      </c>
      <c r="E235" s="3"/>
      <c r="F235" s="3" t="s">
        <v>15</v>
      </c>
      <c r="G235" s="4">
        <v>853.75</v>
      </c>
    </row>
    <row r="236" spans="2:7" x14ac:dyDescent="0.3">
      <c r="B236" s="12" t="s">
        <v>464</v>
      </c>
      <c r="C236" s="3" t="s">
        <v>465</v>
      </c>
      <c r="D236" s="3" t="s">
        <v>9</v>
      </c>
      <c r="E236" s="3" t="s">
        <v>10</v>
      </c>
      <c r="F236" s="3" t="s">
        <v>15</v>
      </c>
      <c r="G236" s="4">
        <v>823.41</v>
      </c>
    </row>
    <row r="237" spans="2:7" x14ac:dyDescent="0.3">
      <c r="B237" s="12" t="s">
        <v>466</v>
      </c>
      <c r="C237" s="3" t="s">
        <v>467</v>
      </c>
      <c r="D237" s="3" t="s">
        <v>9</v>
      </c>
      <c r="E237" s="3" t="s">
        <v>10</v>
      </c>
      <c r="F237" s="3" t="s">
        <v>15</v>
      </c>
      <c r="G237" s="4">
        <v>795.48</v>
      </c>
    </row>
    <row r="238" spans="2:7" x14ac:dyDescent="0.3">
      <c r="B238" s="12">
        <v>8074</v>
      </c>
      <c r="C238" s="3" t="s">
        <v>468</v>
      </c>
      <c r="D238" s="3" t="s">
        <v>9</v>
      </c>
      <c r="E238" s="3"/>
      <c r="F238" s="3" t="s">
        <v>15</v>
      </c>
      <c r="G238" s="4">
        <v>794.52</v>
      </c>
    </row>
    <row r="239" spans="2:7" x14ac:dyDescent="0.3">
      <c r="B239" s="12" t="s">
        <v>469</v>
      </c>
      <c r="C239" s="3" t="s">
        <v>470</v>
      </c>
      <c r="D239" s="3" t="s">
        <v>9</v>
      </c>
      <c r="E239" s="3" t="s">
        <v>10</v>
      </c>
      <c r="F239" s="3" t="s">
        <v>15</v>
      </c>
      <c r="G239" s="4">
        <v>737.29</v>
      </c>
    </row>
    <row r="240" spans="2:7" x14ac:dyDescent="0.3">
      <c r="B240" s="12" t="s">
        <v>471</v>
      </c>
      <c r="C240" s="3" t="s">
        <v>472</v>
      </c>
      <c r="D240" s="3" t="s">
        <v>9</v>
      </c>
      <c r="E240" s="3"/>
      <c r="F240" s="3" t="s">
        <v>15</v>
      </c>
      <c r="G240" s="4">
        <v>721.64</v>
      </c>
    </row>
    <row r="241" spans="2:7" x14ac:dyDescent="0.3">
      <c r="B241" s="12" t="s">
        <v>473</v>
      </c>
      <c r="C241" s="3" t="s">
        <v>474</v>
      </c>
      <c r="D241" s="3" t="s">
        <v>9</v>
      </c>
      <c r="E241" s="3"/>
      <c r="F241" s="3" t="s">
        <v>15</v>
      </c>
      <c r="G241" s="4">
        <v>713.22</v>
      </c>
    </row>
    <row r="242" spans="2:7" x14ac:dyDescent="0.3">
      <c r="B242" s="12" t="s">
        <v>475</v>
      </c>
      <c r="C242" s="3" t="s">
        <v>476</v>
      </c>
      <c r="D242" s="3" t="s">
        <v>9</v>
      </c>
      <c r="E242" s="3"/>
      <c r="F242" s="3" t="s">
        <v>15</v>
      </c>
      <c r="G242" s="4">
        <v>692.02</v>
      </c>
    </row>
    <row r="243" spans="2:7" x14ac:dyDescent="0.3">
      <c r="B243" s="12" t="s">
        <v>477</v>
      </c>
      <c r="C243" s="3" t="s">
        <v>478</v>
      </c>
      <c r="D243" s="3" t="s">
        <v>9</v>
      </c>
      <c r="E243" s="3" t="s">
        <v>10</v>
      </c>
      <c r="F243" s="3" t="s">
        <v>15</v>
      </c>
      <c r="G243" s="4">
        <v>662.81</v>
      </c>
    </row>
    <row r="244" spans="2:7" x14ac:dyDescent="0.3">
      <c r="B244" s="12" t="s">
        <v>479</v>
      </c>
      <c r="C244" s="3" t="s">
        <v>480</v>
      </c>
      <c r="D244" s="3" t="s">
        <v>9</v>
      </c>
      <c r="E244" s="3"/>
      <c r="F244" s="3" t="s">
        <v>15</v>
      </c>
      <c r="G244" s="4">
        <v>631.17999999999995</v>
      </c>
    </row>
    <row r="245" spans="2:7" x14ac:dyDescent="0.3">
      <c r="B245" s="12" t="s">
        <v>481</v>
      </c>
      <c r="C245" s="3" t="s">
        <v>482</v>
      </c>
      <c r="D245" s="3" t="s">
        <v>9</v>
      </c>
      <c r="E245" s="3"/>
      <c r="F245" s="3" t="s">
        <v>15</v>
      </c>
      <c r="G245" s="4">
        <v>630.97</v>
      </c>
    </row>
    <row r="246" spans="2:7" x14ac:dyDescent="0.3">
      <c r="B246" s="12">
        <v>500390</v>
      </c>
      <c r="C246" s="3" t="s">
        <v>483</v>
      </c>
      <c r="D246" s="3" t="s">
        <v>9</v>
      </c>
      <c r="E246" s="3"/>
      <c r="F246" s="3" t="s">
        <v>15</v>
      </c>
      <c r="G246" s="4">
        <v>629.91</v>
      </c>
    </row>
    <row r="247" spans="2:7" x14ac:dyDescent="0.3">
      <c r="B247" s="12" t="s">
        <v>484</v>
      </c>
      <c r="C247" s="3" t="s">
        <v>485</v>
      </c>
      <c r="D247" s="3" t="s">
        <v>9</v>
      </c>
      <c r="E247" s="3"/>
      <c r="F247" s="3" t="s">
        <v>15</v>
      </c>
      <c r="G247" s="4">
        <v>629.27</v>
      </c>
    </row>
    <row r="248" spans="2:7" x14ac:dyDescent="0.3">
      <c r="B248" s="12" t="s">
        <v>486</v>
      </c>
      <c r="C248" s="3" t="s">
        <v>487</v>
      </c>
      <c r="D248" s="3" t="s">
        <v>9</v>
      </c>
      <c r="E248" s="3" t="s">
        <v>14</v>
      </c>
      <c r="F248" s="3" t="s">
        <v>15</v>
      </c>
      <c r="G248" s="4">
        <v>624.30999999999995</v>
      </c>
    </row>
    <row r="249" spans="2:7" x14ac:dyDescent="0.3">
      <c r="B249" s="12" t="s">
        <v>488</v>
      </c>
      <c r="C249" s="3" t="s">
        <v>489</v>
      </c>
      <c r="D249" s="3" t="s">
        <v>9</v>
      </c>
      <c r="E249" s="3"/>
      <c r="F249" s="3" t="s">
        <v>15</v>
      </c>
      <c r="G249" s="4">
        <v>608.30999999999995</v>
      </c>
    </row>
    <row r="250" spans="2:7" x14ac:dyDescent="0.3">
      <c r="B250" s="12" t="s">
        <v>490</v>
      </c>
      <c r="C250" s="3" t="s">
        <v>491</v>
      </c>
      <c r="D250" s="3" t="s">
        <v>9</v>
      </c>
      <c r="E250" s="3" t="s">
        <v>10</v>
      </c>
      <c r="F250" s="3" t="s">
        <v>15</v>
      </c>
      <c r="G250" s="4">
        <v>593.16</v>
      </c>
    </row>
    <row r="251" spans="2:7" x14ac:dyDescent="0.3">
      <c r="B251" s="12" t="s">
        <v>492</v>
      </c>
      <c r="C251" s="3" t="s">
        <v>493</v>
      </c>
      <c r="D251" s="3" t="s">
        <v>9</v>
      </c>
      <c r="E251" s="3" t="s">
        <v>14</v>
      </c>
      <c r="F251" s="3" t="s">
        <v>15</v>
      </c>
      <c r="G251" s="4">
        <v>586.14</v>
      </c>
    </row>
    <row r="252" spans="2:7" x14ac:dyDescent="0.3">
      <c r="B252" s="12" t="s">
        <v>494</v>
      </c>
      <c r="C252" s="3" t="s">
        <v>495</v>
      </c>
      <c r="D252" s="3" t="s">
        <v>9</v>
      </c>
      <c r="E252" s="3"/>
      <c r="F252" s="3" t="s">
        <v>15</v>
      </c>
      <c r="G252" s="4">
        <v>552.15</v>
      </c>
    </row>
    <row r="253" spans="2:7" x14ac:dyDescent="0.3">
      <c r="B253" s="12" t="s">
        <v>496</v>
      </c>
      <c r="C253" s="3" t="s">
        <v>497</v>
      </c>
      <c r="D253" s="3" t="s">
        <v>9</v>
      </c>
      <c r="E253" s="3"/>
      <c r="F253" s="3" t="s">
        <v>15</v>
      </c>
      <c r="G253" s="4">
        <v>542</v>
      </c>
    </row>
    <row r="254" spans="2:7" x14ac:dyDescent="0.3">
      <c r="B254" s="12">
        <v>532189</v>
      </c>
      <c r="C254" s="3" t="s">
        <v>498</v>
      </c>
      <c r="D254" s="3" t="s">
        <v>9</v>
      </c>
      <c r="E254" s="3"/>
      <c r="F254" s="3" t="s">
        <v>15</v>
      </c>
      <c r="G254" s="4">
        <v>526.02</v>
      </c>
    </row>
    <row r="255" spans="2:7" x14ac:dyDescent="0.3">
      <c r="B255" s="12">
        <v>500185</v>
      </c>
      <c r="C255" s="3" t="s">
        <v>499</v>
      </c>
      <c r="D255" s="3" t="s">
        <v>9</v>
      </c>
      <c r="E255" s="3"/>
      <c r="F255" s="3" t="s">
        <v>15</v>
      </c>
      <c r="G255" s="4">
        <v>519.45000000000005</v>
      </c>
    </row>
    <row r="256" spans="2:7" x14ac:dyDescent="0.3">
      <c r="B256" s="12" t="s">
        <v>500</v>
      </c>
      <c r="C256" s="3" t="s">
        <v>501</v>
      </c>
      <c r="D256" s="3" t="s">
        <v>9</v>
      </c>
      <c r="E256" s="3"/>
      <c r="F256" s="3" t="s">
        <v>15</v>
      </c>
      <c r="G256" s="4">
        <v>510.48</v>
      </c>
    </row>
    <row r="257" spans="2:7" x14ac:dyDescent="0.3">
      <c r="B257" s="12" t="s">
        <v>502</v>
      </c>
      <c r="C257" s="3" t="s">
        <v>503</v>
      </c>
      <c r="D257" s="3" t="s">
        <v>9</v>
      </c>
      <c r="E257" s="3"/>
      <c r="F257" s="3" t="s">
        <v>15</v>
      </c>
      <c r="G257" s="4">
        <v>507.01</v>
      </c>
    </row>
    <row r="258" spans="2:7" x14ac:dyDescent="0.3">
      <c r="B258" s="12">
        <v>500404</v>
      </c>
      <c r="C258" s="3" t="s">
        <v>504</v>
      </c>
      <c r="D258" s="3" t="s">
        <v>9</v>
      </c>
      <c r="E258" s="3"/>
      <c r="F258" s="3" t="s">
        <v>15</v>
      </c>
      <c r="G258" s="4">
        <v>503.88</v>
      </c>
    </row>
  </sheetData>
  <autoFilter ref="B3:G258" xr:uid="{00000000-0009-0000-0000-000000000000}">
    <sortState xmlns:xlrd2="http://schemas.microsoft.com/office/spreadsheetml/2017/richdata2" ref="B4:G258">
      <sortCondition descending="1" ref="G3:G258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135"/>
  <sheetViews>
    <sheetView zoomScale="85" zoomScaleNormal="85" workbookViewId="0">
      <selection activeCell="E58" sqref="E58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30" t="s">
        <v>1</v>
      </c>
      <c r="C2" s="30" t="s">
        <v>505</v>
      </c>
      <c r="D2" s="30" t="s">
        <v>506</v>
      </c>
      <c r="E2" s="30" t="s">
        <v>507</v>
      </c>
      <c r="F2" s="30" t="s">
        <v>508</v>
      </c>
      <c r="G2" s="30" t="s">
        <v>509</v>
      </c>
      <c r="H2" s="30" t="s">
        <v>510</v>
      </c>
      <c r="I2" s="30" t="s">
        <v>511</v>
      </c>
      <c r="J2" s="30" t="s">
        <v>512</v>
      </c>
      <c r="K2" s="30" t="s">
        <v>513</v>
      </c>
      <c r="L2" s="30" t="s">
        <v>514</v>
      </c>
      <c r="M2" s="30" t="s">
        <v>515</v>
      </c>
      <c r="N2" s="30" t="s">
        <v>516</v>
      </c>
      <c r="O2" s="30" t="s">
        <v>517</v>
      </c>
      <c r="P2" s="30" t="s">
        <v>518</v>
      </c>
      <c r="Q2" s="30" t="s">
        <v>519</v>
      </c>
      <c r="R2" s="30" t="s">
        <v>520</v>
      </c>
      <c r="S2" s="30" t="s">
        <v>521</v>
      </c>
      <c r="T2" s="30" t="s">
        <v>522</v>
      </c>
      <c r="U2" s="30" t="s">
        <v>523</v>
      </c>
      <c r="V2" s="30" t="s">
        <v>524</v>
      </c>
      <c r="W2" s="30" t="s">
        <v>525</v>
      </c>
      <c r="X2" s="30" t="s">
        <v>522</v>
      </c>
      <c r="Y2" s="30" t="s">
        <v>523</v>
      </c>
      <c r="Z2" s="30" t="s">
        <v>524</v>
      </c>
      <c r="AA2" s="30" t="s">
        <v>525</v>
      </c>
    </row>
    <row r="3" spans="2:27" x14ac:dyDescent="0.3">
      <c r="B3" s="12" t="s">
        <v>189</v>
      </c>
      <c r="C3" s="3" t="s">
        <v>526</v>
      </c>
      <c r="D3" s="3" t="s">
        <v>527</v>
      </c>
      <c r="E3" s="3" t="s">
        <v>528</v>
      </c>
      <c r="F3" s="14">
        <v>50</v>
      </c>
      <c r="G3" s="4">
        <v>26.4</v>
      </c>
      <c r="H3" s="4">
        <v>42</v>
      </c>
      <c r="I3" s="4">
        <v>21</v>
      </c>
      <c r="J3" s="4">
        <v>3</v>
      </c>
      <c r="K3" s="4">
        <v>2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1</v>
      </c>
      <c r="V3" s="6">
        <v>1</v>
      </c>
      <c r="W3" s="6">
        <v>1</v>
      </c>
      <c r="X3" s="7"/>
      <c r="Y3" s="3"/>
      <c r="Z3" s="8">
        <v>1</v>
      </c>
      <c r="AA3" s="8">
        <v>0.5</v>
      </c>
    </row>
    <row r="4" spans="2:27" x14ac:dyDescent="0.3">
      <c r="B4" s="12" t="s">
        <v>469</v>
      </c>
      <c r="C4" s="3" t="s">
        <v>526</v>
      </c>
      <c r="D4" s="3" t="s">
        <v>529</v>
      </c>
      <c r="E4" s="3" t="s">
        <v>528</v>
      </c>
      <c r="F4" s="14">
        <v>46.6</v>
      </c>
      <c r="G4" s="4">
        <v>99.82</v>
      </c>
      <c r="H4" s="4">
        <v>71.86</v>
      </c>
      <c r="I4" s="4">
        <v>-70.5</v>
      </c>
      <c r="J4" s="4">
        <v>-2.2000000000000002</v>
      </c>
      <c r="K4" s="4">
        <v>-21.27</v>
      </c>
      <c r="L4" s="6">
        <v>46.64</v>
      </c>
      <c r="M4" s="4">
        <v>43.27</v>
      </c>
      <c r="N4" s="6">
        <v>10.76</v>
      </c>
      <c r="O4" s="6">
        <v>57.04</v>
      </c>
      <c r="P4" s="6">
        <v>74.55</v>
      </c>
      <c r="Q4" s="6">
        <v>67.45</v>
      </c>
      <c r="R4" s="6">
        <v>69.72</v>
      </c>
      <c r="S4" s="4">
        <v>30.88</v>
      </c>
      <c r="T4" s="4">
        <v>73.849999999999994</v>
      </c>
      <c r="U4" s="4">
        <v>-38.1</v>
      </c>
      <c r="V4" s="4">
        <v>54.37</v>
      </c>
      <c r="W4" s="6">
        <v>87.3</v>
      </c>
      <c r="X4" s="9">
        <v>-2.8854080791426151E-3</v>
      </c>
      <c r="Y4" s="10">
        <v>-0.43633732947498971</v>
      </c>
      <c r="Z4" s="10">
        <v>-0.1125779244591126</v>
      </c>
      <c r="AA4" s="8">
        <v>0.46628099173553728</v>
      </c>
    </row>
    <row r="5" spans="2:27" x14ac:dyDescent="0.3">
      <c r="B5" s="12" t="s">
        <v>153</v>
      </c>
      <c r="C5" s="3" t="s">
        <v>526</v>
      </c>
      <c r="D5" s="3" t="s">
        <v>530</v>
      </c>
      <c r="E5" s="3" t="s">
        <v>528</v>
      </c>
      <c r="F5" s="14">
        <v>17</v>
      </c>
      <c r="G5" s="4">
        <v>16683</v>
      </c>
      <c r="H5" s="4">
        <v>15880</v>
      </c>
      <c r="I5" s="4">
        <v>17933</v>
      </c>
      <c r="J5" s="4">
        <v>16759</v>
      </c>
      <c r="K5" s="4">
        <v>16660</v>
      </c>
      <c r="L5" s="4">
        <v>15328</v>
      </c>
      <c r="M5" s="4">
        <v>15049</v>
      </c>
      <c r="N5" s="4">
        <v>14227</v>
      </c>
      <c r="O5" s="4">
        <v>14936</v>
      </c>
      <c r="P5" s="4">
        <v>13417</v>
      </c>
      <c r="Q5" s="4">
        <v>13241</v>
      </c>
      <c r="R5" s="4">
        <v>12908</v>
      </c>
      <c r="S5" s="4">
        <v>13542</v>
      </c>
      <c r="T5" s="4">
        <v>11643</v>
      </c>
      <c r="U5" s="4">
        <v>12769</v>
      </c>
      <c r="V5" s="6">
        <v>22155</v>
      </c>
      <c r="W5" s="6">
        <v>23762</v>
      </c>
      <c r="X5" s="9">
        <v>-3.3403630338178843E-2</v>
      </c>
      <c r="Y5" s="10">
        <v>-9.194685783301515E-3</v>
      </c>
      <c r="Z5" s="8">
        <v>0.1818056702449766</v>
      </c>
      <c r="AA5" s="8">
        <v>0.17002445557237689</v>
      </c>
    </row>
    <row r="6" spans="2:27" x14ac:dyDescent="0.3">
      <c r="B6" s="12" t="s">
        <v>298</v>
      </c>
      <c r="C6" s="3" t="s">
        <v>526</v>
      </c>
      <c r="D6" s="3" t="s">
        <v>531</v>
      </c>
      <c r="E6" s="3" t="s">
        <v>528</v>
      </c>
      <c r="F6" s="14">
        <v>12.5</v>
      </c>
      <c r="G6" s="4">
        <v>73.17</v>
      </c>
      <c r="H6" s="4">
        <v>78.11</v>
      </c>
      <c r="I6" s="4">
        <v>79.66</v>
      </c>
      <c r="J6" s="4">
        <v>80.69</v>
      </c>
      <c r="K6" s="4">
        <v>88.63</v>
      </c>
      <c r="L6" s="4">
        <v>89.2</v>
      </c>
      <c r="M6" s="4">
        <v>90.4</v>
      </c>
      <c r="N6" s="4">
        <v>90.94</v>
      </c>
      <c r="O6" s="4">
        <v>105.39</v>
      </c>
      <c r="P6" s="4">
        <v>118.54</v>
      </c>
      <c r="Q6" s="6">
        <v>131.07</v>
      </c>
      <c r="R6" s="6">
        <v>148.5</v>
      </c>
      <c r="S6" s="6">
        <v>155.76</v>
      </c>
      <c r="T6" s="6">
        <v>174.63</v>
      </c>
      <c r="U6" s="6">
        <v>203.31</v>
      </c>
      <c r="V6" s="6">
        <v>244.66</v>
      </c>
      <c r="W6" s="6">
        <v>253.36</v>
      </c>
      <c r="X6" s="11">
        <v>0.1012692509072526</v>
      </c>
      <c r="Y6" s="8">
        <v>0.1184339956718474</v>
      </c>
      <c r="Z6" s="8">
        <v>0.14095573145705059</v>
      </c>
      <c r="AA6" s="8">
        <v>0.12539184952978061</v>
      </c>
    </row>
    <row r="7" spans="2:27" x14ac:dyDescent="0.3">
      <c r="B7" s="12" t="s">
        <v>300</v>
      </c>
      <c r="C7" s="3" t="s">
        <v>526</v>
      </c>
      <c r="D7" s="3" t="s">
        <v>529</v>
      </c>
      <c r="E7" s="3" t="s">
        <v>528</v>
      </c>
      <c r="F7" s="14">
        <v>11.9</v>
      </c>
      <c r="G7" s="4">
        <v>164.37</v>
      </c>
      <c r="H7" s="4">
        <v>136.26</v>
      </c>
      <c r="I7" s="4">
        <v>134.09</v>
      </c>
      <c r="J7" s="4">
        <v>143.93</v>
      </c>
      <c r="K7" s="4">
        <v>2.27</v>
      </c>
      <c r="L7" s="4">
        <v>164.36</v>
      </c>
      <c r="M7" s="4">
        <v>149.54</v>
      </c>
      <c r="N7" s="4">
        <v>68.47</v>
      </c>
      <c r="O7" s="4">
        <v>38.51</v>
      </c>
      <c r="P7" s="4">
        <v>-92.48</v>
      </c>
      <c r="Q7" s="4">
        <v>-25.64</v>
      </c>
      <c r="R7" s="6">
        <v>-22.91</v>
      </c>
      <c r="S7" s="4">
        <v>94.33</v>
      </c>
      <c r="T7" s="4">
        <v>77.349999999999994</v>
      </c>
      <c r="U7" s="6">
        <v>88.03</v>
      </c>
      <c r="V7" s="6">
        <v>133.62</v>
      </c>
      <c r="W7" s="6">
        <v>140.94</v>
      </c>
      <c r="X7" s="9">
        <v>-3.6366167023554601</v>
      </c>
      <c r="Y7" s="8">
        <v>0.92317063266466337</v>
      </c>
      <c r="Z7" s="8">
        <v>0.66102195945945952</v>
      </c>
      <c r="AA7" s="8">
        <v>0.1185010042457988</v>
      </c>
    </row>
    <row r="8" spans="2:27" x14ac:dyDescent="0.3">
      <c r="B8" s="12" t="s">
        <v>464</v>
      </c>
      <c r="C8" s="3" t="s">
        <v>526</v>
      </c>
      <c r="D8" s="3" t="s">
        <v>529</v>
      </c>
      <c r="E8" s="3" t="s">
        <v>528</v>
      </c>
      <c r="F8" s="14">
        <v>11.5</v>
      </c>
      <c r="G8" s="4">
        <v>62.57</v>
      </c>
      <c r="H8" s="4">
        <v>84.29</v>
      </c>
      <c r="I8" s="4">
        <v>27.63</v>
      </c>
      <c r="J8" s="4">
        <v>51.12</v>
      </c>
      <c r="K8" s="4">
        <v>51.22</v>
      </c>
      <c r="L8" s="4">
        <v>58.12</v>
      </c>
      <c r="M8" s="6">
        <v>63.42</v>
      </c>
      <c r="N8" s="4">
        <v>60.01</v>
      </c>
      <c r="O8" s="4">
        <v>49.97</v>
      </c>
      <c r="P8" s="4">
        <v>51.07</v>
      </c>
      <c r="Q8" s="4">
        <v>26.21</v>
      </c>
      <c r="R8" s="4">
        <v>54.3</v>
      </c>
      <c r="S8" s="4">
        <v>55.04</v>
      </c>
      <c r="T8" s="4">
        <v>52.01</v>
      </c>
      <c r="U8" s="6">
        <v>55.75</v>
      </c>
      <c r="V8" s="6">
        <v>90.12</v>
      </c>
      <c r="W8" s="6">
        <v>84.04</v>
      </c>
      <c r="X8" s="9">
        <v>5.036973529096489E-3</v>
      </c>
      <c r="Y8" s="8">
        <v>0.15749626786095111</v>
      </c>
      <c r="Z8" s="8">
        <v>0.16499309074159371</v>
      </c>
      <c r="AA8" s="8">
        <v>0.1146607622963782</v>
      </c>
    </row>
    <row r="9" spans="2:27" x14ac:dyDescent="0.3">
      <c r="B9" s="12" t="s">
        <v>137</v>
      </c>
      <c r="C9" s="3" t="s">
        <v>526</v>
      </c>
      <c r="D9" s="3" t="s">
        <v>532</v>
      </c>
      <c r="E9" s="3" t="s">
        <v>528</v>
      </c>
      <c r="F9" s="14">
        <v>11.4</v>
      </c>
      <c r="G9" s="4">
        <v>4.9000000000000004</v>
      </c>
      <c r="H9" s="4">
        <v>6.83</v>
      </c>
      <c r="I9" s="4">
        <v>6.16</v>
      </c>
      <c r="J9" s="4">
        <v>15.29</v>
      </c>
      <c r="K9" s="6">
        <v>22.9</v>
      </c>
      <c r="L9" s="6">
        <v>33.590000000000003</v>
      </c>
      <c r="M9" s="6">
        <v>47.39</v>
      </c>
      <c r="N9" s="6">
        <v>48.03</v>
      </c>
      <c r="O9" s="6">
        <v>137.69999999999999</v>
      </c>
      <c r="P9" s="6">
        <v>95.89</v>
      </c>
      <c r="Q9" s="4">
        <v>36</v>
      </c>
      <c r="R9" s="4">
        <v>57.83</v>
      </c>
      <c r="S9" s="6">
        <v>173.92</v>
      </c>
      <c r="T9" s="4">
        <v>100.95</v>
      </c>
      <c r="U9" s="6">
        <v>158.05000000000001</v>
      </c>
      <c r="V9" s="6">
        <v>213.63</v>
      </c>
      <c r="W9" s="6">
        <v>247.5</v>
      </c>
      <c r="X9" s="9">
        <v>1.391486085139149E-2</v>
      </c>
      <c r="Y9" s="8">
        <v>0.33102793599132091</v>
      </c>
      <c r="Z9" s="8">
        <v>0.31747325522159953</v>
      </c>
      <c r="AA9" s="8">
        <v>0.1138040368107649</v>
      </c>
    </row>
    <row r="10" spans="2:27" x14ac:dyDescent="0.3">
      <c r="B10" s="12" t="s">
        <v>22</v>
      </c>
      <c r="C10" s="3" t="s">
        <v>526</v>
      </c>
      <c r="D10" s="3" t="s">
        <v>533</v>
      </c>
      <c r="E10" s="3" t="s">
        <v>528</v>
      </c>
      <c r="F10" s="5">
        <v>8</v>
      </c>
      <c r="G10" s="4">
        <v>1380</v>
      </c>
      <c r="H10" s="4">
        <v>1204</v>
      </c>
      <c r="I10" s="4">
        <v>1295</v>
      </c>
      <c r="J10" s="4">
        <v>1366</v>
      </c>
      <c r="K10" s="4">
        <v>1735</v>
      </c>
      <c r="L10" s="4">
        <v>1508</v>
      </c>
      <c r="M10" s="4">
        <v>1694</v>
      </c>
      <c r="N10" s="4">
        <v>1714</v>
      </c>
      <c r="O10" s="4">
        <v>2144</v>
      </c>
      <c r="P10" s="4">
        <v>1861</v>
      </c>
      <c r="Q10" s="4">
        <v>2045</v>
      </c>
      <c r="R10" s="4">
        <v>2162</v>
      </c>
      <c r="S10" s="4">
        <v>2812</v>
      </c>
      <c r="T10" s="4">
        <v>2360</v>
      </c>
      <c r="U10" s="4">
        <v>2680</v>
      </c>
      <c r="V10" s="4">
        <v>2844</v>
      </c>
      <c r="W10" s="4">
        <v>3672</v>
      </c>
      <c r="X10" s="9">
        <v>5.6193693693693758E-2</v>
      </c>
      <c r="Y10" s="10">
        <v>6.7704446102996085E-2</v>
      </c>
      <c r="Z10" s="10">
        <v>6.8104653485120847E-2</v>
      </c>
      <c r="AA10" s="10">
        <v>8.0403889304412779E-2</v>
      </c>
    </row>
    <row r="11" spans="2:27" x14ac:dyDescent="0.3">
      <c r="B11" s="12" t="s">
        <v>129</v>
      </c>
      <c r="C11" s="3" t="s">
        <v>526</v>
      </c>
      <c r="D11" s="3" t="s">
        <v>534</v>
      </c>
      <c r="E11" s="3" t="s">
        <v>528</v>
      </c>
      <c r="F11" s="5">
        <v>6.6</v>
      </c>
      <c r="G11" s="4">
        <v>312</v>
      </c>
      <c r="H11" s="4">
        <v>310.60000000000002</v>
      </c>
      <c r="I11" s="4">
        <v>378.2</v>
      </c>
      <c r="J11" s="4">
        <v>387.9</v>
      </c>
      <c r="K11" s="4">
        <v>412</v>
      </c>
      <c r="L11" s="4">
        <v>420.4</v>
      </c>
      <c r="M11" s="4">
        <v>452.7</v>
      </c>
      <c r="N11" s="4">
        <v>498.8</v>
      </c>
      <c r="O11" s="4">
        <v>515.20000000000005</v>
      </c>
      <c r="P11" s="4">
        <v>515.29999999999995</v>
      </c>
      <c r="Q11" s="4">
        <v>590.20000000000005</v>
      </c>
      <c r="R11" s="4">
        <v>622.1</v>
      </c>
      <c r="S11" s="4">
        <v>627.70000000000005</v>
      </c>
      <c r="T11" s="4">
        <v>572.6</v>
      </c>
      <c r="U11" s="4">
        <v>687.5</v>
      </c>
      <c r="V11" s="4">
        <v>794.9</v>
      </c>
      <c r="W11" s="4">
        <v>805.5</v>
      </c>
      <c r="X11" s="9">
        <v>2.4328111068653731E-2</v>
      </c>
      <c r="Y11" s="10">
        <v>4.0329934510486387E-2</v>
      </c>
      <c r="Z11" s="10">
        <v>6.884736443683015E-2</v>
      </c>
      <c r="AA11" s="10">
        <v>6.6276512468781634E-2</v>
      </c>
    </row>
    <row r="12" spans="2:27" x14ac:dyDescent="0.3">
      <c r="B12" s="12" t="s">
        <v>273</v>
      </c>
      <c r="C12" s="3" t="s">
        <v>526</v>
      </c>
      <c r="D12" s="3" t="s">
        <v>535</v>
      </c>
      <c r="E12" s="3" t="s">
        <v>528</v>
      </c>
      <c r="F12" s="5">
        <v>6.3</v>
      </c>
      <c r="G12" s="4">
        <v>547.66999999999996</v>
      </c>
      <c r="H12" s="4">
        <v>520.58000000000004</v>
      </c>
      <c r="I12" s="4">
        <v>634.55999999999995</v>
      </c>
      <c r="J12" s="4">
        <v>587.19000000000005</v>
      </c>
      <c r="K12" s="4">
        <v>737.14</v>
      </c>
      <c r="L12" s="4">
        <v>673.43</v>
      </c>
      <c r="M12" s="4">
        <v>751.47</v>
      </c>
      <c r="N12" s="4">
        <v>857.6</v>
      </c>
      <c r="O12" s="4">
        <v>928.49</v>
      </c>
      <c r="P12" s="4">
        <v>989.89</v>
      </c>
      <c r="Q12" s="4">
        <v>1057</v>
      </c>
      <c r="R12" s="4">
        <v>1205</v>
      </c>
      <c r="S12" s="6">
        <v>1349</v>
      </c>
      <c r="T12" s="4">
        <v>1324</v>
      </c>
      <c r="U12" s="4">
        <v>1434</v>
      </c>
      <c r="V12" s="4">
        <v>1521</v>
      </c>
      <c r="W12" s="4">
        <v>1705</v>
      </c>
      <c r="X12" s="9">
        <v>7.261855858323063E-2</v>
      </c>
      <c r="Y12" s="10">
        <v>7.6393110435663658E-2</v>
      </c>
      <c r="Z12" s="10">
        <v>5.9487951807228878E-2</v>
      </c>
      <c r="AA12" s="10">
        <v>6.325515280739169E-2</v>
      </c>
    </row>
    <row r="13" spans="2:27" x14ac:dyDescent="0.3">
      <c r="B13" s="12" t="s">
        <v>349</v>
      </c>
      <c r="C13" s="3" t="s">
        <v>526</v>
      </c>
      <c r="D13" s="3" t="s">
        <v>536</v>
      </c>
      <c r="E13" s="3" t="s">
        <v>528</v>
      </c>
      <c r="F13" s="5">
        <v>6</v>
      </c>
      <c r="G13" s="4">
        <v>472.13</v>
      </c>
      <c r="H13" s="4">
        <v>452.99</v>
      </c>
      <c r="I13" s="4">
        <v>456.7</v>
      </c>
      <c r="J13" s="4">
        <v>464.21</v>
      </c>
      <c r="K13" s="4">
        <v>471.43</v>
      </c>
      <c r="L13" s="4">
        <v>458</v>
      </c>
      <c r="M13" s="4">
        <v>463.68</v>
      </c>
      <c r="N13" s="4">
        <v>483.71</v>
      </c>
      <c r="O13" s="4">
        <v>491.25</v>
      </c>
      <c r="P13" s="4">
        <v>500.69</v>
      </c>
      <c r="Q13" s="4">
        <v>490.11</v>
      </c>
      <c r="R13" s="4">
        <v>491.56</v>
      </c>
      <c r="S13" s="4">
        <v>479.29</v>
      </c>
      <c r="T13" s="4">
        <v>488.63</v>
      </c>
      <c r="U13" s="4">
        <v>538.16999999999996</v>
      </c>
      <c r="V13" s="4">
        <v>580.44000000000005</v>
      </c>
      <c r="W13" s="4">
        <v>603.95000000000005</v>
      </c>
      <c r="X13" s="9">
        <v>-6.1478857084596994E-3</v>
      </c>
      <c r="Y13" s="10">
        <v>2.4651336947768551E-2</v>
      </c>
      <c r="Z13" s="10">
        <v>4.4492278427151977E-2</v>
      </c>
      <c r="AA13" s="10">
        <v>5.974512707701285E-2</v>
      </c>
    </row>
    <row r="14" spans="2:27" x14ac:dyDescent="0.3">
      <c r="B14" s="12" t="s">
        <v>227</v>
      </c>
      <c r="C14" s="3" t="s">
        <v>526</v>
      </c>
      <c r="D14" s="3" t="s">
        <v>537</v>
      </c>
      <c r="E14" s="3" t="s">
        <v>528</v>
      </c>
      <c r="F14" s="5">
        <v>5.7</v>
      </c>
      <c r="G14" s="4">
        <v>63.82</v>
      </c>
      <c r="H14" s="4">
        <v>70.12</v>
      </c>
      <c r="I14" s="4">
        <v>71.45</v>
      </c>
      <c r="J14" s="4">
        <v>70.66</v>
      </c>
      <c r="K14" s="4">
        <v>74.28</v>
      </c>
      <c r="L14" s="4">
        <v>83.69</v>
      </c>
      <c r="M14" s="4">
        <v>86.52</v>
      </c>
      <c r="N14" s="4">
        <v>91.66</v>
      </c>
      <c r="O14" s="4">
        <v>98.63</v>
      </c>
      <c r="P14" s="4">
        <v>103.5</v>
      </c>
      <c r="Q14" s="4">
        <v>109.27</v>
      </c>
      <c r="R14" s="4">
        <v>117.13</v>
      </c>
      <c r="S14" s="4">
        <v>119.71</v>
      </c>
      <c r="T14" s="4">
        <v>129.35</v>
      </c>
      <c r="U14" s="4">
        <v>137.06</v>
      </c>
      <c r="V14" s="4">
        <v>144.93</v>
      </c>
      <c r="W14" s="4">
        <v>149.87</v>
      </c>
      <c r="X14" s="9">
        <v>5.7494272814216707E-2</v>
      </c>
      <c r="Y14" s="10">
        <v>5.8448660244815542E-2</v>
      </c>
      <c r="Z14" s="10">
        <v>5.5240933929458391E-2</v>
      </c>
      <c r="AA14" s="10">
        <v>5.6793145654834953E-2</v>
      </c>
    </row>
    <row r="15" spans="2:27" x14ac:dyDescent="0.3">
      <c r="B15" s="12" t="s">
        <v>31</v>
      </c>
      <c r="C15" s="3" t="s">
        <v>526</v>
      </c>
      <c r="D15" s="3" t="s">
        <v>538</v>
      </c>
      <c r="E15" s="3" t="s">
        <v>528</v>
      </c>
      <c r="F15" s="5">
        <v>5.5</v>
      </c>
      <c r="G15" s="4">
        <v>1411</v>
      </c>
      <c r="H15" s="4">
        <v>1156</v>
      </c>
      <c r="I15" s="4">
        <v>1399</v>
      </c>
      <c r="J15" s="4">
        <v>1481</v>
      </c>
      <c r="K15" s="4">
        <v>1655</v>
      </c>
      <c r="L15" s="4">
        <v>1521</v>
      </c>
      <c r="M15" s="4">
        <v>1734</v>
      </c>
      <c r="N15" s="4">
        <v>1743</v>
      </c>
      <c r="O15" s="4">
        <v>1865</v>
      </c>
      <c r="P15" s="4">
        <v>1639</v>
      </c>
      <c r="Q15" s="4">
        <v>1953</v>
      </c>
      <c r="R15" s="4">
        <v>2074</v>
      </c>
      <c r="S15" s="4">
        <v>2346</v>
      </c>
      <c r="T15" s="4">
        <v>2036</v>
      </c>
      <c r="U15" s="4">
        <v>2638</v>
      </c>
      <c r="V15" s="4">
        <v>2676</v>
      </c>
      <c r="W15" s="4">
        <v>2880</v>
      </c>
      <c r="X15" s="9">
        <v>4.955067398901658E-2</v>
      </c>
      <c r="Y15" s="10">
        <v>8.1460340111785046E-2</v>
      </c>
      <c r="Z15" s="10">
        <v>6.6197492852430262E-2</v>
      </c>
      <c r="AA15" s="10">
        <v>5.5074257425742568E-2</v>
      </c>
    </row>
    <row r="16" spans="2:27" x14ac:dyDescent="0.3">
      <c r="B16" s="12" t="s">
        <v>26</v>
      </c>
      <c r="C16" s="3" t="s">
        <v>526</v>
      </c>
      <c r="D16" s="3" t="s">
        <v>539</v>
      </c>
      <c r="E16" s="3" t="s">
        <v>528</v>
      </c>
      <c r="F16" s="5">
        <v>5.5</v>
      </c>
      <c r="G16" s="4">
        <v>793.47</v>
      </c>
      <c r="H16" s="4">
        <v>625.41999999999996</v>
      </c>
      <c r="I16" s="4">
        <v>776.23</v>
      </c>
      <c r="J16" s="4">
        <v>713.1</v>
      </c>
      <c r="K16" s="4">
        <v>702.31</v>
      </c>
      <c r="L16" s="4">
        <v>715.41</v>
      </c>
      <c r="M16" s="4">
        <v>750.17</v>
      </c>
      <c r="N16" s="4">
        <v>864.26</v>
      </c>
      <c r="O16" s="4">
        <v>953.26</v>
      </c>
      <c r="P16" s="4">
        <v>678.37</v>
      </c>
      <c r="Q16" s="4">
        <v>711.02</v>
      </c>
      <c r="R16" s="4">
        <v>835.19</v>
      </c>
      <c r="S16" s="6">
        <v>1373</v>
      </c>
      <c r="T16" s="6">
        <v>1159</v>
      </c>
      <c r="U16" s="6">
        <v>1259</v>
      </c>
      <c r="V16" s="6">
        <v>1405</v>
      </c>
      <c r="W16" s="4">
        <v>1658</v>
      </c>
      <c r="X16" s="11">
        <v>0.13359814097254261</v>
      </c>
      <c r="Y16" s="8">
        <v>0.13436777409696909</v>
      </c>
      <c r="Z16" s="8">
        <v>0.12317047073293549</v>
      </c>
      <c r="AA16" s="10">
        <v>5.4849884526558812E-2</v>
      </c>
    </row>
    <row r="17" spans="2:27" x14ac:dyDescent="0.3">
      <c r="B17" s="12" t="s">
        <v>401</v>
      </c>
      <c r="C17" s="3" t="s">
        <v>526</v>
      </c>
      <c r="D17" s="3" t="s">
        <v>533</v>
      </c>
      <c r="E17" s="3" t="s">
        <v>528</v>
      </c>
      <c r="F17" s="5">
        <v>5.4</v>
      </c>
      <c r="G17" s="4">
        <v>97.72</v>
      </c>
      <c r="H17" s="4">
        <v>102.38</v>
      </c>
      <c r="I17" s="4">
        <v>102.52</v>
      </c>
      <c r="J17" s="4">
        <v>108.5</v>
      </c>
      <c r="K17" s="4">
        <v>119.32</v>
      </c>
      <c r="L17" s="4">
        <v>117.56</v>
      </c>
      <c r="M17" s="4">
        <v>122.83</v>
      </c>
      <c r="N17" s="4">
        <v>127.82</v>
      </c>
      <c r="O17" s="4">
        <v>137.78</v>
      </c>
      <c r="P17" s="4">
        <v>133.52000000000001</v>
      </c>
      <c r="Q17" s="4">
        <v>132.37</v>
      </c>
      <c r="R17" s="4">
        <v>137.21</v>
      </c>
      <c r="S17" s="4">
        <v>140.58000000000001</v>
      </c>
      <c r="T17" s="4">
        <v>144.47</v>
      </c>
      <c r="U17" s="4">
        <v>148.71</v>
      </c>
      <c r="V17" s="4">
        <v>158.22</v>
      </c>
      <c r="W17" s="4">
        <v>172.61</v>
      </c>
      <c r="X17" s="9">
        <v>2.0140523837551379E-2</v>
      </c>
      <c r="Y17" s="10">
        <v>2.9461082162883349E-2</v>
      </c>
      <c r="Z17" s="10">
        <v>3.6797029616266963E-2</v>
      </c>
      <c r="AA17" s="10">
        <v>5.4106557653974763E-2</v>
      </c>
    </row>
    <row r="18" spans="2:27" x14ac:dyDescent="0.3">
      <c r="B18" s="12" t="s">
        <v>442</v>
      </c>
      <c r="C18" s="3" t="s">
        <v>526</v>
      </c>
      <c r="D18" s="3" t="s">
        <v>533</v>
      </c>
      <c r="E18" s="3" t="s">
        <v>528</v>
      </c>
      <c r="F18" s="5">
        <v>5.4</v>
      </c>
      <c r="G18" s="4">
        <v>51.58</v>
      </c>
      <c r="H18" s="4">
        <v>63.57</v>
      </c>
      <c r="I18" s="4">
        <v>70.92</v>
      </c>
      <c r="J18" s="4">
        <v>77.349999999999994</v>
      </c>
      <c r="K18" s="4">
        <v>64.11</v>
      </c>
      <c r="L18" s="4">
        <v>87.37</v>
      </c>
      <c r="M18" s="4">
        <v>98.77</v>
      </c>
      <c r="N18" s="6">
        <v>129.56</v>
      </c>
      <c r="O18" s="6">
        <v>114.61</v>
      </c>
      <c r="P18" s="4">
        <v>115.44</v>
      </c>
      <c r="Q18" s="4">
        <v>110.84</v>
      </c>
      <c r="R18" s="4">
        <v>111.2</v>
      </c>
      <c r="S18" s="4">
        <v>100.36</v>
      </c>
      <c r="T18" s="4">
        <v>104.75</v>
      </c>
      <c r="U18" s="4">
        <v>119.3</v>
      </c>
      <c r="V18" s="4">
        <v>118.08</v>
      </c>
      <c r="W18" s="4">
        <v>124.3</v>
      </c>
      <c r="X18" s="9">
        <v>-2.4415311529325859E-2</v>
      </c>
      <c r="Y18" s="10">
        <v>1.9805688868079319E-2</v>
      </c>
      <c r="Z18" s="10">
        <v>1.5793944124331331E-2</v>
      </c>
      <c r="AA18" s="10">
        <v>5.4102917580058252E-2</v>
      </c>
    </row>
    <row r="19" spans="2:27" x14ac:dyDescent="0.3">
      <c r="B19" s="12" t="s">
        <v>127</v>
      </c>
      <c r="C19" s="3" t="s">
        <v>526</v>
      </c>
      <c r="D19" s="3" t="s">
        <v>540</v>
      </c>
      <c r="E19" s="3" t="s">
        <v>528</v>
      </c>
      <c r="F19" s="5">
        <v>5.2</v>
      </c>
      <c r="G19" s="3"/>
      <c r="H19" s="4">
        <v>809.63</v>
      </c>
      <c r="I19" s="4">
        <v>778.2</v>
      </c>
      <c r="J19" s="4">
        <v>946.9</v>
      </c>
      <c r="K19" s="4">
        <v>1183</v>
      </c>
      <c r="L19" s="4">
        <v>855.28</v>
      </c>
      <c r="M19" s="4">
        <v>950.31</v>
      </c>
      <c r="N19" s="4">
        <v>1071</v>
      </c>
      <c r="O19" s="4">
        <v>1377</v>
      </c>
      <c r="P19" s="4">
        <v>1066</v>
      </c>
      <c r="Q19" s="4">
        <v>1249</v>
      </c>
      <c r="R19" s="4">
        <v>1427</v>
      </c>
      <c r="S19" s="4">
        <v>1787</v>
      </c>
      <c r="T19" s="4">
        <v>1223</v>
      </c>
      <c r="U19" s="4">
        <v>1445</v>
      </c>
      <c r="V19" s="4">
        <v>1630</v>
      </c>
      <c r="W19" s="4">
        <v>2101</v>
      </c>
      <c r="X19" s="9">
        <v>2.8395731597033791E-2</v>
      </c>
      <c r="Y19" s="10">
        <v>3.4470629616602189E-2</v>
      </c>
      <c r="Z19" s="10">
        <v>3.4512070724243449E-2</v>
      </c>
      <c r="AA19" s="10">
        <v>5.1602300739523432E-2</v>
      </c>
    </row>
    <row r="20" spans="2:27" x14ac:dyDescent="0.3">
      <c r="B20" s="12" t="s">
        <v>225</v>
      </c>
      <c r="C20" s="3" t="s">
        <v>526</v>
      </c>
      <c r="D20" s="3" t="s">
        <v>541</v>
      </c>
      <c r="E20" s="3" t="s">
        <v>528</v>
      </c>
      <c r="F20" s="5">
        <v>5</v>
      </c>
      <c r="G20" s="4">
        <v>1310</v>
      </c>
      <c r="H20" s="4">
        <v>1366</v>
      </c>
      <c r="I20" s="4">
        <v>1650</v>
      </c>
      <c r="J20" s="4">
        <v>1748</v>
      </c>
      <c r="K20" s="4">
        <v>1768</v>
      </c>
      <c r="L20" s="4">
        <v>1791</v>
      </c>
      <c r="M20" s="4">
        <v>1758</v>
      </c>
      <c r="N20" s="4">
        <v>1625</v>
      </c>
      <c r="O20" s="4">
        <v>1614</v>
      </c>
      <c r="P20" s="4">
        <v>1420</v>
      </c>
      <c r="Q20" s="4">
        <v>1455</v>
      </c>
      <c r="R20" s="4">
        <v>1422</v>
      </c>
      <c r="S20" s="4">
        <v>1418</v>
      </c>
      <c r="T20" s="4">
        <v>1381</v>
      </c>
      <c r="U20" s="4">
        <v>1482</v>
      </c>
      <c r="V20" s="4">
        <v>1564</v>
      </c>
      <c r="W20" s="4">
        <v>1710</v>
      </c>
      <c r="X20" s="9">
        <v>-6.8241469816272549E-3</v>
      </c>
      <c r="Y20" s="10">
        <v>4.7568710359409128E-3</v>
      </c>
      <c r="Z20" s="10">
        <v>2.4899175872347801E-2</v>
      </c>
      <c r="AA20" s="10">
        <v>4.9957228400342217E-2</v>
      </c>
    </row>
    <row r="21" spans="2:27" x14ac:dyDescent="0.3">
      <c r="B21" s="12" t="s">
        <v>83</v>
      </c>
      <c r="C21" s="3" t="s">
        <v>526</v>
      </c>
      <c r="D21" s="3" t="s">
        <v>542</v>
      </c>
      <c r="E21" s="3" t="s">
        <v>528</v>
      </c>
      <c r="F21" s="5">
        <v>5</v>
      </c>
      <c r="G21" s="4">
        <v>1409</v>
      </c>
      <c r="H21" s="4">
        <v>1873</v>
      </c>
      <c r="I21" s="4">
        <v>1183</v>
      </c>
      <c r="J21" s="4">
        <v>1090</v>
      </c>
      <c r="K21" s="4">
        <v>1705</v>
      </c>
      <c r="L21" s="4">
        <v>1966</v>
      </c>
      <c r="M21" s="4">
        <v>1090</v>
      </c>
      <c r="N21" s="4">
        <v>1027</v>
      </c>
      <c r="O21" s="4">
        <v>1422</v>
      </c>
      <c r="P21" s="4">
        <v>1706</v>
      </c>
      <c r="Q21" s="4">
        <v>1085</v>
      </c>
      <c r="R21" s="4">
        <v>1076</v>
      </c>
      <c r="S21" s="4">
        <v>1588</v>
      </c>
      <c r="T21" s="4">
        <v>2183</v>
      </c>
      <c r="U21" s="4">
        <v>1283</v>
      </c>
      <c r="V21" s="4">
        <v>1273</v>
      </c>
      <c r="W21" s="4">
        <v>1903</v>
      </c>
      <c r="X21" s="9">
        <v>8.7442713107241055E-2</v>
      </c>
      <c r="Y21" s="10">
        <v>3.3378287255563022E-2</v>
      </c>
      <c r="Z21" s="10">
        <v>3.2137030995106119E-2</v>
      </c>
      <c r="AA21" s="10">
        <v>4.9786628733997203E-2</v>
      </c>
    </row>
    <row r="22" spans="2:27" x14ac:dyDescent="0.3">
      <c r="B22" s="12" t="s">
        <v>289</v>
      </c>
      <c r="C22" s="3" t="s">
        <v>526</v>
      </c>
      <c r="D22" s="3" t="s">
        <v>543</v>
      </c>
      <c r="E22" s="3" t="s">
        <v>528</v>
      </c>
      <c r="F22" s="5">
        <v>4.9000000000000004</v>
      </c>
      <c r="G22" s="3"/>
      <c r="H22" s="4">
        <v>332.6</v>
      </c>
      <c r="I22" s="4">
        <v>334</v>
      </c>
      <c r="J22" s="4">
        <v>335.1</v>
      </c>
      <c r="K22" s="4">
        <v>338.2</v>
      </c>
      <c r="L22" s="4">
        <v>329.1</v>
      </c>
      <c r="M22" s="4">
        <v>352.4</v>
      </c>
      <c r="N22" s="4">
        <v>352.9</v>
      </c>
      <c r="O22" s="4">
        <v>356.9</v>
      </c>
      <c r="P22" s="4">
        <v>313.60000000000002</v>
      </c>
      <c r="Q22" s="4">
        <v>370.6</v>
      </c>
      <c r="R22" s="4">
        <v>403.5</v>
      </c>
      <c r="S22" s="4">
        <v>399.1</v>
      </c>
      <c r="T22" s="4">
        <v>330.3</v>
      </c>
      <c r="U22" s="4">
        <v>404.4</v>
      </c>
      <c r="V22" s="4">
        <v>445.1</v>
      </c>
      <c r="W22" s="4">
        <v>476.9</v>
      </c>
      <c r="X22" s="9">
        <v>1.1232176486413611E-2</v>
      </c>
      <c r="Y22" s="10">
        <v>2.2480877951446491E-2</v>
      </c>
      <c r="Z22" s="10">
        <v>2.7060430625122089E-2</v>
      </c>
      <c r="AA22" s="10">
        <v>4.9274811577680662E-2</v>
      </c>
    </row>
    <row r="23" spans="2:27" x14ac:dyDescent="0.3">
      <c r="B23" s="12" t="s">
        <v>183</v>
      </c>
      <c r="C23" s="3" t="s">
        <v>526</v>
      </c>
      <c r="D23" s="3" t="s">
        <v>544</v>
      </c>
      <c r="E23" s="3" t="s">
        <v>528</v>
      </c>
      <c r="F23" s="5">
        <v>4.8</v>
      </c>
      <c r="G23" s="4">
        <v>119.93</v>
      </c>
      <c r="H23" s="4">
        <v>126.14</v>
      </c>
      <c r="I23" s="4">
        <v>139.41</v>
      </c>
      <c r="J23" s="4">
        <v>151.72999999999999</v>
      </c>
      <c r="K23" s="4">
        <v>168.67</v>
      </c>
      <c r="L23" s="4">
        <v>174.3</v>
      </c>
      <c r="M23" s="4">
        <v>189.29</v>
      </c>
      <c r="N23" s="4">
        <v>200.18</v>
      </c>
      <c r="O23" s="4">
        <v>213.18</v>
      </c>
      <c r="P23" s="4">
        <v>217.24</v>
      </c>
      <c r="Q23" s="4">
        <v>234.99</v>
      </c>
      <c r="R23" s="4">
        <v>250.2</v>
      </c>
      <c r="S23" s="4">
        <v>261.22000000000003</v>
      </c>
      <c r="T23" s="4">
        <v>271.12</v>
      </c>
      <c r="U23" s="4">
        <v>282.29000000000002</v>
      </c>
      <c r="V23" s="4">
        <v>298.52</v>
      </c>
      <c r="W23" s="4">
        <v>314.82</v>
      </c>
      <c r="X23" s="9">
        <v>5.5912416333731008E-2</v>
      </c>
      <c r="Y23" s="10">
        <v>4.6485115917958231E-2</v>
      </c>
      <c r="Z23" s="10">
        <v>4.5378135477024628E-2</v>
      </c>
      <c r="AA23" s="10">
        <v>4.815164173741171E-2</v>
      </c>
    </row>
    <row r="24" spans="2:27" x14ac:dyDescent="0.3">
      <c r="B24" s="12" t="s">
        <v>105</v>
      </c>
      <c r="C24" s="3" t="s">
        <v>526</v>
      </c>
      <c r="D24" s="3" t="s">
        <v>533</v>
      </c>
      <c r="E24" s="3" t="s">
        <v>528</v>
      </c>
      <c r="F24" s="5">
        <v>4.8</v>
      </c>
      <c r="G24" s="4">
        <v>369.31</v>
      </c>
      <c r="H24" s="4">
        <v>395.6</v>
      </c>
      <c r="I24" s="4">
        <v>421.76</v>
      </c>
      <c r="J24" s="4">
        <v>443.96</v>
      </c>
      <c r="K24" s="4">
        <v>469.66</v>
      </c>
      <c r="L24" s="4">
        <v>501.62</v>
      </c>
      <c r="M24" s="4">
        <v>529.14</v>
      </c>
      <c r="N24" s="4">
        <v>557.55999999999995</v>
      </c>
      <c r="O24" s="4">
        <v>581.91999999999996</v>
      </c>
      <c r="P24" s="4">
        <v>617.41</v>
      </c>
      <c r="Q24" s="4">
        <v>637.23</v>
      </c>
      <c r="R24" s="4">
        <v>669.72</v>
      </c>
      <c r="S24" s="4">
        <v>703.18</v>
      </c>
      <c r="T24" s="4">
        <v>714.14</v>
      </c>
      <c r="U24" s="4">
        <v>760.87</v>
      </c>
      <c r="V24" s="4">
        <v>809.52</v>
      </c>
      <c r="W24" s="4">
        <v>846.75</v>
      </c>
      <c r="X24" s="9">
        <v>3.6813901976753938E-2</v>
      </c>
      <c r="Y24" s="10">
        <v>4.5384635149966712E-2</v>
      </c>
      <c r="Z24" s="10">
        <v>4.9088629907546373E-2</v>
      </c>
      <c r="AA24" s="10">
        <v>4.8053525944619757E-2</v>
      </c>
    </row>
    <row r="25" spans="2:27" x14ac:dyDescent="0.3">
      <c r="B25" s="12" t="s">
        <v>155</v>
      </c>
      <c r="C25" s="3" t="s">
        <v>526</v>
      </c>
      <c r="D25" s="3" t="s">
        <v>545</v>
      </c>
      <c r="E25" s="3" t="s">
        <v>528</v>
      </c>
      <c r="F25" s="5">
        <v>4.8</v>
      </c>
      <c r="G25" s="4">
        <v>2059</v>
      </c>
      <c r="H25" s="4">
        <v>1789</v>
      </c>
      <c r="I25" s="4">
        <v>2458</v>
      </c>
      <c r="J25" s="4">
        <v>2586</v>
      </c>
      <c r="K25" s="4">
        <v>1884</v>
      </c>
      <c r="L25" s="4">
        <v>1275</v>
      </c>
      <c r="M25" s="4">
        <v>937.4</v>
      </c>
      <c r="N25" s="4">
        <v>1115</v>
      </c>
      <c r="O25" s="4">
        <v>1158</v>
      </c>
      <c r="P25" s="4">
        <v>1106</v>
      </c>
      <c r="Q25" s="4">
        <v>977.5</v>
      </c>
      <c r="R25" s="4">
        <v>1031</v>
      </c>
      <c r="S25" s="4">
        <v>1211</v>
      </c>
      <c r="T25" s="4">
        <v>1418</v>
      </c>
      <c r="U25" s="4">
        <v>1238</v>
      </c>
      <c r="V25" s="4">
        <v>1168</v>
      </c>
      <c r="W25" s="4">
        <v>1452</v>
      </c>
      <c r="X25" s="9">
        <v>7.2130389550340901E-2</v>
      </c>
      <c r="Y25" s="10">
        <v>5.617250673854457E-2</v>
      </c>
      <c r="Z25" s="10">
        <v>2.7970600244997978E-2</v>
      </c>
      <c r="AA25" s="10">
        <v>4.7864945382323658E-2</v>
      </c>
    </row>
    <row r="26" spans="2:27" x14ac:dyDescent="0.3">
      <c r="B26" s="12" t="s">
        <v>99</v>
      </c>
      <c r="C26" s="3" t="s">
        <v>526</v>
      </c>
      <c r="D26" s="3" t="s">
        <v>533</v>
      </c>
      <c r="E26" s="3" t="s">
        <v>528</v>
      </c>
      <c r="F26" s="5">
        <v>4.4000000000000004</v>
      </c>
      <c r="G26" s="4">
        <v>122</v>
      </c>
      <c r="H26" s="4">
        <v>228</v>
      </c>
      <c r="I26" s="4">
        <v>321</v>
      </c>
      <c r="J26" s="4">
        <v>382</v>
      </c>
      <c r="K26" s="6">
        <v>502</v>
      </c>
      <c r="L26" s="6">
        <v>525</v>
      </c>
      <c r="M26" s="6">
        <v>567</v>
      </c>
      <c r="N26" s="6">
        <v>615</v>
      </c>
      <c r="O26" s="4">
        <v>653</v>
      </c>
      <c r="P26" s="4">
        <v>653</v>
      </c>
      <c r="Q26" s="4">
        <v>664</v>
      </c>
      <c r="R26" s="4">
        <v>716</v>
      </c>
      <c r="S26" s="4">
        <v>764</v>
      </c>
      <c r="T26" s="4">
        <v>773</v>
      </c>
      <c r="U26" s="4">
        <v>819</v>
      </c>
      <c r="V26" s="4">
        <v>873</v>
      </c>
      <c r="W26" s="4">
        <v>906</v>
      </c>
      <c r="X26" s="9">
        <v>4.2903110475509543E-2</v>
      </c>
      <c r="Y26" s="10">
        <v>5.31367843675008E-2</v>
      </c>
      <c r="Z26" s="10">
        <v>5.1106770833333259E-2</v>
      </c>
      <c r="AA26" s="10">
        <v>4.3976463301331759E-2</v>
      </c>
    </row>
    <row r="27" spans="2:27" x14ac:dyDescent="0.3">
      <c r="B27" s="12" t="s">
        <v>257</v>
      </c>
      <c r="C27" s="3" t="s">
        <v>526</v>
      </c>
      <c r="D27" s="3" t="s">
        <v>544</v>
      </c>
      <c r="E27" s="3" t="s">
        <v>528</v>
      </c>
      <c r="F27" s="5">
        <v>4.3</v>
      </c>
      <c r="G27" s="4">
        <v>67.91</v>
      </c>
      <c r="H27" s="4">
        <v>62.39</v>
      </c>
      <c r="I27" s="4">
        <v>62.57</v>
      </c>
      <c r="J27" s="4">
        <v>71.680000000000007</v>
      </c>
      <c r="K27" s="4">
        <v>74.02</v>
      </c>
      <c r="L27" s="4">
        <v>71.23</v>
      </c>
      <c r="M27" s="4">
        <v>76.680000000000007</v>
      </c>
      <c r="N27" s="4">
        <v>84.18</v>
      </c>
      <c r="O27" s="4">
        <v>93.01</v>
      </c>
      <c r="P27" s="4">
        <v>89.58</v>
      </c>
      <c r="Q27" s="4">
        <v>95.71</v>
      </c>
      <c r="R27" s="4">
        <v>106.86</v>
      </c>
      <c r="S27" s="4">
        <v>109.05</v>
      </c>
      <c r="T27" s="4">
        <v>107.55</v>
      </c>
      <c r="U27" s="4">
        <v>113.28</v>
      </c>
      <c r="V27" s="4">
        <v>126.03</v>
      </c>
      <c r="W27" s="4">
        <v>128.82</v>
      </c>
      <c r="X27" s="9">
        <v>4.4790628115652931E-2</v>
      </c>
      <c r="Y27" s="10">
        <v>4.1916167664670878E-2</v>
      </c>
      <c r="Z27" s="10">
        <v>4.3893391949443528E-2</v>
      </c>
      <c r="AA27" s="10">
        <v>4.3363821806935647E-2</v>
      </c>
    </row>
    <row r="28" spans="2:27" x14ac:dyDescent="0.3">
      <c r="B28" s="12" t="s">
        <v>151</v>
      </c>
      <c r="C28" s="3" t="s">
        <v>526</v>
      </c>
      <c r="D28" s="3" t="s">
        <v>546</v>
      </c>
      <c r="E28" s="3" t="s">
        <v>528</v>
      </c>
      <c r="F28" s="5">
        <v>4</v>
      </c>
      <c r="G28" s="4">
        <v>894.2</v>
      </c>
      <c r="H28" s="4">
        <v>1128</v>
      </c>
      <c r="I28" s="4">
        <v>1480</v>
      </c>
      <c r="J28" s="4">
        <v>2092</v>
      </c>
      <c r="K28" s="6">
        <v>2621</v>
      </c>
      <c r="L28" s="6">
        <v>2580</v>
      </c>
      <c r="M28" s="6">
        <v>2370</v>
      </c>
      <c r="N28" s="4">
        <v>2311</v>
      </c>
      <c r="O28" s="4">
        <v>2356</v>
      </c>
      <c r="P28" s="4">
        <v>1361</v>
      </c>
      <c r="Q28" s="4">
        <v>1430</v>
      </c>
      <c r="R28" s="4">
        <v>1355</v>
      </c>
      <c r="S28" s="4">
        <v>1232</v>
      </c>
      <c r="T28" s="4">
        <v>1077</v>
      </c>
      <c r="U28" s="4">
        <v>1330</v>
      </c>
      <c r="V28" s="4">
        <v>1308</v>
      </c>
      <c r="W28" s="4">
        <v>1428</v>
      </c>
      <c r="X28" s="9">
        <v>-5.2807735217552998E-2</v>
      </c>
      <c r="Y28" s="10">
        <v>-1.9630938358853541E-2</v>
      </c>
      <c r="Z28" s="10">
        <v>-9.4112935522626673E-3</v>
      </c>
      <c r="AA28" s="10">
        <v>3.9619971700020302E-2</v>
      </c>
    </row>
    <row r="29" spans="2:27" x14ac:dyDescent="0.3">
      <c r="B29" s="12" t="s">
        <v>429</v>
      </c>
      <c r="C29" s="3" t="s">
        <v>526</v>
      </c>
      <c r="D29" s="3" t="s">
        <v>547</v>
      </c>
      <c r="E29" s="3" t="s">
        <v>528</v>
      </c>
      <c r="F29" s="5">
        <v>4</v>
      </c>
      <c r="G29" s="4">
        <v>1049</v>
      </c>
      <c r="H29" s="4">
        <v>1201</v>
      </c>
      <c r="I29" s="4">
        <v>956.23</v>
      </c>
      <c r="J29" s="4">
        <v>1402</v>
      </c>
      <c r="K29" s="4">
        <v>1454</v>
      </c>
      <c r="L29" s="4">
        <v>1163</v>
      </c>
      <c r="M29" s="4">
        <v>1207</v>
      </c>
      <c r="N29" s="4">
        <v>1539</v>
      </c>
      <c r="O29" s="4">
        <v>1481</v>
      </c>
      <c r="P29" s="4">
        <v>1392</v>
      </c>
      <c r="Q29" s="4">
        <v>1322</v>
      </c>
      <c r="R29" s="4">
        <v>1573</v>
      </c>
      <c r="S29" s="4">
        <v>1340</v>
      </c>
      <c r="T29" s="4">
        <v>1298</v>
      </c>
      <c r="U29" s="4">
        <v>1418</v>
      </c>
      <c r="V29" s="4">
        <v>1629</v>
      </c>
      <c r="W29" s="4">
        <v>1565</v>
      </c>
      <c r="X29" s="9">
        <v>-1.6705171494579729E-2</v>
      </c>
      <c r="Y29" s="10">
        <v>1.735044279775888E-2</v>
      </c>
      <c r="Z29" s="10">
        <v>9.9484810801206969E-3</v>
      </c>
      <c r="AA29" s="10">
        <v>3.9577836411609502E-2</v>
      </c>
    </row>
    <row r="30" spans="2:27" x14ac:dyDescent="0.3">
      <c r="B30" s="12" t="s">
        <v>89</v>
      </c>
      <c r="C30" s="3" t="s">
        <v>526</v>
      </c>
      <c r="D30" s="3" t="s">
        <v>548</v>
      </c>
      <c r="E30" s="3" t="s">
        <v>528</v>
      </c>
      <c r="F30" s="5">
        <v>3.6</v>
      </c>
      <c r="G30" s="4">
        <v>666.76</v>
      </c>
      <c r="H30" s="4">
        <v>559.46</v>
      </c>
      <c r="I30" s="4">
        <v>609.36</v>
      </c>
      <c r="J30" s="4">
        <v>630.54</v>
      </c>
      <c r="K30" s="4">
        <v>757.67</v>
      </c>
      <c r="L30" s="4">
        <v>630.86</v>
      </c>
      <c r="M30" s="4">
        <v>704.4</v>
      </c>
      <c r="N30" s="4">
        <v>724.33</v>
      </c>
      <c r="O30" s="4">
        <v>785.79</v>
      </c>
      <c r="P30" s="4">
        <v>713.17</v>
      </c>
      <c r="Q30" s="4">
        <v>784.79</v>
      </c>
      <c r="R30" s="4">
        <v>798.92</v>
      </c>
      <c r="S30" s="4">
        <v>824.31</v>
      </c>
      <c r="T30" s="4">
        <v>805.65</v>
      </c>
      <c r="U30" s="4">
        <v>876.58</v>
      </c>
      <c r="V30" s="4">
        <v>869.17</v>
      </c>
      <c r="W30" s="4">
        <v>946.98</v>
      </c>
      <c r="X30" s="9">
        <v>2.9629724560183979E-2</v>
      </c>
      <c r="Y30" s="10">
        <v>2.8562360167658781E-2</v>
      </c>
      <c r="Z30" s="10">
        <v>2.125271520454031E-2</v>
      </c>
      <c r="AA30" s="10">
        <v>3.6339022013146982E-2</v>
      </c>
    </row>
    <row r="31" spans="2:27" x14ac:dyDescent="0.3">
      <c r="B31" s="12" t="s">
        <v>171</v>
      </c>
      <c r="C31" s="3" t="s">
        <v>526</v>
      </c>
      <c r="D31" s="3" t="s">
        <v>543</v>
      </c>
      <c r="E31" s="3" t="s">
        <v>528</v>
      </c>
      <c r="F31" s="5">
        <v>3.6</v>
      </c>
      <c r="G31" s="4">
        <v>473.9</v>
      </c>
      <c r="H31" s="4">
        <v>463.2</v>
      </c>
      <c r="I31" s="4">
        <v>526.6</v>
      </c>
      <c r="J31" s="4">
        <v>487.8</v>
      </c>
      <c r="K31" s="4">
        <v>501.9</v>
      </c>
      <c r="L31" s="4">
        <v>471.7</v>
      </c>
      <c r="M31" s="4">
        <v>532.79999999999995</v>
      </c>
      <c r="N31" s="4">
        <v>504.3</v>
      </c>
      <c r="O31" s="4">
        <v>547.5</v>
      </c>
      <c r="P31" s="4">
        <v>570.9</v>
      </c>
      <c r="Q31" s="4">
        <v>597.29999999999995</v>
      </c>
      <c r="R31" s="4">
        <v>543.6</v>
      </c>
      <c r="S31" s="4">
        <v>540.4</v>
      </c>
      <c r="T31" s="4">
        <v>558</v>
      </c>
      <c r="U31" s="4">
        <v>643.70000000000005</v>
      </c>
      <c r="V31" s="4">
        <v>611.70000000000005</v>
      </c>
      <c r="W31" s="4">
        <v>625.1</v>
      </c>
      <c r="X31" s="9">
        <v>-5.7277328834027808E-3</v>
      </c>
      <c r="Y31" s="10">
        <v>2.0720760952082969E-2</v>
      </c>
      <c r="Z31" s="10">
        <v>2.9793936212101579E-2</v>
      </c>
      <c r="AA31" s="10">
        <v>3.5984365706517092E-2</v>
      </c>
    </row>
    <row r="32" spans="2:27" x14ac:dyDescent="0.3">
      <c r="B32" s="12" t="s">
        <v>49</v>
      </c>
      <c r="C32" s="3" t="s">
        <v>526</v>
      </c>
      <c r="D32" s="3" t="s">
        <v>549</v>
      </c>
      <c r="E32" s="3" t="s">
        <v>528</v>
      </c>
      <c r="F32" s="5">
        <v>3.5</v>
      </c>
      <c r="G32" s="4">
        <v>2073</v>
      </c>
      <c r="H32" s="4">
        <v>1927</v>
      </c>
      <c r="I32" s="4">
        <v>2048</v>
      </c>
      <c r="J32" s="4">
        <v>2081</v>
      </c>
      <c r="K32" s="4">
        <v>2306</v>
      </c>
      <c r="L32" s="4">
        <v>2194</v>
      </c>
      <c r="M32" s="4">
        <v>2407</v>
      </c>
      <c r="N32" s="4">
        <v>2550</v>
      </c>
      <c r="O32" s="4">
        <v>2526</v>
      </c>
      <c r="P32" s="4">
        <v>2497</v>
      </c>
      <c r="Q32" s="4">
        <v>2644</v>
      </c>
      <c r="R32" s="4">
        <v>2663</v>
      </c>
      <c r="S32" s="4">
        <v>2583</v>
      </c>
      <c r="T32" s="4">
        <v>2610</v>
      </c>
      <c r="U32" s="4">
        <v>2706</v>
      </c>
      <c r="V32" s="4">
        <v>2886</v>
      </c>
      <c r="W32" s="4">
        <v>2965</v>
      </c>
      <c r="X32" s="9">
        <v>1.087898334456527E-2</v>
      </c>
      <c r="Y32" s="10">
        <v>5.9047619047618571E-3</v>
      </c>
      <c r="Z32" s="10">
        <v>2.1113425487597089E-2</v>
      </c>
      <c r="AA32" s="10">
        <v>3.5419564209550281E-2</v>
      </c>
    </row>
    <row r="33" spans="2:27" x14ac:dyDescent="0.3">
      <c r="B33" s="12" t="s">
        <v>380</v>
      </c>
      <c r="C33" s="3" t="s">
        <v>526</v>
      </c>
      <c r="D33" s="3" t="s">
        <v>537</v>
      </c>
      <c r="E33" s="3" t="s">
        <v>528</v>
      </c>
      <c r="F33" s="5">
        <v>3.5</v>
      </c>
      <c r="G33" s="4">
        <v>39.35</v>
      </c>
      <c r="H33" s="4">
        <v>39.32</v>
      </c>
      <c r="I33" s="4">
        <v>41.18</v>
      </c>
      <c r="J33" s="4">
        <v>41.97</v>
      </c>
      <c r="K33" s="4">
        <v>43.12</v>
      </c>
      <c r="L33" s="4">
        <v>43.02</v>
      </c>
      <c r="M33" s="4">
        <v>44.7</v>
      </c>
      <c r="N33" s="4">
        <v>50.49</v>
      </c>
      <c r="O33" s="4">
        <v>47.64</v>
      </c>
      <c r="P33" s="4">
        <v>48.97</v>
      </c>
      <c r="Q33" s="4">
        <v>49.94</v>
      </c>
      <c r="R33" s="4">
        <v>51.47</v>
      </c>
      <c r="S33" s="4">
        <v>53.02</v>
      </c>
      <c r="T33" s="4">
        <v>52.33</v>
      </c>
      <c r="U33" s="4">
        <v>53.26</v>
      </c>
      <c r="V33" s="4">
        <v>55.59</v>
      </c>
      <c r="W33" s="4">
        <v>60.55</v>
      </c>
      <c r="X33" s="9">
        <v>1.6519174041297768E-2</v>
      </c>
      <c r="Y33" s="10">
        <v>1.605726446121114E-2</v>
      </c>
      <c r="Z33" s="10">
        <v>1.961157654226953E-2</v>
      </c>
      <c r="AA33" s="10">
        <v>3.5154061624649957E-2</v>
      </c>
    </row>
    <row r="34" spans="2:27" x14ac:dyDescent="0.3">
      <c r="B34" s="12" t="s">
        <v>191</v>
      </c>
      <c r="C34" s="3" t="s">
        <v>526</v>
      </c>
      <c r="D34" s="3" t="s">
        <v>550</v>
      </c>
      <c r="E34" s="3" t="s">
        <v>528</v>
      </c>
      <c r="F34" s="5">
        <v>3.5</v>
      </c>
      <c r="G34" s="4">
        <v>412.11</v>
      </c>
      <c r="H34" s="4">
        <v>421.13</v>
      </c>
      <c r="I34" s="4">
        <v>426.17</v>
      </c>
      <c r="J34" s="4">
        <v>427.09</v>
      </c>
      <c r="K34" s="4">
        <v>403.23</v>
      </c>
      <c r="L34" s="4">
        <v>355.61</v>
      </c>
      <c r="M34" s="4">
        <v>357.19</v>
      </c>
      <c r="N34" s="4">
        <v>358.17</v>
      </c>
      <c r="O34" s="4">
        <v>351.71</v>
      </c>
      <c r="P34" s="4">
        <v>327.24</v>
      </c>
      <c r="Q34" s="4">
        <v>351.18</v>
      </c>
      <c r="R34" s="4">
        <v>370.51</v>
      </c>
      <c r="S34" s="4">
        <v>387.19</v>
      </c>
      <c r="T34" s="4">
        <v>358.17</v>
      </c>
      <c r="U34" s="4">
        <v>372.06</v>
      </c>
      <c r="V34" s="4">
        <v>395.67</v>
      </c>
      <c r="W34" s="4">
        <v>440.21</v>
      </c>
      <c r="X34" s="9">
        <v>2.1537197448681319E-2</v>
      </c>
      <c r="Y34" s="10">
        <v>1.423264374084043E-2</v>
      </c>
      <c r="Z34" s="10">
        <v>1.690939761951182E-2</v>
      </c>
      <c r="AA34" s="10">
        <v>3.5040876616724732E-2</v>
      </c>
    </row>
    <row r="35" spans="2:27" x14ac:dyDescent="0.3">
      <c r="B35" s="12" t="s">
        <v>277</v>
      </c>
      <c r="C35" s="3" t="s">
        <v>526</v>
      </c>
      <c r="D35" s="3" t="s">
        <v>551</v>
      </c>
      <c r="E35" s="3" t="s">
        <v>528</v>
      </c>
      <c r="F35" s="5">
        <v>3.3</v>
      </c>
      <c r="G35" s="4">
        <v>78.400000000000006</v>
      </c>
      <c r="H35" s="4">
        <v>69.38</v>
      </c>
      <c r="I35" s="4">
        <v>91.39</v>
      </c>
      <c r="J35" s="4">
        <v>109.19</v>
      </c>
      <c r="K35" s="6">
        <v>137.9</v>
      </c>
      <c r="L35" s="6">
        <v>127.9</v>
      </c>
      <c r="M35" s="6">
        <v>151.09</v>
      </c>
      <c r="N35" s="4">
        <v>153.30000000000001</v>
      </c>
      <c r="O35" s="4">
        <v>192.51</v>
      </c>
      <c r="P35" s="4">
        <v>164.01</v>
      </c>
      <c r="Q35" s="4">
        <v>195.89</v>
      </c>
      <c r="R35" s="4">
        <v>203.19</v>
      </c>
      <c r="S35" s="4">
        <v>239.72</v>
      </c>
      <c r="T35" s="4">
        <v>201.32</v>
      </c>
      <c r="U35" s="4">
        <v>217.09</v>
      </c>
      <c r="V35" s="4">
        <v>224.5</v>
      </c>
      <c r="W35" s="4">
        <v>269.08</v>
      </c>
      <c r="X35" s="9">
        <v>4.6474259164684062E-2</v>
      </c>
      <c r="Y35" s="10">
        <v>2.523449031090785E-2</v>
      </c>
      <c r="Z35" s="10">
        <v>2.4741095063391061E-2</v>
      </c>
      <c r="AA35" s="10">
        <v>3.3264221701052588E-2</v>
      </c>
    </row>
    <row r="36" spans="2:27" x14ac:dyDescent="0.3">
      <c r="B36" s="12" t="s">
        <v>253</v>
      </c>
      <c r="C36" s="3" t="s">
        <v>526</v>
      </c>
      <c r="D36" s="3" t="s">
        <v>533</v>
      </c>
      <c r="E36" s="3" t="s">
        <v>528</v>
      </c>
      <c r="F36" s="5">
        <v>3.3</v>
      </c>
      <c r="G36" s="4">
        <v>131.88999999999999</v>
      </c>
      <c r="H36" s="4">
        <v>134.07</v>
      </c>
      <c r="I36" s="4">
        <v>140.31</v>
      </c>
      <c r="J36" s="4">
        <v>144.75</v>
      </c>
      <c r="K36" s="4">
        <v>146.54</v>
      </c>
      <c r="L36" s="4">
        <v>153.01</v>
      </c>
      <c r="M36" s="4">
        <v>154.53</v>
      </c>
      <c r="N36" s="4">
        <v>154.97</v>
      </c>
      <c r="O36" s="4">
        <v>162.12</v>
      </c>
      <c r="P36" s="4">
        <v>165.51</v>
      </c>
      <c r="Q36" s="4">
        <v>172.89</v>
      </c>
      <c r="R36" s="4">
        <v>175.02</v>
      </c>
      <c r="S36" s="4">
        <v>183.05</v>
      </c>
      <c r="T36" s="4">
        <v>189.74</v>
      </c>
      <c r="U36" s="4">
        <v>195.15</v>
      </c>
      <c r="V36" s="4">
        <v>201.7</v>
      </c>
      <c r="W36" s="4">
        <v>208.22</v>
      </c>
      <c r="X36" s="9">
        <v>3.4789725329160033E-2</v>
      </c>
      <c r="Y36" s="10">
        <v>3.0886637990842129E-2</v>
      </c>
      <c r="Z36" s="10">
        <v>3.5910412404436258E-2</v>
      </c>
      <c r="AA36" s="10">
        <v>3.2703601683904182E-2</v>
      </c>
    </row>
    <row r="37" spans="2:27" x14ac:dyDescent="0.3">
      <c r="B37" s="12" t="s">
        <v>35</v>
      </c>
      <c r="C37" s="3" t="s">
        <v>526</v>
      </c>
      <c r="D37" s="3" t="s">
        <v>552</v>
      </c>
      <c r="E37" s="3" t="s">
        <v>528</v>
      </c>
      <c r="F37" s="5">
        <v>3.3</v>
      </c>
      <c r="G37" s="4">
        <v>2320</v>
      </c>
      <c r="H37" s="4">
        <v>1892</v>
      </c>
      <c r="I37" s="4">
        <v>2140</v>
      </c>
      <c r="J37" s="4">
        <v>2373</v>
      </c>
      <c r="K37" s="4">
        <v>2707</v>
      </c>
      <c r="L37" s="4">
        <v>2171</v>
      </c>
      <c r="M37" s="4">
        <v>2403</v>
      </c>
      <c r="N37" s="4">
        <v>2556</v>
      </c>
      <c r="O37" s="4">
        <v>2849</v>
      </c>
      <c r="P37" s="4">
        <v>2389</v>
      </c>
      <c r="Q37" s="4">
        <v>2628</v>
      </c>
      <c r="R37" s="4">
        <v>2790</v>
      </c>
      <c r="S37" s="4">
        <v>3011</v>
      </c>
      <c r="T37" s="4">
        <v>2528</v>
      </c>
      <c r="U37" s="4">
        <v>2765</v>
      </c>
      <c r="V37" s="4">
        <v>3009</v>
      </c>
      <c r="W37" s="4">
        <v>3380</v>
      </c>
      <c r="X37" s="9">
        <v>1.2848955444629381E-2</v>
      </c>
      <c r="Y37" s="10">
        <v>1.250342246965408E-2</v>
      </c>
      <c r="Z37" s="10">
        <v>1.974040021633305E-2</v>
      </c>
      <c r="AA37" s="10">
        <v>3.2617342879872613E-2</v>
      </c>
    </row>
    <row r="38" spans="2:27" x14ac:dyDescent="0.3">
      <c r="B38" s="12" t="s">
        <v>16</v>
      </c>
      <c r="C38" s="3" t="s">
        <v>526</v>
      </c>
      <c r="D38" s="3" t="s">
        <v>553</v>
      </c>
      <c r="E38" s="3" t="s">
        <v>528</v>
      </c>
      <c r="F38" s="5">
        <v>2.9</v>
      </c>
      <c r="G38" s="4">
        <v>20785</v>
      </c>
      <c r="H38" s="4">
        <v>20120</v>
      </c>
      <c r="I38" s="4">
        <v>19701</v>
      </c>
      <c r="J38" s="4">
        <v>19477</v>
      </c>
      <c r="K38" s="4">
        <v>20273</v>
      </c>
      <c r="L38" s="4">
        <v>19632</v>
      </c>
      <c r="M38" s="4">
        <v>19196</v>
      </c>
      <c r="N38" s="4">
        <v>19252</v>
      </c>
      <c r="O38" s="4">
        <v>20478</v>
      </c>
      <c r="P38" s="4">
        <v>19594</v>
      </c>
      <c r="Q38" s="4">
        <v>19772</v>
      </c>
      <c r="R38" s="4">
        <v>20162</v>
      </c>
      <c r="S38" s="4">
        <v>21872</v>
      </c>
      <c r="T38" s="4">
        <v>20886</v>
      </c>
      <c r="U38" s="4">
        <v>21132</v>
      </c>
      <c r="V38" s="4">
        <v>21957</v>
      </c>
      <c r="W38" s="4">
        <v>24334</v>
      </c>
      <c r="X38" s="9">
        <v>1.5872235872235851E-2</v>
      </c>
      <c r="Y38" s="10">
        <v>1.644657282445694E-2</v>
      </c>
      <c r="Z38" s="10">
        <v>2.1355827344976989E-2</v>
      </c>
      <c r="AA38" s="10">
        <v>2.867892879192047E-2</v>
      </c>
    </row>
    <row r="39" spans="2:27" x14ac:dyDescent="0.3">
      <c r="B39" s="12" t="s">
        <v>341</v>
      </c>
      <c r="C39" s="3" t="s">
        <v>526</v>
      </c>
      <c r="D39" s="3" t="s">
        <v>554</v>
      </c>
      <c r="E39" s="3" t="s">
        <v>528</v>
      </c>
      <c r="F39" s="5">
        <v>2.7</v>
      </c>
      <c r="G39" s="4">
        <v>558.25</v>
      </c>
      <c r="H39" s="4">
        <v>512.1</v>
      </c>
      <c r="I39" s="4">
        <v>648.1</v>
      </c>
      <c r="J39" s="4">
        <v>661.86</v>
      </c>
      <c r="K39" s="4">
        <v>791.34</v>
      </c>
      <c r="L39" s="4">
        <v>719.65</v>
      </c>
      <c r="M39" s="4">
        <v>881.82</v>
      </c>
      <c r="N39" s="4">
        <v>881.83</v>
      </c>
      <c r="O39" s="4">
        <v>950.47</v>
      </c>
      <c r="P39" s="4">
        <v>874.49</v>
      </c>
      <c r="Q39" s="4">
        <v>954.7</v>
      </c>
      <c r="R39" s="4">
        <v>931.45</v>
      </c>
      <c r="S39" s="4">
        <v>1034</v>
      </c>
      <c r="T39" s="4">
        <v>950.75</v>
      </c>
      <c r="U39" s="4">
        <v>1035</v>
      </c>
      <c r="V39" s="4">
        <v>1021</v>
      </c>
      <c r="W39" s="4">
        <v>1143</v>
      </c>
      <c r="X39" s="9">
        <v>2.0096768072860541E-2</v>
      </c>
      <c r="Y39" s="10">
        <v>2.074452969593632E-2</v>
      </c>
      <c r="Z39" s="10">
        <v>2.2664000809880621E-2</v>
      </c>
      <c r="AA39" s="10">
        <v>2.697519024933492E-2</v>
      </c>
    </row>
    <row r="40" spans="2:27" x14ac:dyDescent="0.3">
      <c r="B40" s="12" t="s">
        <v>211</v>
      </c>
      <c r="C40" s="3" t="s">
        <v>526</v>
      </c>
      <c r="D40" s="3" t="s">
        <v>555</v>
      </c>
      <c r="E40" s="3" t="s">
        <v>528</v>
      </c>
      <c r="F40" s="5">
        <v>2.6</v>
      </c>
      <c r="G40" s="4">
        <v>147.62</v>
      </c>
      <c r="H40" s="4">
        <v>159.21</v>
      </c>
      <c r="I40" s="4">
        <v>161.5</v>
      </c>
      <c r="J40" s="4">
        <v>166.31</v>
      </c>
      <c r="K40" s="4">
        <v>170.33</v>
      </c>
      <c r="L40" s="4">
        <v>173.55</v>
      </c>
      <c r="M40" s="4">
        <v>171.69</v>
      </c>
      <c r="N40" s="4">
        <v>179.28</v>
      </c>
      <c r="O40" s="4">
        <v>183.31</v>
      </c>
      <c r="P40" s="4">
        <v>187.54</v>
      </c>
      <c r="Q40" s="4">
        <v>189.78</v>
      </c>
      <c r="R40" s="4">
        <v>190.74</v>
      </c>
      <c r="S40" s="4">
        <v>199.33</v>
      </c>
      <c r="T40" s="4">
        <v>205.57</v>
      </c>
      <c r="U40" s="4">
        <v>207.59</v>
      </c>
      <c r="V40" s="4">
        <v>211.12</v>
      </c>
      <c r="W40" s="4">
        <v>220.9</v>
      </c>
      <c r="X40" s="9">
        <v>2.3495224071202529E-2</v>
      </c>
      <c r="Y40" s="10">
        <v>2.2675765832293578E-2</v>
      </c>
      <c r="Z40" s="10">
        <v>2.5372558295880369E-2</v>
      </c>
      <c r="AA40" s="10">
        <v>2.6189580019669641E-2</v>
      </c>
    </row>
    <row r="41" spans="2:27" x14ac:dyDescent="0.3">
      <c r="B41" s="12" t="s">
        <v>75</v>
      </c>
      <c r="C41" s="3" t="s">
        <v>526</v>
      </c>
      <c r="D41" s="3" t="s">
        <v>556</v>
      </c>
      <c r="E41" s="3" t="s">
        <v>528</v>
      </c>
      <c r="F41" s="5">
        <v>2.6</v>
      </c>
      <c r="G41" s="4">
        <v>21054</v>
      </c>
      <c r="H41" s="4">
        <v>23970</v>
      </c>
      <c r="I41" s="4">
        <v>23662</v>
      </c>
      <c r="J41" s="4">
        <v>22799</v>
      </c>
      <c r="K41" s="4">
        <v>22439</v>
      </c>
      <c r="L41" s="4">
        <v>26742</v>
      </c>
      <c r="M41" s="4">
        <v>26747</v>
      </c>
      <c r="N41" s="4">
        <v>26423</v>
      </c>
      <c r="O41" s="4">
        <v>26462</v>
      </c>
      <c r="P41" s="4">
        <v>29611</v>
      </c>
      <c r="Q41" s="4">
        <v>29540</v>
      </c>
      <c r="R41" s="4">
        <v>29397</v>
      </c>
      <c r="S41" s="4">
        <v>29213</v>
      </c>
      <c r="T41" s="4">
        <v>32112</v>
      </c>
      <c r="U41" s="4">
        <v>32388</v>
      </c>
      <c r="V41" s="4">
        <v>32649</v>
      </c>
      <c r="W41" s="4">
        <v>32515</v>
      </c>
      <c r="X41" s="9">
        <v>2.12379310637647E-2</v>
      </c>
      <c r="Y41" s="10">
        <v>2.3681628444562671E-2</v>
      </c>
      <c r="Z41" s="10">
        <v>2.6415400861018679E-2</v>
      </c>
      <c r="AA41" s="10">
        <v>2.6131273642392431E-2</v>
      </c>
    </row>
    <row r="42" spans="2:27" x14ac:dyDescent="0.3">
      <c r="B42" s="12" t="s">
        <v>269</v>
      </c>
      <c r="C42" s="3" t="s">
        <v>526</v>
      </c>
      <c r="D42" s="3" t="s">
        <v>557</v>
      </c>
      <c r="E42" s="3" t="s">
        <v>528</v>
      </c>
      <c r="F42" s="5">
        <v>2.6</v>
      </c>
      <c r="G42" s="4">
        <v>347.34</v>
      </c>
      <c r="H42" s="4">
        <v>394.48</v>
      </c>
      <c r="I42" s="4">
        <v>323</v>
      </c>
      <c r="J42" s="4">
        <v>335.07</v>
      </c>
      <c r="K42" s="4">
        <v>425.28</v>
      </c>
      <c r="L42" s="4">
        <v>454.54</v>
      </c>
      <c r="M42" s="4">
        <v>290.5</v>
      </c>
      <c r="N42" s="4">
        <v>321.08999999999997</v>
      </c>
      <c r="O42" s="4">
        <v>356.01</v>
      </c>
      <c r="P42" s="4">
        <v>475.34</v>
      </c>
      <c r="Q42" s="4">
        <v>319.93</v>
      </c>
      <c r="R42" s="4">
        <v>345.16</v>
      </c>
      <c r="S42" s="4">
        <v>373.47</v>
      </c>
      <c r="T42" s="4">
        <v>466.63</v>
      </c>
      <c r="U42" s="4">
        <v>342.71</v>
      </c>
      <c r="V42" s="4">
        <v>386.95</v>
      </c>
      <c r="W42" s="4">
        <v>414.31</v>
      </c>
      <c r="X42" s="9">
        <v>-5.7533522689742211E-3</v>
      </c>
      <c r="Y42" s="10">
        <v>1.5134301981809539E-2</v>
      </c>
      <c r="Z42" s="10">
        <v>2.7350013416493679E-2</v>
      </c>
      <c r="AA42" s="10">
        <v>2.6016715931097781E-2</v>
      </c>
    </row>
    <row r="43" spans="2:27" x14ac:dyDescent="0.3">
      <c r="B43" s="12" t="s">
        <v>109</v>
      </c>
      <c r="C43" s="3" t="s">
        <v>526</v>
      </c>
      <c r="D43" s="3" t="s">
        <v>533</v>
      </c>
      <c r="E43" s="3" t="s">
        <v>528</v>
      </c>
      <c r="F43" s="5">
        <v>2.5</v>
      </c>
      <c r="G43" s="4">
        <v>315.86</v>
      </c>
      <c r="H43" s="4">
        <v>320.13</v>
      </c>
      <c r="I43" s="4">
        <v>297.04000000000002</v>
      </c>
      <c r="J43" s="4">
        <v>322.88</v>
      </c>
      <c r="K43" s="6">
        <v>450.97</v>
      </c>
      <c r="L43" s="6">
        <v>500.36</v>
      </c>
      <c r="M43" s="6">
        <v>533.48</v>
      </c>
      <c r="N43" s="6">
        <v>544.21</v>
      </c>
      <c r="O43" s="4">
        <v>609.27</v>
      </c>
      <c r="P43" s="4">
        <v>460.38</v>
      </c>
      <c r="Q43" s="4">
        <v>449.26</v>
      </c>
      <c r="R43" s="4">
        <v>446.52</v>
      </c>
      <c r="S43" s="4">
        <v>457.1</v>
      </c>
      <c r="T43" s="4">
        <v>435</v>
      </c>
      <c r="U43" s="4">
        <v>440.94</v>
      </c>
      <c r="V43" s="4">
        <v>470.62</v>
      </c>
      <c r="W43" s="4">
        <v>503.09</v>
      </c>
      <c r="X43" s="9">
        <v>-1.399688958009326E-2</v>
      </c>
      <c r="Y43" s="10">
        <v>-4.6535561670806302E-3</v>
      </c>
      <c r="Z43" s="10">
        <v>1.35426734698465E-2</v>
      </c>
      <c r="AA43" s="10">
        <v>2.5498153754033529E-2</v>
      </c>
    </row>
    <row r="44" spans="2:27" x14ac:dyDescent="0.3">
      <c r="B44" s="12" t="s">
        <v>143</v>
      </c>
      <c r="C44" s="3" t="s">
        <v>526</v>
      </c>
      <c r="D44" s="3" t="s">
        <v>533</v>
      </c>
      <c r="E44" s="3" t="s">
        <v>528</v>
      </c>
      <c r="F44" s="5">
        <v>2.5</v>
      </c>
      <c r="G44" s="4">
        <v>284.99</v>
      </c>
      <c r="H44" s="4">
        <v>353.52</v>
      </c>
      <c r="I44" s="4">
        <v>316.92</v>
      </c>
      <c r="J44" s="4">
        <v>334.17</v>
      </c>
      <c r="K44" s="4">
        <v>370.61</v>
      </c>
      <c r="L44" s="4">
        <v>451.64</v>
      </c>
      <c r="M44" s="4">
        <v>401.14</v>
      </c>
      <c r="N44" s="4">
        <v>406.3</v>
      </c>
      <c r="O44" s="4">
        <v>434.62</v>
      </c>
      <c r="P44" s="4">
        <v>499.9</v>
      </c>
      <c r="Q44" s="4">
        <v>437.5</v>
      </c>
      <c r="R44" s="4">
        <v>451.9</v>
      </c>
      <c r="S44" s="4">
        <v>493.87</v>
      </c>
      <c r="T44" s="4">
        <v>530.5</v>
      </c>
      <c r="U44" s="4">
        <v>483.6</v>
      </c>
      <c r="V44" s="4">
        <v>493.3</v>
      </c>
      <c r="W44" s="4">
        <v>544.29999999999995</v>
      </c>
      <c r="X44" s="9">
        <v>1.6249196832999638E-2</v>
      </c>
      <c r="Y44" s="10">
        <v>2.408857908735107E-2</v>
      </c>
      <c r="Z44" s="10">
        <v>2.1123850051278929E-2</v>
      </c>
      <c r="AA44" s="10">
        <v>2.5198998635866051E-2</v>
      </c>
    </row>
    <row r="45" spans="2:27" x14ac:dyDescent="0.3">
      <c r="B45" s="12" t="s">
        <v>437</v>
      </c>
      <c r="C45" s="3" t="s">
        <v>526</v>
      </c>
      <c r="D45" s="3" t="s">
        <v>544</v>
      </c>
      <c r="E45" s="3" t="s">
        <v>528</v>
      </c>
      <c r="F45" s="5">
        <v>2.5</v>
      </c>
      <c r="G45" s="4">
        <v>76.64</v>
      </c>
      <c r="H45" s="4">
        <v>73.709999999999994</v>
      </c>
      <c r="I45" s="4">
        <v>75.11</v>
      </c>
      <c r="J45" s="4">
        <v>70.52</v>
      </c>
      <c r="K45" s="4">
        <v>74.08</v>
      </c>
      <c r="L45" s="4">
        <v>69.040000000000006</v>
      </c>
      <c r="M45" s="4">
        <v>65.61</v>
      </c>
      <c r="N45" s="4">
        <v>61.61</v>
      </c>
      <c r="O45" s="4">
        <v>65.03</v>
      </c>
      <c r="P45" s="4">
        <v>65.09</v>
      </c>
      <c r="Q45" s="4">
        <v>67.28</v>
      </c>
      <c r="R45" s="4">
        <v>69.489999999999995</v>
      </c>
      <c r="S45" s="4">
        <v>73.03</v>
      </c>
      <c r="T45" s="4">
        <v>72.08</v>
      </c>
      <c r="U45" s="4">
        <v>74.22</v>
      </c>
      <c r="V45" s="4">
        <v>75.31</v>
      </c>
      <c r="W45" s="4">
        <v>80.25</v>
      </c>
      <c r="X45" s="9">
        <v>2.542835315944569E-2</v>
      </c>
      <c r="Y45" s="10">
        <v>2.4620405846459411E-2</v>
      </c>
      <c r="Z45" s="10">
        <v>2.0150959074856312E-2</v>
      </c>
      <c r="AA45" s="10">
        <v>2.4504480043442859E-2</v>
      </c>
    </row>
    <row r="46" spans="2:27" x14ac:dyDescent="0.3">
      <c r="B46" s="12" t="s">
        <v>466</v>
      </c>
      <c r="C46" s="3" t="s">
        <v>526</v>
      </c>
      <c r="D46" s="3" t="s">
        <v>558</v>
      </c>
      <c r="E46" s="3" t="s">
        <v>528</v>
      </c>
      <c r="F46" s="5">
        <v>2.4</v>
      </c>
      <c r="G46" s="4">
        <v>543.54</v>
      </c>
      <c r="H46" s="4">
        <v>568.54</v>
      </c>
      <c r="I46" s="4">
        <v>630.94000000000005</v>
      </c>
      <c r="J46" s="4">
        <v>694.14</v>
      </c>
      <c r="K46" s="4">
        <v>760.15</v>
      </c>
      <c r="L46" s="4">
        <v>779.14</v>
      </c>
      <c r="M46" s="4">
        <v>767.07</v>
      </c>
      <c r="N46" s="4">
        <v>733.97</v>
      </c>
      <c r="O46" s="4">
        <v>725.8</v>
      </c>
      <c r="P46" s="4">
        <v>733.7</v>
      </c>
      <c r="Q46" s="4">
        <v>734.8</v>
      </c>
      <c r="R46" s="4">
        <v>731.81</v>
      </c>
      <c r="S46" s="4">
        <v>729.82</v>
      </c>
      <c r="T46" s="4">
        <v>736.19</v>
      </c>
      <c r="U46" s="4">
        <v>832.79</v>
      </c>
      <c r="V46" s="4">
        <v>818.19</v>
      </c>
      <c r="W46" s="4">
        <v>805.13</v>
      </c>
      <c r="X46" s="9">
        <v>8.4979164746945557E-4</v>
      </c>
      <c r="Y46" s="10">
        <v>3.3413807448629651E-2</v>
      </c>
      <c r="Z46" s="10">
        <v>2.8502512695463889E-2</v>
      </c>
      <c r="AA46" s="10">
        <v>2.416112980792362E-2</v>
      </c>
    </row>
    <row r="47" spans="2:27" x14ac:dyDescent="0.3">
      <c r="B47" s="12" t="s">
        <v>12</v>
      </c>
      <c r="C47" s="3" t="s">
        <v>526</v>
      </c>
      <c r="D47" s="3" t="s">
        <v>559</v>
      </c>
      <c r="E47" s="3" t="s">
        <v>528</v>
      </c>
      <c r="F47" s="5">
        <v>2.4</v>
      </c>
      <c r="G47" s="4">
        <v>6009</v>
      </c>
      <c r="H47" s="4">
        <v>5666</v>
      </c>
      <c r="I47" s="4">
        <v>5718</v>
      </c>
      <c r="J47" s="4">
        <v>5872</v>
      </c>
      <c r="K47" s="4">
        <v>5927</v>
      </c>
      <c r="L47" s="4">
        <v>5898</v>
      </c>
      <c r="M47" s="4">
        <v>6497</v>
      </c>
      <c r="N47" s="4">
        <v>6692</v>
      </c>
      <c r="O47" s="4">
        <v>6407</v>
      </c>
      <c r="P47" s="4">
        <v>6169</v>
      </c>
      <c r="Q47" s="4">
        <v>6490</v>
      </c>
      <c r="R47" s="4">
        <v>6873</v>
      </c>
      <c r="S47" s="4">
        <v>6388</v>
      </c>
      <c r="T47" s="4">
        <v>5956</v>
      </c>
      <c r="U47" s="4">
        <v>6843</v>
      </c>
      <c r="V47" s="4">
        <v>7078</v>
      </c>
      <c r="W47" s="4">
        <v>7009</v>
      </c>
      <c r="X47" s="9">
        <v>-8.2175925925925819E-3</v>
      </c>
      <c r="Y47" s="10">
        <v>1.373166841716267E-2</v>
      </c>
      <c r="Z47" s="10">
        <v>7.8664620107444794E-3</v>
      </c>
      <c r="AA47" s="10">
        <v>2.3643632210165629E-2</v>
      </c>
    </row>
    <row r="48" spans="2:27" x14ac:dyDescent="0.3">
      <c r="B48" s="12" t="s">
        <v>7</v>
      </c>
      <c r="C48" s="3" t="s">
        <v>526</v>
      </c>
      <c r="D48" s="3" t="s">
        <v>552</v>
      </c>
      <c r="E48" s="3" t="s">
        <v>560</v>
      </c>
      <c r="F48" s="5">
        <v>2.4</v>
      </c>
      <c r="G48" s="4">
        <v>12720</v>
      </c>
      <c r="H48" s="4">
        <v>12835</v>
      </c>
      <c r="I48" s="4">
        <v>13102</v>
      </c>
      <c r="J48" s="4">
        <v>13632</v>
      </c>
      <c r="K48" s="4">
        <v>13592</v>
      </c>
      <c r="L48" s="4">
        <v>14571</v>
      </c>
      <c r="M48" s="4">
        <v>15203</v>
      </c>
      <c r="N48" s="4">
        <v>14668</v>
      </c>
      <c r="O48" s="4">
        <v>12791</v>
      </c>
      <c r="P48" s="4">
        <v>12702</v>
      </c>
      <c r="Q48" s="4">
        <v>13642</v>
      </c>
      <c r="R48" s="4">
        <v>13841</v>
      </c>
      <c r="S48" s="4">
        <v>13991</v>
      </c>
      <c r="T48" s="4">
        <v>14149</v>
      </c>
      <c r="U48" s="4">
        <v>14673</v>
      </c>
      <c r="V48" s="4">
        <v>14883</v>
      </c>
      <c r="W48" s="4">
        <v>15349</v>
      </c>
      <c r="X48" s="9">
        <v>2.670924394565866E-2</v>
      </c>
      <c r="Y48" s="10">
        <v>1.853549790554276E-2</v>
      </c>
      <c r="Z48" s="10">
        <v>1.839234652451727E-2</v>
      </c>
      <c r="AA48" s="10">
        <v>2.353716028840824E-2</v>
      </c>
    </row>
    <row r="49" spans="2:27" x14ac:dyDescent="0.3">
      <c r="B49" s="12" t="s">
        <v>199</v>
      </c>
      <c r="C49" s="3" t="s">
        <v>526</v>
      </c>
      <c r="D49" s="3" t="s">
        <v>561</v>
      </c>
      <c r="E49" s="3" t="s">
        <v>528</v>
      </c>
      <c r="F49" s="5">
        <v>2.2999999999999998</v>
      </c>
      <c r="G49" s="4">
        <v>244.07</v>
      </c>
      <c r="H49" s="4">
        <v>282.41000000000003</v>
      </c>
      <c r="I49" s="4">
        <v>274.63</v>
      </c>
      <c r="J49" s="4">
        <v>209.62</v>
      </c>
      <c r="K49" s="4">
        <v>239.43</v>
      </c>
      <c r="L49" s="4">
        <v>201.12</v>
      </c>
      <c r="M49" s="4">
        <v>242.51</v>
      </c>
      <c r="N49" s="4">
        <v>197.24</v>
      </c>
      <c r="O49" s="4">
        <v>196.67</v>
      </c>
      <c r="P49" s="4">
        <v>210.8</v>
      </c>
      <c r="Q49" s="4">
        <v>239.29</v>
      </c>
      <c r="R49" s="4">
        <v>234.74</v>
      </c>
      <c r="S49" s="4">
        <v>229.68</v>
      </c>
      <c r="T49" s="4">
        <v>216.04</v>
      </c>
      <c r="U49" s="4">
        <v>249.09</v>
      </c>
      <c r="V49" s="4">
        <v>276.89</v>
      </c>
      <c r="W49" s="4">
        <v>252.34</v>
      </c>
      <c r="X49" s="9">
        <v>5.7298443975462021E-3</v>
      </c>
      <c r="Y49" s="10">
        <v>1.065506931231308E-2</v>
      </c>
      <c r="Z49" s="10">
        <v>4.5344521542681981E-2</v>
      </c>
      <c r="AA49" s="10">
        <v>2.3319954718534541E-2</v>
      </c>
    </row>
    <row r="50" spans="2:27" x14ac:dyDescent="0.3">
      <c r="B50" s="12" t="s">
        <v>296</v>
      </c>
      <c r="C50" s="3" t="s">
        <v>526</v>
      </c>
      <c r="D50" s="3" t="s">
        <v>533</v>
      </c>
      <c r="E50" s="3" t="s">
        <v>528</v>
      </c>
      <c r="F50" s="5">
        <v>2.2000000000000002</v>
      </c>
      <c r="G50" s="4">
        <v>111.66</v>
      </c>
      <c r="H50" s="4">
        <v>114.98</v>
      </c>
      <c r="I50" s="4">
        <v>119.28</v>
      </c>
      <c r="J50" s="4">
        <v>126.24</v>
      </c>
      <c r="K50" s="4">
        <v>131.13</v>
      </c>
      <c r="L50" s="4">
        <v>132.75</v>
      </c>
      <c r="M50" s="4">
        <v>139.69999999999999</v>
      </c>
      <c r="N50" s="4">
        <v>145.03</v>
      </c>
      <c r="O50" s="4">
        <v>154.91</v>
      </c>
      <c r="P50" s="4">
        <v>156.78</v>
      </c>
      <c r="Q50" s="4">
        <v>161.1</v>
      </c>
      <c r="R50" s="4">
        <v>170.44</v>
      </c>
      <c r="S50" s="4">
        <v>178.46</v>
      </c>
      <c r="T50" s="4">
        <v>177.06</v>
      </c>
      <c r="U50" s="4">
        <v>184.56</v>
      </c>
      <c r="V50" s="4">
        <v>192.11</v>
      </c>
      <c r="W50" s="4">
        <v>194.71</v>
      </c>
      <c r="X50" s="9">
        <v>3.0414829478988551E-2</v>
      </c>
      <c r="Y50" s="10">
        <v>3.4145489476901547E-2</v>
      </c>
      <c r="Z50" s="10">
        <v>3.049878961887087E-2</v>
      </c>
      <c r="AA50" s="10">
        <v>2.2193692893921039E-2</v>
      </c>
    </row>
    <row r="51" spans="2:27" x14ac:dyDescent="0.3">
      <c r="B51" s="12" t="s">
        <v>193</v>
      </c>
      <c r="C51" s="3" t="s">
        <v>526</v>
      </c>
      <c r="D51" s="3" t="s">
        <v>537</v>
      </c>
      <c r="E51" s="3" t="s">
        <v>528</v>
      </c>
      <c r="F51" s="5">
        <v>2.2000000000000002</v>
      </c>
      <c r="G51" s="4">
        <v>187.26</v>
      </c>
      <c r="H51" s="4">
        <v>190.28</v>
      </c>
      <c r="I51" s="4">
        <v>190.78</v>
      </c>
      <c r="J51" s="4">
        <v>193.47</v>
      </c>
      <c r="K51" s="4">
        <v>198.52</v>
      </c>
      <c r="L51" s="4">
        <v>204.11</v>
      </c>
      <c r="M51" s="4">
        <v>202.64</v>
      </c>
      <c r="N51" s="4">
        <v>205.13</v>
      </c>
      <c r="O51" s="4">
        <v>216.23</v>
      </c>
      <c r="P51" s="4">
        <v>215.41</v>
      </c>
      <c r="Q51" s="4">
        <v>216.81</v>
      </c>
      <c r="R51" s="4">
        <v>218.56</v>
      </c>
      <c r="S51" s="4">
        <v>218.48</v>
      </c>
      <c r="T51" s="4">
        <v>230.85</v>
      </c>
      <c r="U51" s="4">
        <v>226.8</v>
      </c>
      <c r="V51" s="4">
        <v>230.16</v>
      </c>
      <c r="W51" s="4">
        <v>238.4</v>
      </c>
      <c r="X51" s="9">
        <v>1.7762234544325128E-2</v>
      </c>
      <c r="Y51" s="10">
        <v>1.1291963377416E-2</v>
      </c>
      <c r="Z51" s="10">
        <v>1.2965384658373271E-2</v>
      </c>
      <c r="AA51" s="10">
        <v>2.1979719515828441E-2</v>
      </c>
    </row>
    <row r="52" spans="2:27" x14ac:dyDescent="0.3">
      <c r="B52" s="12" t="s">
        <v>63</v>
      </c>
      <c r="C52" s="3" t="s">
        <v>526</v>
      </c>
      <c r="D52" s="3" t="s">
        <v>562</v>
      </c>
      <c r="E52" s="3" t="s">
        <v>528</v>
      </c>
      <c r="F52" s="5">
        <v>2.2000000000000002</v>
      </c>
      <c r="G52" s="4">
        <v>600.34</v>
      </c>
      <c r="H52" s="4">
        <v>590.67999999999995</v>
      </c>
      <c r="I52" s="4">
        <v>714.05</v>
      </c>
      <c r="J52" s="4">
        <v>729.7</v>
      </c>
      <c r="K52" s="4">
        <v>661.39</v>
      </c>
      <c r="L52" s="4">
        <v>658.02</v>
      </c>
      <c r="M52" s="4">
        <v>820.75</v>
      </c>
      <c r="N52" s="4">
        <v>840.43</v>
      </c>
      <c r="O52" s="4">
        <v>754.09</v>
      </c>
      <c r="P52" s="4">
        <v>748.35</v>
      </c>
      <c r="Q52" s="4">
        <v>891.92</v>
      </c>
      <c r="R52" s="4">
        <v>916.27</v>
      </c>
      <c r="S52" s="4">
        <v>832.17</v>
      </c>
      <c r="T52" s="4">
        <v>822.5</v>
      </c>
      <c r="U52" s="4">
        <v>999.53</v>
      </c>
      <c r="V52" s="4">
        <v>1026</v>
      </c>
      <c r="W52" s="4">
        <v>912.91</v>
      </c>
      <c r="X52" s="9">
        <v>2.1881482924180459E-2</v>
      </c>
      <c r="Y52" s="10">
        <v>3.107546940967865E-2</v>
      </c>
      <c r="Z52" s="10">
        <v>3.0732648642895821E-2</v>
      </c>
      <c r="AA52" s="10">
        <v>2.1939025052986279E-2</v>
      </c>
    </row>
    <row r="53" spans="2:27" x14ac:dyDescent="0.3">
      <c r="B53" s="12" t="s">
        <v>97</v>
      </c>
      <c r="C53" s="3" t="s">
        <v>526</v>
      </c>
      <c r="D53" s="3" t="s">
        <v>563</v>
      </c>
      <c r="E53" s="3" t="s">
        <v>528</v>
      </c>
      <c r="F53" s="5">
        <v>2.2000000000000002</v>
      </c>
      <c r="G53" s="4">
        <v>0</v>
      </c>
      <c r="H53" s="4">
        <v>4745</v>
      </c>
      <c r="I53" s="4">
        <v>4638</v>
      </c>
      <c r="J53" s="4">
        <v>4801</v>
      </c>
      <c r="K53" s="6">
        <v>4990</v>
      </c>
      <c r="L53" s="4">
        <v>5021</v>
      </c>
      <c r="M53" s="4">
        <v>5082</v>
      </c>
      <c r="N53" s="4">
        <v>5066</v>
      </c>
      <c r="O53" s="4">
        <v>5379</v>
      </c>
      <c r="P53" s="4">
        <v>5368</v>
      </c>
      <c r="Q53" s="4">
        <v>5108</v>
      </c>
      <c r="R53" s="4">
        <v>5126</v>
      </c>
      <c r="S53" s="4">
        <v>5072</v>
      </c>
      <c r="T53" s="4">
        <v>5223</v>
      </c>
      <c r="U53" s="4">
        <v>5271</v>
      </c>
      <c r="V53" s="4">
        <v>5289</v>
      </c>
      <c r="W53" s="4">
        <v>5527</v>
      </c>
      <c r="X53" s="9">
        <v>-7.0136403211763509E-3</v>
      </c>
      <c r="Y53" s="10">
        <v>7.9399873349894623E-3</v>
      </c>
      <c r="Z53" s="10">
        <v>7.8774405567370032E-3</v>
      </c>
      <c r="AA53" s="10">
        <v>2.1817309997602449E-2</v>
      </c>
    </row>
    <row r="54" spans="2:27" x14ac:dyDescent="0.3">
      <c r="B54" s="12" t="s">
        <v>302</v>
      </c>
      <c r="C54" s="3" t="s">
        <v>526</v>
      </c>
      <c r="D54" s="3" t="s">
        <v>564</v>
      </c>
      <c r="E54" s="3" t="s">
        <v>528</v>
      </c>
      <c r="F54" s="5">
        <v>2.1</v>
      </c>
      <c r="G54" s="4">
        <v>3762</v>
      </c>
      <c r="H54" s="4">
        <v>3627</v>
      </c>
      <c r="I54" s="4">
        <v>3489</v>
      </c>
      <c r="J54" s="4">
        <v>3499</v>
      </c>
      <c r="K54" s="4">
        <v>3719</v>
      </c>
      <c r="L54" s="4">
        <v>3845</v>
      </c>
      <c r="M54" s="4">
        <v>4007</v>
      </c>
      <c r="N54" s="4">
        <v>4076</v>
      </c>
      <c r="O54" s="4">
        <v>4168</v>
      </c>
      <c r="P54" s="4">
        <v>4325</v>
      </c>
      <c r="Q54" s="4">
        <v>4392</v>
      </c>
      <c r="R54" s="4">
        <v>4560</v>
      </c>
      <c r="S54" s="4">
        <v>4649</v>
      </c>
      <c r="T54" s="4">
        <v>4481</v>
      </c>
      <c r="U54" s="4">
        <v>4490</v>
      </c>
      <c r="V54" s="4">
        <v>4893</v>
      </c>
      <c r="W54" s="4">
        <v>5047</v>
      </c>
      <c r="X54" s="9">
        <v>8.7024433783331467E-3</v>
      </c>
      <c r="Y54" s="10">
        <v>5.4197544519412064E-3</v>
      </c>
      <c r="Z54" s="10">
        <v>1.831683168316833E-2</v>
      </c>
      <c r="AA54" s="10">
        <v>2.149840652514445E-2</v>
      </c>
    </row>
    <row r="55" spans="2:27" x14ac:dyDescent="0.3">
      <c r="B55" s="12" t="s">
        <v>33</v>
      </c>
      <c r="C55" s="3" t="s">
        <v>526</v>
      </c>
      <c r="D55" s="3" t="s">
        <v>565</v>
      </c>
      <c r="E55" s="3" t="s">
        <v>528</v>
      </c>
      <c r="F55" s="5">
        <v>1.7</v>
      </c>
      <c r="G55" s="4">
        <v>774</v>
      </c>
      <c r="H55" s="4">
        <v>670</v>
      </c>
      <c r="I55" s="4">
        <v>973</v>
      </c>
      <c r="J55" s="4">
        <v>1024</v>
      </c>
      <c r="K55" s="4">
        <v>1069</v>
      </c>
      <c r="L55" s="4">
        <v>936</v>
      </c>
      <c r="M55" s="4">
        <v>1160</v>
      </c>
      <c r="N55" s="4">
        <v>1167</v>
      </c>
      <c r="O55" s="4">
        <v>1145</v>
      </c>
      <c r="P55" s="4">
        <v>1052</v>
      </c>
      <c r="Q55" s="4">
        <v>1258</v>
      </c>
      <c r="R55" s="4">
        <v>1240</v>
      </c>
      <c r="S55" s="4">
        <v>1196</v>
      </c>
      <c r="T55" s="4">
        <v>1065</v>
      </c>
      <c r="U55" s="4">
        <v>1326</v>
      </c>
      <c r="V55" s="4">
        <v>1283</v>
      </c>
      <c r="W55" s="4">
        <v>1280</v>
      </c>
      <c r="X55" s="9">
        <v>2.7391487568477761E-3</v>
      </c>
      <c r="Y55" s="10">
        <v>1.4288716116831249E-2</v>
      </c>
      <c r="Z55" s="10">
        <v>8.9082245701264107E-3</v>
      </c>
      <c r="AA55" s="10">
        <v>1.7248459958932209E-2</v>
      </c>
    </row>
    <row r="56" spans="2:27" x14ac:dyDescent="0.3">
      <c r="B56" s="12" t="s">
        <v>20</v>
      </c>
      <c r="C56" s="3" t="s">
        <v>526</v>
      </c>
      <c r="D56" s="3" t="s">
        <v>538</v>
      </c>
      <c r="E56" s="3" t="s">
        <v>566</v>
      </c>
      <c r="F56" s="5">
        <v>1.6</v>
      </c>
      <c r="G56" s="4">
        <v>846.3</v>
      </c>
      <c r="H56" s="4">
        <v>685.4</v>
      </c>
      <c r="I56" s="4">
        <v>728</v>
      </c>
      <c r="J56" s="4">
        <v>790.4</v>
      </c>
      <c r="K56" s="4">
        <v>765.1</v>
      </c>
      <c r="L56" s="4">
        <v>684.1</v>
      </c>
      <c r="M56" s="4">
        <v>699.4</v>
      </c>
      <c r="N56" s="4">
        <v>811.1</v>
      </c>
      <c r="O56" s="4">
        <v>716.6</v>
      </c>
      <c r="P56" s="4">
        <v>663.3</v>
      </c>
      <c r="Q56" s="4">
        <v>701.4</v>
      </c>
      <c r="R56" s="4">
        <v>805.7</v>
      </c>
      <c r="S56" s="4">
        <v>731.7</v>
      </c>
      <c r="T56" s="4">
        <v>662.9</v>
      </c>
      <c r="U56" s="4">
        <v>725.3</v>
      </c>
      <c r="V56" s="4">
        <v>832.8</v>
      </c>
      <c r="W56" s="4">
        <v>778.9</v>
      </c>
      <c r="X56" s="9">
        <v>-1.3783122566424219E-4</v>
      </c>
      <c r="Y56" s="10">
        <v>8.2365509873523202E-3</v>
      </c>
      <c r="Z56" s="10">
        <v>9.2630571506699955E-3</v>
      </c>
      <c r="AA56" s="10">
        <v>1.5985369322992549E-2</v>
      </c>
    </row>
    <row r="57" spans="2:27" x14ac:dyDescent="0.3">
      <c r="B57" s="12" t="s">
        <v>179</v>
      </c>
      <c r="C57" s="3" t="s">
        <v>526</v>
      </c>
      <c r="D57" s="3" t="s">
        <v>568</v>
      </c>
      <c r="E57" s="3" t="s">
        <v>528</v>
      </c>
      <c r="F57" s="5">
        <v>1.5</v>
      </c>
      <c r="G57" s="4">
        <v>739.92</v>
      </c>
      <c r="H57" s="4">
        <v>706.74</v>
      </c>
      <c r="I57" s="4">
        <v>684.5</v>
      </c>
      <c r="J57" s="4">
        <v>689.57</v>
      </c>
      <c r="K57" s="4">
        <v>703.25</v>
      </c>
      <c r="L57" s="4">
        <v>706.47</v>
      </c>
      <c r="M57" s="4">
        <v>0</v>
      </c>
      <c r="N57" s="4">
        <v>713.8</v>
      </c>
      <c r="O57" s="4">
        <v>722.32</v>
      </c>
      <c r="P57" s="4">
        <v>751.74</v>
      </c>
      <c r="Q57" s="6">
        <v>756.61</v>
      </c>
      <c r="R57" s="4">
        <v>790.04</v>
      </c>
      <c r="S57" s="4">
        <v>803.41</v>
      </c>
      <c r="T57" s="4">
        <v>819.51</v>
      </c>
      <c r="U57" s="4">
        <v>807.96</v>
      </c>
      <c r="V57" s="4">
        <v>854.33</v>
      </c>
      <c r="W57" s="4">
        <v>853.68</v>
      </c>
      <c r="X57" s="9">
        <v>2.1848604036365901E-2</v>
      </c>
      <c r="Y57" s="10">
        <v>1.620093577362236E-2</v>
      </c>
      <c r="Z57" s="10">
        <v>1.9960135613427129E-2</v>
      </c>
      <c r="AA57" s="10">
        <v>1.530191372849843E-2</v>
      </c>
    </row>
    <row r="58" spans="2:27" x14ac:dyDescent="0.3">
      <c r="B58" s="12" t="s">
        <v>93</v>
      </c>
      <c r="C58" s="3" t="s">
        <v>526</v>
      </c>
      <c r="D58" s="3" t="s">
        <v>533</v>
      </c>
      <c r="E58" s="3" t="s">
        <v>528</v>
      </c>
      <c r="F58" s="5">
        <v>1.5</v>
      </c>
      <c r="G58" s="4">
        <v>433.54</v>
      </c>
      <c r="H58" s="4">
        <v>456.11</v>
      </c>
      <c r="I58" s="4">
        <v>468.69</v>
      </c>
      <c r="J58" s="4">
        <v>473.19</v>
      </c>
      <c r="K58" s="4">
        <v>452.22</v>
      </c>
      <c r="L58" s="4">
        <v>471.85</v>
      </c>
      <c r="M58" s="4">
        <v>504.28</v>
      </c>
      <c r="N58" s="4">
        <v>494.68</v>
      </c>
      <c r="O58" s="4">
        <v>480.93</v>
      </c>
      <c r="P58" s="4">
        <v>512.36</v>
      </c>
      <c r="Q58" s="4">
        <v>540.98</v>
      </c>
      <c r="R58" s="4">
        <v>543.34</v>
      </c>
      <c r="S58" s="4">
        <v>541.13</v>
      </c>
      <c r="T58" s="4">
        <v>565.16999999999996</v>
      </c>
      <c r="U58" s="4">
        <v>596.12</v>
      </c>
      <c r="V58" s="4">
        <v>595.88</v>
      </c>
      <c r="W58" s="4">
        <v>575.17999999999995</v>
      </c>
      <c r="X58" s="9">
        <v>2.470285011296602E-2</v>
      </c>
      <c r="Y58" s="10">
        <v>2.5170956167660519E-2</v>
      </c>
      <c r="Z58" s="10">
        <v>2.3395198062125869E-2</v>
      </c>
      <c r="AA58" s="10">
        <v>1.481529826393402E-2</v>
      </c>
    </row>
    <row r="59" spans="2:27" x14ac:dyDescent="0.3">
      <c r="B59" s="12" t="s">
        <v>285</v>
      </c>
      <c r="C59" s="3" t="s">
        <v>526</v>
      </c>
      <c r="D59" s="3" t="s">
        <v>569</v>
      </c>
      <c r="E59" s="3" t="s">
        <v>528</v>
      </c>
      <c r="F59" s="5">
        <v>1.4</v>
      </c>
      <c r="G59" s="4">
        <v>990.1</v>
      </c>
      <c r="H59" s="4">
        <v>1003</v>
      </c>
      <c r="I59" s="4">
        <v>1077</v>
      </c>
      <c r="J59" s="4">
        <v>1121</v>
      </c>
      <c r="K59" s="4">
        <v>1218</v>
      </c>
      <c r="L59" s="4">
        <v>1236</v>
      </c>
      <c r="M59" s="4">
        <v>1403</v>
      </c>
      <c r="N59" s="4">
        <v>1290</v>
      </c>
      <c r="O59" s="4">
        <v>1223</v>
      </c>
      <c r="P59" s="4">
        <v>1292</v>
      </c>
      <c r="Q59" s="4">
        <v>1382</v>
      </c>
      <c r="R59" s="4">
        <v>1212</v>
      </c>
      <c r="S59" s="4">
        <v>1241</v>
      </c>
      <c r="T59" s="4">
        <v>1229</v>
      </c>
      <c r="U59" s="4">
        <v>1487</v>
      </c>
      <c r="V59" s="4">
        <v>1387</v>
      </c>
      <c r="W59" s="4">
        <v>1318</v>
      </c>
      <c r="X59" s="9">
        <v>-1.228788765359856E-2</v>
      </c>
      <c r="Y59" s="10">
        <v>2.0734597156398141E-2</v>
      </c>
      <c r="Z59" s="10">
        <v>3.3855678080866758E-2</v>
      </c>
      <c r="AA59" s="10">
        <v>1.44086826347305E-2</v>
      </c>
    </row>
    <row r="60" spans="2:27" x14ac:dyDescent="0.3">
      <c r="B60" s="12" t="s">
        <v>28</v>
      </c>
      <c r="C60" s="3" t="s">
        <v>526</v>
      </c>
      <c r="D60" s="3" t="s">
        <v>570</v>
      </c>
      <c r="E60" s="3" t="s">
        <v>528</v>
      </c>
      <c r="F60" s="5">
        <v>1.4</v>
      </c>
      <c r="G60" s="4">
        <v>1601</v>
      </c>
      <c r="H60" s="4">
        <v>1734</v>
      </c>
      <c r="I60" s="4">
        <v>1580</v>
      </c>
      <c r="J60" s="4">
        <v>1694</v>
      </c>
      <c r="K60" s="4">
        <v>1715</v>
      </c>
      <c r="L60" s="4">
        <v>1986</v>
      </c>
      <c r="M60" s="4">
        <v>2025</v>
      </c>
      <c r="N60" s="4">
        <v>2073</v>
      </c>
      <c r="O60" s="4">
        <v>2113</v>
      </c>
      <c r="P60" s="4">
        <v>2130</v>
      </c>
      <c r="Q60" s="4">
        <v>2151</v>
      </c>
      <c r="R60" s="4">
        <v>2198</v>
      </c>
      <c r="S60" s="4">
        <v>2269</v>
      </c>
      <c r="T60" s="4">
        <v>2207</v>
      </c>
      <c r="U60" s="4">
        <v>2268</v>
      </c>
      <c r="V60" s="4">
        <v>2343</v>
      </c>
      <c r="W60" s="4">
        <v>2399</v>
      </c>
      <c r="X60" s="9">
        <v>8.802011888431549E-3</v>
      </c>
      <c r="Y60" s="10">
        <v>1.3257790368272021E-2</v>
      </c>
      <c r="Z60" s="10">
        <v>1.6215611719973211E-2</v>
      </c>
      <c r="AA60" s="10">
        <v>1.430615164520743E-2</v>
      </c>
    </row>
    <row r="61" spans="2:27" x14ac:dyDescent="0.3">
      <c r="B61" s="12" t="s">
        <v>47</v>
      </c>
      <c r="C61" s="3" t="s">
        <v>526</v>
      </c>
      <c r="D61" s="3" t="s">
        <v>571</v>
      </c>
      <c r="E61" s="3" t="s">
        <v>528</v>
      </c>
      <c r="F61" s="5">
        <v>1.2</v>
      </c>
      <c r="G61" s="4">
        <v>1624</v>
      </c>
      <c r="H61" s="4">
        <v>1646</v>
      </c>
      <c r="I61" s="4">
        <v>1816</v>
      </c>
      <c r="J61" s="4">
        <v>1880</v>
      </c>
      <c r="K61" s="4">
        <v>1869</v>
      </c>
      <c r="L61" s="4">
        <v>1901</v>
      </c>
      <c r="M61" s="4">
        <v>2021</v>
      </c>
      <c r="N61" s="4">
        <v>2065</v>
      </c>
      <c r="O61" s="4">
        <v>2036</v>
      </c>
      <c r="P61" s="4">
        <v>2073</v>
      </c>
      <c r="Q61" s="4">
        <v>2248</v>
      </c>
      <c r="R61" s="4">
        <v>2338</v>
      </c>
      <c r="S61" s="4">
        <v>2260</v>
      </c>
      <c r="T61" s="4">
        <v>2228</v>
      </c>
      <c r="U61" s="4">
        <v>2407</v>
      </c>
      <c r="V61" s="4">
        <v>2458</v>
      </c>
      <c r="W61" s="4">
        <v>2373</v>
      </c>
      <c r="X61" s="9">
        <v>1.7378629891243499E-2</v>
      </c>
      <c r="Y61" s="10">
        <v>1.752259202115947E-2</v>
      </c>
      <c r="Z61" s="10">
        <v>1.2996859092385901E-2</v>
      </c>
      <c r="AA61" s="10">
        <v>1.2081685020848941E-2</v>
      </c>
    </row>
    <row r="62" spans="2:27" x14ac:dyDescent="0.3">
      <c r="B62" s="12" t="s">
        <v>117</v>
      </c>
      <c r="C62" s="3" t="s">
        <v>526</v>
      </c>
      <c r="D62" s="3" t="s">
        <v>532</v>
      </c>
      <c r="E62" s="3" t="s">
        <v>528</v>
      </c>
      <c r="F62" s="5">
        <v>1.2</v>
      </c>
      <c r="G62" s="4">
        <v>575.70000000000005</v>
      </c>
      <c r="H62" s="4">
        <v>562.04999999999995</v>
      </c>
      <c r="I62" s="4">
        <v>535.96</v>
      </c>
      <c r="J62" s="4">
        <v>573.46</v>
      </c>
      <c r="K62" s="4">
        <v>565.75</v>
      </c>
      <c r="L62" s="4">
        <v>683.97</v>
      </c>
      <c r="M62" s="4">
        <v>538.20000000000005</v>
      </c>
      <c r="N62" s="4">
        <v>536.30999999999995</v>
      </c>
      <c r="O62" s="4">
        <v>596.07000000000005</v>
      </c>
      <c r="P62" s="4">
        <v>567.98</v>
      </c>
      <c r="Q62" s="4">
        <v>537.27</v>
      </c>
      <c r="R62" s="4">
        <v>564.69000000000005</v>
      </c>
      <c r="S62" s="4">
        <v>593.64</v>
      </c>
      <c r="T62" s="4">
        <v>568.25</v>
      </c>
      <c r="U62" s="4">
        <v>578.66999999999996</v>
      </c>
      <c r="V62" s="4">
        <v>609.29</v>
      </c>
      <c r="W62" s="4">
        <v>622</v>
      </c>
      <c r="X62" s="9">
        <v>1.1928007845973811E-4</v>
      </c>
      <c r="Y62" s="10">
        <v>1.828743070433125E-2</v>
      </c>
      <c r="Z62" s="10">
        <v>1.9347142392365239E-2</v>
      </c>
      <c r="AA62" s="10">
        <v>1.206885545885905E-2</v>
      </c>
    </row>
    <row r="63" spans="2:27" x14ac:dyDescent="0.3">
      <c r="B63" s="12" t="s">
        <v>454</v>
      </c>
      <c r="C63" s="3" t="s">
        <v>526</v>
      </c>
      <c r="D63" s="3" t="s">
        <v>533</v>
      </c>
      <c r="E63" s="3" t="s">
        <v>572</v>
      </c>
      <c r="F63" s="5">
        <v>1.2</v>
      </c>
      <c r="G63" s="4">
        <v>71.760000000000005</v>
      </c>
      <c r="H63" s="4">
        <v>78.510000000000005</v>
      </c>
      <c r="I63" s="4">
        <v>85.37</v>
      </c>
      <c r="J63" s="4">
        <v>90.25</v>
      </c>
      <c r="K63" s="4">
        <v>94.2</v>
      </c>
      <c r="L63" s="4">
        <v>100.97</v>
      </c>
      <c r="M63" s="4">
        <v>103.25</v>
      </c>
      <c r="N63" s="4">
        <v>107.62</v>
      </c>
      <c r="O63" s="4">
        <v>108.72</v>
      </c>
      <c r="P63" s="4">
        <v>111.12</v>
      </c>
      <c r="Q63" s="4">
        <v>111.17</v>
      </c>
      <c r="R63" s="4">
        <v>115.94</v>
      </c>
      <c r="S63" s="4">
        <v>118.95</v>
      </c>
      <c r="T63" s="4">
        <v>121.45</v>
      </c>
      <c r="U63" s="4">
        <v>119.81</v>
      </c>
      <c r="V63" s="4">
        <v>123.41</v>
      </c>
      <c r="W63" s="4">
        <v>124.55</v>
      </c>
      <c r="X63" s="9">
        <v>2.2595039153068711E-2</v>
      </c>
      <c r="Y63" s="10">
        <v>1.8480888109345232E-2</v>
      </c>
      <c r="Z63" s="10">
        <v>1.5688333508348199E-2</v>
      </c>
      <c r="AA63" s="10">
        <v>1.1579339150572739E-2</v>
      </c>
    </row>
    <row r="64" spans="2:27" x14ac:dyDescent="0.3">
      <c r="B64" s="12" t="s">
        <v>165</v>
      </c>
      <c r="C64" s="3" t="s">
        <v>526</v>
      </c>
      <c r="D64" s="3" t="s">
        <v>573</v>
      </c>
      <c r="E64" s="3" t="s">
        <v>528</v>
      </c>
      <c r="F64" s="5">
        <v>0.9</v>
      </c>
      <c r="G64" s="4">
        <v>3655</v>
      </c>
      <c r="H64" s="4">
        <v>3874</v>
      </c>
      <c r="I64" s="4">
        <v>0</v>
      </c>
      <c r="J64" s="4">
        <v>3226</v>
      </c>
      <c r="K64" s="4">
        <v>3317</v>
      </c>
      <c r="L64" s="4">
        <v>3383</v>
      </c>
      <c r="M64" s="6">
        <v>3671</v>
      </c>
      <c r="N64" s="4">
        <v>3622</v>
      </c>
      <c r="O64" s="4">
        <v>3522</v>
      </c>
      <c r="P64" s="4">
        <v>3595</v>
      </c>
      <c r="Q64" s="4">
        <v>3603</v>
      </c>
      <c r="R64" s="4">
        <v>3449</v>
      </c>
      <c r="S64" s="4">
        <v>3439</v>
      </c>
      <c r="T64" s="4">
        <v>3515</v>
      </c>
      <c r="U64" s="4">
        <v>3638</v>
      </c>
      <c r="V64" s="4">
        <v>3591</v>
      </c>
      <c r="W64" s="4">
        <v>3572</v>
      </c>
      <c r="X64" s="9">
        <v>-5.6793979838136721E-3</v>
      </c>
      <c r="Y64" s="10">
        <v>2.498929030415598E-3</v>
      </c>
      <c r="Z64" s="10">
        <v>1.0113239797735259E-2</v>
      </c>
      <c r="AA64" s="10">
        <v>9.3774236762320662E-3</v>
      </c>
    </row>
    <row r="65" spans="2:27" x14ac:dyDescent="0.3">
      <c r="B65" s="12" t="s">
        <v>59</v>
      </c>
      <c r="C65" s="3" t="s">
        <v>526</v>
      </c>
      <c r="D65" s="3" t="s">
        <v>574</v>
      </c>
      <c r="E65" s="3" t="s">
        <v>528</v>
      </c>
      <c r="F65" s="5">
        <v>0.9</v>
      </c>
      <c r="G65" s="4">
        <v>12995</v>
      </c>
      <c r="H65" s="4">
        <v>6310</v>
      </c>
      <c r="I65" s="4">
        <v>6835</v>
      </c>
      <c r="J65" s="4">
        <v>6818</v>
      </c>
      <c r="K65" s="4">
        <v>7804</v>
      </c>
      <c r="L65" s="4">
        <v>7604</v>
      </c>
      <c r="M65" s="4">
        <v>7473</v>
      </c>
      <c r="N65" s="4">
        <v>7966</v>
      </c>
      <c r="O65" s="4">
        <v>7807</v>
      </c>
      <c r="P65" s="4">
        <v>8161</v>
      </c>
      <c r="Q65" s="4">
        <v>8014</v>
      </c>
      <c r="R65" s="4">
        <v>8577</v>
      </c>
      <c r="S65" s="4">
        <v>8400</v>
      </c>
      <c r="T65" s="4">
        <v>8742</v>
      </c>
      <c r="U65" s="4">
        <v>8466</v>
      </c>
      <c r="V65" s="4">
        <v>8928</v>
      </c>
      <c r="W65" s="4">
        <v>8723</v>
      </c>
      <c r="X65" s="9">
        <v>1.752533783783794E-2</v>
      </c>
      <c r="Y65" s="10">
        <v>1.339934189073011E-2</v>
      </c>
      <c r="Z65" s="10">
        <v>1.0267661254936391E-2</v>
      </c>
      <c r="AA65" s="10">
        <v>9.3525596479036022E-3</v>
      </c>
    </row>
    <row r="66" spans="2:27" x14ac:dyDescent="0.3">
      <c r="B66" s="12" t="s">
        <v>294</v>
      </c>
      <c r="C66" s="3" t="s">
        <v>526</v>
      </c>
      <c r="D66" s="3" t="s">
        <v>547</v>
      </c>
      <c r="E66" s="3" t="s">
        <v>572</v>
      </c>
      <c r="F66" s="5">
        <v>0.8</v>
      </c>
      <c r="G66" s="4">
        <v>437.63</v>
      </c>
      <c r="H66" s="4">
        <v>585.42999999999995</v>
      </c>
      <c r="I66" s="4">
        <v>403.27</v>
      </c>
      <c r="J66" s="4">
        <v>363.89</v>
      </c>
      <c r="K66" s="4">
        <v>511.09</v>
      </c>
      <c r="L66" s="4">
        <v>628.75</v>
      </c>
      <c r="M66" s="4">
        <v>407.12</v>
      </c>
      <c r="N66" s="4">
        <v>400.81</v>
      </c>
      <c r="O66" s="4">
        <v>501.12</v>
      </c>
      <c r="P66" s="4">
        <v>419.31</v>
      </c>
      <c r="Q66" s="4">
        <v>522.95000000000005</v>
      </c>
      <c r="R66" s="6">
        <v>688.59</v>
      </c>
      <c r="S66" s="4">
        <v>416.49</v>
      </c>
      <c r="T66" s="4">
        <v>473.26</v>
      </c>
      <c r="U66" s="4">
        <v>535.71</v>
      </c>
      <c r="V66" s="4">
        <v>669.19</v>
      </c>
      <c r="W66" s="4">
        <v>434.16</v>
      </c>
      <c r="X66" s="9">
        <v>2.6351265544560128E-2</v>
      </c>
      <c r="Y66" s="10">
        <v>6.0724602506081471E-3</v>
      </c>
      <c r="Z66" s="10">
        <v>-9.1766987535772948E-3</v>
      </c>
      <c r="AA66" s="10">
        <v>8.4357768600960004E-3</v>
      </c>
    </row>
    <row r="67" spans="2:27" x14ac:dyDescent="0.3">
      <c r="B67" s="12" t="s">
        <v>177</v>
      </c>
      <c r="C67" s="3" t="s">
        <v>526</v>
      </c>
      <c r="D67" s="3" t="s">
        <v>575</v>
      </c>
      <c r="E67" s="3" t="s">
        <v>528</v>
      </c>
      <c r="F67" s="5">
        <v>0.8</v>
      </c>
      <c r="G67" s="4">
        <v>234.16</v>
      </c>
      <c r="H67" s="4">
        <v>236.16</v>
      </c>
      <c r="I67" s="4">
        <v>246.58</v>
      </c>
      <c r="J67" s="4">
        <v>248.7</v>
      </c>
      <c r="K67" s="4">
        <v>259.22000000000003</v>
      </c>
      <c r="L67" s="4">
        <v>277.14</v>
      </c>
      <c r="M67" s="4">
        <v>275.95999999999998</v>
      </c>
      <c r="N67" s="4">
        <v>281.51</v>
      </c>
      <c r="O67" s="4">
        <v>277.83999999999997</v>
      </c>
      <c r="P67" s="4">
        <v>296.72000000000003</v>
      </c>
      <c r="Q67" s="4">
        <v>287.45999999999998</v>
      </c>
      <c r="R67" s="4">
        <v>287.54000000000002</v>
      </c>
      <c r="S67" s="4">
        <v>234.47</v>
      </c>
      <c r="T67" s="4">
        <v>308.8</v>
      </c>
      <c r="U67" s="4">
        <v>323.14</v>
      </c>
      <c r="V67" s="4">
        <v>312.49</v>
      </c>
      <c r="W67" s="4">
        <v>244</v>
      </c>
      <c r="X67" s="9">
        <v>1.0920366302353161E-2</v>
      </c>
      <c r="Y67" s="10">
        <v>3.1906426891537887E-2</v>
      </c>
      <c r="Z67" s="10">
        <v>2.162138740846653E-2</v>
      </c>
      <c r="AA67" s="10">
        <v>8.0838069386717226E-3</v>
      </c>
    </row>
    <row r="68" spans="2:27" x14ac:dyDescent="0.3">
      <c r="B68" s="12" t="s">
        <v>177</v>
      </c>
      <c r="C68" s="3" t="s">
        <v>526</v>
      </c>
      <c r="D68" s="3" t="s">
        <v>575</v>
      </c>
      <c r="E68" s="3" t="s">
        <v>528</v>
      </c>
      <c r="F68" s="5">
        <v>0.8</v>
      </c>
      <c r="G68" s="4">
        <v>234.16</v>
      </c>
      <c r="H68" s="4">
        <v>236.16</v>
      </c>
      <c r="I68" s="4">
        <v>246.58</v>
      </c>
      <c r="J68" s="4">
        <v>248.7</v>
      </c>
      <c r="K68" s="4">
        <v>259.22000000000003</v>
      </c>
      <c r="L68" s="4">
        <v>277.14</v>
      </c>
      <c r="M68" s="4">
        <v>275.95999999999998</v>
      </c>
      <c r="N68" s="4">
        <v>281.51</v>
      </c>
      <c r="O68" s="4">
        <v>277.83999999999997</v>
      </c>
      <c r="P68" s="4">
        <v>296.72000000000003</v>
      </c>
      <c r="Q68" s="4">
        <v>287.45999999999998</v>
      </c>
      <c r="R68" s="4">
        <v>287.54000000000002</v>
      </c>
      <c r="S68" s="4">
        <v>234.47</v>
      </c>
      <c r="T68" s="4">
        <v>308.8</v>
      </c>
      <c r="U68" s="4">
        <v>323.14</v>
      </c>
      <c r="V68" s="4">
        <v>312.49</v>
      </c>
      <c r="W68" s="4">
        <v>244</v>
      </c>
      <c r="X68" s="9">
        <v>1.0920366302353161E-2</v>
      </c>
      <c r="Y68" s="10">
        <v>3.1906426891537887E-2</v>
      </c>
      <c r="Z68" s="10">
        <v>2.162138740846653E-2</v>
      </c>
      <c r="AA68" s="10">
        <v>8.0838069386717226E-3</v>
      </c>
    </row>
    <row r="69" spans="2:27" x14ac:dyDescent="0.3">
      <c r="B69" s="12" t="s">
        <v>167</v>
      </c>
      <c r="C69" s="3" t="s">
        <v>526</v>
      </c>
      <c r="D69" s="3" t="s">
        <v>541</v>
      </c>
      <c r="E69" s="3" t="s">
        <v>528</v>
      </c>
      <c r="F69" s="5">
        <v>0.8</v>
      </c>
      <c r="G69" s="4">
        <v>4039</v>
      </c>
      <c r="H69" s="4">
        <v>4240</v>
      </c>
      <c r="I69" s="4">
        <v>4632</v>
      </c>
      <c r="J69" s="4">
        <v>4469</v>
      </c>
      <c r="K69" s="4">
        <v>4127</v>
      </c>
      <c r="L69" s="4">
        <v>4166</v>
      </c>
      <c r="M69" s="4">
        <v>4308</v>
      </c>
      <c r="N69" s="4">
        <v>4360</v>
      </c>
      <c r="O69" s="4">
        <v>4528</v>
      </c>
      <c r="P69" s="4">
        <v>4362</v>
      </c>
      <c r="Q69" s="4">
        <v>4559</v>
      </c>
      <c r="R69" s="4">
        <v>4585</v>
      </c>
      <c r="S69" s="4">
        <v>4372</v>
      </c>
      <c r="T69" s="4">
        <v>4463</v>
      </c>
      <c r="U69" s="4">
        <v>4757</v>
      </c>
      <c r="V69" s="4">
        <v>4759</v>
      </c>
      <c r="W69" s="4">
        <v>4518</v>
      </c>
      <c r="X69" s="9">
        <v>5.6494014990491337E-3</v>
      </c>
      <c r="Y69" s="10">
        <v>1.101284832304361E-2</v>
      </c>
      <c r="Z69" s="10">
        <v>9.5725367222314617E-3</v>
      </c>
      <c r="AA69" s="10">
        <v>7.955969701923582E-3</v>
      </c>
    </row>
    <row r="70" spans="2:27" x14ac:dyDescent="0.3">
      <c r="B70" s="12" t="s">
        <v>229</v>
      </c>
      <c r="C70" s="3" t="s">
        <v>526</v>
      </c>
      <c r="D70" s="3" t="s">
        <v>576</v>
      </c>
      <c r="E70" s="3" t="s">
        <v>528</v>
      </c>
      <c r="F70" s="5">
        <v>0.7</v>
      </c>
      <c r="G70" s="4">
        <v>805.2</v>
      </c>
      <c r="H70" s="4">
        <v>805.3</v>
      </c>
      <c r="I70" s="4">
        <v>1217</v>
      </c>
      <c r="J70" s="4">
        <v>1103</v>
      </c>
      <c r="K70" s="4">
        <v>890</v>
      </c>
      <c r="L70" s="4">
        <v>837.4</v>
      </c>
      <c r="M70" s="4">
        <v>1354</v>
      </c>
      <c r="N70" s="4">
        <v>1145</v>
      </c>
      <c r="O70" s="4">
        <v>965</v>
      </c>
      <c r="P70" s="4">
        <v>904.8</v>
      </c>
      <c r="Q70" s="4">
        <v>1414</v>
      </c>
      <c r="R70" s="4">
        <v>1209</v>
      </c>
      <c r="S70" s="4">
        <v>1013</v>
      </c>
      <c r="T70" s="4">
        <v>939.4</v>
      </c>
      <c r="U70" s="4">
        <v>1462</v>
      </c>
      <c r="V70" s="4">
        <v>1258</v>
      </c>
      <c r="W70" s="4">
        <v>1046</v>
      </c>
      <c r="X70" s="9">
        <v>7.6198026779421557E-3</v>
      </c>
      <c r="Y70" s="10">
        <v>1.049088604275039E-2</v>
      </c>
      <c r="Z70" s="10">
        <v>1.0598261020028589E-2</v>
      </c>
      <c r="AA70" s="10">
        <v>7.0627514767571684E-3</v>
      </c>
    </row>
    <row r="71" spans="2:27" x14ac:dyDescent="0.3">
      <c r="B71" s="12" t="s">
        <v>325</v>
      </c>
      <c r="C71" s="3" t="s">
        <v>526</v>
      </c>
      <c r="D71" s="3" t="s">
        <v>537</v>
      </c>
      <c r="E71" s="3" t="s">
        <v>528</v>
      </c>
      <c r="F71" s="5">
        <v>0.7</v>
      </c>
      <c r="G71" s="4">
        <v>128.58000000000001</v>
      </c>
      <c r="H71" s="4">
        <v>100.2</v>
      </c>
      <c r="I71" s="4">
        <v>97.85</v>
      </c>
      <c r="J71" s="4">
        <v>98.29</v>
      </c>
      <c r="K71" s="4">
        <v>101.59</v>
      </c>
      <c r="L71" s="4">
        <v>99.44</v>
      </c>
      <c r="M71" s="4">
        <v>99.07</v>
      </c>
      <c r="N71" s="4">
        <v>101.83</v>
      </c>
      <c r="O71" s="4">
        <v>106.58</v>
      </c>
      <c r="P71" s="4">
        <v>109.63</v>
      </c>
      <c r="Q71" s="4">
        <v>106.55</v>
      </c>
      <c r="R71" s="4">
        <v>112.43</v>
      </c>
      <c r="S71" s="4">
        <v>116.37</v>
      </c>
      <c r="T71" s="4">
        <v>118.17</v>
      </c>
      <c r="U71" s="4">
        <v>114.08</v>
      </c>
      <c r="V71" s="4">
        <v>120.13</v>
      </c>
      <c r="W71" s="4">
        <v>119.56</v>
      </c>
      <c r="X71" s="9">
        <v>1.9191873792080431E-2</v>
      </c>
      <c r="Y71" s="10">
        <v>1.6603457399894331E-2</v>
      </c>
      <c r="Z71" s="10">
        <v>1.6701008567400422E-2</v>
      </c>
      <c r="AA71" s="10">
        <v>6.8053333333333299E-3</v>
      </c>
    </row>
    <row r="72" spans="2:27" x14ac:dyDescent="0.3">
      <c r="B72" s="12" t="s">
        <v>221</v>
      </c>
      <c r="C72" s="3" t="s">
        <v>526</v>
      </c>
      <c r="D72" s="3" t="s">
        <v>536</v>
      </c>
      <c r="E72" s="3" t="s">
        <v>528</v>
      </c>
      <c r="F72" s="5">
        <v>0.6</v>
      </c>
      <c r="G72" s="4">
        <v>410.27</v>
      </c>
      <c r="H72" s="4">
        <v>330.69</v>
      </c>
      <c r="I72" s="4">
        <v>372.31</v>
      </c>
      <c r="J72" s="4">
        <v>381.69</v>
      </c>
      <c r="K72" s="4">
        <v>443.25</v>
      </c>
      <c r="L72" s="4">
        <v>398.26</v>
      </c>
      <c r="M72" s="4">
        <v>447.3</v>
      </c>
      <c r="N72" s="4">
        <v>446.73</v>
      </c>
      <c r="O72" s="4">
        <v>495.36</v>
      </c>
      <c r="P72" s="4">
        <v>413.3</v>
      </c>
      <c r="Q72" s="4">
        <v>462.46</v>
      </c>
      <c r="R72" s="4">
        <v>432.68</v>
      </c>
      <c r="S72" s="4">
        <v>499.7</v>
      </c>
      <c r="T72" s="4">
        <v>421.34</v>
      </c>
      <c r="U72" s="4">
        <v>474.12</v>
      </c>
      <c r="V72" s="4">
        <v>468.45</v>
      </c>
      <c r="W72" s="4">
        <v>510.91</v>
      </c>
      <c r="X72" s="9">
        <v>4.4465583417212518E-3</v>
      </c>
      <c r="Y72" s="10">
        <v>6.4200684954134326E-3</v>
      </c>
      <c r="Z72" s="10">
        <v>1.956954656862742E-2</v>
      </c>
      <c r="AA72" s="10">
        <v>6.0152070443924011E-3</v>
      </c>
    </row>
    <row r="73" spans="2:27" x14ac:dyDescent="0.3">
      <c r="B73" s="12" t="s">
        <v>361</v>
      </c>
      <c r="C73" s="3" t="s">
        <v>526</v>
      </c>
      <c r="D73" s="3" t="s">
        <v>551</v>
      </c>
      <c r="E73" s="3" t="s">
        <v>528</v>
      </c>
      <c r="F73" s="5">
        <v>0.6</v>
      </c>
      <c r="G73" s="4">
        <v>636.9</v>
      </c>
      <c r="H73" s="4">
        <v>1002</v>
      </c>
      <c r="I73" s="4">
        <v>613.4</v>
      </c>
      <c r="J73" s="4">
        <v>783.8</v>
      </c>
      <c r="K73" s="4">
        <v>866.5</v>
      </c>
      <c r="L73" s="4">
        <v>846.1</v>
      </c>
      <c r="M73" s="4">
        <v>665.1</v>
      </c>
      <c r="N73" s="4">
        <v>744</v>
      </c>
      <c r="O73" s="4">
        <v>742.6</v>
      </c>
      <c r="P73" s="4">
        <v>711</v>
      </c>
      <c r="Q73" s="4">
        <v>637</v>
      </c>
      <c r="R73" s="4">
        <v>727.1</v>
      </c>
      <c r="S73" s="4">
        <v>707.8</v>
      </c>
      <c r="T73" s="4">
        <v>692.8</v>
      </c>
      <c r="U73" s="4">
        <v>613.9</v>
      </c>
      <c r="V73" s="4">
        <v>699.9</v>
      </c>
      <c r="W73" s="4">
        <v>723.6</v>
      </c>
      <c r="X73" s="9">
        <v>-6.5399403499947217E-3</v>
      </c>
      <c r="Y73" s="10">
        <v>-8.3553369262487909E-3</v>
      </c>
      <c r="Z73" s="10">
        <v>-9.9212138896995761E-3</v>
      </c>
      <c r="AA73" s="10">
        <v>5.8208075449455174E-3</v>
      </c>
    </row>
    <row r="74" spans="2:27" x14ac:dyDescent="0.3">
      <c r="B74" s="12" t="s">
        <v>271</v>
      </c>
      <c r="C74" s="3" t="s">
        <v>526</v>
      </c>
      <c r="D74" s="3" t="s">
        <v>577</v>
      </c>
      <c r="E74" s="3" t="s">
        <v>528</v>
      </c>
      <c r="F74" s="5">
        <v>0.5</v>
      </c>
      <c r="G74" s="4">
        <v>76.92</v>
      </c>
      <c r="H74" s="4">
        <v>150.30000000000001</v>
      </c>
      <c r="I74" s="4">
        <v>154.76</v>
      </c>
      <c r="J74" s="4">
        <v>159.12</v>
      </c>
      <c r="K74" s="6">
        <v>163.04</v>
      </c>
      <c r="L74" s="4">
        <v>160.6</v>
      </c>
      <c r="M74" s="4">
        <v>162.75</v>
      </c>
      <c r="N74" s="4">
        <v>167.43</v>
      </c>
      <c r="O74" s="4">
        <v>165.72</v>
      </c>
      <c r="P74" s="4">
        <v>159.71</v>
      </c>
      <c r="Q74" s="4">
        <v>157.55000000000001</v>
      </c>
      <c r="R74" s="4">
        <v>159.43</v>
      </c>
      <c r="S74" s="4">
        <v>163.69</v>
      </c>
      <c r="T74" s="4">
        <v>160.65</v>
      </c>
      <c r="U74" s="4">
        <v>161.63</v>
      </c>
      <c r="V74" s="4">
        <v>176.95</v>
      </c>
      <c r="W74" s="4">
        <v>167.13</v>
      </c>
      <c r="X74" s="9">
        <v>1.4678784471720001E-3</v>
      </c>
      <c r="Y74" s="10">
        <v>6.3618786253352164E-3</v>
      </c>
      <c r="Z74" s="10">
        <v>2.7145955996281449E-2</v>
      </c>
      <c r="AA74" s="10">
        <v>5.189163096603E-3</v>
      </c>
    </row>
    <row r="75" spans="2:27" x14ac:dyDescent="0.3">
      <c r="B75" s="12" t="s">
        <v>145</v>
      </c>
      <c r="C75" s="3" t="s">
        <v>526</v>
      </c>
      <c r="D75" s="3" t="s">
        <v>562</v>
      </c>
      <c r="E75" s="3" t="s">
        <v>528</v>
      </c>
      <c r="F75" s="5">
        <v>0.4</v>
      </c>
      <c r="G75" s="4">
        <v>1043</v>
      </c>
      <c r="H75" s="4">
        <v>1112</v>
      </c>
      <c r="I75" s="4">
        <v>990.86</v>
      </c>
      <c r="J75" s="4">
        <v>977.72</v>
      </c>
      <c r="K75" s="4">
        <v>1028</v>
      </c>
      <c r="L75" s="4">
        <v>1029</v>
      </c>
      <c r="M75" s="4">
        <v>1013</v>
      </c>
      <c r="N75" s="4">
        <v>1002</v>
      </c>
      <c r="O75" s="4">
        <v>1056</v>
      </c>
      <c r="P75" s="4">
        <v>1045</v>
      </c>
      <c r="Q75" s="4">
        <v>1034</v>
      </c>
      <c r="R75" s="4">
        <v>1014</v>
      </c>
      <c r="S75" s="4">
        <v>1093</v>
      </c>
      <c r="T75" s="4">
        <v>1074</v>
      </c>
      <c r="U75" s="4">
        <v>1065</v>
      </c>
      <c r="V75" s="4">
        <v>1058</v>
      </c>
      <c r="W75" s="4">
        <v>1112</v>
      </c>
      <c r="X75" s="9">
        <v>6.9278547539417534E-3</v>
      </c>
      <c r="Y75" s="10">
        <v>7.3546856465005472E-3</v>
      </c>
      <c r="Z75" s="10">
        <v>1.036269430051817E-2</v>
      </c>
      <c r="AA75" s="10">
        <v>4.4289044289045343E-3</v>
      </c>
    </row>
    <row r="76" spans="2:27" x14ac:dyDescent="0.3">
      <c r="B76" s="12" t="s">
        <v>141</v>
      </c>
      <c r="C76" s="3" t="s">
        <v>526</v>
      </c>
      <c r="D76" s="3" t="s">
        <v>578</v>
      </c>
      <c r="E76" s="3" t="s">
        <v>528</v>
      </c>
      <c r="F76" s="5">
        <v>0.2</v>
      </c>
      <c r="G76" s="4">
        <v>6296</v>
      </c>
      <c r="H76" s="4">
        <v>6975</v>
      </c>
      <c r="I76" s="4">
        <v>6907</v>
      </c>
      <c r="J76" s="4">
        <v>6921</v>
      </c>
      <c r="K76" s="4">
        <v>7012</v>
      </c>
      <c r="L76" s="4">
        <v>7339</v>
      </c>
      <c r="M76" s="4">
        <v>7469</v>
      </c>
      <c r="N76" s="4">
        <v>7448</v>
      </c>
      <c r="O76" s="4">
        <v>7272</v>
      </c>
      <c r="P76" s="4">
        <v>7448</v>
      </c>
      <c r="Q76" s="4">
        <v>7697</v>
      </c>
      <c r="R76" s="4">
        <v>7591</v>
      </c>
      <c r="S76" s="4">
        <v>7720</v>
      </c>
      <c r="T76" s="4">
        <v>7605</v>
      </c>
      <c r="U76" s="4">
        <v>7662</v>
      </c>
      <c r="V76" s="4">
        <v>7695</v>
      </c>
      <c r="W76" s="4">
        <v>7769</v>
      </c>
      <c r="X76" s="9">
        <v>5.1549776727082266E-3</v>
      </c>
      <c r="Y76" s="10">
        <v>-1.143305131806716E-3</v>
      </c>
      <c r="Z76" s="10">
        <v>3.4011380731244771E-3</v>
      </c>
      <c r="AA76" s="10">
        <v>1.5970275731700401E-3</v>
      </c>
    </row>
    <row r="77" spans="2:27" x14ac:dyDescent="0.3">
      <c r="B77" s="12" t="s">
        <v>81</v>
      </c>
      <c r="C77" s="3" t="s">
        <v>526</v>
      </c>
      <c r="D77" s="3" t="s">
        <v>579</v>
      </c>
      <c r="E77" s="3" t="s">
        <v>528</v>
      </c>
      <c r="F77" s="5">
        <v>0.1</v>
      </c>
      <c r="G77" s="4">
        <v>3525</v>
      </c>
      <c r="H77" s="4">
        <v>3546</v>
      </c>
      <c r="I77" s="4">
        <v>3337</v>
      </c>
      <c r="J77" s="4">
        <v>3624</v>
      </c>
      <c r="K77" s="4">
        <v>3624</v>
      </c>
      <c r="L77" s="4">
        <v>3240</v>
      </c>
      <c r="M77" s="4">
        <v>3076</v>
      </c>
      <c r="N77" s="4">
        <v>2915</v>
      </c>
      <c r="O77" s="4">
        <v>2862</v>
      </c>
      <c r="P77" s="4">
        <v>2930</v>
      </c>
      <c r="Q77" s="4">
        <v>2969</v>
      </c>
      <c r="R77" s="6">
        <v>7671</v>
      </c>
      <c r="S77" s="6">
        <v>7539</v>
      </c>
      <c r="T77" s="6">
        <v>7656</v>
      </c>
      <c r="U77" s="6">
        <v>7940</v>
      </c>
      <c r="V77" s="4">
        <v>8003</v>
      </c>
      <c r="W77" s="4">
        <v>7580</v>
      </c>
      <c r="X77" s="11">
        <v>0.22388554644938191</v>
      </c>
      <c r="Y77" s="8">
        <v>0.19241339268434299</v>
      </c>
      <c r="Z77" s="10">
        <v>1.077712133999875E-2</v>
      </c>
      <c r="AA77" s="10">
        <v>1.3167191213308001E-3</v>
      </c>
    </row>
    <row r="78" spans="2:27" x14ac:dyDescent="0.3">
      <c r="B78" s="12" t="s">
        <v>187</v>
      </c>
      <c r="C78" s="3" t="s">
        <v>526</v>
      </c>
      <c r="D78" s="3" t="s">
        <v>578</v>
      </c>
      <c r="E78" s="3" t="s">
        <v>528</v>
      </c>
      <c r="F78" s="5">
        <v>0.1</v>
      </c>
      <c r="G78" s="4">
        <v>6310</v>
      </c>
      <c r="H78" s="4">
        <v>6705</v>
      </c>
      <c r="I78" s="4">
        <v>7240</v>
      </c>
      <c r="J78" s="4">
        <v>7296</v>
      </c>
      <c r="K78" s="4">
        <v>6947</v>
      </c>
      <c r="L78" s="4">
        <v>6980</v>
      </c>
      <c r="M78" s="4">
        <v>8112</v>
      </c>
      <c r="N78" s="4">
        <v>8277</v>
      </c>
      <c r="O78" s="4">
        <v>7674</v>
      </c>
      <c r="P78" s="4">
        <v>8562</v>
      </c>
      <c r="Q78" s="4">
        <v>9232</v>
      </c>
      <c r="R78" s="4">
        <v>9221</v>
      </c>
      <c r="S78" s="4">
        <v>9174</v>
      </c>
      <c r="T78" s="4">
        <v>9178</v>
      </c>
      <c r="U78" s="4">
        <v>9583</v>
      </c>
      <c r="V78" s="4">
        <v>9676</v>
      </c>
      <c r="W78" s="4">
        <v>9198</v>
      </c>
      <c r="X78" s="9">
        <v>1.702174693967784E-2</v>
      </c>
      <c r="Y78" s="10">
        <v>9.5367477244938659E-3</v>
      </c>
      <c r="Z78" s="10">
        <v>1.2245666917859889E-2</v>
      </c>
      <c r="AA78" s="10">
        <v>6.3811119087509027E-4</v>
      </c>
    </row>
    <row r="79" spans="2:27" x14ac:dyDescent="0.3">
      <c r="B79" s="12" t="s">
        <v>77</v>
      </c>
      <c r="C79" s="3" t="s">
        <v>526</v>
      </c>
      <c r="D79" s="3" t="s">
        <v>550</v>
      </c>
      <c r="E79" s="3" t="s">
        <v>528</v>
      </c>
      <c r="F79" s="5">
        <v>0</v>
      </c>
      <c r="G79" s="4">
        <v>1847</v>
      </c>
      <c r="H79" s="4">
        <v>1940</v>
      </c>
      <c r="I79" s="4">
        <v>1993</v>
      </c>
      <c r="J79" s="4">
        <v>2074</v>
      </c>
      <c r="K79" s="4">
        <v>2101</v>
      </c>
      <c r="L79" s="4">
        <v>1841</v>
      </c>
      <c r="M79" s="4">
        <v>1845</v>
      </c>
      <c r="N79" s="4">
        <v>1852</v>
      </c>
      <c r="O79" s="4">
        <v>1854</v>
      </c>
      <c r="P79" s="4">
        <v>1549</v>
      </c>
      <c r="Q79" s="4">
        <v>1632</v>
      </c>
      <c r="R79" s="4">
        <v>1739</v>
      </c>
      <c r="S79" s="4">
        <v>1830</v>
      </c>
      <c r="T79" s="4">
        <v>1585</v>
      </c>
      <c r="U79" s="4">
        <v>1688</v>
      </c>
      <c r="V79" s="4">
        <v>1688</v>
      </c>
      <c r="W79" s="4">
        <v>1830</v>
      </c>
      <c r="X79" s="9">
        <v>5.3333333333334121E-3</v>
      </c>
      <c r="Y79" s="10">
        <v>8.2522841143530812E-3</v>
      </c>
      <c r="Z79" s="10">
        <v>-7.4539608301665838E-3</v>
      </c>
      <c r="AA79" s="10">
        <v>0</v>
      </c>
    </row>
    <row r="80" spans="2:27" x14ac:dyDescent="0.3">
      <c r="B80" s="12" t="s">
        <v>197</v>
      </c>
      <c r="C80" s="3" t="s">
        <v>526</v>
      </c>
      <c r="D80" s="3" t="s">
        <v>580</v>
      </c>
      <c r="E80" s="3" t="s">
        <v>528</v>
      </c>
      <c r="F80" s="5">
        <v>-0.1</v>
      </c>
      <c r="G80" s="4">
        <v>2600</v>
      </c>
      <c r="H80" s="4">
        <v>2854</v>
      </c>
      <c r="I80" s="4">
        <v>3034</v>
      </c>
      <c r="J80" s="4">
        <v>3035</v>
      </c>
      <c r="K80" s="4">
        <v>3088</v>
      </c>
      <c r="L80" s="4">
        <v>2952</v>
      </c>
      <c r="M80" s="4">
        <v>2884</v>
      </c>
      <c r="N80" s="4">
        <v>2924</v>
      </c>
      <c r="O80" s="4">
        <v>3023</v>
      </c>
      <c r="P80" s="4">
        <v>3098</v>
      </c>
      <c r="Q80" s="4">
        <v>3182</v>
      </c>
      <c r="R80" s="4">
        <v>3168</v>
      </c>
      <c r="S80" s="4">
        <v>3189</v>
      </c>
      <c r="T80" s="4">
        <v>3131</v>
      </c>
      <c r="U80" s="4">
        <v>3189</v>
      </c>
      <c r="V80" s="4">
        <v>3171</v>
      </c>
      <c r="W80" s="4">
        <v>3175</v>
      </c>
      <c r="X80" s="9">
        <v>2.6113792830577691E-3</v>
      </c>
      <c r="Y80" s="10">
        <v>5.5248618784520254E-4</v>
      </c>
      <c r="Z80" s="10">
        <v>2.366490494596363E-4</v>
      </c>
      <c r="AA80" s="10">
        <v>-1.1041009463722551E-3</v>
      </c>
    </row>
    <row r="81" spans="2:27" x14ac:dyDescent="0.3">
      <c r="B81" s="12" t="s">
        <v>159</v>
      </c>
      <c r="C81" s="3" t="s">
        <v>526</v>
      </c>
      <c r="D81" s="3" t="s">
        <v>581</v>
      </c>
      <c r="E81" s="3" t="s">
        <v>528</v>
      </c>
      <c r="F81" s="5">
        <v>-0.3</v>
      </c>
      <c r="G81" s="4">
        <v>1908</v>
      </c>
      <c r="H81" s="4">
        <v>1950</v>
      </c>
      <c r="I81" s="4">
        <v>1911</v>
      </c>
      <c r="J81" s="4">
        <v>1857</v>
      </c>
      <c r="K81" s="4">
        <v>1795</v>
      </c>
      <c r="L81" s="4">
        <v>1780</v>
      </c>
      <c r="M81" s="4">
        <v>1744</v>
      </c>
      <c r="N81" s="4">
        <v>1720</v>
      </c>
      <c r="O81" s="4">
        <v>1723</v>
      </c>
      <c r="P81" s="4">
        <v>1680</v>
      </c>
      <c r="Q81" s="4">
        <v>1703</v>
      </c>
      <c r="R81" s="4">
        <v>1714</v>
      </c>
      <c r="S81" s="4">
        <v>1687</v>
      </c>
      <c r="T81" s="4">
        <v>1581</v>
      </c>
      <c r="U81" s="4">
        <v>1683</v>
      </c>
      <c r="V81" s="4">
        <v>1624</v>
      </c>
      <c r="W81" s="4">
        <v>1664</v>
      </c>
      <c r="X81" s="9">
        <v>-1.459316037735847E-2</v>
      </c>
      <c r="Y81" s="10">
        <v>-2.9917726252804981E-3</v>
      </c>
      <c r="Z81" s="10">
        <v>-1.3503375843961E-2</v>
      </c>
      <c r="AA81" s="10">
        <v>-3.4980988593156241E-3</v>
      </c>
    </row>
    <row r="82" spans="2:27" x14ac:dyDescent="0.3">
      <c r="B82" s="12" t="s">
        <v>433</v>
      </c>
      <c r="C82" s="3" t="s">
        <v>526</v>
      </c>
      <c r="D82" s="3" t="s">
        <v>539</v>
      </c>
      <c r="E82" s="3" t="s">
        <v>528</v>
      </c>
      <c r="F82" s="5">
        <v>-0.6</v>
      </c>
      <c r="G82" s="4">
        <v>653.27</v>
      </c>
      <c r="H82" s="4">
        <v>510.57</v>
      </c>
      <c r="I82" s="4">
        <v>495.09</v>
      </c>
      <c r="J82" s="4">
        <v>446.92</v>
      </c>
      <c r="K82" s="4">
        <v>564.42999999999995</v>
      </c>
      <c r="L82" s="4">
        <v>445.02</v>
      </c>
      <c r="M82" s="4">
        <v>468.93</v>
      </c>
      <c r="N82" s="4">
        <v>469.19</v>
      </c>
      <c r="O82" s="4">
        <v>566.29999999999995</v>
      </c>
      <c r="P82" s="4">
        <v>450.06</v>
      </c>
      <c r="Q82" s="4">
        <v>471.31</v>
      </c>
      <c r="R82" s="4">
        <v>458.89</v>
      </c>
      <c r="S82" s="4">
        <v>553.04</v>
      </c>
      <c r="T82" s="4">
        <v>451.43</v>
      </c>
      <c r="U82" s="4">
        <v>482.67</v>
      </c>
      <c r="V82" s="4">
        <v>469.66</v>
      </c>
      <c r="W82" s="4">
        <v>541.14</v>
      </c>
      <c r="X82" s="9">
        <v>7.0863290746392416E-4</v>
      </c>
      <c r="Y82" s="10">
        <v>5.871802426253625E-3</v>
      </c>
      <c r="Z82" s="10">
        <v>5.5343442804067777E-3</v>
      </c>
      <c r="AA82" s="10">
        <v>-6.0813573180702463E-3</v>
      </c>
    </row>
    <row r="83" spans="2:27" x14ac:dyDescent="0.3">
      <c r="B83" s="12" t="s">
        <v>18</v>
      </c>
      <c r="C83" s="3" t="s">
        <v>526</v>
      </c>
      <c r="D83" s="3" t="s">
        <v>582</v>
      </c>
      <c r="E83" s="3" t="s">
        <v>528</v>
      </c>
      <c r="F83" s="5">
        <v>-0.6</v>
      </c>
      <c r="G83" s="4">
        <v>55298</v>
      </c>
      <c r="H83" s="4">
        <v>63950</v>
      </c>
      <c r="I83" s="4">
        <v>70445</v>
      </c>
      <c r="J83" s="4">
        <v>64962</v>
      </c>
      <c r="K83" s="4">
        <v>63953</v>
      </c>
      <c r="L83" s="4">
        <v>58233</v>
      </c>
      <c r="M83" s="4">
        <v>51534</v>
      </c>
      <c r="N83" s="4">
        <v>54413</v>
      </c>
      <c r="O83" s="4">
        <v>54765</v>
      </c>
      <c r="P83" s="4">
        <v>51883</v>
      </c>
      <c r="Q83" s="4">
        <v>49183</v>
      </c>
      <c r="R83" s="4">
        <v>47429</v>
      </c>
      <c r="S83" s="4">
        <v>47115</v>
      </c>
      <c r="T83" s="4">
        <v>47899</v>
      </c>
      <c r="U83" s="4">
        <v>44676</v>
      </c>
      <c r="V83" s="4">
        <v>43844</v>
      </c>
      <c r="W83" s="4">
        <v>45925</v>
      </c>
      <c r="X83" s="9">
        <v>-2.036705689893159E-2</v>
      </c>
      <c r="Y83" s="10">
        <v>-2.3519772890943869E-2</v>
      </c>
      <c r="Z83" s="10">
        <v>-1.915893094768573E-2</v>
      </c>
      <c r="AA83" s="10">
        <v>-6.4838122636677884E-3</v>
      </c>
    </row>
    <row r="84" spans="2:27" x14ac:dyDescent="0.3">
      <c r="B84" s="12" t="s">
        <v>219</v>
      </c>
      <c r="C84" s="3" t="s">
        <v>526</v>
      </c>
      <c r="D84" s="3" t="s">
        <v>546</v>
      </c>
      <c r="E84" s="3" t="s">
        <v>528</v>
      </c>
      <c r="F84" s="5">
        <v>-0.7</v>
      </c>
      <c r="G84" s="4">
        <v>576.57000000000005</v>
      </c>
      <c r="H84" s="4">
        <v>662.55</v>
      </c>
      <c r="I84" s="4">
        <v>723.64</v>
      </c>
      <c r="J84" s="4">
        <v>696.05</v>
      </c>
      <c r="K84" s="4">
        <v>682.56</v>
      </c>
      <c r="L84" s="4">
        <v>702.79</v>
      </c>
      <c r="M84" s="4">
        <v>685.13</v>
      </c>
      <c r="N84" s="4">
        <v>667.15</v>
      </c>
      <c r="O84" s="4">
        <v>643.35</v>
      </c>
      <c r="P84" s="4">
        <v>696.74</v>
      </c>
      <c r="Q84" s="4">
        <v>710.23</v>
      </c>
      <c r="R84" s="4">
        <v>724.95</v>
      </c>
      <c r="S84" s="4">
        <v>654.65</v>
      </c>
      <c r="T84" s="4">
        <v>700.95</v>
      </c>
      <c r="U84" s="4">
        <v>698.51</v>
      </c>
      <c r="V84" s="4">
        <v>690.31</v>
      </c>
      <c r="W84" s="4">
        <v>635.4</v>
      </c>
      <c r="X84" s="9">
        <v>1.510817958996213E-3</v>
      </c>
      <c r="Y84" s="10">
        <v>-4.1995427801547747E-3</v>
      </c>
      <c r="Z84" s="10">
        <v>-1.246464631925903E-2</v>
      </c>
      <c r="AA84" s="10">
        <v>-7.0142325154313179E-3</v>
      </c>
    </row>
    <row r="85" spans="2:27" x14ac:dyDescent="0.3">
      <c r="B85" s="12" t="s">
        <v>486</v>
      </c>
      <c r="C85" s="3" t="s">
        <v>526</v>
      </c>
      <c r="D85" s="3" t="s">
        <v>543</v>
      </c>
      <c r="E85" s="3" t="s">
        <v>528</v>
      </c>
      <c r="F85" s="5">
        <v>-0.9</v>
      </c>
      <c r="G85" s="4">
        <v>87.55</v>
      </c>
      <c r="H85" s="4">
        <v>83.29</v>
      </c>
      <c r="I85" s="4">
        <v>58.14</v>
      </c>
      <c r="J85" s="4">
        <v>66.790000000000006</v>
      </c>
      <c r="K85" s="4">
        <v>63.3</v>
      </c>
      <c r="L85" s="4">
        <v>47.78</v>
      </c>
      <c r="M85" s="4">
        <v>56.2</v>
      </c>
      <c r="N85" s="4">
        <v>59.22</v>
      </c>
      <c r="O85" s="4">
        <v>56.59</v>
      </c>
      <c r="P85" s="4">
        <v>43.78</v>
      </c>
      <c r="Q85" s="4">
        <v>48.62</v>
      </c>
      <c r="R85" s="4">
        <v>50.73</v>
      </c>
      <c r="S85" s="4">
        <v>60.7</v>
      </c>
      <c r="T85" s="4">
        <v>46.46</v>
      </c>
      <c r="U85" s="4">
        <v>49.75</v>
      </c>
      <c r="V85" s="4">
        <v>53.13</v>
      </c>
      <c r="W85" s="4">
        <v>58.86</v>
      </c>
      <c r="X85" s="9">
        <v>1.314821174508163E-2</v>
      </c>
      <c r="Y85" s="10">
        <v>5.471889981114586E-3</v>
      </c>
      <c r="Z85" s="10">
        <v>1.155846657676762E-2</v>
      </c>
      <c r="AA85" s="10">
        <v>-8.7602361454962585E-3</v>
      </c>
    </row>
    <row r="86" spans="2:27" x14ac:dyDescent="0.3">
      <c r="B86" s="12" t="s">
        <v>67</v>
      </c>
      <c r="C86" s="3" t="s">
        <v>526</v>
      </c>
      <c r="D86" s="3" t="s">
        <v>541</v>
      </c>
      <c r="E86" s="3" t="s">
        <v>528</v>
      </c>
      <c r="F86" s="5">
        <v>-0.9</v>
      </c>
      <c r="G86" s="4">
        <v>6709</v>
      </c>
      <c r="H86" s="4">
        <v>6045</v>
      </c>
      <c r="I86" s="4">
        <v>6554</v>
      </c>
      <c r="J86" s="4">
        <v>6505</v>
      </c>
      <c r="K86" s="4">
        <v>7381</v>
      </c>
      <c r="L86" s="4">
        <v>6489</v>
      </c>
      <c r="M86" s="4">
        <v>6721</v>
      </c>
      <c r="N86" s="4">
        <v>6570</v>
      </c>
      <c r="O86" s="4">
        <v>6860</v>
      </c>
      <c r="P86" s="4">
        <v>6411</v>
      </c>
      <c r="Q86" s="4">
        <v>6476</v>
      </c>
      <c r="R86" s="4">
        <v>6383</v>
      </c>
      <c r="S86" s="4">
        <v>6576</v>
      </c>
      <c r="T86" s="4">
        <v>5999</v>
      </c>
      <c r="U86" s="4">
        <v>6352</v>
      </c>
      <c r="V86" s="4">
        <v>6237</v>
      </c>
      <c r="W86" s="4">
        <v>6354</v>
      </c>
      <c r="X86" s="9">
        <v>-1.5940571074827829E-2</v>
      </c>
      <c r="Y86" s="10">
        <v>-4.8753636864040661E-3</v>
      </c>
      <c r="Z86" s="10">
        <v>-5.768470960094807E-3</v>
      </c>
      <c r="AA86" s="10">
        <v>-8.8221268478779757E-3</v>
      </c>
    </row>
    <row r="87" spans="2:27" x14ac:dyDescent="0.3">
      <c r="B87" s="12" t="s">
        <v>69</v>
      </c>
      <c r="C87" s="3" t="s">
        <v>526</v>
      </c>
      <c r="D87" s="3" t="s">
        <v>557</v>
      </c>
      <c r="E87" s="3" t="s">
        <v>528</v>
      </c>
      <c r="F87" s="5">
        <v>-1</v>
      </c>
      <c r="G87" s="4">
        <v>1483</v>
      </c>
      <c r="H87" s="4">
        <v>1800</v>
      </c>
      <c r="I87" s="4">
        <v>1659</v>
      </c>
      <c r="J87" s="4">
        <v>2223</v>
      </c>
      <c r="K87" s="4">
        <v>1980</v>
      </c>
      <c r="L87" s="4">
        <v>1991</v>
      </c>
      <c r="M87" s="4">
        <v>1695</v>
      </c>
      <c r="N87" s="4">
        <v>1973</v>
      </c>
      <c r="O87" s="4">
        <v>1554</v>
      </c>
      <c r="P87" s="4">
        <v>1744</v>
      </c>
      <c r="Q87" s="4">
        <v>1624</v>
      </c>
      <c r="R87" s="4">
        <v>2084</v>
      </c>
      <c r="S87" s="4">
        <v>1872</v>
      </c>
      <c r="T87" s="4">
        <v>2016</v>
      </c>
      <c r="U87" s="4">
        <v>2147</v>
      </c>
      <c r="V87" s="4">
        <v>2600</v>
      </c>
      <c r="W87" s="4">
        <v>1782</v>
      </c>
      <c r="X87" s="9">
        <v>3.713817586018564E-2</v>
      </c>
      <c r="Y87" s="10">
        <v>6.8852027382833025E-2</v>
      </c>
      <c r="Z87" s="10">
        <v>6.3554624953812144E-2</v>
      </c>
      <c r="AA87" s="10">
        <v>-1.042269832078746E-2</v>
      </c>
    </row>
    <row r="88" spans="2:27" x14ac:dyDescent="0.3">
      <c r="B88" s="12" t="s">
        <v>111</v>
      </c>
      <c r="C88" s="3" t="s">
        <v>526</v>
      </c>
      <c r="D88" s="3" t="s">
        <v>546</v>
      </c>
      <c r="E88" s="3" t="s">
        <v>528</v>
      </c>
      <c r="F88" s="5">
        <v>-1.6</v>
      </c>
      <c r="G88" s="4">
        <v>3031</v>
      </c>
      <c r="H88" s="4">
        <v>3226</v>
      </c>
      <c r="I88" s="4">
        <v>3307</v>
      </c>
      <c r="J88" s="4">
        <v>3063</v>
      </c>
      <c r="K88" s="4">
        <v>2844</v>
      </c>
      <c r="L88" s="4">
        <v>3027</v>
      </c>
      <c r="M88" s="4">
        <v>2929</v>
      </c>
      <c r="N88" s="4">
        <v>2820</v>
      </c>
      <c r="O88" s="4">
        <v>2703</v>
      </c>
      <c r="P88" s="4">
        <v>2899</v>
      </c>
      <c r="Q88" s="4">
        <v>2889</v>
      </c>
      <c r="R88" s="4">
        <v>2925</v>
      </c>
      <c r="S88" s="4">
        <v>2771</v>
      </c>
      <c r="T88" s="4">
        <v>2843</v>
      </c>
      <c r="U88" s="4">
        <v>2764</v>
      </c>
      <c r="V88" s="4">
        <v>2694</v>
      </c>
      <c r="W88" s="4">
        <v>2589</v>
      </c>
      <c r="X88" s="9">
        <v>-4.8763497039359116E-3</v>
      </c>
      <c r="Y88" s="10">
        <v>-1.093804690234512E-2</v>
      </c>
      <c r="Z88" s="10">
        <v>-2.043705211005931E-2</v>
      </c>
      <c r="AA88" s="10">
        <v>-1.643786127167635E-2</v>
      </c>
    </row>
    <row r="89" spans="2:27" x14ac:dyDescent="0.3">
      <c r="B89" s="12" t="s">
        <v>173</v>
      </c>
      <c r="C89" s="3" t="s">
        <v>526</v>
      </c>
      <c r="D89" s="3" t="s">
        <v>527</v>
      </c>
      <c r="E89" s="3" t="s">
        <v>528</v>
      </c>
      <c r="F89" s="5">
        <v>-2</v>
      </c>
      <c r="G89" s="4">
        <v>950.67</v>
      </c>
      <c r="H89" s="4">
        <v>949.07</v>
      </c>
      <c r="I89" s="4">
        <v>1009</v>
      </c>
      <c r="J89" s="4">
        <v>1134</v>
      </c>
      <c r="K89" s="4">
        <v>1103</v>
      </c>
      <c r="L89" s="4">
        <v>1173</v>
      </c>
      <c r="M89" s="4">
        <v>1356</v>
      </c>
      <c r="N89" s="4">
        <v>1419</v>
      </c>
      <c r="O89" s="4">
        <v>1494</v>
      </c>
      <c r="P89" s="4">
        <v>1536</v>
      </c>
      <c r="Q89" s="4">
        <v>1670</v>
      </c>
      <c r="R89" s="4">
        <v>1810</v>
      </c>
      <c r="S89" s="4">
        <v>1734</v>
      </c>
      <c r="T89" s="4">
        <v>1554</v>
      </c>
      <c r="U89" s="4">
        <v>1584</v>
      </c>
      <c r="V89" s="4">
        <v>1622</v>
      </c>
      <c r="W89" s="4">
        <v>1604</v>
      </c>
      <c r="X89" s="9">
        <v>2.666666666666595E-3</v>
      </c>
      <c r="Y89" s="10">
        <v>-1.2706855791962179E-2</v>
      </c>
      <c r="Z89" s="10">
        <v>-2.8135288835677948E-2</v>
      </c>
      <c r="AA89" s="10">
        <v>-2.001847859562678E-2</v>
      </c>
    </row>
    <row r="90" spans="2:27" x14ac:dyDescent="0.3">
      <c r="B90" s="12" t="s">
        <v>51</v>
      </c>
      <c r="C90" s="3" t="s">
        <v>526</v>
      </c>
      <c r="D90" s="3" t="s">
        <v>583</v>
      </c>
      <c r="E90" s="3" t="s">
        <v>528</v>
      </c>
      <c r="F90" s="5">
        <v>-2</v>
      </c>
      <c r="G90" s="4">
        <v>0</v>
      </c>
      <c r="H90" s="4">
        <v>1231</v>
      </c>
      <c r="I90" s="4">
        <v>1642</v>
      </c>
      <c r="J90" s="4">
        <v>1812</v>
      </c>
      <c r="K90" s="6">
        <v>1477</v>
      </c>
      <c r="L90" s="4">
        <v>1354</v>
      </c>
      <c r="M90" s="4">
        <v>1821</v>
      </c>
      <c r="N90" s="4">
        <v>1994</v>
      </c>
      <c r="O90" s="4">
        <v>1608</v>
      </c>
      <c r="P90" s="4">
        <v>1251</v>
      </c>
      <c r="Q90" s="4">
        <v>0</v>
      </c>
      <c r="R90" s="4">
        <v>1642</v>
      </c>
      <c r="S90" s="4">
        <v>1631</v>
      </c>
      <c r="T90" s="4">
        <v>1353</v>
      </c>
      <c r="U90" s="4">
        <v>0</v>
      </c>
      <c r="V90" s="4">
        <v>1846</v>
      </c>
      <c r="W90" s="4">
        <v>1534</v>
      </c>
      <c r="X90" s="9">
        <v>2.2546419098143259E-2</v>
      </c>
      <c r="Y90" s="10">
        <v>0</v>
      </c>
      <c r="Z90" s="10">
        <v>4.4098573281452717E-2</v>
      </c>
      <c r="AA90" s="10">
        <v>-2.0082815734989601E-2</v>
      </c>
    </row>
    <row r="91" spans="2:27" x14ac:dyDescent="0.3">
      <c r="B91" s="12" t="s">
        <v>386</v>
      </c>
      <c r="C91" s="3" t="s">
        <v>526</v>
      </c>
      <c r="D91" s="3" t="s">
        <v>540</v>
      </c>
      <c r="E91" s="3" t="s">
        <v>528</v>
      </c>
      <c r="F91" s="5">
        <v>-2.8</v>
      </c>
      <c r="G91" s="4">
        <v>1333</v>
      </c>
      <c r="H91" s="4">
        <v>1322</v>
      </c>
      <c r="I91" s="4">
        <v>1334</v>
      </c>
      <c r="J91" s="4">
        <v>1294</v>
      </c>
      <c r="K91" s="4">
        <v>1196</v>
      </c>
      <c r="L91" s="4">
        <v>1214</v>
      </c>
      <c r="M91" s="4">
        <v>1221</v>
      </c>
      <c r="N91" s="4">
        <v>1175</v>
      </c>
      <c r="O91" s="4">
        <v>1115</v>
      </c>
      <c r="P91" s="4">
        <v>1097</v>
      </c>
      <c r="Q91" s="4">
        <v>1129</v>
      </c>
      <c r="R91" s="4">
        <v>1102</v>
      </c>
      <c r="S91" s="4">
        <v>1056</v>
      </c>
      <c r="T91" s="4">
        <v>1022</v>
      </c>
      <c r="U91" s="4">
        <v>1058</v>
      </c>
      <c r="V91" s="4">
        <v>1036</v>
      </c>
      <c r="W91" s="4">
        <v>938.6</v>
      </c>
      <c r="X91" s="9">
        <v>-1.710766423357668E-2</v>
      </c>
      <c r="Y91" s="10">
        <v>-1.647714086795082E-2</v>
      </c>
      <c r="Z91" s="10">
        <v>-1.5573383671543151E-2</v>
      </c>
      <c r="AA91" s="10">
        <v>-2.8139980824544612E-2</v>
      </c>
    </row>
    <row r="92" spans="2:27" x14ac:dyDescent="0.3">
      <c r="B92" s="12" t="s">
        <v>233</v>
      </c>
      <c r="C92" s="3" t="s">
        <v>526</v>
      </c>
      <c r="D92" s="3" t="s">
        <v>584</v>
      </c>
      <c r="E92" s="3" t="s">
        <v>528</v>
      </c>
      <c r="F92" s="5">
        <v>-3.1</v>
      </c>
      <c r="G92" s="4">
        <v>2505</v>
      </c>
      <c r="H92" s="4">
        <v>1703</v>
      </c>
      <c r="I92" s="4">
        <v>1995</v>
      </c>
      <c r="J92" s="4">
        <v>2035</v>
      </c>
      <c r="K92" s="4">
        <v>2492</v>
      </c>
      <c r="L92" s="4">
        <v>1662</v>
      </c>
      <c r="M92" s="4">
        <v>2061</v>
      </c>
      <c r="N92" s="4">
        <v>1676</v>
      </c>
      <c r="O92" s="4">
        <v>2020</v>
      </c>
      <c r="P92" s="4">
        <v>1700</v>
      </c>
      <c r="Q92" s="4">
        <v>1991</v>
      </c>
      <c r="R92" s="4">
        <v>2121</v>
      </c>
      <c r="S92" s="4">
        <v>2356</v>
      </c>
      <c r="T92" s="4">
        <v>1896</v>
      </c>
      <c r="U92" s="4">
        <v>2030</v>
      </c>
      <c r="V92" s="4">
        <v>2096</v>
      </c>
      <c r="W92" s="4">
        <v>2100</v>
      </c>
      <c r="X92" s="9">
        <v>2.3996082272282001E-2</v>
      </c>
      <c r="Y92" s="10">
        <v>4.6628407460544974E-3</v>
      </c>
      <c r="Z92" s="10">
        <v>-2.975127930501031E-3</v>
      </c>
      <c r="AA92" s="10">
        <v>-3.055621866793989E-2</v>
      </c>
    </row>
    <row r="93" spans="2:27" x14ac:dyDescent="0.3">
      <c r="B93" s="12" t="s">
        <v>161</v>
      </c>
      <c r="C93" s="3" t="s">
        <v>526</v>
      </c>
      <c r="D93" s="3" t="s">
        <v>543</v>
      </c>
      <c r="E93" s="3" t="s">
        <v>528</v>
      </c>
      <c r="F93" s="5">
        <v>-3.3</v>
      </c>
      <c r="G93" s="4">
        <v>1067</v>
      </c>
      <c r="H93" s="4">
        <v>1136</v>
      </c>
      <c r="I93" s="4">
        <v>1291</v>
      </c>
      <c r="J93" s="4">
        <v>1088</v>
      </c>
      <c r="K93" s="4">
        <v>1049</v>
      </c>
      <c r="L93" s="4">
        <v>887.91</v>
      </c>
      <c r="M93" s="4">
        <v>1000</v>
      </c>
      <c r="N93" s="4">
        <v>1071</v>
      </c>
      <c r="O93" s="4">
        <v>1064</v>
      </c>
      <c r="P93" s="4">
        <v>889.27</v>
      </c>
      <c r="Q93" s="4">
        <v>998.2</v>
      </c>
      <c r="R93" s="4">
        <v>1174</v>
      </c>
      <c r="S93" s="4">
        <v>1235</v>
      </c>
      <c r="T93" s="4">
        <v>942.12</v>
      </c>
      <c r="U93" s="4">
        <v>1061</v>
      </c>
      <c r="V93" s="4">
        <v>1114</v>
      </c>
      <c r="W93" s="4">
        <v>1092</v>
      </c>
      <c r="X93" s="9">
        <v>1.2300795769550231E-2</v>
      </c>
      <c r="Y93" s="10">
        <v>1.4439038746286711E-2</v>
      </c>
      <c r="Z93" s="10">
        <v>-1.359890483486392E-2</v>
      </c>
      <c r="AA93" s="10">
        <v>-3.2857549883734793E-2</v>
      </c>
    </row>
    <row r="94" spans="2:27" x14ac:dyDescent="0.3">
      <c r="B94" s="12" t="s">
        <v>249</v>
      </c>
      <c r="C94" s="3" t="s">
        <v>526</v>
      </c>
      <c r="D94" s="3" t="s">
        <v>558</v>
      </c>
      <c r="E94" s="3" t="s">
        <v>528</v>
      </c>
      <c r="F94" s="5">
        <v>-3.6</v>
      </c>
      <c r="G94" s="4">
        <v>192.45</v>
      </c>
      <c r="H94" s="4">
        <v>195.04</v>
      </c>
      <c r="I94" s="4">
        <v>262.45999999999998</v>
      </c>
      <c r="J94" s="4">
        <v>289.49</v>
      </c>
      <c r="K94" s="6">
        <v>585.85</v>
      </c>
      <c r="L94" s="6">
        <v>575.29</v>
      </c>
      <c r="M94" s="6">
        <v>606.17999999999995</v>
      </c>
      <c r="N94" s="6">
        <v>671</v>
      </c>
      <c r="O94" s="4">
        <v>609.24</v>
      </c>
      <c r="P94" s="4">
        <v>612.42999999999995</v>
      </c>
      <c r="Q94" s="4">
        <v>660.71</v>
      </c>
      <c r="R94" s="4">
        <v>763.54</v>
      </c>
      <c r="S94" s="6">
        <v>882.09</v>
      </c>
      <c r="T94" s="4">
        <v>832.43</v>
      </c>
      <c r="U94" s="4">
        <v>812.08</v>
      </c>
      <c r="V94" s="4">
        <v>757.41</v>
      </c>
      <c r="W94" s="4">
        <v>764.41</v>
      </c>
      <c r="X94" s="9">
        <v>7.5374215851197635E-2</v>
      </c>
      <c r="Y94" s="10">
        <v>4.8225897405671507E-2</v>
      </c>
      <c r="Z94" s="10">
        <v>-1.863142601834511E-3</v>
      </c>
      <c r="AA94" s="10">
        <v>-3.5834239238004877E-2</v>
      </c>
    </row>
    <row r="95" spans="2:27" x14ac:dyDescent="0.3">
      <c r="B95" s="12" t="s">
        <v>251</v>
      </c>
      <c r="C95" s="3" t="s">
        <v>526</v>
      </c>
      <c r="D95" s="3" t="s">
        <v>585</v>
      </c>
      <c r="E95" s="3" t="s">
        <v>528</v>
      </c>
      <c r="F95" s="5">
        <v>-4.2</v>
      </c>
      <c r="G95" s="4">
        <v>2038</v>
      </c>
      <c r="H95" s="4">
        <v>3110</v>
      </c>
      <c r="I95" s="4">
        <v>2887</v>
      </c>
      <c r="J95" s="4">
        <v>2088</v>
      </c>
      <c r="K95" s="4">
        <v>1616</v>
      </c>
      <c r="L95" s="4">
        <v>1627</v>
      </c>
      <c r="M95" s="4">
        <v>1608</v>
      </c>
      <c r="N95" s="4">
        <v>1705</v>
      </c>
      <c r="O95" s="4">
        <v>1514</v>
      </c>
      <c r="P95" s="4">
        <v>1627</v>
      </c>
      <c r="Q95" s="4">
        <v>1705</v>
      </c>
      <c r="R95" s="4">
        <v>1437</v>
      </c>
      <c r="S95" s="4">
        <v>1405</v>
      </c>
      <c r="T95" s="4">
        <v>1459</v>
      </c>
      <c r="U95" s="4">
        <v>1532</v>
      </c>
      <c r="V95" s="4">
        <v>1307</v>
      </c>
      <c r="W95" s="4">
        <v>1165</v>
      </c>
      <c r="X95" s="9">
        <v>-2.721088435374153E-2</v>
      </c>
      <c r="Y95" s="10">
        <v>-2.8804528804528769E-2</v>
      </c>
      <c r="Z95" s="10">
        <v>-2.2286987827875859E-2</v>
      </c>
      <c r="AA95" s="10">
        <v>-4.2083114150447187E-2</v>
      </c>
    </row>
    <row r="96" spans="2:27" x14ac:dyDescent="0.3">
      <c r="B96" s="12" t="s">
        <v>103</v>
      </c>
      <c r="C96" s="3" t="s">
        <v>526</v>
      </c>
      <c r="D96" s="3" t="s">
        <v>571</v>
      </c>
      <c r="E96" s="3" t="s">
        <v>528</v>
      </c>
      <c r="F96" s="5">
        <v>-4.3</v>
      </c>
      <c r="G96" s="4">
        <v>1440</v>
      </c>
      <c r="H96" s="4">
        <v>1401</v>
      </c>
      <c r="I96" s="4">
        <v>1708</v>
      </c>
      <c r="J96" s="4">
        <v>1831</v>
      </c>
      <c r="K96" s="4">
        <v>1821</v>
      </c>
      <c r="L96" s="4">
        <v>1799</v>
      </c>
      <c r="M96" s="4">
        <v>1944</v>
      </c>
      <c r="N96" s="4">
        <v>1890</v>
      </c>
      <c r="O96" s="4">
        <v>1883</v>
      </c>
      <c r="P96" s="4">
        <v>1432</v>
      </c>
      <c r="Q96" s="4">
        <v>1582</v>
      </c>
      <c r="R96" s="4">
        <v>1554</v>
      </c>
      <c r="S96" s="4">
        <v>1986</v>
      </c>
      <c r="T96" s="4">
        <v>1560</v>
      </c>
      <c r="U96" s="4">
        <v>1675</v>
      </c>
      <c r="V96" s="4">
        <v>1694</v>
      </c>
      <c r="W96" s="4">
        <v>1686</v>
      </c>
      <c r="X96" s="9">
        <v>1.9530057979859631E-2</v>
      </c>
      <c r="Y96" s="10">
        <v>1.3917988626159779E-2</v>
      </c>
      <c r="Z96" s="10">
        <v>2.0664206642066359E-2</v>
      </c>
      <c r="AA96" s="10">
        <v>-4.3383947939262479E-2</v>
      </c>
    </row>
    <row r="97" spans="2:27" x14ac:dyDescent="0.3">
      <c r="B97" s="31" t="s">
        <v>345</v>
      </c>
      <c r="C97" s="15" t="s">
        <v>526</v>
      </c>
      <c r="D97" s="15" t="s">
        <v>543</v>
      </c>
      <c r="E97" s="15" t="s">
        <v>528</v>
      </c>
      <c r="F97" s="16">
        <v>-5.9</v>
      </c>
      <c r="G97" s="17">
        <v>565.9</v>
      </c>
      <c r="H97" s="17">
        <v>565.70000000000005</v>
      </c>
      <c r="I97" s="17">
        <v>579.79999999999995</v>
      </c>
      <c r="J97" s="17">
        <v>603.9</v>
      </c>
      <c r="K97" s="17">
        <v>655.7</v>
      </c>
      <c r="L97" s="17">
        <v>690.9</v>
      </c>
      <c r="M97" s="17">
        <v>716.6</v>
      </c>
      <c r="N97" s="17">
        <v>762.8</v>
      </c>
      <c r="O97" s="17">
        <v>773.3</v>
      </c>
      <c r="P97" s="17">
        <v>785.3</v>
      </c>
      <c r="Q97" s="17">
        <v>786.6</v>
      </c>
      <c r="R97" s="17">
        <v>837.6</v>
      </c>
      <c r="S97" s="17">
        <v>706.9</v>
      </c>
      <c r="T97" s="17">
        <v>715.9</v>
      </c>
      <c r="U97" s="17">
        <v>598.9</v>
      </c>
      <c r="V97" s="17">
        <v>652.1</v>
      </c>
      <c r="W97" s="17">
        <v>550.20000000000005</v>
      </c>
      <c r="X97" s="9">
        <v>-2.226928507251957E-2</v>
      </c>
      <c r="Y97" s="18">
        <v>-6.1601575319986779E-2</v>
      </c>
      <c r="Z97" s="18">
        <v>-6.487601860595249E-2</v>
      </c>
      <c r="AA97" s="18">
        <v>-5.8605729673124503E-2</v>
      </c>
    </row>
    <row r="98" spans="2:27" x14ac:dyDescent="0.3">
      <c r="B98" s="31" t="s">
        <v>439</v>
      </c>
      <c r="C98" s="15" t="s">
        <v>526</v>
      </c>
      <c r="D98" s="15" t="s">
        <v>586</v>
      </c>
      <c r="E98" s="15" t="s">
        <v>528</v>
      </c>
      <c r="F98" s="16">
        <v>-7.1</v>
      </c>
      <c r="G98" s="17">
        <v>150.91</v>
      </c>
      <c r="H98" s="17">
        <v>151.28</v>
      </c>
      <c r="I98" s="17">
        <v>151.66999999999999</v>
      </c>
      <c r="J98" s="17">
        <v>165.35</v>
      </c>
      <c r="K98" s="17">
        <v>196.26</v>
      </c>
      <c r="L98" s="17">
        <v>171.15</v>
      </c>
      <c r="M98" s="17">
        <v>162.5</v>
      </c>
      <c r="N98" s="17">
        <v>203.22</v>
      </c>
      <c r="O98" s="17">
        <v>207.47</v>
      </c>
      <c r="P98" s="17">
        <v>226.77</v>
      </c>
      <c r="Q98" s="17">
        <v>188.59</v>
      </c>
      <c r="R98" s="17">
        <v>253.25</v>
      </c>
      <c r="S98" s="17">
        <v>225.46</v>
      </c>
      <c r="T98" s="17">
        <v>185.3</v>
      </c>
      <c r="U98" s="17">
        <v>188.53</v>
      </c>
      <c r="V98" s="17">
        <v>175.24</v>
      </c>
      <c r="W98" s="17">
        <v>170.69</v>
      </c>
      <c r="X98" s="9">
        <v>-4.6383392799221553E-2</v>
      </c>
      <c r="Y98" s="18">
        <v>-7.0372976777033358E-5</v>
      </c>
      <c r="Z98" s="18">
        <v>-9.1503037980622648E-2</v>
      </c>
      <c r="AA98" s="18">
        <v>-7.0713852271700239E-2</v>
      </c>
    </row>
    <row r="99" spans="2:27" x14ac:dyDescent="0.3">
      <c r="B99" s="32" t="s">
        <v>283</v>
      </c>
      <c r="C99" s="19" t="s">
        <v>526</v>
      </c>
      <c r="D99" s="19" t="s">
        <v>570</v>
      </c>
      <c r="E99" s="19" t="s">
        <v>528</v>
      </c>
      <c r="F99" s="20">
        <v>-55.7</v>
      </c>
      <c r="G99" s="21">
        <v>261.99</v>
      </c>
      <c r="H99" s="21">
        <v>222.04</v>
      </c>
      <c r="I99" s="21">
        <v>246.35</v>
      </c>
      <c r="J99" s="21">
        <v>195.29</v>
      </c>
      <c r="K99" s="21">
        <v>245.4</v>
      </c>
      <c r="L99" s="21">
        <v>179.08</v>
      </c>
      <c r="M99" s="21">
        <v>208.87</v>
      </c>
      <c r="N99" s="21">
        <v>201.58</v>
      </c>
      <c r="O99" s="22">
        <v>467.41</v>
      </c>
      <c r="P99" s="21">
        <v>113.7</v>
      </c>
      <c r="Q99" s="21">
        <v>99.64</v>
      </c>
      <c r="R99" s="21">
        <v>124.1</v>
      </c>
      <c r="S99" s="22">
        <v>727.13</v>
      </c>
      <c r="T99" s="21">
        <v>82.92</v>
      </c>
      <c r="U99" s="21">
        <v>106.54</v>
      </c>
      <c r="V99" s="21">
        <v>177.53</v>
      </c>
      <c r="W99" s="21">
        <v>117.5</v>
      </c>
      <c r="X99" s="23">
        <v>-2.8913082277351339E-2</v>
      </c>
      <c r="Y99" s="24">
        <v>6.6744696698557426E-3</v>
      </c>
      <c r="Z99" s="24">
        <v>5.1340937262777331E-2</v>
      </c>
      <c r="AA99" s="24">
        <v>-0.55718751142470657</v>
      </c>
    </row>
    <row r="100" spans="2:27" x14ac:dyDescent="0.3">
      <c r="B100" s="33" t="s">
        <v>494</v>
      </c>
      <c r="C100" s="25" t="s">
        <v>592</v>
      </c>
      <c r="D100" s="25" t="str">
        <f>VLOOKUP(B100,기업리스트!B:G,2,FALSE)</f>
        <v>Coor Service Management Holding AB</v>
      </c>
      <c r="E100" s="25" t="s">
        <v>528</v>
      </c>
      <c r="F100" s="26">
        <v>0.3</v>
      </c>
      <c r="G100" s="27">
        <v>2901</v>
      </c>
      <c r="H100" s="27">
        <v>2955</v>
      </c>
      <c r="I100" s="27">
        <v>2980</v>
      </c>
      <c r="J100" s="27">
        <v>2766</v>
      </c>
      <c r="K100" s="27">
        <v>3088</v>
      </c>
      <c r="L100" s="27">
        <v>2978</v>
      </c>
      <c r="M100" s="27">
        <v>3162</v>
      </c>
      <c r="N100" s="27">
        <v>3016</v>
      </c>
      <c r="O100" s="27">
        <v>3287</v>
      </c>
      <c r="P100" s="27">
        <v>3124</v>
      </c>
      <c r="Q100" s="27">
        <v>3180</v>
      </c>
      <c r="R100" s="27">
        <v>2943</v>
      </c>
      <c r="S100" s="27">
        <v>3192</v>
      </c>
      <c r="T100" s="27">
        <v>3052</v>
      </c>
      <c r="U100" s="27">
        <v>3199</v>
      </c>
      <c r="V100" s="27">
        <v>3005</v>
      </c>
      <c r="W100" s="27">
        <v>3224</v>
      </c>
      <c r="X100" s="28">
        <v>-5.7882466436208757E-3</v>
      </c>
      <c r="Y100" s="29">
        <v>1.5363467291986681E-3</v>
      </c>
      <c r="Z100" s="29">
        <v>5.0056515420635614E-3</v>
      </c>
      <c r="AA100" s="29">
        <v>2.5706940874035129E-3</v>
      </c>
    </row>
    <row r="101" spans="2:27" x14ac:dyDescent="0.3">
      <c r="B101" s="12">
        <v>8074</v>
      </c>
      <c r="C101" s="3" t="s">
        <v>587</v>
      </c>
      <c r="D101" s="3" t="str">
        <f>VLOOKUP(B101,기업리스트!B:G,2,FALSE)</f>
        <v>Yuasa Trading Co., Ltd.</v>
      </c>
      <c r="E101" s="3" t="s">
        <v>560</v>
      </c>
      <c r="F101" s="5">
        <v>-0.1</v>
      </c>
      <c r="G101" s="4">
        <v>116276</v>
      </c>
      <c r="H101" s="4">
        <v>114989</v>
      </c>
      <c r="I101" s="4">
        <v>136535</v>
      </c>
      <c r="J101" s="4">
        <v>109314</v>
      </c>
      <c r="K101" s="4">
        <v>124704</v>
      </c>
      <c r="L101" s="4">
        <v>127493</v>
      </c>
      <c r="M101" s="4">
        <v>143295</v>
      </c>
      <c r="N101" s="4">
        <v>110721</v>
      </c>
      <c r="O101" s="4">
        <v>135489</v>
      </c>
      <c r="P101" s="4">
        <v>130775</v>
      </c>
      <c r="Q101" s="4">
        <v>149584</v>
      </c>
      <c r="R101" s="4">
        <v>113687</v>
      </c>
      <c r="S101" s="4">
        <v>134552</v>
      </c>
      <c r="T101" s="4">
        <v>137142</v>
      </c>
      <c r="U101" s="4">
        <v>143006</v>
      </c>
      <c r="V101" s="4">
        <v>116596</v>
      </c>
      <c r="W101" s="4">
        <v>134194</v>
      </c>
      <c r="X101" s="9">
        <v>1.204507016674294E-2</v>
      </c>
      <c r="Y101" s="10">
        <v>-1.229613152262299E-2</v>
      </c>
      <c r="Z101" s="10">
        <v>5.5054344637548436E-3</v>
      </c>
      <c r="AA101" s="10">
        <v>-6.7382400770943374E-4</v>
      </c>
    </row>
    <row r="102" spans="2:27" x14ac:dyDescent="0.3">
      <c r="B102" s="32">
        <v>6740</v>
      </c>
      <c r="C102" s="19" t="s">
        <v>587</v>
      </c>
      <c r="D102" s="19" t="str">
        <f>VLOOKUP(B102,기업리스트!B:G,2,FALSE)</f>
        <v>Japan Display Inc.</v>
      </c>
      <c r="E102" s="19" t="s">
        <v>560</v>
      </c>
      <c r="F102" s="20">
        <v>-7.9</v>
      </c>
      <c r="G102" s="21">
        <v>71898</v>
      </c>
      <c r="H102" s="21">
        <v>71657</v>
      </c>
      <c r="I102" s="21">
        <v>86428</v>
      </c>
      <c r="J102" s="21">
        <v>57099</v>
      </c>
      <c r="K102" s="21">
        <v>81196</v>
      </c>
      <c r="L102" s="21">
        <v>69735</v>
      </c>
      <c r="M102" s="21">
        <v>62714</v>
      </c>
      <c r="N102" s="21">
        <v>52996</v>
      </c>
      <c r="O102" s="21">
        <v>66886</v>
      </c>
      <c r="P102" s="21">
        <v>60492</v>
      </c>
      <c r="Q102" s="21">
        <v>58779</v>
      </c>
      <c r="R102" s="21">
        <v>55917</v>
      </c>
      <c r="S102" s="21">
        <v>46996</v>
      </c>
      <c r="T102" s="21">
        <v>40547</v>
      </c>
      <c r="U102" s="21">
        <v>44552</v>
      </c>
      <c r="V102" s="21">
        <v>32443</v>
      </c>
      <c r="W102" s="21">
        <v>33987</v>
      </c>
      <c r="X102" s="23">
        <v>-8.9767940085694775E-2</v>
      </c>
      <c r="Y102" s="24">
        <v>-7.0347460183248556E-2</v>
      </c>
      <c r="Z102" s="24">
        <v>-0.12485373274046339</v>
      </c>
      <c r="AA102" s="24">
        <v>-7.9063802890517731E-2</v>
      </c>
    </row>
    <row r="103" spans="2:27" x14ac:dyDescent="0.3">
      <c r="B103" s="12" t="s">
        <v>384</v>
      </c>
      <c r="C103" s="3" t="s">
        <v>589</v>
      </c>
      <c r="D103" s="3" t="str">
        <f>VLOOKUP(B103,기업리스트!B:G,2,FALSE)</f>
        <v>Anupam Rasayan India Ltd</v>
      </c>
      <c r="E103" s="3" t="s">
        <v>560</v>
      </c>
      <c r="F103" s="14">
        <v>26.1</v>
      </c>
      <c r="G103" s="4">
        <v>2489</v>
      </c>
      <c r="H103" s="4">
        <v>2662</v>
      </c>
      <c r="I103" s="4">
        <v>3250</v>
      </c>
      <c r="J103" s="4">
        <v>3066</v>
      </c>
      <c r="K103" s="6">
        <v>3862</v>
      </c>
      <c r="L103" s="4">
        <v>3827</v>
      </c>
      <c r="M103" s="6">
        <v>4893</v>
      </c>
      <c r="N103" s="4">
        <v>3864</v>
      </c>
      <c r="O103" s="4">
        <v>3921</v>
      </c>
      <c r="P103" s="4">
        <v>2955</v>
      </c>
      <c r="Q103" s="4">
        <v>4064</v>
      </c>
      <c r="R103" s="4">
        <v>2542</v>
      </c>
      <c r="S103" s="4">
        <v>2940</v>
      </c>
      <c r="T103" s="4">
        <v>3901</v>
      </c>
      <c r="U103" s="4">
        <v>5039</v>
      </c>
      <c r="V103" s="6">
        <v>4858</v>
      </c>
      <c r="W103" s="6">
        <v>7314</v>
      </c>
      <c r="X103" s="9">
        <v>7.5673946084313215E-2</v>
      </c>
      <c r="Y103" s="10">
        <v>7.2506878857737878E-2</v>
      </c>
      <c r="Z103" s="8">
        <v>0.16058799056996251</v>
      </c>
      <c r="AA103" s="8">
        <v>0.26132154379256778</v>
      </c>
    </row>
    <row r="104" spans="2:27" x14ac:dyDescent="0.3">
      <c r="B104" s="12" t="s">
        <v>335</v>
      </c>
      <c r="C104" s="3" t="s">
        <v>589</v>
      </c>
      <c r="D104" s="3" t="str">
        <f>VLOOKUP(B104,기업리스트!B:G,2,FALSE)</f>
        <v>KIOCL Limited</v>
      </c>
      <c r="E104" s="3" t="s">
        <v>560</v>
      </c>
      <c r="F104" s="14">
        <v>23.7</v>
      </c>
      <c r="G104" s="4">
        <v>4633</v>
      </c>
      <c r="H104" s="4">
        <v>3641</v>
      </c>
      <c r="I104" s="4">
        <v>11370</v>
      </c>
      <c r="J104" s="4">
        <v>3663</v>
      </c>
      <c r="K104" s="4">
        <v>1545</v>
      </c>
      <c r="L104" s="4">
        <v>2879</v>
      </c>
      <c r="M104" s="4">
        <v>7347</v>
      </c>
      <c r="N104" s="4">
        <v>5014</v>
      </c>
      <c r="O104" s="6">
        <v>4312</v>
      </c>
      <c r="P104" s="6">
        <v>5495</v>
      </c>
      <c r="Q104" s="4">
        <v>3722</v>
      </c>
      <c r="R104" s="4">
        <v>1474</v>
      </c>
      <c r="S104" s="4">
        <v>161.4</v>
      </c>
      <c r="T104" s="4">
        <v>1806</v>
      </c>
      <c r="U104" s="4">
        <v>2465</v>
      </c>
      <c r="V104" s="4">
        <v>909.4</v>
      </c>
      <c r="W104" s="6">
        <v>1425</v>
      </c>
      <c r="X104" s="9">
        <v>-0.33992480925878138</v>
      </c>
      <c r="Y104" s="10">
        <v>-0.17547533294245751</v>
      </c>
      <c r="Z104" s="10">
        <v>-9.5591223080048637E-2</v>
      </c>
      <c r="AA104" s="8">
        <v>0.23654947770414461</v>
      </c>
    </row>
    <row r="105" spans="2:27" x14ac:dyDescent="0.3">
      <c r="B105" s="31" t="s">
        <v>388</v>
      </c>
      <c r="C105" s="15" t="s">
        <v>589</v>
      </c>
      <c r="D105" s="15" t="str">
        <f>VLOOKUP(B105,기업리스트!B:G,2,FALSE)</f>
        <v>Elgi Equipments Limited</v>
      </c>
      <c r="E105" s="15" t="s">
        <v>572</v>
      </c>
      <c r="F105" s="16">
        <v>4.2</v>
      </c>
      <c r="G105" s="17">
        <v>6556</v>
      </c>
      <c r="H105" s="17">
        <v>7276</v>
      </c>
      <c r="I105" s="17">
        <v>6938</v>
      </c>
      <c r="J105" s="17">
        <v>7387</v>
      </c>
      <c r="K105" s="17">
        <v>7724</v>
      </c>
      <c r="L105" s="17">
        <v>8357</v>
      </c>
      <c r="M105" s="17">
        <v>7239</v>
      </c>
      <c r="N105" s="17">
        <v>8061</v>
      </c>
      <c r="O105" s="17">
        <v>8218</v>
      </c>
      <c r="P105" s="17">
        <v>8660</v>
      </c>
      <c r="Q105" s="17">
        <v>8011</v>
      </c>
      <c r="R105" s="17">
        <v>8689</v>
      </c>
      <c r="S105" s="17">
        <v>8476</v>
      </c>
      <c r="T105" s="17">
        <v>9929</v>
      </c>
      <c r="U105" s="17">
        <v>8667</v>
      </c>
      <c r="V105" s="17">
        <v>9680</v>
      </c>
      <c r="W105" s="17">
        <v>10034</v>
      </c>
      <c r="X105" s="9">
        <v>3.7504433148126237E-2</v>
      </c>
      <c r="Y105" s="18">
        <v>1.8686796752599429E-2</v>
      </c>
      <c r="Z105" s="18">
        <v>2.7711753027040539E-2</v>
      </c>
      <c r="AA105" s="18">
        <v>4.2392250761863259E-2</v>
      </c>
    </row>
    <row r="106" spans="2:27" x14ac:dyDescent="0.3">
      <c r="B106" s="31" t="s">
        <v>205</v>
      </c>
      <c r="C106" s="15" t="s">
        <v>589</v>
      </c>
      <c r="D106" s="15" t="str">
        <f>VLOOKUP(B106,기업리스트!B:G,2,FALSE)</f>
        <v>Patanjali Foods Limited</v>
      </c>
      <c r="E106" s="15" t="s">
        <v>572</v>
      </c>
      <c r="F106" s="16">
        <v>3.8</v>
      </c>
      <c r="G106" s="17">
        <v>62805</v>
      </c>
      <c r="H106" s="17">
        <v>66658</v>
      </c>
      <c r="I106" s="17">
        <v>72110</v>
      </c>
      <c r="J106" s="17">
        <v>85141</v>
      </c>
      <c r="K106" s="17">
        <v>79266</v>
      </c>
      <c r="L106" s="17">
        <v>78780</v>
      </c>
      <c r="M106" s="17">
        <v>77671</v>
      </c>
      <c r="N106" s="17">
        <v>78219</v>
      </c>
      <c r="O106" s="17">
        <v>79107</v>
      </c>
      <c r="P106" s="17">
        <v>82239</v>
      </c>
      <c r="Q106" s="17">
        <v>71731</v>
      </c>
      <c r="R106" s="17">
        <v>81542</v>
      </c>
      <c r="S106" s="17">
        <v>91031</v>
      </c>
      <c r="T106" s="17">
        <v>97266</v>
      </c>
      <c r="U106" s="17">
        <v>88997</v>
      </c>
      <c r="V106" s="17">
        <v>97988</v>
      </c>
      <c r="W106" s="17">
        <v>105411</v>
      </c>
      <c r="X106" s="9">
        <v>4.6018441675368837E-2</v>
      </c>
      <c r="Y106" s="18">
        <v>5.0548935796469241E-2</v>
      </c>
      <c r="Z106" s="18">
        <v>4.5831521920877583E-2</v>
      </c>
      <c r="AA106" s="18">
        <v>3.8317851642231782E-2</v>
      </c>
    </row>
    <row r="107" spans="2:27" x14ac:dyDescent="0.3">
      <c r="B107" s="32" t="s">
        <v>101</v>
      </c>
      <c r="C107" s="19" t="s">
        <v>589</v>
      </c>
      <c r="D107" s="19" t="str">
        <f>VLOOKUP(B107,기업리스트!B:G,2,FALSE)</f>
        <v>Divi's Laboratories Limited</v>
      </c>
      <c r="E107" s="19" t="s">
        <v>572</v>
      </c>
      <c r="F107" s="20">
        <v>2.8</v>
      </c>
      <c r="G107" s="21">
        <v>24932</v>
      </c>
      <c r="H107" s="21">
        <v>25185</v>
      </c>
      <c r="I107" s="21">
        <v>22545</v>
      </c>
      <c r="J107" s="21">
        <v>18545</v>
      </c>
      <c r="K107" s="21">
        <v>17077</v>
      </c>
      <c r="L107" s="21">
        <v>19503</v>
      </c>
      <c r="M107" s="21">
        <v>17780</v>
      </c>
      <c r="N107" s="21">
        <v>19090</v>
      </c>
      <c r="O107" s="21">
        <v>18550</v>
      </c>
      <c r="P107" s="21">
        <v>23030</v>
      </c>
      <c r="Q107" s="21">
        <v>21180</v>
      </c>
      <c r="R107" s="21">
        <v>23380</v>
      </c>
      <c r="S107" s="21">
        <v>23190</v>
      </c>
      <c r="T107" s="21">
        <v>25850</v>
      </c>
      <c r="U107" s="21">
        <v>24100</v>
      </c>
      <c r="V107" s="21">
        <v>27150</v>
      </c>
      <c r="W107" s="21">
        <v>26040</v>
      </c>
      <c r="X107" s="23">
        <v>3.1064111037673481E-2</v>
      </c>
      <c r="Y107" s="24">
        <v>3.1196581196581089E-2</v>
      </c>
      <c r="Z107" s="24">
        <v>3.9059262329050881E-2</v>
      </c>
      <c r="AA107" s="24">
        <v>2.841758899192337E-2</v>
      </c>
    </row>
    <row r="108" spans="2:27" x14ac:dyDescent="0.3">
      <c r="B108" s="33">
        <v>9999</v>
      </c>
      <c r="C108" s="25" t="s">
        <v>591</v>
      </c>
      <c r="D108" s="25" t="str">
        <f>VLOOKUP(B108,기업리스트!B:G,2,FALSE)</f>
        <v>NetEase, Inc.</v>
      </c>
      <c r="E108" s="25" t="s">
        <v>528</v>
      </c>
      <c r="F108" s="26">
        <v>0.7</v>
      </c>
      <c r="G108" s="27">
        <v>24374</v>
      </c>
      <c r="H108" s="27">
        <v>23556</v>
      </c>
      <c r="I108" s="27">
        <v>23159</v>
      </c>
      <c r="J108" s="27">
        <v>24427</v>
      </c>
      <c r="K108" s="27">
        <v>25354</v>
      </c>
      <c r="L108" s="27">
        <v>25046</v>
      </c>
      <c r="M108" s="27">
        <v>24011</v>
      </c>
      <c r="N108" s="27">
        <v>27270</v>
      </c>
      <c r="O108" s="27">
        <v>27140</v>
      </c>
      <c r="P108" s="27">
        <v>26852</v>
      </c>
      <c r="Q108" s="27">
        <v>25486</v>
      </c>
      <c r="R108" s="27">
        <v>26210</v>
      </c>
      <c r="S108" s="27">
        <v>26748</v>
      </c>
      <c r="T108" s="27">
        <v>28829</v>
      </c>
      <c r="U108" s="27">
        <v>27892</v>
      </c>
      <c r="V108" s="27">
        <v>28359</v>
      </c>
      <c r="W108" s="27">
        <v>27547</v>
      </c>
      <c r="X108" s="28">
        <v>1.8775641999696061E-2</v>
      </c>
      <c r="Y108" s="29">
        <v>2.2428756537059561E-2</v>
      </c>
      <c r="Z108" s="29">
        <v>1.9593541151907031E-2</v>
      </c>
      <c r="AA108" s="29">
        <v>7.1449010981150529E-3</v>
      </c>
    </row>
    <row r="109" spans="2:27" x14ac:dyDescent="0.3">
      <c r="B109" s="12" t="s">
        <v>608</v>
      </c>
      <c r="C109" s="3" t="s">
        <v>607</v>
      </c>
      <c r="D109" s="3" t="s">
        <v>535</v>
      </c>
      <c r="E109" s="3" t="s">
        <v>528</v>
      </c>
      <c r="F109" s="5">
        <v>0.6</v>
      </c>
      <c r="G109" s="3"/>
      <c r="H109" s="3"/>
      <c r="I109" s="3"/>
      <c r="J109" s="3"/>
      <c r="K109" s="3"/>
      <c r="L109" s="3"/>
      <c r="M109" s="3"/>
      <c r="N109" s="3"/>
      <c r="O109" s="3"/>
      <c r="P109" s="4">
        <v>21.35</v>
      </c>
      <c r="Q109" s="4">
        <v>20.98</v>
      </c>
      <c r="R109" s="4">
        <v>21.54</v>
      </c>
      <c r="S109" s="4">
        <v>22.76</v>
      </c>
      <c r="T109" s="4">
        <v>21.78</v>
      </c>
      <c r="U109" s="4">
        <v>22.28</v>
      </c>
      <c r="V109" s="4">
        <v>22.85</v>
      </c>
      <c r="W109" s="4">
        <v>23.33</v>
      </c>
      <c r="X109" s="9">
        <v>4.9636384624265339E-3</v>
      </c>
      <c r="Y109" s="10">
        <v>1.493223064553173E-2</v>
      </c>
      <c r="Z109" s="10">
        <v>1.4825712992304171E-2</v>
      </c>
      <c r="AA109" s="10">
        <v>6.3566410170625698E-3</v>
      </c>
    </row>
    <row r="110" spans="2:27" hidden="1" x14ac:dyDescent="0.3">
      <c r="B110" s="3" t="s">
        <v>353</v>
      </c>
      <c r="C110" s="3" t="s">
        <v>526</v>
      </c>
      <c r="D110" s="3" t="s">
        <v>529</v>
      </c>
      <c r="E110" s="3" t="s">
        <v>593</v>
      </c>
      <c r="F110" s="5">
        <v>467.3</v>
      </c>
      <c r="G110" s="4">
        <v>42.9</v>
      </c>
      <c r="H110" s="4">
        <v>-11.5</v>
      </c>
      <c r="I110" s="4">
        <v>-57.21</v>
      </c>
      <c r="J110" s="4">
        <v>-49.19</v>
      </c>
      <c r="K110" s="6">
        <v>-134.74</v>
      </c>
      <c r="L110" s="4">
        <v>49.04</v>
      </c>
      <c r="M110" s="4">
        <v>-21.15</v>
      </c>
      <c r="N110" s="4">
        <v>54</v>
      </c>
      <c r="O110" s="6">
        <v>-168.11</v>
      </c>
      <c r="P110" s="4">
        <v>110.88</v>
      </c>
      <c r="Q110" s="4">
        <v>34.950000000000003</v>
      </c>
      <c r="R110" s="4">
        <v>-37.07</v>
      </c>
      <c r="S110" s="4">
        <v>76.33</v>
      </c>
      <c r="T110" s="4">
        <v>-34.950000000000003</v>
      </c>
      <c r="U110" s="6">
        <v>40.47</v>
      </c>
      <c r="V110" s="4">
        <v>-61.26</v>
      </c>
      <c r="W110" s="6">
        <v>172.54</v>
      </c>
      <c r="X110" s="9">
        <v>-0.78788697390458695</v>
      </c>
      <c r="Y110" s="8">
        <v>0.14060112073357089</v>
      </c>
      <c r="Z110" s="10">
        <v>-0.54019651630192045</v>
      </c>
      <c r="AA110" s="8">
        <v>4.6726566294317644</v>
      </c>
    </row>
    <row r="111" spans="2:27" hidden="1" x14ac:dyDescent="0.3">
      <c r="B111" s="3" t="s">
        <v>133</v>
      </c>
      <c r="C111" s="3" t="s">
        <v>526</v>
      </c>
      <c r="D111" s="3" t="s">
        <v>594</v>
      </c>
      <c r="E111" s="3" t="s">
        <v>593</v>
      </c>
      <c r="F111" s="5">
        <v>13.6</v>
      </c>
      <c r="G111" s="4">
        <v>294.10000000000002</v>
      </c>
      <c r="H111" s="4">
        <v>0</v>
      </c>
      <c r="I111" s="4">
        <v>265</v>
      </c>
      <c r="J111" s="4">
        <v>232.1</v>
      </c>
      <c r="K111" s="4">
        <v>254.5</v>
      </c>
      <c r="L111" s="6">
        <v>207.2</v>
      </c>
      <c r="M111" s="4">
        <v>226.2</v>
      </c>
      <c r="N111" s="4">
        <v>238.8</v>
      </c>
      <c r="O111" s="4">
        <v>224.5</v>
      </c>
      <c r="P111" s="6">
        <v>297.60000000000002</v>
      </c>
      <c r="Q111" s="6">
        <v>338.9</v>
      </c>
      <c r="R111" s="6">
        <v>385.3</v>
      </c>
      <c r="S111" s="6">
        <v>438.9</v>
      </c>
      <c r="T111" s="6">
        <v>469.9</v>
      </c>
      <c r="U111" s="4">
        <v>477.1</v>
      </c>
      <c r="V111" s="6">
        <v>580.9</v>
      </c>
      <c r="W111" s="6">
        <v>706.7</v>
      </c>
      <c r="X111" s="11">
        <v>0.1179571438351474</v>
      </c>
      <c r="Y111" s="10">
        <v>8.4629516227801682E-2</v>
      </c>
      <c r="Z111" s="8">
        <v>0.1104336043360432</v>
      </c>
      <c r="AA111" s="8">
        <v>0.1361602603213341</v>
      </c>
    </row>
    <row r="112" spans="2:27" hidden="1" x14ac:dyDescent="0.3">
      <c r="B112" s="3" t="s">
        <v>314</v>
      </c>
      <c r="C112" s="3" t="s">
        <v>526</v>
      </c>
      <c r="D112" s="3" t="s">
        <v>595</v>
      </c>
      <c r="E112" s="3" t="s">
        <v>593</v>
      </c>
      <c r="F112" s="5">
        <v>10.5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4">
        <v>26.84</v>
      </c>
      <c r="S112" s="4">
        <v>31.05</v>
      </c>
      <c r="T112" s="4">
        <v>32.93</v>
      </c>
      <c r="U112" s="4">
        <v>37.21</v>
      </c>
      <c r="V112" s="6">
        <v>43.42</v>
      </c>
      <c r="W112" s="6">
        <v>46.28</v>
      </c>
      <c r="X112" s="7"/>
      <c r="Y112" s="3"/>
      <c r="Z112" s="8">
        <v>0.12950089822697811</v>
      </c>
      <c r="AA112" s="8">
        <v>0.1053177511928636</v>
      </c>
    </row>
    <row r="113" spans="2:27" hidden="1" x14ac:dyDescent="0.3">
      <c r="B113" s="3" t="s">
        <v>376</v>
      </c>
      <c r="C113" s="3" t="s">
        <v>526</v>
      </c>
      <c r="D113" s="3" t="s">
        <v>596</v>
      </c>
      <c r="E113" s="3" t="s">
        <v>593</v>
      </c>
      <c r="F113" s="5">
        <v>4.2</v>
      </c>
      <c r="G113" s="4">
        <v>158.84</v>
      </c>
      <c r="H113" s="4">
        <v>190.99</v>
      </c>
      <c r="I113" s="4">
        <v>183.71</v>
      </c>
      <c r="J113" s="4">
        <v>169.08</v>
      </c>
      <c r="K113" s="4">
        <v>175.89</v>
      </c>
      <c r="L113" s="4">
        <v>205.49</v>
      </c>
      <c r="M113" s="4">
        <v>185.23</v>
      </c>
      <c r="N113" s="4">
        <v>194.8</v>
      </c>
      <c r="O113" s="4">
        <v>208.06</v>
      </c>
      <c r="P113" s="4">
        <v>241.34</v>
      </c>
      <c r="Q113" s="4">
        <v>224.17</v>
      </c>
      <c r="R113" s="4">
        <v>212.96</v>
      </c>
      <c r="S113" s="4">
        <v>211.78</v>
      </c>
      <c r="T113" s="4">
        <v>230.74</v>
      </c>
      <c r="U113" s="4">
        <v>229.76</v>
      </c>
      <c r="V113" s="4">
        <v>234.02</v>
      </c>
      <c r="W113" s="4">
        <v>249.73</v>
      </c>
      <c r="X113" s="9">
        <v>-1.1906767761864719E-2</v>
      </c>
      <c r="Y113" s="10">
        <v>6.3548002046269758E-3</v>
      </c>
      <c r="Z113" s="10">
        <v>2.379015860105738E-2</v>
      </c>
      <c r="AA113" s="10">
        <v>4.1873551804038511E-2</v>
      </c>
    </row>
    <row r="114" spans="2:27" hidden="1" x14ac:dyDescent="0.3">
      <c r="B114" s="3" t="s">
        <v>113</v>
      </c>
      <c r="C114" s="3" t="s">
        <v>526</v>
      </c>
      <c r="D114" s="3" t="s">
        <v>541</v>
      </c>
      <c r="E114" s="3" t="s">
        <v>593</v>
      </c>
      <c r="F114" s="5">
        <v>3.4</v>
      </c>
      <c r="G114" s="4">
        <v>17081</v>
      </c>
      <c r="H114" s="4">
        <v>17444</v>
      </c>
      <c r="I114" s="4">
        <v>19119</v>
      </c>
      <c r="J114" s="4">
        <v>17623</v>
      </c>
      <c r="K114" s="4">
        <v>18278</v>
      </c>
      <c r="L114" s="4">
        <v>17566</v>
      </c>
      <c r="M114" s="4">
        <v>17119</v>
      </c>
      <c r="N114" s="4">
        <v>18538</v>
      </c>
      <c r="O114" s="4">
        <v>18303</v>
      </c>
      <c r="P114" s="4">
        <v>19855</v>
      </c>
      <c r="Q114" s="4">
        <v>17774</v>
      </c>
      <c r="R114" s="4">
        <v>21225</v>
      </c>
      <c r="S114" s="4">
        <v>19926</v>
      </c>
      <c r="T114" s="4">
        <v>18869</v>
      </c>
      <c r="U114" s="4">
        <v>19905</v>
      </c>
      <c r="V114" s="4">
        <v>19579</v>
      </c>
      <c r="W114" s="4">
        <v>22597</v>
      </c>
      <c r="X114" s="9">
        <v>-1.251586697131246E-2</v>
      </c>
      <c r="Y114" s="10">
        <v>2.739285806103298E-2</v>
      </c>
      <c r="Z114" s="10">
        <v>-2.059430716296529E-2</v>
      </c>
      <c r="AA114" s="10">
        <v>3.4121539621098977E-2</v>
      </c>
    </row>
    <row r="115" spans="2:27" hidden="1" x14ac:dyDescent="0.3">
      <c r="B115" s="3" t="s">
        <v>255</v>
      </c>
      <c r="C115" s="3" t="s">
        <v>526</v>
      </c>
      <c r="D115" s="3" t="s">
        <v>535</v>
      </c>
      <c r="E115" s="3" t="s">
        <v>593</v>
      </c>
      <c r="F115" s="5">
        <v>2.8</v>
      </c>
      <c r="G115" s="4">
        <v>1255</v>
      </c>
      <c r="H115" s="4">
        <v>1166</v>
      </c>
      <c r="I115" s="4">
        <v>1124</v>
      </c>
      <c r="J115" s="4">
        <v>1005</v>
      </c>
      <c r="K115" s="4">
        <v>1439</v>
      </c>
      <c r="L115" s="4">
        <v>1205</v>
      </c>
      <c r="M115" s="4">
        <v>1057</v>
      </c>
      <c r="N115" s="4">
        <v>1128</v>
      </c>
      <c r="O115" s="4">
        <v>922.43</v>
      </c>
      <c r="P115" s="4">
        <v>982.11</v>
      </c>
      <c r="Q115" s="4">
        <v>859.83</v>
      </c>
      <c r="R115" s="4">
        <v>1048</v>
      </c>
      <c r="S115" s="4">
        <v>1229</v>
      </c>
      <c r="T115" s="4">
        <v>1349</v>
      </c>
      <c r="U115" s="4">
        <v>1265</v>
      </c>
      <c r="V115" s="4">
        <v>1490</v>
      </c>
      <c r="W115" s="4">
        <v>1379</v>
      </c>
      <c r="X115" s="9">
        <v>8.9073887942043184E-2</v>
      </c>
      <c r="Y115" s="10">
        <v>9.0322192325611894E-2</v>
      </c>
      <c r="Z115" s="10">
        <v>9.0370067470864957E-2</v>
      </c>
      <c r="AA115" s="10">
        <v>2.8126757922370071E-2</v>
      </c>
    </row>
    <row r="116" spans="2:27" hidden="1" x14ac:dyDescent="0.3">
      <c r="B116" s="3" t="s">
        <v>331</v>
      </c>
      <c r="C116" s="3" t="s">
        <v>526</v>
      </c>
      <c r="D116" s="3" t="s">
        <v>537</v>
      </c>
      <c r="E116" s="3" t="s">
        <v>593</v>
      </c>
      <c r="F116" s="5">
        <v>2.6</v>
      </c>
      <c r="G116" s="4">
        <v>50.71</v>
      </c>
      <c r="H116" s="4">
        <v>52.65</v>
      </c>
      <c r="I116" s="4">
        <v>54.4</v>
      </c>
      <c r="J116" s="4">
        <v>55.43</v>
      </c>
      <c r="K116" s="4">
        <v>56.01</v>
      </c>
      <c r="L116" s="4">
        <v>57.36</v>
      </c>
      <c r="M116" s="4">
        <v>59.95</v>
      </c>
      <c r="N116" s="4">
        <v>60.69</v>
      </c>
      <c r="O116" s="4">
        <v>64.84</v>
      </c>
      <c r="P116" s="4">
        <v>65.14</v>
      </c>
      <c r="Q116" s="4">
        <v>66.47</v>
      </c>
      <c r="R116" s="4">
        <v>66.48</v>
      </c>
      <c r="S116" s="4">
        <v>66.790000000000006</v>
      </c>
      <c r="T116" s="4">
        <v>68.34</v>
      </c>
      <c r="U116" s="4">
        <v>71.48</v>
      </c>
      <c r="V116" s="4">
        <v>72.84</v>
      </c>
      <c r="W116" s="4">
        <v>74.150000000000006</v>
      </c>
      <c r="X116" s="9">
        <v>1.208094231350065E-2</v>
      </c>
      <c r="Y116" s="10">
        <v>1.86884512085943E-2</v>
      </c>
      <c r="Z116" s="10">
        <v>2.3289025595957469E-2</v>
      </c>
      <c r="AA116" s="10">
        <v>2.633744855967057E-2</v>
      </c>
    </row>
    <row r="117" spans="2:27" hidden="1" x14ac:dyDescent="0.3">
      <c r="B117" s="3" t="s">
        <v>37</v>
      </c>
      <c r="C117" s="3" t="s">
        <v>526</v>
      </c>
      <c r="D117" s="3" t="s">
        <v>568</v>
      </c>
      <c r="E117" s="3" t="s">
        <v>593</v>
      </c>
      <c r="F117" s="5">
        <v>2.1</v>
      </c>
      <c r="G117" s="4">
        <v>15534</v>
      </c>
      <c r="H117" s="4">
        <v>21101</v>
      </c>
      <c r="I117" s="4">
        <v>4781</v>
      </c>
      <c r="J117" s="4">
        <v>3481</v>
      </c>
      <c r="K117" s="4">
        <v>7150</v>
      </c>
      <c r="L117" s="4">
        <v>1499</v>
      </c>
      <c r="M117" s="6">
        <v>8424</v>
      </c>
      <c r="N117" s="6">
        <v>7868</v>
      </c>
      <c r="O117" s="4">
        <v>8178</v>
      </c>
      <c r="P117" s="4">
        <v>2776</v>
      </c>
      <c r="Q117" s="4">
        <v>8653</v>
      </c>
      <c r="R117" s="4">
        <v>8877</v>
      </c>
      <c r="S117" s="4">
        <v>9775</v>
      </c>
      <c r="T117" s="4">
        <v>2687</v>
      </c>
      <c r="U117" s="4">
        <v>8684</v>
      </c>
      <c r="V117" s="4">
        <v>10107</v>
      </c>
      <c r="W117" s="4">
        <v>10436</v>
      </c>
      <c r="X117" s="9">
        <v>-2.9586782354310559E-3</v>
      </c>
      <c r="Y117" s="10">
        <v>1.033608962389909E-3</v>
      </c>
      <c r="Z117" s="10">
        <v>4.0968590747093803E-2</v>
      </c>
      <c r="AA117" s="10">
        <v>2.114996960291804E-2</v>
      </c>
    </row>
    <row r="118" spans="2:27" hidden="1" x14ac:dyDescent="0.3">
      <c r="B118" s="3" t="s">
        <v>239</v>
      </c>
      <c r="C118" s="3" t="s">
        <v>526</v>
      </c>
      <c r="D118" s="3" t="s">
        <v>597</v>
      </c>
      <c r="E118" s="3" t="s">
        <v>593</v>
      </c>
      <c r="F118" s="5">
        <v>1.7</v>
      </c>
      <c r="G118" s="4">
        <v>445</v>
      </c>
      <c r="H118" s="4">
        <v>575</v>
      </c>
      <c r="I118" s="4">
        <v>571.58000000000004</v>
      </c>
      <c r="J118" s="4">
        <v>693.39</v>
      </c>
      <c r="K118" s="6">
        <v>809.45</v>
      </c>
      <c r="L118" s="6">
        <v>890.61</v>
      </c>
      <c r="M118" s="4">
        <v>867.26</v>
      </c>
      <c r="N118" s="4">
        <v>809.19</v>
      </c>
      <c r="O118" s="4">
        <v>867.71</v>
      </c>
      <c r="P118" s="4">
        <v>912.84</v>
      </c>
      <c r="Q118" s="4">
        <v>893.47</v>
      </c>
      <c r="R118" s="4">
        <v>819.4</v>
      </c>
      <c r="S118" s="4">
        <v>854.71</v>
      </c>
      <c r="T118" s="4">
        <v>878.62</v>
      </c>
      <c r="U118" s="4">
        <v>899.18</v>
      </c>
      <c r="V118" s="4">
        <v>842.6</v>
      </c>
      <c r="W118" s="4">
        <v>913.15</v>
      </c>
      <c r="X118" s="9">
        <v>-9.8321466949391478E-3</v>
      </c>
      <c r="Y118" s="10">
        <v>1.656897452266382E-3</v>
      </c>
      <c r="Z118" s="10">
        <v>6.7209168257573726E-3</v>
      </c>
      <c r="AA118" s="10">
        <v>1.681673385878435E-2</v>
      </c>
    </row>
    <row r="119" spans="2:27" hidden="1" x14ac:dyDescent="0.3">
      <c r="B119" s="3" t="s">
        <v>57</v>
      </c>
      <c r="C119" s="3" t="s">
        <v>526</v>
      </c>
      <c r="D119" s="3" t="s">
        <v>553</v>
      </c>
      <c r="E119" s="3" t="s">
        <v>593</v>
      </c>
      <c r="F119" s="5">
        <v>1.1000000000000001</v>
      </c>
      <c r="G119" s="4">
        <v>1016</v>
      </c>
      <c r="H119" s="4">
        <v>1069</v>
      </c>
      <c r="I119" s="4">
        <v>1010</v>
      </c>
      <c r="J119" s="4">
        <v>1027</v>
      </c>
      <c r="K119" s="4">
        <v>1083</v>
      </c>
      <c r="L119" s="4">
        <v>1049</v>
      </c>
      <c r="M119" s="4">
        <v>986</v>
      </c>
      <c r="N119" s="4">
        <v>957</v>
      </c>
      <c r="O119" s="4">
        <v>963</v>
      </c>
      <c r="P119" s="4">
        <v>1000</v>
      </c>
      <c r="Q119" s="4">
        <v>950</v>
      </c>
      <c r="R119" s="4">
        <v>0</v>
      </c>
      <c r="S119" s="4">
        <v>25.74</v>
      </c>
      <c r="T119" s="4">
        <v>971</v>
      </c>
      <c r="U119" s="4">
        <v>891</v>
      </c>
      <c r="V119" s="4">
        <v>0</v>
      </c>
      <c r="W119" s="4">
        <v>47.12</v>
      </c>
      <c r="X119" s="9">
        <v>-1.4678044681992519E-2</v>
      </c>
      <c r="Y119" s="10">
        <v>-3.0307077473108901E-2</v>
      </c>
      <c r="Z119" s="10">
        <v>0</v>
      </c>
      <c r="AA119" s="10">
        <v>1.132571222731937E-2</v>
      </c>
    </row>
    <row r="120" spans="2:27" hidden="1" x14ac:dyDescent="0.3">
      <c r="B120" s="3" t="s">
        <v>241</v>
      </c>
      <c r="C120" s="3" t="s">
        <v>526</v>
      </c>
      <c r="D120" s="3" t="s">
        <v>534</v>
      </c>
      <c r="E120" s="3" t="s">
        <v>593</v>
      </c>
      <c r="F120" s="5">
        <v>1.1000000000000001</v>
      </c>
      <c r="G120" s="4">
        <v>294.14</v>
      </c>
      <c r="H120" s="4">
        <v>324.45999999999998</v>
      </c>
      <c r="I120" s="4">
        <v>278.55</v>
      </c>
      <c r="J120" s="4">
        <v>276.22000000000003</v>
      </c>
      <c r="K120" s="4">
        <v>252.36</v>
      </c>
      <c r="L120" s="4">
        <v>0</v>
      </c>
      <c r="M120" s="4">
        <v>287.60000000000002</v>
      </c>
      <c r="N120" s="6">
        <v>617.4</v>
      </c>
      <c r="O120" s="6">
        <v>380.94</v>
      </c>
      <c r="P120" s="6">
        <v>377.48</v>
      </c>
      <c r="Q120" s="4">
        <v>350.37</v>
      </c>
      <c r="R120" s="4">
        <v>399.13</v>
      </c>
      <c r="S120" s="4">
        <v>378.14</v>
      </c>
      <c r="T120" s="4">
        <v>429.99</v>
      </c>
      <c r="U120" s="4">
        <v>306.51</v>
      </c>
      <c r="V120" s="4">
        <v>390.66</v>
      </c>
      <c r="W120" s="4">
        <v>394.19</v>
      </c>
      <c r="X120" s="9">
        <v>3.4887583714255488E-2</v>
      </c>
      <c r="Y120" s="10">
        <v>-2.815816336357169E-2</v>
      </c>
      <c r="Z120" s="10">
        <v>-5.5953017961777318E-3</v>
      </c>
      <c r="AA120" s="10">
        <v>1.0662326446555509E-2</v>
      </c>
    </row>
    <row r="121" spans="2:27" hidden="1" x14ac:dyDescent="0.3">
      <c r="B121" s="3" t="s">
        <v>316</v>
      </c>
      <c r="C121" s="3" t="s">
        <v>526</v>
      </c>
      <c r="D121" s="3" t="s">
        <v>598</v>
      </c>
      <c r="E121" s="3" t="s">
        <v>593</v>
      </c>
      <c r="F121" s="5">
        <v>0.9</v>
      </c>
      <c r="G121" s="4">
        <v>184.17</v>
      </c>
      <c r="H121" s="4">
        <v>167.92</v>
      </c>
      <c r="I121" s="4">
        <v>140.63999999999999</v>
      </c>
      <c r="J121" s="4">
        <v>143.44</v>
      </c>
      <c r="K121" s="4">
        <v>213.17</v>
      </c>
      <c r="L121" s="4">
        <v>189.72</v>
      </c>
      <c r="M121" s="4">
        <v>162.09</v>
      </c>
      <c r="N121" s="4">
        <v>160.15</v>
      </c>
      <c r="O121" s="4">
        <v>249.85</v>
      </c>
      <c r="P121" s="4">
        <v>197.28</v>
      </c>
      <c r="Q121" s="4">
        <v>153.18</v>
      </c>
      <c r="R121" s="4">
        <v>150.74</v>
      </c>
      <c r="S121" s="4">
        <v>225.93</v>
      </c>
      <c r="T121" s="4">
        <v>193.37</v>
      </c>
      <c r="U121" s="4">
        <v>148.46</v>
      </c>
      <c r="V121" s="4">
        <v>155.09</v>
      </c>
      <c r="W121" s="4">
        <v>232.71</v>
      </c>
      <c r="X121" s="9">
        <v>-5.3773052961643142E-3</v>
      </c>
      <c r="Y121" s="10">
        <v>-6.526368186720588E-3</v>
      </c>
      <c r="Z121" s="10">
        <v>6.0542797494780309E-3</v>
      </c>
      <c r="AA121" s="10">
        <v>9.3795393235109881E-3</v>
      </c>
    </row>
    <row r="122" spans="2:27" hidden="1" x14ac:dyDescent="0.3">
      <c r="B122" s="3" t="s">
        <v>359</v>
      </c>
      <c r="C122" s="3" t="s">
        <v>526</v>
      </c>
      <c r="D122" s="3" t="s">
        <v>599</v>
      </c>
      <c r="E122" s="3" t="s">
        <v>593</v>
      </c>
      <c r="F122" s="5">
        <v>0.4</v>
      </c>
      <c r="G122" s="4">
        <v>450.5</v>
      </c>
      <c r="H122" s="4">
        <v>489.8</v>
      </c>
      <c r="I122" s="4">
        <v>488.2</v>
      </c>
      <c r="J122" s="4">
        <v>526.4</v>
      </c>
      <c r="K122" s="4">
        <v>538.79999999999995</v>
      </c>
      <c r="L122" s="4">
        <v>526.79999999999995</v>
      </c>
      <c r="M122" s="4">
        <v>525.4</v>
      </c>
      <c r="N122" s="4">
        <v>0</v>
      </c>
      <c r="O122" s="4">
        <v>278.89999999999998</v>
      </c>
      <c r="P122" s="4">
        <v>268.60000000000002</v>
      </c>
      <c r="Q122" s="4">
        <v>258.8</v>
      </c>
      <c r="R122" s="6">
        <v>344.4</v>
      </c>
      <c r="S122" s="4">
        <v>393.3</v>
      </c>
      <c r="T122" s="4">
        <v>387.1</v>
      </c>
      <c r="U122" s="4">
        <v>378.2</v>
      </c>
      <c r="V122" s="4">
        <v>391.8</v>
      </c>
      <c r="W122" s="4">
        <v>399</v>
      </c>
      <c r="X122" s="9">
        <v>9.3668484704766408E-2</v>
      </c>
      <c r="Y122" s="10">
        <v>8.629661751951434E-2</v>
      </c>
      <c r="Z122" s="10">
        <v>3.1536926147704758E-2</v>
      </c>
      <c r="AA122" s="10">
        <v>3.6764705882352811E-3</v>
      </c>
    </row>
    <row r="123" spans="2:27" hidden="1" x14ac:dyDescent="0.3">
      <c r="B123" s="3" t="s">
        <v>61</v>
      </c>
      <c r="C123" s="3" t="s">
        <v>526</v>
      </c>
      <c r="D123" s="3" t="s">
        <v>567</v>
      </c>
      <c r="E123" s="3" t="s">
        <v>600</v>
      </c>
      <c r="F123" s="5"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4">
        <v>2.4700000000000002</v>
      </c>
      <c r="U123" s="4">
        <v>3.83</v>
      </c>
      <c r="V123" s="4">
        <v>4.16</v>
      </c>
      <c r="W123" s="4">
        <v>3.17</v>
      </c>
      <c r="X123" s="7"/>
      <c r="Y123" s="3"/>
      <c r="Z123" s="3"/>
      <c r="AA123" s="3"/>
    </row>
    <row r="124" spans="2:27" hidden="1" x14ac:dyDescent="0.3">
      <c r="B124" s="3" t="s">
        <v>431</v>
      </c>
      <c r="C124" s="3" t="s">
        <v>526</v>
      </c>
      <c r="D124" s="3" t="s">
        <v>532</v>
      </c>
      <c r="E124" s="3" t="s">
        <v>593</v>
      </c>
      <c r="F124" s="5">
        <v>0</v>
      </c>
      <c r="G124" s="3"/>
      <c r="H124" s="3"/>
      <c r="I124" s="3"/>
      <c r="J124" s="3"/>
      <c r="K124" s="3"/>
      <c r="L124" s="4">
        <v>0</v>
      </c>
      <c r="M124" s="4">
        <v>0</v>
      </c>
      <c r="N124" s="4">
        <v>0</v>
      </c>
      <c r="O124" s="4">
        <v>50</v>
      </c>
      <c r="P124" s="4">
        <v>0</v>
      </c>
      <c r="Q124" s="4">
        <v>0</v>
      </c>
      <c r="R124" s="4">
        <v>0</v>
      </c>
      <c r="S124" s="4">
        <v>0</v>
      </c>
      <c r="T124" s="4">
        <v>5</v>
      </c>
      <c r="U124" s="6">
        <v>10</v>
      </c>
      <c r="V124" s="4">
        <v>0</v>
      </c>
      <c r="W124" s="4">
        <v>0</v>
      </c>
      <c r="X124" s="7"/>
      <c r="Y124" s="8">
        <v>2</v>
      </c>
      <c r="Z124" s="10">
        <v>0</v>
      </c>
      <c r="AA124" s="10">
        <v>0</v>
      </c>
    </row>
    <row r="125" spans="2:27" hidden="1" x14ac:dyDescent="0.3">
      <c r="B125" s="3" t="s">
        <v>281</v>
      </c>
      <c r="C125" s="3" t="s">
        <v>526</v>
      </c>
      <c r="D125" s="3" t="s">
        <v>543</v>
      </c>
      <c r="E125" s="3" t="s">
        <v>593</v>
      </c>
      <c r="F125" s="5">
        <v>0</v>
      </c>
      <c r="G125" s="4">
        <v>199.79</v>
      </c>
      <c r="H125" s="4">
        <v>218.52</v>
      </c>
      <c r="I125" s="4">
        <v>226.48</v>
      </c>
      <c r="J125" s="4">
        <v>221.65</v>
      </c>
      <c r="K125" s="4">
        <v>224.51</v>
      </c>
      <c r="L125" s="4">
        <v>232.1</v>
      </c>
      <c r="M125" s="4">
        <v>229.76</v>
      </c>
      <c r="N125" s="4">
        <v>245.05</v>
      </c>
      <c r="O125" s="4">
        <v>244.18</v>
      </c>
      <c r="P125" s="4">
        <v>238.68</v>
      </c>
      <c r="Q125" s="4">
        <v>248.98</v>
      </c>
      <c r="R125" s="4">
        <v>274.77</v>
      </c>
      <c r="S125" s="4">
        <v>271.61</v>
      </c>
      <c r="T125" s="4">
        <v>258.02999999999997</v>
      </c>
      <c r="U125" s="4">
        <v>239.21</v>
      </c>
      <c r="V125" s="4">
        <v>255.27</v>
      </c>
      <c r="W125" s="4">
        <v>271.57</v>
      </c>
      <c r="X125" s="9">
        <v>1.871300916792373E-2</v>
      </c>
      <c r="Y125" s="10">
        <v>-9.2748174939956129E-3</v>
      </c>
      <c r="Z125" s="10">
        <v>-1.868496195933389E-2</v>
      </c>
      <c r="AA125" s="10">
        <v>-3.9057922899599078E-5</v>
      </c>
    </row>
    <row r="126" spans="2:27" hidden="1" x14ac:dyDescent="0.3">
      <c r="B126" s="3" t="s">
        <v>444</v>
      </c>
      <c r="C126" s="3" t="s">
        <v>526</v>
      </c>
      <c r="D126" s="3" t="s">
        <v>601</v>
      </c>
      <c r="E126" s="3" t="s">
        <v>593</v>
      </c>
      <c r="F126" s="5">
        <v>0</v>
      </c>
      <c r="G126" s="4">
        <v>131.07</v>
      </c>
      <c r="H126" s="4">
        <v>138.16</v>
      </c>
      <c r="I126" s="4">
        <v>136.15</v>
      </c>
      <c r="J126" s="4">
        <v>136.31</v>
      </c>
      <c r="K126" s="4">
        <v>144.1</v>
      </c>
      <c r="L126" s="4">
        <v>147.21</v>
      </c>
      <c r="M126" s="4">
        <v>142.37</v>
      </c>
      <c r="N126" s="4">
        <v>143.07</v>
      </c>
      <c r="O126" s="4">
        <v>146.99</v>
      </c>
      <c r="P126" s="4">
        <v>145.33000000000001</v>
      </c>
      <c r="Q126" s="4">
        <v>144.54</v>
      </c>
      <c r="R126" s="4">
        <v>143.26</v>
      </c>
      <c r="S126" s="4">
        <v>139.29</v>
      </c>
      <c r="T126" s="4">
        <v>143.22999999999999</v>
      </c>
      <c r="U126" s="4">
        <v>142.69</v>
      </c>
      <c r="V126" s="4">
        <v>140.29</v>
      </c>
      <c r="W126" s="4">
        <v>139.16</v>
      </c>
      <c r="X126" s="9">
        <v>-3.668634918416624E-3</v>
      </c>
      <c r="Y126" s="10">
        <v>-3.2437929583389868E-3</v>
      </c>
      <c r="Z126" s="10">
        <v>-5.224550108185122E-3</v>
      </c>
      <c r="AA126" s="10">
        <v>-2.2988505747123519E-4</v>
      </c>
    </row>
    <row r="127" spans="2:27" hidden="1" x14ac:dyDescent="0.3">
      <c r="B127" s="3" t="s">
        <v>163</v>
      </c>
      <c r="C127" s="3" t="s">
        <v>526</v>
      </c>
      <c r="D127" s="3" t="s">
        <v>588</v>
      </c>
      <c r="E127" s="3" t="s">
        <v>593</v>
      </c>
      <c r="F127" s="5">
        <v>-1.3</v>
      </c>
      <c r="G127" s="4">
        <v>2542</v>
      </c>
      <c r="H127" s="4">
        <v>2932</v>
      </c>
      <c r="I127" s="4">
        <v>2569</v>
      </c>
      <c r="J127" s="4">
        <v>2736</v>
      </c>
      <c r="K127" s="4">
        <v>2638</v>
      </c>
      <c r="L127" s="4">
        <v>2986</v>
      </c>
      <c r="M127" s="4">
        <v>2521</v>
      </c>
      <c r="N127" s="4">
        <v>2667</v>
      </c>
      <c r="O127" s="4">
        <v>2679</v>
      </c>
      <c r="P127" s="4">
        <v>3023</v>
      </c>
      <c r="Q127" s="4">
        <v>2496</v>
      </c>
      <c r="R127" s="4">
        <v>2710</v>
      </c>
      <c r="S127" s="4">
        <v>2629</v>
      </c>
      <c r="T127" s="4">
        <v>2857</v>
      </c>
      <c r="U127" s="4">
        <v>2323</v>
      </c>
      <c r="V127" s="4">
        <v>2537</v>
      </c>
      <c r="W127" s="4">
        <v>2494</v>
      </c>
      <c r="X127" s="9">
        <v>-1.528826671578565E-2</v>
      </c>
      <c r="Y127" s="10">
        <v>-1.6180321735877249E-2</v>
      </c>
      <c r="Z127" s="10">
        <v>-1.644643026903703E-2</v>
      </c>
      <c r="AA127" s="10">
        <v>-1.304852116760102E-2</v>
      </c>
    </row>
    <row r="128" spans="2:27" hidden="1" x14ac:dyDescent="0.3">
      <c r="B128" s="3" t="s">
        <v>378</v>
      </c>
      <c r="C128" s="3" t="s">
        <v>526</v>
      </c>
      <c r="D128" s="3" t="s">
        <v>602</v>
      </c>
      <c r="E128" s="3" t="s">
        <v>593</v>
      </c>
      <c r="F128" s="5">
        <v>-2.7</v>
      </c>
      <c r="G128" s="4">
        <v>150.25</v>
      </c>
      <c r="H128" s="4">
        <v>152.97</v>
      </c>
      <c r="I128" s="4">
        <v>156.43</v>
      </c>
      <c r="J128" s="4">
        <v>164</v>
      </c>
      <c r="K128" s="4">
        <v>171.91</v>
      </c>
      <c r="L128" s="4">
        <v>153.80000000000001</v>
      </c>
      <c r="M128" s="4">
        <v>153.5</v>
      </c>
      <c r="N128" s="4">
        <v>161.63999999999999</v>
      </c>
      <c r="O128" s="4">
        <v>177.37</v>
      </c>
      <c r="P128" s="4">
        <v>173.92</v>
      </c>
      <c r="Q128" s="4">
        <v>174.48</v>
      </c>
      <c r="R128" s="4">
        <v>175.88</v>
      </c>
      <c r="S128" s="4">
        <v>184.81</v>
      </c>
      <c r="T128" s="4">
        <v>182.13</v>
      </c>
      <c r="U128" s="4">
        <v>167.29</v>
      </c>
      <c r="V128" s="4">
        <v>166.1</v>
      </c>
      <c r="W128" s="4">
        <v>165.88</v>
      </c>
      <c r="X128" s="9">
        <v>1.1578219972076861E-2</v>
      </c>
      <c r="Y128" s="10">
        <v>-1.0023699986058791E-2</v>
      </c>
      <c r="Z128" s="10">
        <v>-1.377251411753122E-2</v>
      </c>
      <c r="AA128" s="10">
        <v>-2.7030114374651859E-2</v>
      </c>
    </row>
    <row r="129" spans="2:27" hidden="1" x14ac:dyDescent="0.3">
      <c r="B129" s="3" t="s">
        <v>259</v>
      </c>
      <c r="C129" s="3" t="s">
        <v>526</v>
      </c>
      <c r="D129" s="3" t="s">
        <v>603</v>
      </c>
      <c r="E129" s="3" t="s">
        <v>593</v>
      </c>
      <c r="F129" s="5">
        <v>-6.1</v>
      </c>
      <c r="G129" s="4">
        <v>648.84</v>
      </c>
      <c r="H129" s="4">
        <v>828.32</v>
      </c>
      <c r="I129" s="4">
        <v>1072</v>
      </c>
      <c r="J129" s="4">
        <v>1336</v>
      </c>
      <c r="K129" s="4">
        <v>869.77</v>
      </c>
      <c r="L129" s="4">
        <v>823.45</v>
      </c>
      <c r="M129" s="4">
        <v>911.24</v>
      </c>
      <c r="N129" s="4">
        <v>858.37</v>
      </c>
      <c r="O129" s="4">
        <v>741.82</v>
      </c>
      <c r="P129" s="4">
        <v>959.99</v>
      </c>
      <c r="Q129" s="4">
        <v>864.07</v>
      </c>
      <c r="R129" s="4">
        <v>803.97</v>
      </c>
      <c r="S129" s="4">
        <v>671.9</v>
      </c>
      <c r="T129" s="4">
        <v>617.35</v>
      </c>
      <c r="U129" s="4">
        <v>531.96</v>
      </c>
      <c r="V129" s="4">
        <v>550.27</v>
      </c>
      <c r="W129" s="4">
        <v>526.78</v>
      </c>
      <c r="X129" s="9">
        <v>-0.1038325055379964</v>
      </c>
      <c r="Y129" s="10">
        <v>-0.1123021414876457</v>
      </c>
      <c r="Z129" s="10">
        <v>-9.6640992236722956E-2</v>
      </c>
      <c r="AA129" s="10">
        <v>-6.11938536272707E-2</v>
      </c>
    </row>
    <row r="130" spans="2:27" hidden="1" x14ac:dyDescent="0.3">
      <c r="B130" s="3" t="s">
        <v>435</v>
      </c>
      <c r="C130" s="3" t="s">
        <v>526</v>
      </c>
      <c r="D130" s="3" t="s">
        <v>529</v>
      </c>
      <c r="E130" s="3" t="s">
        <v>593</v>
      </c>
      <c r="F130" s="5">
        <v>-38.700000000000003</v>
      </c>
      <c r="G130" s="4">
        <v>389.14</v>
      </c>
      <c r="H130" s="4">
        <v>46.19</v>
      </c>
      <c r="I130" s="4">
        <v>-232.71</v>
      </c>
      <c r="J130" s="4">
        <v>-127.49</v>
      </c>
      <c r="K130" s="4">
        <v>-160.44999999999999</v>
      </c>
      <c r="L130" s="4">
        <v>134.4</v>
      </c>
      <c r="M130" s="4">
        <v>86.15</v>
      </c>
      <c r="N130" s="4">
        <v>63.02</v>
      </c>
      <c r="O130" s="6">
        <v>23.03</v>
      </c>
      <c r="P130" s="4">
        <v>53.82</v>
      </c>
      <c r="Q130" s="6">
        <v>152.13</v>
      </c>
      <c r="R130" s="4">
        <v>77.45</v>
      </c>
      <c r="S130" s="6">
        <v>158.94</v>
      </c>
      <c r="T130" s="4">
        <v>-110.63</v>
      </c>
      <c r="U130" s="6">
        <v>200.99</v>
      </c>
      <c r="V130" s="4">
        <v>62.98</v>
      </c>
      <c r="W130" s="4">
        <v>38.229999999999997</v>
      </c>
      <c r="X130" s="9">
        <v>-0.3717728444183207</v>
      </c>
      <c r="Y130" s="8">
        <v>0.17582496671344769</v>
      </c>
      <c r="Z130" s="10">
        <v>-4.4284621270084028E-2</v>
      </c>
      <c r="AA130" s="10">
        <v>-0.38654412706545421</v>
      </c>
    </row>
    <row r="131" spans="2:27" hidden="1" x14ac:dyDescent="0.3">
      <c r="B131" s="3" t="s">
        <v>95</v>
      </c>
      <c r="C131" s="3" t="s">
        <v>587</v>
      </c>
      <c r="D131" s="3" t="s">
        <v>588</v>
      </c>
      <c r="E131" s="3" t="s">
        <v>593</v>
      </c>
      <c r="F131" s="5">
        <v>5.3</v>
      </c>
      <c r="G131" s="4">
        <v>112729</v>
      </c>
      <c r="H131" s="4">
        <v>81875</v>
      </c>
      <c r="I131" s="4">
        <v>105329</v>
      </c>
      <c r="J131" s="4">
        <v>119751</v>
      </c>
      <c r="K131" s="4">
        <v>137988</v>
      </c>
      <c r="L131" s="4">
        <v>121533</v>
      </c>
      <c r="M131" s="4">
        <v>152297</v>
      </c>
      <c r="N131" s="4">
        <v>137782</v>
      </c>
      <c r="O131" s="4">
        <v>158026</v>
      </c>
      <c r="P131" s="4">
        <v>122358</v>
      </c>
      <c r="Q131" s="4">
        <v>174102</v>
      </c>
      <c r="R131" s="4">
        <v>168097</v>
      </c>
      <c r="S131" s="4">
        <v>183255</v>
      </c>
      <c r="T131" s="4">
        <v>153072</v>
      </c>
      <c r="U131" s="4">
        <v>208313</v>
      </c>
      <c r="V131" s="4">
        <v>194485</v>
      </c>
      <c r="W131" s="4">
        <v>222257</v>
      </c>
      <c r="X131" s="9">
        <v>4.7411903453471023E-2</v>
      </c>
      <c r="Y131" s="10">
        <v>5.0419585984914361E-2</v>
      </c>
      <c r="Z131" s="10">
        <v>3.7023474296970622E-2</v>
      </c>
      <c r="AA131" s="10">
        <v>5.2767799763233647E-2</v>
      </c>
    </row>
    <row r="132" spans="2:27" hidden="1" x14ac:dyDescent="0.3">
      <c r="B132" s="3" t="s">
        <v>139</v>
      </c>
      <c r="C132" s="3" t="s">
        <v>587</v>
      </c>
      <c r="D132" s="3" t="s">
        <v>588</v>
      </c>
      <c r="E132" s="3" t="s">
        <v>593</v>
      </c>
      <c r="F132" s="5">
        <v>-0.4</v>
      </c>
      <c r="G132" s="4">
        <v>194918</v>
      </c>
      <c r="H132" s="4">
        <v>210845</v>
      </c>
      <c r="I132" s="4">
        <v>204373</v>
      </c>
      <c r="J132" s="4">
        <v>217240</v>
      </c>
      <c r="K132" s="4">
        <v>232935</v>
      </c>
      <c r="L132" s="4">
        <v>243474</v>
      </c>
      <c r="M132" s="4">
        <v>220839</v>
      </c>
      <c r="N132" s="4">
        <v>233099</v>
      </c>
      <c r="O132" s="4">
        <v>233493</v>
      </c>
      <c r="P132" s="4">
        <v>254359</v>
      </c>
      <c r="Q132" s="4">
        <v>236281</v>
      </c>
      <c r="R132" s="4">
        <v>251448</v>
      </c>
      <c r="S132" s="4">
        <v>234323</v>
      </c>
      <c r="T132" s="4">
        <v>266929</v>
      </c>
      <c r="U132" s="4">
        <v>227520</v>
      </c>
      <c r="V132" s="4">
        <v>236650</v>
      </c>
      <c r="W132" s="4">
        <v>230055</v>
      </c>
      <c r="X132" s="9">
        <v>1.287367717078158E-2</v>
      </c>
      <c r="Y132" s="10">
        <v>-8.8586130572781974E-3</v>
      </c>
      <c r="Z132" s="10">
        <v>-1.509661096488546E-2</v>
      </c>
      <c r="AA132" s="10">
        <v>-4.4208646581495037E-3</v>
      </c>
    </row>
    <row r="133" spans="2:27" hidden="1" x14ac:dyDescent="0.3">
      <c r="B133" s="3" t="s">
        <v>121</v>
      </c>
      <c r="C133" s="3" t="s">
        <v>604</v>
      </c>
      <c r="D133" s="3" t="s">
        <v>588</v>
      </c>
      <c r="E133" s="3" t="s">
        <v>593</v>
      </c>
      <c r="F133" s="5">
        <v>2.4</v>
      </c>
      <c r="G133" s="4">
        <v>350.6</v>
      </c>
      <c r="H133" s="4">
        <v>370.07</v>
      </c>
      <c r="I133" s="4">
        <v>395.7</v>
      </c>
      <c r="J133" s="4">
        <v>374.73</v>
      </c>
      <c r="K133" s="4">
        <v>301.2</v>
      </c>
      <c r="L133" s="4">
        <v>347.18</v>
      </c>
      <c r="M133" s="4">
        <v>372.3</v>
      </c>
      <c r="N133" s="4">
        <v>368.07</v>
      </c>
      <c r="O133" s="4">
        <v>360.2</v>
      </c>
      <c r="P133" s="4">
        <v>374.14</v>
      </c>
      <c r="Q133" s="4">
        <v>401.9</v>
      </c>
      <c r="R133" s="4">
        <v>412.9</v>
      </c>
      <c r="S133" s="4">
        <v>396.3</v>
      </c>
      <c r="T133" s="4">
        <v>415.81</v>
      </c>
      <c r="U133" s="4">
        <v>458.4</v>
      </c>
      <c r="V133" s="4">
        <v>465.88</v>
      </c>
      <c r="W133" s="4">
        <v>438.2</v>
      </c>
      <c r="X133" s="9">
        <v>2.6286240569251221E-2</v>
      </c>
      <c r="Y133" s="10">
        <v>3.4728411528603287E-2</v>
      </c>
      <c r="Z133" s="10">
        <v>3.1471833956077333E-2</v>
      </c>
      <c r="AA133" s="10">
        <v>2.413052367267721E-2</v>
      </c>
    </row>
    <row r="134" spans="2:27" hidden="1" x14ac:dyDescent="0.3">
      <c r="B134" s="3" t="s">
        <v>73</v>
      </c>
      <c r="C134" s="3" t="s">
        <v>604</v>
      </c>
      <c r="D134" s="3" t="s">
        <v>588</v>
      </c>
      <c r="E134" s="3" t="s">
        <v>605</v>
      </c>
      <c r="F134" s="5">
        <v>-1.9</v>
      </c>
      <c r="G134" s="3"/>
      <c r="H134" s="3"/>
      <c r="I134" s="3"/>
      <c r="J134" s="3"/>
      <c r="K134" s="3"/>
      <c r="L134" s="3"/>
      <c r="M134" s="3"/>
      <c r="N134" s="4">
        <v>11112</v>
      </c>
      <c r="O134" s="4">
        <v>11192</v>
      </c>
      <c r="P134" s="4">
        <v>12603</v>
      </c>
      <c r="Q134" s="4">
        <v>13289</v>
      </c>
      <c r="R134" s="4">
        <v>15301</v>
      </c>
      <c r="S134" s="4">
        <v>14079</v>
      </c>
      <c r="T134" s="4">
        <v>14264</v>
      </c>
      <c r="U134" s="4">
        <v>13481</v>
      </c>
      <c r="V134" s="4">
        <v>13712</v>
      </c>
      <c r="W134" s="4">
        <v>13028</v>
      </c>
      <c r="X134" s="9">
        <v>3.0051382255029679E-2</v>
      </c>
      <c r="Y134" s="10">
        <v>3.372385084221774E-3</v>
      </c>
      <c r="Z134" s="10">
        <v>-2.781619256017509E-2</v>
      </c>
      <c r="AA134" s="10">
        <v>-1.8924661480841262E-2</v>
      </c>
    </row>
    <row r="135" spans="2:27" hidden="1" x14ac:dyDescent="0.3">
      <c r="B135" s="3" t="s">
        <v>217</v>
      </c>
      <c r="C135" s="3" t="s">
        <v>590</v>
      </c>
      <c r="D135" s="3" t="s">
        <v>564</v>
      </c>
      <c r="E135" s="3" t="s">
        <v>593</v>
      </c>
      <c r="F135" s="5">
        <v>-8</v>
      </c>
      <c r="G135" s="4">
        <v>1.01</v>
      </c>
      <c r="H135" s="4">
        <v>1.24</v>
      </c>
      <c r="I135" s="4">
        <v>1.1200000000000001</v>
      </c>
      <c r="J135" s="4">
        <v>1.35</v>
      </c>
      <c r="K135" s="6">
        <v>1.55</v>
      </c>
      <c r="L135" s="4">
        <v>1.73</v>
      </c>
      <c r="M135" s="6">
        <v>1.85</v>
      </c>
      <c r="N135" s="4">
        <v>1.82</v>
      </c>
      <c r="O135" s="4">
        <v>1.74</v>
      </c>
      <c r="P135" s="4">
        <v>1.93</v>
      </c>
      <c r="Q135" s="4">
        <v>2.0699999999999998</v>
      </c>
      <c r="R135" s="4">
        <v>2.14</v>
      </c>
      <c r="S135" s="4">
        <v>2.2200000000000002</v>
      </c>
      <c r="T135" s="4">
        <v>2.14</v>
      </c>
      <c r="U135" s="4">
        <v>2.0099999999999998</v>
      </c>
      <c r="V135" s="4">
        <v>1.6</v>
      </c>
      <c r="W135" s="4">
        <v>1.58</v>
      </c>
      <c r="X135" s="9">
        <v>2.5119617224880431E-2</v>
      </c>
      <c r="Y135" s="10">
        <v>-7.001166861143604E-3</v>
      </c>
      <c r="Z135" s="10">
        <v>-6.3454759106932879E-2</v>
      </c>
      <c r="AA135" s="10">
        <v>-8.0301129234629953E-2</v>
      </c>
    </row>
  </sheetData>
  <autoFilter ref="B2:AA135" xr:uid="{00000000-0009-0000-0000-000001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09">
      <sortCondition descending="1" ref="C2:C135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138"/>
  <sheetViews>
    <sheetView tabSelected="1" workbookViewId="0">
      <selection activeCell="B3" sqref="B3:AA24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30" t="s">
        <v>631</v>
      </c>
      <c r="C2" s="30" t="s">
        <v>505</v>
      </c>
      <c r="D2" s="30" t="s">
        <v>506</v>
      </c>
      <c r="E2" s="30" t="s">
        <v>507</v>
      </c>
      <c r="F2" s="30" t="s">
        <v>508</v>
      </c>
      <c r="G2" s="30" t="s">
        <v>509</v>
      </c>
      <c r="H2" s="30" t="s">
        <v>510</v>
      </c>
      <c r="I2" s="30" t="s">
        <v>511</v>
      </c>
      <c r="J2" s="30" t="s">
        <v>512</v>
      </c>
      <c r="K2" s="30" t="s">
        <v>513</v>
      </c>
      <c r="L2" s="30" t="s">
        <v>514</v>
      </c>
      <c r="M2" s="30" t="s">
        <v>515</v>
      </c>
      <c r="N2" s="30" t="s">
        <v>516</v>
      </c>
      <c r="O2" s="30" t="s">
        <v>517</v>
      </c>
      <c r="P2" s="30" t="s">
        <v>518</v>
      </c>
      <c r="Q2" s="30" t="s">
        <v>519</v>
      </c>
      <c r="R2" s="30" t="s">
        <v>520</v>
      </c>
      <c r="S2" s="30" t="s">
        <v>521</v>
      </c>
      <c r="T2" s="30" t="s">
        <v>522</v>
      </c>
      <c r="U2" s="30" t="s">
        <v>523</v>
      </c>
      <c r="V2" s="30" t="s">
        <v>524</v>
      </c>
      <c r="W2" s="30" t="s">
        <v>525</v>
      </c>
      <c r="X2" s="30" t="s">
        <v>522</v>
      </c>
      <c r="Y2" s="30" t="s">
        <v>523</v>
      </c>
      <c r="Z2" s="30" t="s">
        <v>524</v>
      </c>
      <c r="AA2" s="30" t="s">
        <v>525</v>
      </c>
    </row>
    <row r="3" spans="2:27" x14ac:dyDescent="0.3">
      <c r="B3" s="12" t="s">
        <v>99</v>
      </c>
      <c r="C3" s="3" t="s">
        <v>526</v>
      </c>
      <c r="D3" s="3" t="s">
        <v>533</v>
      </c>
      <c r="E3" s="3" t="s">
        <v>528</v>
      </c>
      <c r="F3" s="14">
        <v>200</v>
      </c>
      <c r="G3" s="56">
        <v>-534</v>
      </c>
      <c r="H3" s="56">
        <v>-445</v>
      </c>
      <c r="I3" s="56">
        <v>-383</v>
      </c>
      <c r="J3" s="56">
        <v>-290</v>
      </c>
      <c r="K3" s="56">
        <v>-254</v>
      </c>
      <c r="L3" s="56">
        <v>-204</v>
      </c>
      <c r="M3" s="56">
        <v>-125</v>
      </c>
      <c r="N3" s="56">
        <v>-92</v>
      </c>
      <c r="O3" s="56">
        <v>-49</v>
      </c>
      <c r="P3" s="56">
        <v>-74</v>
      </c>
      <c r="Q3" s="56">
        <v>-53</v>
      </c>
      <c r="R3" s="56">
        <v>-35</v>
      </c>
      <c r="S3" s="56">
        <v>8</v>
      </c>
      <c r="T3" s="56">
        <v>-19</v>
      </c>
      <c r="U3" s="56">
        <v>8</v>
      </c>
      <c r="V3" s="56">
        <v>29</v>
      </c>
      <c r="W3" s="57">
        <v>60</v>
      </c>
      <c r="X3" s="9">
        <v>-0.3571428571428571</v>
      </c>
      <c r="Y3" s="10">
        <v>-0.61616161616161613</v>
      </c>
      <c r="Z3" s="10">
        <v>-1.6842105263157889</v>
      </c>
      <c r="AA3" s="8">
        <v>2</v>
      </c>
    </row>
    <row r="4" spans="2:27" hidden="1" x14ac:dyDescent="0.3">
      <c r="B4" s="3" t="s">
        <v>217</v>
      </c>
      <c r="C4" s="3" t="s">
        <v>590</v>
      </c>
      <c r="D4" s="3" t="s">
        <v>564</v>
      </c>
      <c r="E4" s="3" t="s">
        <v>593</v>
      </c>
      <c r="F4" s="5">
        <v>-1.6</v>
      </c>
      <c r="G4" s="4">
        <v>0.15</v>
      </c>
      <c r="H4" s="4">
        <v>0.62</v>
      </c>
      <c r="I4" s="4">
        <v>0.78</v>
      </c>
      <c r="J4" s="4">
        <v>1.45</v>
      </c>
      <c r="K4" s="6">
        <v>1.08</v>
      </c>
      <c r="L4" s="6">
        <v>1.41</v>
      </c>
      <c r="M4" s="4">
        <v>0.96</v>
      </c>
      <c r="N4" s="4">
        <v>0.77</v>
      </c>
      <c r="O4" s="4">
        <v>1.22</v>
      </c>
      <c r="P4" s="4">
        <v>1.25</v>
      </c>
      <c r="Q4" s="4">
        <v>1.23</v>
      </c>
      <c r="R4" s="4">
        <v>-0.12</v>
      </c>
      <c r="S4" s="4">
        <v>1.1299999999999999</v>
      </c>
      <c r="T4" s="6">
        <v>2.58</v>
      </c>
      <c r="U4" s="4">
        <v>1.25</v>
      </c>
      <c r="V4" s="6">
        <v>2.4900000000000002</v>
      </c>
      <c r="W4" s="4">
        <v>1.01</v>
      </c>
      <c r="X4" s="11">
        <v>0.38108882521489978</v>
      </c>
      <c r="Y4" s="10">
        <v>4.1493775933609811E-3</v>
      </c>
      <c r="Z4" s="8">
        <v>0.53925619834710758</v>
      </c>
      <c r="AA4" s="10">
        <v>-1.610738255033561E-2</v>
      </c>
    </row>
    <row r="5" spans="2:27" x14ac:dyDescent="0.3">
      <c r="B5" s="12" t="s">
        <v>251</v>
      </c>
      <c r="C5" s="3" t="s">
        <v>526</v>
      </c>
      <c r="D5" s="3" t="s">
        <v>585</v>
      </c>
      <c r="E5" s="3" t="s">
        <v>528</v>
      </c>
      <c r="F5" s="14">
        <v>86.2</v>
      </c>
      <c r="G5" s="56">
        <v>356</v>
      </c>
      <c r="H5" s="56">
        <v>1439</v>
      </c>
      <c r="I5" s="56">
        <v>980</v>
      </c>
      <c r="J5" s="56">
        <v>279</v>
      </c>
      <c r="K5" s="56">
        <v>-85</v>
      </c>
      <c r="L5" s="56">
        <v>-81</v>
      </c>
      <c r="M5" s="56">
        <v>-62</v>
      </c>
      <c r="N5" s="56">
        <v>198</v>
      </c>
      <c r="O5" s="56">
        <v>-53</v>
      </c>
      <c r="P5" s="57">
        <v>57</v>
      </c>
      <c r="Q5" s="57">
        <v>137</v>
      </c>
      <c r="R5" s="56">
        <v>-89</v>
      </c>
      <c r="S5" s="57">
        <v>4</v>
      </c>
      <c r="T5" s="56">
        <v>63</v>
      </c>
      <c r="U5" s="56">
        <v>-45</v>
      </c>
      <c r="V5" s="57">
        <v>-276</v>
      </c>
      <c r="W5" s="57">
        <v>-215</v>
      </c>
      <c r="X5" s="9">
        <v>5.504587155963292E-2</v>
      </c>
      <c r="Y5" s="10">
        <v>-1.5826086956521741</v>
      </c>
      <c r="Z5" s="8">
        <v>2.7910447761194028</v>
      </c>
      <c r="AA5" s="8">
        <v>0.86220472440944884</v>
      </c>
    </row>
    <row r="6" spans="2:27" x14ac:dyDescent="0.3">
      <c r="B6" s="12" t="s">
        <v>253</v>
      </c>
      <c r="C6" s="3" t="s">
        <v>526</v>
      </c>
      <c r="D6" s="3" t="s">
        <v>533</v>
      </c>
      <c r="E6" s="3" t="s">
        <v>528</v>
      </c>
      <c r="F6" s="14">
        <v>80.2</v>
      </c>
      <c r="G6" s="56">
        <v>-17.309999999999999</v>
      </c>
      <c r="H6" s="56">
        <v>-21.4</v>
      </c>
      <c r="I6" s="56">
        <v>-23.26</v>
      </c>
      <c r="J6" s="56">
        <v>-26.74</v>
      </c>
      <c r="K6" s="57">
        <v>-32.19</v>
      </c>
      <c r="L6" s="56">
        <v>-21.19</v>
      </c>
      <c r="M6" s="56">
        <v>-23.66</v>
      </c>
      <c r="N6" s="56">
        <v>-23.17</v>
      </c>
      <c r="O6" s="56">
        <v>-18.02</v>
      </c>
      <c r="P6" s="56">
        <v>-14.19</v>
      </c>
      <c r="Q6" s="56">
        <v>-13.7</v>
      </c>
      <c r="R6" s="56">
        <v>-12.8</v>
      </c>
      <c r="S6" s="56">
        <v>-1.58</v>
      </c>
      <c r="T6" s="56">
        <v>3.94</v>
      </c>
      <c r="U6" s="56">
        <v>9.84</v>
      </c>
      <c r="V6" s="56">
        <v>11</v>
      </c>
      <c r="W6" s="57">
        <v>17.03</v>
      </c>
      <c r="X6" s="9">
        <v>-0.42890939200378508</v>
      </c>
      <c r="Y6" s="10">
        <v>-0.97514498757249379</v>
      </c>
      <c r="Z6" s="10">
        <v>-39.6666666666666</v>
      </c>
      <c r="AA6" s="8">
        <v>0.80215517241379319</v>
      </c>
    </row>
    <row r="7" spans="2:27" hidden="1" x14ac:dyDescent="0.3">
      <c r="B7" s="3" t="s">
        <v>57</v>
      </c>
      <c r="C7" s="3" t="s">
        <v>526</v>
      </c>
      <c r="D7" s="3" t="s">
        <v>553</v>
      </c>
      <c r="E7" s="3" t="s">
        <v>593</v>
      </c>
      <c r="F7" s="14">
        <v>195.7</v>
      </c>
      <c r="G7" s="4">
        <v>53</v>
      </c>
      <c r="H7" s="4">
        <v>12</v>
      </c>
      <c r="I7" s="4">
        <v>72</v>
      </c>
      <c r="J7" s="4">
        <v>49</v>
      </c>
      <c r="K7" s="4">
        <v>-14</v>
      </c>
      <c r="L7" s="4">
        <v>-17</v>
      </c>
      <c r="M7" s="4">
        <v>36</v>
      </c>
      <c r="N7" s="4">
        <v>37</v>
      </c>
      <c r="O7" s="6">
        <v>58</v>
      </c>
      <c r="P7" s="6">
        <v>23</v>
      </c>
      <c r="Q7" s="6">
        <v>56</v>
      </c>
      <c r="R7" s="4">
        <v>0</v>
      </c>
      <c r="S7" s="4">
        <v>-25.94</v>
      </c>
      <c r="T7" s="4">
        <v>-6</v>
      </c>
      <c r="U7" s="4">
        <v>42</v>
      </c>
      <c r="V7" s="4">
        <v>0</v>
      </c>
      <c r="W7" s="6">
        <v>-6.25</v>
      </c>
      <c r="X7" s="9">
        <v>-0.54655107425555971</v>
      </c>
      <c r="Y7" s="10">
        <v>-0.58187863674147966</v>
      </c>
      <c r="Z7" s="10">
        <v>0</v>
      </c>
      <c r="AA7" s="8">
        <v>1.9572564612326051</v>
      </c>
    </row>
    <row r="8" spans="2:27" x14ac:dyDescent="0.3">
      <c r="B8" s="12" t="s">
        <v>437</v>
      </c>
      <c r="C8" s="3" t="s">
        <v>526</v>
      </c>
      <c r="D8" s="3" t="s">
        <v>544</v>
      </c>
      <c r="E8" s="3" t="s">
        <v>528</v>
      </c>
      <c r="F8" s="14">
        <v>55.7</v>
      </c>
      <c r="G8" s="56">
        <v>3.95</v>
      </c>
      <c r="H8" s="56">
        <v>4.7300000000000004</v>
      </c>
      <c r="I8" s="56">
        <v>1.58</v>
      </c>
      <c r="J8" s="56">
        <v>-3.39</v>
      </c>
      <c r="K8" s="56">
        <v>-7.07</v>
      </c>
      <c r="L8" s="57">
        <v>-5.57</v>
      </c>
      <c r="M8" s="57">
        <v>-7.96</v>
      </c>
      <c r="N8" s="57">
        <v>-8.7100000000000009</v>
      </c>
      <c r="O8" s="57">
        <v>-10.57</v>
      </c>
      <c r="P8" s="56">
        <v>-3.44</v>
      </c>
      <c r="Q8" s="56">
        <v>-1.02</v>
      </c>
      <c r="R8" s="56">
        <v>0.15</v>
      </c>
      <c r="S8" s="56">
        <v>-0.28000000000000003</v>
      </c>
      <c r="T8" s="56">
        <v>1.72</v>
      </c>
      <c r="U8" s="57">
        <v>2.94</v>
      </c>
      <c r="V8" s="57">
        <v>3.2</v>
      </c>
      <c r="W8" s="57">
        <v>3.94</v>
      </c>
      <c r="X8" s="9">
        <v>-1.1241830065359479</v>
      </c>
      <c r="Y8" s="8">
        <v>6.9473684210526327</v>
      </c>
      <c r="Z8" s="8">
        <v>0.67328918322295794</v>
      </c>
      <c r="AA8" s="8">
        <v>0.5567282321899738</v>
      </c>
    </row>
    <row r="9" spans="2:27" x14ac:dyDescent="0.3">
      <c r="B9" s="12" t="s">
        <v>277</v>
      </c>
      <c r="C9" s="3" t="s">
        <v>526</v>
      </c>
      <c r="D9" s="3" t="s">
        <v>551</v>
      </c>
      <c r="E9" s="3" t="s">
        <v>528</v>
      </c>
      <c r="F9" s="14">
        <v>38.799999999999997</v>
      </c>
      <c r="G9" s="56">
        <v>-1.82</v>
      </c>
      <c r="H9" s="56">
        <v>-16.059999999999999</v>
      </c>
      <c r="I9" s="56">
        <v>-14.01</v>
      </c>
      <c r="J9" s="56">
        <v>-17.190000000000001</v>
      </c>
      <c r="K9" s="56">
        <v>-0.34</v>
      </c>
      <c r="L9" s="56">
        <v>-19.5</v>
      </c>
      <c r="M9" s="56">
        <v>-16.600000000000001</v>
      </c>
      <c r="N9" s="56">
        <v>-13.47</v>
      </c>
      <c r="O9" s="56">
        <v>9.3000000000000007</v>
      </c>
      <c r="P9" s="56">
        <v>-15.22</v>
      </c>
      <c r="Q9" s="56">
        <v>5.0999999999999996</v>
      </c>
      <c r="R9" s="56">
        <v>14.32</v>
      </c>
      <c r="S9" s="57">
        <v>31.88</v>
      </c>
      <c r="T9" s="57">
        <v>-1.49</v>
      </c>
      <c r="U9" s="56">
        <v>-3.32</v>
      </c>
      <c r="V9" s="56">
        <v>9.64</v>
      </c>
      <c r="W9" s="57">
        <v>46.11</v>
      </c>
      <c r="X9" s="11">
        <v>0.38054323725055439</v>
      </c>
      <c r="Y9" s="10">
        <v>-0.16904236097169251</v>
      </c>
      <c r="Z9" s="10">
        <v>-0.1130707900459048</v>
      </c>
      <c r="AA9" s="8">
        <v>0.38763279760283292</v>
      </c>
    </row>
    <row r="10" spans="2:27" x14ac:dyDescent="0.3">
      <c r="B10" s="12" t="s">
        <v>47</v>
      </c>
      <c r="C10" s="3" t="s">
        <v>526</v>
      </c>
      <c r="D10" s="3" t="s">
        <v>571</v>
      </c>
      <c r="E10" s="3" t="s">
        <v>528</v>
      </c>
      <c r="F10" s="14">
        <v>38.200000000000003</v>
      </c>
      <c r="G10" s="56">
        <v>284.01</v>
      </c>
      <c r="H10" s="56">
        <v>280.3</v>
      </c>
      <c r="I10" s="56">
        <v>337.18</v>
      </c>
      <c r="J10" s="56">
        <v>351.13</v>
      </c>
      <c r="K10" s="56">
        <v>318.60000000000002</v>
      </c>
      <c r="L10" s="56">
        <v>318.64</v>
      </c>
      <c r="M10" s="56">
        <v>377.92</v>
      </c>
      <c r="N10" s="56">
        <v>415.39</v>
      </c>
      <c r="O10" s="56">
        <v>239.47</v>
      </c>
      <c r="P10" s="56">
        <v>376.45</v>
      </c>
      <c r="Q10" s="56">
        <v>440.96</v>
      </c>
      <c r="R10" s="56">
        <v>485.51</v>
      </c>
      <c r="S10" s="56">
        <v>-67.61</v>
      </c>
      <c r="T10" s="56">
        <v>407.98</v>
      </c>
      <c r="U10" s="56">
        <v>466.22</v>
      </c>
      <c r="V10" s="56">
        <v>473.13</v>
      </c>
      <c r="W10" s="57">
        <v>420.83</v>
      </c>
      <c r="X10" s="9">
        <v>2.552395754911729E-2</v>
      </c>
      <c r="Y10" s="10">
        <v>1.993937671687052E-2</v>
      </c>
      <c r="Z10" s="10">
        <v>-9.5813017568300296E-3</v>
      </c>
      <c r="AA10" s="8">
        <v>0.38167724189666502</v>
      </c>
    </row>
    <row r="11" spans="2:27" x14ac:dyDescent="0.3">
      <c r="B11" s="12" t="s">
        <v>155</v>
      </c>
      <c r="C11" s="3" t="s">
        <v>526</v>
      </c>
      <c r="D11" s="3" t="s">
        <v>545</v>
      </c>
      <c r="E11" s="3" t="s">
        <v>528</v>
      </c>
      <c r="F11" s="14">
        <v>34</v>
      </c>
      <c r="G11" s="56">
        <v>1257</v>
      </c>
      <c r="H11" s="56">
        <v>-202.81</v>
      </c>
      <c r="I11" s="56">
        <v>1064</v>
      </c>
      <c r="J11" s="56">
        <v>792.37</v>
      </c>
      <c r="K11" s="56">
        <v>946.23</v>
      </c>
      <c r="L11" s="57">
        <v>360.95</v>
      </c>
      <c r="M11" s="56">
        <v>-84.72</v>
      </c>
      <c r="N11" s="56">
        <v>68.959999999999994</v>
      </c>
      <c r="O11" s="56">
        <v>107.14</v>
      </c>
      <c r="P11" s="56">
        <v>49.97</v>
      </c>
      <c r="Q11" s="56">
        <v>-77.099999999999994</v>
      </c>
      <c r="R11" s="56">
        <v>-27.79</v>
      </c>
      <c r="S11" s="56">
        <v>60.71</v>
      </c>
      <c r="T11" s="57">
        <v>269.58999999999997</v>
      </c>
      <c r="U11" s="57">
        <v>219.03</v>
      </c>
      <c r="V11" s="57">
        <v>130.86000000000001</v>
      </c>
      <c r="W11" s="57">
        <v>291.92</v>
      </c>
      <c r="X11" s="11">
        <v>37.930915371329831</v>
      </c>
      <c r="Y11" s="8">
        <v>1.3137394081895211</v>
      </c>
      <c r="Z11" s="8">
        <v>0.30419526786056678</v>
      </c>
      <c r="AA11" s="8">
        <v>0.3399197283112072</v>
      </c>
    </row>
    <row r="12" spans="2:27" x14ac:dyDescent="0.3">
      <c r="B12" s="12" t="s">
        <v>143</v>
      </c>
      <c r="C12" s="3" t="s">
        <v>526</v>
      </c>
      <c r="D12" s="3" t="s">
        <v>533</v>
      </c>
      <c r="E12" s="3" t="s">
        <v>528</v>
      </c>
      <c r="F12" s="14">
        <v>28.6</v>
      </c>
      <c r="G12" s="56">
        <v>68.63</v>
      </c>
      <c r="H12" s="56">
        <v>126.27</v>
      </c>
      <c r="I12" s="56">
        <v>72.31</v>
      </c>
      <c r="J12" s="56">
        <v>74.27</v>
      </c>
      <c r="K12" s="57">
        <v>105.83</v>
      </c>
      <c r="L12" s="56">
        <v>160.43</v>
      </c>
      <c r="M12" s="56">
        <v>87.27</v>
      </c>
      <c r="N12" s="56">
        <v>96.9</v>
      </c>
      <c r="O12" s="56">
        <v>106.7</v>
      </c>
      <c r="P12" s="57">
        <v>285.8</v>
      </c>
      <c r="Q12" s="56">
        <v>95</v>
      </c>
      <c r="R12" s="56">
        <v>105</v>
      </c>
      <c r="S12" s="56">
        <v>30.97</v>
      </c>
      <c r="T12" s="56">
        <v>185.1</v>
      </c>
      <c r="U12" s="56">
        <v>112.3</v>
      </c>
      <c r="V12" s="56">
        <v>112.6</v>
      </c>
      <c r="W12" s="57">
        <v>157.19999999999999</v>
      </c>
      <c r="X12" s="9">
        <v>-0.19486425295586041</v>
      </c>
      <c r="Y12" s="10">
        <v>4.1579541904006589E-2</v>
      </c>
      <c r="Z12" s="10">
        <v>1.7536977640353339E-2</v>
      </c>
      <c r="AA12" s="8">
        <v>0.28625530081411421</v>
      </c>
    </row>
    <row r="13" spans="2:27" x14ac:dyDescent="0.3">
      <c r="B13" s="12" t="s">
        <v>26</v>
      </c>
      <c r="C13" s="3" t="s">
        <v>526</v>
      </c>
      <c r="D13" s="3" t="s">
        <v>539</v>
      </c>
      <c r="E13" s="3" t="s">
        <v>528</v>
      </c>
      <c r="F13" s="14">
        <v>19.100000000000001</v>
      </c>
      <c r="G13" s="56">
        <v>61.35</v>
      </c>
      <c r="H13" s="56">
        <v>-113.17</v>
      </c>
      <c r="I13" s="56">
        <v>55.28</v>
      </c>
      <c r="J13" s="56">
        <v>53.58</v>
      </c>
      <c r="K13" s="56">
        <v>-15.2</v>
      </c>
      <c r="L13" s="56">
        <v>61.56</v>
      </c>
      <c r="M13" s="57">
        <v>131.33000000000001</v>
      </c>
      <c r="N13" s="57">
        <v>186.32</v>
      </c>
      <c r="O13" s="57">
        <v>270.56</v>
      </c>
      <c r="P13" s="57">
        <v>363.9</v>
      </c>
      <c r="Q13" s="57">
        <v>384.42</v>
      </c>
      <c r="R13" s="57">
        <v>534.29999999999995</v>
      </c>
      <c r="S13" s="57">
        <v>608.87</v>
      </c>
      <c r="T13" s="57">
        <v>839.98</v>
      </c>
      <c r="U13" s="57">
        <v>957.68</v>
      </c>
      <c r="V13" s="57">
        <v>1079</v>
      </c>
      <c r="W13" s="57">
        <v>1275</v>
      </c>
      <c r="X13" s="11">
        <v>0.25169575308354802</v>
      </c>
      <c r="Y13" s="8">
        <v>0.24213011653298519</v>
      </c>
      <c r="Z13" s="8">
        <v>0.18521981889466571</v>
      </c>
      <c r="AA13" s="8">
        <v>0.19111297277601971</v>
      </c>
    </row>
    <row r="14" spans="2:27" hidden="1" x14ac:dyDescent="0.3">
      <c r="B14" s="3" t="s">
        <v>259</v>
      </c>
      <c r="C14" s="3" t="s">
        <v>526</v>
      </c>
      <c r="D14" s="3" t="s">
        <v>603</v>
      </c>
      <c r="E14" s="3" t="s">
        <v>593</v>
      </c>
      <c r="F14" s="14">
        <v>29.9</v>
      </c>
      <c r="G14" s="4">
        <v>113.56</v>
      </c>
      <c r="H14" s="4">
        <v>269.38</v>
      </c>
      <c r="I14" s="4">
        <v>464.16</v>
      </c>
      <c r="J14" s="4">
        <v>654.54</v>
      </c>
      <c r="K14" s="4">
        <v>261.19</v>
      </c>
      <c r="L14" s="4">
        <v>216.75</v>
      </c>
      <c r="M14" s="4">
        <v>311.08</v>
      </c>
      <c r="N14" s="4">
        <v>216.92</v>
      </c>
      <c r="O14" s="4">
        <v>116.04</v>
      </c>
      <c r="P14" s="4">
        <v>213.25</v>
      </c>
      <c r="Q14" s="4">
        <v>141.16999999999999</v>
      </c>
      <c r="R14" s="4">
        <v>66.739999999999995</v>
      </c>
      <c r="S14" s="4">
        <v>2.13</v>
      </c>
      <c r="T14" s="4">
        <v>14.71</v>
      </c>
      <c r="U14" s="4">
        <v>-44</v>
      </c>
      <c r="V14" s="4">
        <v>-1.2</v>
      </c>
      <c r="W14" s="6">
        <v>-6.34</v>
      </c>
      <c r="X14" s="9">
        <v>-0.46904013796687849</v>
      </c>
      <c r="Y14" s="10">
        <v>-0.82389321468298105</v>
      </c>
      <c r="Z14" s="10">
        <v>-1.716523496715513</v>
      </c>
      <c r="AA14" s="8">
        <v>0.29866008462623422</v>
      </c>
    </row>
    <row r="15" spans="2:27" x14ac:dyDescent="0.3">
      <c r="B15" s="12" t="s">
        <v>127</v>
      </c>
      <c r="C15" s="3" t="s">
        <v>526</v>
      </c>
      <c r="D15" s="3" t="s">
        <v>540</v>
      </c>
      <c r="E15" s="3" t="s">
        <v>528</v>
      </c>
      <c r="F15" s="14">
        <v>18.600000000000001</v>
      </c>
      <c r="G15" s="56"/>
      <c r="H15" s="56">
        <v>122.39</v>
      </c>
      <c r="I15" s="56">
        <v>36.1</v>
      </c>
      <c r="J15" s="56">
        <v>109.08</v>
      </c>
      <c r="K15" s="56">
        <v>53.81</v>
      </c>
      <c r="L15" s="56">
        <v>122.63</v>
      </c>
      <c r="M15" s="56">
        <v>55.63</v>
      </c>
      <c r="N15" s="56">
        <v>94.55</v>
      </c>
      <c r="O15" s="57">
        <v>100.75</v>
      </c>
      <c r="P15" s="56">
        <v>154.94</v>
      </c>
      <c r="Q15" s="57">
        <v>103.84</v>
      </c>
      <c r="R15" s="57">
        <v>180.26</v>
      </c>
      <c r="S15" s="57">
        <v>199.24</v>
      </c>
      <c r="T15" s="56">
        <v>144.94999999999999</v>
      </c>
      <c r="U15" s="57">
        <v>168.65</v>
      </c>
      <c r="V15" s="57">
        <v>262.89</v>
      </c>
      <c r="W15" s="57">
        <v>343.8</v>
      </c>
      <c r="X15" s="9">
        <v>-1.565143824027071E-2</v>
      </c>
      <c r="Y15" s="8">
        <v>0.1031530025943435</v>
      </c>
      <c r="Z15" s="8">
        <v>0.11921800605973169</v>
      </c>
      <c r="AA15" s="8">
        <v>0.18635349928454481</v>
      </c>
    </row>
    <row r="16" spans="2:27" hidden="1" x14ac:dyDescent="0.3">
      <c r="B16" s="3" t="s">
        <v>450</v>
      </c>
      <c r="C16" s="3" t="s">
        <v>526</v>
      </c>
      <c r="D16" s="3" t="s">
        <v>532</v>
      </c>
      <c r="E16" s="3" t="s">
        <v>593</v>
      </c>
      <c r="F16" s="14">
        <v>26.2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4">
        <v>-15.45</v>
      </c>
      <c r="S16" s="4">
        <v>-23.87</v>
      </c>
      <c r="T16" s="4">
        <v>-19.66</v>
      </c>
      <c r="U16" s="4">
        <v>-23.14</v>
      </c>
      <c r="V16" s="6">
        <v>-30.09</v>
      </c>
      <c r="W16" s="6">
        <v>-49.18</v>
      </c>
      <c r="X16" s="7"/>
      <c r="Y16" s="3"/>
      <c r="Z16" s="8">
        <v>0.17827569410618599</v>
      </c>
      <c r="AA16" s="8">
        <v>0.26157503100454732</v>
      </c>
    </row>
    <row r="17" spans="2:27" hidden="1" x14ac:dyDescent="0.3">
      <c r="B17" s="3" t="s">
        <v>133</v>
      </c>
      <c r="C17" s="3" t="s">
        <v>526</v>
      </c>
      <c r="D17" s="3" t="s">
        <v>594</v>
      </c>
      <c r="E17" s="3" t="s">
        <v>593</v>
      </c>
      <c r="F17" s="14">
        <v>20.100000000000001</v>
      </c>
      <c r="G17" s="4">
        <v>-60.3</v>
      </c>
      <c r="H17" s="4">
        <v>0</v>
      </c>
      <c r="I17" s="4">
        <v>46</v>
      </c>
      <c r="J17" s="4">
        <v>8.1</v>
      </c>
      <c r="K17" s="4">
        <v>6.4</v>
      </c>
      <c r="L17" s="4">
        <v>-11.6</v>
      </c>
      <c r="M17" s="4">
        <v>13.8</v>
      </c>
      <c r="N17" s="4">
        <v>-1.3</v>
      </c>
      <c r="O17" s="4">
        <v>-19.7</v>
      </c>
      <c r="P17" s="4">
        <v>8.6999999999999993</v>
      </c>
      <c r="Q17" s="6">
        <v>83.3</v>
      </c>
      <c r="R17" s="6">
        <v>122.2</v>
      </c>
      <c r="S17" s="6">
        <v>139.1</v>
      </c>
      <c r="T17" s="6">
        <v>122</v>
      </c>
      <c r="U17" s="4">
        <v>112.9</v>
      </c>
      <c r="V17" s="6">
        <v>176.1</v>
      </c>
      <c r="W17" s="6">
        <v>249.5</v>
      </c>
      <c r="X17" s="11">
        <v>0.32069063119162178</v>
      </c>
      <c r="Y17" s="10">
        <v>6.343763394770674E-2</v>
      </c>
      <c r="Z17" s="8">
        <v>0.10862555421201139</v>
      </c>
      <c r="AA17" s="8">
        <v>0.2006907834939102</v>
      </c>
    </row>
    <row r="18" spans="2:27" x14ac:dyDescent="0.3">
      <c r="B18" s="12" t="s">
        <v>129</v>
      </c>
      <c r="C18" s="3" t="s">
        <v>526</v>
      </c>
      <c r="D18" s="3" t="s">
        <v>534</v>
      </c>
      <c r="E18" s="3" t="s">
        <v>528</v>
      </c>
      <c r="F18" s="14">
        <v>18.100000000000001</v>
      </c>
      <c r="G18" s="56">
        <v>64</v>
      </c>
      <c r="H18" s="56">
        <v>3.1</v>
      </c>
      <c r="I18" s="56">
        <v>54.7</v>
      </c>
      <c r="J18" s="56">
        <v>87.8</v>
      </c>
      <c r="K18" s="57">
        <v>103.4</v>
      </c>
      <c r="L18" s="57">
        <v>29.7</v>
      </c>
      <c r="M18" s="56">
        <v>73.599999999999994</v>
      </c>
      <c r="N18" s="57">
        <v>141.19999999999999</v>
      </c>
      <c r="O18" s="57">
        <v>150.30000000000001</v>
      </c>
      <c r="P18" s="57">
        <v>105.3</v>
      </c>
      <c r="Q18" s="57">
        <v>147.9</v>
      </c>
      <c r="R18" s="56">
        <v>184.8</v>
      </c>
      <c r="S18" s="56">
        <v>131</v>
      </c>
      <c r="T18" s="56">
        <v>23.7</v>
      </c>
      <c r="U18" s="56">
        <v>145.6</v>
      </c>
      <c r="V18" s="57">
        <v>239.3</v>
      </c>
      <c r="W18" s="57">
        <v>228.9</v>
      </c>
      <c r="X18" s="9">
        <v>-0.14340949033391909</v>
      </c>
      <c r="Y18" s="10">
        <v>-4.7189167008617749E-3</v>
      </c>
      <c r="Z18" s="8">
        <v>0.1123479694908267</v>
      </c>
      <c r="AA18" s="8">
        <v>0.1814306893995552</v>
      </c>
    </row>
    <row r="19" spans="2:27" x14ac:dyDescent="0.3">
      <c r="B19" s="12" t="s">
        <v>191</v>
      </c>
      <c r="C19" s="3" t="s">
        <v>526</v>
      </c>
      <c r="D19" s="3" t="s">
        <v>550</v>
      </c>
      <c r="E19" s="3" t="s">
        <v>528</v>
      </c>
      <c r="F19" s="14">
        <v>14.4</v>
      </c>
      <c r="G19" s="56">
        <v>55.86</v>
      </c>
      <c r="H19" s="56">
        <v>63.06</v>
      </c>
      <c r="I19" s="56">
        <v>70.67</v>
      </c>
      <c r="J19" s="56">
        <v>83.24</v>
      </c>
      <c r="K19" s="57">
        <v>85.14</v>
      </c>
      <c r="L19" s="56">
        <v>57.76</v>
      </c>
      <c r="M19" s="56">
        <v>49.68</v>
      </c>
      <c r="N19" s="56">
        <v>48.66</v>
      </c>
      <c r="O19" s="56">
        <v>45.17</v>
      </c>
      <c r="P19" s="56">
        <v>33.99</v>
      </c>
      <c r="Q19" s="56">
        <v>48.88</v>
      </c>
      <c r="R19" s="56">
        <v>55.76</v>
      </c>
      <c r="S19" s="56">
        <v>46.42</v>
      </c>
      <c r="T19" s="56">
        <v>32.9</v>
      </c>
      <c r="U19" s="56">
        <v>39.869999999999997</v>
      </c>
      <c r="V19" s="56">
        <v>50.58</v>
      </c>
      <c r="W19" s="57">
        <v>70.83</v>
      </c>
      <c r="X19" s="9">
        <v>-5.8902999189408556E-3</v>
      </c>
      <c r="Y19" s="10">
        <v>-4.8978038704066251E-2</v>
      </c>
      <c r="Z19" s="10">
        <v>-2.9608459559874341E-2</v>
      </c>
      <c r="AA19" s="8">
        <v>0.14378276491724121</v>
      </c>
    </row>
    <row r="20" spans="2:27" x14ac:dyDescent="0.3">
      <c r="B20" s="12" t="s">
        <v>298</v>
      </c>
      <c r="C20" s="3" t="s">
        <v>526</v>
      </c>
      <c r="D20" s="3" t="s">
        <v>531</v>
      </c>
      <c r="E20" s="3" t="s">
        <v>528</v>
      </c>
      <c r="F20" s="14">
        <v>12.3</v>
      </c>
      <c r="G20" s="56">
        <v>21.43</v>
      </c>
      <c r="H20" s="56">
        <v>19.18</v>
      </c>
      <c r="I20" s="56">
        <v>18.399999999999999</v>
      </c>
      <c r="J20" s="56">
        <v>5.47</v>
      </c>
      <c r="K20" s="56">
        <v>25.38</v>
      </c>
      <c r="L20" s="56">
        <v>23.65</v>
      </c>
      <c r="M20" s="56">
        <v>24.08</v>
      </c>
      <c r="N20" s="57">
        <v>25.4</v>
      </c>
      <c r="O20" s="56">
        <v>34.28</v>
      </c>
      <c r="P20" s="57">
        <v>35.1</v>
      </c>
      <c r="Q20" s="56">
        <v>33.6</v>
      </c>
      <c r="R20" s="57">
        <v>38.590000000000003</v>
      </c>
      <c r="S20" s="56">
        <v>45.05</v>
      </c>
      <c r="T20" s="57">
        <v>53.8</v>
      </c>
      <c r="U20" s="57">
        <v>59.97</v>
      </c>
      <c r="V20" s="57">
        <v>67.27</v>
      </c>
      <c r="W20" s="57">
        <v>72.75</v>
      </c>
      <c r="X20" s="11">
        <v>0.1227517395299986</v>
      </c>
      <c r="Y20" s="8">
        <v>0.15417446211412539</v>
      </c>
      <c r="Z20" s="8">
        <v>0.14528139405298601</v>
      </c>
      <c r="AA20" s="8">
        <v>0.12251758149409531</v>
      </c>
    </row>
    <row r="21" spans="2:27" x14ac:dyDescent="0.3">
      <c r="B21" s="12" t="s">
        <v>81</v>
      </c>
      <c r="C21" s="3" t="s">
        <v>526</v>
      </c>
      <c r="D21" s="3" t="s">
        <v>579</v>
      </c>
      <c r="E21" s="3" t="s">
        <v>528</v>
      </c>
      <c r="F21" s="14">
        <v>12.1</v>
      </c>
      <c r="G21" s="56">
        <v>358.87</v>
      </c>
      <c r="H21" s="56">
        <v>463.79</v>
      </c>
      <c r="I21" s="56">
        <v>436.44</v>
      </c>
      <c r="J21" s="56">
        <v>458.11</v>
      </c>
      <c r="K21" s="56">
        <v>444.11</v>
      </c>
      <c r="L21" s="56">
        <v>434</v>
      </c>
      <c r="M21" s="56">
        <v>384</v>
      </c>
      <c r="N21" s="56">
        <v>362</v>
      </c>
      <c r="O21" s="56">
        <v>221</v>
      </c>
      <c r="P21" s="56">
        <v>320</v>
      </c>
      <c r="Q21" s="56">
        <v>275</v>
      </c>
      <c r="R21" s="57">
        <v>578</v>
      </c>
      <c r="S21" s="56">
        <v>226</v>
      </c>
      <c r="T21" s="57">
        <v>598</v>
      </c>
      <c r="U21" s="57">
        <v>559</v>
      </c>
      <c r="V21" s="56">
        <v>614</v>
      </c>
      <c r="W21" s="57">
        <v>468</v>
      </c>
      <c r="X21" s="11">
        <v>0.19871336669049319</v>
      </c>
      <c r="Y21" s="8">
        <v>0.16935002981514599</v>
      </c>
      <c r="Z21" s="10">
        <v>1.8357980622131679E-2</v>
      </c>
      <c r="AA21" s="8">
        <v>0.12118177265898861</v>
      </c>
    </row>
    <row r="22" spans="2:27" x14ac:dyDescent="0.3">
      <c r="B22" s="12" t="s">
        <v>22</v>
      </c>
      <c r="C22" s="3" t="s">
        <v>526</v>
      </c>
      <c r="D22" s="3" t="s">
        <v>533</v>
      </c>
      <c r="E22" s="3" t="s">
        <v>528</v>
      </c>
      <c r="F22" s="14">
        <v>12</v>
      </c>
      <c r="G22" s="56">
        <v>42.22</v>
      </c>
      <c r="H22" s="56">
        <v>-78</v>
      </c>
      <c r="I22" s="56">
        <v>-148</v>
      </c>
      <c r="J22" s="56">
        <v>-307</v>
      </c>
      <c r="K22" s="56">
        <v>57</v>
      </c>
      <c r="L22" s="57">
        <v>-151</v>
      </c>
      <c r="M22" s="56">
        <v>-117</v>
      </c>
      <c r="N22" s="56">
        <v>194</v>
      </c>
      <c r="O22" s="56">
        <v>156</v>
      </c>
      <c r="P22" s="57">
        <v>137</v>
      </c>
      <c r="Q22" s="57">
        <v>228</v>
      </c>
      <c r="R22" s="57">
        <v>341</v>
      </c>
      <c r="S22" s="57">
        <v>541</v>
      </c>
      <c r="T22" s="57">
        <v>278</v>
      </c>
      <c r="U22" s="57">
        <v>381</v>
      </c>
      <c r="V22" s="56">
        <v>494</v>
      </c>
      <c r="W22" s="57">
        <v>745</v>
      </c>
      <c r="X22" s="11">
        <v>0.1130713712910987</v>
      </c>
      <c r="Y22" s="8">
        <v>0.11023054755043241</v>
      </c>
      <c r="Z22" s="10">
        <v>9.9286177806618969E-2</v>
      </c>
      <c r="AA22" s="8">
        <v>0.1204250295159386</v>
      </c>
    </row>
    <row r="23" spans="2:27" x14ac:dyDescent="0.3">
      <c r="B23" s="12" t="s">
        <v>111</v>
      </c>
      <c r="C23" s="3" t="s">
        <v>526</v>
      </c>
      <c r="D23" s="3" t="s">
        <v>546</v>
      </c>
      <c r="E23" s="3" t="s">
        <v>528</v>
      </c>
      <c r="F23" s="14">
        <v>12</v>
      </c>
      <c r="G23" s="56">
        <v>-156</v>
      </c>
      <c r="H23" s="56">
        <v>345</v>
      </c>
      <c r="I23" s="56">
        <v>342</v>
      </c>
      <c r="J23" s="56">
        <v>264</v>
      </c>
      <c r="K23" s="57">
        <v>116</v>
      </c>
      <c r="L23" s="56">
        <v>182</v>
      </c>
      <c r="M23" s="56">
        <v>159</v>
      </c>
      <c r="N23" s="56">
        <v>156</v>
      </c>
      <c r="O23" s="56">
        <v>115</v>
      </c>
      <c r="P23" s="56">
        <v>201</v>
      </c>
      <c r="Q23" s="57">
        <v>268.5</v>
      </c>
      <c r="R23" s="57">
        <v>250</v>
      </c>
      <c r="S23" s="56">
        <v>3.5</v>
      </c>
      <c r="T23" s="56">
        <v>267</v>
      </c>
      <c r="U23" s="56">
        <v>264.25</v>
      </c>
      <c r="V23" s="56">
        <v>246</v>
      </c>
      <c r="W23" s="57">
        <v>97</v>
      </c>
      <c r="X23" s="9">
        <v>9.1286307053941806E-2</v>
      </c>
      <c r="Y23" s="10">
        <v>-5.3865652724968127E-3</v>
      </c>
      <c r="Z23" s="10">
        <v>-5.0971647021343944E-3</v>
      </c>
      <c r="AA23" s="8">
        <v>0.11975664425232151</v>
      </c>
    </row>
    <row r="24" spans="2:27" x14ac:dyDescent="0.3">
      <c r="B24" s="12" t="s">
        <v>225</v>
      </c>
      <c r="C24" s="3" t="s">
        <v>526</v>
      </c>
      <c r="D24" s="3" t="s">
        <v>541</v>
      </c>
      <c r="E24" s="3" t="s">
        <v>528</v>
      </c>
      <c r="F24" s="14">
        <v>10.9</v>
      </c>
      <c r="G24" s="56">
        <v>142.43</v>
      </c>
      <c r="H24" s="56">
        <v>164.75</v>
      </c>
      <c r="I24" s="56">
        <v>218.06</v>
      </c>
      <c r="J24" s="56">
        <v>166.57</v>
      </c>
      <c r="K24" s="56">
        <v>150.02000000000001</v>
      </c>
      <c r="L24" s="56">
        <v>172.14</v>
      </c>
      <c r="M24" s="56">
        <v>138.49</v>
      </c>
      <c r="N24" s="56">
        <v>122.19</v>
      </c>
      <c r="O24" s="56">
        <v>166.11</v>
      </c>
      <c r="P24" s="56">
        <v>36.54</v>
      </c>
      <c r="Q24" s="56">
        <v>72.09</v>
      </c>
      <c r="R24" s="56">
        <v>73.86</v>
      </c>
      <c r="S24" s="56">
        <v>97.63</v>
      </c>
      <c r="T24" s="57">
        <v>65.510000000000005</v>
      </c>
      <c r="U24" s="56">
        <v>80.569999999999993</v>
      </c>
      <c r="V24" s="57">
        <v>123.11</v>
      </c>
      <c r="W24" s="57">
        <v>137.69999999999999</v>
      </c>
      <c r="X24" s="11">
        <v>0.10341996287305449</v>
      </c>
      <c r="Y24" s="10">
        <v>2.7435374809925861E-2</v>
      </c>
      <c r="Z24" s="8">
        <v>0.1550839185061561</v>
      </c>
      <c r="AA24" s="8">
        <v>0.1092361376151791</v>
      </c>
    </row>
    <row r="25" spans="2:27" x14ac:dyDescent="0.3">
      <c r="B25" s="12" t="s">
        <v>486</v>
      </c>
      <c r="C25" s="3" t="s">
        <v>526</v>
      </c>
      <c r="D25" s="3" t="s">
        <v>543</v>
      </c>
      <c r="E25" s="3" t="s">
        <v>528</v>
      </c>
      <c r="F25" s="5">
        <v>9.9</v>
      </c>
      <c r="G25" s="56">
        <v>-0.28999999999999998</v>
      </c>
      <c r="H25" s="56">
        <v>-6.39</v>
      </c>
      <c r="I25" s="56">
        <v>-24.9</v>
      </c>
      <c r="J25" s="56">
        <v>-21.37</v>
      </c>
      <c r="K25" s="57">
        <v>-15.02</v>
      </c>
      <c r="L25" s="57">
        <v>-23.85</v>
      </c>
      <c r="M25" s="56">
        <v>-20.91</v>
      </c>
      <c r="N25" s="56">
        <v>-14.66</v>
      </c>
      <c r="O25" s="56">
        <v>-8.74</v>
      </c>
      <c r="P25" s="56">
        <v>-16.62</v>
      </c>
      <c r="Q25" s="56">
        <v>-10.7</v>
      </c>
      <c r="R25" s="56">
        <v>-7.12</v>
      </c>
      <c r="S25" s="56">
        <v>-0.04</v>
      </c>
      <c r="T25" s="56">
        <v>-12.07</v>
      </c>
      <c r="U25" s="56">
        <v>-9.84</v>
      </c>
      <c r="V25" s="56">
        <v>-7.48</v>
      </c>
      <c r="W25" s="56">
        <v>-2.95</v>
      </c>
      <c r="X25" s="9">
        <v>-0.13196055684454741</v>
      </c>
      <c r="Y25" s="10">
        <v>-2.8733711994654128E-2</v>
      </c>
      <c r="Z25" s="10">
        <v>1.2383900928792491E-2</v>
      </c>
      <c r="AA25" s="10">
        <v>9.8878695208970635E-2</v>
      </c>
    </row>
    <row r="26" spans="2:27" x14ac:dyDescent="0.3">
      <c r="B26" s="12" t="s">
        <v>285</v>
      </c>
      <c r="C26" s="3" t="s">
        <v>526</v>
      </c>
      <c r="D26" s="3" t="s">
        <v>569</v>
      </c>
      <c r="E26" s="3" t="s">
        <v>528</v>
      </c>
      <c r="F26" s="5">
        <v>9.1</v>
      </c>
      <c r="G26" s="56">
        <v>75</v>
      </c>
      <c r="H26" s="56">
        <v>74.5</v>
      </c>
      <c r="I26" s="56">
        <v>103.8</v>
      </c>
      <c r="J26" s="56">
        <v>120.7</v>
      </c>
      <c r="K26" s="57">
        <v>122.2</v>
      </c>
      <c r="L26" s="57">
        <v>146.4</v>
      </c>
      <c r="M26" s="57">
        <v>208.6</v>
      </c>
      <c r="N26" s="56">
        <v>162</v>
      </c>
      <c r="O26" s="56">
        <v>114</v>
      </c>
      <c r="P26" s="56">
        <v>158</v>
      </c>
      <c r="Q26" s="56">
        <v>193</v>
      </c>
      <c r="R26" s="56">
        <v>122</v>
      </c>
      <c r="S26" s="56">
        <v>53</v>
      </c>
      <c r="T26" s="56">
        <v>69</v>
      </c>
      <c r="U26" s="56">
        <v>129</v>
      </c>
      <c r="V26" s="56">
        <v>145</v>
      </c>
      <c r="W26" s="56">
        <v>89</v>
      </c>
      <c r="X26" s="9">
        <v>-0.1692015209125475</v>
      </c>
      <c r="Y26" s="10">
        <v>-0.1464530892448512</v>
      </c>
      <c r="Z26" s="10">
        <v>6.1662198391420953E-2</v>
      </c>
      <c r="AA26" s="10">
        <v>9.0909090909090828E-2</v>
      </c>
    </row>
    <row r="27" spans="2:27" x14ac:dyDescent="0.3">
      <c r="B27" s="12" t="s">
        <v>349</v>
      </c>
      <c r="C27" s="3" t="s">
        <v>526</v>
      </c>
      <c r="D27" s="3" t="s">
        <v>536</v>
      </c>
      <c r="E27" s="3" t="s">
        <v>528</v>
      </c>
      <c r="F27" s="5">
        <v>8.6</v>
      </c>
      <c r="G27" s="56">
        <v>66.849999999999994</v>
      </c>
      <c r="H27" s="56">
        <v>45.23</v>
      </c>
      <c r="I27" s="56">
        <v>43.93</v>
      </c>
      <c r="J27" s="56">
        <v>33.89</v>
      </c>
      <c r="K27" s="56">
        <v>52.88</v>
      </c>
      <c r="L27" s="56">
        <v>39.74</v>
      </c>
      <c r="M27" s="56">
        <v>37.450000000000003</v>
      </c>
      <c r="N27" s="56">
        <v>39.93</v>
      </c>
      <c r="O27" s="56">
        <v>53.69</v>
      </c>
      <c r="P27" s="56">
        <v>54.39</v>
      </c>
      <c r="Q27" s="56">
        <v>48.32</v>
      </c>
      <c r="R27" s="56">
        <v>47.34</v>
      </c>
      <c r="S27" s="56">
        <v>38.15</v>
      </c>
      <c r="T27" s="56">
        <v>47.36</v>
      </c>
      <c r="U27" s="56">
        <v>64.83</v>
      </c>
      <c r="V27" s="56">
        <v>54.21</v>
      </c>
      <c r="W27" s="56">
        <v>55.78</v>
      </c>
      <c r="X27" s="9">
        <v>-3.7353878852284687E-2</v>
      </c>
      <c r="Y27" s="10">
        <v>9.1129878015123955E-2</v>
      </c>
      <c r="Z27" s="10">
        <v>3.475313638203148E-2</v>
      </c>
      <c r="AA27" s="10">
        <v>8.6189195795648876E-2</v>
      </c>
    </row>
    <row r="28" spans="2:27" hidden="1" x14ac:dyDescent="0.3">
      <c r="B28" s="3" t="s">
        <v>163</v>
      </c>
      <c r="C28" s="3" t="s">
        <v>526</v>
      </c>
      <c r="D28" s="3" t="s">
        <v>588</v>
      </c>
      <c r="E28" s="3" t="s">
        <v>593</v>
      </c>
      <c r="F28" s="5">
        <v>9.5</v>
      </c>
      <c r="G28" s="4">
        <v>351.5</v>
      </c>
      <c r="H28" s="4">
        <v>457.3</v>
      </c>
      <c r="I28" s="4">
        <v>245.7</v>
      </c>
      <c r="J28" s="4">
        <v>349.1</v>
      </c>
      <c r="K28" s="4">
        <v>341.8</v>
      </c>
      <c r="L28" s="4">
        <v>444.6</v>
      </c>
      <c r="M28" s="4">
        <v>188.3</v>
      </c>
      <c r="N28" s="4">
        <v>310.7</v>
      </c>
      <c r="O28" s="4">
        <v>376.8</v>
      </c>
      <c r="P28" s="6">
        <v>606.79999999999995</v>
      </c>
      <c r="Q28" s="4">
        <v>184.2</v>
      </c>
      <c r="R28" s="4">
        <v>318.2</v>
      </c>
      <c r="S28" s="4">
        <v>132.9</v>
      </c>
      <c r="T28" s="4">
        <v>567.9</v>
      </c>
      <c r="U28" s="4">
        <v>-42</v>
      </c>
      <c r="V28" s="4">
        <v>243.7</v>
      </c>
      <c r="W28" s="4">
        <v>219</v>
      </c>
      <c r="X28" s="9">
        <v>-3.1317929313259718E-2</v>
      </c>
      <c r="Y28" s="10">
        <v>-0.18799867021276601</v>
      </c>
      <c r="Z28" s="10">
        <v>-7.6253838280450403E-2</v>
      </c>
      <c r="AA28" s="10">
        <v>9.5401662049861446E-2</v>
      </c>
    </row>
    <row r="29" spans="2:27" x14ac:dyDescent="0.3">
      <c r="B29" s="12" t="s">
        <v>273</v>
      </c>
      <c r="C29" s="3" t="s">
        <v>526</v>
      </c>
      <c r="D29" s="3" t="s">
        <v>535</v>
      </c>
      <c r="E29" s="3" t="s">
        <v>528</v>
      </c>
      <c r="F29" s="5">
        <v>8.3000000000000007</v>
      </c>
      <c r="G29" s="56">
        <v>-110.76</v>
      </c>
      <c r="H29" s="56">
        <v>-100.09</v>
      </c>
      <c r="I29" s="56">
        <v>11.87</v>
      </c>
      <c r="J29" s="56">
        <v>-70.040000000000006</v>
      </c>
      <c r="K29" s="56">
        <v>-20.309999999999999</v>
      </c>
      <c r="L29" s="56">
        <v>5.9</v>
      </c>
      <c r="M29" s="56">
        <v>80.3</v>
      </c>
      <c r="N29" s="56">
        <v>145.36000000000001</v>
      </c>
      <c r="O29" s="57">
        <v>208.29</v>
      </c>
      <c r="P29" s="57">
        <v>273.73</v>
      </c>
      <c r="Q29" s="57">
        <v>297.61</v>
      </c>
      <c r="R29" s="57">
        <v>293.95</v>
      </c>
      <c r="S29" s="57">
        <v>340.27</v>
      </c>
      <c r="T29" s="56">
        <v>357.55</v>
      </c>
      <c r="U29" s="56">
        <v>383.53</v>
      </c>
      <c r="V29" s="56">
        <v>417.93</v>
      </c>
      <c r="W29" s="56">
        <v>465</v>
      </c>
      <c r="X29" s="9">
        <v>6.9527854275191814E-2</v>
      </c>
      <c r="Y29" s="10">
        <v>6.6636678093347168E-2</v>
      </c>
      <c r="Z29" s="10">
        <v>9.0147604159092509E-2</v>
      </c>
      <c r="AA29" s="10">
        <v>8.3193266101061925E-2</v>
      </c>
    </row>
    <row r="30" spans="2:27" x14ac:dyDescent="0.3">
      <c r="B30" s="12" t="s">
        <v>31</v>
      </c>
      <c r="C30" s="3" t="s">
        <v>526</v>
      </c>
      <c r="D30" s="3" t="s">
        <v>538</v>
      </c>
      <c r="E30" s="3" t="s">
        <v>528</v>
      </c>
      <c r="F30" s="5">
        <v>8.3000000000000007</v>
      </c>
      <c r="G30" s="56">
        <v>38.700000000000003</v>
      </c>
      <c r="H30" s="56">
        <v>-45.7</v>
      </c>
      <c r="I30" s="56">
        <v>29.9</v>
      </c>
      <c r="J30" s="56">
        <v>78.7</v>
      </c>
      <c r="K30" s="57">
        <v>161.19999999999999</v>
      </c>
      <c r="L30" s="57">
        <v>146.5</v>
      </c>
      <c r="M30" s="57">
        <v>222.4</v>
      </c>
      <c r="N30" s="57">
        <v>254.9</v>
      </c>
      <c r="O30" s="57">
        <v>293.8</v>
      </c>
      <c r="P30" s="56">
        <v>206.1</v>
      </c>
      <c r="Q30" s="57">
        <v>333.7</v>
      </c>
      <c r="R30" s="57">
        <v>383.2</v>
      </c>
      <c r="S30" s="57">
        <v>461.5</v>
      </c>
      <c r="T30" s="56">
        <v>294.39999999999998</v>
      </c>
      <c r="U30" s="56">
        <v>446.6</v>
      </c>
      <c r="V30" s="57">
        <v>548.29999999999995</v>
      </c>
      <c r="W30" s="56">
        <v>606.9</v>
      </c>
      <c r="X30" s="9">
        <v>6.3777537016973529E-2</v>
      </c>
      <c r="Y30" s="10">
        <v>7.6656708310700816E-2</v>
      </c>
      <c r="Z30" s="8">
        <v>0.1041180551176135</v>
      </c>
      <c r="AA30" s="10">
        <v>8.3047749600182685E-2</v>
      </c>
    </row>
    <row r="31" spans="2:27" x14ac:dyDescent="0.3">
      <c r="B31" s="12" t="s">
        <v>257</v>
      </c>
      <c r="C31" s="3" t="s">
        <v>526</v>
      </c>
      <c r="D31" s="3" t="s">
        <v>544</v>
      </c>
      <c r="E31" s="3" t="s">
        <v>528</v>
      </c>
      <c r="F31" s="5">
        <v>8</v>
      </c>
      <c r="G31" s="56">
        <v>4.3099999999999996</v>
      </c>
      <c r="H31" s="56">
        <v>-1.95</v>
      </c>
      <c r="I31" s="56">
        <v>-5.6</v>
      </c>
      <c r="J31" s="56">
        <v>-1.0900000000000001</v>
      </c>
      <c r="K31" s="56">
        <v>9.67</v>
      </c>
      <c r="L31" s="57">
        <v>0.14000000000000001</v>
      </c>
      <c r="M31" s="57">
        <v>4.62</v>
      </c>
      <c r="N31" s="57">
        <v>13.48</v>
      </c>
      <c r="O31" s="57">
        <v>15</v>
      </c>
      <c r="P31" s="57">
        <v>9.25</v>
      </c>
      <c r="Q31" s="57">
        <v>12.49</v>
      </c>
      <c r="R31" s="57">
        <v>19.45</v>
      </c>
      <c r="S31" s="56">
        <v>15.73</v>
      </c>
      <c r="T31" s="56">
        <v>12.27</v>
      </c>
      <c r="U31" s="56">
        <v>16.52</v>
      </c>
      <c r="V31" s="56">
        <v>18.989999999999998</v>
      </c>
      <c r="W31" s="56">
        <v>20.81</v>
      </c>
      <c r="X31" s="9">
        <v>5.305692199578349E-2</v>
      </c>
      <c r="Y31" s="10">
        <v>6.7233900567233995E-2</v>
      </c>
      <c r="Z31" s="10">
        <v>-7.1908707206502784E-3</v>
      </c>
      <c r="AA31" s="10">
        <v>7.9987403558494874E-2</v>
      </c>
    </row>
    <row r="32" spans="2:27" x14ac:dyDescent="0.3">
      <c r="B32" s="12" t="s">
        <v>77</v>
      </c>
      <c r="C32" s="3" t="s">
        <v>526</v>
      </c>
      <c r="D32" s="3" t="s">
        <v>550</v>
      </c>
      <c r="E32" s="3" t="s">
        <v>528</v>
      </c>
      <c r="F32" s="5">
        <v>7.6</v>
      </c>
      <c r="G32" s="56">
        <v>86</v>
      </c>
      <c r="H32" s="56">
        <v>225</v>
      </c>
      <c r="I32" s="56">
        <v>297</v>
      </c>
      <c r="J32" s="56">
        <v>357</v>
      </c>
      <c r="K32" s="57">
        <v>382</v>
      </c>
      <c r="L32" s="56">
        <v>295</v>
      </c>
      <c r="M32" s="56">
        <v>294</v>
      </c>
      <c r="N32" s="56">
        <v>278</v>
      </c>
      <c r="O32" s="56">
        <v>333</v>
      </c>
      <c r="P32" s="56">
        <v>147</v>
      </c>
      <c r="Q32" s="56">
        <v>160</v>
      </c>
      <c r="R32" s="56">
        <v>186</v>
      </c>
      <c r="S32" s="56">
        <v>235</v>
      </c>
      <c r="T32" s="56">
        <v>151</v>
      </c>
      <c r="U32" s="56">
        <v>196</v>
      </c>
      <c r="V32" s="56">
        <v>195</v>
      </c>
      <c r="W32" s="56">
        <v>294</v>
      </c>
      <c r="X32" s="9">
        <v>5.494505494505475E-3</v>
      </c>
      <c r="Y32" s="10">
        <v>4.9180327868852507E-2</v>
      </c>
      <c r="Z32" s="10">
        <v>1.171875E-2</v>
      </c>
      <c r="AA32" s="10">
        <v>7.5933075933075855E-2</v>
      </c>
    </row>
    <row r="33" spans="2:27" x14ac:dyDescent="0.3">
      <c r="B33" s="12" t="s">
        <v>59</v>
      </c>
      <c r="C33" s="3" t="s">
        <v>526</v>
      </c>
      <c r="D33" s="3" t="s">
        <v>574</v>
      </c>
      <c r="E33" s="3" t="s">
        <v>528</v>
      </c>
      <c r="F33" s="5">
        <v>6.7</v>
      </c>
      <c r="G33" s="56">
        <v>1260</v>
      </c>
      <c r="H33" s="56">
        <v>1009</v>
      </c>
      <c r="I33" s="56">
        <v>1369</v>
      </c>
      <c r="J33" s="56">
        <v>334</v>
      </c>
      <c r="K33" s="56">
        <v>1459</v>
      </c>
      <c r="L33" s="56">
        <v>1095</v>
      </c>
      <c r="M33" s="56">
        <v>891</v>
      </c>
      <c r="N33" s="57">
        <v>1304</v>
      </c>
      <c r="O33" s="56">
        <v>873</v>
      </c>
      <c r="P33" s="56">
        <v>1140</v>
      </c>
      <c r="Q33" s="56">
        <v>1000</v>
      </c>
      <c r="R33" s="57">
        <v>1774</v>
      </c>
      <c r="S33" s="56">
        <v>884</v>
      </c>
      <c r="T33" s="56">
        <v>1329</v>
      </c>
      <c r="U33" s="56">
        <v>1062</v>
      </c>
      <c r="V33" s="56">
        <v>1531</v>
      </c>
      <c r="W33" s="56">
        <v>1208</v>
      </c>
      <c r="X33" s="9">
        <v>3.9391413088786909E-2</v>
      </c>
      <c r="Y33" s="10">
        <v>1.2432324042510601E-2</v>
      </c>
      <c r="Z33" s="10">
        <v>-4.8128342245989282E-2</v>
      </c>
      <c r="AA33" s="10">
        <v>6.7415730337078594E-2</v>
      </c>
    </row>
    <row r="34" spans="2:27" x14ac:dyDescent="0.3">
      <c r="B34" s="12" t="s">
        <v>171</v>
      </c>
      <c r="C34" s="3" t="s">
        <v>526</v>
      </c>
      <c r="D34" s="3" t="s">
        <v>543</v>
      </c>
      <c r="E34" s="3" t="s">
        <v>528</v>
      </c>
      <c r="F34" s="5">
        <v>6.6</v>
      </c>
      <c r="G34" s="56">
        <v>63.7</v>
      </c>
      <c r="H34" s="56">
        <v>72.5</v>
      </c>
      <c r="I34" s="56">
        <v>97.6</v>
      </c>
      <c r="J34" s="56">
        <v>82.1</v>
      </c>
      <c r="K34" s="56">
        <v>71.599999999999994</v>
      </c>
      <c r="L34" s="56">
        <v>84.4</v>
      </c>
      <c r="M34" s="56">
        <v>102</v>
      </c>
      <c r="N34" s="56">
        <v>87.5</v>
      </c>
      <c r="O34" s="56">
        <v>82.5</v>
      </c>
      <c r="P34" s="56">
        <v>97.9</v>
      </c>
      <c r="Q34" s="56">
        <v>111.7</v>
      </c>
      <c r="R34" s="56">
        <v>91.2</v>
      </c>
      <c r="S34" s="56">
        <v>85.7</v>
      </c>
      <c r="T34" s="56">
        <v>105</v>
      </c>
      <c r="U34" s="56">
        <v>138.69999999999999</v>
      </c>
      <c r="V34" s="56">
        <v>113.3</v>
      </c>
      <c r="W34" s="56">
        <v>114.8</v>
      </c>
      <c r="X34" s="9">
        <v>1.8369987063389551E-2</v>
      </c>
      <c r="Y34" s="10">
        <v>6.8597560975609762E-2</v>
      </c>
      <c r="Z34" s="10">
        <v>5.2543984783642417E-2</v>
      </c>
      <c r="AA34" s="10">
        <v>6.5733002032979382E-2</v>
      </c>
    </row>
    <row r="35" spans="2:27" x14ac:dyDescent="0.3">
      <c r="B35" s="12" t="s">
        <v>227</v>
      </c>
      <c r="C35" s="3" t="s">
        <v>526</v>
      </c>
      <c r="D35" s="3" t="s">
        <v>537</v>
      </c>
      <c r="E35" s="3" t="s">
        <v>528</v>
      </c>
      <c r="F35" s="5">
        <v>6.3</v>
      </c>
      <c r="G35" s="56">
        <v>38.5</v>
      </c>
      <c r="H35" s="56">
        <v>40.68</v>
      </c>
      <c r="I35" s="56">
        <v>41.41</v>
      </c>
      <c r="J35" s="56">
        <v>39.94</v>
      </c>
      <c r="K35" s="56">
        <v>42.91</v>
      </c>
      <c r="L35" s="56">
        <v>50.47</v>
      </c>
      <c r="M35" s="56">
        <v>53.04</v>
      </c>
      <c r="N35" s="56">
        <v>56.98</v>
      </c>
      <c r="O35" s="56">
        <v>62.56</v>
      </c>
      <c r="P35" s="56">
        <v>64.62</v>
      </c>
      <c r="Q35" s="56">
        <v>69.48</v>
      </c>
      <c r="R35" s="56">
        <v>75.849999999999994</v>
      </c>
      <c r="S35" s="56">
        <v>77.12</v>
      </c>
      <c r="T35" s="56">
        <v>80.52</v>
      </c>
      <c r="U35" s="56">
        <v>86.35</v>
      </c>
      <c r="V35" s="56">
        <v>93.81</v>
      </c>
      <c r="W35" s="56">
        <v>98.38</v>
      </c>
      <c r="X35" s="9">
        <v>5.5387187793918047E-2</v>
      </c>
      <c r="Y35" s="10">
        <v>5.5682080734065893E-2</v>
      </c>
      <c r="Z35" s="10">
        <v>5.6153076538269182E-2</v>
      </c>
      <c r="AA35" s="10">
        <v>6.2936648904677206E-2</v>
      </c>
    </row>
    <row r="36" spans="2:27" x14ac:dyDescent="0.3">
      <c r="B36" s="12" t="s">
        <v>380</v>
      </c>
      <c r="C36" s="3" t="s">
        <v>526</v>
      </c>
      <c r="D36" s="3" t="s">
        <v>537</v>
      </c>
      <c r="E36" s="3" t="s">
        <v>528</v>
      </c>
      <c r="F36" s="5">
        <v>5.6</v>
      </c>
      <c r="G36" s="56">
        <v>19.36</v>
      </c>
      <c r="H36" s="56">
        <v>20.079999999999998</v>
      </c>
      <c r="I36" s="56">
        <v>36.58</v>
      </c>
      <c r="J36" s="56">
        <v>20.91</v>
      </c>
      <c r="K36" s="56">
        <v>27.13</v>
      </c>
      <c r="L36" s="56">
        <v>21.29</v>
      </c>
      <c r="M36" s="56">
        <v>22.77</v>
      </c>
      <c r="N36" s="56">
        <v>24.43</v>
      </c>
      <c r="O36" s="56">
        <v>24.22</v>
      </c>
      <c r="P36" s="56">
        <v>25.98</v>
      </c>
      <c r="Q36" s="56">
        <v>26.56</v>
      </c>
      <c r="R36" s="56">
        <v>27.33</v>
      </c>
      <c r="S36" s="56">
        <v>28.99</v>
      </c>
      <c r="T36" s="56">
        <v>27.27</v>
      </c>
      <c r="U36" s="56">
        <v>28.83</v>
      </c>
      <c r="V36" s="56">
        <v>35.61</v>
      </c>
      <c r="W36" s="56">
        <v>35.74</v>
      </c>
      <c r="X36" s="9">
        <v>1.1850082674995431E-2</v>
      </c>
      <c r="Y36" s="10">
        <v>2.0608261461643181E-2</v>
      </c>
      <c r="Z36" s="10">
        <v>7.3652375022237981E-2</v>
      </c>
      <c r="AA36" s="10">
        <v>5.5923777961889083E-2</v>
      </c>
    </row>
    <row r="37" spans="2:27" x14ac:dyDescent="0.3">
      <c r="B37" s="12" t="s">
        <v>386</v>
      </c>
      <c r="C37" s="3" t="s">
        <v>526</v>
      </c>
      <c r="D37" s="3" t="s">
        <v>540</v>
      </c>
      <c r="E37" s="3" t="s">
        <v>528</v>
      </c>
      <c r="F37" s="5">
        <v>5.5</v>
      </c>
      <c r="G37" s="56">
        <v>152.5</v>
      </c>
      <c r="H37" s="56">
        <v>139.5</v>
      </c>
      <c r="I37" s="56">
        <v>141.4</v>
      </c>
      <c r="J37" s="56">
        <v>112.2</v>
      </c>
      <c r="K37" s="56">
        <v>88</v>
      </c>
      <c r="L37" s="56">
        <v>85.7</v>
      </c>
      <c r="M37" s="56">
        <v>87.2</v>
      </c>
      <c r="N37" s="56">
        <v>86</v>
      </c>
      <c r="O37" s="56">
        <v>66</v>
      </c>
      <c r="P37" s="56">
        <v>58.4</v>
      </c>
      <c r="Q37" s="56">
        <v>57.6</v>
      </c>
      <c r="R37" s="56">
        <v>76.599999999999994</v>
      </c>
      <c r="S37" s="56">
        <v>29</v>
      </c>
      <c r="T37" s="56">
        <v>62.9</v>
      </c>
      <c r="U37" s="56">
        <v>76</v>
      </c>
      <c r="V37" s="56">
        <v>70.5</v>
      </c>
      <c r="W37" s="56">
        <v>42.2</v>
      </c>
      <c r="X37" s="9">
        <v>2.030685920577624E-2</v>
      </c>
      <c r="Y37" s="10">
        <v>8.1379920389208271E-2</v>
      </c>
      <c r="Z37" s="10">
        <v>-2.4948875255623729E-2</v>
      </c>
      <c r="AA37" s="10">
        <v>5.5369127516778471E-2</v>
      </c>
    </row>
    <row r="38" spans="2:27" x14ac:dyDescent="0.3">
      <c r="B38" s="12" t="s">
        <v>83</v>
      </c>
      <c r="C38" s="3" t="s">
        <v>526</v>
      </c>
      <c r="D38" s="3" t="s">
        <v>542</v>
      </c>
      <c r="E38" s="3" t="s">
        <v>528</v>
      </c>
      <c r="F38" s="5">
        <v>5.5</v>
      </c>
      <c r="G38" s="56">
        <v>294.3</v>
      </c>
      <c r="H38" s="56">
        <v>502.9</v>
      </c>
      <c r="I38" s="56">
        <v>148</v>
      </c>
      <c r="J38" s="56">
        <v>161.69999999999999</v>
      </c>
      <c r="K38" s="56">
        <v>376.6</v>
      </c>
      <c r="L38" s="56">
        <v>527.5</v>
      </c>
      <c r="M38" s="56">
        <v>163.69999999999999</v>
      </c>
      <c r="N38" s="56">
        <v>223</v>
      </c>
      <c r="O38" s="56">
        <v>360.2</v>
      </c>
      <c r="P38" s="56">
        <v>581.20000000000005</v>
      </c>
      <c r="Q38" s="56">
        <v>239.4</v>
      </c>
      <c r="R38" s="56">
        <v>211.9</v>
      </c>
      <c r="S38" s="56">
        <v>418.5</v>
      </c>
      <c r="T38" s="57">
        <v>755.9</v>
      </c>
      <c r="U38" s="56">
        <v>262.5</v>
      </c>
      <c r="V38" s="56">
        <v>291.2</v>
      </c>
      <c r="W38" s="56">
        <v>513.29999999999995</v>
      </c>
      <c r="X38" s="11">
        <v>0.1203997243280497</v>
      </c>
      <c r="Y38" s="10">
        <v>1.4209263701789879E-2</v>
      </c>
      <c r="Z38" s="10">
        <v>4.809558466763697E-2</v>
      </c>
      <c r="AA38" s="10">
        <v>5.4857936462010308E-2</v>
      </c>
    </row>
    <row r="39" spans="2:27" x14ac:dyDescent="0.3">
      <c r="B39" s="12" t="s">
        <v>7</v>
      </c>
      <c r="C39" s="3" t="s">
        <v>526</v>
      </c>
      <c r="D39" s="3" t="s">
        <v>552</v>
      </c>
      <c r="E39" s="3" t="s">
        <v>560</v>
      </c>
      <c r="F39" s="5">
        <v>5.3</v>
      </c>
      <c r="G39" s="56">
        <v>3490</v>
      </c>
      <c r="H39" s="56">
        <v>3610</v>
      </c>
      <c r="I39" s="56">
        <v>3438</v>
      </c>
      <c r="J39" s="56">
        <v>3540</v>
      </c>
      <c r="K39" s="56">
        <v>3535</v>
      </c>
      <c r="L39" s="56">
        <v>4033</v>
      </c>
      <c r="M39" s="56">
        <v>4474</v>
      </c>
      <c r="N39" s="56">
        <v>4430</v>
      </c>
      <c r="O39" s="56">
        <v>3108</v>
      </c>
      <c r="P39" s="56">
        <v>2782</v>
      </c>
      <c r="Q39" s="56">
        <v>2648</v>
      </c>
      <c r="R39" s="56">
        <v>3032</v>
      </c>
      <c r="S39" s="56">
        <v>3123</v>
      </c>
      <c r="T39" s="56">
        <v>3296</v>
      </c>
      <c r="U39" s="56">
        <v>3122</v>
      </c>
      <c r="V39" s="56">
        <v>3513</v>
      </c>
      <c r="W39" s="56">
        <v>3817</v>
      </c>
      <c r="X39" s="9">
        <v>4.4367716875269643E-2</v>
      </c>
      <c r="Y39" s="10">
        <v>3.9176791470369343E-2</v>
      </c>
      <c r="Z39" s="10">
        <v>3.8256581563668179E-2</v>
      </c>
      <c r="AA39" s="10">
        <v>5.3163781216485351E-2</v>
      </c>
    </row>
    <row r="40" spans="2:27" x14ac:dyDescent="0.3">
      <c r="B40" s="12" t="s">
        <v>189</v>
      </c>
      <c r="C40" s="3" t="s">
        <v>526</v>
      </c>
      <c r="D40" s="3" t="s">
        <v>527</v>
      </c>
      <c r="E40" s="3" t="s">
        <v>528</v>
      </c>
      <c r="F40" s="5">
        <v>4.5</v>
      </c>
      <c r="G40" s="56">
        <v>-229.32</v>
      </c>
      <c r="H40" s="56">
        <v>-143</v>
      </c>
      <c r="I40" s="56">
        <v>-197</v>
      </c>
      <c r="J40" s="56">
        <v>-200</v>
      </c>
      <c r="K40" s="56">
        <v>-198</v>
      </c>
      <c r="L40" s="56">
        <v>-208</v>
      </c>
      <c r="M40" s="56">
        <v>-217</v>
      </c>
      <c r="N40" s="56">
        <v>-212</v>
      </c>
      <c r="O40" s="56">
        <v>-198</v>
      </c>
      <c r="P40" s="56">
        <v>-193</v>
      </c>
      <c r="Q40" s="56">
        <v>-198</v>
      </c>
      <c r="R40" s="56">
        <v>-196</v>
      </c>
      <c r="S40" s="56">
        <v>-199</v>
      </c>
      <c r="T40" s="56">
        <v>-211</v>
      </c>
      <c r="U40" s="56">
        <v>-230</v>
      </c>
      <c r="V40" s="56">
        <v>-222</v>
      </c>
      <c r="W40" s="56">
        <v>-238</v>
      </c>
      <c r="X40" s="9">
        <v>2.290076335877855E-2</v>
      </c>
      <c r="Y40" s="10">
        <v>3.9800995024875663E-2</v>
      </c>
      <c r="Z40" s="10">
        <v>3.1100478468899521E-2</v>
      </c>
      <c r="AA40" s="10">
        <v>4.5243619489559128E-2</v>
      </c>
    </row>
    <row r="41" spans="2:27" x14ac:dyDescent="0.3">
      <c r="B41" s="12" t="s">
        <v>35</v>
      </c>
      <c r="C41" s="3" t="s">
        <v>526</v>
      </c>
      <c r="D41" s="3" t="s">
        <v>552</v>
      </c>
      <c r="E41" s="3" t="s">
        <v>528</v>
      </c>
      <c r="F41" s="5">
        <v>4.2</v>
      </c>
      <c r="G41" s="56">
        <v>596</v>
      </c>
      <c r="H41" s="56">
        <v>301</v>
      </c>
      <c r="I41" s="56">
        <v>410</v>
      </c>
      <c r="J41" s="56">
        <v>581</v>
      </c>
      <c r="K41" s="56">
        <v>741</v>
      </c>
      <c r="L41" s="56">
        <v>444</v>
      </c>
      <c r="M41" s="56">
        <v>547</v>
      </c>
      <c r="N41" s="56">
        <v>671</v>
      </c>
      <c r="O41" s="56">
        <v>804</v>
      </c>
      <c r="P41" s="56">
        <v>574</v>
      </c>
      <c r="Q41" s="56">
        <v>684</v>
      </c>
      <c r="R41" s="56">
        <v>756</v>
      </c>
      <c r="S41" s="56">
        <v>819</v>
      </c>
      <c r="T41" s="56">
        <v>629</v>
      </c>
      <c r="U41" s="56">
        <v>739</v>
      </c>
      <c r="V41" s="56">
        <v>799</v>
      </c>
      <c r="W41" s="56">
        <v>944</v>
      </c>
      <c r="X41" s="9">
        <v>1.941404871161323E-2</v>
      </c>
      <c r="Y41" s="10">
        <v>1.904432132963985E-2</v>
      </c>
      <c r="Z41" s="10">
        <v>1.461094121644591E-2</v>
      </c>
      <c r="AA41" s="10">
        <v>4.1862022772940488E-2</v>
      </c>
    </row>
    <row r="42" spans="2:27" hidden="1" x14ac:dyDescent="0.3">
      <c r="B42" s="3" t="s">
        <v>376</v>
      </c>
      <c r="C42" s="3" t="s">
        <v>526</v>
      </c>
      <c r="D42" s="3" t="s">
        <v>596</v>
      </c>
      <c r="E42" s="3" t="s">
        <v>593</v>
      </c>
      <c r="F42" s="5">
        <v>5</v>
      </c>
      <c r="G42" s="4">
        <v>20.239999999999998</v>
      </c>
      <c r="H42" s="4">
        <v>78.98</v>
      </c>
      <c r="I42" s="4">
        <v>46.9</v>
      </c>
      <c r="J42" s="4">
        <v>35.340000000000003</v>
      </c>
      <c r="K42" s="4">
        <v>34.89</v>
      </c>
      <c r="L42" s="4">
        <v>70.36</v>
      </c>
      <c r="M42" s="4">
        <v>53.17</v>
      </c>
      <c r="N42" s="4">
        <v>24.22</v>
      </c>
      <c r="O42" s="4">
        <v>37.57</v>
      </c>
      <c r="P42" s="4">
        <v>52.73</v>
      </c>
      <c r="Q42" s="4">
        <v>53.88</v>
      </c>
      <c r="R42" s="4">
        <v>36.08</v>
      </c>
      <c r="S42" s="4">
        <v>29.75</v>
      </c>
      <c r="T42" s="4">
        <v>50.24</v>
      </c>
      <c r="U42" s="4">
        <v>47.79</v>
      </c>
      <c r="V42" s="4">
        <v>32.06</v>
      </c>
      <c r="W42" s="4">
        <v>37.79</v>
      </c>
      <c r="X42" s="9">
        <v>-1.4439805149617291E-2</v>
      </c>
      <c r="Y42" s="10">
        <v>-3.5834068843777489E-2</v>
      </c>
      <c r="Z42" s="10">
        <v>-2.453313804467239E-2</v>
      </c>
      <c r="AA42" s="10">
        <v>5.0300300300300187E-2</v>
      </c>
    </row>
    <row r="43" spans="2:27" hidden="1" x14ac:dyDescent="0.3">
      <c r="B43" s="3" t="s">
        <v>239</v>
      </c>
      <c r="C43" s="3" t="s">
        <v>526</v>
      </c>
      <c r="D43" s="3" t="s">
        <v>597</v>
      </c>
      <c r="E43" s="3" t="s">
        <v>593</v>
      </c>
      <c r="F43" s="5">
        <v>4.8</v>
      </c>
      <c r="G43" s="4">
        <v>59.01</v>
      </c>
      <c r="H43" s="4">
        <v>154.56</v>
      </c>
      <c r="I43" s="4">
        <v>44.77</v>
      </c>
      <c r="J43" s="4">
        <v>42.26</v>
      </c>
      <c r="K43" s="6">
        <v>143.69</v>
      </c>
      <c r="L43" s="6">
        <v>219.66</v>
      </c>
      <c r="M43" s="6">
        <v>193.21</v>
      </c>
      <c r="N43" s="6">
        <v>194.67</v>
      </c>
      <c r="O43" s="4">
        <v>205.01</v>
      </c>
      <c r="P43" s="4">
        <v>214.34</v>
      </c>
      <c r="Q43" s="4">
        <v>215.98</v>
      </c>
      <c r="R43" s="4">
        <v>159.51</v>
      </c>
      <c r="S43" s="4">
        <v>173.71</v>
      </c>
      <c r="T43" s="4">
        <v>203.75</v>
      </c>
      <c r="U43" s="4">
        <v>245.57</v>
      </c>
      <c r="V43" s="4">
        <v>176.62</v>
      </c>
      <c r="W43" s="4">
        <v>212.31</v>
      </c>
      <c r="X43" s="9">
        <v>-1.3869607355213811E-2</v>
      </c>
      <c r="Y43" s="10">
        <v>3.9298758217676921E-2</v>
      </c>
      <c r="Z43" s="10">
        <v>2.1864697012293322E-2</v>
      </c>
      <c r="AA43" s="10">
        <v>4.8271118614393822E-2</v>
      </c>
    </row>
    <row r="44" spans="2:27" x14ac:dyDescent="0.3">
      <c r="B44" s="12" t="s">
        <v>33</v>
      </c>
      <c r="C44" s="3" t="s">
        <v>526</v>
      </c>
      <c r="D44" s="3" t="s">
        <v>565</v>
      </c>
      <c r="E44" s="3" t="s">
        <v>528</v>
      </c>
      <c r="F44" s="5">
        <v>4.0999999999999996</v>
      </c>
      <c r="G44" s="56">
        <v>355</v>
      </c>
      <c r="H44" s="56">
        <v>369</v>
      </c>
      <c r="I44" s="56">
        <v>595</v>
      </c>
      <c r="J44" s="56">
        <v>622</v>
      </c>
      <c r="K44" s="56">
        <v>526</v>
      </c>
      <c r="L44" s="56">
        <v>498</v>
      </c>
      <c r="M44" s="56">
        <v>672</v>
      </c>
      <c r="N44" s="56">
        <v>650</v>
      </c>
      <c r="O44" s="56">
        <v>449</v>
      </c>
      <c r="P44" s="56">
        <v>523</v>
      </c>
      <c r="Q44" s="56">
        <v>723</v>
      </c>
      <c r="R44" s="56">
        <v>622</v>
      </c>
      <c r="S44" s="56">
        <v>487</v>
      </c>
      <c r="T44" s="56">
        <v>533</v>
      </c>
      <c r="U44" s="56">
        <v>775</v>
      </c>
      <c r="V44" s="56">
        <v>774</v>
      </c>
      <c r="W44" s="56">
        <v>593</v>
      </c>
      <c r="X44" s="9">
        <v>4.2462845010615702E-3</v>
      </c>
      <c r="Y44" s="10">
        <v>2.1987315010570722E-2</v>
      </c>
      <c r="Z44" s="10">
        <v>6.2887877534133274E-2</v>
      </c>
      <c r="AA44" s="10">
        <v>4.1261191124951413E-2</v>
      </c>
    </row>
    <row r="45" spans="2:27" x14ac:dyDescent="0.3">
      <c r="B45" s="12" t="s">
        <v>69</v>
      </c>
      <c r="C45" s="3" t="s">
        <v>526</v>
      </c>
      <c r="D45" s="3" t="s">
        <v>557</v>
      </c>
      <c r="E45" s="3" t="s">
        <v>528</v>
      </c>
      <c r="F45" s="5">
        <v>4</v>
      </c>
      <c r="G45" s="56">
        <v>231</v>
      </c>
      <c r="H45" s="56">
        <v>377</v>
      </c>
      <c r="I45" s="56">
        <v>356</v>
      </c>
      <c r="J45" s="56">
        <v>644</v>
      </c>
      <c r="K45" s="56">
        <v>322</v>
      </c>
      <c r="L45" s="56">
        <v>415</v>
      </c>
      <c r="M45" s="56">
        <v>392</v>
      </c>
      <c r="N45" s="56">
        <v>698</v>
      </c>
      <c r="O45" s="56">
        <v>348</v>
      </c>
      <c r="P45" s="56">
        <v>447</v>
      </c>
      <c r="Q45" s="56">
        <v>437</v>
      </c>
      <c r="R45" s="56">
        <v>662</v>
      </c>
      <c r="S45" s="56">
        <v>274</v>
      </c>
      <c r="T45" s="56">
        <v>496</v>
      </c>
      <c r="U45" s="56">
        <v>473</v>
      </c>
      <c r="V45" s="57">
        <v>884</v>
      </c>
      <c r="W45" s="56">
        <v>360</v>
      </c>
      <c r="X45" s="9">
        <v>2.6923076923076831E-2</v>
      </c>
      <c r="Y45" s="10">
        <v>1.9261637239165411E-2</v>
      </c>
      <c r="Z45" s="8">
        <v>0.1165354330708661</v>
      </c>
      <c r="AA45" s="10">
        <v>4.0432534085566463E-2</v>
      </c>
    </row>
    <row r="46" spans="2:27" x14ac:dyDescent="0.3">
      <c r="B46" s="12" t="s">
        <v>28</v>
      </c>
      <c r="C46" s="3" t="s">
        <v>526</v>
      </c>
      <c r="D46" s="3" t="s">
        <v>570</v>
      </c>
      <c r="E46" s="3" t="s">
        <v>528</v>
      </c>
      <c r="F46" s="5">
        <v>3.9</v>
      </c>
      <c r="G46" s="56">
        <v>157.43</v>
      </c>
      <c r="H46" s="56">
        <v>273.37</v>
      </c>
      <c r="I46" s="56">
        <v>71.56</v>
      </c>
      <c r="J46" s="56">
        <v>191.02</v>
      </c>
      <c r="K46" s="56">
        <v>101.47</v>
      </c>
      <c r="L46" s="57">
        <v>375</v>
      </c>
      <c r="M46" s="57">
        <v>342</v>
      </c>
      <c r="N46" s="57">
        <v>388</v>
      </c>
      <c r="O46" s="57">
        <v>352</v>
      </c>
      <c r="P46" s="56">
        <v>369</v>
      </c>
      <c r="Q46" s="56">
        <v>413</v>
      </c>
      <c r="R46" s="56">
        <v>429</v>
      </c>
      <c r="S46" s="56">
        <v>413</v>
      </c>
      <c r="T46" s="56">
        <v>456</v>
      </c>
      <c r="U46" s="56">
        <v>512</v>
      </c>
      <c r="V46" s="56">
        <v>512</v>
      </c>
      <c r="W46" s="56">
        <v>486</v>
      </c>
      <c r="X46" s="9">
        <v>5.3571428571428603E-2</v>
      </c>
      <c r="Y46" s="10">
        <v>5.7860900058445353E-2</v>
      </c>
      <c r="Z46" s="10">
        <v>4.5856353591160248E-2</v>
      </c>
      <c r="AA46" s="10">
        <v>3.8563127311146417E-2</v>
      </c>
    </row>
    <row r="47" spans="2:27" x14ac:dyDescent="0.3">
      <c r="B47" s="12" t="s">
        <v>211</v>
      </c>
      <c r="C47" s="3" t="s">
        <v>526</v>
      </c>
      <c r="D47" s="3" t="s">
        <v>555</v>
      </c>
      <c r="E47" s="3" t="s">
        <v>528</v>
      </c>
      <c r="F47" s="5">
        <v>3.7</v>
      </c>
      <c r="G47" s="56">
        <v>43.74</v>
      </c>
      <c r="H47" s="56">
        <v>47.26</v>
      </c>
      <c r="I47" s="56">
        <v>50.58</v>
      </c>
      <c r="J47" s="56">
        <v>55.3</v>
      </c>
      <c r="K47" s="56">
        <v>54.24</v>
      </c>
      <c r="L47" s="56">
        <v>53.07</v>
      </c>
      <c r="M47" s="56">
        <v>58.11</v>
      </c>
      <c r="N47" s="56">
        <v>63.22</v>
      </c>
      <c r="O47" s="56">
        <v>65.709999999999994</v>
      </c>
      <c r="P47" s="56">
        <v>63.53</v>
      </c>
      <c r="Q47" s="56">
        <v>64.599999999999994</v>
      </c>
      <c r="R47" s="56">
        <v>67.7</v>
      </c>
      <c r="S47" s="56">
        <v>72.12</v>
      </c>
      <c r="T47" s="56">
        <v>74.12</v>
      </c>
      <c r="U47" s="56">
        <v>79.87</v>
      </c>
      <c r="V47" s="56">
        <v>80.25</v>
      </c>
      <c r="W47" s="56">
        <v>83.59</v>
      </c>
      <c r="X47" s="9">
        <v>3.9522298936368827E-2</v>
      </c>
      <c r="Y47" s="10">
        <v>5.4821569612981902E-2</v>
      </c>
      <c r="Z47" s="10">
        <v>4.2714679554814339E-2</v>
      </c>
      <c r="AA47" s="10">
        <v>3.7439613526570208E-2</v>
      </c>
    </row>
    <row r="48" spans="2:27" x14ac:dyDescent="0.3">
      <c r="B48" s="12" t="s">
        <v>341</v>
      </c>
      <c r="C48" s="3" t="s">
        <v>526</v>
      </c>
      <c r="D48" s="3" t="s">
        <v>554</v>
      </c>
      <c r="E48" s="3" t="s">
        <v>528</v>
      </c>
      <c r="F48" s="5">
        <v>3.5</v>
      </c>
      <c r="G48" s="56">
        <v>16.55</v>
      </c>
      <c r="H48" s="56">
        <v>6.56</v>
      </c>
      <c r="I48" s="56">
        <v>30.93</v>
      </c>
      <c r="J48" s="56">
        <v>27.5</v>
      </c>
      <c r="K48" s="57">
        <v>32.880000000000003</v>
      </c>
      <c r="L48" s="56">
        <v>12.27</v>
      </c>
      <c r="M48" s="56">
        <v>28.56</v>
      </c>
      <c r="N48" s="56">
        <v>28.06</v>
      </c>
      <c r="O48" s="56">
        <v>40.700000000000003</v>
      </c>
      <c r="P48" s="56">
        <v>15.39</v>
      </c>
      <c r="Q48" s="56">
        <v>33.869999999999997</v>
      </c>
      <c r="R48" s="56">
        <v>31.88</v>
      </c>
      <c r="S48" s="56">
        <v>46.05</v>
      </c>
      <c r="T48" s="56">
        <v>22.74</v>
      </c>
      <c r="U48" s="56">
        <v>40.22</v>
      </c>
      <c r="V48" s="56">
        <v>38.94</v>
      </c>
      <c r="W48" s="56">
        <v>51.22</v>
      </c>
      <c r="X48" s="9">
        <v>5.7787561915244812E-2</v>
      </c>
      <c r="Y48" s="10">
        <v>4.7197859372677183E-2</v>
      </c>
      <c r="Z48" s="10">
        <v>5.0110014905245137E-2</v>
      </c>
      <c r="AA48" s="10">
        <v>3.4944237918215659E-2</v>
      </c>
    </row>
    <row r="49" spans="2:27" hidden="1" x14ac:dyDescent="0.3">
      <c r="B49" s="3" t="s">
        <v>255</v>
      </c>
      <c r="C49" s="3" t="s">
        <v>526</v>
      </c>
      <c r="D49" s="3" t="s">
        <v>535</v>
      </c>
      <c r="E49" s="3" t="s">
        <v>593</v>
      </c>
      <c r="F49" s="5">
        <v>3.8</v>
      </c>
      <c r="G49" s="4">
        <v>665.68</v>
      </c>
      <c r="H49" s="4">
        <v>457.81</v>
      </c>
      <c r="I49" s="4">
        <v>573</v>
      </c>
      <c r="J49" s="4">
        <v>346.95</v>
      </c>
      <c r="K49" s="4">
        <v>706.79</v>
      </c>
      <c r="L49" s="4">
        <v>513.91999999999996</v>
      </c>
      <c r="M49" s="4">
        <v>371.32</v>
      </c>
      <c r="N49" s="4">
        <v>434.1</v>
      </c>
      <c r="O49" s="4">
        <v>226.19</v>
      </c>
      <c r="P49" s="4">
        <v>323.27</v>
      </c>
      <c r="Q49" s="4">
        <v>182.85</v>
      </c>
      <c r="R49" s="4">
        <v>337.44</v>
      </c>
      <c r="S49" s="6">
        <v>484.34</v>
      </c>
      <c r="T49" s="6">
        <v>617.19000000000005</v>
      </c>
      <c r="U49" s="6">
        <v>572.19000000000005</v>
      </c>
      <c r="V49" s="6">
        <v>707.49</v>
      </c>
      <c r="W49" s="4">
        <v>573.66999999999996</v>
      </c>
      <c r="X49" s="11">
        <v>0.22134196852172619</v>
      </c>
      <c r="Y49" s="8">
        <v>0.2400636322156591</v>
      </c>
      <c r="Z49" s="8">
        <v>0.18399828954434261</v>
      </c>
      <c r="AA49" s="10">
        <v>3.7514540926671718E-2</v>
      </c>
    </row>
    <row r="50" spans="2:27" x14ac:dyDescent="0.3">
      <c r="B50" s="12" t="s">
        <v>199</v>
      </c>
      <c r="C50" s="3" t="s">
        <v>526</v>
      </c>
      <c r="D50" s="3" t="s">
        <v>561</v>
      </c>
      <c r="E50" s="3" t="s">
        <v>528</v>
      </c>
      <c r="F50" s="5">
        <v>2.8</v>
      </c>
      <c r="G50" s="56">
        <v>56.52</v>
      </c>
      <c r="H50" s="56">
        <v>86.73</v>
      </c>
      <c r="I50" s="56">
        <v>82.54</v>
      </c>
      <c r="J50" s="56">
        <v>42.91</v>
      </c>
      <c r="K50" s="56">
        <v>56.48</v>
      </c>
      <c r="L50" s="56">
        <v>22.16</v>
      </c>
      <c r="M50" s="56">
        <v>62.68</v>
      </c>
      <c r="N50" s="56">
        <v>27.89</v>
      </c>
      <c r="O50" s="56">
        <v>9.98</v>
      </c>
      <c r="P50" s="56">
        <v>14.2</v>
      </c>
      <c r="Q50" s="56">
        <v>38.46</v>
      </c>
      <c r="R50" s="56">
        <v>31.56</v>
      </c>
      <c r="S50" s="57">
        <v>30.84</v>
      </c>
      <c r="T50" s="57">
        <v>26.09</v>
      </c>
      <c r="U50" s="56">
        <v>43.43</v>
      </c>
      <c r="V50" s="57">
        <v>57.77</v>
      </c>
      <c r="W50" s="56">
        <v>35.28</v>
      </c>
      <c r="X50" s="11">
        <v>0.1033373891882496</v>
      </c>
      <c r="Y50" s="10">
        <v>3.9149271366679672E-2</v>
      </c>
      <c r="Z50" s="8">
        <v>0.1986810187992725</v>
      </c>
      <c r="AA50" s="10">
        <v>2.807816353633075E-2</v>
      </c>
    </row>
    <row r="51" spans="2:27" x14ac:dyDescent="0.3">
      <c r="B51" s="12" t="s">
        <v>229</v>
      </c>
      <c r="C51" s="3" t="s">
        <v>526</v>
      </c>
      <c r="D51" s="3" t="s">
        <v>576</v>
      </c>
      <c r="E51" s="3" t="s">
        <v>528</v>
      </c>
      <c r="F51" s="5">
        <v>2.5</v>
      </c>
      <c r="G51" s="56">
        <v>35.200000000000003</v>
      </c>
      <c r="H51" s="56">
        <v>41.2</v>
      </c>
      <c r="I51" s="56">
        <v>190.1</v>
      </c>
      <c r="J51" s="56">
        <v>101.8</v>
      </c>
      <c r="K51" s="56">
        <v>8.8000000000000007</v>
      </c>
      <c r="L51" s="56">
        <v>-0.3</v>
      </c>
      <c r="M51" s="56">
        <v>171.3</v>
      </c>
      <c r="N51" s="56">
        <v>81.2</v>
      </c>
      <c r="O51" s="56">
        <v>1</v>
      </c>
      <c r="P51" s="56">
        <v>-22.3</v>
      </c>
      <c r="Q51" s="56">
        <v>169.6</v>
      </c>
      <c r="R51" s="56">
        <v>69.900000000000006</v>
      </c>
      <c r="S51" s="56">
        <v>-10.7</v>
      </c>
      <c r="T51" s="56">
        <v>-29.5</v>
      </c>
      <c r="U51" s="56">
        <v>187.4</v>
      </c>
      <c r="V51" s="56">
        <v>85.2</v>
      </c>
      <c r="W51" s="56">
        <v>-5</v>
      </c>
      <c r="X51" s="9">
        <v>-3.4866828087167012E-2</v>
      </c>
      <c r="Y51" s="10">
        <v>8.9312594079277607E-2</v>
      </c>
      <c r="Z51" s="10">
        <v>7.0474435743896668E-2</v>
      </c>
      <c r="AA51" s="10">
        <v>2.452667814113596E-2</v>
      </c>
    </row>
    <row r="52" spans="2:27" hidden="1" x14ac:dyDescent="0.3">
      <c r="B52" s="3" t="s">
        <v>431</v>
      </c>
      <c r="C52" s="3" t="s">
        <v>526</v>
      </c>
      <c r="D52" s="3" t="s">
        <v>532</v>
      </c>
      <c r="E52" s="3" t="s">
        <v>593</v>
      </c>
      <c r="F52" s="5">
        <v>3.5</v>
      </c>
      <c r="G52" s="3"/>
      <c r="H52" s="3"/>
      <c r="I52" s="3"/>
      <c r="J52" s="3"/>
      <c r="K52" s="3"/>
      <c r="L52" s="4">
        <v>-18.989999999999998</v>
      </c>
      <c r="M52" s="4">
        <v>-19.09</v>
      </c>
      <c r="N52" s="4">
        <v>-18.91</v>
      </c>
      <c r="O52" s="4">
        <v>35.619999999999997</v>
      </c>
      <c r="P52" s="6">
        <v>-24.78</v>
      </c>
      <c r="Q52" s="6">
        <v>-27.58</v>
      </c>
      <c r="R52" s="6">
        <v>-39.700000000000003</v>
      </c>
      <c r="S52" s="6">
        <v>-40.98</v>
      </c>
      <c r="T52" s="6">
        <v>-55.62</v>
      </c>
      <c r="U52" s="4">
        <v>-37.33</v>
      </c>
      <c r="V52" s="4">
        <v>-55.16</v>
      </c>
      <c r="W52" s="4">
        <v>-47.58</v>
      </c>
      <c r="X52" s="11">
        <v>0.2318099819603128</v>
      </c>
      <c r="Y52" s="10">
        <v>5.9494752257749577E-2</v>
      </c>
      <c r="Z52" s="10">
        <v>8.9039912457524517E-2</v>
      </c>
      <c r="AA52" s="10">
        <v>3.4904013961605702E-2</v>
      </c>
    </row>
    <row r="53" spans="2:27" x14ac:dyDescent="0.3">
      <c r="B53" s="12" t="s">
        <v>165</v>
      </c>
      <c r="C53" s="3" t="s">
        <v>526</v>
      </c>
      <c r="D53" s="3" t="s">
        <v>573</v>
      </c>
      <c r="E53" s="3" t="s">
        <v>528</v>
      </c>
      <c r="F53" s="5">
        <v>2.2999999999999998</v>
      </c>
      <c r="G53" s="56">
        <v>260</v>
      </c>
      <c r="H53" s="56">
        <v>376</v>
      </c>
      <c r="I53" s="56">
        <v>0</v>
      </c>
      <c r="J53" s="56">
        <v>285</v>
      </c>
      <c r="K53" s="56">
        <v>297</v>
      </c>
      <c r="L53" s="56">
        <v>284</v>
      </c>
      <c r="M53" s="57">
        <v>345</v>
      </c>
      <c r="N53" s="56">
        <v>322</v>
      </c>
      <c r="O53" s="56">
        <v>298</v>
      </c>
      <c r="P53" s="56">
        <v>313</v>
      </c>
      <c r="Q53" s="56">
        <v>345</v>
      </c>
      <c r="R53" s="56">
        <v>291</v>
      </c>
      <c r="S53" s="56">
        <v>341</v>
      </c>
      <c r="T53" s="56">
        <v>323</v>
      </c>
      <c r="U53" s="56">
        <v>324</v>
      </c>
      <c r="V53" s="56">
        <v>302</v>
      </c>
      <c r="W53" s="56">
        <v>371</v>
      </c>
      <c r="X53" s="9">
        <v>7.7519379844961378E-3</v>
      </c>
      <c r="Y53" s="10">
        <v>-1.6153846153846189E-2</v>
      </c>
      <c r="Z53" s="10">
        <v>8.6004691164973668E-3</v>
      </c>
      <c r="AA53" s="10">
        <v>2.325581395348841E-2</v>
      </c>
    </row>
    <row r="54" spans="2:27" x14ac:dyDescent="0.3">
      <c r="B54" s="12" t="s">
        <v>193</v>
      </c>
      <c r="C54" s="3" t="s">
        <v>526</v>
      </c>
      <c r="D54" s="3" t="s">
        <v>537</v>
      </c>
      <c r="E54" s="3" t="s">
        <v>528</v>
      </c>
      <c r="F54" s="5">
        <v>2.2999999999999998</v>
      </c>
      <c r="G54" s="56">
        <v>116.35</v>
      </c>
      <c r="H54" s="56">
        <v>119.27</v>
      </c>
      <c r="I54" s="56">
        <v>117.35</v>
      </c>
      <c r="J54" s="56">
        <v>120.99</v>
      </c>
      <c r="K54" s="56">
        <v>123.31</v>
      </c>
      <c r="L54" s="56">
        <v>125.79</v>
      </c>
      <c r="M54" s="56">
        <v>125.14</v>
      </c>
      <c r="N54" s="56">
        <v>128.83000000000001</v>
      </c>
      <c r="O54" s="56">
        <v>137.31</v>
      </c>
      <c r="P54" s="56">
        <v>135.02000000000001</v>
      </c>
      <c r="Q54" s="56">
        <v>135.74</v>
      </c>
      <c r="R54" s="56">
        <v>136.69999999999999</v>
      </c>
      <c r="S54" s="56">
        <v>135.41999999999999</v>
      </c>
      <c r="T54" s="56">
        <v>143.72</v>
      </c>
      <c r="U54" s="56">
        <v>138.32</v>
      </c>
      <c r="V54" s="56">
        <v>142.59</v>
      </c>
      <c r="W54" s="56">
        <v>148.34</v>
      </c>
      <c r="X54" s="9">
        <v>1.6025641025640969E-2</v>
      </c>
      <c r="Y54" s="10">
        <v>4.6774719895572581E-3</v>
      </c>
      <c r="Z54" s="10">
        <v>1.0628699292623001E-2</v>
      </c>
      <c r="AA54" s="10">
        <v>2.306936880635679E-2</v>
      </c>
    </row>
    <row r="55" spans="2:27" hidden="1" x14ac:dyDescent="0.3">
      <c r="B55" s="3" t="s">
        <v>331</v>
      </c>
      <c r="C55" s="3" t="s">
        <v>526</v>
      </c>
      <c r="D55" s="3" t="s">
        <v>537</v>
      </c>
      <c r="E55" s="3" t="s">
        <v>593</v>
      </c>
      <c r="F55" s="5">
        <v>2.5</v>
      </c>
      <c r="G55" s="4">
        <v>29.61</v>
      </c>
      <c r="H55" s="4">
        <v>31.17</v>
      </c>
      <c r="I55" s="4">
        <v>30.69</v>
      </c>
      <c r="J55" s="4">
        <v>31.56</v>
      </c>
      <c r="K55" s="4">
        <v>31.71</v>
      </c>
      <c r="L55" s="4">
        <v>31.9</v>
      </c>
      <c r="M55" s="4">
        <v>31.26</v>
      </c>
      <c r="N55" s="4">
        <v>33.4</v>
      </c>
      <c r="O55" s="4">
        <v>35.78</v>
      </c>
      <c r="P55" s="4">
        <v>36.5</v>
      </c>
      <c r="Q55" s="4">
        <v>36.14</v>
      </c>
      <c r="R55" s="4">
        <v>36.96</v>
      </c>
      <c r="S55" s="4">
        <v>37.700000000000003</v>
      </c>
      <c r="T55" s="4">
        <v>38.369999999999997</v>
      </c>
      <c r="U55" s="4">
        <v>38.590000000000003</v>
      </c>
      <c r="V55" s="4">
        <v>41.04</v>
      </c>
      <c r="W55" s="4">
        <v>41.67</v>
      </c>
      <c r="X55" s="9">
        <v>1.2695179904955939E-2</v>
      </c>
      <c r="Y55" s="10">
        <v>1.6424213984044918E-2</v>
      </c>
      <c r="Z55" s="10">
        <v>2.69093787099326E-2</v>
      </c>
      <c r="AA55" s="10">
        <v>2.549775208734761E-2</v>
      </c>
    </row>
    <row r="56" spans="2:27" x14ac:dyDescent="0.3">
      <c r="B56" s="12" t="s">
        <v>12</v>
      </c>
      <c r="C56" s="3" t="s">
        <v>526</v>
      </c>
      <c r="D56" s="3" t="s">
        <v>559</v>
      </c>
      <c r="E56" s="3" t="s">
        <v>528</v>
      </c>
      <c r="F56" s="5">
        <v>2.2999999999999998</v>
      </c>
      <c r="G56" s="56">
        <v>2420</v>
      </c>
      <c r="H56" s="56">
        <v>2373</v>
      </c>
      <c r="I56" s="56">
        <v>2598</v>
      </c>
      <c r="J56" s="56">
        <v>2776</v>
      </c>
      <c r="K56" s="56">
        <v>2597</v>
      </c>
      <c r="L56" s="56">
        <v>2661</v>
      </c>
      <c r="M56" s="56">
        <v>3070</v>
      </c>
      <c r="N56" s="56">
        <v>3183</v>
      </c>
      <c r="O56" s="56">
        <v>2833</v>
      </c>
      <c r="P56" s="56">
        <v>2718</v>
      </c>
      <c r="Q56" s="56">
        <v>3028</v>
      </c>
      <c r="R56" s="56">
        <v>3228</v>
      </c>
      <c r="S56" s="56">
        <v>2880</v>
      </c>
      <c r="T56" s="56">
        <v>2655</v>
      </c>
      <c r="U56" s="56">
        <v>3262</v>
      </c>
      <c r="V56" s="56">
        <v>3320</v>
      </c>
      <c r="W56" s="56">
        <v>3156</v>
      </c>
      <c r="X56" s="9">
        <v>-5.3146617175636726E-3</v>
      </c>
      <c r="Y56" s="10">
        <v>1.984564498346186E-2</v>
      </c>
      <c r="Z56" s="10">
        <v>7.6507276507276067E-3</v>
      </c>
      <c r="AA56" s="10">
        <v>2.27779153255756E-2</v>
      </c>
    </row>
    <row r="57" spans="2:27" x14ac:dyDescent="0.3">
      <c r="B57" s="12" t="s">
        <v>466</v>
      </c>
      <c r="C57" s="3" t="s">
        <v>526</v>
      </c>
      <c r="D57" s="3" t="s">
        <v>558</v>
      </c>
      <c r="E57" s="3" t="s">
        <v>528</v>
      </c>
      <c r="F57" s="5">
        <v>2.2000000000000002</v>
      </c>
      <c r="G57" s="56">
        <v>-36.72</v>
      </c>
      <c r="H57" s="56">
        <v>-33.85</v>
      </c>
      <c r="I57" s="56">
        <v>-3.98</v>
      </c>
      <c r="J57" s="56">
        <v>20.97</v>
      </c>
      <c r="K57" s="56">
        <v>61.18</v>
      </c>
      <c r="L57" s="57">
        <v>76.98</v>
      </c>
      <c r="M57" s="57">
        <v>75.33</v>
      </c>
      <c r="N57" s="57">
        <v>48.69</v>
      </c>
      <c r="O57" s="56">
        <v>68.88</v>
      </c>
      <c r="P57" s="56">
        <v>63.33</v>
      </c>
      <c r="Q57" s="56">
        <v>57.92</v>
      </c>
      <c r="R57" s="56">
        <v>62.49</v>
      </c>
      <c r="S57" s="56">
        <v>64.2</v>
      </c>
      <c r="T57" s="56">
        <v>51.71</v>
      </c>
      <c r="U57" s="56">
        <v>73.400000000000006</v>
      </c>
      <c r="V57" s="56">
        <v>75.959999999999994</v>
      </c>
      <c r="W57" s="56">
        <v>69.97</v>
      </c>
      <c r="X57" s="9">
        <v>-4.6866177300959877E-2</v>
      </c>
      <c r="Y57" s="10">
        <v>6.5504400812457675E-2</v>
      </c>
      <c r="Z57" s="10">
        <v>5.3494837172358922E-2</v>
      </c>
      <c r="AA57" s="10">
        <v>2.1751423078373081E-2</v>
      </c>
    </row>
    <row r="58" spans="2:27" x14ac:dyDescent="0.3">
      <c r="B58" s="12" t="s">
        <v>89</v>
      </c>
      <c r="C58" s="3" t="s">
        <v>526</v>
      </c>
      <c r="D58" s="3" t="s">
        <v>548</v>
      </c>
      <c r="E58" s="3" t="s">
        <v>528</v>
      </c>
      <c r="F58" s="5">
        <v>2.1</v>
      </c>
      <c r="G58" s="56">
        <v>130.01</v>
      </c>
      <c r="H58" s="56">
        <v>65.16</v>
      </c>
      <c r="I58" s="56">
        <v>102.79</v>
      </c>
      <c r="J58" s="56">
        <v>110.73</v>
      </c>
      <c r="K58" s="56">
        <v>161.82</v>
      </c>
      <c r="L58" s="56">
        <v>78.569999999999993</v>
      </c>
      <c r="M58" s="56">
        <v>119.78</v>
      </c>
      <c r="N58" s="56">
        <v>139.56</v>
      </c>
      <c r="O58" s="56">
        <v>168.56</v>
      </c>
      <c r="P58" s="56">
        <v>99.96</v>
      </c>
      <c r="Q58" s="56">
        <v>139.51</v>
      </c>
      <c r="R58" s="56">
        <v>155.93</v>
      </c>
      <c r="S58" s="56">
        <v>170.29</v>
      </c>
      <c r="T58" s="56">
        <v>130.49</v>
      </c>
      <c r="U58" s="56">
        <v>165.52</v>
      </c>
      <c r="V58" s="56">
        <v>174.62</v>
      </c>
      <c r="W58" s="56">
        <v>183.47</v>
      </c>
      <c r="X58" s="9">
        <v>5.3969488589156837E-2</v>
      </c>
      <c r="Y58" s="10">
        <v>4.3624836469759558E-2</v>
      </c>
      <c r="Z58" s="10">
        <v>3.003712453594343E-2</v>
      </c>
      <c r="AA58" s="10">
        <v>2.0564188978343449E-2</v>
      </c>
    </row>
    <row r="59" spans="2:27" x14ac:dyDescent="0.3">
      <c r="B59" s="12" t="s">
        <v>294</v>
      </c>
      <c r="C59" s="3" t="s">
        <v>526</v>
      </c>
      <c r="D59" s="3" t="s">
        <v>547</v>
      </c>
      <c r="E59" s="3" t="s">
        <v>572</v>
      </c>
      <c r="F59" s="5">
        <v>1.8</v>
      </c>
      <c r="G59" s="56">
        <v>125.62</v>
      </c>
      <c r="H59" s="56">
        <v>172.88</v>
      </c>
      <c r="I59" s="56">
        <v>31.6</v>
      </c>
      <c r="J59" s="56">
        <v>-153.24</v>
      </c>
      <c r="K59" s="56">
        <v>71.25</v>
      </c>
      <c r="L59" s="56">
        <v>99.24</v>
      </c>
      <c r="M59" s="56">
        <v>24.27</v>
      </c>
      <c r="N59" s="57">
        <v>-45.82</v>
      </c>
      <c r="O59" s="56">
        <v>69.39</v>
      </c>
      <c r="P59" s="56">
        <v>24.53</v>
      </c>
      <c r="Q59" s="57">
        <v>83.45</v>
      </c>
      <c r="R59" s="57">
        <v>186.62</v>
      </c>
      <c r="S59" s="56">
        <v>24.16</v>
      </c>
      <c r="T59" s="56">
        <v>55.26</v>
      </c>
      <c r="U59" s="56">
        <v>99.43</v>
      </c>
      <c r="V59" s="56">
        <v>158.47</v>
      </c>
      <c r="W59" s="56">
        <v>30.39</v>
      </c>
      <c r="X59" s="9">
        <v>9.6404818672355397E-2</v>
      </c>
      <c r="Y59" s="10">
        <v>4.5723768920427073E-2</v>
      </c>
      <c r="Z59" s="10">
        <v>-7.7024105945768584E-2</v>
      </c>
      <c r="AA59" s="10">
        <v>1.8469109450966581E-2</v>
      </c>
    </row>
    <row r="60" spans="2:27" x14ac:dyDescent="0.3">
      <c r="B60" s="12" t="s">
        <v>117</v>
      </c>
      <c r="C60" s="3" t="s">
        <v>526</v>
      </c>
      <c r="D60" s="3" t="s">
        <v>532</v>
      </c>
      <c r="E60" s="3" t="s">
        <v>528</v>
      </c>
      <c r="F60" s="5">
        <v>1.7</v>
      </c>
      <c r="G60" s="56">
        <v>153.41999999999999</v>
      </c>
      <c r="H60" s="56">
        <v>219.72</v>
      </c>
      <c r="I60" s="56">
        <v>377.79</v>
      </c>
      <c r="J60" s="56">
        <v>192.21</v>
      </c>
      <c r="K60" s="56">
        <v>133.16999999999999</v>
      </c>
      <c r="L60" s="57">
        <v>478.97</v>
      </c>
      <c r="M60" s="56">
        <v>248.84</v>
      </c>
      <c r="N60" s="56">
        <v>151.44</v>
      </c>
      <c r="O60" s="57">
        <v>612.9</v>
      </c>
      <c r="P60" s="56">
        <v>-73.77</v>
      </c>
      <c r="Q60" s="56">
        <v>269.63</v>
      </c>
      <c r="R60" s="57">
        <v>735.07</v>
      </c>
      <c r="S60" s="56">
        <v>361.51</v>
      </c>
      <c r="T60" s="57">
        <v>534.17999999999995</v>
      </c>
      <c r="U60" s="56">
        <v>224.8</v>
      </c>
      <c r="V60" s="56">
        <v>428.16</v>
      </c>
      <c r="W60" s="56">
        <v>388</v>
      </c>
      <c r="X60" s="11">
        <v>0.47038934109126918</v>
      </c>
      <c r="Y60" s="10">
        <v>-2.3589894705823511E-2</v>
      </c>
      <c r="Z60" s="10">
        <v>-0.16540020263424521</v>
      </c>
      <c r="AA60" s="10">
        <v>1.7105220676072671E-2</v>
      </c>
    </row>
    <row r="61" spans="2:27" x14ac:dyDescent="0.3">
      <c r="B61" s="12" t="s">
        <v>63</v>
      </c>
      <c r="C61" s="3" t="s">
        <v>526</v>
      </c>
      <c r="D61" s="3" t="s">
        <v>562</v>
      </c>
      <c r="E61" s="3" t="s">
        <v>528</v>
      </c>
      <c r="F61" s="5">
        <v>1.5</v>
      </c>
      <c r="G61" s="56">
        <v>99.04</v>
      </c>
      <c r="H61" s="56">
        <v>93.39</v>
      </c>
      <c r="I61" s="56">
        <v>134.68</v>
      </c>
      <c r="J61" s="56">
        <v>145.4</v>
      </c>
      <c r="K61" s="56">
        <v>119.92</v>
      </c>
      <c r="L61" s="56">
        <v>112.24</v>
      </c>
      <c r="M61" s="56">
        <v>154.79</v>
      </c>
      <c r="N61" s="56">
        <v>182.32</v>
      </c>
      <c r="O61" s="56">
        <v>139.07</v>
      </c>
      <c r="P61" s="56">
        <v>132.41999999999999</v>
      </c>
      <c r="Q61" s="56">
        <v>182.38</v>
      </c>
      <c r="R61" s="56">
        <v>191.8</v>
      </c>
      <c r="S61" s="56">
        <v>149.63</v>
      </c>
      <c r="T61" s="56">
        <v>142.65</v>
      </c>
      <c r="U61" s="56">
        <v>199.43</v>
      </c>
      <c r="V61" s="56">
        <v>226.12</v>
      </c>
      <c r="W61" s="56">
        <v>160.07</v>
      </c>
      <c r="X61" s="9">
        <v>1.5589046523322599E-2</v>
      </c>
      <c r="Y61" s="10">
        <v>2.558293070851958E-2</v>
      </c>
      <c r="Z61" s="10">
        <v>5.0211408757735887E-2</v>
      </c>
      <c r="AA61" s="10">
        <v>1.4543833498182E-2</v>
      </c>
    </row>
    <row r="62" spans="2:27" x14ac:dyDescent="0.3">
      <c r="B62" s="12" t="s">
        <v>181</v>
      </c>
      <c r="C62" s="3" t="s">
        <v>526</v>
      </c>
      <c r="D62" s="3" t="s">
        <v>573</v>
      </c>
      <c r="E62" s="3" t="s">
        <v>528</v>
      </c>
      <c r="F62" s="5">
        <v>1.4</v>
      </c>
      <c r="G62" s="56">
        <v>-67.14</v>
      </c>
      <c r="H62" s="56">
        <v>-90.66</v>
      </c>
      <c r="I62" s="56">
        <v>-95.87</v>
      </c>
      <c r="J62" s="56">
        <v>-120.65</v>
      </c>
      <c r="K62" s="57">
        <v>-113.43</v>
      </c>
      <c r="L62" s="56">
        <v>-109.98</v>
      </c>
      <c r="M62" s="56">
        <v>-123.54</v>
      </c>
      <c r="N62" s="56">
        <v>-120.87</v>
      </c>
      <c r="O62" s="56">
        <v>-124.64</v>
      </c>
      <c r="P62" s="56">
        <v>-107.4</v>
      </c>
      <c r="Q62" s="56">
        <v>-133.36000000000001</v>
      </c>
      <c r="R62" s="56">
        <v>-129.86000000000001</v>
      </c>
      <c r="S62" s="56">
        <v>-104.19</v>
      </c>
      <c r="T62" s="56">
        <v>-123.58</v>
      </c>
      <c r="U62" s="56">
        <v>-108.79</v>
      </c>
      <c r="V62" s="56">
        <v>-105.49</v>
      </c>
      <c r="W62" s="56">
        <v>-110.45</v>
      </c>
      <c r="X62" s="9">
        <v>3.4076788610180708E-2</v>
      </c>
      <c r="Y62" s="10">
        <v>-5.0041752377848803E-2</v>
      </c>
      <c r="Z62" s="10">
        <v>-5.2249045924274262E-2</v>
      </c>
      <c r="AA62" s="10">
        <v>1.4161293971270311E-2</v>
      </c>
    </row>
    <row r="63" spans="2:27" x14ac:dyDescent="0.3">
      <c r="B63" s="12" t="s">
        <v>325</v>
      </c>
      <c r="C63" s="3" t="s">
        <v>526</v>
      </c>
      <c r="D63" s="3" t="s">
        <v>537</v>
      </c>
      <c r="E63" s="3" t="s">
        <v>528</v>
      </c>
      <c r="F63" s="5">
        <v>1.3</v>
      </c>
      <c r="G63" s="56">
        <v>58.03</v>
      </c>
      <c r="H63" s="56">
        <v>24.24</v>
      </c>
      <c r="I63" s="56">
        <v>26.39</v>
      </c>
      <c r="J63" s="56">
        <v>27.08</v>
      </c>
      <c r="K63" s="56">
        <v>30.05</v>
      </c>
      <c r="L63" s="56">
        <v>29.04</v>
      </c>
      <c r="M63" s="56">
        <v>28.66</v>
      </c>
      <c r="N63" s="56">
        <v>30.02</v>
      </c>
      <c r="O63" s="56">
        <v>27.07</v>
      </c>
      <c r="P63" s="56">
        <v>21.37</v>
      </c>
      <c r="Q63" s="56">
        <v>18.649999999999999</v>
      </c>
      <c r="R63" s="56">
        <v>28.84</v>
      </c>
      <c r="S63" s="56">
        <v>27.65</v>
      </c>
      <c r="T63" s="56">
        <v>28.98</v>
      </c>
      <c r="U63" s="57">
        <v>32.36</v>
      </c>
      <c r="V63" s="56">
        <v>36.14</v>
      </c>
      <c r="W63" s="56">
        <v>29.29</v>
      </c>
      <c r="X63" s="9">
        <v>7.8851932442234096E-2</v>
      </c>
      <c r="Y63" s="8">
        <v>0.1316749903956973</v>
      </c>
      <c r="Z63" s="10">
        <v>6.1953662055503678E-2</v>
      </c>
      <c r="AA63" s="10">
        <v>1.3106369375849081E-2</v>
      </c>
    </row>
    <row r="64" spans="2:27" hidden="1" x14ac:dyDescent="0.3">
      <c r="B64" s="3" t="s">
        <v>314</v>
      </c>
      <c r="C64" s="3" t="s">
        <v>526</v>
      </c>
      <c r="D64" s="3" t="s">
        <v>595</v>
      </c>
      <c r="E64" s="3" t="s">
        <v>593</v>
      </c>
      <c r="F64" s="5">
        <v>1.5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>
        <v>-16.059999999999999</v>
      </c>
      <c r="S64" s="4">
        <v>-14.18</v>
      </c>
      <c r="T64" s="4">
        <v>-14.93</v>
      </c>
      <c r="U64" s="4">
        <v>-17.5</v>
      </c>
      <c r="V64" s="4">
        <v>-13.72</v>
      </c>
      <c r="W64" s="4">
        <v>-15.1</v>
      </c>
      <c r="X64" s="7"/>
      <c r="Y64" s="3"/>
      <c r="Z64" s="10">
        <v>-3.7338439444710492E-2</v>
      </c>
      <c r="AA64" s="10">
        <v>1.524946129620419E-2</v>
      </c>
    </row>
    <row r="65" spans="2:27" x14ac:dyDescent="0.3">
      <c r="B65" s="12" t="s">
        <v>177</v>
      </c>
      <c r="C65" s="3" t="s">
        <v>526</v>
      </c>
      <c r="D65" s="3" t="s">
        <v>575</v>
      </c>
      <c r="E65" s="3" t="s">
        <v>528</v>
      </c>
      <c r="F65" s="5">
        <v>1.3</v>
      </c>
      <c r="G65" s="56">
        <v>131.97999999999999</v>
      </c>
      <c r="H65" s="56">
        <v>129.04</v>
      </c>
      <c r="I65" s="56">
        <v>132.07</v>
      </c>
      <c r="J65" s="56">
        <v>135.68</v>
      </c>
      <c r="K65" s="56">
        <v>144.13999999999999</v>
      </c>
      <c r="L65" s="56">
        <v>148.1</v>
      </c>
      <c r="M65" s="56">
        <v>151.34</v>
      </c>
      <c r="N65" s="56">
        <v>162.78</v>
      </c>
      <c r="O65" s="56">
        <v>155.82</v>
      </c>
      <c r="P65" s="56">
        <v>166.25</v>
      </c>
      <c r="Q65" s="56">
        <v>152.75</v>
      </c>
      <c r="R65" s="56">
        <v>162.76</v>
      </c>
      <c r="S65" s="56">
        <v>177.74</v>
      </c>
      <c r="T65" s="56">
        <v>178.04</v>
      </c>
      <c r="U65" s="56">
        <v>186.44</v>
      </c>
      <c r="V65" s="56">
        <v>180.66</v>
      </c>
      <c r="W65" s="56">
        <v>187.14</v>
      </c>
      <c r="X65" s="9">
        <v>1.7877179681576871E-2</v>
      </c>
      <c r="Y65" s="10">
        <v>5.018695347763269E-2</v>
      </c>
      <c r="Z65" s="10">
        <v>2.5390791228119939E-2</v>
      </c>
      <c r="AA65" s="10">
        <v>1.30035413899956E-2</v>
      </c>
    </row>
    <row r="66" spans="2:27" x14ac:dyDescent="0.3">
      <c r="B66" s="12" t="s">
        <v>177</v>
      </c>
      <c r="C66" s="3" t="s">
        <v>526</v>
      </c>
      <c r="D66" s="3" t="s">
        <v>575</v>
      </c>
      <c r="E66" s="3" t="s">
        <v>528</v>
      </c>
      <c r="F66" s="5">
        <v>1.3</v>
      </c>
      <c r="G66" s="56">
        <v>131.97999999999999</v>
      </c>
      <c r="H66" s="56">
        <v>129.04</v>
      </c>
      <c r="I66" s="56">
        <v>132.07</v>
      </c>
      <c r="J66" s="56">
        <v>135.68</v>
      </c>
      <c r="K66" s="56">
        <v>144.13999999999999</v>
      </c>
      <c r="L66" s="56">
        <v>148.1</v>
      </c>
      <c r="M66" s="56">
        <v>151.34</v>
      </c>
      <c r="N66" s="56">
        <v>162.78</v>
      </c>
      <c r="O66" s="56">
        <v>155.82</v>
      </c>
      <c r="P66" s="56">
        <v>166.25</v>
      </c>
      <c r="Q66" s="56">
        <v>152.75</v>
      </c>
      <c r="R66" s="56">
        <v>162.76</v>
      </c>
      <c r="S66" s="56">
        <v>177.74</v>
      </c>
      <c r="T66" s="56">
        <v>178.04</v>
      </c>
      <c r="U66" s="56">
        <v>186.44</v>
      </c>
      <c r="V66" s="56">
        <v>180.66</v>
      </c>
      <c r="W66" s="56">
        <v>187.14</v>
      </c>
      <c r="X66" s="9">
        <v>1.7877179681576871E-2</v>
      </c>
      <c r="Y66" s="10">
        <v>5.018695347763269E-2</v>
      </c>
      <c r="Z66" s="10">
        <v>2.5390791228119939E-2</v>
      </c>
      <c r="AA66" s="10">
        <v>1.30035413899956E-2</v>
      </c>
    </row>
    <row r="67" spans="2:27" x14ac:dyDescent="0.3">
      <c r="B67" s="12" t="s">
        <v>179</v>
      </c>
      <c r="C67" s="3" t="s">
        <v>526</v>
      </c>
      <c r="D67" s="3" t="s">
        <v>568</v>
      </c>
      <c r="E67" s="3" t="s">
        <v>528</v>
      </c>
      <c r="F67" s="5">
        <v>1.3</v>
      </c>
      <c r="G67" s="56">
        <v>188.75</v>
      </c>
      <c r="H67" s="56">
        <v>171.81</v>
      </c>
      <c r="I67" s="56">
        <v>185.47</v>
      </c>
      <c r="J67" s="56">
        <v>204.22</v>
      </c>
      <c r="K67" s="56">
        <v>207.65</v>
      </c>
      <c r="L67" s="56">
        <v>190.07</v>
      </c>
      <c r="M67" s="56">
        <v>0</v>
      </c>
      <c r="N67" s="56">
        <v>229.32</v>
      </c>
      <c r="O67" s="56">
        <v>222.43</v>
      </c>
      <c r="P67" s="56">
        <v>215.95</v>
      </c>
      <c r="Q67" s="57">
        <v>245.33</v>
      </c>
      <c r="R67" s="56">
        <v>278.58</v>
      </c>
      <c r="S67" s="56">
        <v>239.88</v>
      </c>
      <c r="T67" s="56">
        <v>241.99</v>
      </c>
      <c r="U67" s="56">
        <v>255.12</v>
      </c>
      <c r="V67" s="56">
        <v>292.14</v>
      </c>
      <c r="W67" s="56">
        <v>253.04</v>
      </c>
      <c r="X67" s="9">
        <v>2.6578480004899149E-2</v>
      </c>
      <c r="Y67" s="10">
        <v>9.7337389886456016E-3</v>
      </c>
      <c r="Z67" s="10">
        <v>1.3352107683370029E-2</v>
      </c>
      <c r="AA67" s="10">
        <v>1.278750012146168E-2</v>
      </c>
    </row>
    <row r="68" spans="2:27" x14ac:dyDescent="0.3">
      <c r="B68" s="12" t="s">
        <v>464</v>
      </c>
      <c r="C68" s="3" t="s">
        <v>526</v>
      </c>
      <c r="D68" s="3" t="s">
        <v>529</v>
      </c>
      <c r="E68" s="3" t="s">
        <v>528</v>
      </c>
      <c r="F68" s="5">
        <v>1.2</v>
      </c>
      <c r="G68" s="56">
        <v>13.27</v>
      </c>
      <c r="H68" s="56">
        <v>-23.45</v>
      </c>
      <c r="I68" s="56">
        <v>-16.07</v>
      </c>
      <c r="J68" s="56">
        <v>30.83</v>
      </c>
      <c r="K68" s="57">
        <v>26.87</v>
      </c>
      <c r="L68" s="57">
        <v>38.81</v>
      </c>
      <c r="M68" s="57">
        <v>39.33</v>
      </c>
      <c r="N68" s="56">
        <v>35.700000000000003</v>
      </c>
      <c r="O68" s="56">
        <v>28.81</v>
      </c>
      <c r="P68" s="56">
        <v>30.6</v>
      </c>
      <c r="Q68" s="56">
        <v>8.34</v>
      </c>
      <c r="R68" s="56">
        <v>32.520000000000003</v>
      </c>
      <c r="S68" s="56">
        <v>29.77</v>
      </c>
      <c r="T68" s="56">
        <v>21.55</v>
      </c>
      <c r="U68" s="57">
        <v>26.31</v>
      </c>
      <c r="V68" s="56">
        <v>16.829999999999998</v>
      </c>
      <c r="W68" s="56">
        <v>30.87</v>
      </c>
      <c r="X68" s="9">
        <v>-8.9400375382791664E-2</v>
      </c>
      <c r="Y68" s="8">
        <v>0.19494467346495981</v>
      </c>
      <c r="Z68" s="10">
        <v>-0.14244212437585119</v>
      </c>
      <c r="AA68" s="10">
        <v>1.1645140800338851E-2</v>
      </c>
    </row>
    <row r="69" spans="2:27" x14ac:dyDescent="0.3">
      <c r="B69" s="12" t="s">
        <v>173</v>
      </c>
      <c r="C69" s="3" t="s">
        <v>526</v>
      </c>
      <c r="D69" s="3" t="s">
        <v>527</v>
      </c>
      <c r="E69" s="3" t="s">
        <v>528</v>
      </c>
      <c r="F69" s="5">
        <v>1.1000000000000001</v>
      </c>
      <c r="G69" s="56">
        <v>29.86</v>
      </c>
      <c r="H69" s="56">
        <v>30.09</v>
      </c>
      <c r="I69" s="56">
        <v>36.54</v>
      </c>
      <c r="J69" s="56">
        <v>64.989999999999995</v>
      </c>
      <c r="K69" s="57">
        <v>54.71</v>
      </c>
      <c r="L69" s="57">
        <v>56.97</v>
      </c>
      <c r="M69" s="57">
        <v>76.37</v>
      </c>
      <c r="N69" s="56">
        <v>76.48</v>
      </c>
      <c r="O69" s="57">
        <v>129.44999999999999</v>
      </c>
      <c r="P69" s="57">
        <v>103.9</v>
      </c>
      <c r="Q69" s="57">
        <v>128.26</v>
      </c>
      <c r="R69" s="56">
        <v>116.62</v>
      </c>
      <c r="S69" s="56">
        <v>105.15</v>
      </c>
      <c r="T69" s="56">
        <v>109.92</v>
      </c>
      <c r="U69" s="56">
        <v>98.9</v>
      </c>
      <c r="V69" s="56">
        <v>99.69</v>
      </c>
      <c r="W69" s="56">
        <v>109.58</v>
      </c>
      <c r="X69" s="9">
        <v>1.3261956689357261E-2</v>
      </c>
      <c r="Y69" s="10">
        <v>-6.3833025328840054E-2</v>
      </c>
      <c r="Z69" s="10">
        <v>-3.9318144870990952E-2</v>
      </c>
      <c r="AA69" s="10">
        <v>1.0709278151138649E-2</v>
      </c>
    </row>
    <row r="70" spans="2:27" x14ac:dyDescent="0.3">
      <c r="B70" s="12" t="s">
        <v>302</v>
      </c>
      <c r="C70" s="3" t="s">
        <v>526</v>
      </c>
      <c r="D70" s="3" t="s">
        <v>564</v>
      </c>
      <c r="E70" s="3" t="s">
        <v>528</v>
      </c>
      <c r="F70" s="5">
        <v>1</v>
      </c>
      <c r="G70" s="56">
        <v>1073</v>
      </c>
      <c r="H70" s="56">
        <v>1293</v>
      </c>
      <c r="I70" s="56">
        <v>1499</v>
      </c>
      <c r="J70" s="56">
        <v>1248</v>
      </c>
      <c r="K70" s="56">
        <v>1192</v>
      </c>
      <c r="L70" s="56">
        <v>1329</v>
      </c>
      <c r="M70" s="56">
        <v>1429</v>
      </c>
      <c r="N70" s="56">
        <v>1659</v>
      </c>
      <c r="O70" s="56">
        <v>1196</v>
      </c>
      <c r="P70" s="56">
        <v>1590</v>
      </c>
      <c r="Q70" s="56">
        <v>1593</v>
      </c>
      <c r="R70" s="56">
        <v>1557</v>
      </c>
      <c r="S70" s="56">
        <v>1718</v>
      </c>
      <c r="T70" s="56">
        <v>1511</v>
      </c>
      <c r="U70" s="56">
        <v>1630</v>
      </c>
      <c r="V70" s="56">
        <v>1825</v>
      </c>
      <c r="W70" s="56">
        <v>1784</v>
      </c>
      <c r="X70" s="9">
        <v>-1.2232889439454889E-2</v>
      </c>
      <c r="Y70" s="10">
        <v>5.8002821758895706E-3</v>
      </c>
      <c r="Z70" s="10">
        <v>4.1770573566084712E-2</v>
      </c>
      <c r="AA70" s="10">
        <v>9.8743267504488585E-3</v>
      </c>
    </row>
    <row r="71" spans="2:27" x14ac:dyDescent="0.3">
      <c r="B71" s="12" t="s">
        <v>289</v>
      </c>
      <c r="C71" s="3" t="s">
        <v>526</v>
      </c>
      <c r="D71" s="3" t="s">
        <v>543</v>
      </c>
      <c r="E71" s="3" t="s">
        <v>528</v>
      </c>
      <c r="F71" s="5">
        <v>0.7</v>
      </c>
      <c r="G71" s="56"/>
      <c r="H71" s="56">
        <v>76.900000000000006</v>
      </c>
      <c r="I71" s="56">
        <v>74</v>
      </c>
      <c r="J71" s="56">
        <v>78.5</v>
      </c>
      <c r="K71" s="56">
        <v>76.2</v>
      </c>
      <c r="L71" s="56">
        <v>68.400000000000006</v>
      </c>
      <c r="M71" s="56">
        <v>84.6</v>
      </c>
      <c r="N71" s="56">
        <v>83.1</v>
      </c>
      <c r="O71" s="56">
        <v>70.7</v>
      </c>
      <c r="P71" s="56">
        <v>58.8</v>
      </c>
      <c r="Q71" s="56">
        <v>74.400000000000006</v>
      </c>
      <c r="R71" s="56">
        <v>81.8</v>
      </c>
      <c r="S71" s="56">
        <v>77.599999999999994</v>
      </c>
      <c r="T71" s="56">
        <v>50.9</v>
      </c>
      <c r="U71" s="56">
        <v>68</v>
      </c>
      <c r="V71" s="56">
        <v>92</v>
      </c>
      <c r="W71" s="56">
        <v>79.599999999999994</v>
      </c>
      <c r="X71" s="9">
        <v>-2.6999316473000801E-2</v>
      </c>
      <c r="Y71" s="10">
        <v>-2.2479803301721061E-2</v>
      </c>
      <c r="Z71" s="10">
        <v>3.6651095939633338E-2</v>
      </c>
      <c r="AA71" s="10">
        <v>6.9324090121316573E-3</v>
      </c>
    </row>
    <row r="72" spans="2:27" x14ac:dyDescent="0.3">
      <c r="B72" s="12" t="s">
        <v>145</v>
      </c>
      <c r="C72" s="3" t="s">
        <v>526</v>
      </c>
      <c r="D72" s="3" t="s">
        <v>562</v>
      </c>
      <c r="E72" s="3" t="s">
        <v>528</v>
      </c>
      <c r="F72" s="5">
        <v>0.7</v>
      </c>
      <c r="G72" s="56">
        <v>288.69</v>
      </c>
      <c r="H72" s="56">
        <v>335.21</v>
      </c>
      <c r="I72" s="56">
        <v>220.92</v>
      </c>
      <c r="J72" s="56">
        <v>189.05</v>
      </c>
      <c r="K72" s="56">
        <v>239.7</v>
      </c>
      <c r="L72" s="56">
        <v>244.93</v>
      </c>
      <c r="M72" s="56">
        <v>226.55</v>
      </c>
      <c r="N72" s="56">
        <v>220.47</v>
      </c>
      <c r="O72" s="56">
        <v>241.04</v>
      </c>
      <c r="P72" s="56">
        <v>232.89</v>
      </c>
      <c r="Q72" s="56">
        <v>218.92</v>
      </c>
      <c r="R72" s="56">
        <v>208.91</v>
      </c>
      <c r="S72" s="56">
        <v>271.64999999999998</v>
      </c>
      <c r="T72" s="56">
        <v>246.72</v>
      </c>
      <c r="U72" s="56">
        <v>221.97</v>
      </c>
      <c r="V72" s="56">
        <v>227.21</v>
      </c>
      <c r="W72" s="56">
        <v>278.02</v>
      </c>
      <c r="X72" s="9">
        <v>1.4833167090318339E-2</v>
      </c>
      <c r="Y72" s="10">
        <v>3.2234199957725811E-3</v>
      </c>
      <c r="Z72" s="10">
        <v>1.9278377666578809E-2</v>
      </c>
      <c r="AA72" s="10">
        <v>6.5836390884193019E-3</v>
      </c>
    </row>
    <row r="73" spans="2:27" x14ac:dyDescent="0.3">
      <c r="B73" s="12" t="s">
        <v>97</v>
      </c>
      <c r="C73" s="3" t="s">
        <v>526</v>
      </c>
      <c r="D73" s="3" t="s">
        <v>563</v>
      </c>
      <c r="E73" s="3" t="s">
        <v>528</v>
      </c>
      <c r="F73" s="5">
        <v>0.6</v>
      </c>
      <c r="G73" s="56">
        <v>0</v>
      </c>
      <c r="H73" s="56">
        <v>643</v>
      </c>
      <c r="I73" s="56">
        <v>476</v>
      </c>
      <c r="J73" s="56">
        <v>480</v>
      </c>
      <c r="K73" s="57">
        <v>771</v>
      </c>
      <c r="L73" s="56">
        <v>651</v>
      </c>
      <c r="M73" s="56">
        <v>566</v>
      </c>
      <c r="N73" s="56">
        <v>575</v>
      </c>
      <c r="O73" s="56">
        <v>823</v>
      </c>
      <c r="P73" s="56">
        <v>825</v>
      </c>
      <c r="Q73" s="56">
        <v>674</v>
      </c>
      <c r="R73" s="56">
        <v>705</v>
      </c>
      <c r="S73" s="56">
        <v>848</v>
      </c>
      <c r="T73" s="56">
        <v>986</v>
      </c>
      <c r="U73" s="56">
        <v>850</v>
      </c>
      <c r="V73" s="56">
        <v>815</v>
      </c>
      <c r="W73" s="56">
        <v>869</v>
      </c>
      <c r="X73" s="9">
        <v>5.2752293577981613E-2</v>
      </c>
      <c r="Y73" s="10">
        <v>5.4777466542172533E-2</v>
      </c>
      <c r="Z73" s="10">
        <v>3.245795219828862E-2</v>
      </c>
      <c r="AA73" s="10">
        <v>6.0017147756501474E-3</v>
      </c>
    </row>
    <row r="74" spans="2:27" x14ac:dyDescent="0.3">
      <c r="B74" s="12" t="s">
        <v>49</v>
      </c>
      <c r="C74" s="3" t="s">
        <v>526</v>
      </c>
      <c r="D74" s="3" t="s">
        <v>549</v>
      </c>
      <c r="E74" s="3" t="s">
        <v>528</v>
      </c>
      <c r="F74" s="5">
        <v>0.6</v>
      </c>
      <c r="G74" s="56">
        <v>264</v>
      </c>
      <c r="H74" s="56">
        <v>249</v>
      </c>
      <c r="I74" s="56">
        <v>270</v>
      </c>
      <c r="J74" s="56">
        <v>272</v>
      </c>
      <c r="K74" s="56">
        <v>272</v>
      </c>
      <c r="L74" s="56">
        <v>287</v>
      </c>
      <c r="M74" s="56">
        <v>323</v>
      </c>
      <c r="N74" s="56">
        <v>385</v>
      </c>
      <c r="O74" s="56">
        <v>322</v>
      </c>
      <c r="P74" s="57">
        <v>423</v>
      </c>
      <c r="Q74" s="56">
        <v>441</v>
      </c>
      <c r="R74" s="56">
        <v>448</v>
      </c>
      <c r="S74" s="56">
        <v>349</v>
      </c>
      <c r="T74" s="56">
        <v>494</v>
      </c>
      <c r="U74" s="56">
        <v>506</v>
      </c>
      <c r="V74" s="56">
        <v>533</v>
      </c>
      <c r="W74" s="56">
        <v>360</v>
      </c>
      <c r="X74" s="9">
        <v>4.2745334136062629E-2</v>
      </c>
      <c r="Y74" s="10">
        <v>3.7528868360277252E-2</v>
      </c>
      <c r="Z74" s="10">
        <v>4.7301057317751923E-2</v>
      </c>
      <c r="AA74" s="10">
        <v>5.8448459086077884E-3</v>
      </c>
    </row>
    <row r="75" spans="2:27" x14ac:dyDescent="0.3">
      <c r="B75" s="12" t="s">
        <v>197</v>
      </c>
      <c r="C75" s="3" t="s">
        <v>526</v>
      </c>
      <c r="D75" s="3" t="s">
        <v>580</v>
      </c>
      <c r="E75" s="3" t="s">
        <v>528</v>
      </c>
      <c r="F75" s="5">
        <v>-0.2</v>
      </c>
      <c r="G75" s="56">
        <v>178.59</v>
      </c>
      <c r="H75" s="56">
        <v>324</v>
      </c>
      <c r="I75" s="56">
        <v>373</v>
      </c>
      <c r="J75" s="56">
        <v>267</v>
      </c>
      <c r="K75" s="56">
        <v>236</v>
      </c>
      <c r="L75" s="56">
        <v>248</v>
      </c>
      <c r="M75" s="56">
        <v>233</v>
      </c>
      <c r="N75" s="56">
        <v>240</v>
      </c>
      <c r="O75" s="56">
        <v>227</v>
      </c>
      <c r="P75" s="56">
        <v>176</v>
      </c>
      <c r="Q75" s="56">
        <v>278</v>
      </c>
      <c r="R75" s="56">
        <v>285</v>
      </c>
      <c r="S75" s="56">
        <v>284</v>
      </c>
      <c r="T75" s="56">
        <v>230</v>
      </c>
      <c r="U75" s="56">
        <v>290</v>
      </c>
      <c r="V75" s="56">
        <v>289</v>
      </c>
      <c r="W75" s="56">
        <v>282</v>
      </c>
      <c r="X75" s="9">
        <v>5.2785923753665642E-2</v>
      </c>
      <c r="Y75" s="10">
        <v>1.1142061281337099E-2</v>
      </c>
      <c r="Z75" s="10">
        <v>3.6730945821854539E-3</v>
      </c>
      <c r="AA75" s="10">
        <v>-1.82982616651417E-3</v>
      </c>
    </row>
    <row r="76" spans="2:27" x14ac:dyDescent="0.3">
      <c r="B76" s="12" t="s">
        <v>16</v>
      </c>
      <c r="C76" s="3" t="s">
        <v>526</v>
      </c>
      <c r="D76" s="3" t="s">
        <v>553</v>
      </c>
      <c r="E76" s="3" t="s">
        <v>528</v>
      </c>
      <c r="F76" s="5">
        <v>-0.5</v>
      </c>
      <c r="G76" s="56">
        <v>2301</v>
      </c>
      <c r="H76" s="56">
        <v>3219</v>
      </c>
      <c r="I76" s="56">
        <v>2854</v>
      </c>
      <c r="J76" s="56">
        <v>3629</v>
      </c>
      <c r="K76" s="56">
        <v>3380</v>
      </c>
      <c r="L76" s="56">
        <v>3670</v>
      </c>
      <c r="M76" s="56">
        <v>4086</v>
      </c>
      <c r="N76" s="56">
        <v>4219</v>
      </c>
      <c r="O76" s="56">
        <v>3782</v>
      </c>
      <c r="P76" s="56">
        <v>4105</v>
      </c>
      <c r="Q76" s="56">
        <v>4621</v>
      </c>
      <c r="R76" s="56">
        <v>4812</v>
      </c>
      <c r="S76" s="56">
        <v>4570</v>
      </c>
      <c r="T76" s="56">
        <v>4800</v>
      </c>
      <c r="U76" s="56">
        <v>5213</v>
      </c>
      <c r="V76" s="56">
        <v>4881</v>
      </c>
      <c r="W76" s="56">
        <v>4482</v>
      </c>
      <c r="X76" s="9">
        <v>3.8380826154186032E-2</v>
      </c>
      <c r="Y76" s="10">
        <v>3.148433760570124E-2</v>
      </c>
      <c r="Z76" s="10">
        <v>3.5576179427687649E-3</v>
      </c>
      <c r="AA76" s="10">
        <v>-4.52116728318952E-3</v>
      </c>
    </row>
    <row r="77" spans="2:27" hidden="1" x14ac:dyDescent="0.3">
      <c r="B77" s="3" t="s">
        <v>61</v>
      </c>
      <c r="C77" s="3" t="s">
        <v>526</v>
      </c>
      <c r="D77" s="3" t="s">
        <v>567</v>
      </c>
      <c r="E77" s="3" t="s">
        <v>600</v>
      </c>
      <c r="F77" s="5"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4">
        <v>0.4</v>
      </c>
      <c r="U77" s="4">
        <v>0.27</v>
      </c>
      <c r="V77" s="4">
        <v>0.46</v>
      </c>
      <c r="W77" s="4">
        <v>-0.48</v>
      </c>
      <c r="X77" s="7"/>
      <c r="Y77" s="3"/>
      <c r="Z77" s="3"/>
      <c r="AA77" s="3"/>
    </row>
    <row r="78" spans="2:27" x14ac:dyDescent="0.3">
      <c r="B78" s="12" t="s">
        <v>221</v>
      </c>
      <c r="C78" s="3" t="s">
        <v>526</v>
      </c>
      <c r="D78" s="3" t="s">
        <v>536</v>
      </c>
      <c r="E78" s="3" t="s">
        <v>528</v>
      </c>
      <c r="F78" s="5">
        <v>-1.1000000000000001</v>
      </c>
      <c r="G78" s="56">
        <v>93.95</v>
      </c>
      <c r="H78" s="56">
        <v>56.28</v>
      </c>
      <c r="I78" s="56">
        <v>68.67</v>
      </c>
      <c r="J78" s="56">
        <v>78.22</v>
      </c>
      <c r="K78" s="56">
        <v>99.64</v>
      </c>
      <c r="L78" s="56">
        <v>78.63</v>
      </c>
      <c r="M78" s="57">
        <v>105.02</v>
      </c>
      <c r="N78" s="56">
        <v>102.54</v>
      </c>
      <c r="O78" s="56">
        <v>116.39</v>
      </c>
      <c r="P78" s="56">
        <v>89.9</v>
      </c>
      <c r="Q78" s="56">
        <v>108.78</v>
      </c>
      <c r="R78" s="56">
        <v>99.85</v>
      </c>
      <c r="S78" s="56">
        <v>122.65</v>
      </c>
      <c r="T78" s="56">
        <v>90.62</v>
      </c>
      <c r="U78" s="56">
        <v>102.92</v>
      </c>
      <c r="V78" s="56">
        <v>105.48</v>
      </c>
      <c r="W78" s="56">
        <v>117.88</v>
      </c>
      <c r="X78" s="9">
        <v>1.7094828814283589E-3</v>
      </c>
      <c r="Y78" s="10">
        <v>-1.3889547286086599E-2</v>
      </c>
      <c r="Z78" s="10">
        <v>1.3532352658398141E-2</v>
      </c>
      <c r="AA78" s="10">
        <v>-1.1312163540209251E-2</v>
      </c>
    </row>
    <row r="79" spans="2:27" hidden="1" x14ac:dyDescent="0.3">
      <c r="B79" s="3" t="s">
        <v>316</v>
      </c>
      <c r="C79" s="3" t="s">
        <v>526</v>
      </c>
      <c r="D79" s="3" t="s">
        <v>598</v>
      </c>
      <c r="E79" s="3" t="s">
        <v>593</v>
      </c>
      <c r="F79" s="5">
        <v>-0.3</v>
      </c>
      <c r="G79" s="4">
        <v>29.89</v>
      </c>
      <c r="H79" s="4">
        <v>25.91</v>
      </c>
      <c r="I79" s="4">
        <v>15.71</v>
      </c>
      <c r="J79" s="4">
        <v>15.49</v>
      </c>
      <c r="K79" s="4">
        <v>33.11</v>
      </c>
      <c r="L79" s="4">
        <v>30.9</v>
      </c>
      <c r="M79" s="4">
        <v>8.8699999999999992</v>
      </c>
      <c r="N79" s="4">
        <v>19.62</v>
      </c>
      <c r="O79" s="6">
        <v>44.49</v>
      </c>
      <c r="P79" s="4">
        <v>36.049999999999997</v>
      </c>
      <c r="Q79" s="4">
        <v>18.2</v>
      </c>
      <c r="R79" s="4">
        <v>17.96</v>
      </c>
      <c r="S79" s="4">
        <v>39.96</v>
      </c>
      <c r="T79" s="4">
        <v>40.54</v>
      </c>
      <c r="U79" s="4">
        <v>19.809999999999999</v>
      </c>
      <c r="V79" s="4">
        <v>22.73</v>
      </c>
      <c r="W79" s="4">
        <v>39.590000000000003</v>
      </c>
      <c r="X79" s="9">
        <v>4.0028528126950118E-2</v>
      </c>
      <c r="Y79" s="10">
        <v>1.3800788616492371E-2</v>
      </c>
      <c r="Z79" s="10">
        <v>4.0331444998731758E-2</v>
      </c>
      <c r="AA79" s="10">
        <v>-3.0071521456436212E-3</v>
      </c>
    </row>
    <row r="80" spans="2:27" x14ac:dyDescent="0.3">
      <c r="B80" s="12" t="s">
        <v>137</v>
      </c>
      <c r="C80" s="3" t="s">
        <v>526</v>
      </c>
      <c r="D80" s="3" t="s">
        <v>532</v>
      </c>
      <c r="E80" s="3" t="s">
        <v>528</v>
      </c>
      <c r="F80" s="5">
        <v>-1.4</v>
      </c>
      <c r="G80" s="56">
        <v>-112.58</v>
      </c>
      <c r="H80" s="56">
        <v>-128.03</v>
      </c>
      <c r="I80" s="56">
        <v>-141.88999999999999</v>
      </c>
      <c r="J80" s="56">
        <v>-144.51</v>
      </c>
      <c r="K80" s="56">
        <v>-147.38999999999999</v>
      </c>
      <c r="L80" s="56">
        <v>-143.69</v>
      </c>
      <c r="M80" s="56">
        <v>-140.84</v>
      </c>
      <c r="N80" s="56">
        <v>-134.41</v>
      </c>
      <c r="O80" s="56">
        <v>-36.61</v>
      </c>
      <c r="P80" s="56">
        <v>-49.15</v>
      </c>
      <c r="Q80" s="56">
        <v>-133.26</v>
      </c>
      <c r="R80" s="56">
        <v>-96.74</v>
      </c>
      <c r="S80" s="56">
        <v>0.38</v>
      </c>
      <c r="T80" s="57">
        <v>-104.21</v>
      </c>
      <c r="U80" s="56">
        <v>-52.95</v>
      </c>
      <c r="V80" s="56">
        <v>11</v>
      </c>
      <c r="W80" s="56">
        <v>2.39</v>
      </c>
      <c r="X80" s="11">
        <v>0.19751049252071609</v>
      </c>
      <c r="Y80" s="10">
        <v>-0.2405715483928946</v>
      </c>
      <c r="Z80" s="10">
        <v>-0.42497633322814771</v>
      </c>
      <c r="AA80" s="10">
        <v>-1.3787899574701499E-2</v>
      </c>
    </row>
    <row r="81" spans="2:27" hidden="1" x14ac:dyDescent="0.3">
      <c r="B81" s="3" t="s">
        <v>444</v>
      </c>
      <c r="C81" s="3" t="s">
        <v>526</v>
      </c>
      <c r="D81" s="3" t="s">
        <v>601</v>
      </c>
      <c r="E81" s="3" t="s">
        <v>593</v>
      </c>
      <c r="F81" s="5">
        <v>-0.7</v>
      </c>
      <c r="G81" s="4">
        <v>21.41</v>
      </c>
      <c r="H81" s="4">
        <v>20.28</v>
      </c>
      <c r="I81" s="4">
        <v>21.17</v>
      </c>
      <c r="J81" s="4">
        <v>21.8</v>
      </c>
      <c r="K81" s="4">
        <v>20.239999999999998</v>
      </c>
      <c r="L81" s="4">
        <v>23.08</v>
      </c>
      <c r="M81" s="4">
        <v>19.059999999999999</v>
      </c>
      <c r="N81" s="4">
        <v>19.62</v>
      </c>
      <c r="O81" s="4">
        <v>21.79</v>
      </c>
      <c r="P81" s="4">
        <v>16.8</v>
      </c>
      <c r="Q81" s="4">
        <v>20.49</v>
      </c>
      <c r="R81" s="4">
        <v>19.43</v>
      </c>
      <c r="S81" s="4">
        <v>18.91</v>
      </c>
      <c r="T81" s="4">
        <v>20.239999999999998</v>
      </c>
      <c r="U81" s="4">
        <v>20.9</v>
      </c>
      <c r="V81" s="4">
        <v>21.29</v>
      </c>
      <c r="W81" s="4">
        <v>18.350000000000001</v>
      </c>
      <c r="X81" s="9">
        <v>4.5484596059764508E-2</v>
      </c>
      <c r="Y81" s="10">
        <v>5.1852788668267369E-3</v>
      </c>
      <c r="Z81" s="10">
        <v>2.3402113739305671E-2</v>
      </c>
      <c r="AA81" s="10">
        <v>-6.8846815834767714E-3</v>
      </c>
    </row>
    <row r="82" spans="2:27" x14ac:dyDescent="0.3">
      <c r="B82" s="12" t="s">
        <v>271</v>
      </c>
      <c r="C82" s="3" t="s">
        <v>526</v>
      </c>
      <c r="D82" s="3" t="s">
        <v>577</v>
      </c>
      <c r="E82" s="3" t="s">
        <v>528</v>
      </c>
      <c r="F82" s="5">
        <v>-3</v>
      </c>
      <c r="G82" s="56">
        <v>16.09</v>
      </c>
      <c r="H82" s="56">
        <v>2.76</v>
      </c>
      <c r="I82" s="56">
        <v>9.89</v>
      </c>
      <c r="J82" s="56">
        <v>38.07</v>
      </c>
      <c r="K82" s="57">
        <v>41.1</v>
      </c>
      <c r="L82" s="57">
        <v>33.28</v>
      </c>
      <c r="M82" s="57">
        <v>33.97</v>
      </c>
      <c r="N82" s="56">
        <v>37.69</v>
      </c>
      <c r="O82" s="56">
        <v>38.409999999999997</v>
      </c>
      <c r="P82" s="56">
        <v>30.13</v>
      </c>
      <c r="Q82" s="56">
        <v>28.63</v>
      </c>
      <c r="R82" s="56">
        <v>31.49</v>
      </c>
      <c r="S82" s="56">
        <v>39.520000000000003</v>
      </c>
      <c r="T82" s="56">
        <v>26.43</v>
      </c>
      <c r="U82" s="56">
        <v>27.2</v>
      </c>
      <c r="V82" s="56">
        <v>40.72</v>
      </c>
      <c r="W82" s="56">
        <v>35.54</v>
      </c>
      <c r="X82" s="9">
        <v>-2.851198273869171E-2</v>
      </c>
      <c r="Y82" s="10">
        <v>-1.13429047354644E-2</v>
      </c>
      <c r="Z82" s="10">
        <v>7.4053273427471256E-2</v>
      </c>
      <c r="AA82" s="10">
        <v>-2.9730335400015129E-2</v>
      </c>
    </row>
    <row r="83" spans="2:27" x14ac:dyDescent="0.3">
      <c r="B83" s="12" t="s">
        <v>109</v>
      </c>
      <c r="C83" s="3" t="s">
        <v>526</v>
      </c>
      <c r="D83" s="3" t="s">
        <v>533</v>
      </c>
      <c r="E83" s="3" t="s">
        <v>528</v>
      </c>
      <c r="F83" s="5">
        <v>-3.3</v>
      </c>
      <c r="G83" s="56">
        <v>-140.53</v>
      </c>
      <c r="H83" s="56">
        <v>-171.16</v>
      </c>
      <c r="I83" s="56">
        <v>-197.4</v>
      </c>
      <c r="J83" s="56">
        <v>-239.63</v>
      </c>
      <c r="K83" s="57">
        <v>-273.18</v>
      </c>
      <c r="L83" s="56">
        <v>-254.87</v>
      </c>
      <c r="M83" s="56">
        <v>-188.51</v>
      </c>
      <c r="N83" s="56">
        <v>-127.4</v>
      </c>
      <c r="O83" s="56">
        <v>-188.59</v>
      </c>
      <c r="P83" s="56">
        <v>-269.72000000000003</v>
      </c>
      <c r="Q83" s="56">
        <v>-129.66999999999999</v>
      </c>
      <c r="R83" s="56">
        <v>-127.07</v>
      </c>
      <c r="S83" s="56">
        <v>-114.5</v>
      </c>
      <c r="T83" s="56">
        <v>-121.4</v>
      </c>
      <c r="U83" s="56">
        <v>-118.48</v>
      </c>
      <c r="V83" s="56">
        <v>-125.88</v>
      </c>
      <c r="W83" s="56">
        <v>-98.84</v>
      </c>
      <c r="X83" s="9">
        <v>-0.23140289565651531</v>
      </c>
      <c r="Y83" s="10">
        <v>-2.2714355310165631E-2</v>
      </c>
      <c r="Z83" s="10">
        <v>-2.4717000726970362E-3</v>
      </c>
      <c r="AA83" s="10">
        <v>-3.2607337692083349E-2</v>
      </c>
    </row>
    <row r="84" spans="2:27" hidden="1" x14ac:dyDescent="0.3">
      <c r="B84" s="3" t="s">
        <v>37</v>
      </c>
      <c r="C84" s="3" t="s">
        <v>526</v>
      </c>
      <c r="D84" s="3" t="s">
        <v>568</v>
      </c>
      <c r="E84" s="3" t="s">
        <v>593</v>
      </c>
      <c r="F84" s="5">
        <v>-1.5</v>
      </c>
      <c r="G84" s="4">
        <v>1742</v>
      </c>
      <c r="H84" s="4">
        <v>2721</v>
      </c>
      <c r="I84" s="4">
        <v>-1483</v>
      </c>
      <c r="J84" s="4">
        <v>-2423</v>
      </c>
      <c r="K84" s="4">
        <v>793</v>
      </c>
      <c r="L84" s="6">
        <v>1060</v>
      </c>
      <c r="M84" s="4">
        <v>2086</v>
      </c>
      <c r="N84" s="6">
        <v>1817</v>
      </c>
      <c r="O84" s="6">
        <v>1590</v>
      </c>
      <c r="P84" s="6">
        <v>2567</v>
      </c>
      <c r="Q84" s="4">
        <v>1676</v>
      </c>
      <c r="R84" s="4">
        <v>1867</v>
      </c>
      <c r="S84" s="6">
        <v>2777</v>
      </c>
      <c r="T84" s="4">
        <v>2600</v>
      </c>
      <c r="U84" s="4">
        <v>1078</v>
      </c>
      <c r="V84" s="4">
        <v>2619</v>
      </c>
      <c r="W84" s="4">
        <v>2639</v>
      </c>
      <c r="X84" s="9">
        <v>3.713289073928205E-3</v>
      </c>
      <c r="Y84" s="10">
        <v>-6.7040358744394624E-2</v>
      </c>
      <c r="Z84" s="10">
        <v>9.0362893535207878E-2</v>
      </c>
      <c r="AA84" s="10">
        <v>-1.520828741459113E-2</v>
      </c>
    </row>
    <row r="85" spans="2:27" x14ac:dyDescent="0.3">
      <c r="B85" s="12" t="s">
        <v>187</v>
      </c>
      <c r="C85" s="3" t="s">
        <v>526</v>
      </c>
      <c r="D85" s="3" t="s">
        <v>578</v>
      </c>
      <c r="E85" s="3" t="s">
        <v>528</v>
      </c>
      <c r="F85" s="5">
        <v>-3.8</v>
      </c>
      <c r="G85" s="56">
        <v>500.6</v>
      </c>
      <c r="H85" s="56">
        <v>513.29999999999995</v>
      </c>
      <c r="I85" s="56">
        <v>520.6</v>
      </c>
      <c r="J85" s="56">
        <v>516.9</v>
      </c>
      <c r="K85" s="56">
        <v>405.3</v>
      </c>
      <c r="L85" s="56">
        <v>390.1</v>
      </c>
      <c r="M85" s="56">
        <v>480.3</v>
      </c>
      <c r="N85" s="56">
        <v>474.3</v>
      </c>
      <c r="O85" s="56">
        <v>389.1</v>
      </c>
      <c r="P85" s="56">
        <v>349.1</v>
      </c>
      <c r="Q85" s="56">
        <v>395.4</v>
      </c>
      <c r="R85" s="56">
        <v>422.1</v>
      </c>
      <c r="S85" s="56">
        <v>411.9</v>
      </c>
      <c r="T85" s="56">
        <v>406.5</v>
      </c>
      <c r="U85" s="56">
        <v>425.4</v>
      </c>
      <c r="V85" s="56">
        <v>437.5</v>
      </c>
      <c r="W85" s="56">
        <v>348.1</v>
      </c>
      <c r="X85" s="9">
        <v>3.6363636363636383E-2</v>
      </c>
      <c r="Y85" s="10">
        <v>1.833852924995405E-2</v>
      </c>
      <c r="Z85" s="10">
        <v>9.2442523560836154E-3</v>
      </c>
      <c r="AA85" s="10">
        <v>-3.7946826860167697E-2</v>
      </c>
    </row>
    <row r="86" spans="2:27" hidden="1" x14ac:dyDescent="0.3">
      <c r="B86" s="3" t="s">
        <v>281</v>
      </c>
      <c r="C86" s="3" t="s">
        <v>526</v>
      </c>
      <c r="D86" s="3" t="s">
        <v>543</v>
      </c>
      <c r="E86" s="3" t="s">
        <v>593</v>
      </c>
      <c r="F86" s="5">
        <v>-3</v>
      </c>
      <c r="G86" s="4">
        <v>31.65</v>
      </c>
      <c r="H86" s="4">
        <v>35.090000000000003</v>
      </c>
      <c r="I86" s="4">
        <v>35.81</v>
      </c>
      <c r="J86" s="4">
        <v>37.46</v>
      </c>
      <c r="K86" s="4">
        <v>39.36</v>
      </c>
      <c r="L86" s="4">
        <v>40.200000000000003</v>
      </c>
      <c r="M86" s="4">
        <v>40.11</v>
      </c>
      <c r="N86" s="4">
        <v>43.15</v>
      </c>
      <c r="O86" s="4">
        <v>44.51</v>
      </c>
      <c r="P86" s="4">
        <v>40.97</v>
      </c>
      <c r="Q86" s="4">
        <v>40.380000000000003</v>
      </c>
      <c r="R86" s="4">
        <v>49.87</v>
      </c>
      <c r="S86" s="4">
        <v>50.66</v>
      </c>
      <c r="T86" s="4">
        <v>39.049999999999997</v>
      </c>
      <c r="U86" s="4">
        <v>35.93</v>
      </c>
      <c r="V86" s="4">
        <v>40.31</v>
      </c>
      <c r="W86" s="4">
        <v>45.62</v>
      </c>
      <c r="X86" s="9">
        <v>-1.0556410820321219E-2</v>
      </c>
      <c r="Y86" s="10">
        <v>-2.472771727050449E-2</v>
      </c>
      <c r="Z86" s="10">
        <v>-5.4469830778873018E-2</v>
      </c>
      <c r="AA86" s="10">
        <v>-3.0370593552274779E-2</v>
      </c>
    </row>
    <row r="87" spans="2:27" x14ac:dyDescent="0.3">
      <c r="B87" s="12" t="s">
        <v>141</v>
      </c>
      <c r="C87" s="3" t="s">
        <v>526</v>
      </c>
      <c r="D87" s="3" t="s">
        <v>578</v>
      </c>
      <c r="E87" s="3" t="s">
        <v>528</v>
      </c>
      <c r="F87" s="5">
        <v>-4</v>
      </c>
      <c r="G87" s="56">
        <v>356.3</v>
      </c>
      <c r="H87" s="56">
        <v>402</v>
      </c>
      <c r="I87" s="56">
        <v>387.6</v>
      </c>
      <c r="J87" s="56">
        <v>362.7</v>
      </c>
      <c r="K87" s="56">
        <v>335.5</v>
      </c>
      <c r="L87" s="56">
        <v>373.5</v>
      </c>
      <c r="M87" s="56">
        <v>380.8</v>
      </c>
      <c r="N87" s="56">
        <v>331.5</v>
      </c>
      <c r="O87" s="56">
        <v>306.39999999999998</v>
      </c>
      <c r="P87" s="56">
        <v>327.60000000000002</v>
      </c>
      <c r="Q87" s="56">
        <v>338</v>
      </c>
      <c r="R87" s="56">
        <v>317.39999999999998</v>
      </c>
      <c r="S87" s="56">
        <v>333.8</v>
      </c>
      <c r="T87" s="56">
        <v>318.89999999999998</v>
      </c>
      <c r="U87" s="56">
        <v>348.2</v>
      </c>
      <c r="V87" s="56">
        <v>298.7</v>
      </c>
      <c r="W87" s="56">
        <v>282.3</v>
      </c>
      <c r="X87" s="9">
        <v>-6.6069258809234874E-3</v>
      </c>
      <c r="Y87" s="10">
        <v>7.7975689931961689E-3</v>
      </c>
      <c r="Z87" s="10">
        <v>-1.4184935143745751E-2</v>
      </c>
      <c r="AA87" s="10">
        <v>-3.9627577716220393E-2</v>
      </c>
    </row>
    <row r="88" spans="2:27" x14ac:dyDescent="0.3">
      <c r="B88" s="12" t="s">
        <v>183</v>
      </c>
      <c r="C88" s="3" t="s">
        <v>526</v>
      </c>
      <c r="D88" s="3" t="s">
        <v>544</v>
      </c>
      <c r="E88" s="3" t="s">
        <v>528</v>
      </c>
      <c r="F88" s="5">
        <v>-4.9000000000000004</v>
      </c>
      <c r="G88" s="56">
        <v>-113.68</v>
      </c>
      <c r="H88" s="56">
        <v>-111.48</v>
      </c>
      <c r="I88" s="56">
        <v>-117.31</v>
      </c>
      <c r="J88" s="56">
        <v>-118.9</v>
      </c>
      <c r="K88" s="56">
        <v>-114.99</v>
      </c>
      <c r="L88" s="56">
        <v>-132.71</v>
      </c>
      <c r="M88" s="56">
        <v>-118.43</v>
      </c>
      <c r="N88" s="56">
        <v>-108.1</v>
      </c>
      <c r="O88" s="56">
        <v>-84.68</v>
      </c>
      <c r="P88" s="56">
        <v>-111.35</v>
      </c>
      <c r="Q88" s="56">
        <v>-108.35</v>
      </c>
      <c r="R88" s="56">
        <v>-93.66</v>
      </c>
      <c r="S88" s="56">
        <v>-105.78</v>
      </c>
      <c r="T88" s="56">
        <v>-101.18</v>
      </c>
      <c r="U88" s="56">
        <v>-96.44</v>
      </c>
      <c r="V88" s="56">
        <v>-83.31</v>
      </c>
      <c r="W88" s="56">
        <v>-86.67</v>
      </c>
      <c r="X88" s="9">
        <v>-2.426396907954376E-2</v>
      </c>
      <c r="Y88" s="10">
        <v>-2.912194048463224E-2</v>
      </c>
      <c r="Z88" s="10">
        <v>-2.6066589432327539E-2</v>
      </c>
      <c r="AA88" s="10">
        <v>-4.9416875694965223E-2</v>
      </c>
    </row>
    <row r="89" spans="2:27" x14ac:dyDescent="0.3">
      <c r="B89" s="12" t="s">
        <v>67</v>
      </c>
      <c r="C89" s="3" t="s">
        <v>526</v>
      </c>
      <c r="D89" s="3" t="s">
        <v>541</v>
      </c>
      <c r="E89" s="3" t="s">
        <v>528</v>
      </c>
      <c r="F89" s="5">
        <v>-5.4</v>
      </c>
      <c r="G89" s="56">
        <v>1359</v>
      </c>
      <c r="H89" s="56">
        <v>1247</v>
      </c>
      <c r="I89" s="56">
        <v>1233</v>
      </c>
      <c r="J89" s="56">
        <v>1103</v>
      </c>
      <c r="K89" s="56">
        <v>1485</v>
      </c>
      <c r="L89" s="56">
        <v>1258</v>
      </c>
      <c r="M89" s="56">
        <v>1394</v>
      </c>
      <c r="N89" s="56">
        <v>1385</v>
      </c>
      <c r="O89" s="56">
        <v>1206</v>
      </c>
      <c r="P89" s="56">
        <v>1332</v>
      </c>
      <c r="Q89" s="56">
        <v>1413</v>
      </c>
      <c r="R89" s="56">
        <v>1367</v>
      </c>
      <c r="S89" s="56">
        <v>1407</v>
      </c>
      <c r="T89" s="56">
        <v>1233</v>
      </c>
      <c r="U89" s="56">
        <v>1315</v>
      </c>
      <c r="V89" s="56">
        <v>1100</v>
      </c>
      <c r="W89" s="56">
        <v>1135</v>
      </c>
      <c r="X89" s="9">
        <v>-1.7938032252219571E-2</v>
      </c>
      <c r="Y89" s="10">
        <v>-1.8081180811808099E-2</v>
      </c>
      <c r="Z89" s="10">
        <v>-5.0169109357384389E-2</v>
      </c>
      <c r="AA89" s="10">
        <v>-5.3808110781404572E-2</v>
      </c>
    </row>
    <row r="90" spans="2:27" hidden="1" x14ac:dyDescent="0.3">
      <c r="B90" s="3" t="s">
        <v>241</v>
      </c>
      <c r="C90" s="3" t="s">
        <v>526</v>
      </c>
      <c r="D90" s="3" t="s">
        <v>534</v>
      </c>
      <c r="E90" s="3" t="s">
        <v>593</v>
      </c>
      <c r="F90" s="5">
        <v>-4.2</v>
      </c>
      <c r="G90" s="4">
        <v>-19.66</v>
      </c>
      <c r="H90" s="4">
        <v>2.38</v>
      </c>
      <c r="I90" s="4">
        <v>-26.59</v>
      </c>
      <c r="J90" s="4">
        <v>-34.46</v>
      </c>
      <c r="K90" s="6">
        <v>-60.64</v>
      </c>
      <c r="L90" s="4">
        <v>0</v>
      </c>
      <c r="M90" s="4">
        <v>-10.97</v>
      </c>
      <c r="N90" s="4">
        <v>281.27</v>
      </c>
      <c r="O90" s="6">
        <v>89.19</v>
      </c>
      <c r="P90" s="6">
        <v>54.63</v>
      </c>
      <c r="Q90" s="6">
        <v>43.31</v>
      </c>
      <c r="R90" s="4">
        <v>109.88</v>
      </c>
      <c r="S90" s="4">
        <v>104.76</v>
      </c>
      <c r="T90" s="6">
        <v>162.69</v>
      </c>
      <c r="U90" s="4">
        <v>13.79</v>
      </c>
      <c r="V90" s="4">
        <v>92.98</v>
      </c>
      <c r="W90" s="4">
        <v>89.08</v>
      </c>
      <c r="X90" s="11">
        <v>0.34570349990402449</v>
      </c>
      <c r="Y90" s="10">
        <v>-7.017877519969562E-2</v>
      </c>
      <c r="Z90" s="10">
        <v>-4.3209245244426153E-2</v>
      </c>
      <c r="AA90" s="10">
        <v>-4.1900486344930821E-2</v>
      </c>
    </row>
    <row r="91" spans="2:27" x14ac:dyDescent="0.3">
      <c r="B91" s="12" t="s">
        <v>219</v>
      </c>
      <c r="C91" s="3" t="s">
        <v>526</v>
      </c>
      <c r="D91" s="3" t="s">
        <v>546</v>
      </c>
      <c r="E91" s="3" t="s">
        <v>528</v>
      </c>
      <c r="F91" s="5">
        <v>-5.6</v>
      </c>
      <c r="G91" s="56">
        <v>44.64</v>
      </c>
      <c r="H91" s="56">
        <v>92.23</v>
      </c>
      <c r="I91" s="56">
        <v>92.46</v>
      </c>
      <c r="J91" s="56">
        <v>87.66</v>
      </c>
      <c r="K91" s="57">
        <v>118.37</v>
      </c>
      <c r="L91" s="57">
        <v>134.33000000000001</v>
      </c>
      <c r="M91" s="56">
        <v>133.56</v>
      </c>
      <c r="N91" s="57">
        <v>141.52000000000001</v>
      </c>
      <c r="O91" s="56">
        <v>110.81</v>
      </c>
      <c r="P91" s="56">
        <v>151.26</v>
      </c>
      <c r="Q91" s="56">
        <v>158.38999999999999</v>
      </c>
      <c r="R91" s="56">
        <v>181.24</v>
      </c>
      <c r="S91" s="56">
        <v>144.30000000000001</v>
      </c>
      <c r="T91" s="56">
        <v>172.82</v>
      </c>
      <c r="U91" s="56">
        <v>156.25</v>
      </c>
      <c r="V91" s="56">
        <v>143.93</v>
      </c>
      <c r="W91" s="56">
        <v>110.03</v>
      </c>
      <c r="X91" s="9">
        <v>3.3942599852012638E-2</v>
      </c>
      <c r="Y91" s="10">
        <v>-3.258469737343006E-3</v>
      </c>
      <c r="Z91" s="10">
        <v>-5.6995768472831283E-2</v>
      </c>
      <c r="AA91" s="10">
        <v>-5.5515956585128763E-2</v>
      </c>
    </row>
    <row r="92" spans="2:27" x14ac:dyDescent="0.3">
      <c r="B92" s="12" t="s">
        <v>20</v>
      </c>
      <c r="C92" s="3" t="s">
        <v>526</v>
      </c>
      <c r="D92" s="3" t="s">
        <v>538</v>
      </c>
      <c r="E92" s="3" t="s">
        <v>566</v>
      </c>
      <c r="F92" s="5">
        <v>-5.6</v>
      </c>
      <c r="G92" s="56">
        <v>132.4</v>
      </c>
      <c r="H92" s="56">
        <v>73.400000000000006</v>
      </c>
      <c r="I92" s="56">
        <v>113.6</v>
      </c>
      <c r="J92" s="56">
        <v>116.8</v>
      </c>
      <c r="K92" s="56">
        <v>106.8</v>
      </c>
      <c r="L92" s="56">
        <v>101</v>
      </c>
      <c r="M92" s="56">
        <v>96.7</v>
      </c>
      <c r="N92" s="56">
        <v>152.69999999999999</v>
      </c>
      <c r="O92" s="56">
        <v>94.6</v>
      </c>
      <c r="P92" s="56">
        <v>110.1</v>
      </c>
      <c r="Q92" s="56">
        <v>111.5</v>
      </c>
      <c r="R92" s="56">
        <v>155.19999999999999</v>
      </c>
      <c r="S92" s="56">
        <v>97.7</v>
      </c>
      <c r="T92" s="56">
        <v>99.6</v>
      </c>
      <c r="U92" s="57">
        <v>213.6</v>
      </c>
      <c r="V92" s="56">
        <v>134.5</v>
      </c>
      <c r="W92" s="56">
        <v>67.2</v>
      </c>
      <c r="X92" s="9">
        <v>-2.2128556375131669E-2</v>
      </c>
      <c r="Y92" s="8">
        <v>0.22004310344827591</v>
      </c>
      <c r="Z92" s="10">
        <v>-3.6565977742448408E-2</v>
      </c>
      <c r="AA92" s="10">
        <v>-5.5922258892555983E-2</v>
      </c>
    </row>
    <row r="93" spans="2:27" x14ac:dyDescent="0.3">
      <c r="B93" s="12" t="s">
        <v>153</v>
      </c>
      <c r="C93" s="3" t="s">
        <v>526</v>
      </c>
      <c r="D93" s="3" t="s">
        <v>530</v>
      </c>
      <c r="E93" s="3" t="s">
        <v>528</v>
      </c>
      <c r="F93" s="5">
        <v>-5.6</v>
      </c>
      <c r="G93" s="56">
        <v>581</v>
      </c>
      <c r="H93" s="56">
        <v>896</v>
      </c>
      <c r="I93" s="56">
        <v>438</v>
      </c>
      <c r="J93" s="56">
        <v>627</v>
      </c>
      <c r="K93" s="56">
        <v>569</v>
      </c>
      <c r="L93" s="56">
        <v>828</v>
      </c>
      <c r="M93" s="57">
        <v>963</v>
      </c>
      <c r="N93" s="56">
        <v>646</v>
      </c>
      <c r="O93" s="56">
        <v>835</v>
      </c>
      <c r="P93" s="56">
        <v>498</v>
      </c>
      <c r="Q93" s="56">
        <v>277</v>
      </c>
      <c r="R93" s="56">
        <v>397</v>
      </c>
      <c r="S93" s="56">
        <v>391</v>
      </c>
      <c r="T93" s="56">
        <v>249</v>
      </c>
      <c r="U93" s="56">
        <v>358</v>
      </c>
      <c r="V93" s="56">
        <v>486</v>
      </c>
      <c r="W93" s="56">
        <v>308</v>
      </c>
      <c r="X93" s="9">
        <v>-0.15930902111324369</v>
      </c>
      <c r="Y93" s="10">
        <v>6.164383561643838E-2</v>
      </c>
      <c r="Z93" s="10">
        <v>6.3799283154121866E-2</v>
      </c>
      <c r="AA93" s="10">
        <v>-5.5929919137466262E-2</v>
      </c>
    </row>
    <row r="94" spans="2:27" x14ac:dyDescent="0.3">
      <c r="B94" s="12" t="s">
        <v>433</v>
      </c>
      <c r="C94" s="3" t="s">
        <v>526</v>
      </c>
      <c r="D94" s="3" t="s">
        <v>539</v>
      </c>
      <c r="E94" s="3" t="s">
        <v>528</v>
      </c>
      <c r="F94" s="5">
        <v>-6.4</v>
      </c>
      <c r="G94" s="56">
        <v>40.74</v>
      </c>
      <c r="H94" s="56">
        <v>27.66</v>
      </c>
      <c r="I94" s="56">
        <v>-56.51</v>
      </c>
      <c r="J94" s="56">
        <v>4.4800000000000004</v>
      </c>
      <c r="K94" s="57">
        <v>48.64</v>
      </c>
      <c r="L94" s="56">
        <v>-23.41</v>
      </c>
      <c r="M94" s="56">
        <v>0.96</v>
      </c>
      <c r="N94" s="57">
        <v>11.43</v>
      </c>
      <c r="O94" s="57">
        <v>111.32</v>
      </c>
      <c r="P94" s="57">
        <v>13.59</v>
      </c>
      <c r="Q94" s="57">
        <v>36.94</v>
      </c>
      <c r="R94" s="56">
        <v>9.6</v>
      </c>
      <c r="S94" s="56">
        <v>108.7</v>
      </c>
      <c r="T94" s="57">
        <v>48.17</v>
      </c>
      <c r="U94" s="56">
        <v>30.46</v>
      </c>
      <c r="V94" s="57">
        <v>51.63</v>
      </c>
      <c r="W94" s="56">
        <v>93.42</v>
      </c>
      <c r="X94" s="11">
        <v>0.2048214179944321</v>
      </c>
      <c r="Y94" s="10">
        <v>-3.1856840863281E-2</v>
      </c>
      <c r="Z94" s="8">
        <v>0.21342609048900621</v>
      </c>
      <c r="AA94" s="10">
        <v>-6.3943756277201169E-2</v>
      </c>
    </row>
    <row r="95" spans="2:27" x14ac:dyDescent="0.3">
      <c r="B95" s="12" t="s">
        <v>93</v>
      </c>
      <c r="C95" s="3" t="s">
        <v>526</v>
      </c>
      <c r="D95" s="3" t="s">
        <v>533</v>
      </c>
      <c r="E95" s="3" t="s">
        <v>528</v>
      </c>
      <c r="F95" s="5">
        <v>-6.7</v>
      </c>
      <c r="G95" s="56">
        <v>73.150000000000006</v>
      </c>
      <c r="H95" s="56">
        <v>55.87</v>
      </c>
      <c r="I95" s="56">
        <v>56.76</v>
      </c>
      <c r="J95" s="56">
        <v>60.91</v>
      </c>
      <c r="K95" s="56">
        <v>40.71</v>
      </c>
      <c r="L95" s="56">
        <v>44.98</v>
      </c>
      <c r="M95" s="56">
        <v>61.87</v>
      </c>
      <c r="N95" s="56">
        <v>63.94</v>
      </c>
      <c r="O95" s="56">
        <v>47.75</v>
      </c>
      <c r="P95" s="57">
        <v>66.98</v>
      </c>
      <c r="Q95" s="56">
        <v>78.040000000000006</v>
      </c>
      <c r="R95" s="56">
        <v>82.83</v>
      </c>
      <c r="S95" s="57">
        <v>100.69</v>
      </c>
      <c r="T95" s="56">
        <v>89.17</v>
      </c>
      <c r="U95" s="56">
        <v>95.6</v>
      </c>
      <c r="V95" s="56">
        <v>97.93</v>
      </c>
      <c r="W95" s="56">
        <v>74.98</v>
      </c>
      <c r="X95" s="9">
        <v>6.7541243075424529E-2</v>
      </c>
      <c r="Y95" s="10">
        <v>5.0067003107803647E-2</v>
      </c>
      <c r="Z95" s="10">
        <v>4.100029867767252E-2</v>
      </c>
      <c r="AA95" s="10">
        <v>-6.7059652051435825E-2</v>
      </c>
    </row>
    <row r="96" spans="2:27" x14ac:dyDescent="0.3">
      <c r="B96" s="12" t="s">
        <v>75</v>
      </c>
      <c r="C96" s="3" t="s">
        <v>526</v>
      </c>
      <c r="D96" s="3" t="s">
        <v>556</v>
      </c>
      <c r="E96" s="3" t="s">
        <v>528</v>
      </c>
      <c r="F96" s="5">
        <v>-6.7</v>
      </c>
      <c r="G96" s="56">
        <v>61</v>
      </c>
      <c r="H96" s="56">
        <v>1289</v>
      </c>
      <c r="I96" s="56">
        <v>1418</v>
      </c>
      <c r="J96" s="56">
        <v>1254</v>
      </c>
      <c r="K96" s="56">
        <v>312</v>
      </c>
      <c r="L96" s="57">
        <v>1719</v>
      </c>
      <c r="M96" s="56">
        <v>1436</v>
      </c>
      <c r="N96" s="56">
        <v>1273</v>
      </c>
      <c r="O96" s="56">
        <v>92</v>
      </c>
      <c r="P96" s="56">
        <v>1265</v>
      </c>
      <c r="Q96" s="56">
        <v>1209</v>
      </c>
      <c r="R96" s="56">
        <v>783</v>
      </c>
      <c r="S96" s="56">
        <v>-213</v>
      </c>
      <c r="T96" s="57">
        <v>2038</v>
      </c>
      <c r="U96" s="56">
        <v>1159</v>
      </c>
      <c r="V96" s="56">
        <v>667</v>
      </c>
      <c r="W96" s="56">
        <v>-458</v>
      </c>
      <c r="X96" s="11">
        <v>0.25394218134034169</v>
      </c>
      <c r="Y96" s="10">
        <v>-1.309929263819753E-2</v>
      </c>
      <c r="Z96" s="10">
        <v>-3.0793735067693121E-2</v>
      </c>
      <c r="AA96" s="10">
        <v>-6.7104902766365382E-2</v>
      </c>
    </row>
    <row r="97" spans="2:27" x14ac:dyDescent="0.3">
      <c r="B97" s="12" t="s">
        <v>439</v>
      </c>
      <c r="C97" s="3" t="s">
        <v>526</v>
      </c>
      <c r="D97" s="3" t="s">
        <v>586</v>
      </c>
      <c r="E97" s="3" t="s">
        <v>528</v>
      </c>
      <c r="F97" s="5">
        <v>-8.1999999999999993</v>
      </c>
      <c r="G97" s="56">
        <v>63.5</v>
      </c>
      <c r="H97" s="56">
        <v>59.33</v>
      </c>
      <c r="I97" s="56">
        <v>63.08</v>
      </c>
      <c r="J97" s="56">
        <v>65.459999999999994</v>
      </c>
      <c r="K97" s="56">
        <v>74.38</v>
      </c>
      <c r="L97" s="56">
        <v>47.27</v>
      </c>
      <c r="M97" s="56">
        <v>45.43</v>
      </c>
      <c r="N97" s="56">
        <v>63.19</v>
      </c>
      <c r="O97" s="56">
        <v>73.010000000000005</v>
      </c>
      <c r="P97" s="57">
        <v>85.49</v>
      </c>
      <c r="Q97" s="56">
        <v>62.23</v>
      </c>
      <c r="R97" s="57">
        <v>94.14</v>
      </c>
      <c r="S97" s="56">
        <v>59.49</v>
      </c>
      <c r="T97" s="56">
        <v>44.76</v>
      </c>
      <c r="U97" s="56">
        <v>41.24</v>
      </c>
      <c r="V97" s="56">
        <v>48.43</v>
      </c>
      <c r="W97" s="56">
        <v>43.51</v>
      </c>
      <c r="X97" s="9">
        <v>-0.13515845362535259</v>
      </c>
      <c r="Y97" s="10">
        <v>-8.0538715371038294E-2</v>
      </c>
      <c r="Z97" s="10">
        <v>-0.19075240996536311</v>
      </c>
      <c r="AA97" s="10">
        <v>-8.2405115511551275E-2</v>
      </c>
    </row>
    <row r="98" spans="2:27" x14ac:dyDescent="0.3">
      <c r="B98" s="12" t="s">
        <v>269</v>
      </c>
      <c r="C98" s="3" t="s">
        <v>526</v>
      </c>
      <c r="D98" s="3" t="s">
        <v>557</v>
      </c>
      <c r="E98" s="3" t="s">
        <v>528</v>
      </c>
      <c r="F98" s="5">
        <v>-8.6</v>
      </c>
      <c r="G98" s="56">
        <v>70.760000000000005</v>
      </c>
      <c r="H98" s="56">
        <v>81.260000000000005</v>
      </c>
      <c r="I98" s="56">
        <v>54.12</v>
      </c>
      <c r="J98" s="56">
        <v>50.2</v>
      </c>
      <c r="K98" s="56">
        <v>85.98</v>
      </c>
      <c r="L98" s="56">
        <v>96.06</v>
      </c>
      <c r="M98" s="56">
        <v>45.89</v>
      </c>
      <c r="N98" s="56">
        <v>55.78</v>
      </c>
      <c r="O98" s="56">
        <v>99.16</v>
      </c>
      <c r="P98" s="56">
        <v>102.85</v>
      </c>
      <c r="Q98" s="56">
        <v>62.42</v>
      </c>
      <c r="R98" s="56">
        <v>68.72</v>
      </c>
      <c r="S98" s="56">
        <v>92.48</v>
      </c>
      <c r="T98" s="56">
        <v>124.72</v>
      </c>
      <c r="U98" s="56">
        <v>60.71</v>
      </c>
      <c r="V98" s="56">
        <v>86.84</v>
      </c>
      <c r="W98" s="56">
        <v>61.23</v>
      </c>
      <c r="X98" s="9">
        <v>6.6989309890648441E-2</v>
      </c>
      <c r="Y98" s="10">
        <v>-4.9089969569960923E-3</v>
      </c>
      <c r="Z98" s="10">
        <v>5.2274759830366779E-2</v>
      </c>
      <c r="AA98" s="10">
        <v>-8.5675119945167966E-2</v>
      </c>
    </row>
    <row r="99" spans="2:27" hidden="1" x14ac:dyDescent="0.3">
      <c r="B99" s="3" t="s">
        <v>113</v>
      </c>
      <c r="C99" s="3" t="s">
        <v>526</v>
      </c>
      <c r="D99" s="3" t="s">
        <v>541</v>
      </c>
      <c r="E99" s="3" t="s">
        <v>593</v>
      </c>
      <c r="F99" s="5">
        <v>-6.8</v>
      </c>
      <c r="G99" s="4">
        <v>2138</v>
      </c>
      <c r="H99" s="4">
        <v>1859</v>
      </c>
      <c r="I99" s="4">
        <v>1560</v>
      </c>
      <c r="J99" s="4">
        <v>1472</v>
      </c>
      <c r="K99" s="4">
        <v>1330</v>
      </c>
      <c r="L99" s="4">
        <v>452.64</v>
      </c>
      <c r="M99" s="4">
        <v>-99.44</v>
      </c>
      <c r="N99" s="4">
        <v>369.4</v>
      </c>
      <c r="O99" s="4">
        <v>533.26</v>
      </c>
      <c r="P99" s="4">
        <v>424.64</v>
      </c>
      <c r="Q99" s="6">
        <v>734.37</v>
      </c>
      <c r="R99" s="6">
        <v>1357</v>
      </c>
      <c r="S99" s="6">
        <v>1558</v>
      </c>
      <c r="T99" s="6">
        <v>1083</v>
      </c>
      <c r="U99" s="4">
        <v>989.39</v>
      </c>
      <c r="V99" s="4">
        <v>1092</v>
      </c>
      <c r="W99" s="4">
        <v>1237</v>
      </c>
      <c r="X99" s="11">
        <v>0.16159999607266551</v>
      </c>
      <c r="Y99" s="10">
        <v>5.3888432223177851E-2</v>
      </c>
      <c r="Z99" s="10">
        <v>-5.3134003957982068E-2</v>
      </c>
      <c r="AA99" s="10">
        <v>-6.7974055510027775E-2</v>
      </c>
    </row>
    <row r="100" spans="2:27" x14ac:dyDescent="0.3">
      <c r="B100" s="12" t="s">
        <v>51</v>
      </c>
      <c r="C100" s="3" t="s">
        <v>526</v>
      </c>
      <c r="D100" s="3" t="s">
        <v>583</v>
      </c>
      <c r="E100" s="3" t="s">
        <v>528</v>
      </c>
      <c r="F100" s="5">
        <v>-8.9</v>
      </c>
      <c r="G100" s="56">
        <v>0</v>
      </c>
      <c r="H100" s="56">
        <v>66.3</v>
      </c>
      <c r="I100" s="56">
        <v>338</v>
      </c>
      <c r="J100" s="56">
        <v>409.9</v>
      </c>
      <c r="K100" s="57">
        <v>271.60000000000002</v>
      </c>
      <c r="L100" s="57">
        <v>200</v>
      </c>
      <c r="M100" s="57">
        <v>466</v>
      </c>
      <c r="N100" s="57">
        <v>573</v>
      </c>
      <c r="O100" s="56">
        <v>359</v>
      </c>
      <c r="P100" s="56">
        <v>161</v>
      </c>
      <c r="Q100" s="56">
        <v>0</v>
      </c>
      <c r="R100" s="56">
        <v>413</v>
      </c>
      <c r="S100" s="56">
        <v>451</v>
      </c>
      <c r="T100" s="56">
        <v>201</v>
      </c>
      <c r="U100" s="56">
        <v>0</v>
      </c>
      <c r="V100" s="56">
        <v>515</v>
      </c>
      <c r="W100" s="56">
        <v>347</v>
      </c>
      <c r="X100" s="9">
        <v>3.9024390243902467E-2</v>
      </c>
      <c r="Y100" s="10">
        <v>0</v>
      </c>
      <c r="Z100" s="10">
        <v>9.5774647887324038E-2</v>
      </c>
      <c r="AA100" s="10">
        <v>-8.9117395029991386E-2</v>
      </c>
    </row>
    <row r="101" spans="2:27" x14ac:dyDescent="0.3">
      <c r="B101" s="12" t="s">
        <v>233</v>
      </c>
      <c r="C101" s="3" t="s">
        <v>526</v>
      </c>
      <c r="D101" s="3" t="s">
        <v>584</v>
      </c>
      <c r="E101" s="3" t="s">
        <v>528</v>
      </c>
      <c r="F101" s="5">
        <v>-9</v>
      </c>
      <c r="G101" s="56">
        <v>375.26</v>
      </c>
      <c r="H101" s="56">
        <v>237.92</v>
      </c>
      <c r="I101" s="56">
        <v>378.13</v>
      </c>
      <c r="J101" s="56">
        <v>411.44</v>
      </c>
      <c r="K101" s="56">
        <v>394</v>
      </c>
      <c r="L101" s="56">
        <v>242.82</v>
      </c>
      <c r="M101" s="56">
        <v>319.26</v>
      </c>
      <c r="N101" s="56">
        <v>237.39</v>
      </c>
      <c r="O101" s="56">
        <v>296.69</v>
      </c>
      <c r="P101" s="56">
        <v>249.58</v>
      </c>
      <c r="Q101" s="56">
        <v>280.88</v>
      </c>
      <c r="R101" s="56">
        <v>333.07</v>
      </c>
      <c r="S101" s="56">
        <v>382.15</v>
      </c>
      <c r="T101" s="56">
        <v>289.75</v>
      </c>
      <c r="U101" s="56">
        <v>295.23</v>
      </c>
      <c r="V101" s="56">
        <v>305.85000000000002</v>
      </c>
      <c r="W101" s="56">
        <v>268.2</v>
      </c>
      <c r="X101" s="9">
        <v>3.224744717744521E-2</v>
      </c>
      <c r="Y101" s="10">
        <v>1.1159933118170869E-2</v>
      </c>
      <c r="Z101" s="10">
        <v>-2.09352407321951E-2</v>
      </c>
      <c r="AA101" s="10">
        <v>-8.9514367861239008E-2</v>
      </c>
    </row>
    <row r="102" spans="2:27" x14ac:dyDescent="0.3">
      <c r="B102" s="12" t="s">
        <v>429</v>
      </c>
      <c r="C102" s="3" t="s">
        <v>526</v>
      </c>
      <c r="D102" s="3" t="s">
        <v>547</v>
      </c>
      <c r="E102" s="3" t="s">
        <v>528</v>
      </c>
      <c r="F102" s="5">
        <v>-9.8000000000000007</v>
      </c>
      <c r="G102" s="56">
        <v>-191.5</v>
      </c>
      <c r="H102" s="56">
        <v>-125.1</v>
      </c>
      <c r="I102" s="56">
        <v>-455.21</v>
      </c>
      <c r="J102" s="56">
        <v>-219.04</v>
      </c>
      <c r="K102" s="56">
        <v>24.67</v>
      </c>
      <c r="L102" s="56">
        <v>-195.79</v>
      </c>
      <c r="M102" s="56">
        <v>-289.13</v>
      </c>
      <c r="N102" s="56">
        <v>-57.69</v>
      </c>
      <c r="O102" s="56">
        <v>76.28</v>
      </c>
      <c r="P102" s="56">
        <v>29.92</v>
      </c>
      <c r="Q102" s="56">
        <v>-72.55</v>
      </c>
      <c r="R102" s="56">
        <v>107.27</v>
      </c>
      <c r="S102" s="56">
        <v>84.18</v>
      </c>
      <c r="T102" s="57">
        <v>104.04</v>
      </c>
      <c r="U102" s="57">
        <v>28.8</v>
      </c>
      <c r="V102" s="56">
        <v>28.27</v>
      </c>
      <c r="W102" s="56">
        <v>60.2</v>
      </c>
      <c r="X102" s="11">
        <v>0.49805133718586209</v>
      </c>
      <c r="Y102" s="8">
        <v>0.45460662061541218</v>
      </c>
      <c r="Z102" s="10">
        <v>-0.24360911529803561</v>
      </c>
      <c r="AA102" s="10">
        <v>-9.7761832932447335E-2</v>
      </c>
    </row>
    <row r="103" spans="2:27" x14ac:dyDescent="0.3">
      <c r="B103" s="12" t="s">
        <v>300</v>
      </c>
      <c r="C103" s="3" t="s">
        <v>526</v>
      </c>
      <c r="D103" s="3" t="s">
        <v>529</v>
      </c>
      <c r="E103" s="3" t="s">
        <v>528</v>
      </c>
      <c r="F103" s="5">
        <v>-9.8000000000000007</v>
      </c>
      <c r="G103" s="56">
        <v>124.94</v>
      </c>
      <c r="H103" s="56">
        <v>100.41</v>
      </c>
      <c r="I103" s="56">
        <v>94.61</v>
      </c>
      <c r="J103" s="56">
        <v>105.09</v>
      </c>
      <c r="K103" s="56">
        <v>-46.05</v>
      </c>
      <c r="L103" s="56">
        <v>120.45</v>
      </c>
      <c r="M103" s="56">
        <v>103.7</v>
      </c>
      <c r="N103" s="56">
        <v>27.59</v>
      </c>
      <c r="O103" s="57">
        <v>-1.0900000000000001</v>
      </c>
      <c r="P103" s="56">
        <v>-125.13</v>
      </c>
      <c r="Q103" s="56">
        <v>-58.99</v>
      </c>
      <c r="R103" s="57">
        <v>-57.62</v>
      </c>
      <c r="S103" s="56">
        <v>44.27</v>
      </c>
      <c r="T103" s="56">
        <v>1.1499999999999999</v>
      </c>
      <c r="U103" s="56">
        <v>9.67</v>
      </c>
      <c r="V103" s="56">
        <v>60.93</v>
      </c>
      <c r="W103" s="56">
        <v>32.89</v>
      </c>
      <c r="X103" s="9">
        <v>-0.63948954271534919</v>
      </c>
      <c r="Y103" s="10">
        <v>-0.96446130074448666</v>
      </c>
      <c r="Z103" s="10">
        <v>-46.857707509881521</v>
      </c>
      <c r="AA103" s="10">
        <v>-9.8086536803999258E-2</v>
      </c>
    </row>
    <row r="104" spans="2:27" hidden="1" x14ac:dyDescent="0.3">
      <c r="B104" s="3" t="s">
        <v>310</v>
      </c>
      <c r="C104" s="3" t="s">
        <v>526</v>
      </c>
      <c r="D104" s="3" t="s">
        <v>532</v>
      </c>
      <c r="E104" s="3" t="s">
        <v>593</v>
      </c>
      <c r="F104" s="5">
        <v>-9.3000000000000007</v>
      </c>
      <c r="G104" s="3"/>
      <c r="H104" s="4">
        <v>-7.08</v>
      </c>
      <c r="I104" s="4">
        <v>-7.57</v>
      </c>
      <c r="J104" s="4">
        <v>-6.48</v>
      </c>
      <c r="K104" s="4">
        <v>-7.42</v>
      </c>
      <c r="L104" s="6">
        <v>-10.01</v>
      </c>
      <c r="M104" s="6">
        <v>-14.94</v>
      </c>
      <c r="N104" s="6">
        <v>-15.74</v>
      </c>
      <c r="O104" s="6">
        <v>-26.27</v>
      </c>
      <c r="P104" s="6">
        <v>-27.71</v>
      </c>
      <c r="Q104" s="6">
        <v>-35.36</v>
      </c>
      <c r="R104" s="6">
        <v>-45.17</v>
      </c>
      <c r="S104" s="6">
        <v>-60.11</v>
      </c>
      <c r="T104" s="6">
        <v>-51.77</v>
      </c>
      <c r="U104" s="4">
        <v>-44.45</v>
      </c>
      <c r="V104" s="4">
        <v>-46.75</v>
      </c>
      <c r="W104" s="4">
        <v>-41.13</v>
      </c>
      <c r="X104" s="11">
        <v>0.1429165429165429</v>
      </c>
      <c r="Y104" s="10">
        <v>4.7242866794865217E-2</v>
      </c>
      <c r="Z104" s="10">
        <v>7.8411910669975438E-3</v>
      </c>
      <c r="AA104" s="10">
        <v>-9.3460705140831157E-2</v>
      </c>
    </row>
    <row r="105" spans="2:27" x14ac:dyDescent="0.3">
      <c r="B105" s="12" t="s">
        <v>18</v>
      </c>
      <c r="C105" s="3" t="s">
        <v>526</v>
      </c>
      <c r="D105" s="3" t="s">
        <v>582</v>
      </c>
      <c r="E105" s="3" t="s">
        <v>528</v>
      </c>
      <c r="F105" s="5">
        <v>-9.8000000000000007</v>
      </c>
      <c r="G105" s="56">
        <v>8746</v>
      </c>
      <c r="H105" s="56">
        <v>13057</v>
      </c>
      <c r="I105" s="56">
        <v>13178</v>
      </c>
      <c r="J105" s="56">
        <v>14580</v>
      </c>
      <c r="K105" s="56">
        <v>13488</v>
      </c>
      <c r="L105" s="56">
        <v>8703</v>
      </c>
      <c r="M105" s="56">
        <v>6699</v>
      </c>
      <c r="N105" s="56">
        <v>9561</v>
      </c>
      <c r="O105" s="56">
        <v>7425</v>
      </c>
      <c r="P105" s="56">
        <v>7759</v>
      </c>
      <c r="Q105" s="56">
        <v>6013</v>
      </c>
      <c r="R105" s="56">
        <v>5504</v>
      </c>
      <c r="S105" s="56">
        <v>6552</v>
      </c>
      <c r="T105" s="56">
        <v>6110</v>
      </c>
      <c r="U105" s="56">
        <v>4251</v>
      </c>
      <c r="V105" s="56">
        <v>5476</v>
      </c>
      <c r="W105" s="56">
        <v>4351</v>
      </c>
      <c r="X105" s="9">
        <v>-6.3845439058386244E-2</v>
      </c>
      <c r="Y105" s="10">
        <v>-7.2873154390173278E-2</v>
      </c>
      <c r="Z105" s="10">
        <v>-1.2490520587054019E-3</v>
      </c>
      <c r="AA105" s="10">
        <v>-9.8307204430747253E-2</v>
      </c>
    </row>
    <row r="106" spans="2:27" x14ac:dyDescent="0.3">
      <c r="B106" s="12" t="s">
        <v>103</v>
      </c>
      <c r="C106" s="3" t="s">
        <v>526</v>
      </c>
      <c r="D106" s="3" t="s">
        <v>571</v>
      </c>
      <c r="E106" s="3" t="s">
        <v>528</v>
      </c>
      <c r="F106" s="5">
        <v>-12.2</v>
      </c>
      <c r="G106" s="56">
        <v>-36.799999999999997</v>
      </c>
      <c r="H106" s="56">
        <v>-8.9</v>
      </c>
      <c r="I106" s="56">
        <v>65.8</v>
      </c>
      <c r="J106" s="56">
        <v>71.7</v>
      </c>
      <c r="K106" s="57">
        <v>19.399999999999999</v>
      </c>
      <c r="L106" s="57">
        <v>46.9</v>
      </c>
      <c r="M106" s="57">
        <v>153.69999999999999</v>
      </c>
      <c r="N106" s="57">
        <v>154.6</v>
      </c>
      <c r="O106" s="56">
        <v>34</v>
      </c>
      <c r="P106" s="56">
        <v>11.1</v>
      </c>
      <c r="Q106" s="56">
        <v>96.7</v>
      </c>
      <c r="R106" s="56">
        <v>107</v>
      </c>
      <c r="S106" s="57">
        <v>141.80000000000001</v>
      </c>
      <c r="T106" s="56">
        <v>1.3</v>
      </c>
      <c r="U106" s="57">
        <v>160.4</v>
      </c>
      <c r="V106" s="57">
        <v>177.6</v>
      </c>
      <c r="W106" s="56">
        <v>82.9</v>
      </c>
      <c r="X106" s="9">
        <v>-2.7481772293886712E-2</v>
      </c>
      <c r="Y106" s="8">
        <v>0.18367935409457889</v>
      </c>
      <c r="Z106" s="8">
        <v>0.1719853836784411</v>
      </c>
      <c r="AA106" s="10">
        <v>-0.1224277696944502</v>
      </c>
    </row>
    <row r="107" spans="2:27" x14ac:dyDescent="0.3">
      <c r="B107" s="12" t="s">
        <v>442</v>
      </c>
      <c r="C107" s="3" t="s">
        <v>526</v>
      </c>
      <c r="D107" s="3" t="s">
        <v>533</v>
      </c>
      <c r="E107" s="3" t="s">
        <v>528</v>
      </c>
      <c r="F107" s="5">
        <v>-12.8</v>
      </c>
      <c r="G107" s="56">
        <v>-14.29</v>
      </c>
      <c r="H107" s="56">
        <v>-25.45</v>
      </c>
      <c r="I107" s="56">
        <v>-30.2</v>
      </c>
      <c r="J107" s="56">
        <v>-25.3</v>
      </c>
      <c r="K107" s="57">
        <v>-25.04</v>
      </c>
      <c r="L107" s="57">
        <v>-36.659999999999997</v>
      </c>
      <c r="M107" s="57">
        <v>-106.85</v>
      </c>
      <c r="N107" s="56">
        <v>0.61</v>
      </c>
      <c r="O107" s="56">
        <v>5.67</v>
      </c>
      <c r="P107" s="56">
        <v>-33.619999999999997</v>
      </c>
      <c r="Q107" s="56">
        <v>-52.48</v>
      </c>
      <c r="R107" s="56">
        <v>-2.5</v>
      </c>
      <c r="S107" s="56">
        <v>21.8</v>
      </c>
      <c r="T107" s="56">
        <v>-1.29</v>
      </c>
      <c r="U107" s="56">
        <v>5.05</v>
      </c>
      <c r="V107" s="57">
        <v>16.34</v>
      </c>
      <c r="W107" s="56">
        <v>16.45</v>
      </c>
      <c r="X107" s="9">
        <v>-0.48398203592814371</v>
      </c>
      <c r="Y107" s="10">
        <v>-1.668987525384392</v>
      </c>
      <c r="Z107" s="8">
        <v>0.81699913269731117</v>
      </c>
      <c r="AA107" s="10">
        <v>-0.1276849642004774</v>
      </c>
    </row>
    <row r="108" spans="2:27" x14ac:dyDescent="0.3">
      <c r="B108" s="12" t="s">
        <v>167</v>
      </c>
      <c r="C108" s="3" t="s">
        <v>526</v>
      </c>
      <c r="D108" s="3" t="s">
        <v>541</v>
      </c>
      <c r="E108" s="3" t="s">
        <v>528</v>
      </c>
      <c r="F108" s="5">
        <v>-13.7</v>
      </c>
      <c r="G108" s="56">
        <v>612.89</v>
      </c>
      <c r="H108" s="56">
        <v>402.56</v>
      </c>
      <c r="I108" s="56">
        <v>512.21</v>
      </c>
      <c r="J108" s="56">
        <v>339.42</v>
      </c>
      <c r="K108" s="56">
        <v>-13.47</v>
      </c>
      <c r="L108" s="56">
        <v>38.99</v>
      </c>
      <c r="M108" s="56">
        <v>129.41</v>
      </c>
      <c r="N108" s="56">
        <v>206.75</v>
      </c>
      <c r="O108" s="57">
        <v>229.81</v>
      </c>
      <c r="P108" s="57">
        <v>264.81</v>
      </c>
      <c r="Q108" s="57">
        <v>477.19</v>
      </c>
      <c r="R108" s="57">
        <v>528.02</v>
      </c>
      <c r="S108" s="57">
        <v>474.15</v>
      </c>
      <c r="T108" s="56">
        <v>421.44</v>
      </c>
      <c r="U108" s="56">
        <v>517.61</v>
      </c>
      <c r="V108" s="56">
        <v>494.81</v>
      </c>
      <c r="W108" s="56">
        <v>213.57</v>
      </c>
      <c r="X108" s="9">
        <v>8.9802026178640748E-2</v>
      </c>
      <c r="Y108" s="10">
        <v>2.126473063973067E-2</v>
      </c>
      <c r="Z108" s="10">
        <v>-1.710779818876795E-2</v>
      </c>
      <c r="AA108" s="10">
        <v>-0.136571611259899</v>
      </c>
    </row>
    <row r="109" spans="2:27" x14ac:dyDescent="0.3">
      <c r="B109" s="12" t="s">
        <v>401</v>
      </c>
      <c r="C109" s="3" t="s">
        <v>526</v>
      </c>
      <c r="D109" s="3" t="s">
        <v>533</v>
      </c>
      <c r="E109" s="3" t="s">
        <v>528</v>
      </c>
      <c r="F109" s="5">
        <v>-13.7</v>
      </c>
      <c r="G109" s="56">
        <v>-54.16</v>
      </c>
      <c r="H109" s="56">
        <v>-63</v>
      </c>
      <c r="I109" s="56">
        <v>-66.97</v>
      </c>
      <c r="J109" s="56">
        <v>-64.569999999999993</v>
      </c>
      <c r="K109" s="56">
        <v>-45.58</v>
      </c>
      <c r="L109" s="56">
        <v>-47.28</v>
      </c>
      <c r="M109" s="56">
        <v>-49.83</v>
      </c>
      <c r="N109" s="56">
        <v>-54.03</v>
      </c>
      <c r="O109" s="56">
        <v>-42.58</v>
      </c>
      <c r="P109" s="56">
        <v>-46.26</v>
      </c>
      <c r="Q109" s="56">
        <v>-43.6</v>
      </c>
      <c r="R109" s="56">
        <v>-30.31</v>
      </c>
      <c r="S109" s="56">
        <v>-33.880000000000003</v>
      </c>
      <c r="T109" s="56">
        <v>-38.18</v>
      </c>
      <c r="U109" s="56">
        <v>-36.53</v>
      </c>
      <c r="V109" s="56">
        <v>-28.79</v>
      </c>
      <c r="W109" s="56">
        <v>-15.09</v>
      </c>
      <c r="X109" s="9">
        <v>-5.245050308341459E-2</v>
      </c>
      <c r="Y109" s="10">
        <v>-4.8434609851339287E-2</v>
      </c>
      <c r="Z109" s="10">
        <v>-1.09431245500361E-2</v>
      </c>
      <c r="AA109" s="10">
        <v>-0.1367739117775513</v>
      </c>
    </row>
    <row r="110" spans="2:27" x14ac:dyDescent="0.3">
      <c r="B110" s="12" t="s">
        <v>159</v>
      </c>
      <c r="C110" s="3" t="s">
        <v>526</v>
      </c>
      <c r="D110" s="3" t="s">
        <v>581</v>
      </c>
      <c r="E110" s="3" t="s">
        <v>528</v>
      </c>
      <c r="F110" s="5">
        <v>-16</v>
      </c>
      <c r="G110" s="56">
        <v>311</v>
      </c>
      <c r="H110" s="56">
        <v>308.39999999999998</v>
      </c>
      <c r="I110" s="56">
        <v>297.2</v>
      </c>
      <c r="J110" s="56">
        <v>277.2</v>
      </c>
      <c r="K110" s="56">
        <v>263.2</v>
      </c>
      <c r="L110" s="56">
        <v>231.6</v>
      </c>
      <c r="M110" s="56">
        <v>232.8</v>
      </c>
      <c r="N110" s="56">
        <v>210.5</v>
      </c>
      <c r="O110" s="56">
        <v>223</v>
      </c>
      <c r="P110" s="56">
        <v>146.6</v>
      </c>
      <c r="Q110" s="56">
        <v>176.4</v>
      </c>
      <c r="R110" s="56">
        <v>125.3</v>
      </c>
      <c r="S110" s="56">
        <v>276.7</v>
      </c>
      <c r="T110" s="56">
        <v>129.9</v>
      </c>
      <c r="U110" s="56">
        <v>128.5</v>
      </c>
      <c r="V110" s="56">
        <v>137.69999999999999</v>
      </c>
      <c r="W110" s="56">
        <v>169.2</v>
      </c>
      <c r="X110" s="9">
        <v>-2.3034482758620741E-2</v>
      </c>
      <c r="Y110" s="10">
        <v>-6.7626711845263254E-2</v>
      </c>
      <c r="Z110" s="10">
        <v>1.877649909145962E-2</v>
      </c>
      <c r="AA110" s="10">
        <v>-0.15978002378121281</v>
      </c>
    </row>
    <row r="111" spans="2:27" x14ac:dyDescent="0.3">
      <c r="B111" s="12" t="s">
        <v>249</v>
      </c>
      <c r="C111" s="3" t="s">
        <v>526</v>
      </c>
      <c r="D111" s="3" t="s">
        <v>558</v>
      </c>
      <c r="E111" s="3" t="s">
        <v>528</v>
      </c>
      <c r="F111" s="5">
        <v>-19.100000000000001</v>
      </c>
      <c r="G111" s="56">
        <v>-26.15</v>
      </c>
      <c r="H111" s="56">
        <v>-10.95</v>
      </c>
      <c r="I111" s="56">
        <v>44.86</v>
      </c>
      <c r="J111" s="56">
        <v>63.15</v>
      </c>
      <c r="K111" s="57">
        <v>129.22999999999999</v>
      </c>
      <c r="L111" s="57">
        <v>122.28</v>
      </c>
      <c r="M111" s="57">
        <v>147.59</v>
      </c>
      <c r="N111" s="57">
        <v>216.38</v>
      </c>
      <c r="O111" s="56">
        <v>129.13999999999999</v>
      </c>
      <c r="P111" s="56">
        <v>116.88</v>
      </c>
      <c r="Q111" s="56">
        <v>203.22</v>
      </c>
      <c r="R111" s="56">
        <v>184.7</v>
      </c>
      <c r="S111" s="56">
        <v>191.26</v>
      </c>
      <c r="T111" s="57">
        <v>202.26</v>
      </c>
      <c r="U111" s="56">
        <v>135.80000000000001</v>
      </c>
      <c r="V111" s="56">
        <v>107.02</v>
      </c>
      <c r="W111" s="56">
        <v>69.930000000000007</v>
      </c>
      <c r="X111" s="11">
        <v>0.122661839496595</v>
      </c>
      <c r="Y111" s="10">
        <v>-8.6276617526617527E-2</v>
      </c>
      <c r="Z111" s="10">
        <v>-0.1087924707991372</v>
      </c>
      <c r="AA111" s="10">
        <v>-0.19066851054467751</v>
      </c>
    </row>
    <row r="112" spans="2:27" x14ac:dyDescent="0.3">
      <c r="B112" s="12" t="s">
        <v>345</v>
      </c>
      <c r="C112" s="3" t="s">
        <v>526</v>
      </c>
      <c r="D112" s="3" t="s">
        <v>543</v>
      </c>
      <c r="E112" s="3" t="s">
        <v>528</v>
      </c>
      <c r="F112" s="5">
        <v>-37.9</v>
      </c>
      <c r="G112" s="56">
        <v>56.1</v>
      </c>
      <c r="H112" s="56">
        <v>61.5</v>
      </c>
      <c r="I112" s="56">
        <v>66</v>
      </c>
      <c r="J112" s="56">
        <v>83.5</v>
      </c>
      <c r="K112" s="56">
        <v>50.6</v>
      </c>
      <c r="L112" s="56">
        <v>66.8</v>
      </c>
      <c r="M112" s="56">
        <v>83.6</v>
      </c>
      <c r="N112" s="56">
        <v>93.5</v>
      </c>
      <c r="O112" s="56">
        <v>67.599999999999994</v>
      </c>
      <c r="P112" s="56">
        <v>43.6</v>
      </c>
      <c r="Q112" s="56">
        <v>-225.2</v>
      </c>
      <c r="R112" s="56">
        <v>133.80000000000001</v>
      </c>
      <c r="S112" s="56">
        <v>38.700000000000003</v>
      </c>
      <c r="T112" s="57">
        <v>33.5</v>
      </c>
      <c r="U112" s="56">
        <v>33.4</v>
      </c>
      <c r="V112" s="56">
        <v>-34.299999999999997</v>
      </c>
      <c r="W112" s="56">
        <v>11.7</v>
      </c>
      <c r="X112" s="11">
        <v>1.1098901098901131</v>
      </c>
      <c r="Y112" s="10">
        <v>-13.46875000000002</v>
      </c>
      <c r="Z112" s="10">
        <v>-0.70217209690893889</v>
      </c>
      <c r="AA112" s="10">
        <v>-0.3786816269284714</v>
      </c>
    </row>
    <row r="113" spans="2:27" hidden="1" x14ac:dyDescent="0.3">
      <c r="B113" s="3" t="s">
        <v>378</v>
      </c>
      <c r="C113" s="3" t="s">
        <v>526</v>
      </c>
      <c r="D113" s="3" t="s">
        <v>602</v>
      </c>
      <c r="E113" s="3" t="s">
        <v>593</v>
      </c>
      <c r="F113" s="5">
        <v>-19.7</v>
      </c>
      <c r="G113" s="4">
        <v>16.420000000000002</v>
      </c>
      <c r="H113" s="4">
        <v>17.96</v>
      </c>
      <c r="I113" s="4">
        <v>17.510000000000002</v>
      </c>
      <c r="J113" s="4">
        <v>12.82</v>
      </c>
      <c r="K113" s="4">
        <v>17.559999999999999</v>
      </c>
      <c r="L113" s="4">
        <v>13.39</v>
      </c>
      <c r="M113" s="4">
        <v>9.81</v>
      </c>
      <c r="N113" s="4">
        <v>13.69</v>
      </c>
      <c r="O113" s="4">
        <v>22.26</v>
      </c>
      <c r="P113" s="6">
        <v>24.18</v>
      </c>
      <c r="Q113" s="6">
        <v>22.05</v>
      </c>
      <c r="R113" s="4">
        <v>16.72</v>
      </c>
      <c r="S113" s="4">
        <v>24.34</v>
      </c>
      <c r="T113" s="4">
        <v>6.01</v>
      </c>
      <c r="U113" s="4">
        <v>14.15</v>
      </c>
      <c r="V113" s="4">
        <v>12.37</v>
      </c>
      <c r="W113" s="4">
        <v>13.15</v>
      </c>
      <c r="X113" s="9">
        <v>-0.20815671898270119</v>
      </c>
      <c r="Y113" s="10">
        <v>-0.1142939814814815</v>
      </c>
      <c r="Z113" s="10">
        <v>-7.105521071545251E-2</v>
      </c>
      <c r="AA113" s="10">
        <v>-0.19676455072973439</v>
      </c>
    </row>
    <row r="114" spans="2:27" x14ac:dyDescent="0.3">
      <c r="B114" s="12" t="s">
        <v>469</v>
      </c>
      <c r="C114" s="3" t="s">
        <v>526</v>
      </c>
      <c r="D114" s="3" t="s">
        <v>529</v>
      </c>
      <c r="E114" s="3" t="s">
        <v>528</v>
      </c>
      <c r="F114" s="5">
        <v>-38.799999999999997</v>
      </c>
      <c r="G114" s="56">
        <v>48.82</v>
      </c>
      <c r="H114" s="56">
        <v>28.46</v>
      </c>
      <c r="I114" s="56">
        <v>-109.41</v>
      </c>
      <c r="J114" s="56">
        <v>-48.99</v>
      </c>
      <c r="K114" s="57">
        <v>-46.49</v>
      </c>
      <c r="L114" s="57">
        <v>3.71</v>
      </c>
      <c r="M114" s="56">
        <v>2.94</v>
      </c>
      <c r="N114" s="56">
        <v>-29.11</v>
      </c>
      <c r="O114" s="56">
        <v>22.04</v>
      </c>
      <c r="P114" s="56">
        <v>32.79</v>
      </c>
      <c r="Q114" s="57">
        <v>20.46</v>
      </c>
      <c r="R114" s="57">
        <v>21.95</v>
      </c>
      <c r="S114" s="56">
        <v>-0.26</v>
      </c>
      <c r="T114" s="56">
        <v>22.41</v>
      </c>
      <c r="U114" s="56">
        <v>-93.93</v>
      </c>
      <c r="V114" s="57">
        <v>-1.35</v>
      </c>
      <c r="W114" s="56">
        <v>28.1</v>
      </c>
      <c r="X114" s="9">
        <v>-0.13851080864691739</v>
      </c>
      <c r="Y114" s="10">
        <v>-1.7718401486988851</v>
      </c>
      <c r="Z114" s="8">
        <v>0.46758980533814981</v>
      </c>
      <c r="AA114" s="10">
        <v>-0.38780254341583492</v>
      </c>
    </row>
    <row r="115" spans="2:27" x14ac:dyDescent="0.3">
      <c r="B115" s="12" t="s">
        <v>161</v>
      </c>
      <c r="C115" s="3" t="s">
        <v>526</v>
      </c>
      <c r="D115" s="3" t="s">
        <v>543</v>
      </c>
      <c r="E115" s="3" t="s">
        <v>528</v>
      </c>
      <c r="F115" s="5">
        <v>-41.8</v>
      </c>
      <c r="G115" s="56">
        <v>196.95</v>
      </c>
      <c r="H115" s="56">
        <v>154.74</v>
      </c>
      <c r="I115" s="56">
        <v>216.84</v>
      </c>
      <c r="J115" s="56">
        <v>87.52</v>
      </c>
      <c r="K115" s="56">
        <v>108.69</v>
      </c>
      <c r="L115" s="56">
        <v>44.48</v>
      </c>
      <c r="M115" s="56">
        <v>85.97</v>
      </c>
      <c r="N115" s="56">
        <v>104.78</v>
      </c>
      <c r="O115" s="57">
        <v>150.97</v>
      </c>
      <c r="P115" s="56">
        <v>66.87</v>
      </c>
      <c r="Q115" s="56">
        <v>103.24</v>
      </c>
      <c r="R115" s="57">
        <v>168.62</v>
      </c>
      <c r="S115" s="56">
        <v>198.01</v>
      </c>
      <c r="T115" s="56">
        <v>83.64</v>
      </c>
      <c r="U115" s="56">
        <v>111.79</v>
      </c>
      <c r="V115" s="56">
        <v>103.08</v>
      </c>
      <c r="W115" s="56">
        <v>-9.32</v>
      </c>
      <c r="X115" s="9">
        <v>3.124417781421163E-2</v>
      </c>
      <c r="Y115" s="10">
        <v>1.544687539520506E-2</v>
      </c>
      <c r="Z115" s="10">
        <v>-0.1166067679607159</v>
      </c>
      <c r="AA115" s="10">
        <v>-0.41756626117779749</v>
      </c>
    </row>
    <row r="116" spans="2:27" x14ac:dyDescent="0.3">
      <c r="B116" s="12" t="s">
        <v>361</v>
      </c>
      <c r="C116" s="3" t="s">
        <v>526</v>
      </c>
      <c r="D116" s="3" t="s">
        <v>551</v>
      </c>
      <c r="E116" s="3" t="s">
        <v>528</v>
      </c>
      <c r="F116" s="5">
        <v>-61.1</v>
      </c>
      <c r="G116" s="56">
        <v>384.5</v>
      </c>
      <c r="H116" s="56">
        <v>623.70000000000005</v>
      </c>
      <c r="I116" s="56">
        <v>159.9</v>
      </c>
      <c r="J116" s="56">
        <v>83.2</v>
      </c>
      <c r="K116" s="56">
        <v>125.2</v>
      </c>
      <c r="L116" s="56">
        <v>129.30000000000001</v>
      </c>
      <c r="M116" s="56">
        <v>-2.2000000000000002</v>
      </c>
      <c r="N116" s="56">
        <v>55</v>
      </c>
      <c r="O116" s="56">
        <v>101.5</v>
      </c>
      <c r="P116" s="56">
        <v>8.5</v>
      </c>
      <c r="Q116" s="56">
        <v>-29.7</v>
      </c>
      <c r="R116" s="56">
        <v>51.8</v>
      </c>
      <c r="S116" s="56">
        <v>47</v>
      </c>
      <c r="T116" s="57">
        <v>48.7</v>
      </c>
      <c r="U116" s="57">
        <v>-4.5</v>
      </c>
      <c r="V116" s="56">
        <v>46.7</v>
      </c>
      <c r="W116" s="56">
        <v>-37.299999999999997</v>
      </c>
      <c r="X116" s="11">
        <v>0.51804123711340222</v>
      </c>
      <c r="Y116" s="8">
        <v>0.2139219015280136</v>
      </c>
      <c r="Z116" s="10">
        <v>-3.5664335664335578E-2</v>
      </c>
      <c r="AA116" s="10">
        <v>-0.61131254532269752</v>
      </c>
    </row>
    <row r="117" spans="2:27" x14ac:dyDescent="0.3">
      <c r="B117" s="12" t="s">
        <v>454</v>
      </c>
      <c r="C117" s="3" t="s">
        <v>526</v>
      </c>
      <c r="D117" s="3" t="s">
        <v>533</v>
      </c>
      <c r="E117" s="3" t="s">
        <v>572</v>
      </c>
      <c r="F117" s="5">
        <v>-69.099999999999994</v>
      </c>
      <c r="G117" s="56">
        <v>-24.82</v>
      </c>
      <c r="H117" s="56">
        <v>-27.2</v>
      </c>
      <c r="I117" s="56">
        <v>-32.46</v>
      </c>
      <c r="J117" s="56">
        <v>-37.89</v>
      </c>
      <c r="K117" s="56">
        <v>-32.54</v>
      </c>
      <c r="L117" s="56">
        <v>-26.83</v>
      </c>
      <c r="M117" s="56">
        <v>-15.66</v>
      </c>
      <c r="N117" s="56">
        <v>-25.37</v>
      </c>
      <c r="O117" s="56">
        <v>-20.84</v>
      </c>
      <c r="P117" s="56">
        <v>-26.26</v>
      </c>
      <c r="Q117" s="56">
        <v>-21.73</v>
      </c>
      <c r="R117" s="56">
        <v>-16.03</v>
      </c>
      <c r="S117" s="56">
        <v>-10.29</v>
      </c>
      <c r="T117" s="56">
        <v>-11.72</v>
      </c>
      <c r="U117" s="56">
        <v>-10.33</v>
      </c>
      <c r="V117" s="56">
        <v>3.57</v>
      </c>
      <c r="W117" s="56">
        <v>9.58</v>
      </c>
      <c r="X117" s="9">
        <v>-0.1956668012380568</v>
      </c>
      <c r="Y117" s="10">
        <v>-0.19073113602141531</v>
      </c>
      <c r="Z117" s="10">
        <v>-0.40520984081041977</v>
      </c>
      <c r="AA117" s="10">
        <v>-0.69064998262078547</v>
      </c>
    </row>
    <row r="118" spans="2:27" hidden="1" x14ac:dyDescent="0.3">
      <c r="B118" s="3" t="s">
        <v>435</v>
      </c>
      <c r="C118" s="3" t="s">
        <v>526</v>
      </c>
      <c r="D118" s="3" t="s">
        <v>529</v>
      </c>
      <c r="E118" s="3" t="s">
        <v>593</v>
      </c>
      <c r="F118" s="5">
        <v>-62.8</v>
      </c>
      <c r="G118" s="4">
        <v>361.85</v>
      </c>
      <c r="H118" s="4">
        <v>20.260000000000002</v>
      </c>
      <c r="I118" s="4">
        <v>-259.06</v>
      </c>
      <c r="J118" s="4">
        <v>-151.61000000000001</v>
      </c>
      <c r="K118" s="6">
        <v>-183.8</v>
      </c>
      <c r="L118" s="4">
        <v>100.19</v>
      </c>
      <c r="M118" s="4">
        <v>61.47</v>
      </c>
      <c r="N118" s="4">
        <v>40.47</v>
      </c>
      <c r="O118" s="6">
        <v>2.34</v>
      </c>
      <c r="P118" s="4">
        <v>33.44</v>
      </c>
      <c r="Q118" s="6">
        <v>129.53</v>
      </c>
      <c r="R118" s="4">
        <v>56.7</v>
      </c>
      <c r="S118" s="6">
        <v>138.79</v>
      </c>
      <c r="T118" s="4">
        <v>-141.81</v>
      </c>
      <c r="U118" s="6">
        <v>172.62</v>
      </c>
      <c r="V118" s="4">
        <v>36.25</v>
      </c>
      <c r="W118" s="4">
        <v>9.6</v>
      </c>
      <c r="X118" s="9">
        <v>-0.48889694805557099</v>
      </c>
      <c r="Y118" s="8">
        <v>0.23519458544839281</v>
      </c>
      <c r="Z118" s="10">
        <v>-9.0366769774635536E-2</v>
      </c>
      <c r="AA118" s="10">
        <v>-0.62759290745688601</v>
      </c>
    </row>
    <row r="119" spans="2:27" x14ac:dyDescent="0.3">
      <c r="B119" s="12" t="s">
        <v>283</v>
      </c>
      <c r="C119" s="3" t="s">
        <v>526</v>
      </c>
      <c r="D119" s="3" t="s">
        <v>570</v>
      </c>
      <c r="E119" s="3" t="s">
        <v>528</v>
      </c>
      <c r="F119" s="5">
        <v>-77.599999999999994</v>
      </c>
      <c r="G119" s="56">
        <v>28.92</v>
      </c>
      <c r="H119" s="56">
        <v>46.15</v>
      </c>
      <c r="I119" s="56">
        <v>34.44</v>
      </c>
      <c r="J119" s="56">
        <v>27.37</v>
      </c>
      <c r="K119" s="57">
        <v>48.58</v>
      </c>
      <c r="L119" s="56">
        <v>15.43</v>
      </c>
      <c r="M119" s="56">
        <v>21.77</v>
      </c>
      <c r="N119" s="56">
        <v>36.94</v>
      </c>
      <c r="O119" s="57">
        <v>145.83000000000001</v>
      </c>
      <c r="P119" s="56">
        <v>8.6199999999999992</v>
      </c>
      <c r="Q119" s="56">
        <v>4.54</v>
      </c>
      <c r="R119" s="56">
        <v>18.829999999999998</v>
      </c>
      <c r="S119" s="57">
        <v>344.26</v>
      </c>
      <c r="T119" s="56">
        <v>1.17</v>
      </c>
      <c r="U119" s="56">
        <v>14.68</v>
      </c>
      <c r="V119" s="56">
        <v>48.74</v>
      </c>
      <c r="W119" s="56">
        <v>27</v>
      </c>
      <c r="X119" s="9">
        <v>-1.9800664451827269E-2</v>
      </c>
      <c r="Y119" s="10">
        <v>2.7494577006507589E-2</v>
      </c>
      <c r="Z119" s="10">
        <v>7.8930701430305561E-2</v>
      </c>
      <c r="AA119" s="10">
        <v>-0.77598141127552889</v>
      </c>
    </row>
    <row r="120" spans="2:27" x14ac:dyDescent="0.3">
      <c r="B120" s="12" t="s">
        <v>151</v>
      </c>
      <c r="C120" s="3" t="s">
        <v>526</v>
      </c>
      <c r="D120" s="3" t="s">
        <v>546</v>
      </c>
      <c r="E120" s="3" t="s">
        <v>528</v>
      </c>
      <c r="F120" s="5">
        <v>-110.1</v>
      </c>
      <c r="G120" s="56">
        <v>185.62</v>
      </c>
      <c r="H120" s="56">
        <v>327.36</v>
      </c>
      <c r="I120" s="56">
        <v>446.09</v>
      </c>
      <c r="J120" s="56">
        <v>904.13</v>
      </c>
      <c r="K120" s="57">
        <v>885.39</v>
      </c>
      <c r="L120" s="57">
        <v>1107</v>
      </c>
      <c r="M120" s="56">
        <v>373.12</v>
      </c>
      <c r="N120" s="56">
        <v>-128.15</v>
      </c>
      <c r="O120" s="56">
        <v>-885.2</v>
      </c>
      <c r="P120" s="56">
        <v>-142.26</v>
      </c>
      <c r="Q120" s="57">
        <v>-195.87</v>
      </c>
      <c r="R120" s="57">
        <v>-263.33</v>
      </c>
      <c r="S120" s="56">
        <v>-805.89</v>
      </c>
      <c r="T120" s="56">
        <v>20.440000000000001</v>
      </c>
      <c r="U120" s="56">
        <v>55.19</v>
      </c>
      <c r="V120" s="56">
        <v>-29.35</v>
      </c>
      <c r="W120" s="56">
        <v>30.25</v>
      </c>
      <c r="X120" s="9">
        <v>-0.1156073471417913</v>
      </c>
      <c r="Y120" s="10">
        <v>-0.20171132446872611</v>
      </c>
      <c r="Z120" s="10">
        <v>-0.23548948761561611</v>
      </c>
      <c r="AA120" s="10">
        <v>-1.1007490686009931</v>
      </c>
    </row>
    <row r="121" spans="2:27" x14ac:dyDescent="0.3">
      <c r="B121" s="12" t="s">
        <v>105</v>
      </c>
      <c r="C121" s="3" t="s">
        <v>526</v>
      </c>
      <c r="D121" s="3" t="s">
        <v>533</v>
      </c>
      <c r="E121" s="3" t="s">
        <v>528</v>
      </c>
      <c r="F121" s="5">
        <v>-125.2</v>
      </c>
      <c r="G121" s="56">
        <v>-8.24</v>
      </c>
      <c r="H121" s="56">
        <v>-11.15</v>
      </c>
      <c r="I121" s="56">
        <v>-52.25</v>
      </c>
      <c r="J121" s="56">
        <v>-32.21</v>
      </c>
      <c r="K121" s="56">
        <v>-13.48</v>
      </c>
      <c r="L121" s="56">
        <v>-14.48</v>
      </c>
      <c r="M121" s="56">
        <v>-52.29</v>
      </c>
      <c r="N121" s="56">
        <v>-17.71</v>
      </c>
      <c r="O121" s="56">
        <v>-16.21</v>
      </c>
      <c r="P121" s="56">
        <v>-22.45</v>
      </c>
      <c r="Q121" s="56">
        <v>-22.86</v>
      </c>
      <c r="R121" s="56">
        <v>-8.64</v>
      </c>
      <c r="S121" s="56">
        <v>-9.66</v>
      </c>
      <c r="T121" s="56">
        <v>-25.4</v>
      </c>
      <c r="U121" s="56">
        <v>-22.61</v>
      </c>
      <c r="V121" s="56">
        <v>12.27</v>
      </c>
      <c r="W121" s="56">
        <v>47.16</v>
      </c>
      <c r="X121" s="9">
        <v>4.6376355918880792E-2</v>
      </c>
      <c r="Y121" s="10">
        <v>-3.7560096153845808E-3</v>
      </c>
      <c r="Z121" s="10">
        <v>-0.31533705323480621</v>
      </c>
      <c r="AA121" s="10">
        <v>-1.251541850220264</v>
      </c>
    </row>
    <row r="122" spans="2:27" x14ac:dyDescent="0.3">
      <c r="B122" s="32" t="s">
        <v>296</v>
      </c>
      <c r="C122" s="19" t="s">
        <v>526</v>
      </c>
      <c r="D122" s="19" t="s">
        <v>533</v>
      </c>
      <c r="E122" s="19" t="s">
        <v>528</v>
      </c>
      <c r="F122" s="20">
        <v>-181.1</v>
      </c>
      <c r="G122" s="58">
        <v>5.39</v>
      </c>
      <c r="H122" s="58">
        <v>1.3</v>
      </c>
      <c r="I122" s="58">
        <v>-4.04</v>
      </c>
      <c r="J122" s="58">
        <v>0.67</v>
      </c>
      <c r="K122" s="58">
        <v>-0.1</v>
      </c>
      <c r="L122" s="59">
        <v>-8.17</v>
      </c>
      <c r="M122" s="58">
        <v>-2.92</v>
      </c>
      <c r="N122" s="59">
        <v>-0.48</v>
      </c>
      <c r="O122" s="58">
        <v>4.1399999999999997</v>
      </c>
      <c r="P122" s="58">
        <v>-1.52</v>
      </c>
      <c r="Q122" s="58">
        <v>7.14</v>
      </c>
      <c r="R122" s="59">
        <v>7.37</v>
      </c>
      <c r="S122" s="59">
        <v>5.86</v>
      </c>
      <c r="T122" s="58">
        <v>-9.76</v>
      </c>
      <c r="U122" s="58">
        <v>1.93</v>
      </c>
      <c r="V122" s="58">
        <v>4.3</v>
      </c>
      <c r="W122" s="58">
        <v>1.64</v>
      </c>
      <c r="X122" s="23">
        <v>-0.43713527851458889</v>
      </c>
      <c r="Y122" s="24">
        <v>-0.49104618284637119</v>
      </c>
      <c r="Z122" s="24">
        <v>-0.56851851851851853</v>
      </c>
      <c r="AA122" s="24">
        <v>-1.811158798283262</v>
      </c>
    </row>
    <row r="123" spans="2:27" x14ac:dyDescent="0.3">
      <c r="B123" s="33" t="s">
        <v>494</v>
      </c>
      <c r="C123" s="25" t="s">
        <v>592</v>
      </c>
      <c r="D123" s="25" t="str">
        <f>VLOOKUP(B123,기업리스트!B:G,2,FALSE)</f>
        <v>Coor Service Management Holding AB</v>
      </c>
      <c r="E123" s="25" t="s">
        <v>528</v>
      </c>
      <c r="F123" s="26">
        <v>0.2</v>
      </c>
      <c r="G123" s="60">
        <v>123</v>
      </c>
      <c r="H123" s="60">
        <v>123</v>
      </c>
      <c r="I123" s="60">
        <v>119</v>
      </c>
      <c r="J123" s="60">
        <v>69</v>
      </c>
      <c r="K123" s="60">
        <v>158</v>
      </c>
      <c r="L123" s="60">
        <v>106</v>
      </c>
      <c r="M123" s="60">
        <v>94</v>
      </c>
      <c r="N123" s="60">
        <v>78</v>
      </c>
      <c r="O123" s="60">
        <v>171</v>
      </c>
      <c r="P123" s="60">
        <v>125</v>
      </c>
      <c r="Q123" s="60">
        <v>132</v>
      </c>
      <c r="R123" s="60">
        <v>73</v>
      </c>
      <c r="S123" s="60">
        <v>118</v>
      </c>
      <c r="T123" s="60">
        <v>110</v>
      </c>
      <c r="U123" s="60">
        <v>128</v>
      </c>
      <c r="V123" s="60">
        <v>98</v>
      </c>
      <c r="W123" s="60">
        <v>119</v>
      </c>
      <c r="X123" s="28">
        <v>-3.3482142857142898E-2</v>
      </c>
      <c r="Y123" s="29">
        <v>-9.2378752886835835E-3</v>
      </c>
      <c r="Z123" s="29">
        <v>5.8275058275058189E-2</v>
      </c>
      <c r="AA123" s="29">
        <v>2.2026431718060731E-3</v>
      </c>
    </row>
    <row r="124" spans="2:27" hidden="1" x14ac:dyDescent="0.3">
      <c r="B124" s="3" t="s">
        <v>353</v>
      </c>
      <c r="C124" s="3" t="s">
        <v>526</v>
      </c>
      <c r="D124" s="3" t="s">
        <v>529</v>
      </c>
      <c r="E124" s="3" t="s">
        <v>593</v>
      </c>
      <c r="F124" s="5">
        <v>-323.8</v>
      </c>
      <c r="G124" s="4">
        <v>33.979999999999997</v>
      </c>
      <c r="H124" s="4">
        <v>-20.77</v>
      </c>
      <c r="I124" s="4">
        <v>-66.430000000000007</v>
      </c>
      <c r="J124" s="4">
        <v>-58.59</v>
      </c>
      <c r="K124" s="6">
        <v>-144.32</v>
      </c>
      <c r="L124" s="4">
        <v>39.409999999999997</v>
      </c>
      <c r="M124" s="4">
        <v>-31.36</v>
      </c>
      <c r="N124" s="4">
        <v>42.96</v>
      </c>
      <c r="O124" s="6">
        <v>-179.17</v>
      </c>
      <c r="P124" s="4">
        <v>99.64</v>
      </c>
      <c r="Q124" s="4">
        <v>14.52</v>
      </c>
      <c r="R124" s="6">
        <v>-48.35</v>
      </c>
      <c r="S124" s="4">
        <v>65.88</v>
      </c>
      <c r="T124" s="4">
        <v>-46.44</v>
      </c>
      <c r="U124" s="4">
        <v>27.33</v>
      </c>
      <c r="V124" s="6">
        <v>-75.61</v>
      </c>
      <c r="W124" s="4">
        <v>159.26</v>
      </c>
      <c r="X124" s="9">
        <v>-1.1092717746222189</v>
      </c>
      <c r="Y124" s="10">
        <v>-0.89020152883947157</v>
      </c>
      <c r="Z124" s="8">
        <v>17.25316455696197</v>
      </c>
      <c r="AA124" s="10">
        <v>-3.237864077669903</v>
      </c>
    </row>
    <row r="125" spans="2:27" hidden="1" x14ac:dyDescent="0.3">
      <c r="B125" s="3" t="s">
        <v>359</v>
      </c>
      <c r="C125" s="3" t="s">
        <v>526</v>
      </c>
      <c r="D125" s="3" t="s">
        <v>599</v>
      </c>
      <c r="E125" s="3" t="s">
        <v>593</v>
      </c>
      <c r="F125" s="5">
        <v>-3850</v>
      </c>
      <c r="G125" s="4">
        <v>19.8</v>
      </c>
      <c r="H125" s="4">
        <v>27.3</v>
      </c>
      <c r="I125" s="4">
        <v>33.4</v>
      </c>
      <c r="J125" s="4">
        <v>34.9</v>
      </c>
      <c r="K125" s="6">
        <v>48.7</v>
      </c>
      <c r="L125" s="4">
        <v>-0.3</v>
      </c>
      <c r="M125" s="4">
        <v>41</v>
      </c>
      <c r="N125" s="4">
        <v>0</v>
      </c>
      <c r="O125" s="4">
        <v>20.7</v>
      </c>
      <c r="P125" s="4">
        <v>4.0999999999999996</v>
      </c>
      <c r="Q125" s="4">
        <v>4.3</v>
      </c>
      <c r="R125" s="4">
        <v>-43.2</v>
      </c>
      <c r="S125" s="6">
        <v>2.2999999999999998</v>
      </c>
      <c r="T125" s="6">
        <v>-21.3</v>
      </c>
      <c r="U125" s="4">
        <v>4.9000000000000004</v>
      </c>
      <c r="V125" s="4">
        <v>14.3</v>
      </c>
      <c r="W125" s="4">
        <v>-5.4</v>
      </c>
      <c r="X125" s="11">
        <v>0.78153846153846174</v>
      </c>
      <c r="Y125" s="10">
        <v>-1.036269430051817E-2</v>
      </c>
      <c r="Z125" s="10">
        <v>-1.003490401396161</v>
      </c>
      <c r="AA125" s="10">
        <v>-38.499999999999957</v>
      </c>
    </row>
    <row r="126" spans="2:27" x14ac:dyDescent="0.3">
      <c r="B126" s="12">
        <v>8074</v>
      </c>
      <c r="C126" s="3" t="s">
        <v>587</v>
      </c>
      <c r="D126" s="3" t="str">
        <f>VLOOKUP(B126,기업리스트!B:G,2,FALSE)</f>
        <v>Yuasa Trading Co., Ltd.</v>
      </c>
      <c r="E126" s="3" t="s">
        <v>560</v>
      </c>
      <c r="F126" s="5">
        <v>1.7</v>
      </c>
      <c r="G126" s="56">
        <v>3626</v>
      </c>
      <c r="H126" s="56">
        <v>2486</v>
      </c>
      <c r="I126" s="56">
        <v>4936</v>
      </c>
      <c r="J126" s="56">
        <v>1425</v>
      </c>
      <c r="K126" s="56">
        <v>3709</v>
      </c>
      <c r="L126" s="56">
        <v>3350</v>
      </c>
      <c r="M126" s="56">
        <v>6115</v>
      </c>
      <c r="N126" s="56">
        <v>1478</v>
      </c>
      <c r="O126" s="56">
        <v>4442</v>
      </c>
      <c r="P126" s="56">
        <v>3466</v>
      </c>
      <c r="Q126" s="56">
        <v>5338</v>
      </c>
      <c r="R126" s="56">
        <v>1672</v>
      </c>
      <c r="S126" s="56">
        <v>3826</v>
      </c>
      <c r="T126" s="56">
        <v>4289</v>
      </c>
      <c r="U126" s="56">
        <v>5974</v>
      </c>
      <c r="V126" s="56">
        <v>2153</v>
      </c>
      <c r="W126" s="56">
        <v>4107</v>
      </c>
      <c r="X126" s="9">
        <v>5.754439938470135E-2</v>
      </c>
      <c r="Y126" s="10">
        <v>4.2049586776859549E-2</v>
      </c>
      <c r="Z126" s="10">
        <v>3.0518368123850111E-2</v>
      </c>
      <c r="AA126" s="10">
        <v>1.7300825021549171E-2</v>
      </c>
    </row>
    <row r="127" spans="2:27" hidden="1" x14ac:dyDescent="0.3">
      <c r="B127" s="3" t="s">
        <v>95</v>
      </c>
      <c r="C127" s="3" t="s">
        <v>587</v>
      </c>
      <c r="D127" s="3" t="e">
        <f>VLOOKUP(B127,기업리스트!B:G,2,FALSE)</f>
        <v>#N/A</v>
      </c>
      <c r="E127" s="3" t="s">
        <v>593</v>
      </c>
      <c r="F127" s="14">
        <v>11.4</v>
      </c>
      <c r="G127" s="4">
        <v>11792</v>
      </c>
      <c r="H127" s="4">
        <v>-14257</v>
      </c>
      <c r="I127" s="4">
        <v>10059</v>
      </c>
      <c r="J127" s="4">
        <v>9108</v>
      </c>
      <c r="K127" s="6">
        <v>16885</v>
      </c>
      <c r="L127" s="6">
        <v>-2174</v>
      </c>
      <c r="M127" s="6">
        <v>22121</v>
      </c>
      <c r="N127" s="4">
        <v>11490</v>
      </c>
      <c r="O127" s="6">
        <v>22195</v>
      </c>
      <c r="P127" s="4">
        <v>-1589</v>
      </c>
      <c r="Q127" s="6">
        <v>33814</v>
      </c>
      <c r="R127" s="6">
        <v>25183</v>
      </c>
      <c r="S127" s="6">
        <v>32527</v>
      </c>
      <c r="T127" s="6">
        <v>8588</v>
      </c>
      <c r="U127" s="6">
        <v>44513</v>
      </c>
      <c r="V127" s="6">
        <v>36619</v>
      </c>
      <c r="W127" s="6">
        <v>46475</v>
      </c>
      <c r="X127" s="11">
        <v>0.1131595040862845</v>
      </c>
      <c r="Y127" s="8">
        <v>0.1068703052581108</v>
      </c>
      <c r="Z127" s="8">
        <v>0.1032027506294502</v>
      </c>
      <c r="AA127" s="8">
        <v>0.114096869452829</v>
      </c>
    </row>
    <row r="128" spans="2:27" x14ac:dyDescent="0.3">
      <c r="B128" s="32">
        <v>6740</v>
      </c>
      <c r="C128" s="19" t="s">
        <v>587</v>
      </c>
      <c r="D128" s="19" t="str">
        <f>VLOOKUP(B128,기업리스트!B:G,2,FALSE)</f>
        <v>Japan Display Inc.</v>
      </c>
      <c r="E128" s="19" t="s">
        <v>560</v>
      </c>
      <c r="F128" s="20">
        <v>-8.1</v>
      </c>
      <c r="G128" s="58">
        <v>-1173</v>
      </c>
      <c r="H128" s="58">
        <v>-3097</v>
      </c>
      <c r="I128" s="58">
        <v>1527</v>
      </c>
      <c r="J128" s="58">
        <v>-6873</v>
      </c>
      <c r="K128" s="59">
        <v>-4921</v>
      </c>
      <c r="L128" s="59">
        <v>-10625</v>
      </c>
      <c r="M128" s="59">
        <v>-22021</v>
      </c>
      <c r="N128" s="59">
        <v>-13882</v>
      </c>
      <c r="O128" s="58">
        <v>-7557</v>
      </c>
      <c r="P128" s="58">
        <v>-6223</v>
      </c>
      <c r="Q128" s="58">
        <v>-6564</v>
      </c>
      <c r="R128" s="58">
        <v>-7043</v>
      </c>
      <c r="S128" s="58">
        <v>-8438</v>
      </c>
      <c r="T128" s="58">
        <v>-8254</v>
      </c>
      <c r="U128" s="59">
        <v>-13381</v>
      </c>
      <c r="V128" s="58">
        <v>-9153</v>
      </c>
      <c r="W128" s="58">
        <v>-5279</v>
      </c>
      <c r="X128" s="23">
        <v>7.1848026036507751E-2</v>
      </c>
      <c r="Y128" s="34">
        <v>0.22499092379286451</v>
      </c>
      <c r="Z128" s="24">
        <v>5.6848798361892383E-2</v>
      </c>
      <c r="AA128" s="24">
        <v>-8.0533319736909248E-2</v>
      </c>
    </row>
    <row r="129" spans="2:27" hidden="1" x14ac:dyDescent="0.3">
      <c r="B129" s="3" t="s">
        <v>139</v>
      </c>
      <c r="C129" s="3" t="s">
        <v>587</v>
      </c>
      <c r="D129" s="3" t="e">
        <f>VLOOKUP(B129,기업리스트!B:G,2,FALSE)</f>
        <v>#N/A</v>
      </c>
      <c r="E129" s="3" t="s">
        <v>593</v>
      </c>
      <c r="F129" s="5">
        <v>-0.7</v>
      </c>
      <c r="G129" s="4">
        <v>36101</v>
      </c>
      <c r="H129" s="4">
        <v>24292</v>
      </c>
      <c r="I129" s="4">
        <v>30030</v>
      </c>
      <c r="J129" s="4">
        <v>24292</v>
      </c>
      <c r="K129" s="4">
        <v>35084</v>
      </c>
      <c r="L129" s="4">
        <v>30263</v>
      </c>
      <c r="M129" s="4">
        <v>28347</v>
      </c>
      <c r="N129" s="4">
        <v>30670</v>
      </c>
      <c r="O129" s="4">
        <v>39309</v>
      </c>
      <c r="P129" s="4">
        <v>36438</v>
      </c>
      <c r="Q129" s="4">
        <v>37445</v>
      </c>
      <c r="R129" s="4">
        <v>35481</v>
      </c>
      <c r="S129" s="4">
        <v>30490</v>
      </c>
      <c r="T129" s="4">
        <v>31892</v>
      </c>
      <c r="U129" s="4">
        <v>29018</v>
      </c>
      <c r="V129" s="4">
        <v>32603</v>
      </c>
      <c r="W129" s="4">
        <v>29635</v>
      </c>
      <c r="X129" s="9">
        <v>-3.2505326983854547E-2</v>
      </c>
      <c r="Y129" s="10">
        <v>-6.2280131256097222E-2</v>
      </c>
      <c r="Z129" s="10">
        <v>-2.268267116431932E-2</v>
      </c>
      <c r="AA129" s="10">
        <v>-6.8949944759401083E-3</v>
      </c>
    </row>
    <row r="130" spans="2:27" x14ac:dyDescent="0.3">
      <c r="B130" s="12" t="s">
        <v>384</v>
      </c>
      <c r="C130" s="3" t="s">
        <v>589</v>
      </c>
      <c r="D130" s="3" t="str">
        <f>VLOOKUP(B130,기업리스트!B:G,2,FALSE)</f>
        <v>Anupam Rasayan India Ltd</v>
      </c>
      <c r="E130" s="3" t="s">
        <v>560</v>
      </c>
      <c r="F130" s="14">
        <v>12.3</v>
      </c>
      <c r="G130" s="56">
        <v>491.8</v>
      </c>
      <c r="H130" s="56">
        <v>595.85</v>
      </c>
      <c r="I130" s="56">
        <v>897.57</v>
      </c>
      <c r="J130" s="56">
        <v>803.29</v>
      </c>
      <c r="K130" s="57">
        <v>865.27</v>
      </c>
      <c r="L130" s="56">
        <v>834.51</v>
      </c>
      <c r="M130" s="56">
        <v>1083</v>
      </c>
      <c r="N130" s="56">
        <v>827.34</v>
      </c>
      <c r="O130" s="56">
        <v>876.29</v>
      </c>
      <c r="P130" s="56">
        <v>586.51</v>
      </c>
      <c r="Q130" s="56">
        <v>779.9</v>
      </c>
      <c r="R130" s="56">
        <v>325.3</v>
      </c>
      <c r="S130" s="56">
        <v>587.39</v>
      </c>
      <c r="T130" s="57">
        <v>950.09</v>
      </c>
      <c r="U130" s="57">
        <v>1184</v>
      </c>
      <c r="V130" s="57">
        <v>936.03</v>
      </c>
      <c r="W130" s="57">
        <v>1037</v>
      </c>
      <c r="X130" s="11">
        <v>0.1595278838137861</v>
      </c>
      <c r="Y130" s="8">
        <v>0.15291295200326949</v>
      </c>
      <c r="Z130" s="8">
        <v>0.20045096790710179</v>
      </c>
      <c r="AA130" s="8">
        <v>0.1229278935669347</v>
      </c>
    </row>
    <row r="131" spans="2:27" x14ac:dyDescent="0.3">
      <c r="B131" s="12" t="s">
        <v>388</v>
      </c>
      <c r="C131" s="3" t="s">
        <v>589</v>
      </c>
      <c r="D131" s="3" t="str">
        <f>VLOOKUP(B131,기업리스트!B:G,2,FALSE)</f>
        <v>Elgi Equipments Limited</v>
      </c>
      <c r="E131" s="3" t="s">
        <v>572</v>
      </c>
      <c r="F131" s="5">
        <v>4.7</v>
      </c>
      <c r="G131" s="56">
        <v>561.30999999999995</v>
      </c>
      <c r="H131" s="56">
        <v>880.51</v>
      </c>
      <c r="I131" s="56">
        <v>592.87</v>
      </c>
      <c r="J131" s="56">
        <v>929.95</v>
      </c>
      <c r="K131" s="57">
        <v>948.91</v>
      </c>
      <c r="L131" s="56">
        <v>1123</v>
      </c>
      <c r="M131" s="56">
        <v>701.12</v>
      </c>
      <c r="N131" s="56">
        <v>1241</v>
      </c>
      <c r="O131" s="56">
        <v>1099</v>
      </c>
      <c r="P131" s="56">
        <v>1101</v>
      </c>
      <c r="Q131" s="56">
        <v>948.91</v>
      </c>
      <c r="R131" s="56">
        <v>1227</v>
      </c>
      <c r="S131" s="56">
        <v>1008</v>
      </c>
      <c r="T131" s="56">
        <v>1370</v>
      </c>
      <c r="U131" s="56">
        <v>1023</v>
      </c>
      <c r="V131" s="56">
        <v>1192</v>
      </c>
      <c r="W131" s="56">
        <v>1226</v>
      </c>
      <c r="X131" s="9">
        <v>6.2778448088758099E-2</v>
      </c>
      <c r="Y131" s="10">
        <v>1.6269535410230022E-2</v>
      </c>
      <c r="Z131" s="10">
        <v>-7.5626620570440339E-3</v>
      </c>
      <c r="AA131" s="10">
        <v>4.7463531460918862E-2</v>
      </c>
    </row>
    <row r="132" spans="2:27" x14ac:dyDescent="0.3">
      <c r="B132" s="12" t="s">
        <v>101</v>
      </c>
      <c r="C132" s="3" t="s">
        <v>589</v>
      </c>
      <c r="D132" s="3" t="str">
        <f>VLOOKUP(B132,기업리스트!B:G,2,FALSE)</f>
        <v>Divi's Laboratories Limited</v>
      </c>
      <c r="E132" s="3" t="s">
        <v>572</v>
      </c>
      <c r="F132" s="5">
        <v>4.5</v>
      </c>
      <c r="G132" s="56">
        <v>10204</v>
      </c>
      <c r="H132" s="56">
        <v>10256</v>
      </c>
      <c r="I132" s="56">
        <v>7630</v>
      </c>
      <c r="J132" s="56">
        <v>5353</v>
      </c>
      <c r="K132" s="56">
        <v>3215</v>
      </c>
      <c r="L132" s="56">
        <v>4061</v>
      </c>
      <c r="M132" s="56">
        <v>4110</v>
      </c>
      <c r="N132" s="56">
        <v>3840</v>
      </c>
      <c r="O132" s="56">
        <v>3940</v>
      </c>
      <c r="P132" s="57">
        <v>6420</v>
      </c>
      <c r="Q132" s="56">
        <v>5260</v>
      </c>
      <c r="R132" s="57">
        <v>6170</v>
      </c>
      <c r="S132" s="57">
        <v>6440</v>
      </c>
      <c r="T132" s="56">
        <v>7830</v>
      </c>
      <c r="U132" s="56">
        <v>6170</v>
      </c>
      <c r="V132" s="56">
        <v>7750</v>
      </c>
      <c r="W132" s="56">
        <v>7720</v>
      </c>
      <c r="X132" s="9">
        <v>5.8048579662412607E-2</v>
      </c>
      <c r="Y132" s="10">
        <v>3.5408560311284143E-2</v>
      </c>
      <c r="Z132" s="10">
        <v>5.9376174370537438E-2</v>
      </c>
      <c r="AA132" s="10">
        <v>4.5406172401560863E-2</v>
      </c>
    </row>
    <row r="133" spans="2:27" x14ac:dyDescent="0.3">
      <c r="B133" s="31" t="s">
        <v>205</v>
      </c>
      <c r="C133" s="15" t="s">
        <v>589</v>
      </c>
      <c r="D133" s="15" t="str">
        <f>VLOOKUP(B133,기업리스트!B:G,2,FALSE)</f>
        <v>Patanjali Foods Limited</v>
      </c>
      <c r="E133" s="15" t="s">
        <v>572</v>
      </c>
      <c r="F133" s="16">
        <v>-2.4</v>
      </c>
      <c r="G133" s="61">
        <v>3870</v>
      </c>
      <c r="H133" s="61">
        <v>3784</v>
      </c>
      <c r="I133" s="61">
        <v>3589</v>
      </c>
      <c r="J133" s="61">
        <v>1538</v>
      </c>
      <c r="K133" s="61">
        <v>3253</v>
      </c>
      <c r="L133" s="61">
        <v>3186</v>
      </c>
      <c r="M133" s="61">
        <v>1009</v>
      </c>
      <c r="N133" s="62">
        <v>3352</v>
      </c>
      <c r="O133" s="61">
        <v>2843</v>
      </c>
      <c r="P133" s="61">
        <v>3306</v>
      </c>
      <c r="Q133" s="62">
        <v>3486</v>
      </c>
      <c r="R133" s="61">
        <v>3927</v>
      </c>
      <c r="S133" s="62">
        <v>4708</v>
      </c>
      <c r="T133" s="62">
        <v>5076</v>
      </c>
      <c r="U133" s="61">
        <v>2593</v>
      </c>
      <c r="V133" s="61">
        <v>4892</v>
      </c>
      <c r="W133" s="61">
        <v>4296</v>
      </c>
      <c r="X133" s="11">
        <v>0.11473390808323081</v>
      </c>
      <c r="Y133" s="18">
        <v>-5.192766180147701E-2</v>
      </c>
      <c r="Z133" s="18">
        <v>5.9187929342492618E-2</v>
      </c>
      <c r="AA133" s="10">
        <v>-2.3857779836701561E-2</v>
      </c>
    </row>
    <row r="134" spans="2:27" x14ac:dyDescent="0.3">
      <c r="B134" s="32" t="s">
        <v>335</v>
      </c>
      <c r="C134" s="19" t="s">
        <v>589</v>
      </c>
      <c r="D134" s="19" t="str">
        <f>VLOOKUP(B134,기업리스트!B:G,2,FALSE)</f>
        <v>KIOCL Limited</v>
      </c>
      <c r="E134" s="19" t="s">
        <v>560</v>
      </c>
      <c r="F134" s="20">
        <v>-19.5</v>
      </c>
      <c r="G134" s="58">
        <v>-562.70000000000005</v>
      </c>
      <c r="H134" s="58">
        <v>-1006</v>
      </c>
      <c r="I134" s="58">
        <v>2255</v>
      </c>
      <c r="J134" s="58">
        <v>-603.20000000000005</v>
      </c>
      <c r="K134" s="58">
        <v>-1211</v>
      </c>
      <c r="L134" s="58">
        <v>-507.6</v>
      </c>
      <c r="M134" s="59">
        <v>426.67</v>
      </c>
      <c r="N134" s="58">
        <v>-701.8</v>
      </c>
      <c r="O134" s="58">
        <v>-264.3</v>
      </c>
      <c r="P134" s="58">
        <v>293.8</v>
      </c>
      <c r="Q134" s="59">
        <v>-325.92</v>
      </c>
      <c r="R134" s="58">
        <v>-569.5</v>
      </c>
      <c r="S134" s="59">
        <v>-771.8</v>
      </c>
      <c r="T134" s="59">
        <v>-541.6</v>
      </c>
      <c r="U134" s="58">
        <v>-516.26</v>
      </c>
      <c r="V134" s="58">
        <v>-520</v>
      </c>
      <c r="W134" s="58">
        <v>-314.3</v>
      </c>
      <c r="X134" s="35">
        <v>0.60826258537082611</v>
      </c>
      <c r="Y134" s="24">
        <v>8.6172707599532661E-2</v>
      </c>
      <c r="Z134" s="24">
        <v>-2.063222127744713E-2</v>
      </c>
      <c r="AA134" s="24">
        <v>-0.19470902173080351</v>
      </c>
    </row>
    <row r="135" spans="2:27" x14ac:dyDescent="0.3">
      <c r="B135" s="32">
        <v>9999</v>
      </c>
      <c r="C135" s="19" t="s">
        <v>591</v>
      </c>
      <c r="D135" s="19" t="str">
        <f>VLOOKUP(B135,기업리스트!B:G,2,FALSE)</f>
        <v>NetEase, Inc.</v>
      </c>
      <c r="E135" s="19" t="s">
        <v>528</v>
      </c>
      <c r="F135" s="20">
        <v>1.4</v>
      </c>
      <c r="G135" s="58">
        <v>4608</v>
      </c>
      <c r="H135" s="58">
        <v>5507</v>
      </c>
      <c r="I135" s="58">
        <v>4946</v>
      </c>
      <c r="J135" s="58">
        <v>4742</v>
      </c>
      <c r="K135" s="58">
        <v>4433</v>
      </c>
      <c r="L135" s="58">
        <v>7220</v>
      </c>
      <c r="M135" s="58">
        <v>6063</v>
      </c>
      <c r="N135" s="59">
        <v>7558</v>
      </c>
      <c r="O135" s="58">
        <v>6868</v>
      </c>
      <c r="P135" s="58">
        <v>7622</v>
      </c>
      <c r="Q135" s="58">
        <v>6993</v>
      </c>
      <c r="R135" s="58">
        <v>7147</v>
      </c>
      <c r="S135" s="58">
        <v>7821</v>
      </c>
      <c r="T135" s="58">
        <v>10441</v>
      </c>
      <c r="U135" s="58">
        <v>9061</v>
      </c>
      <c r="V135" s="58">
        <v>8013</v>
      </c>
      <c r="W135" s="58">
        <v>8319</v>
      </c>
      <c r="X135" s="23">
        <v>9.5291214548896219E-2</v>
      </c>
      <c r="Y135" s="24">
        <v>6.3823220788840285E-2</v>
      </c>
      <c r="Z135" s="24">
        <v>2.5123295619379201E-2</v>
      </c>
      <c r="AA135" s="24">
        <v>1.409327597917143E-2</v>
      </c>
    </row>
    <row r="136" spans="2:27" x14ac:dyDescent="0.3">
      <c r="B136" s="12" t="s">
        <v>45</v>
      </c>
      <c r="C136" s="3" t="s">
        <v>607</v>
      </c>
      <c r="D136" s="3" t="s">
        <v>535</v>
      </c>
      <c r="E136" s="3" t="s">
        <v>528</v>
      </c>
      <c r="F136" s="5">
        <v>8.8000000000000007</v>
      </c>
      <c r="G136" s="56"/>
      <c r="H136" s="56"/>
      <c r="I136" s="56"/>
      <c r="J136" s="56"/>
      <c r="K136" s="56"/>
      <c r="L136" s="56"/>
      <c r="M136" s="56"/>
      <c r="N136" s="56"/>
      <c r="O136" s="56"/>
      <c r="P136" s="56">
        <v>10.89</v>
      </c>
      <c r="Q136" s="56">
        <v>9.82</v>
      </c>
      <c r="R136" s="56">
        <v>11.02</v>
      </c>
      <c r="S136" s="56">
        <v>8.85</v>
      </c>
      <c r="T136" s="56">
        <v>11.2</v>
      </c>
      <c r="U136" s="56">
        <v>11.56</v>
      </c>
      <c r="V136" s="56">
        <v>12.3</v>
      </c>
      <c r="W136" s="56">
        <v>12.71</v>
      </c>
      <c r="X136" s="9">
        <v>7.6392311483490793E-3</v>
      </c>
      <c r="Y136" s="10">
        <v>4.2553191489361541E-2</v>
      </c>
      <c r="Z136" s="10">
        <v>3.0025803424818202E-2</v>
      </c>
      <c r="AA136" s="10">
        <v>8.7907082669095971E-2</v>
      </c>
    </row>
    <row r="137" spans="2:27" hidden="1" x14ac:dyDescent="0.3">
      <c r="B137" s="3" t="s">
        <v>121</v>
      </c>
      <c r="C137" s="3" t="s">
        <v>604</v>
      </c>
      <c r="D137" s="3" t="s">
        <v>588</v>
      </c>
      <c r="E137" s="3" t="s">
        <v>593</v>
      </c>
      <c r="F137" s="5">
        <v>3.4</v>
      </c>
      <c r="G137" s="4">
        <v>165.2</v>
      </c>
      <c r="H137" s="4">
        <v>178</v>
      </c>
      <c r="I137" s="4">
        <v>206.4</v>
      </c>
      <c r="J137" s="4">
        <v>190.94</v>
      </c>
      <c r="K137" s="4">
        <v>109.5</v>
      </c>
      <c r="L137" s="4">
        <v>152</v>
      </c>
      <c r="M137" s="4">
        <v>131.30000000000001</v>
      </c>
      <c r="N137" s="4">
        <v>225.1</v>
      </c>
      <c r="O137" s="4">
        <v>164.7</v>
      </c>
      <c r="P137" s="4">
        <v>184.58</v>
      </c>
      <c r="Q137" s="4">
        <v>198.5</v>
      </c>
      <c r="R137" s="4">
        <v>226.64</v>
      </c>
      <c r="S137" s="4">
        <v>194.4</v>
      </c>
      <c r="T137" s="4">
        <v>218.72</v>
      </c>
      <c r="U137" s="4">
        <v>245.9</v>
      </c>
      <c r="V137" s="4">
        <v>262.35000000000002</v>
      </c>
      <c r="W137" s="4">
        <v>225.9</v>
      </c>
      <c r="X137" s="9">
        <v>4.2456349798537518E-2</v>
      </c>
      <c r="Y137" s="10">
        <v>5.6545701810893911E-2</v>
      </c>
      <c r="Z137" s="10">
        <v>4.0320213174355857E-2</v>
      </c>
      <c r="AA137" s="10">
        <v>3.4188219716291927E-2</v>
      </c>
    </row>
    <row r="138" spans="2:27" hidden="1" x14ac:dyDescent="0.3">
      <c r="B138" s="3" t="s">
        <v>73</v>
      </c>
      <c r="C138" s="3" t="s">
        <v>604</v>
      </c>
      <c r="D138" s="3" t="s">
        <v>588</v>
      </c>
      <c r="E138" s="3" t="s">
        <v>605</v>
      </c>
      <c r="F138" s="5">
        <v>-4.0999999999999996</v>
      </c>
      <c r="G138" s="3"/>
      <c r="H138" s="3"/>
      <c r="I138" s="3"/>
      <c r="J138" s="3"/>
      <c r="K138" s="3"/>
      <c r="L138" s="3"/>
      <c r="M138" s="3"/>
      <c r="N138" s="4">
        <v>1489</v>
      </c>
      <c r="O138" s="4">
        <v>1354</v>
      </c>
      <c r="P138" s="4">
        <v>1597</v>
      </c>
      <c r="Q138" s="4">
        <v>1456</v>
      </c>
      <c r="R138" s="4">
        <v>1781</v>
      </c>
      <c r="S138" s="4">
        <v>1594</v>
      </c>
      <c r="T138" s="4">
        <v>1744</v>
      </c>
      <c r="U138" s="4">
        <v>1671</v>
      </c>
      <c r="V138" s="4">
        <v>1428</v>
      </c>
      <c r="W138" s="4">
        <v>1327</v>
      </c>
      <c r="X138" s="9">
        <v>2.2868699439950291E-2</v>
      </c>
      <c r="Y138" s="10">
        <v>3.2699619771863198E-2</v>
      </c>
      <c r="Z138" s="10">
        <v>-5.1988217967599448E-2</v>
      </c>
      <c r="AA138" s="10">
        <v>-4.1478949821345368E-2</v>
      </c>
    </row>
  </sheetData>
  <autoFilter ref="B2:AA138" xr:uid="{00000000-0009-0000-0000-000002000000}">
    <filterColumn colId="3">
      <filters>
        <filter val="Dec'25"/>
        <filter val="Jun'26"/>
        <filter val="Mar'26"/>
        <filter val="Sep'26"/>
      </filters>
    </filterColumn>
    <sortState xmlns:xlrd2="http://schemas.microsoft.com/office/spreadsheetml/2017/richdata2" ref="B3:AA136">
      <sortCondition descending="1" ref="C2:C138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20"/>
  <sheetViews>
    <sheetView workbookViewId="0">
      <selection activeCell="M23" sqref="M23"/>
    </sheetView>
  </sheetViews>
  <sheetFormatPr defaultRowHeight="16.5" x14ac:dyDescent="0.3"/>
  <cols>
    <col min="1" max="1" width="3" customWidth="1"/>
    <col min="2" max="2" width="23.375" customWidth="1"/>
    <col min="3" max="7" width="8" hidden="1" customWidth="1"/>
    <col min="8" max="10" width="9.375" customWidth="1"/>
    <col min="11" max="11" width="10.5" customWidth="1"/>
    <col min="12" max="18" width="9.375" customWidth="1"/>
    <col min="19" max="19" width="10.25" customWidth="1"/>
    <col min="20" max="23" width="9.375" customWidth="1"/>
  </cols>
  <sheetData>
    <row r="2" spans="2:25" x14ac:dyDescent="0.3">
      <c r="B2" s="36" t="s">
        <v>610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2:25" x14ac:dyDescent="0.3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Y3" s="12" t="s">
        <v>99</v>
      </c>
    </row>
    <row r="4" spans="2:25" x14ac:dyDescent="0.3">
      <c r="B4" s="38" t="s">
        <v>630</v>
      </c>
      <c r="C4" s="39">
        <v>6</v>
      </c>
      <c r="D4" s="39">
        <v>7</v>
      </c>
      <c r="E4" s="39">
        <v>8</v>
      </c>
      <c r="F4" s="39">
        <v>9</v>
      </c>
      <c r="G4" s="39">
        <v>10</v>
      </c>
      <c r="H4" s="39">
        <v>11</v>
      </c>
      <c r="I4" s="39">
        <v>12</v>
      </c>
      <c r="J4" s="39">
        <v>13</v>
      </c>
      <c r="K4" s="39">
        <v>14</v>
      </c>
      <c r="L4" s="39">
        <v>15</v>
      </c>
      <c r="M4" s="39">
        <v>16</v>
      </c>
      <c r="N4" s="39">
        <v>17</v>
      </c>
      <c r="O4" s="39">
        <v>18</v>
      </c>
      <c r="P4" s="39">
        <v>19</v>
      </c>
      <c r="Q4" s="39">
        <v>20</v>
      </c>
      <c r="R4" s="39">
        <v>21</v>
      </c>
      <c r="S4" s="39">
        <v>22</v>
      </c>
      <c r="Y4" s="12" t="s">
        <v>251</v>
      </c>
    </row>
    <row r="5" spans="2:25" ht="16.5" customHeight="1" x14ac:dyDescent="0.3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Y5" s="12" t="s">
        <v>253</v>
      </c>
    </row>
    <row r="6" spans="2:25" ht="18" customHeight="1" x14ac:dyDescent="0.3">
      <c r="B6" s="41"/>
      <c r="C6" s="42" t="s">
        <v>611</v>
      </c>
      <c r="D6" s="42" t="s">
        <v>612</v>
      </c>
      <c r="E6" s="42" t="s">
        <v>613</v>
      </c>
      <c r="F6" s="42" t="s">
        <v>614</v>
      </c>
      <c r="G6" s="42" t="s">
        <v>615</v>
      </c>
      <c r="H6" s="42" t="s">
        <v>514</v>
      </c>
      <c r="I6" s="42" t="s">
        <v>616</v>
      </c>
      <c r="J6" s="42" t="s">
        <v>617</v>
      </c>
      <c r="K6" s="42" t="s">
        <v>618</v>
      </c>
      <c r="L6" s="42" t="s">
        <v>518</v>
      </c>
      <c r="M6" s="42" t="s">
        <v>519</v>
      </c>
      <c r="N6" s="42" t="s">
        <v>520</v>
      </c>
      <c r="O6" s="42" t="s">
        <v>521</v>
      </c>
      <c r="P6" s="42" t="s">
        <v>522</v>
      </c>
      <c r="Q6" s="42" t="s">
        <v>523</v>
      </c>
      <c r="R6" s="42" t="s">
        <v>524</v>
      </c>
      <c r="S6" s="43" t="s">
        <v>525</v>
      </c>
      <c r="T6" s="42" t="s">
        <v>619</v>
      </c>
      <c r="U6" s="42" t="s">
        <v>620</v>
      </c>
      <c r="V6" s="42" t="s">
        <v>621</v>
      </c>
      <c r="W6" s="42" t="s">
        <v>622</v>
      </c>
      <c r="Y6" s="12" t="s">
        <v>437</v>
      </c>
    </row>
    <row r="7" spans="2:25" x14ac:dyDescent="0.3">
      <c r="B7" s="44" t="s">
        <v>623</v>
      </c>
      <c r="C7" s="45">
        <f>VLOOKUP($B$4,Revenue!$B:$W,C4,FALSE)</f>
        <v>1310</v>
      </c>
      <c r="D7" s="45">
        <f>VLOOKUP($B$4,Revenue!$B:$W,D4,FALSE)</f>
        <v>1366</v>
      </c>
      <c r="E7" s="45">
        <f>VLOOKUP($B$4,Revenue!$B:$W,E4,FALSE)</f>
        <v>1650</v>
      </c>
      <c r="F7" s="45">
        <f>VLOOKUP($B$4,Revenue!$B:$W,F4,FALSE)</f>
        <v>1748</v>
      </c>
      <c r="G7" s="45">
        <f>VLOOKUP($B$4,Revenue!$B:$W,G4,FALSE)</f>
        <v>1768</v>
      </c>
      <c r="H7" s="45">
        <f>VLOOKUP($B$4,Revenue!$B:$W,H4,FALSE)</f>
        <v>1791</v>
      </c>
      <c r="I7" s="45">
        <f>VLOOKUP($B$4,Revenue!$B:$W,I4,FALSE)</f>
        <v>1758</v>
      </c>
      <c r="J7" s="45">
        <f>VLOOKUP($B$4,Revenue!$B:$W,J4,FALSE)</f>
        <v>1625</v>
      </c>
      <c r="K7" s="45">
        <f>VLOOKUP($B$4,Revenue!$B:$W,K4,FALSE)</f>
        <v>1614</v>
      </c>
      <c r="L7" s="45">
        <f>VLOOKUP($B$4,Revenue!$B:$W,L4,FALSE)</f>
        <v>1420</v>
      </c>
      <c r="M7" s="45">
        <f>VLOOKUP($B$4,Revenue!$B:$W,M4,FALSE)</f>
        <v>1455</v>
      </c>
      <c r="N7" s="45">
        <f>VLOOKUP($B$4,Revenue!$B:$W,N4,FALSE)</f>
        <v>1422</v>
      </c>
      <c r="O7" s="45">
        <f>VLOOKUP($B$4,Revenue!$B:$W,O4,FALSE)</f>
        <v>1418</v>
      </c>
      <c r="P7" s="45">
        <f>VLOOKUP($B$4,Revenue!$B:$W,P4,FALSE)</f>
        <v>1381</v>
      </c>
      <c r="Q7" s="45">
        <f>VLOOKUP($B$4,Revenue!$B:$W,Q4,FALSE)</f>
        <v>1482</v>
      </c>
      <c r="R7" s="45">
        <f>VLOOKUP($B$4,Revenue!$B:$W,R4,FALSE)</f>
        <v>1564</v>
      </c>
      <c r="S7" s="45">
        <f>VLOOKUP($B$4,Revenue!$B:$W,S4,FALSE)</f>
        <v>1710</v>
      </c>
      <c r="T7" s="45"/>
      <c r="U7" s="45"/>
      <c r="V7" s="45"/>
      <c r="W7" s="45"/>
      <c r="Y7" s="12" t="s">
        <v>277</v>
      </c>
    </row>
    <row r="8" spans="2:25" x14ac:dyDescent="0.3">
      <c r="B8" s="44" t="s">
        <v>624</v>
      </c>
      <c r="C8" s="45">
        <f>VLOOKUP($B$4,'Operating Income'!$B:$W,C4,FALSE)</f>
        <v>142.43</v>
      </c>
      <c r="D8" s="45">
        <f>VLOOKUP($B$4,'Operating Income'!$B:$W,D4,FALSE)</f>
        <v>164.75</v>
      </c>
      <c r="E8" s="45">
        <f>VLOOKUP($B$4,'Operating Income'!$B:$W,E4,FALSE)</f>
        <v>218.06</v>
      </c>
      <c r="F8" s="45">
        <f>VLOOKUP($B$4,'Operating Income'!$B:$W,F4,FALSE)</f>
        <v>166.57</v>
      </c>
      <c r="G8" s="45">
        <f>VLOOKUP($B$4,'Operating Income'!$B:$W,G4,FALSE)</f>
        <v>150.02000000000001</v>
      </c>
      <c r="H8" s="45">
        <f>VLOOKUP($B$4,'Operating Income'!$B:$W,H4,FALSE)</f>
        <v>172.14</v>
      </c>
      <c r="I8" s="45">
        <f>VLOOKUP($B$4,'Operating Income'!$B:$W,I4,FALSE)</f>
        <v>138.49</v>
      </c>
      <c r="J8" s="45">
        <f>VLOOKUP($B$4,'Operating Income'!$B:$W,J4,FALSE)</f>
        <v>122.19</v>
      </c>
      <c r="K8" s="45">
        <f>VLOOKUP($B$4,'Operating Income'!$B:$W,K4,FALSE)</f>
        <v>166.11</v>
      </c>
      <c r="L8" s="45">
        <f>VLOOKUP($B$4,'Operating Income'!$B:$W,L4,FALSE)</f>
        <v>36.54</v>
      </c>
      <c r="M8" s="45">
        <f>VLOOKUP($B$4,'Operating Income'!$B:$W,M4,FALSE)</f>
        <v>72.09</v>
      </c>
      <c r="N8" s="45">
        <f>VLOOKUP($B$4,'Operating Income'!$B:$W,N4,FALSE)</f>
        <v>73.86</v>
      </c>
      <c r="O8" s="45">
        <f>VLOOKUP($B$4,'Operating Income'!$B:$W,O4,FALSE)</f>
        <v>97.63</v>
      </c>
      <c r="P8" s="45">
        <f>VLOOKUP($B$4,'Operating Income'!$B:$W,P4,FALSE)</f>
        <v>65.510000000000005</v>
      </c>
      <c r="Q8" s="45">
        <f>VLOOKUP($B$4,'Operating Income'!$B:$W,Q4,FALSE)</f>
        <v>80.569999999999993</v>
      </c>
      <c r="R8" s="45">
        <f>VLOOKUP($B$4,'Operating Income'!$B:$W,R4,FALSE)</f>
        <v>123.11</v>
      </c>
      <c r="S8" s="45">
        <f>VLOOKUP($B$4,'Operating Income'!$B:$W,S4,FALSE)</f>
        <v>137.69999999999999</v>
      </c>
      <c r="T8" s="45"/>
      <c r="U8" s="45"/>
      <c r="V8" s="45"/>
      <c r="W8" s="45"/>
      <c r="Y8" s="12" t="s">
        <v>47</v>
      </c>
    </row>
    <row r="9" spans="2:25" x14ac:dyDescent="0.3">
      <c r="B9" s="44" t="s">
        <v>625</v>
      </c>
      <c r="C9" s="45">
        <f>AVERAGE(C8:C8)</f>
        <v>142.43</v>
      </c>
      <c r="D9" s="45">
        <f>AVERAGE(C8:D8)</f>
        <v>153.59</v>
      </c>
      <c r="E9" s="45">
        <f>AVERAGE(C8:E8)</f>
        <v>175.08</v>
      </c>
      <c r="F9" s="45">
        <f t="shared" ref="F9:R9" si="0">AVERAGE(C8:F8)</f>
        <v>172.95249999999999</v>
      </c>
      <c r="G9" s="45">
        <f t="shared" si="0"/>
        <v>174.85</v>
      </c>
      <c r="H9" s="45">
        <f t="shared" si="0"/>
        <v>176.69749999999999</v>
      </c>
      <c r="I9" s="45">
        <f t="shared" si="0"/>
        <v>156.80500000000001</v>
      </c>
      <c r="J9" s="45">
        <f>AVERAGE(G8:J8)</f>
        <v>145.70999999999998</v>
      </c>
      <c r="K9" s="45">
        <f t="shared" si="0"/>
        <v>149.73250000000002</v>
      </c>
      <c r="L9" s="45">
        <f t="shared" si="0"/>
        <v>115.83250000000001</v>
      </c>
      <c r="M9" s="45">
        <f t="shared" si="0"/>
        <v>99.232500000000016</v>
      </c>
      <c r="N9" s="45">
        <f t="shared" si="0"/>
        <v>87.15</v>
      </c>
      <c r="O9" s="45">
        <f t="shared" si="0"/>
        <v>70.03</v>
      </c>
      <c r="P9" s="45">
        <f t="shared" si="0"/>
        <v>77.272499999999994</v>
      </c>
      <c r="Q9" s="45">
        <f t="shared" si="0"/>
        <v>79.392499999999998</v>
      </c>
      <c r="R9" s="45">
        <f t="shared" si="0"/>
        <v>91.704999999999998</v>
      </c>
      <c r="S9" s="46">
        <f>AVERAGE(P8:S8)</f>
        <v>101.7225</v>
      </c>
      <c r="T9" s="45"/>
      <c r="U9" s="45"/>
      <c r="V9" s="45"/>
      <c r="W9" s="45"/>
      <c r="Y9" s="12" t="s">
        <v>155</v>
      </c>
    </row>
    <row r="10" spans="2:25" x14ac:dyDescent="0.3">
      <c r="B10" s="44" t="s">
        <v>626</v>
      </c>
      <c r="C10" s="45">
        <f>SUM(C8:C8)</f>
        <v>142.43</v>
      </c>
      <c r="D10" s="45">
        <f>SUM(C8:D8)</f>
        <v>307.18</v>
      </c>
      <c r="E10" s="45">
        <f>SUM(C8:E8)</f>
        <v>525.24</v>
      </c>
      <c r="F10" s="45">
        <f t="shared" ref="F10:S10" si="1">SUM(C8:F8)</f>
        <v>691.81</v>
      </c>
      <c r="G10" s="45">
        <f t="shared" si="1"/>
        <v>699.4</v>
      </c>
      <c r="H10" s="45">
        <f t="shared" si="1"/>
        <v>706.79</v>
      </c>
      <c r="I10" s="45">
        <f t="shared" si="1"/>
        <v>627.22</v>
      </c>
      <c r="J10" s="45">
        <f t="shared" si="1"/>
        <v>582.83999999999992</v>
      </c>
      <c r="K10" s="45">
        <f t="shared" si="1"/>
        <v>598.93000000000006</v>
      </c>
      <c r="L10" s="45">
        <f t="shared" si="1"/>
        <v>463.33000000000004</v>
      </c>
      <c r="M10" s="45">
        <f t="shared" si="1"/>
        <v>396.93000000000006</v>
      </c>
      <c r="N10" s="45">
        <f t="shared" si="1"/>
        <v>348.6</v>
      </c>
      <c r="O10" s="45">
        <f t="shared" si="1"/>
        <v>280.12</v>
      </c>
      <c r="P10" s="45">
        <f t="shared" si="1"/>
        <v>309.08999999999997</v>
      </c>
      <c r="Q10" s="45">
        <f t="shared" si="1"/>
        <v>317.57</v>
      </c>
      <c r="R10" s="45">
        <f t="shared" si="1"/>
        <v>366.82</v>
      </c>
      <c r="S10" s="46">
        <f t="shared" si="1"/>
        <v>406.89</v>
      </c>
      <c r="T10" s="45"/>
      <c r="U10" s="45"/>
      <c r="V10" s="45"/>
      <c r="W10" s="45"/>
      <c r="Y10" s="12" t="s">
        <v>143</v>
      </c>
    </row>
    <row r="11" spans="2:25" x14ac:dyDescent="0.3">
      <c r="B11" s="44" t="s">
        <v>627</v>
      </c>
      <c r="C11" s="47"/>
      <c r="D11" s="47">
        <f t="shared" ref="D11:S11" si="2">D9/C9-1</f>
        <v>7.83542792950922E-2</v>
      </c>
      <c r="E11" s="47">
        <f t="shared" si="2"/>
        <v>0.13991796340907614</v>
      </c>
      <c r="F11" s="47">
        <f t="shared" si="2"/>
        <v>-1.2151587845556477E-2</v>
      </c>
      <c r="G11" s="47">
        <f t="shared" si="2"/>
        <v>1.0971220421792216E-2</v>
      </c>
      <c r="H11" s="47">
        <f t="shared" si="2"/>
        <v>1.0566199599656878E-2</v>
      </c>
      <c r="I11" s="47">
        <f>I9/H9-1</f>
        <v>-0.11257940831081359</v>
      </c>
      <c r="J11" s="47">
        <f t="shared" si="2"/>
        <v>-7.0756672299990608E-2</v>
      </c>
      <c r="K11" s="47">
        <f t="shared" si="2"/>
        <v>2.7606204104042575E-2</v>
      </c>
      <c r="L11" s="47">
        <f t="shared" si="2"/>
        <v>-0.22640375336015894</v>
      </c>
      <c r="M11" s="47">
        <f t="shared" si="2"/>
        <v>-0.14331038352793901</v>
      </c>
      <c r="N11" s="47">
        <f t="shared" si="2"/>
        <v>-0.12175950419469439</v>
      </c>
      <c r="O11" s="47">
        <f t="shared" si="2"/>
        <v>-0.19644291451520368</v>
      </c>
      <c r="P11" s="48">
        <f t="shared" si="2"/>
        <v>0.10341996287305433</v>
      </c>
      <c r="Q11" s="48">
        <f t="shared" si="2"/>
        <v>2.7435374809926083E-2</v>
      </c>
      <c r="R11" s="48">
        <f t="shared" si="2"/>
        <v>0.1550839185061561</v>
      </c>
      <c r="S11" s="49">
        <f t="shared" si="2"/>
        <v>0.10923613761517914</v>
      </c>
      <c r="T11" s="50"/>
      <c r="U11" s="50"/>
      <c r="V11" s="50"/>
      <c r="W11" s="50"/>
      <c r="Y11" s="12" t="s">
        <v>26</v>
      </c>
    </row>
    <row r="12" spans="2:25" x14ac:dyDescent="0.3">
      <c r="B12" s="44" t="s">
        <v>606</v>
      </c>
      <c r="C12" s="51">
        <f t="shared" ref="C12:F12" si="3">IFERROR(C8/C7,"-")</f>
        <v>0.10872519083969466</v>
      </c>
      <c r="D12" s="51">
        <f t="shared" si="3"/>
        <v>0.12060761346998536</v>
      </c>
      <c r="E12" s="51">
        <f t="shared" si="3"/>
        <v>0.13215757575757575</v>
      </c>
      <c r="F12" s="51">
        <f t="shared" si="3"/>
        <v>9.5291762013729978E-2</v>
      </c>
      <c r="G12" s="51">
        <f>IFERROR(G8/G7,"-")</f>
        <v>8.4852941176470589E-2</v>
      </c>
      <c r="H12" s="51">
        <f t="shared" ref="H12:S12" si="4">IFERROR(H8/H7,"-")</f>
        <v>9.6113902847571181E-2</v>
      </c>
      <c r="I12" s="51">
        <f t="shared" si="4"/>
        <v>7.8777019340159279E-2</v>
      </c>
      <c r="J12" s="51">
        <f t="shared" si="4"/>
        <v>7.5193846153846153E-2</v>
      </c>
      <c r="K12" s="51">
        <f t="shared" si="4"/>
        <v>0.10291821561338291</v>
      </c>
      <c r="L12" s="51">
        <f t="shared" si="4"/>
        <v>2.5732394366197182E-2</v>
      </c>
      <c r="M12" s="51">
        <f t="shared" si="4"/>
        <v>4.9546391752577322E-2</v>
      </c>
      <c r="N12" s="51">
        <f t="shared" si="4"/>
        <v>5.1940928270042194E-2</v>
      </c>
      <c r="O12" s="51">
        <f t="shared" si="4"/>
        <v>6.8850493653032432E-2</v>
      </c>
      <c r="P12" s="51">
        <f t="shared" si="4"/>
        <v>4.7436640115858075E-2</v>
      </c>
      <c r="Q12" s="51">
        <f t="shared" si="4"/>
        <v>5.4365721997300942E-2</v>
      </c>
      <c r="R12" s="51">
        <f t="shared" si="4"/>
        <v>7.8714833759590791E-2</v>
      </c>
      <c r="S12" s="52">
        <f t="shared" si="4"/>
        <v>8.0526315789473682E-2</v>
      </c>
      <c r="T12" s="53"/>
      <c r="U12" s="53"/>
      <c r="V12" s="53"/>
      <c r="W12" s="53"/>
      <c r="Y12" s="12" t="s">
        <v>127</v>
      </c>
    </row>
    <row r="13" spans="2:25" x14ac:dyDescent="0.3">
      <c r="B13" s="44" t="s">
        <v>628</v>
      </c>
      <c r="C13" s="53" t="e">
        <f>C8/#REF!-1</f>
        <v>#REF!</v>
      </c>
      <c r="D13" s="53" t="e">
        <f>D8/#REF!-1</f>
        <v>#REF!</v>
      </c>
      <c r="E13" s="53" t="e">
        <f>E8/#REF!-1</f>
        <v>#REF!</v>
      </c>
      <c r="F13" s="53" t="e">
        <f>F8/#REF!-1</f>
        <v>#REF!</v>
      </c>
      <c r="G13" s="53">
        <f t="shared" ref="G13:S13" si="5">G8/C8-1</f>
        <v>5.3289335111984748E-2</v>
      </c>
      <c r="H13" s="53">
        <f t="shared" si="5"/>
        <v>4.4855842185128836E-2</v>
      </c>
      <c r="I13" s="53">
        <f t="shared" si="5"/>
        <v>-0.36489956892598363</v>
      </c>
      <c r="J13" s="53">
        <f t="shared" si="5"/>
        <v>-0.26643453202857659</v>
      </c>
      <c r="K13" s="53">
        <f t="shared" si="5"/>
        <v>0.10725236635115309</v>
      </c>
      <c r="L13" s="53">
        <f t="shared" si="5"/>
        <v>-0.78773091669571271</v>
      </c>
      <c r="M13" s="53">
        <f t="shared" si="5"/>
        <v>-0.4794570005054517</v>
      </c>
      <c r="N13" s="53">
        <f t="shared" si="5"/>
        <v>-0.39553154922661427</v>
      </c>
      <c r="O13" s="53">
        <f t="shared" si="5"/>
        <v>-0.41225693817349951</v>
      </c>
      <c r="P13" s="54">
        <f t="shared" si="5"/>
        <v>0.7928297755883964</v>
      </c>
      <c r="Q13" s="54">
        <f t="shared" si="5"/>
        <v>0.11763073935358559</v>
      </c>
      <c r="R13" s="54">
        <f t="shared" si="5"/>
        <v>0.66680205794746827</v>
      </c>
      <c r="S13" s="55">
        <f t="shared" si="5"/>
        <v>0.41042712281061133</v>
      </c>
      <c r="T13" s="53"/>
      <c r="U13" s="53"/>
      <c r="V13" s="53"/>
      <c r="W13" s="53"/>
      <c r="Y13" s="12" t="s">
        <v>129</v>
      </c>
    </row>
    <row r="14" spans="2:25" x14ac:dyDescent="0.3">
      <c r="B14" s="44" t="s">
        <v>629</v>
      </c>
      <c r="G14" s="53">
        <f>G7/C7-1</f>
        <v>0.34961832061068709</v>
      </c>
      <c r="H14" s="53">
        <f>H7/D7-1</f>
        <v>0.3111273792093705</v>
      </c>
      <c r="I14" s="53">
        <f t="shared" ref="I14:S14" si="6">I7/E7-1</f>
        <v>6.5454545454545432E-2</v>
      </c>
      <c r="J14" s="53">
        <f t="shared" si="6"/>
        <v>-7.0366132723112096E-2</v>
      </c>
      <c r="K14" s="53">
        <f t="shared" si="6"/>
        <v>-8.7104072398190069E-2</v>
      </c>
      <c r="L14" s="53">
        <f t="shared" si="6"/>
        <v>-0.20714684533780015</v>
      </c>
      <c r="M14" s="53">
        <f t="shared" si="6"/>
        <v>-0.17235494880546076</v>
      </c>
      <c r="N14" s="53">
        <f t="shared" si="6"/>
        <v>-0.12492307692307691</v>
      </c>
      <c r="O14" s="53">
        <f t="shared" si="6"/>
        <v>-0.12143742255266421</v>
      </c>
      <c r="P14" s="53">
        <f t="shared" si="6"/>
        <v>-2.746478873239433E-2</v>
      </c>
      <c r="Q14" s="53">
        <f t="shared" si="6"/>
        <v>1.8556701030927769E-2</v>
      </c>
      <c r="R14" s="53">
        <f t="shared" si="6"/>
        <v>9.9859353023910025E-2</v>
      </c>
      <c r="S14" s="53">
        <f t="shared" si="6"/>
        <v>0.20592383638928058</v>
      </c>
      <c r="Y14" s="12" t="s">
        <v>191</v>
      </c>
    </row>
    <row r="15" spans="2:25" x14ac:dyDescent="0.3">
      <c r="Y15" s="12" t="s">
        <v>298</v>
      </c>
    </row>
    <row r="16" spans="2:25" x14ac:dyDescent="0.3">
      <c r="Y16" s="12" t="s">
        <v>81</v>
      </c>
    </row>
    <row r="17" spans="25:25" x14ac:dyDescent="0.3">
      <c r="Y17" s="12" t="s">
        <v>22</v>
      </c>
    </row>
    <row r="18" spans="25:25" x14ac:dyDescent="0.3">
      <c r="Y18" s="12" t="s">
        <v>111</v>
      </c>
    </row>
    <row r="19" spans="25:25" x14ac:dyDescent="0.3">
      <c r="Y19" s="12" t="s">
        <v>24</v>
      </c>
    </row>
    <row r="20" spans="25:25" x14ac:dyDescent="0.3">
      <c r="Y20" s="12" t="s">
        <v>225</v>
      </c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2026-02-12T08:44:00Z</dcterms:created>
  <dcterms:modified xsi:type="dcterms:W3CDTF">2026-02-12T11:31:57Z</dcterms:modified>
</cp:coreProperties>
</file>