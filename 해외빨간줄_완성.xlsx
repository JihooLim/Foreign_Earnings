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0FFBE2EF-F0CD-4801-AA2B-EB3647E4F236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Income'!$B$2:$AA$115</definedName>
    <definedName name="_xlnm._FilterDatabase" localSheetId="1" hidden="1">Revenue!$B$2:$AA$114</definedName>
    <definedName name="_xlnm._FilterDatabase" localSheetId="0" hidden="1">기업리스트!$B$3:$G$303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4" l="1"/>
  <c r="R8" i="4"/>
  <c r="Q8" i="4"/>
  <c r="P8" i="4"/>
  <c r="O8" i="4"/>
  <c r="N8" i="4"/>
  <c r="M8" i="4"/>
  <c r="L8" i="4"/>
  <c r="K8" i="4"/>
  <c r="J8" i="4"/>
  <c r="J13" i="4" s="1"/>
  <c r="I8" i="4"/>
  <c r="H8" i="4"/>
  <c r="G8" i="4"/>
  <c r="F8" i="4"/>
  <c r="E8" i="4"/>
  <c r="D8" i="4"/>
  <c r="C8" i="4"/>
  <c r="S7" i="4"/>
  <c r="R7" i="4"/>
  <c r="Q7" i="4"/>
  <c r="P7" i="4"/>
  <c r="O7" i="4"/>
  <c r="N7" i="4"/>
  <c r="N14" i="4" s="1"/>
  <c r="M7" i="4"/>
  <c r="L7" i="4"/>
  <c r="K7" i="4"/>
  <c r="J7" i="4"/>
  <c r="I7" i="4"/>
  <c r="H7" i="4"/>
  <c r="G7" i="4"/>
  <c r="F7" i="4"/>
  <c r="E7" i="4"/>
  <c r="D7" i="4"/>
  <c r="C7" i="4"/>
  <c r="O14" i="4" l="1"/>
  <c r="L14" i="4"/>
  <c r="Q14" i="4"/>
  <c r="I14" i="4"/>
  <c r="K14" i="4"/>
  <c r="N10" i="4"/>
  <c r="Q10" i="4"/>
  <c r="O10" i="4"/>
  <c r="P10" i="4"/>
  <c r="F10" i="4"/>
  <c r="R10" i="4"/>
  <c r="G9" i="4"/>
  <c r="P13" i="4"/>
  <c r="R13" i="4"/>
  <c r="S13" i="4"/>
  <c r="I12" i="4"/>
  <c r="P14" i="4"/>
  <c r="R14" i="4"/>
  <c r="G14" i="4"/>
  <c r="S14" i="4"/>
  <c r="H14" i="4"/>
  <c r="J14" i="4"/>
  <c r="E12" i="4"/>
  <c r="I9" i="4"/>
  <c r="G13" i="4"/>
  <c r="M14" i="4"/>
  <c r="H13" i="4"/>
  <c r="H9" i="4"/>
  <c r="H11" i="4" s="1"/>
  <c r="L9" i="4"/>
  <c r="G10" i="4"/>
  <c r="S10" i="4"/>
  <c r="J12" i="4"/>
  <c r="I13" i="4"/>
  <c r="M9" i="4"/>
  <c r="H10" i="4"/>
  <c r="K12" i="4"/>
  <c r="N9" i="4"/>
  <c r="I10" i="4"/>
  <c r="L12" i="4"/>
  <c r="K13" i="4"/>
  <c r="C9" i="4"/>
  <c r="O9" i="4"/>
  <c r="J10" i="4"/>
  <c r="M12" i="4"/>
  <c r="L13" i="4"/>
  <c r="D9" i="4"/>
  <c r="P9" i="4"/>
  <c r="K10" i="4"/>
  <c r="N12" i="4"/>
  <c r="M13" i="4"/>
  <c r="E9" i="4"/>
  <c r="Q9" i="4"/>
  <c r="L10" i="4"/>
  <c r="C12" i="4"/>
  <c r="O12" i="4"/>
  <c r="N13" i="4"/>
  <c r="F9" i="4"/>
  <c r="R9" i="4"/>
  <c r="M10" i="4"/>
  <c r="D12" i="4"/>
  <c r="P12" i="4"/>
  <c r="O13" i="4"/>
  <c r="S9" i="4"/>
  <c r="Q12" i="4"/>
  <c r="C10" i="4"/>
  <c r="F12" i="4"/>
  <c r="R12" i="4"/>
  <c r="Q13" i="4"/>
  <c r="D10" i="4"/>
  <c r="G12" i="4"/>
  <c r="S12" i="4"/>
  <c r="J9" i="4"/>
  <c r="E10" i="4"/>
  <c r="H12" i="4"/>
  <c r="K9" i="4"/>
  <c r="I11" i="4" l="1"/>
  <c r="P11" i="4"/>
  <c r="R11" i="4"/>
  <c r="D11" i="4"/>
  <c r="M11" i="4"/>
  <c r="N11" i="4"/>
  <c r="F11" i="4"/>
  <c r="L11" i="4"/>
  <c r="J11" i="4"/>
  <c r="O11" i="4"/>
  <c r="Q11" i="4"/>
  <c r="K11" i="4"/>
  <c r="S11" i="4"/>
  <c r="E11" i="4"/>
  <c r="G11" i="4"/>
</calcChain>
</file>

<file path=xl/sharedStrings.xml><?xml version="1.0" encoding="utf-8"?>
<sst xmlns="http://schemas.openxmlformats.org/spreadsheetml/2006/main" count="2132" uniqueCount="705">
  <si>
    <t>실적 기업 정보</t>
  </si>
  <si>
    <t>Ticker</t>
  </si>
  <si>
    <t>Company</t>
  </si>
  <si>
    <t>Date</t>
  </si>
  <si>
    <t>Time</t>
  </si>
  <si>
    <t>Quarter Ending</t>
  </si>
  <si>
    <t>Market Cap (mil$)</t>
  </si>
  <si>
    <t>PLTR</t>
  </si>
  <si>
    <t>Palantir Technologies Inc.</t>
  </si>
  <si>
    <t>Feb 2, 2026</t>
  </si>
  <si>
    <t>After Hours</t>
  </si>
  <si>
    <t>Dec/2025</t>
  </si>
  <si>
    <t>DIS</t>
  </si>
  <si>
    <t>The Walt Disney Company</t>
  </si>
  <si>
    <t>ISP</t>
  </si>
  <si>
    <t>Intesa Sanpaolo S.p.A.</t>
  </si>
  <si>
    <t>Mizuho Financial Group, Inc.</t>
  </si>
  <si>
    <t>ITUB4</t>
  </si>
  <si>
    <t>Itaú Unibanco Holding S.A.</t>
  </si>
  <si>
    <t>SPG</t>
  </si>
  <si>
    <t>Simon Property Group, Inc.</t>
  </si>
  <si>
    <t>NXPI</t>
  </si>
  <si>
    <t>NXP Semiconductors N.V.</t>
  </si>
  <si>
    <t>IDXX</t>
  </si>
  <si>
    <t>IDEXX Laboratories, Inc.</t>
  </si>
  <si>
    <t>Pre Market</t>
  </si>
  <si>
    <t>6981</t>
  </si>
  <si>
    <t>Murata Manufacturing Co., Ltd.</t>
  </si>
  <si>
    <t>TER</t>
  </si>
  <si>
    <t>Teradyne, Inc.</t>
  </si>
  <si>
    <t>9020</t>
  </si>
  <si>
    <t>East Japan Railway Company</t>
  </si>
  <si>
    <t>9022</t>
  </si>
  <si>
    <t>Central Japan Railway Company</t>
  </si>
  <si>
    <t>6762</t>
  </si>
  <si>
    <t>TDK Corporation</t>
  </si>
  <si>
    <t>1010</t>
  </si>
  <si>
    <t>Riyad Bank</t>
  </si>
  <si>
    <t>6971</t>
  </si>
  <si>
    <t>Kyocera Corporation</t>
  </si>
  <si>
    <t>TSN</t>
  </si>
  <si>
    <t>Tyson Foods, Inc.</t>
  </si>
  <si>
    <t>1150</t>
  </si>
  <si>
    <t>Alinma Bank</t>
  </si>
  <si>
    <t>1060</t>
  </si>
  <si>
    <t>Saudi Awwal Bank</t>
  </si>
  <si>
    <t>APTV</t>
  </si>
  <si>
    <t>Aptiv PLC</t>
  </si>
  <si>
    <t>WWD</t>
  </si>
  <si>
    <t>Woodward, Inc.</t>
  </si>
  <si>
    <t>BAER</t>
  </si>
  <si>
    <t>Julius Bär Gruppe AG</t>
  </si>
  <si>
    <t>DOC</t>
  </si>
  <si>
    <t>Healthpeak Properties, Inc.</t>
  </si>
  <si>
    <t>A000810</t>
  </si>
  <si>
    <t>Samsung Fire &amp; Marine Insurance Co., Ltd.</t>
  </si>
  <si>
    <t>FN</t>
  </si>
  <si>
    <t>Fabrinet</t>
  </si>
  <si>
    <t>1140</t>
  </si>
  <si>
    <t>Bank Albilad</t>
  </si>
  <si>
    <t>9532</t>
  </si>
  <si>
    <t>Osaka Gas Co., Ltd.</t>
  </si>
  <si>
    <t>8601</t>
  </si>
  <si>
    <t>Daiwa Securities Group Inc.</t>
  </si>
  <si>
    <t>RVTY</t>
  </si>
  <si>
    <t>Revvity, Inc.</t>
  </si>
  <si>
    <t>RMBS</t>
  </si>
  <si>
    <t>Rambus Inc.</t>
  </si>
  <si>
    <t>INDUSTOWER</t>
  </si>
  <si>
    <t>Indus Towers Limited</t>
  </si>
  <si>
    <t>9502</t>
  </si>
  <si>
    <t>Chubu Electric Power Company, Incorporated</t>
  </si>
  <si>
    <t>3008</t>
  </si>
  <si>
    <t>LARGAN Precision Co.,Ltd</t>
  </si>
  <si>
    <t>DVA</t>
  </si>
  <si>
    <t>DaVita Inc.</t>
  </si>
  <si>
    <t>POLICYBZR</t>
  </si>
  <si>
    <t>PB Fintech Limited</t>
  </si>
  <si>
    <t>CHMF</t>
  </si>
  <si>
    <t>Public Joint Stock Company Severstal</t>
  </si>
  <si>
    <t>4768</t>
  </si>
  <si>
    <t>Otsuka Corporation</t>
  </si>
  <si>
    <t>GICRE</t>
  </si>
  <si>
    <t>General Insurance Corporation of India</t>
  </si>
  <si>
    <t>AKBNK</t>
  </si>
  <si>
    <t>Akbank T.A.S.</t>
  </si>
  <si>
    <t>512070</t>
  </si>
  <si>
    <t>UPL Limited</t>
  </si>
  <si>
    <t>8331</t>
  </si>
  <si>
    <t>The Chiba Bank, Ltd.</t>
  </si>
  <si>
    <t>SUNDARMFIN</t>
  </si>
  <si>
    <t>Sundaram Finance Limited</t>
  </si>
  <si>
    <t>MTG</t>
  </si>
  <si>
    <t>MGIC Investment Corporation</t>
  </si>
  <si>
    <t>4030</t>
  </si>
  <si>
    <t>The National Shipping Company of Saudi Arabia</t>
  </si>
  <si>
    <t>9064</t>
  </si>
  <si>
    <t>Yamato Holdings Co., Ltd.</t>
  </si>
  <si>
    <t>NJR</t>
  </si>
  <si>
    <t>New Jersey Resources Corporation</t>
  </si>
  <si>
    <t>ARG</t>
  </si>
  <si>
    <t>Argo Investments Limited</t>
  </si>
  <si>
    <t>HESM</t>
  </si>
  <si>
    <t>Hess Midstream LP</t>
  </si>
  <si>
    <t>1020</t>
  </si>
  <si>
    <t>Bank AlJazira</t>
  </si>
  <si>
    <t>513683</t>
  </si>
  <si>
    <t>NLC India Limited</t>
  </si>
  <si>
    <t>2282</t>
  </si>
  <si>
    <t>NH Foods Ltd.</t>
  </si>
  <si>
    <t>USLM</t>
  </si>
  <si>
    <t>United States Lime &amp; Minerals, Inc.</t>
  </si>
  <si>
    <t>THERMAX</t>
  </si>
  <si>
    <t>Thermax Limited</t>
  </si>
  <si>
    <t>517174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</si>
  <si>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</si>
  <si>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</si>
  <si>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</si>
  <si>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</si>
  <si>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</si>
  <si>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</si>
  <si>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</si>
  <si>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ARLP</t>
  </si>
  <si>
    <t>Alliance Resource Partners, L.P.</t>
  </si>
  <si>
    <t>VFQS</t>
  </si>
  <si>
    <t>Vodafone Qatar P.Q.S.C.</t>
  </si>
  <si>
    <t>7337</t>
  </si>
  <si>
    <t>Hirogin Holdings, Inc.</t>
  </si>
  <si>
    <t>3132</t>
  </si>
  <si>
    <t>Macnica Holdings, Inc.</t>
  </si>
  <si>
    <t>KINV B</t>
  </si>
  <si>
    <t>Kinnevik AB</t>
  </si>
  <si>
    <t>ERIS</t>
  </si>
  <si>
    <t>Eris Lifesciences Limited</t>
  </si>
  <si>
    <t>ASH</t>
  </si>
  <si>
    <t>Ashland Inc.</t>
  </si>
  <si>
    <t>CUB</t>
  </si>
  <si>
    <t>City Union Bank Limited</t>
  </si>
  <si>
    <t>500770</t>
  </si>
  <si>
    <t>Tata Chemicals Limited</t>
  </si>
  <si>
    <t>BASF</t>
  </si>
  <si>
    <t>BASF India Limited</t>
  </si>
  <si>
    <t>531768</t>
  </si>
  <si>
    <t>Poly Medicure Limited</t>
  </si>
  <si>
    <t>A204320</t>
  </si>
  <si>
    <t>HL Mando Corporation</t>
  </si>
  <si>
    <t>APLLTD</t>
  </si>
  <si>
    <t>Alembic Pharmaceuticals Limited</t>
  </si>
  <si>
    <t>C2PU</t>
  </si>
  <si>
    <t>Parkway Life Real Estate Investment Trust</t>
  </si>
  <si>
    <t>7451</t>
  </si>
  <si>
    <t>Mitsubishi Shokuhin Co., Ltd.</t>
  </si>
  <si>
    <t>TWST</t>
  </si>
  <si>
    <t>Twist Bioscience Corporation</t>
  </si>
  <si>
    <t>A000240</t>
  </si>
  <si>
    <t>Hankook &amp; Company Co., Ltd.</t>
  </si>
  <si>
    <t>4272</t>
  </si>
  <si>
    <t>Nippon Kayaku Co., Ltd.</t>
  </si>
  <si>
    <t>2222</t>
  </si>
  <si>
    <t>Kotobuki Spirits Co., Ltd.</t>
  </si>
  <si>
    <t>RHLD</t>
  </si>
  <si>
    <t>Resolute Holdings Management, Inc.</t>
  </si>
  <si>
    <t>2811</t>
  </si>
  <si>
    <t>Kagome Co., Ltd.</t>
  </si>
  <si>
    <t>FINEORG</t>
  </si>
  <si>
    <t>Fine Organic Industries Limited</t>
  </si>
  <si>
    <t>531335</t>
  </si>
  <si>
    <t>Zydus Wellness Limited</t>
  </si>
  <si>
    <t>524208</t>
  </si>
  <si>
    <t>Aarti Industries Limited</t>
  </si>
  <si>
    <t>A030000</t>
  </si>
  <si>
    <t>Cheil Worldwide Inc.</t>
  </si>
  <si>
    <t>GCHE</t>
  </si>
  <si>
    <t>Public Joint Stock Company Cherkizovo Group""</t>
  </si>
  <si>
    <t>530007</t>
  </si>
  <si>
    <t>JK Tyre &amp; Industries Limited</t>
  </si>
  <si>
    <t>A004800</t>
  </si>
  <si>
    <t>Hyosung Corporation</t>
  </si>
  <si>
    <t>NSSC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</si>
  <si>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</si>
  <si>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</si>
  <si>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</si>
  <si>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</si>
  <si>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</si>
  <si>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SHRIPISTON</t>
  </si>
  <si>
    <t>Shriram Pistons &amp; Rings Limited</t>
  </si>
  <si>
    <t>8370</t>
  </si>
  <si>
    <t>The Kiyo Bank, Ltd.</t>
  </si>
  <si>
    <t>CSWC</t>
  </si>
  <si>
    <t>Capital Southwest Corporation</t>
  </si>
  <si>
    <t>523025</t>
  </si>
  <si>
    <t>Safari Industries (India) Limited</t>
  </si>
  <si>
    <t>A098460</t>
  </si>
  <si>
    <t>Koh Young Technology Inc.</t>
  </si>
  <si>
    <t>7981</t>
  </si>
  <si>
    <t>Takara Standard Co.,Ltd.</t>
  </si>
  <si>
    <t>8386</t>
  </si>
  <si>
    <t>The Hyakujushi Bank, Ltd.</t>
  </si>
  <si>
    <t>ATX</t>
  </si>
  <si>
    <t>ATEX Resources Inc.</t>
  </si>
  <si>
    <t>HFCL</t>
  </si>
  <si>
    <t>HFCL Limited</t>
  </si>
  <si>
    <t>A089030</t>
  </si>
  <si>
    <t>Techwing, Inc.</t>
  </si>
  <si>
    <t>ACAD</t>
  </si>
  <si>
    <t>AcadeMedia AB (publ)</t>
  </si>
  <si>
    <t>TWO</t>
  </si>
  <si>
    <t>Two Harbors Investment Corp.</t>
  </si>
  <si>
    <t>8346</t>
  </si>
  <si>
    <t>The Toho Bank, Ltd.</t>
  </si>
  <si>
    <t>7224</t>
  </si>
  <si>
    <t>ShinMaywa Industries, Ltd.</t>
  </si>
  <si>
    <t>BESALCO</t>
  </si>
  <si>
    <t>Besalco S.A.</t>
  </si>
  <si>
    <t>2281</t>
  </si>
  <si>
    <t>Prima Meat Packers, Ltd.</t>
  </si>
  <si>
    <t>APOLLO</t>
  </si>
  <si>
    <t>Apollo Micro Systems Limited</t>
  </si>
  <si>
    <t>PCJEWELLER</t>
  </si>
  <si>
    <t>PC Jeweller Limited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</si>
  <si>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</si>
  <si>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</si>
  <si>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</si>
  <si>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</si>
  <si>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</si>
  <si>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</si>
  <si>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3433</t>
  </si>
  <si>
    <t>TOCALO Co.,Ltd.</t>
  </si>
  <si>
    <t>500245</t>
  </si>
  <si>
    <t>Kirloskar Ferrous Industries Limited</t>
  </si>
  <si>
    <t>RELIGARE</t>
  </si>
  <si>
    <t>Religare Enterprises Limited</t>
  </si>
  <si>
    <t>A185750</t>
  </si>
  <si>
    <t>Chong Kun Dang Pharmaceutical Corp.</t>
  </si>
  <si>
    <t>500413</t>
  </si>
  <si>
    <t>Thomas Cook (India) Limited</t>
  </si>
  <si>
    <t>7177</t>
  </si>
  <si>
    <t>GMO Financial Holdings, Inc.</t>
  </si>
  <si>
    <t>534597</t>
  </si>
  <si>
    <t>RattanIndia Enterprises Limited</t>
  </si>
  <si>
    <t>7241</t>
  </si>
  <si>
    <t>Futaba Industrial Co., Ltd.</t>
  </si>
  <si>
    <t>539807</t>
  </si>
  <si>
    <t>AvenuesAI Limited</t>
  </si>
  <si>
    <t>MIDHANI</t>
  </si>
  <si>
    <t>Mishra Dhatu Nigam Limited</t>
  </si>
  <si>
    <t>535602</t>
  </si>
  <si>
    <t>Sharda Motor Industries Limited</t>
  </si>
  <si>
    <t>500201</t>
  </si>
  <si>
    <t>India Glycols Limited</t>
  </si>
  <si>
    <t>4298</t>
  </si>
  <si>
    <t>Proto Corporation</t>
  </si>
  <si>
    <t>FTC</t>
  </si>
  <si>
    <t>Filtronic plc</t>
  </si>
  <si>
    <t>Nov/2025</t>
  </si>
  <si>
    <t>5992</t>
  </si>
  <si>
    <t>Chuo Spring Co.,Ltd.</t>
  </si>
  <si>
    <t>KFRC</t>
  </si>
  <si>
    <t>Kforce Inc.</t>
  </si>
  <si>
    <t>507717</t>
  </si>
  <si>
    <t>Dhanuka Agritech Limited</t>
  </si>
  <si>
    <t>A003850</t>
  </si>
  <si>
    <t>Boryung Corporation</t>
  </si>
  <si>
    <t>A001680</t>
  </si>
  <si>
    <t>Daesang Corporation</t>
  </si>
  <si>
    <t>541967</t>
  </si>
  <si>
    <t>Sky Gold and Diamonds Limited</t>
  </si>
  <si>
    <t>500041</t>
  </si>
  <si>
    <t>Bannari Amman Sugars Limited</t>
  </si>
  <si>
    <t>8841</t>
  </si>
  <si>
    <t>TOC Co., Ltd.</t>
  </si>
  <si>
    <t>6908</t>
  </si>
  <si>
    <t>Iriso Electronics Co., Ltd.</t>
  </si>
  <si>
    <t>NRC</t>
  </si>
  <si>
    <t>National Research Corporation</t>
  </si>
  <si>
    <t>TLGO</t>
  </si>
  <si>
    <t>Talgo, S.A.</t>
  </si>
  <si>
    <t>533169</t>
  </si>
  <si>
    <t>Man Infraconstruction Limited</t>
  </si>
  <si>
    <t>JKIL</t>
  </si>
  <si>
    <t>J. Kumar Infraprojects Limited</t>
  </si>
  <si>
    <t>BSRR</t>
  </si>
  <si>
    <t>Sierra Bancorp</t>
  </si>
  <si>
    <t>FWZ</t>
  </si>
  <si>
    <t>Fireweed Metals Corp.</t>
  </si>
  <si>
    <t>FPT</t>
  </si>
  <si>
    <t>Frasers Property (Thailand) Public Company Limited</t>
  </si>
  <si>
    <t>A278280</t>
  </si>
  <si>
    <t>Chunbo Co., Ltd.</t>
  </si>
  <si>
    <t>530011</t>
  </si>
  <si>
    <t>Mangalore Chemicals &amp; Fertilizers Limited</t>
  </si>
  <si>
    <t>A003030</t>
  </si>
  <si>
    <t>SeAH Steel Holdings Corporation</t>
  </si>
  <si>
    <t>500235</t>
  </si>
  <si>
    <t>Kalyani Steels Limited</t>
  </si>
  <si>
    <t>532900</t>
  </si>
  <si>
    <t>Paisalo Digital Limited</t>
  </si>
  <si>
    <t>A016380</t>
  </si>
  <si>
    <t>KG Dongbu Steel Co.,Ltd.</t>
  </si>
  <si>
    <t>LFCR</t>
  </si>
  <si>
    <t>Lifecore Biomedical, Inc.</t>
  </si>
  <si>
    <t>505010</t>
  </si>
  <si>
    <t>Automotive Axles Limited</t>
  </si>
  <si>
    <t>513349</t>
  </si>
  <si>
    <t>Ajmera Realty &amp; Infra India Limited</t>
  </si>
  <si>
    <t>8081</t>
  </si>
  <si>
    <t>Kanaden Corporation</t>
  </si>
  <si>
    <t>A004690</t>
  </si>
  <si>
    <t>Samchully Co.,Ltd</t>
  </si>
  <si>
    <t>ISFIN</t>
  </si>
  <si>
    <t>Is Finansal Kiralama Anonim Sirketi</t>
  </si>
  <si>
    <t>503960</t>
  </si>
  <si>
    <t>Bharat Bijlee Limited</t>
  </si>
  <si>
    <t>MBLU</t>
  </si>
  <si>
    <t>Morris State Bancshares, Inc.</t>
  </si>
  <si>
    <t>NEXG</t>
  </si>
  <si>
    <t>NeXGold Mining Corp.</t>
  </si>
  <si>
    <t>RECO</t>
  </si>
  <si>
    <t>Reconnaissance Energy Africa Ltd.</t>
  </si>
  <si>
    <t>524735</t>
  </si>
  <si>
    <t>Hikal Limited</t>
  </si>
  <si>
    <t>ELO</t>
  </si>
  <si>
    <t>Eloro Resources Ltd.</t>
  </si>
  <si>
    <t>BOMDYEING</t>
  </si>
  <si>
    <t>The Bombay Dyeing and Manufacturing Company Limited</t>
  </si>
  <si>
    <t>1814</t>
  </si>
  <si>
    <t>Daisue Construction Co., Ltd.</t>
  </si>
  <si>
    <t>TAJGVK</t>
  </si>
  <si>
    <t>TAJGVK Hotels &amp; Resorts Limited</t>
  </si>
  <si>
    <t>A008060</t>
  </si>
  <si>
    <t>Daeduck Co.,Ltd.</t>
  </si>
  <si>
    <t>2676</t>
  </si>
  <si>
    <t>Takachiho Koheki Co.,Ltd.</t>
  </si>
  <si>
    <t>SHALBY</t>
  </si>
  <si>
    <t>Shalby Limited</t>
  </si>
  <si>
    <t>523385</t>
  </si>
  <si>
    <t>Nilkamal Limited</t>
  </si>
  <si>
    <t>ARCH</t>
  </si>
  <si>
    <t>Archer Limited</t>
  </si>
  <si>
    <t>SAKSOFT</t>
  </si>
  <si>
    <t>Saksoft Limited</t>
  </si>
  <si>
    <t>VROY</t>
  </si>
  <si>
    <t>Vizsla Royalties Corp.</t>
  </si>
  <si>
    <t>Jan/2026</t>
  </si>
  <si>
    <t>A025860</t>
  </si>
  <si>
    <t>Namhae Chemical Corporation</t>
  </si>
  <si>
    <t>FLXS</t>
  </si>
  <si>
    <t>Flexsteel Industries, Inc.</t>
  </si>
  <si>
    <t>MOON</t>
  </si>
  <si>
    <t>Blue Moon Metals Inc.</t>
  </si>
  <si>
    <t>500186</t>
  </si>
  <si>
    <t>Hindustan Oil Exploration Company Limited</t>
  </si>
  <si>
    <t>HCH</t>
  </si>
  <si>
    <t>Hot Chili Limited</t>
  </si>
  <si>
    <t>A005090</t>
  </si>
  <si>
    <t>SGC Energy Co.,Ltd.</t>
  </si>
  <si>
    <t>522241</t>
  </si>
  <si>
    <t>M M Forgings Limited</t>
  </si>
  <si>
    <t>2160</t>
  </si>
  <si>
    <t>The Saudi Arabian Amiantit Company</t>
  </si>
  <si>
    <t>A017390</t>
  </si>
  <si>
    <t>Seoul City Gas Co., Ltd.</t>
  </si>
  <si>
    <t>A323990</t>
  </si>
  <si>
    <t>Vaxcell-Bio Therapeutics Co., Ltd.</t>
  </si>
  <si>
    <t>NCF</t>
  </si>
  <si>
    <t>Northcliff Resources Ltd.</t>
  </si>
  <si>
    <t>A005500</t>
  </si>
  <si>
    <t>Samjin Pharmaceuticals Co., Ltd.</t>
  </si>
  <si>
    <t>QUICKHEAL</t>
  </si>
  <si>
    <t>Quick Heal Technologies Limited</t>
  </si>
  <si>
    <t>A009680</t>
  </si>
  <si>
    <t>Motonic Corporation</t>
  </si>
  <si>
    <t>9990</t>
  </si>
  <si>
    <t>Sac's Bar Holdings Inc.</t>
  </si>
  <si>
    <t>CBR</t>
  </si>
  <si>
    <t>Cabral Gold Inc.</t>
  </si>
  <si>
    <t>BHARATWIRE</t>
  </si>
  <si>
    <t>Bharat Wire Ropes Limited</t>
  </si>
  <si>
    <t>7480</t>
  </si>
  <si>
    <t>Suzuden Corporation</t>
  </si>
  <si>
    <t>JYOTISTRUC</t>
  </si>
  <si>
    <t>Jyoti Structures Limited</t>
  </si>
  <si>
    <t>GCU</t>
  </si>
  <si>
    <t>Gunnison Copper Corp.</t>
  </si>
  <si>
    <t>506194</t>
  </si>
  <si>
    <t>Arihant Superstructures Limited</t>
  </si>
  <si>
    <t>CNL</t>
  </si>
  <si>
    <t>Creative Newtech Limited</t>
  </si>
  <si>
    <t>ALU</t>
  </si>
  <si>
    <t>The Alumasc Group plc</t>
  </si>
  <si>
    <t>LVRO</t>
  </si>
  <si>
    <t>Lavoro Limited</t>
  </si>
  <si>
    <t>532180</t>
  </si>
  <si>
    <t>Dhanlaxmi Bank Limited</t>
  </si>
  <si>
    <t>A122990</t>
  </si>
  <si>
    <t>WiSoL CO.,LTD.</t>
  </si>
  <si>
    <t>500078</t>
  </si>
  <si>
    <t>Oriental Aromatics Limited</t>
  </si>
  <si>
    <t>MAANALU</t>
  </si>
  <si>
    <t>Maan Aluminium Limited</t>
  </si>
  <si>
    <t>3467</t>
  </si>
  <si>
    <t>Agratio urban design Inc.</t>
  </si>
  <si>
    <t>508906</t>
  </si>
  <si>
    <t>Everest Industries Limited</t>
  </si>
  <si>
    <t>530759</t>
  </si>
  <si>
    <t>Sterling Tools Limited</t>
  </si>
  <si>
    <t>500777</t>
  </si>
  <si>
    <t>Tamilnadu Petroproducts Limited</t>
  </si>
  <si>
    <t>NWF</t>
  </si>
  <si>
    <t>NWF Group plc</t>
  </si>
  <si>
    <t>531241</t>
  </si>
  <si>
    <t>Linc Limited</t>
  </si>
  <si>
    <t>524109</t>
  </si>
  <si>
    <t>Kabra Extrusiontechnik Limited</t>
  </si>
  <si>
    <t>6715</t>
  </si>
  <si>
    <t>Nakayo, Inc.</t>
  </si>
  <si>
    <t>BSFO</t>
  </si>
  <si>
    <t>Bank of San Francisco</t>
  </si>
  <si>
    <t>A183490</t>
  </si>
  <si>
    <t>Enzychem Lifesciences Corporation</t>
  </si>
  <si>
    <t>GEECEE</t>
  </si>
  <si>
    <t>GeeCee Ventures Limited</t>
  </si>
  <si>
    <t>SNOWMAN</t>
  </si>
  <si>
    <t>Snowman Logistics Limited</t>
  </si>
  <si>
    <t>KAMATHOTEL</t>
  </si>
  <si>
    <t>Kamat Hotels (India) Limited</t>
  </si>
  <si>
    <t>A363280</t>
  </si>
  <si>
    <t>TY Holdings Co., Ltd</t>
  </si>
  <si>
    <t>538598</t>
  </si>
  <si>
    <t>Vishal Fabrics Limited</t>
  </si>
  <si>
    <t>543218</t>
  </si>
  <si>
    <t>Suratwwala Business Group Limited</t>
  </si>
  <si>
    <t>500296</t>
  </si>
  <si>
    <t>Nahar Spinning Mills Limited</t>
  </si>
  <si>
    <t>A036580</t>
  </si>
  <si>
    <t>Farmsco</t>
  </si>
  <si>
    <t>512296</t>
  </si>
  <si>
    <t>Bhagyanagar India Limited</t>
  </si>
  <si>
    <t>2907</t>
  </si>
  <si>
    <t>Ahjikan Co., Ltd.</t>
  </si>
  <si>
    <t>NILASPACES</t>
  </si>
  <si>
    <t>Nila Spaces Limited</t>
  </si>
  <si>
    <t>IRISDOREME</t>
  </si>
  <si>
    <t>Iris Clothings Limited</t>
  </si>
  <si>
    <t>523391</t>
  </si>
  <si>
    <t>Nahar Poly Films Limited</t>
  </si>
  <si>
    <t>SOUTHWEST</t>
  </si>
  <si>
    <t>South West Pinnacle Exploration Limited</t>
  </si>
  <si>
    <t>MVLY</t>
  </si>
  <si>
    <t>Mission Valley Bancorp</t>
  </si>
  <si>
    <t>HPQ</t>
  </si>
  <si>
    <t>HPQ Silicon Inc.</t>
  </si>
  <si>
    <t>533217</t>
  </si>
  <si>
    <t>Hindustan Media Ventures Limited</t>
  </si>
  <si>
    <t>ONMOBILE</t>
  </si>
  <si>
    <t>OnMobile Global Limited</t>
  </si>
  <si>
    <t>BCF</t>
  </si>
  <si>
    <t>Bowler Metcalf Limited</t>
  </si>
  <si>
    <t>533704</t>
  </si>
  <si>
    <t>Essar Shipping Limited</t>
  </si>
  <si>
    <t>BYFC</t>
  </si>
  <si>
    <t>Broadway Financial Corporation</t>
  </si>
  <si>
    <t>CLEDUCATE</t>
  </si>
  <si>
    <t>CL Educate Limited</t>
  </si>
  <si>
    <t>511766</t>
  </si>
  <si>
    <t>Muthoot Capital Services Limited</t>
  </si>
  <si>
    <t>531638</t>
  </si>
  <si>
    <t>Suraj Limited</t>
  </si>
  <si>
    <t>SALSTEEL</t>
  </si>
  <si>
    <t>S.A.L. Steel Limited</t>
  </si>
  <si>
    <t>5367</t>
  </si>
  <si>
    <t>Nikkato Corporation</t>
  </si>
  <si>
    <t>CDB</t>
  </si>
  <si>
    <t>Cordoba Minerals Corp.</t>
  </si>
  <si>
    <t>CXXI</t>
  </si>
  <si>
    <t>C21 Investments Inc.</t>
  </si>
  <si>
    <t>NAHARCAP</t>
  </si>
  <si>
    <t>Nahar Capital and Financial Services Limited</t>
  </si>
  <si>
    <t>JUGR</t>
  </si>
  <si>
    <t>Juggernaut Exploration Ltd.</t>
  </si>
  <si>
    <t>530377</t>
  </si>
  <si>
    <t>Nila Infrastructures Limited</t>
  </si>
  <si>
    <t>7883</t>
  </si>
  <si>
    <t>Sun Messe Co., Ltd.</t>
  </si>
  <si>
    <t>CINELINE</t>
  </si>
  <si>
    <t>Cineline India Limited</t>
  </si>
  <si>
    <t>3024</t>
  </si>
  <si>
    <t>Create Corporation</t>
  </si>
  <si>
    <t>ADK</t>
  </si>
  <si>
    <t>DIAGNOS Inc.</t>
  </si>
  <si>
    <t>LYKALABS</t>
  </si>
  <si>
    <t>Lyka Labs Limited</t>
  </si>
  <si>
    <t>FATN</t>
  </si>
  <si>
    <t>FatPipe, Inc.</t>
  </si>
  <si>
    <t>SHANKARA</t>
  </si>
  <si>
    <t>Shankara Building Products Limited</t>
  </si>
  <si>
    <t>DCMNVL</t>
  </si>
  <si>
    <t>DCM Nouvelle Limited</t>
  </si>
  <si>
    <t>506642</t>
  </si>
  <si>
    <t>Sadhana Nitro Chem Limited</t>
  </si>
  <si>
    <t>VO</t>
  </si>
  <si>
    <t>ValOre Metals Corp.</t>
  </si>
  <si>
    <t>AEMC</t>
  </si>
  <si>
    <t>Alaska Energy Metals Corporation</t>
  </si>
  <si>
    <t>521018</t>
  </si>
  <si>
    <t>Maral Overseas Limited</t>
  </si>
  <si>
    <t>507785</t>
  </si>
  <si>
    <t>Tainwala Chemicals and Plastics (India) Limited</t>
  </si>
  <si>
    <t>IMI</t>
  </si>
  <si>
    <t>Ironman International Ltd.</t>
  </si>
  <si>
    <t>540686</t>
  </si>
  <si>
    <t>Smruthi Organics Limited</t>
  </si>
  <si>
    <t>524518</t>
  </si>
  <si>
    <t>Krebs Biochemicals &amp; Industries Limited</t>
  </si>
  <si>
    <t>GVFF</t>
  </si>
  <si>
    <t>Greenville Federal Financial Corporation</t>
  </si>
  <si>
    <t>540393</t>
  </si>
  <si>
    <t>Sarthak Metals Limited</t>
  </si>
  <si>
    <t>SMY</t>
  </si>
  <si>
    <t>Search Minerals Inc.</t>
  </si>
  <si>
    <t>PCLO</t>
  </si>
  <si>
    <t>PharmaCielo Ltd.</t>
  </si>
  <si>
    <t>GTL</t>
  </si>
  <si>
    <t>GTL Limited</t>
  </si>
  <si>
    <t>WRX</t>
  </si>
  <si>
    <t>Western Resources Corp.</t>
  </si>
  <si>
    <t>SBM.H</t>
  </si>
  <si>
    <t>Sirona Biochem Corp.</t>
  </si>
  <si>
    <t>AZR</t>
  </si>
  <si>
    <t>Azarga Metals Corp.</t>
  </si>
  <si>
    <t>JAIPURKURT</t>
  </si>
  <si>
    <t>Nandani Creation Limited</t>
  </si>
  <si>
    <t>FOBI</t>
  </si>
  <si>
    <t>Fobi AI Inc.</t>
  </si>
  <si>
    <t>FARM</t>
  </si>
  <si>
    <t>Deveron Corp.</t>
  </si>
  <si>
    <t>BCU</t>
  </si>
  <si>
    <t>Bell Copper Corporation</t>
  </si>
  <si>
    <t>513729</t>
  </si>
  <si>
    <t>Aro Granite Industries Limited</t>
  </si>
  <si>
    <t>WTER</t>
  </si>
  <si>
    <t>The Alkaline Water Company Inc.</t>
  </si>
  <si>
    <t>EDW.H</t>
  </si>
  <si>
    <t>Edgewater Exploration Ltd.</t>
  </si>
  <si>
    <t>GXX</t>
  </si>
  <si>
    <t>Gold Basin Resources Corporation</t>
  </si>
  <si>
    <t>TBLL</t>
  </si>
  <si>
    <t>Tombill Mines Limited</t>
  </si>
  <si>
    <t>AME</t>
  </si>
  <si>
    <t>Abacus Mining &amp; Exploration Corporation</t>
  </si>
  <si>
    <t>REVO</t>
  </si>
  <si>
    <t>RevoluGROUP Canada Inc.</t>
  </si>
  <si>
    <t>ODD</t>
  </si>
  <si>
    <t>Odd Burger Corporation</t>
  </si>
  <si>
    <t>MNC</t>
  </si>
  <si>
    <t>Magnetic North Acquisition Corp.</t>
  </si>
  <si>
    <t>AWE</t>
  </si>
  <si>
    <t>Thunderstruck Resources Ltd.</t>
  </si>
  <si>
    <t>ENEV</t>
  </si>
  <si>
    <t>Enerev5 Metals Inc.</t>
  </si>
  <si>
    <t>CYL</t>
  </si>
  <si>
    <t>Ceylon Graphite Corp.</t>
  </si>
  <si>
    <t>MMN</t>
  </si>
  <si>
    <t>Monarca Minerals Inc.</t>
  </si>
  <si>
    <t>WLR</t>
  </si>
  <si>
    <t>Walker Lane Resources Ltd.</t>
  </si>
  <si>
    <t>CUBX.F</t>
  </si>
  <si>
    <t>CubicFarm Systems Corp.</t>
  </si>
  <si>
    <t>BINI</t>
  </si>
  <si>
    <t>Bollinger Innovations, Inc.</t>
  </si>
  <si>
    <t>SRPL</t>
  </si>
  <si>
    <t>Shree Ram Proteins Limited</t>
  </si>
  <si>
    <t>AWR</t>
  </si>
  <si>
    <t>Aurwest Resources Corporation</t>
  </si>
  <si>
    <t>COF.P</t>
  </si>
  <si>
    <t>Copper Fox Metals Inc.</t>
  </si>
  <si>
    <t>BGS</t>
  </si>
  <si>
    <t>Baroyeca Gold &amp; Silver Inc.</t>
  </si>
  <si>
    <t>DMI</t>
  </si>
  <si>
    <t>Diamcor Mining Inc.</t>
  </si>
  <si>
    <t>BGA</t>
  </si>
  <si>
    <t>BioNeutra Global Corporation</t>
  </si>
  <si>
    <t>PFRR.F</t>
  </si>
  <si>
    <t>PetroFrontier Corp.</t>
  </si>
  <si>
    <t>XTRX</t>
  </si>
  <si>
    <t>Adastra Holdings Ltd.</t>
  </si>
  <si>
    <t>BEE</t>
  </si>
  <si>
    <t>Bee Vectoring Technologies International Inc.</t>
  </si>
  <si>
    <t>HRE.H</t>
  </si>
  <si>
    <t>Stans Energy Corp.</t>
  </si>
  <si>
    <t>NEWU</t>
  </si>
  <si>
    <t>Newtopia Inc.</t>
  </si>
  <si>
    <t>MVI.H</t>
  </si>
  <si>
    <t>Monitor Ventures Inc.</t>
  </si>
  <si>
    <t>IZ</t>
  </si>
  <si>
    <t>International Zeolite Corp.</t>
  </si>
  <si>
    <t>GETT.H</t>
  </si>
  <si>
    <t>G.E.T.T. Gold Inc.</t>
  </si>
  <si>
    <t>CHGX</t>
  </si>
  <si>
    <t>ChitogenX Inc.</t>
  </si>
  <si>
    <t>BTV</t>
  </si>
  <si>
    <t>BlueRush Inc.</t>
  </si>
  <si>
    <t>EVMT</t>
  </si>
  <si>
    <t>Evome Medical Technologies Inc.</t>
  </si>
  <si>
    <t>LOWL</t>
  </si>
  <si>
    <t>Lowell Farms Inc.</t>
  </si>
  <si>
    <t>MITJ.F</t>
  </si>
  <si>
    <t>The Mint Corporation</t>
  </si>
  <si>
    <t>TCCO</t>
  </si>
  <si>
    <t>Technical Communications Corporation</t>
  </si>
  <si>
    <t>538538</t>
  </si>
  <si>
    <t>Welspun Enterprises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</si>
  <si>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</si>
  <si>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</si>
  <si>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</si>
  <si>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</si>
  <si>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</si>
  <si>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</si>
  <si>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</si>
  <si>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</si>
  <si>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</si>
  <si>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</si>
  <si>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</si>
  <si>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</si>
  <si>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</si>
  <si>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</si>
  <si>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</si>
  <si>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</si>
  <si>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</si>
  <si>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</si>
  <si>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</si>
  <si>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</si>
  <si>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</si>
  <si>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1Q25 롤링</t>
  </si>
  <si>
    <t>2Q25 롤링</t>
  </si>
  <si>
    <t>3Q25 롤링</t>
  </si>
  <si>
    <t>4Q25 롤링</t>
  </si>
  <si>
    <t>United States</t>
  </si>
  <si>
    <t>Software - Infrastructure</t>
  </si>
  <si>
    <t>Dec'25</t>
  </si>
  <si>
    <t>Semiconductor Equipment &amp; Materials</t>
  </si>
  <si>
    <t>Electronic Components</t>
  </si>
  <si>
    <t>Jun'26</t>
  </si>
  <si>
    <t>Aerospace &amp; Defense</t>
  </si>
  <si>
    <t>Mar'26</t>
  </si>
  <si>
    <t>Asset Management</t>
  </si>
  <si>
    <t>Sep'26</t>
  </si>
  <si>
    <t>Semiconductors</t>
  </si>
  <si>
    <t>Diagnostics &amp; Research</t>
  </si>
  <si>
    <t>REIT - Retail</t>
  </si>
  <si>
    <t>Banks - Regional</t>
  </si>
  <si>
    <t>Security &amp; Protection Services</t>
  </si>
  <si>
    <t>Medical Care Facilities</t>
  </si>
  <si>
    <t>Furnishings, Fixtures &amp; Appliances</t>
  </si>
  <si>
    <t>Building Materials</t>
  </si>
  <si>
    <t>Entertainment</t>
  </si>
  <si>
    <t>Farm Products</t>
  </si>
  <si>
    <t>Auto Parts</t>
  </si>
  <si>
    <t>Computer Hardware</t>
  </si>
  <si>
    <t>REIT - Healthcare Facilities</t>
  </si>
  <si>
    <t>Oil &amp; Gas Midstream</t>
  </si>
  <si>
    <t>Insurance - Specialty</t>
  </si>
  <si>
    <t>Staffing &amp; Employment Services</t>
  </si>
  <si>
    <t>Specialty Chemicals</t>
  </si>
  <si>
    <t>Thermal Coal</t>
  </si>
  <si>
    <t>REIT - Mortgage</t>
  </si>
  <si>
    <t>Japan</t>
  </si>
  <si>
    <t>N/A</t>
  </si>
  <si>
    <t>India</t>
  </si>
  <si>
    <t>REIT - Specialty</t>
  </si>
  <si>
    <t>Sep'25</t>
  </si>
  <si>
    <t>Drug Manufacturers - Specialty &amp; Generic</t>
  </si>
  <si>
    <t>Household &amp; Personal Products</t>
  </si>
  <si>
    <t>Specialty Business Services</t>
  </si>
  <si>
    <t>Biotechnology</t>
  </si>
  <si>
    <t>Specialty Industrial Machinery</t>
  </si>
  <si>
    <t>Health Information Services</t>
  </si>
  <si>
    <t>Agricultural Inputs</t>
  </si>
  <si>
    <t>Jun'25</t>
  </si>
  <si>
    <t>Utilities - Regulated Gas</t>
  </si>
  <si>
    <t>n/a</t>
  </si>
  <si>
    <t>Hong Kong</t>
  </si>
  <si>
    <t>H1 2026</t>
  </si>
  <si>
    <t>France</t>
  </si>
  <si>
    <t>H1 2025</t>
  </si>
  <si>
    <t>Gold</t>
  </si>
  <si>
    <t>(단위: mil $)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</si>
  <si>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</si>
  <si>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</si>
  <si>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</si>
  <si>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</si>
  <si>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</si>
  <si>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</si>
  <si>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</si>
  <si>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rv yoy</t>
  </si>
  <si>
    <t>PLTR</t>
    <phoneticPr fontId="9" type="noConversion"/>
  </si>
  <si>
    <t>POLICYBZR</t>
    <phoneticPr fontId="9" type="noConversion"/>
  </si>
  <si>
    <t>CLEDUCATE</t>
    <phoneticPr fontId="9" type="noConversion"/>
  </si>
  <si>
    <t>SOUTHWEST</t>
    <phoneticPr fontId="9" type="noConversion"/>
  </si>
  <si>
    <t>NILASPACES</t>
    <phoneticPr fontId="9" type="noConversion"/>
  </si>
  <si>
    <t>APOLLO</t>
    <phoneticPr fontId="9" type="noConversion"/>
  </si>
  <si>
    <t>PCJEWELLER</t>
    <phoneticPr fontId="9" type="noConversion"/>
  </si>
  <si>
    <t>THERMAX</t>
    <phoneticPr fontId="9" type="noConversion"/>
  </si>
  <si>
    <t>CINELINE</t>
    <phoneticPr fontId="9" type="noConversion"/>
  </si>
  <si>
    <t>JYOTISTRUC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</si>
</sst>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%&quot;"/>
    <numFmt numFmtId="177" formatCode="0.0%"/>
  </numFmts>
  <fonts count="10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b/>
      <sz val="10"/>
      <color rgb="FFCC0000"/>
      <name val="Pretendard"/>
      <family val="3"/>
      <charset val="129"/>
    </font>
    <font>
      <sz val="9"/>
      <name val="Pretendard"/>
      <family val="3"/>
      <charset val="129"/>
    </font>
    <font>
      <b/>
      <sz val="10"/>
      <color rgb="FFFFFFFF"/>
      <name val="Pretendard"/>
      <family val="3"/>
      <charset val="129"/>
    </font>
    <font>
      <b/>
      <sz val="10"/>
      <color rgb="FFFF0000"/>
      <name val="Pretendard"/>
      <family val="3"/>
      <charset val="129"/>
    </font>
    <font>
      <sz val="10"/>
      <color rgb="FFFF0000"/>
      <name val="Pretendard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0F0"/>
        <bgColor rgb="FFFFF0F0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7030A0"/>
      </patternFill>
    </fill>
  </fills>
  <borders count="2">
    <border>
      <left/>
      <right/>
      <top/>
      <bottom/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76" fontId="3" fillId="0" borderId="0" xfId="0" applyNumberFormat="1" applyFont="1"/>
    <xf numFmtId="3" fontId="3" fillId="4" borderId="0" xfId="0" applyNumberFormat="1" applyFont="1" applyFill="1"/>
    <xf numFmtId="177" fontId="3" fillId="0" borderId="1" xfId="0" applyNumberFormat="1" applyFont="1" applyBorder="1"/>
    <xf numFmtId="177" fontId="3" fillId="4" borderId="0" xfId="0" applyNumberFormat="1" applyFont="1" applyFill="1"/>
    <xf numFmtId="177" fontId="3" fillId="0" borderId="0" xfId="0" applyNumberFormat="1" applyFont="1"/>
    <xf numFmtId="0" fontId="3" fillId="0" borderId="1" xfId="0" applyFont="1" applyBorder="1"/>
    <xf numFmtId="177" fontId="3" fillId="4" borderId="1" xfId="0" applyNumberFormat="1" applyFont="1" applyFill="1" applyBorder="1"/>
    <xf numFmtId="0" fontId="5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right"/>
    </xf>
    <xf numFmtId="0" fontId="7" fillId="0" borderId="0" xfId="0" applyFont="1"/>
    <xf numFmtId="177" fontId="8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0" fillId="0" borderId="0" xfId="0" applyFill="1"/>
    <xf numFmtId="0" fontId="0" fillId="5" borderId="0" xfId="0" applyFill="1"/>
    <xf numFmtId="0" fontId="6" fillId="6" borderId="0" xfId="0" applyFont="1" applyFill="1" applyAlignment="1">
      <alignment horizontal="center"/>
    </xf>
  </cellXfs>
  <cellStyles count="1">
    <cellStyle name="표준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3"/>
  <sheetViews>
    <sheetView workbookViewId="0">
      <selection activeCell="B8" sqref="B8"/>
    </sheetView>
  </sheetViews>
  <sheetFormatPr defaultRowHeight="16.5"/>
  <cols>
    <col min="1" max="1" width="3" customWidth="1"/>
    <col min="2" max="2" width="12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>
      <c r="B2" s="1" t="s">
        <v>0</v>
      </c>
    </row>
    <row r="3" spans="2:7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349387.93</v>
      </c>
    </row>
    <row r="5" spans="2:7">
      <c r="B5" s="3" t="s">
        <v>12</v>
      </c>
      <c r="C5" s="3" t="s">
        <v>13</v>
      </c>
      <c r="D5" s="3" t="s">
        <v>9</v>
      </c>
      <c r="E5" s="3"/>
      <c r="F5" s="3" t="s">
        <v>11</v>
      </c>
      <c r="G5" s="4">
        <v>201380.58</v>
      </c>
    </row>
    <row r="6" spans="2:7">
      <c r="B6" s="3" t="s">
        <v>14</v>
      </c>
      <c r="C6" s="3" t="s">
        <v>15</v>
      </c>
      <c r="D6" s="3" t="s">
        <v>9</v>
      </c>
      <c r="E6" s="3"/>
      <c r="F6" s="3" t="s">
        <v>11</v>
      </c>
      <c r="G6" s="4">
        <v>123582.78</v>
      </c>
    </row>
    <row r="7" spans="2:7">
      <c r="B7" s="3">
        <v>8411</v>
      </c>
      <c r="C7" s="3" t="s">
        <v>16</v>
      </c>
      <c r="D7" s="3" t="s">
        <v>9</v>
      </c>
      <c r="E7" s="3"/>
      <c r="F7" s="3" t="s">
        <v>11</v>
      </c>
      <c r="G7" s="4">
        <v>108869.48</v>
      </c>
    </row>
    <row r="8" spans="2:7">
      <c r="B8" s="3" t="s">
        <v>17</v>
      </c>
      <c r="C8" s="3" t="s">
        <v>18</v>
      </c>
      <c r="D8" s="3" t="s">
        <v>9</v>
      </c>
      <c r="E8" s="3"/>
      <c r="F8" s="3" t="s">
        <v>11</v>
      </c>
      <c r="G8" s="4">
        <v>91584.13</v>
      </c>
    </row>
    <row r="9" spans="2:7">
      <c r="B9" s="3" t="s">
        <v>19</v>
      </c>
      <c r="C9" s="3" t="s">
        <v>20</v>
      </c>
      <c r="D9" s="3" t="s">
        <v>9</v>
      </c>
      <c r="E9" s="3" t="s">
        <v>10</v>
      </c>
      <c r="F9" s="3" t="s">
        <v>11</v>
      </c>
      <c r="G9" s="4">
        <v>62220.11</v>
      </c>
    </row>
    <row r="10" spans="2:7">
      <c r="B10" s="3" t="s">
        <v>21</v>
      </c>
      <c r="C10" s="3" t="s">
        <v>22</v>
      </c>
      <c r="D10" s="3" t="s">
        <v>9</v>
      </c>
      <c r="E10" s="3" t="s">
        <v>10</v>
      </c>
      <c r="F10" s="3" t="s">
        <v>11</v>
      </c>
      <c r="G10" s="4">
        <v>56913.66</v>
      </c>
    </row>
    <row r="11" spans="2:7">
      <c r="B11" s="3" t="s">
        <v>23</v>
      </c>
      <c r="C11" s="3" t="s">
        <v>24</v>
      </c>
      <c r="D11" s="3" t="s">
        <v>9</v>
      </c>
      <c r="E11" s="3" t="s">
        <v>25</v>
      </c>
      <c r="F11" s="3" t="s">
        <v>11</v>
      </c>
      <c r="G11" s="4">
        <v>53537.120000000003</v>
      </c>
    </row>
    <row r="12" spans="2:7">
      <c r="B12" s="3" t="s">
        <v>26</v>
      </c>
      <c r="C12" s="3" t="s">
        <v>27</v>
      </c>
      <c r="D12" s="3" t="s">
        <v>9</v>
      </c>
      <c r="E12" s="3"/>
      <c r="F12" s="3" t="s">
        <v>11</v>
      </c>
      <c r="G12" s="4">
        <v>39312.39</v>
      </c>
    </row>
    <row r="13" spans="2:7">
      <c r="B13" s="3" t="s">
        <v>28</v>
      </c>
      <c r="C13" s="3" t="s">
        <v>29</v>
      </c>
      <c r="D13" s="3" t="s">
        <v>9</v>
      </c>
      <c r="E13" s="3" t="s">
        <v>10</v>
      </c>
      <c r="F13" s="3" t="s">
        <v>11</v>
      </c>
      <c r="G13" s="4">
        <v>35729.4</v>
      </c>
    </row>
    <row r="14" spans="2:7">
      <c r="B14" s="3" t="s">
        <v>30</v>
      </c>
      <c r="C14" s="3" t="s">
        <v>31</v>
      </c>
      <c r="D14" s="3" t="s">
        <v>9</v>
      </c>
      <c r="E14" s="3"/>
      <c r="F14" s="3" t="s">
        <v>11</v>
      </c>
      <c r="G14" s="4">
        <v>28273.48</v>
      </c>
    </row>
    <row r="15" spans="2:7">
      <c r="B15" s="3" t="s">
        <v>32</v>
      </c>
      <c r="C15" s="3" t="s">
        <v>33</v>
      </c>
      <c r="D15" s="3" t="s">
        <v>9</v>
      </c>
      <c r="E15" s="3"/>
      <c r="F15" s="3" t="s">
        <v>11</v>
      </c>
      <c r="G15" s="4">
        <v>25620.45</v>
      </c>
    </row>
    <row r="16" spans="2:7">
      <c r="B16" s="3" t="s">
        <v>34</v>
      </c>
      <c r="C16" s="3" t="s">
        <v>35</v>
      </c>
      <c r="D16" s="3" t="s">
        <v>9</v>
      </c>
      <c r="E16" s="3"/>
      <c r="F16" s="3" t="s">
        <v>11</v>
      </c>
      <c r="G16" s="4">
        <v>25069.09</v>
      </c>
    </row>
    <row r="17" spans="2:7">
      <c r="B17" s="3" t="s">
        <v>36</v>
      </c>
      <c r="C17" s="3" t="s">
        <v>37</v>
      </c>
      <c r="D17" s="3" t="s">
        <v>9</v>
      </c>
      <c r="E17" s="3"/>
      <c r="F17" s="3" t="s">
        <v>11</v>
      </c>
      <c r="G17" s="4">
        <v>21317.66</v>
      </c>
    </row>
    <row r="18" spans="2:7">
      <c r="B18" s="3" t="s">
        <v>38</v>
      </c>
      <c r="C18" s="3" t="s">
        <v>39</v>
      </c>
      <c r="D18" s="3" t="s">
        <v>9</v>
      </c>
      <c r="E18" s="3"/>
      <c r="F18" s="3" t="s">
        <v>11</v>
      </c>
      <c r="G18" s="4">
        <v>18668.240000000002</v>
      </c>
    </row>
    <row r="19" spans="2:7">
      <c r="B19" s="3" t="s">
        <v>40</v>
      </c>
      <c r="C19" s="3" t="s">
        <v>41</v>
      </c>
      <c r="D19" s="3" t="s">
        <v>9</v>
      </c>
      <c r="E19" s="3" t="s">
        <v>25</v>
      </c>
      <c r="F19" s="3" t="s">
        <v>11</v>
      </c>
      <c r="G19" s="4">
        <v>18514.240000000002</v>
      </c>
    </row>
    <row r="20" spans="2:7">
      <c r="B20" s="3" t="s">
        <v>42</v>
      </c>
      <c r="C20" s="3" t="s">
        <v>43</v>
      </c>
      <c r="D20" s="3" t="s">
        <v>9</v>
      </c>
      <c r="E20" s="3"/>
      <c r="F20" s="3" t="s">
        <v>11</v>
      </c>
      <c r="G20" s="4">
        <v>17890.95</v>
      </c>
    </row>
    <row r="21" spans="2:7">
      <c r="B21" s="3" t="s">
        <v>44</v>
      </c>
      <c r="C21" s="3" t="s">
        <v>45</v>
      </c>
      <c r="D21" s="3" t="s">
        <v>9</v>
      </c>
      <c r="E21" s="3"/>
      <c r="F21" s="3" t="s">
        <v>11</v>
      </c>
      <c r="G21" s="4">
        <v>17805.849999999999</v>
      </c>
    </row>
    <row r="22" spans="2:7">
      <c r="B22" s="3" t="s">
        <v>46</v>
      </c>
      <c r="C22" s="3" t="s">
        <v>47</v>
      </c>
      <c r="D22" s="3" t="s">
        <v>9</v>
      </c>
      <c r="E22" s="3" t="s">
        <v>25</v>
      </c>
      <c r="F22" s="3" t="s">
        <v>11</v>
      </c>
      <c r="G22" s="4">
        <v>16986</v>
      </c>
    </row>
    <row r="23" spans="2:7">
      <c r="B23" s="3" t="s">
        <v>48</v>
      </c>
      <c r="C23" s="3" t="s">
        <v>49</v>
      </c>
      <c r="D23" s="3" t="s">
        <v>9</v>
      </c>
      <c r="E23" s="3" t="s">
        <v>10</v>
      </c>
      <c r="F23" s="3" t="s">
        <v>11</v>
      </c>
      <c r="G23" s="4">
        <v>15454.49</v>
      </c>
    </row>
    <row r="24" spans="2:7">
      <c r="B24" s="3" t="s">
        <v>50</v>
      </c>
      <c r="C24" s="3" t="s">
        <v>51</v>
      </c>
      <c r="D24" s="3" t="s">
        <v>9</v>
      </c>
      <c r="E24" s="3"/>
      <c r="F24" s="3" t="s">
        <v>11</v>
      </c>
      <c r="G24" s="4">
        <v>14222.32</v>
      </c>
    </row>
    <row r="25" spans="2:7">
      <c r="B25" s="3" t="s">
        <v>52</v>
      </c>
      <c r="C25" s="3" t="s">
        <v>53</v>
      </c>
      <c r="D25" s="3" t="s">
        <v>9</v>
      </c>
      <c r="E25" s="3" t="s">
        <v>10</v>
      </c>
      <c r="F25" s="3" t="s">
        <v>11</v>
      </c>
      <c r="G25" s="4">
        <v>13460.67</v>
      </c>
    </row>
    <row r="26" spans="2:7">
      <c r="B26" s="3" t="s">
        <v>54</v>
      </c>
      <c r="C26" s="3" t="s">
        <v>55</v>
      </c>
      <c r="D26" s="3" t="s">
        <v>9</v>
      </c>
      <c r="E26" s="3"/>
      <c r="F26" s="3" t="s">
        <v>11</v>
      </c>
      <c r="G26" s="4">
        <v>13406.95</v>
      </c>
    </row>
    <row r="27" spans="2:7">
      <c r="B27" s="3" t="s">
        <v>56</v>
      </c>
      <c r="C27" s="3" t="s">
        <v>57</v>
      </c>
      <c r="D27" s="3" t="s">
        <v>9</v>
      </c>
      <c r="E27" s="3" t="s">
        <v>10</v>
      </c>
      <c r="F27" s="3" t="s">
        <v>11</v>
      </c>
      <c r="G27" s="4">
        <v>13077.03</v>
      </c>
    </row>
    <row r="28" spans="2:7">
      <c r="B28" s="3" t="s">
        <v>58</v>
      </c>
      <c r="C28" s="3" t="s">
        <v>59</v>
      </c>
      <c r="D28" s="3" t="s">
        <v>9</v>
      </c>
      <c r="E28" s="3"/>
      <c r="F28" s="3" t="s">
        <v>11</v>
      </c>
      <c r="G28" s="4">
        <v>11582.46</v>
      </c>
    </row>
    <row r="29" spans="2:7">
      <c r="B29" s="3" t="s">
        <v>60</v>
      </c>
      <c r="C29" s="3" t="s">
        <v>61</v>
      </c>
      <c r="D29" s="3" t="s">
        <v>9</v>
      </c>
      <c r="E29" s="3"/>
      <c r="F29" s="3" t="s">
        <v>11</v>
      </c>
      <c r="G29" s="4">
        <v>11248.27</v>
      </c>
    </row>
    <row r="30" spans="2:7">
      <c r="B30" s="3" t="s">
        <v>62</v>
      </c>
      <c r="C30" s="3" t="s">
        <v>63</v>
      </c>
      <c r="D30" s="3" t="s">
        <v>9</v>
      </c>
      <c r="E30" s="3"/>
      <c r="F30" s="3" t="s">
        <v>11</v>
      </c>
      <c r="G30" s="4">
        <v>11033.39</v>
      </c>
    </row>
    <row r="31" spans="2:7">
      <c r="B31" s="3" t="s">
        <v>64</v>
      </c>
      <c r="C31" s="3" t="s">
        <v>65</v>
      </c>
      <c r="D31" s="3" t="s">
        <v>9</v>
      </c>
      <c r="E31" s="3" t="s">
        <v>25</v>
      </c>
      <c r="F31" s="3" t="s">
        <v>11</v>
      </c>
      <c r="G31" s="4">
        <v>10916.63</v>
      </c>
    </row>
    <row r="32" spans="2:7">
      <c r="B32" s="3" t="s">
        <v>66</v>
      </c>
      <c r="C32" s="3" t="s">
        <v>67</v>
      </c>
      <c r="D32" s="3" t="s">
        <v>9</v>
      </c>
      <c r="E32" s="3"/>
      <c r="F32" s="3" t="s">
        <v>11</v>
      </c>
      <c r="G32" s="4">
        <v>10758.31</v>
      </c>
    </row>
    <row r="33" spans="2:7">
      <c r="B33" s="3" t="s">
        <v>68</v>
      </c>
      <c r="C33" s="3" t="s">
        <v>69</v>
      </c>
      <c r="D33" s="3" t="s">
        <v>9</v>
      </c>
      <c r="E33" s="3"/>
      <c r="F33" s="3" t="s">
        <v>11</v>
      </c>
      <c r="G33" s="4">
        <v>10489.07</v>
      </c>
    </row>
    <row r="34" spans="2:7">
      <c r="B34" s="3" t="s">
        <v>70</v>
      </c>
      <c r="C34" s="3" t="s">
        <v>71</v>
      </c>
      <c r="D34" s="3" t="s">
        <v>9</v>
      </c>
      <c r="E34" s="3"/>
      <c r="F34" s="3" t="s">
        <v>11</v>
      </c>
      <c r="G34" s="4">
        <v>10469.58</v>
      </c>
    </row>
    <row r="35" spans="2:7">
      <c r="B35" s="3" t="s">
        <v>72</v>
      </c>
      <c r="C35" s="3" t="s">
        <v>73</v>
      </c>
      <c r="D35" s="3" t="s">
        <v>9</v>
      </c>
      <c r="E35" s="3"/>
      <c r="F35" s="3" t="s">
        <v>11</v>
      </c>
      <c r="G35" s="4">
        <v>10468.01</v>
      </c>
    </row>
    <row r="36" spans="2:7">
      <c r="B36" s="3" t="s">
        <v>74</v>
      </c>
      <c r="C36" s="3" t="s">
        <v>75</v>
      </c>
      <c r="D36" s="3" t="s">
        <v>9</v>
      </c>
      <c r="E36" s="3" t="s">
        <v>10</v>
      </c>
      <c r="F36" s="3" t="s">
        <v>11</v>
      </c>
      <c r="G36" s="4">
        <v>9377.94</v>
      </c>
    </row>
    <row r="37" spans="2:7">
      <c r="B37" s="3" t="s">
        <v>76</v>
      </c>
      <c r="C37" s="3" t="s">
        <v>77</v>
      </c>
      <c r="D37" s="3" t="s">
        <v>9</v>
      </c>
      <c r="E37" s="3"/>
      <c r="F37" s="3" t="s">
        <v>11</v>
      </c>
      <c r="G37" s="4">
        <v>8797.68</v>
      </c>
    </row>
    <row r="38" spans="2:7">
      <c r="B38" s="3" t="s">
        <v>78</v>
      </c>
      <c r="C38" s="3" t="s">
        <v>79</v>
      </c>
      <c r="D38" s="3" t="s">
        <v>9</v>
      </c>
      <c r="E38" s="3"/>
      <c r="F38" s="3" t="s">
        <v>11</v>
      </c>
      <c r="G38" s="4">
        <v>8355.8700000000008</v>
      </c>
    </row>
    <row r="39" spans="2:7">
      <c r="B39" s="3" t="s">
        <v>80</v>
      </c>
      <c r="C39" s="3" t="s">
        <v>81</v>
      </c>
      <c r="D39" s="3" t="s">
        <v>9</v>
      </c>
      <c r="E39" s="3"/>
      <c r="F39" s="3" t="s">
        <v>11</v>
      </c>
      <c r="G39" s="4">
        <v>7822.9</v>
      </c>
    </row>
    <row r="40" spans="2:7">
      <c r="B40" s="3" t="s">
        <v>82</v>
      </c>
      <c r="C40" s="3" t="s">
        <v>83</v>
      </c>
      <c r="D40" s="3" t="s">
        <v>9</v>
      </c>
      <c r="E40" s="3"/>
      <c r="F40" s="3" t="s">
        <v>11</v>
      </c>
      <c r="G40" s="4">
        <v>7374.71</v>
      </c>
    </row>
    <row r="41" spans="2:7">
      <c r="B41" s="3" t="s">
        <v>84</v>
      </c>
      <c r="C41" s="3" t="s">
        <v>85</v>
      </c>
      <c r="D41" s="3" t="s">
        <v>9</v>
      </c>
      <c r="E41" s="3"/>
      <c r="F41" s="3" t="s">
        <v>11</v>
      </c>
      <c r="G41" s="4">
        <v>7252.37</v>
      </c>
    </row>
    <row r="42" spans="2:7">
      <c r="B42" s="3" t="s">
        <v>86</v>
      </c>
      <c r="C42" s="3" t="s">
        <v>87</v>
      </c>
      <c r="D42" s="3" t="s">
        <v>9</v>
      </c>
      <c r="E42" s="3"/>
      <c r="F42" s="3" t="s">
        <v>11</v>
      </c>
      <c r="G42" s="4">
        <v>7248.48</v>
      </c>
    </row>
    <row r="43" spans="2:7">
      <c r="B43" s="3" t="s">
        <v>88</v>
      </c>
      <c r="C43" s="3" t="s">
        <v>89</v>
      </c>
      <c r="D43" s="3" t="s">
        <v>9</v>
      </c>
      <c r="E43" s="3"/>
      <c r="F43" s="3" t="s">
        <v>11</v>
      </c>
      <c r="G43" s="4">
        <v>6921.95</v>
      </c>
    </row>
    <row r="44" spans="2:7">
      <c r="B44" s="3" t="s">
        <v>90</v>
      </c>
      <c r="C44" s="3" t="s">
        <v>91</v>
      </c>
      <c r="D44" s="3" t="s">
        <v>9</v>
      </c>
      <c r="E44" s="3"/>
      <c r="F44" s="3" t="s">
        <v>11</v>
      </c>
      <c r="G44" s="4">
        <v>6622.39</v>
      </c>
    </row>
    <row r="45" spans="2:7">
      <c r="B45" s="3" t="s">
        <v>92</v>
      </c>
      <c r="C45" s="3" t="s">
        <v>93</v>
      </c>
      <c r="D45" s="3" t="s">
        <v>9</v>
      </c>
      <c r="E45" s="3" t="s">
        <v>10</v>
      </c>
      <c r="F45" s="3" t="s">
        <v>11</v>
      </c>
      <c r="G45" s="4">
        <v>6613.78</v>
      </c>
    </row>
    <row r="46" spans="2:7">
      <c r="B46" s="3" t="s">
        <v>94</v>
      </c>
      <c r="C46" s="3" t="s">
        <v>95</v>
      </c>
      <c r="D46" s="3" t="s">
        <v>9</v>
      </c>
      <c r="E46" s="3"/>
      <c r="F46" s="3" t="s">
        <v>11</v>
      </c>
      <c r="G46" s="4">
        <v>6555.59</v>
      </c>
    </row>
    <row r="47" spans="2:7">
      <c r="B47" s="3" t="s">
        <v>96</v>
      </c>
      <c r="C47" s="3" t="s">
        <v>97</v>
      </c>
      <c r="D47" s="3" t="s">
        <v>9</v>
      </c>
      <c r="E47" s="3"/>
      <c r="F47" s="3" t="s">
        <v>11</v>
      </c>
      <c r="G47" s="4">
        <v>4859.45</v>
      </c>
    </row>
    <row r="48" spans="2:7">
      <c r="B48" s="3" t="s">
        <v>98</v>
      </c>
      <c r="C48" s="3" t="s">
        <v>99</v>
      </c>
      <c r="D48" s="3" t="s">
        <v>9</v>
      </c>
      <c r="E48" s="3"/>
      <c r="F48" s="3" t="s">
        <v>11</v>
      </c>
      <c r="G48" s="4">
        <v>4719.21</v>
      </c>
    </row>
    <row r="49" spans="2:7">
      <c r="B49" s="3" t="s">
        <v>100</v>
      </c>
      <c r="C49" s="3" t="s">
        <v>101</v>
      </c>
      <c r="D49" s="3" t="s">
        <v>9</v>
      </c>
      <c r="E49" s="3"/>
      <c r="F49" s="3" t="s">
        <v>11</v>
      </c>
      <c r="G49" s="4">
        <v>4689.63</v>
      </c>
    </row>
    <row r="50" spans="2:7">
      <c r="B50" s="3" t="s">
        <v>102</v>
      </c>
      <c r="C50" s="3" t="s">
        <v>103</v>
      </c>
      <c r="D50" s="3" t="s">
        <v>9</v>
      </c>
      <c r="E50" s="3" t="s">
        <v>25</v>
      </c>
      <c r="F50" s="3" t="s">
        <v>11</v>
      </c>
      <c r="G50" s="4">
        <v>4510.62</v>
      </c>
    </row>
    <row r="51" spans="2:7">
      <c r="B51" s="3" t="s">
        <v>104</v>
      </c>
      <c r="C51" s="3" t="s">
        <v>105</v>
      </c>
      <c r="D51" s="3" t="s">
        <v>9</v>
      </c>
      <c r="E51" s="3"/>
      <c r="F51" s="3" t="s">
        <v>11</v>
      </c>
      <c r="G51" s="4">
        <v>4441.07</v>
      </c>
    </row>
    <row r="52" spans="2:7">
      <c r="B52" s="3" t="s">
        <v>106</v>
      </c>
      <c r="C52" s="3" t="s">
        <v>107</v>
      </c>
      <c r="D52" s="3" t="s">
        <v>9</v>
      </c>
      <c r="E52" s="3"/>
      <c r="F52" s="3" t="s">
        <v>11</v>
      </c>
      <c r="G52" s="4">
        <v>4420.93</v>
      </c>
    </row>
    <row r="53" spans="2:7">
      <c r="B53" s="3" t="s">
        <v>108</v>
      </c>
      <c r="C53" s="3" t="s">
        <v>109</v>
      </c>
      <c r="D53" s="3" t="s">
        <v>9</v>
      </c>
      <c r="E53" s="3"/>
      <c r="F53" s="3" t="s">
        <v>11</v>
      </c>
      <c r="G53" s="4">
        <v>4140.0200000000013</v>
      </c>
    </row>
    <row r="54" spans="2:7">
      <c r="B54" s="3" t="s">
        <v>110</v>
      </c>
      <c r="C54" s="3" t="s">
        <v>111</v>
      </c>
      <c r="D54" s="3" t="s">
        <v>9</v>
      </c>
      <c r="E54" s="3"/>
      <c r="F54" s="3" t="s">
        <v>11</v>
      </c>
      <c r="G54" s="4">
        <v>3627.74</v>
      </c>
    </row>
    <row r="55" spans="2:7">
      <c r="B55" s="3" t="s">
        <v>112</v>
      </c>
      <c r="C55" s="3" t="s">
        <v>113</v>
      </c>
      <c r="D55" s="3" t="s">
        <v>9</v>
      </c>
      <c r="E55" s="3"/>
      <c r="F55" s="3" t="s">
        <v>11</v>
      </c>
      <c r="G55" s="4">
        <v>3475.46</v>
      </c>
    </row>
    <row r="56" spans="2:7">
      <c r="B56" s="3" t="s">
        <v>114</v>
      </c>
      <c r="C56" s="3" t="s">
        <v>115</v>
      </c>
      <c r="D56" s="3" t="s">
        <v>9</v>
      </c>
      <c r="E56" s="3"/>
      <c r="F56" s="3" t="s">
        <v>11</v>
      </c>
      <c r="G56" s="4">
        <v>3347.41</v>
      </c>
    </row>
    <row r="57" spans="2:7">
      <c r="B57" s="3" t="s">
        <v>116</v>
      </c>
      <c r="C57" s="3" t="s">
        <v>117</v>
      </c>
      <c r="D57" s="3" t="s">
        <v>9</v>
      </c>
      <c r="E57" s="3"/>
      <c r="F57" s="3" t="s">
        <v>11</v>
      </c>
      <c r="G57" s="4">
        <v>3159.66</v>
      </c>
    </row>
    <row r="58" spans="2:7">
      <c r="B58" s="3" t="s">
        <v>118</v>
      </c>
      <c r="C58" s="3" t="s">
        <v>119</v>
      </c>
      <c r="D58" s="3" t="s">
        <v>9</v>
      </c>
      <c r="E58" s="3"/>
      <c r="F58" s="3" t="s">
        <v>11</v>
      </c>
      <c r="G58" s="4">
        <v>3121.23</v>
      </c>
    </row>
    <row r="59" spans="2:7">
      <c r="B59" s="3" t="s">
        <v>120</v>
      </c>
      <c r="C59" s="3" t="s">
        <v>121</v>
      </c>
      <c r="D59" s="3" t="s">
        <v>9</v>
      </c>
      <c r="E59" s="3"/>
      <c r="F59" s="3" t="s">
        <v>11</v>
      </c>
      <c r="G59" s="4">
        <v>3120.35</v>
      </c>
    </row>
    <row r="60" spans="2:7">
      <c r="B60" s="3" t="s">
        <v>122</v>
      </c>
      <c r="C60" s="3" t="s">
        <v>123</v>
      </c>
      <c r="D60" s="3" t="s">
        <v>9</v>
      </c>
      <c r="E60" s="3" t="s">
        <v>25</v>
      </c>
      <c r="F60" s="3" t="s">
        <v>11</v>
      </c>
      <c r="G60" s="4">
        <v>3105.39</v>
      </c>
    </row>
    <row r="61" spans="2:7">
      <c r="B61" s="3" t="s">
        <v>124</v>
      </c>
      <c r="C61" s="3" t="s">
        <v>125</v>
      </c>
      <c r="D61" s="3" t="s">
        <v>9</v>
      </c>
      <c r="E61" s="3"/>
      <c r="F61" s="3" t="s">
        <v>11</v>
      </c>
      <c r="G61" s="4">
        <v>2877.46</v>
      </c>
    </row>
    <row r="62" spans="2:7">
      <c r="B62" s="3" t="s">
        <v>126</v>
      </c>
      <c r="C62" s="3" t="s">
        <v>127</v>
      </c>
      <c r="D62" s="3" t="s">
        <v>9</v>
      </c>
      <c r="E62" s="3"/>
      <c r="F62" s="3" t="s">
        <v>11</v>
      </c>
      <c r="G62" s="4">
        <v>2819.65</v>
      </c>
    </row>
    <row r="63" spans="2:7">
      <c r="B63" s="3" t="s">
        <v>128</v>
      </c>
      <c r="C63" s="3" t="s">
        <v>129</v>
      </c>
      <c r="D63" s="3" t="s">
        <v>9</v>
      </c>
      <c r="E63" s="3"/>
      <c r="F63" s="3" t="s">
        <v>11</v>
      </c>
      <c r="G63" s="4">
        <v>2552.4299999999998</v>
      </c>
    </row>
    <row r="64" spans="2:7">
      <c r="B64" s="3" t="s">
        <v>130</v>
      </c>
      <c r="C64" s="3" t="s">
        <v>131</v>
      </c>
      <c r="D64" s="3" t="s">
        <v>9</v>
      </c>
      <c r="E64" s="3"/>
      <c r="F64" s="3" t="s">
        <v>11</v>
      </c>
      <c r="G64" s="4">
        <v>2510.1999999999998</v>
      </c>
    </row>
    <row r="65" spans="2:7">
      <c r="B65" s="3" t="s">
        <v>132</v>
      </c>
      <c r="C65" s="3" t="s">
        <v>133</v>
      </c>
      <c r="D65" s="3" t="s">
        <v>9</v>
      </c>
      <c r="E65" s="3"/>
      <c r="F65" s="3" t="s">
        <v>11</v>
      </c>
      <c r="G65" s="4">
        <v>2422.48</v>
      </c>
    </row>
    <row r="66" spans="2:7">
      <c r="B66" s="3" t="s">
        <v>134</v>
      </c>
      <c r="C66" s="3" t="s">
        <v>135</v>
      </c>
      <c r="D66" s="3" t="s">
        <v>9</v>
      </c>
      <c r="E66" s="3" t="s">
        <v>10</v>
      </c>
      <c r="F66" s="3" t="s">
        <v>11</v>
      </c>
      <c r="G66" s="4">
        <v>2302.8200000000002</v>
      </c>
    </row>
    <row r="67" spans="2:7">
      <c r="B67" s="3" t="s">
        <v>136</v>
      </c>
      <c r="C67" s="3" t="s">
        <v>137</v>
      </c>
      <c r="D67" s="3" t="s">
        <v>9</v>
      </c>
      <c r="E67" s="3"/>
      <c r="F67" s="3" t="s">
        <v>11</v>
      </c>
      <c r="G67" s="4">
        <v>2196.2600000000002</v>
      </c>
    </row>
    <row r="68" spans="2:7">
      <c r="B68" s="3" t="s">
        <v>138</v>
      </c>
      <c r="C68" s="3" t="s">
        <v>139</v>
      </c>
      <c r="D68" s="3" t="s">
        <v>9</v>
      </c>
      <c r="E68" s="3"/>
      <c r="F68" s="3" t="s">
        <v>11</v>
      </c>
      <c r="G68" s="4">
        <v>2150.5700000000002</v>
      </c>
    </row>
    <row r="69" spans="2:7">
      <c r="B69" s="3" t="s">
        <v>140</v>
      </c>
      <c r="C69" s="3" t="s">
        <v>141</v>
      </c>
      <c r="D69" s="3" t="s">
        <v>9</v>
      </c>
      <c r="E69" s="3"/>
      <c r="F69" s="3" t="s">
        <v>11</v>
      </c>
      <c r="G69" s="4">
        <v>2146.15</v>
      </c>
    </row>
    <row r="70" spans="2:7">
      <c r="B70" s="3" t="s">
        <v>142</v>
      </c>
      <c r="C70" s="3" t="s">
        <v>143</v>
      </c>
      <c r="D70" s="3" t="s">
        <v>9</v>
      </c>
      <c r="E70" s="3"/>
      <c r="F70" s="3" t="s">
        <v>11</v>
      </c>
      <c r="G70" s="4">
        <v>2144.59</v>
      </c>
    </row>
    <row r="71" spans="2:7">
      <c r="B71" s="3" t="s">
        <v>144</v>
      </c>
      <c r="C71" s="3" t="s">
        <v>145</v>
      </c>
      <c r="D71" s="3" t="s">
        <v>9</v>
      </c>
      <c r="E71" s="3"/>
      <c r="F71" s="3" t="s">
        <v>11</v>
      </c>
      <c r="G71" s="4">
        <v>2098.5300000000002</v>
      </c>
    </row>
    <row r="72" spans="2:7">
      <c r="B72" s="3" t="s">
        <v>146</v>
      </c>
      <c r="C72" s="3" t="s">
        <v>147</v>
      </c>
      <c r="D72" s="3" t="s">
        <v>9</v>
      </c>
      <c r="E72" s="3"/>
      <c r="F72" s="3" t="s">
        <v>11</v>
      </c>
      <c r="G72" s="4">
        <v>1997.81</v>
      </c>
    </row>
    <row r="73" spans="2:7">
      <c r="B73" s="3" t="s">
        <v>148</v>
      </c>
      <c r="C73" s="3" t="s">
        <v>149</v>
      </c>
      <c r="D73" s="3" t="s">
        <v>9</v>
      </c>
      <c r="E73" s="3"/>
      <c r="F73" s="3" t="s">
        <v>11</v>
      </c>
      <c r="G73" s="4">
        <v>1985.46</v>
      </c>
    </row>
    <row r="74" spans="2:7">
      <c r="B74" s="3" t="s">
        <v>150</v>
      </c>
      <c r="C74" s="3" t="s">
        <v>151</v>
      </c>
      <c r="D74" s="3" t="s">
        <v>9</v>
      </c>
      <c r="E74" s="3"/>
      <c r="F74" s="3" t="s">
        <v>11</v>
      </c>
      <c r="G74" s="4">
        <v>1828.98</v>
      </c>
    </row>
    <row r="75" spans="2:7">
      <c r="B75" s="3" t="s">
        <v>152</v>
      </c>
      <c r="C75" s="3" t="s">
        <v>153</v>
      </c>
      <c r="D75" s="3" t="s">
        <v>9</v>
      </c>
      <c r="E75" s="3" t="s">
        <v>25</v>
      </c>
      <c r="F75" s="3" t="s">
        <v>11</v>
      </c>
      <c r="G75" s="4">
        <v>1814.45</v>
      </c>
    </row>
    <row r="76" spans="2:7">
      <c r="B76" s="3" t="s">
        <v>154</v>
      </c>
      <c r="C76" s="3" t="s">
        <v>155</v>
      </c>
      <c r="D76" s="3" t="s">
        <v>9</v>
      </c>
      <c r="E76" s="3"/>
      <c r="F76" s="3" t="s">
        <v>11</v>
      </c>
      <c r="G76" s="4">
        <v>1809.47</v>
      </c>
    </row>
    <row r="77" spans="2:7">
      <c r="B77" s="3" t="s">
        <v>156</v>
      </c>
      <c r="C77" s="3" t="s">
        <v>157</v>
      </c>
      <c r="D77" s="3" t="s">
        <v>9</v>
      </c>
      <c r="E77" s="3"/>
      <c r="F77" s="3" t="s">
        <v>11</v>
      </c>
      <c r="G77" s="4">
        <v>1763.1</v>
      </c>
    </row>
    <row r="78" spans="2:7">
      <c r="B78" s="3" t="s">
        <v>158</v>
      </c>
      <c r="C78" s="3" t="s">
        <v>159</v>
      </c>
      <c r="D78" s="3" t="s">
        <v>9</v>
      </c>
      <c r="E78" s="3"/>
      <c r="F78" s="3" t="s">
        <v>11</v>
      </c>
      <c r="G78" s="4">
        <v>1740.47</v>
      </c>
    </row>
    <row r="79" spans="2:7">
      <c r="B79" s="3" t="s">
        <v>160</v>
      </c>
      <c r="C79" s="3" t="s">
        <v>161</v>
      </c>
      <c r="D79" s="3" t="s">
        <v>9</v>
      </c>
      <c r="E79" s="3"/>
      <c r="F79" s="3" t="s">
        <v>11</v>
      </c>
      <c r="G79" s="4">
        <v>1627.87</v>
      </c>
    </row>
    <row r="80" spans="2:7">
      <c r="B80" s="3" t="s">
        <v>162</v>
      </c>
      <c r="C80" s="3" t="s">
        <v>163</v>
      </c>
      <c r="D80" s="3" t="s">
        <v>9</v>
      </c>
      <c r="E80" s="3"/>
      <c r="F80" s="3" t="s">
        <v>11</v>
      </c>
      <c r="G80" s="4">
        <v>1567.71</v>
      </c>
    </row>
    <row r="81" spans="2:7">
      <c r="B81" s="3" t="s">
        <v>164</v>
      </c>
      <c r="C81" s="3" t="s">
        <v>165</v>
      </c>
      <c r="D81" s="3" t="s">
        <v>9</v>
      </c>
      <c r="E81" s="3"/>
      <c r="F81" s="3" t="s">
        <v>11</v>
      </c>
      <c r="G81" s="4">
        <v>1464.28</v>
      </c>
    </row>
    <row r="82" spans="2:7">
      <c r="B82" s="3" t="s">
        <v>166</v>
      </c>
      <c r="C82" s="3" t="s">
        <v>167</v>
      </c>
      <c r="D82" s="3" t="s">
        <v>9</v>
      </c>
      <c r="E82" s="3"/>
      <c r="F82" s="3" t="s">
        <v>11</v>
      </c>
      <c r="G82" s="4">
        <v>1453.69</v>
      </c>
    </row>
    <row r="83" spans="2:7">
      <c r="B83" s="3" t="s">
        <v>168</v>
      </c>
      <c r="C83" s="3" t="s">
        <v>169</v>
      </c>
      <c r="D83" s="3" t="s">
        <v>9</v>
      </c>
      <c r="E83" s="3"/>
      <c r="F83" s="3" t="s">
        <v>11</v>
      </c>
      <c r="G83" s="4">
        <v>1438.89</v>
      </c>
    </row>
    <row r="84" spans="2:7">
      <c r="B84" s="3" t="s">
        <v>170</v>
      </c>
      <c r="C84" s="3" t="s">
        <v>171</v>
      </c>
      <c r="D84" s="3" t="s">
        <v>9</v>
      </c>
      <c r="E84" s="3"/>
      <c r="F84" s="3" t="s">
        <v>11</v>
      </c>
      <c r="G84" s="4">
        <v>1433.27</v>
      </c>
    </row>
    <row r="85" spans="2:7">
      <c r="B85" s="3" t="s">
        <v>172</v>
      </c>
      <c r="C85" s="3" t="s">
        <v>173</v>
      </c>
      <c r="D85" s="3" t="s">
        <v>9</v>
      </c>
      <c r="E85" s="3"/>
      <c r="F85" s="3" t="s">
        <v>11</v>
      </c>
      <c r="G85" s="4">
        <v>1422.97</v>
      </c>
    </row>
    <row r="86" spans="2:7">
      <c r="B86" s="3" t="s">
        <v>174</v>
      </c>
      <c r="C86" s="3" t="s">
        <v>175</v>
      </c>
      <c r="D86" s="3" t="s">
        <v>9</v>
      </c>
      <c r="E86" s="3"/>
      <c r="F86" s="3" t="s">
        <v>11</v>
      </c>
      <c r="G86" s="4">
        <v>1387.79</v>
      </c>
    </row>
    <row r="87" spans="2:7">
      <c r="B87" s="3" t="s">
        <v>176</v>
      </c>
      <c r="C87" s="3" t="s">
        <v>177</v>
      </c>
      <c r="D87" s="3" t="s">
        <v>9</v>
      </c>
      <c r="E87" s="3"/>
      <c r="F87" s="3" t="s">
        <v>11</v>
      </c>
      <c r="G87" s="4">
        <v>1386.12</v>
      </c>
    </row>
    <row r="88" spans="2:7">
      <c r="B88" s="3" t="s">
        <v>178</v>
      </c>
      <c r="C88" s="3" t="s">
        <v>179</v>
      </c>
      <c r="D88" s="3" t="s">
        <v>9</v>
      </c>
      <c r="E88" s="3"/>
      <c r="F88" s="3" t="s">
        <v>11</v>
      </c>
      <c r="G88" s="4">
        <v>1374.15</v>
      </c>
    </row>
    <row r="89" spans="2:7">
      <c r="B89" s="3" t="s">
        <v>180</v>
      </c>
      <c r="C89" s="3" t="s">
        <v>181</v>
      </c>
      <c r="D89" s="3" t="s">
        <v>9</v>
      </c>
      <c r="E89" s="3"/>
      <c r="F89" s="3" t="s">
        <v>11</v>
      </c>
      <c r="G89" s="4">
        <v>1321.64</v>
      </c>
    </row>
    <row r="90" spans="2:7">
      <c r="B90" s="3" t="s">
        <v>182</v>
      </c>
      <c r="C90" s="3" t="s">
        <v>183</v>
      </c>
      <c r="D90" s="3" t="s">
        <v>9</v>
      </c>
      <c r="E90" s="3"/>
      <c r="F90" s="3" t="s">
        <v>11</v>
      </c>
      <c r="G90" s="4">
        <v>1307.1199999999999</v>
      </c>
    </row>
    <row r="91" spans="2:7">
      <c r="B91" s="3" t="s">
        <v>184</v>
      </c>
      <c r="C91" s="3" t="s">
        <v>185</v>
      </c>
      <c r="D91" s="3" t="s">
        <v>9</v>
      </c>
      <c r="E91" s="3"/>
      <c r="F91" s="3" t="s">
        <v>11</v>
      </c>
      <c r="G91" s="4">
        <v>1298.17</v>
      </c>
    </row>
    <row r="92" spans="2:7">
      <c r="B92" s="3" t="s">
        <v>186</v>
      </c>
      <c r="C92" s="3" t="s">
        <v>187</v>
      </c>
      <c r="D92" s="3" t="s">
        <v>9</v>
      </c>
      <c r="E92" s="3"/>
      <c r="F92" s="3" t="s">
        <v>11</v>
      </c>
      <c r="G92" s="4">
        <v>1286.06</v>
      </c>
    </row>
    <row r="93" spans="2:7">
      <c r="B93" s="3" t="s">
        <v>188</v>
      </c>
      <c r="C93" s="3" t="s">
        <v>189</v>
      </c>
      <c r="D93" s="3" t="s">
        <v>9</v>
      </c>
      <c r="E93" s="3" t="s">
        <v>10</v>
      </c>
      <c r="F93" s="3" t="s">
        <v>11</v>
      </c>
      <c r="G93" s="4">
        <v>1279.79</v>
      </c>
    </row>
    <row r="94" spans="2:7">
      <c r="B94" s="3" t="s">
        <v>190</v>
      </c>
      <c r="C94" s="3" t="s">
        <v>191</v>
      </c>
      <c r="D94" s="3" t="s">
        <v>9</v>
      </c>
      <c r="E94" s="3"/>
      <c r="F94" s="3" t="s">
        <v>11</v>
      </c>
      <c r="G94" s="4">
        <v>1251.0899999999999</v>
      </c>
    </row>
    <row r="95" spans="2:7">
      <c r="B95" s="3" t="s">
        <v>192</v>
      </c>
      <c r="C95" s="3" t="s">
        <v>193</v>
      </c>
      <c r="D95" s="3" t="s">
        <v>9</v>
      </c>
      <c r="E95" s="3"/>
      <c r="F95" s="3" t="s">
        <v>11</v>
      </c>
      <c r="G95" s="4">
        <v>1191.81</v>
      </c>
    </row>
    <row r="96" spans="2:7">
      <c r="B96" s="3" t="s">
        <v>194</v>
      </c>
      <c r="C96" s="3" t="s">
        <v>195</v>
      </c>
      <c r="D96" s="3" t="s">
        <v>9</v>
      </c>
      <c r="E96" s="3"/>
      <c r="F96" s="3" t="s">
        <v>11</v>
      </c>
      <c r="G96" s="4">
        <v>1145.6199999999999</v>
      </c>
    </row>
    <row r="97" spans="2:7">
      <c r="B97" s="3" t="s">
        <v>196</v>
      </c>
      <c r="C97" s="3" t="s">
        <v>197</v>
      </c>
      <c r="D97" s="3" t="s">
        <v>9</v>
      </c>
      <c r="E97" s="3"/>
      <c r="F97" s="3" t="s">
        <v>11</v>
      </c>
      <c r="G97" s="4">
        <v>1134.57</v>
      </c>
    </row>
    <row r="98" spans="2:7">
      <c r="B98" s="3" t="s">
        <v>198</v>
      </c>
      <c r="C98" s="3" t="s">
        <v>199</v>
      </c>
      <c r="D98" s="3" t="s">
        <v>9</v>
      </c>
      <c r="E98" s="3"/>
      <c r="F98" s="3" t="s">
        <v>11</v>
      </c>
      <c r="G98" s="4">
        <v>1097.22</v>
      </c>
    </row>
    <row r="99" spans="2:7">
      <c r="B99" s="3" t="s">
        <v>200</v>
      </c>
      <c r="C99" s="3" t="s">
        <v>201</v>
      </c>
      <c r="D99" s="3" t="s">
        <v>9</v>
      </c>
      <c r="E99" s="3"/>
      <c r="F99" s="3" t="s">
        <v>11</v>
      </c>
      <c r="G99" s="4">
        <v>1068.1300000000001</v>
      </c>
    </row>
    <row r="100" spans="2:7">
      <c r="B100" s="3" t="s">
        <v>202</v>
      </c>
      <c r="C100" s="3" t="s">
        <v>203</v>
      </c>
      <c r="D100" s="3" t="s">
        <v>9</v>
      </c>
      <c r="E100" s="3"/>
      <c r="F100" s="3" t="s">
        <v>11</v>
      </c>
      <c r="G100" s="4">
        <v>1047.44</v>
      </c>
    </row>
    <row r="101" spans="2:7">
      <c r="B101" s="3" t="s">
        <v>204</v>
      </c>
      <c r="C101" s="3" t="s">
        <v>205</v>
      </c>
      <c r="D101" s="3" t="s">
        <v>9</v>
      </c>
      <c r="E101" s="3"/>
      <c r="F101" s="3" t="s">
        <v>11</v>
      </c>
      <c r="G101" s="4">
        <v>1034.78</v>
      </c>
    </row>
    <row r="102" spans="2:7">
      <c r="B102" s="3" t="s">
        <v>206</v>
      </c>
      <c r="C102" s="3" t="s">
        <v>207</v>
      </c>
      <c r="D102" s="3" t="s">
        <v>9</v>
      </c>
      <c r="E102" s="3"/>
      <c r="F102" s="3" t="s">
        <v>11</v>
      </c>
      <c r="G102" s="4">
        <v>1034.27</v>
      </c>
    </row>
    <row r="103" spans="2:7">
      <c r="B103" s="3" t="s">
        <v>208</v>
      </c>
      <c r="C103" s="3" t="s">
        <v>209</v>
      </c>
      <c r="D103" s="3" t="s">
        <v>9</v>
      </c>
      <c r="E103" s="3"/>
      <c r="F103" s="3" t="s">
        <v>11</v>
      </c>
      <c r="G103" s="4">
        <v>975.05</v>
      </c>
    </row>
    <row r="104" spans="2:7">
      <c r="B104" s="3" t="s">
        <v>210</v>
      </c>
      <c r="C104" s="3" t="s">
        <v>211</v>
      </c>
      <c r="D104" s="3" t="s">
        <v>9</v>
      </c>
      <c r="E104" s="3"/>
      <c r="F104" s="3" t="s">
        <v>11</v>
      </c>
      <c r="G104" s="4">
        <v>950.01</v>
      </c>
    </row>
    <row r="105" spans="2:7">
      <c r="B105" s="3" t="s">
        <v>212</v>
      </c>
      <c r="C105" s="3" t="s">
        <v>213</v>
      </c>
      <c r="D105" s="3" t="s">
        <v>9</v>
      </c>
      <c r="E105" s="3"/>
      <c r="F105" s="3" t="s">
        <v>11</v>
      </c>
      <c r="G105" s="4">
        <v>912.98</v>
      </c>
    </row>
    <row r="106" spans="2:7">
      <c r="B106" s="3" t="s">
        <v>214</v>
      </c>
      <c r="C106" s="3" t="s">
        <v>215</v>
      </c>
      <c r="D106" s="3" t="s">
        <v>9</v>
      </c>
      <c r="E106" s="3"/>
      <c r="F106" s="3" t="s">
        <v>11</v>
      </c>
      <c r="G106" s="4">
        <v>909</v>
      </c>
    </row>
    <row r="107" spans="2:7">
      <c r="B107" s="3" t="s">
        <v>216</v>
      </c>
      <c r="C107" s="3" t="s">
        <v>217</v>
      </c>
      <c r="D107" s="3" t="s">
        <v>9</v>
      </c>
      <c r="E107" s="3"/>
      <c r="F107" s="3" t="s">
        <v>11</v>
      </c>
      <c r="G107" s="4">
        <v>860.1</v>
      </c>
    </row>
    <row r="108" spans="2:7">
      <c r="B108" s="3" t="s">
        <v>218</v>
      </c>
      <c r="C108" s="3" t="s">
        <v>219</v>
      </c>
      <c r="D108" s="3" t="s">
        <v>9</v>
      </c>
      <c r="E108" s="3"/>
      <c r="F108" s="3" t="s">
        <v>11</v>
      </c>
      <c r="G108" s="4">
        <v>855</v>
      </c>
    </row>
    <row r="109" spans="2:7">
      <c r="B109" s="3" t="s">
        <v>220</v>
      </c>
      <c r="C109" s="3" t="s">
        <v>221</v>
      </c>
      <c r="D109" s="3" t="s">
        <v>9</v>
      </c>
      <c r="E109" s="3"/>
      <c r="F109" s="3" t="s">
        <v>11</v>
      </c>
      <c r="G109" s="4">
        <v>853.71</v>
      </c>
    </row>
    <row r="110" spans="2:7">
      <c r="B110" s="3" t="s">
        <v>222</v>
      </c>
      <c r="C110" s="3" t="s">
        <v>223</v>
      </c>
      <c r="D110" s="3" t="s">
        <v>9</v>
      </c>
      <c r="E110" s="3"/>
      <c r="F110" s="3" t="s">
        <v>11</v>
      </c>
      <c r="G110" s="4">
        <v>849.47</v>
      </c>
    </row>
    <row r="111" spans="2:7">
      <c r="B111" s="3" t="s">
        <v>224</v>
      </c>
      <c r="C111" s="3" t="s">
        <v>225</v>
      </c>
      <c r="D111" s="3" t="s">
        <v>9</v>
      </c>
      <c r="E111" s="3"/>
      <c r="F111" s="3" t="s">
        <v>11</v>
      </c>
      <c r="G111" s="4">
        <v>847.41</v>
      </c>
    </row>
    <row r="112" spans="2:7">
      <c r="B112" s="3" t="s">
        <v>226</v>
      </c>
      <c r="C112" s="3" t="s">
        <v>227</v>
      </c>
      <c r="D112" s="3" t="s">
        <v>9</v>
      </c>
      <c r="E112" s="3"/>
      <c r="F112" s="3" t="s">
        <v>11</v>
      </c>
      <c r="G112" s="4">
        <v>840.19</v>
      </c>
    </row>
    <row r="113" spans="2:7">
      <c r="B113" s="3" t="s">
        <v>228</v>
      </c>
      <c r="C113" s="3" t="s">
        <v>229</v>
      </c>
      <c r="D113" s="3" t="s">
        <v>9</v>
      </c>
      <c r="E113" s="3"/>
      <c r="F113" s="3" t="s">
        <v>11</v>
      </c>
      <c r="G113" s="4">
        <v>812.85</v>
      </c>
    </row>
    <row r="114" spans="2:7">
      <c r="B114" s="3" t="s">
        <v>230</v>
      </c>
      <c r="C114" s="3" t="s">
        <v>231</v>
      </c>
      <c r="D114" s="3" t="s">
        <v>9</v>
      </c>
      <c r="E114" s="3"/>
      <c r="F114" s="3" t="s">
        <v>11</v>
      </c>
      <c r="G114" s="4">
        <v>806.58</v>
      </c>
    </row>
    <row r="115" spans="2:7">
      <c r="B115" s="3" t="s">
        <v>232</v>
      </c>
      <c r="C115" s="3" t="s">
        <v>233</v>
      </c>
      <c r="D115" s="3" t="s">
        <v>9</v>
      </c>
      <c r="E115" s="3"/>
      <c r="F115" s="3" t="s">
        <v>11</v>
      </c>
      <c r="G115" s="4">
        <v>776.73</v>
      </c>
    </row>
    <row r="116" spans="2:7">
      <c r="B116" s="3" t="s">
        <v>234</v>
      </c>
      <c r="C116" s="3" t="s">
        <v>235</v>
      </c>
      <c r="D116" s="3" t="s">
        <v>9</v>
      </c>
      <c r="E116" s="3"/>
      <c r="F116" s="3" t="s">
        <v>11</v>
      </c>
      <c r="G116" s="4">
        <v>719.8</v>
      </c>
    </row>
    <row r="117" spans="2:7">
      <c r="B117" s="3" t="s">
        <v>236</v>
      </c>
      <c r="C117" s="3" t="s">
        <v>237</v>
      </c>
      <c r="D117" s="3" t="s">
        <v>9</v>
      </c>
      <c r="E117" s="3"/>
      <c r="F117" s="3" t="s">
        <v>11</v>
      </c>
      <c r="G117" s="4">
        <v>656.44</v>
      </c>
    </row>
    <row r="118" spans="2:7">
      <c r="B118" s="3" t="s">
        <v>238</v>
      </c>
      <c r="C118" s="3" t="s">
        <v>239</v>
      </c>
      <c r="D118" s="3" t="s">
        <v>9</v>
      </c>
      <c r="E118" s="3"/>
      <c r="F118" s="3" t="s">
        <v>11</v>
      </c>
      <c r="G118" s="4">
        <v>639.32000000000005</v>
      </c>
    </row>
    <row r="119" spans="2:7">
      <c r="B119" s="3" t="s">
        <v>240</v>
      </c>
      <c r="C119" s="3" t="s">
        <v>241</v>
      </c>
      <c r="D119" s="3" t="s">
        <v>9</v>
      </c>
      <c r="E119" s="3"/>
      <c r="F119" s="3" t="s">
        <v>11</v>
      </c>
      <c r="G119" s="4">
        <v>629.51</v>
      </c>
    </row>
    <row r="120" spans="2:7">
      <c r="B120" s="3" t="s">
        <v>242</v>
      </c>
      <c r="C120" s="3" t="s">
        <v>243</v>
      </c>
      <c r="D120" s="3" t="s">
        <v>9</v>
      </c>
      <c r="E120" s="3"/>
      <c r="F120" s="3" t="s">
        <v>11</v>
      </c>
      <c r="G120" s="4">
        <v>628.54999999999995</v>
      </c>
    </row>
    <row r="121" spans="2:7">
      <c r="B121" s="3" t="s">
        <v>244</v>
      </c>
      <c r="C121" s="3" t="s">
        <v>245</v>
      </c>
      <c r="D121" s="3" t="s">
        <v>9</v>
      </c>
      <c r="E121" s="3"/>
      <c r="F121" s="3" t="s">
        <v>11</v>
      </c>
      <c r="G121" s="4">
        <v>626.30999999999995</v>
      </c>
    </row>
    <row r="122" spans="2:7">
      <c r="B122" s="3" t="s">
        <v>246</v>
      </c>
      <c r="C122" s="3" t="s">
        <v>247</v>
      </c>
      <c r="D122" s="3" t="s">
        <v>9</v>
      </c>
      <c r="E122" s="3"/>
      <c r="F122" s="3" t="s">
        <v>11</v>
      </c>
      <c r="G122" s="4">
        <v>605.28</v>
      </c>
    </row>
    <row r="123" spans="2:7">
      <c r="B123" s="3" t="s">
        <v>248</v>
      </c>
      <c r="C123" s="3" t="s">
        <v>249</v>
      </c>
      <c r="D123" s="3" t="s">
        <v>9</v>
      </c>
      <c r="E123" s="3"/>
      <c r="F123" s="3" t="s">
        <v>11</v>
      </c>
      <c r="G123" s="4">
        <v>593.66</v>
      </c>
    </row>
    <row r="124" spans="2:7">
      <c r="B124" s="3" t="s">
        <v>250</v>
      </c>
      <c r="C124" s="3" t="s">
        <v>251</v>
      </c>
      <c r="D124" s="3" t="s">
        <v>9</v>
      </c>
      <c r="E124" s="3"/>
      <c r="F124" s="3" t="s">
        <v>11</v>
      </c>
      <c r="G124" s="4">
        <v>586.95000000000005</v>
      </c>
    </row>
    <row r="125" spans="2:7">
      <c r="B125" s="3" t="s">
        <v>252</v>
      </c>
      <c r="C125" s="3" t="s">
        <v>253</v>
      </c>
      <c r="D125" s="3" t="s">
        <v>9</v>
      </c>
      <c r="E125" s="3"/>
      <c r="F125" s="3" t="s">
        <v>254</v>
      </c>
      <c r="G125" s="4">
        <v>585.77</v>
      </c>
    </row>
    <row r="126" spans="2:7">
      <c r="B126" s="3" t="s">
        <v>255</v>
      </c>
      <c r="C126" s="3" t="s">
        <v>256</v>
      </c>
      <c r="D126" s="3" t="s">
        <v>9</v>
      </c>
      <c r="E126" s="3"/>
      <c r="F126" s="3" t="s">
        <v>11</v>
      </c>
      <c r="G126" s="4">
        <v>565.87</v>
      </c>
    </row>
    <row r="127" spans="2:7">
      <c r="B127" s="3" t="s">
        <v>257</v>
      </c>
      <c r="C127" s="3" t="s">
        <v>258</v>
      </c>
      <c r="D127" s="3" t="s">
        <v>9</v>
      </c>
      <c r="E127" s="3"/>
      <c r="F127" s="3" t="s">
        <v>11</v>
      </c>
      <c r="G127" s="4">
        <v>548.88</v>
      </c>
    </row>
    <row r="128" spans="2:7">
      <c r="B128" s="3" t="s">
        <v>259</v>
      </c>
      <c r="C128" s="3" t="s">
        <v>260</v>
      </c>
      <c r="D128" s="3" t="s">
        <v>9</v>
      </c>
      <c r="E128" s="3"/>
      <c r="F128" s="3" t="s">
        <v>11</v>
      </c>
      <c r="G128" s="4">
        <v>535.41999999999996</v>
      </c>
    </row>
    <row r="129" spans="2:7">
      <c r="B129" s="3" t="s">
        <v>261</v>
      </c>
      <c r="C129" s="3" t="s">
        <v>262</v>
      </c>
      <c r="D129" s="3" t="s">
        <v>9</v>
      </c>
      <c r="E129" s="3"/>
      <c r="F129" s="3" t="s">
        <v>11</v>
      </c>
      <c r="G129" s="4">
        <v>528.1</v>
      </c>
    </row>
    <row r="130" spans="2:7">
      <c r="B130" s="3" t="s">
        <v>263</v>
      </c>
      <c r="C130" s="3" t="s">
        <v>264</v>
      </c>
      <c r="D130" s="3" t="s">
        <v>9</v>
      </c>
      <c r="E130" s="3"/>
      <c r="F130" s="3" t="s">
        <v>11</v>
      </c>
      <c r="G130" s="4">
        <v>522.53</v>
      </c>
    </row>
    <row r="131" spans="2:7">
      <c r="B131" s="3" t="s">
        <v>265</v>
      </c>
      <c r="C131" s="3" t="s">
        <v>266</v>
      </c>
      <c r="D131" s="3" t="s">
        <v>9</v>
      </c>
      <c r="E131" s="3"/>
      <c r="F131" s="3" t="s">
        <v>11</v>
      </c>
      <c r="G131" s="4">
        <v>510.17</v>
      </c>
    </row>
    <row r="132" spans="2:7">
      <c r="B132" s="3" t="s">
        <v>267</v>
      </c>
      <c r="C132" s="3" t="s">
        <v>268</v>
      </c>
      <c r="D132" s="3" t="s">
        <v>9</v>
      </c>
      <c r="E132" s="3"/>
      <c r="F132" s="3" t="s">
        <v>11</v>
      </c>
      <c r="G132" s="4">
        <v>507.73</v>
      </c>
    </row>
    <row r="133" spans="2:7">
      <c r="B133" s="3" t="s">
        <v>269</v>
      </c>
      <c r="C133" s="3" t="s">
        <v>270</v>
      </c>
      <c r="D133" s="3" t="s">
        <v>9</v>
      </c>
      <c r="E133" s="3"/>
      <c r="F133" s="3" t="s">
        <v>11</v>
      </c>
      <c r="G133" s="4">
        <v>493.12</v>
      </c>
    </row>
    <row r="134" spans="2:7">
      <c r="B134" s="3" t="s">
        <v>271</v>
      </c>
      <c r="C134" s="3" t="s">
        <v>272</v>
      </c>
      <c r="D134" s="3" t="s">
        <v>9</v>
      </c>
      <c r="E134" s="3"/>
      <c r="F134" s="3" t="s">
        <v>11</v>
      </c>
      <c r="G134" s="4">
        <v>480.94</v>
      </c>
    </row>
    <row r="135" spans="2:7">
      <c r="B135" s="3" t="s">
        <v>273</v>
      </c>
      <c r="C135" s="3" t="s">
        <v>274</v>
      </c>
      <c r="D135" s="3" t="s">
        <v>9</v>
      </c>
      <c r="E135" s="3"/>
      <c r="F135" s="3" t="s">
        <v>11</v>
      </c>
      <c r="G135" s="4">
        <v>477.39</v>
      </c>
    </row>
    <row r="136" spans="2:7">
      <c r="B136" s="3" t="s">
        <v>275</v>
      </c>
      <c r="C136" s="3" t="s">
        <v>276</v>
      </c>
      <c r="D136" s="3" t="s">
        <v>9</v>
      </c>
      <c r="E136" s="3"/>
      <c r="F136" s="3" t="s">
        <v>11</v>
      </c>
      <c r="G136" s="4">
        <v>467.12</v>
      </c>
    </row>
    <row r="137" spans="2:7">
      <c r="B137" s="3" t="s">
        <v>277</v>
      </c>
      <c r="C137" s="3" t="s">
        <v>278</v>
      </c>
      <c r="D137" s="3" t="s">
        <v>9</v>
      </c>
      <c r="E137" s="3"/>
      <c r="F137" s="3" t="s">
        <v>11</v>
      </c>
      <c r="G137" s="4">
        <v>462.8</v>
      </c>
    </row>
    <row r="138" spans="2:7">
      <c r="B138" s="3" t="s">
        <v>279</v>
      </c>
      <c r="C138" s="3" t="s">
        <v>280</v>
      </c>
      <c r="D138" s="3" t="s">
        <v>9</v>
      </c>
      <c r="E138" s="3"/>
      <c r="F138" s="3" t="s">
        <v>11</v>
      </c>
      <c r="G138" s="4">
        <v>460.5</v>
      </c>
    </row>
    <row r="139" spans="2:7">
      <c r="B139" s="3" t="s">
        <v>281</v>
      </c>
      <c r="C139" s="3" t="s">
        <v>282</v>
      </c>
      <c r="D139" s="3" t="s">
        <v>9</v>
      </c>
      <c r="E139" s="3"/>
      <c r="F139" s="3" t="s">
        <v>11</v>
      </c>
      <c r="G139" s="4">
        <v>453.2</v>
      </c>
    </row>
    <row r="140" spans="2:7">
      <c r="B140" s="3" t="s">
        <v>283</v>
      </c>
      <c r="C140" s="3" t="s">
        <v>284</v>
      </c>
      <c r="D140" s="3" t="s">
        <v>9</v>
      </c>
      <c r="E140" s="3"/>
      <c r="F140" s="3" t="s">
        <v>11</v>
      </c>
      <c r="G140" s="4">
        <v>452.09</v>
      </c>
    </row>
    <row r="141" spans="2:7">
      <c r="B141" s="3" t="s">
        <v>285</v>
      </c>
      <c r="C141" s="3" t="s">
        <v>286</v>
      </c>
      <c r="D141" s="3" t="s">
        <v>9</v>
      </c>
      <c r="E141" s="3"/>
      <c r="F141" s="3" t="s">
        <v>11</v>
      </c>
      <c r="G141" s="4">
        <v>449.52</v>
      </c>
    </row>
    <row r="142" spans="2:7">
      <c r="B142" s="3" t="s">
        <v>287</v>
      </c>
      <c r="C142" s="3" t="s">
        <v>288</v>
      </c>
      <c r="D142" s="3" t="s">
        <v>9</v>
      </c>
      <c r="E142" s="3"/>
      <c r="F142" s="3" t="s">
        <v>11</v>
      </c>
      <c r="G142" s="4">
        <v>416.25</v>
      </c>
    </row>
    <row r="143" spans="2:7">
      <c r="B143" s="3" t="s">
        <v>289</v>
      </c>
      <c r="C143" s="3" t="s">
        <v>290</v>
      </c>
      <c r="D143" s="3" t="s">
        <v>9</v>
      </c>
      <c r="E143" s="3"/>
      <c r="F143" s="3" t="s">
        <v>11</v>
      </c>
      <c r="G143" s="4">
        <v>406.57</v>
      </c>
    </row>
    <row r="144" spans="2:7">
      <c r="B144" s="3" t="s">
        <v>291</v>
      </c>
      <c r="C144" s="3" t="s">
        <v>292</v>
      </c>
      <c r="D144" s="3" t="s">
        <v>9</v>
      </c>
      <c r="E144" s="3"/>
      <c r="F144" s="3" t="s">
        <v>11</v>
      </c>
      <c r="G144" s="4">
        <v>401.81</v>
      </c>
    </row>
    <row r="145" spans="2:7">
      <c r="B145" s="3" t="s">
        <v>293</v>
      </c>
      <c r="C145" s="3" t="s">
        <v>294</v>
      </c>
      <c r="D145" s="3" t="s">
        <v>9</v>
      </c>
      <c r="E145" s="3"/>
      <c r="F145" s="3" t="s">
        <v>11</v>
      </c>
      <c r="G145" s="4">
        <v>387.54</v>
      </c>
    </row>
    <row r="146" spans="2:7">
      <c r="B146" s="3" t="s">
        <v>295</v>
      </c>
      <c r="C146" s="3" t="s">
        <v>296</v>
      </c>
      <c r="D146" s="3" t="s">
        <v>9</v>
      </c>
      <c r="E146" s="3"/>
      <c r="F146" s="3" t="s">
        <v>11</v>
      </c>
      <c r="G146" s="4">
        <v>379.62</v>
      </c>
    </row>
    <row r="147" spans="2:7">
      <c r="B147" s="3" t="s">
        <v>297</v>
      </c>
      <c r="C147" s="3" t="s">
        <v>298</v>
      </c>
      <c r="D147" s="3" t="s">
        <v>9</v>
      </c>
      <c r="E147" s="3"/>
      <c r="F147" s="3" t="s">
        <v>11</v>
      </c>
      <c r="G147" s="4">
        <v>363.39</v>
      </c>
    </row>
    <row r="148" spans="2:7">
      <c r="B148" s="3" t="s">
        <v>299</v>
      </c>
      <c r="C148" s="3" t="s">
        <v>300</v>
      </c>
      <c r="D148" s="3" t="s">
        <v>9</v>
      </c>
      <c r="E148" s="3"/>
      <c r="F148" s="3" t="s">
        <v>11</v>
      </c>
      <c r="G148" s="4">
        <v>321.45999999999998</v>
      </c>
    </row>
    <row r="149" spans="2:7">
      <c r="B149" s="3" t="s">
        <v>301</v>
      </c>
      <c r="C149" s="3" t="s">
        <v>302</v>
      </c>
      <c r="D149" s="3" t="s">
        <v>9</v>
      </c>
      <c r="E149" s="3"/>
      <c r="F149" s="3" t="s">
        <v>11</v>
      </c>
      <c r="G149" s="4">
        <v>320.39</v>
      </c>
    </row>
    <row r="150" spans="2:7">
      <c r="B150" s="3" t="s">
        <v>303</v>
      </c>
      <c r="C150" s="3" t="s">
        <v>304</v>
      </c>
      <c r="D150" s="3" t="s">
        <v>9</v>
      </c>
      <c r="E150" s="3"/>
      <c r="F150" s="3" t="s">
        <v>11</v>
      </c>
      <c r="G150" s="4">
        <v>317.76</v>
      </c>
    </row>
    <row r="151" spans="2:7">
      <c r="B151" s="3" t="s">
        <v>305</v>
      </c>
      <c r="C151" s="3" t="s">
        <v>306</v>
      </c>
      <c r="D151" s="3" t="s">
        <v>9</v>
      </c>
      <c r="E151" s="3"/>
      <c r="F151" s="3" t="s">
        <v>11</v>
      </c>
      <c r="G151" s="4">
        <v>314.22000000000003</v>
      </c>
    </row>
    <row r="152" spans="2:7">
      <c r="B152" s="3" t="s">
        <v>307</v>
      </c>
      <c r="C152" s="3" t="s">
        <v>308</v>
      </c>
      <c r="D152" s="3" t="s">
        <v>9</v>
      </c>
      <c r="E152" s="3"/>
      <c r="F152" s="3" t="s">
        <v>11</v>
      </c>
      <c r="G152" s="4">
        <v>310.45999999999998</v>
      </c>
    </row>
    <row r="153" spans="2:7">
      <c r="B153" s="3" t="s">
        <v>309</v>
      </c>
      <c r="C153" s="3" t="s">
        <v>310</v>
      </c>
      <c r="D153" s="3" t="s">
        <v>9</v>
      </c>
      <c r="E153" s="3"/>
      <c r="F153" s="3" t="s">
        <v>11</v>
      </c>
      <c r="G153" s="4">
        <v>306.45</v>
      </c>
    </row>
    <row r="154" spans="2:7">
      <c r="B154" s="3" t="s">
        <v>311</v>
      </c>
      <c r="C154" s="3" t="s">
        <v>312</v>
      </c>
      <c r="D154" s="3" t="s">
        <v>9</v>
      </c>
      <c r="E154" s="3"/>
      <c r="F154" s="3" t="s">
        <v>11</v>
      </c>
      <c r="G154" s="4">
        <v>301.66000000000003</v>
      </c>
    </row>
    <row r="155" spans="2:7">
      <c r="B155" s="3" t="s">
        <v>313</v>
      </c>
      <c r="C155" s="3" t="s">
        <v>314</v>
      </c>
      <c r="D155" s="3" t="s">
        <v>9</v>
      </c>
      <c r="E155" s="3"/>
      <c r="F155" s="3" t="s">
        <v>11</v>
      </c>
      <c r="G155" s="4">
        <v>268.07</v>
      </c>
    </row>
    <row r="156" spans="2:7">
      <c r="B156" s="3" t="s">
        <v>315</v>
      </c>
      <c r="C156" s="3" t="s">
        <v>316</v>
      </c>
      <c r="D156" s="3" t="s">
        <v>9</v>
      </c>
      <c r="E156" s="3"/>
      <c r="F156" s="3" t="s">
        <v>11</v>
      </c>
      <c r="G156" s="4">
        <v>262.77</v>
      </c>
    </row>
    <row r="157" spans="2:7">
      <c r="B157" s="3" t="s">
        <v>317</v>
      </c>
      <c r="C157" s="3" t="s">
        <v>318</v>
      </c>
      <c r="D157" s="3" t="s">
        <v>9</v>
      </c>
      <c r="E157" s="3"/>
      <c r="F157" s="3" t="s">
        <v>11</v>
      </c>
      <c r="G157" s="4">
        <v>261.08999999999997</v>
      </c>
    </row>
    <row r="158" spans="2:7">
      <c r="B158" s="3" t="s">
        <v>319</v>
      </c>
      <c r="C158" s="3" t="s">
        <v>320</v>
      </c>
      <c r="D158" s="3" t="s">
        <v>9</v>
      </c>
      <c r="E158" s="3"/>
      <c r="F158" s="3" t="s">
        <v>11</v>
      </c>
      <c r="G158" s="4">
        <v>261.06</v>
      </c>
    </row>
    <row r="159" spans="2:7">
      <c r="B159" s="3" t="s">
        <v>321</v>
      </c>
      <c r="C159" s="3" t="s">
        <v>322</v>
      </c>
      <c r="D159" s="3" t="s">
        <v>9</v>
      </c>
      <c r="E159" s="3"/>
      <c r="F159" s="3" t="s">
        <v>11</v>
      </c>
      <c r="G159" s="4">
        <v>254.29</v>
      </c>
    </row>
    <row r="160" spans="2:7">
      <c r="B160" s="3" t="s">
        <v>323</v>
      </c>
      <c r="C160" s="3" t="s">
        <v>324</v>
      </c>
      <c r="D160" s="3" t="s">
        <v>9</v>
      </c>
      <c r="E160" s="3"/>
      <c r="F160" s="3" t="s">
        <v>11</v>
      </c>
      <c r="G160" s="4">
        <v>250.7</v>
      </c>
    </row>
    <row r="161" spans="2:7">
      <c r="B161" s="3" t="s">
        <v>325</v>
      </c>
      <c r="C161" s="3" t="s">
        <v>326</v>
      </c>
      <c r="D161" s="3" t="s">
        <v>9</v>
      </c>
      <c r="E161" s="3"/>
      <c r="F161" s="3" t="s">
        <v>11</v>
      </c>
      <c r="G161" s="4">
        <v>245.97</v>
      </c>
    </row>
    <row r="162" spans="2:7">
      <c r="B162" s="3" t="s">
        <v>327</v>
      </c>
      <c r="C162" s="3" t="s">
        <v>328</v>
      </c>
      <c r="D162" s="3" t="s">
        <v>9</v>
      </c>
      <c r="E162" s="3"/>
      <c r="F162" s="3" t="s">
        <v>11</v>
      </c>
      <c r="G162" s="4">
        <v>244.16</v>
      </c>
    </row>
    <row r="163" spans="2:7">
      <c r="B163" s="3" t="s">
        <v>329</v>
      </c>
      <c r="C163" s="3" t="s">
        <v>330</v>
      </c>
      <c r="D163" s="3" t="s">
        <v>9</v>
      </c>
      <c r="E163" s="3"/>
      <c r="F163" s="3" t="s">
        <v>11</v>
      </c>
      <c r="G163" s="4">
        <v>242.01</v>
      </c>
    </row>
    <row r="164" spans="2:7">
      <c r="B164" s="3" t="s">
        <v>331</v>
      </c>
      <c r="C164" s="3" t="s">
        <v>332</v>
      </c>
      <c r="D164" s="3" t="s">
        <v>9</v>
      </c>
      <c r="E164" s="3"/>
      <c r="F164" s="3" t="s">
        <v>11</v>
      </c>
      <c r="G164" s="4">
        <v>240.3</v>
      </c>
    </row>
    <row r="165" spans="2:7">
      <c r="B165" s="3" t="s">
        <v>333</v>
      </c>
      <c r="C165" s="3" t="s">
        <v>334</v>
      </c>
      <c r="D165" s="3" t="s">
        <v>9</v>
      </c>
      <c r="E165" s="3"/>
      <c r="F165" s="3" t="s">
        <v>11</v>
      </c>
      <c r="G165" s="4">
        <v>237.74</v>
      </c>
    </row>
    <row r="166" spans="2:7">
      <c r="B166" s="3" t="s">
        <v>335</v>
      </c>
      <c r="C166" s="3" t="s">
        <v>336</v>
      </c>
      <c r="D166" s="3" t="s">
        <v>9</v>
      </c>
      <c r="E166" s="3"/>
      <c r="F166" s="3" t="s">
        <v>11</v>
      </c>
      <c r="G166" s="4">
        <v>233.6</v>
      </c>
    </row>
    <row r="167" spans="2:7">
      <c r="B167" s="3" t="s">
        <v>337</v>
      </c>
      <c r="C167" s="3" t="s">
        <v>338</v>
      </c>
      <c r="D167" s="3" t="s">
        <v>9</v>
      </c>
      <c r="E167" s="3"/>
      <c r="F167" s="3" t="s">
        <v>11</v>
      </c>
      <c r="G167" s="4">
        <v>233.5</v>
      </c>
    </row>
    <row r="168" spans="2:7">
      <c r="B168" s="3" t="s">
        <v>339</v>
      </c>
      <c r="C168" s="3" t="s">
        <v>340</v>
      </c>
      <c r="D168" s="3" t="s">
        <v>9</v>
      </c>
      <c r="E168" s="3"/>
      <c r="F168" s="3" t="s">
        <v>11</v>
      </c>
      <c r="G168" s="4">
        <v>231.69</v>
      </c>
    </row>
    <row r="169" spans="2:7">
      <c r="B169" s="3" t="s">
        <v>341</v>
      </c>
      <c r="C169" s="3" t="s">
        <v>342</v>
      </c>
      <c r="D169" s="3" t="s">
        <v>9</v>
      </c>
      <c r="E169" s="3"/>
      <c r="F169" s="3" t="s">
        <v>343</v>
      </c>
      <c r="G169" s="4">
        <v>231.39</v>
      </c>
    </row>
    <row r="170" spans="2:7">
      <c r="B170" s="3" t="s">
        <v>344</v>
      </c>
      <c r="C170" s="3" t="s">
        <v>345</v>
      </c>
      <c r="D170" s="3" t="s">
        <v>9</v>
      </c>
      <c r="E170" s="3"/>
      <c r="F170" s="3" t="s">
        <v>11</v>
      </c>
      <c r="G170" s="4">
        <v>221.48</v>
      </c>
    </row>
    <row r="171" spans="2:7">
      <c r="B171" s="3" t="s">
        <v>346</v>
      </c>
      <c r="C171" s="3" t="s">
        <v>347</v>
      </c>
      <c r="D171" s="3" t="s">
        <v>9</v>
      </c>
      <c r="E171" s="3" t="s">
        <v>10</v>
      </c>
      <c r="F171" s="3" t="s">
        <v>11</v>
      </c>
      <c r="G171" s="4">
        <v>219.87</v>
      </c>
    </row>
    <row r="172" spans="2:7">
      <c r="B172" s="3" t="s">
        <v>348</v>
      </c>
      <c r="C172" s="3" t="s">
        <v>349</v>
      </c>
      <c r="D172" s="3" t="s">
        <v>9</v>
      </c>
      <c r="E172" s="3"/>
      <c r="F172" s="3" t="s">
        <v>11</v>
      </c>
      <c r="G172" s="4">
        <v>218.25</v>
      </c>
    </row>
    <row r="173" spans="2:7">
      <c r="B173" s="3" t="s">
        <v>350</v>
      </c>
      <c r="C173" s="3" t="s">
        <v>351</v>
      </c>
      <c r="D173" s="3" t="s">
        <v>9</v>
      </c>
      <c r="E173" s="3"/>
      <c r="F173" s="3" t="s">
        <v>11</v>
      </c>
      <c r="G173" s="4">
        <v>211.8</v>
      </c>
    </row>
    <row r="174" spans="2:7">
      <c r="B174" s="3" t="s">
        <v>352</v>
      </c>
      <c r="C174" s="3" t="s">
        <v>353</v>
      </c>
      <c r="D174" s="3" t="s">
        <v>9</v>
      </c>
      <c r="E174" s="3"/>
      <c r="F174" s="3" t="s">
        <v>11</v>
      </c>
      <c r="G174" s="4">
        <v>209.86</v>
      </c>
    </row>
    <row r="175" spans="2:7">
      <c r="B175" s="3" t="s">
        <v>354</v>
      </c>
      <c r="C175" s="3" t="s">
        <v>355</v>
      </c>
      <c r="D175" s="3" t="s">
        <v>9</v>
      </c>
      <c r="E175" s="3"/>
      <c r="F175" s="3" t="s">
        <v>11</v>
      </c>
      <c r="G175" s="4">
        <v>208.4</v>
      </c>
    </row>
    <row r="176" spans="2:7">
      <c r="B176" s="3" t="s">
        <v>356</v>
      </c>
      <c r="C176" s="3" t="s">
        <v>357</v>
      </c>
      <c r="D176" s="3" t="s">
        <v>9</v>
      </c>
      <c r="E176" s="3"/>
      <c r="F176" s="3" t="s">
        <v>11</v>
      </c>
      <c r="G176" s="4">
        <v>199.6</v>
      </c>
    </row>
    <row r="177" spans="2:7">
      <c r="B177" s="3" t="s">
        <v>358</v>
      </c>
      <c r="C177" s="3" t="s">
        <v>359</v>
      </c>
      <c r="D177" s="3" t="s">
        <v>9</v>
      </c>
      <c r="E177" s="3"/>
      <c r="F177" s="3" t="s">
        <v>11</v>
      </c>
      <c r="G177" s="4">
        <v>191.41</v>
      </c>
    </row>
    <row r="178" spans="2:7">
      <c r="B178" s="3" t="s">
        <v>360</v>
      </c>
      <c r="C178" s="3" t="s">
        <v>361</v>
      </c>
      <c r="D178" s="3" t="s">
        <v>9</v>
      </c>
      <c r="E178" s="3"/>
      <c r="F178" s="3" t="s">
        <v>11</v>
      </c>
      <c r="G178" s="4">
        <v>174.95</v>
      </c>
    </row>
    <row r="179" spans="2:7">
      <c r="B179" s="3" t="s">
        <v>362</v>
      </c>
      <c r="C179" s="3" t="s">
        <v>363</v>
      </c>
      <c r="D179" s="3" t="s">
        <v>9</v>
      </c>
      <c r="E179" s="3"/>
      <c r="F179" s="3" t="s">
        <v>11</v>
      </c>
      <c r="G179" s="4">
        <v>173.44</v>
      </c>
    </row>
    <row r="180" spans="2:7">
      <c r="B180" s="3" t="s">
        <v>364</v>
      </c>
      <c r="C180" s="3" t="s">
        <v>365</v>
      </c>
      <c r="D180" s="3" t="s">
        <v>9</v>
      </c>
      <c r="E180" s="3"/>
      <c r="F180" s="3" t="s">
        <v>343</v>
      </c>
      <c r="G180" s="4">
        <v>164.99</v>
      </c>
    </row>
    <row r="181" spans="2:7">
      <c r="B181" s="3" t="s">
        <v>366</v>
      </c>
      <c r="C181" s="3" t="s">
        <v>367</v>
      </c>
      <c r="D181" s="3" t="s">
        <v>9</v>
      </c>
      <c r="E181" s="3"/>
      <c r="F181" s="3" t="s">
        <v>11</v>
      </c>
      <c r="G181" s="4">
        <v>163.25</v>
      </c>
    </row>
    <row r="182" spans="2:7">
      <c r="B182" s="3" t="s">
        <v>368</v>
      </c>
      <c r="C182" s="3" t="s">
        <v>369</v>
      </c>
      <c r="D182" s="3" t="s">
        <v>9</v>
      </c>
      <c r="E182" s="3"/>
      <c r="F182" s="3" t="s">
        <v>11</v>
      </c>
      <c r="G182" s="4">
        <v>158.13999999999999</v>
      </c>
    </row>
    <row r="183" spans="2:7">
      <c r="B183" s="3" t="s">
        <v>370</v>
      </c>
      <c r="C183" s="3" t="s">
        <v>371</v>
      </c>
      <c r="D183" s="3" t="s">
        <v>9</v>
      </c>
      <c r="E183" s="3"/>
      <c r="F183" s="3" t="s">
        <v>11</v>
      </c>
      <c r="G183" s="4">
        <v>150.81</v>
      </c>
    </row>
    <row r="184" spans="2:7">
      <c r="B184" s="3" t="s">
        <v>372</v>
      </c>
      <c r="C184" s="3" t="s">
        <v>373</v>
      </c>
      <c r="D184" s="3" t="s">
        <v>9</v>
      </c>
      <c r="E184" s="3"/>
      <c r="F184" s="3" t="s">
        <v>11</v>
      </c>
      <c r="G184" s="4">
        <v>148.27000000000001</v>
      </c>
    </row>
    <row r="185" spans="2:7">
      <c r="B185" s="3" t="s">
        <v>374</v>
      </c>
      <c r="C185" s="3" t="s">
        <v>375</v>
      </c>
      <c r="D185" s="3" t="s">
        <v>9</v>
      </c>
      <c r="E185" s="3"/>
      <c r="F185" s="3" t="s">
        <v>11</v>
      </c>
      <c r="G185" s="4">
        <v>139.85</v>
      </c>
    </row>
    <row r="186" spans="2:7">
      <c r="B186" s="3" t="s">
        <v>376</v>
      </c>
      <c r="C186" s="3" t="s">
        <v>377</v>
      </c>
      <c r="D186" s="3" t="s">
        <v>9</v>
      </c>
      <c r="E186" s="3"/>
      <c r="F186" s="3" t="s">
        <v>11</v>
      </c>
      <c r="G186" s="4">
        <v>138.25</v>
      </c>
    </row>
    <row r="187" spans="2:7">
      <c r="B187" s="3" t="s">
        <v>378</v>
      </c>
      <c r="C187" s="3" t="s">
        <v>379</v>
      </c>
      <c r="D187" s="3" t="s">
        <v>9</v>
      </c>
      <c r="E187" s="3"/>
      <c r="F187" s="3" t="s">
        <v>11</v>
      </c>
      <c r="G187" s="4">
        <v>138.18</v>
      </c>
    </row>
    <row r="188" spans="2:7">
      <c r="B188" s="3" t="s">
        <v>380</v>
      </c>
      <c r="C188" s="3" t="s">
        <v>381</v>
      </c>
      <c r="D188" s="3" t="s">
        <v>9</v>
      </c>
      <c r="E188" s="3"/>
      <c r="F188" s="3" t="s">
        <v>11</v>
      </c>
      <c r="G188" s="4">
        <v>128.9</v>
      </c>
    </row>
    <row r="189" spans="2:7">
      <c r="B189" s="3" t="s">
        <v>382</v>
      </c>
      <c r="C189" s="3" t="s">
        <v>383</v>
      </c>
      <c r="D189" s="3" t="s">
        <v>9</v>
      </c>
      <c r="E189" s="3"/>
      <c r="F189" s="3" t="s">
        <v>11</v>
      </c>
      <c r="G189" s="4">
        <v>128.43</v>
      </c>
    </row>
    <row r="190" spans="2:7">
      <c r="B190" s="3" t="s">
        <v>384</v>
      </c>
      <c r="C190" s="3" t="s">
        <v>385</v>
      </c>
      <c r="D190" s="3" t="s">
        <v>9</v>
      </c>
      <c r="E190" s="3"/>
      <c r="F190" s="3" t="s">
        <v>11</v>
      </c>
      <c r="G190" s="4">
        <v>127.23</v>
      </c>
    </row>
    <row r="191" spans="2:7">
      <c r="B191" s="3" t="s">
        <v>386</v>
      </c>
      <c r="C191" s="3" t="s">
        <v>387</v>
      </c>
      <c r="D191" s="3" t="s">
        <v>9</v>
      </c>
      <c r="E191" s="3"/>
      <c r="F191" s="3" t="s">
        <v>11</v>
      </c>
      <c r="G191" s="4">
        <v>123.62</v>
      </c>
    </row>
    <row r="192" spans="2:7">
      <c r="B192" s="3" t="s">
        <v>388</v>
      </c>
      <c r="C192" s="3" t="s">
        <v>389</v>
      </c>
      <c r="D192" s="3" t="s">
        <v>9</v>
      </c>
      <c r="E192" s="3"/>
      <c r="F192" s="3" t="s">
        <v>11</v>
      </c>
      <c r="G192" s="4">
        <v>118.95</v>
      </c>
    </row>
    <row r="193" spans="2:7">
      <c r="B193" s="3" t="s">
        <v>390</v>
      </c>
      <c r="C193" s="3" t="s">
        <v>391</v>
      </c>
      <c r="D193" s="3" t="s">
        <v>9</v>
      </c>
      <c r="E193" s="3"/>
      <c r="F193" s="3" t="s">
        <v>11</v>
      </c>
      <c r="G193" s="4">
        <v>115.73</v>
      </c>
    </row>
    <row r="194" spans="2:7">
      <c r="B194" s="3" t="s">
        <v>392</v>
      </c>
      <c r="C194" s="3" t="s">
        <v>393</v>
      </c>
      <c r="D194" s="3" t="s">
        <v>9</v>
      </c>
      <c r="E194" s="3"/>
      <c r="F194" s="3" t="s">
        <v>11</v>
      </c>
      <c r="G194" s="4">
        <v>103.51</v>
      </c>
    </row>
    <row r="195" spans="2:7">
      <c r="B195" s="3" t="s">
        <v>394</v>
      </c>
      <c r="C195" s="3" t="s">
        <v>395</v>
      </c>
      <c r="D195" s="3" t="s">
        <v>9</v>
      </c>
      <c r="E195" s="3"/>
      <c r="F195" s="3" t="s">
        <v>11</v>
      </c>
      <c r="G195" s="4">
        <v>99.31</v>
      </c>
    </row>
    <row r="196" spans="2:7">
      <c r="B196" s="3" t="s">
        <v>396</v>
      </c>
      <c r="C196" s="3" t="s">
        <v>397</v>
      </c>
      <c r="D196" s="3" t="s">
        <v>9</v>
      </c>
      <c r="E196" s="3"/>
      <c r="F196" s="3" t="s">
        <v>11</v>
      </c>
      <c r="G196" s="4">
        <v>94.94</v>
      </c>
    </row>
    <row r="197" spans="2:7">
      <c r="B197" s="3" t="s">
        <v>398</v>
      </c>
      <c r="C197" s="3" t="s">
        <v>399</v>
      </c>
      <c r="D197" s="3" t="s">
        <v>9</v>
      </c>
      <c r="E197" s="3"/>
      <c r="F197" s="3" t="s">
        <v>11</v>
      </c>
      <c r="G197" s="4">
        <v>92.77</v>
      </c>
    </row>
    <row r="198" spans="2:7">
      <c r="B198" s="3" t="s">
        <v>400</v>
      </c>
      <c r="C198" s="3" t="s">
        <v>401</v>
      </c>
      <c r="D198" s="3" t="s">
        <v>9</v>
      </c>
      <c r="E198" s="3"/>
      <c r="F198" s="3" t="s">
        <v>11</v>
      </c>
      <c r="G198" s="4">
        <v>92.59</v>
      </c>
    </row>
    <row r="199" spans="2:7">
      <c r="B199" s="3" t="s">
        <v>402</v>
      </c>
      <c r="C199" s="3" t="s">
        <v>403</v>
      </c>
      <c r="D199" s="3" t="s">
        <v>9</v>
      </c>
      <c r="E199" s="3"/>
      <c r="F199" s="3" t="s">
        <v>11</v>
      </c>
      <c r="G199" s="4">
        <v>90.49</v>
      </c>
    </row>
    <row r="200" spans="2:7">
      <c r="B200" s="3" t="s">
        <v>404</v>
      </c>
      <c r="C200" s="3" t="s">
        <v>405</v>
      </c>
      <c r="D200" s="3" t="s">
        <v>9</v>
      </c>
      <c r="E200" s="3"/>
      <c r="F200" s="3" t="s">
        <v>11</v>
      </c>
      <c r="G200" s="4">
        <v>90</v>
      </c>
    </row>
    <row r="201" spans="2:7">
      <c r="B201" s="3" t="s">
        <v>406</v>
      </c>
      <c r="C201" s="3" t="s">
        <v>407</v>
      </c>
      <c r="D201" s="3" t="s">
        <v>9</v>
      </c>
      <c r="E201" s="3"/>
      <c r="F201" s="3" t="s">
        <v>11</v>
      </c>
      <c r="G201" s="4">
        <v>89.7</v>
      </c>
    </row>
    <row r="202" spans="2:7">
      <c r="B202" s="3" t="s">
        <v>408</v>
      </c>
      <c r="C202" s="3" t="s">
        <v>409</v>
      </c>
      <c r="D202" s="3" t="s">
        <v>9</v>
      </c>
      <c r="E202" s="3"/>
      <c r="F202" s="3" t="s">
        <v>11</v>
      </c>
      <c r="G202" s="4">
        <v>86.31</v>
      </c>
    </row>
    <row r="203" spans="2:7">
      <c r="B203" s="3" t="s">
        <v>410</v>
      </c>
      <c r="C203" s="3" t="s">
        <v>411</v>
      </c>
      <c r="D203" s="3" t="s">
        <v>9</v>
      </c>
      <c r="E203" s="3"/>
      <c r="F203" s="3" t="s">
        <v>11</v>
      </c>
      <c r="G203" s="4">
        <v>85.86</v>
      </c>
    </row>
    <row r="204" spans="2:7">
      <c r="B204" s="3" t="s">
        <v>412</v>
      </c>
      <c r="C204" s="3" t="s">
        <v>413</v>
      </c>
      <c r="D204" s="3" t="s">
        <v>9</v>
      </c>
      <c r="E204" s="3"/>
      <c r="F204" s="3" t="s">
        <v>11</v>
      </c>
      <c r="G204" s="4">
        <v>85.8</v>
      </c>
    </row>
    <row r="205" spans="2:7">
      <c r="B205" s="3" t="s">
        <v>414</v>
      </c>
      <c r="C205" s="3" t="s">
        <v>415</v>
      </c>
      <c r="D205" s="3" t="s">
        <v>9</v>
      </c>
      <c r="E205" s="3"/>
      <c r="F205" s="3" t="s">
        <v>11</v>
      </c>
      <c r="G205" s="4">
        <v>79.22</v>
      </c>
    </row>
    <row r="206" spans="2:7">
      <c r="B206" s="3" t="s">
        <v>416</v>
      </c>
      <c r="C206" s="3" t="s">
        <v>417</v>
      </c>
      <c r="D206" s="3" t="s">
        <v>9</v>
      </c>
      <c r="E206" s="3"/>
      <c r="F206" s="3" t="s">
        <v>11</v>
      </c>
      <c r="G206" s="4">
        <v>74.67</v>
      </c>
    </row>
    <row r="207" spans="2:7">
      <c r="B207" s="3" t="s">
        <v>418</v>
      </c>
      <c r="C207" s="3" t="s">
        <v>419</v>
      </c>
      <c r="D207" s="3" t="s">
        <v>9</v>
      </c>
      <c r="E207" s="3"/>
      <c r="F207" s="3" t="s">
        <v>11</v>
      </c>
      <c r="G207" s="4">
        <v>71.14</v>
      </c>
    </row>
    <row r="208" spans="2:7">
      <c r="B208" s="3" t="s">
        <v>420</v>
      </c>
      <c r="C208" s="3" t="s">
        <v>421</v>
      </c>
      <c r="D208" s="3" t="s">
        <v>9</v>
      </c>
      <c r="E208" s="3"/>
      <c r="F208" s="3" t="s">
        <v>11</v>
      </c>
      <c r="G208" s="4">
        <v>69.760000000000005</v>
      </c>
    </row>
    <row r="209" spans="2:7">
      <c r="B209" s="3" t="s">
        <v>422</v>
      </c>
      <c r="C209" s="3" t="s">
        <v>423</v>
      </c>
      <c r="D209" s="3" t="s">
        <v>9</v>
      </c>
      <c r="E209" s="3"/>
      <c r="F209" s="3" t="s">
        <v>11</v>
      </c>
      <c r="G209" s="4">
        <v>67.31</v>
      </c>
    </row>
    <row r="210" spans="2:7">
      <c r="B210" s="3" t="s">
        <v>424</v>
      </c>
      <c r="C210" s="3" t="s">
        <v>425</v>
      </c>
      <c r="D210" s="3" t="s">
        <v>9</v>
      </c>
      <c r="E210" s="3"/>
      <c r="F210" s="3" t="s">
        <v>11</v>
      </c>
      <c r="G210" s="4">
        <v>67.11</v>
      </c>
    </row>
    <row r="211" spans="2:7">
      <c r="B211" s="3" t="s">
        <v>426</v>
      </c>
      <c r="C211" s="3" t="s">
        <v>427</v>
      </c>
      <c r="D211" s="3" t="s">
        <v>9</v>
      </c>
      <c r="E211" s="3"/>
      <c r="F211" s="3" t="s">
        <v>11</v>
      </c>
      <c r="G211" s="4">
        <v>63.05</v>
      </c>
    </row>
    <row r="212" spans="2:7">
      <c r="B212" s="3" t="s">
        <v>428</v>
      </c>
      <c r="C212" s="3" t="s">
        <v>429</v>
      </c>
      <c r="D212" s="3" t="s">
        <v>9</v>
      </c>
      <c r="E212" s="3"/>
      <c r="F212" s="3" t="s">
        <v>11</v>
      </c>
      <c r="G212" s="4">
        <v>62.07</v>
      </c>
    </row>
    <row r="213" spans="2:7">
      <c r="B213" s="3" t="s">
        <v>430</v>
      </c>
      <c r="C213" s="3" t="s">
        <v>431</v>
      </c>
      <c r="D213" s="3" t="s">
        <v>9</v>
      </c>
      <c r="E213" s="3"/>
      <c r="F213" s="3" t="s">
        <v>11</v>
      </c>
      <c r="G213" s="4">
        <v>61.25</v>
      </c>
    </row>
    <row r="214" spans="2:7">
      <c r="B214" s="3" t="s">
        <v>432</v>
      </c>
      <c r="C214" s="3" t="s">
        <v>433</v>
      </c>
      <c r="D214" s="3" t="s">
        <v>9</v>
      </c>
      <c r="E214" s="3"/>
      <c r="F214" s="3" t="s">
        <v>11</v>
      </c>
      <c r="G214" s="4">
        <v>60.75</v>
      </c>
    </row>
    <row r="215" spans="2:7">
      <c r="B215" s="3" t="s">
        <v>434</v>
      </c>
      <c r="C215" s="3" t="s">
        <v>435</v>
      </c>
      <c r="D215" s="3" t="s">
        <v>9</v>
      </c>
      <c r="E215" s="3"/>
      <c r="F215" s="3" t="s">
        <v>11</v>
      </c>
      <c r="G215" s="4">
        <v>60.74</v>
      </c>
    </row>
    <row r="216" spans="2:7">
      <c r="B216" s="3" t="s">
        <v>436</v>
      </c>
      <c r="C216" s="3" t="s">
        <v>437</v>
      </c>
      <c r="D216" s="3" t="s">
        <v>9</v>
      </c>
      <c r="E216" s="3"/>
      <c r="F216" s="3" t="s">
        <v>11</v>
      </c>
      <c r="G216" s="4">
        <v>60.41</v>
      </c>
    </row>
    <row r="217" spans="2:7">
      <c r="B217" s="3" t="s">
        <v>438</v>
      </c>
      <c r="C217" s="3" t="s">
        <v>439</v>
      </c>
      <c r="D217" s="3" t="s">
        <v>9</v>
      </c>
      <c r="E217" s="3"/>
      <c r="F217" s="3" t="s">
        <v>11</v>
      </c>
      <c r="G217" s="4">
        <v>60.22</v>
      </c>
    </row>
    <row r="218" spans="2:7">
      <c r="B218" s="3" t="s">
        <v>440</v>
      </c>
      <c r="C218" s="3" t="s">
        <v>441</v>
      </c>
      <c r="D218" s="3" t="s">
        <v>9</v>
      </c>
      <c r="E218" s="3"/>
      <c r="F218" s="3" t="s">
        <v>11</v>
      </c>
      <c r="G218" s="4">
        <v>59.88</v>
      </c>
    </row>
    <row r="219" spans="2:7">
      <c r="B219" s="3" t="s">
        <v>442</v>
      </c>
      <c r="C219" s="3" t="s">
        <v>443</v>
      </c>
      <c r="D219" s="3" t="s">
        <v>9</v>
      </c>
      <c r="E219" s="3"/>
      <c r="F219" s="3" t="s">
        <v>11</v>
      </c>
      <c r="G219" s="4">
        <v>59.83</v>
      </c>
    </row>
    <row r="220" spans="2:7">
      <c r="B220" s="3" t="s">
        <v>444</v>
      </c>
      <c r="C220" s="3" t="s">
        <v>445</v>
      </c>
      <c r="D220" s="3" t="s">
        <v>9</v>
      </c>
      <c r="E220" s="3"/>
      <c r="F220" s="3" t="s">
        <v>11</v>
      </c>
      <c r="G220" s="4">
        <v>59.21</v>
      </c>
    </row>
    <row r="221" spans="2:7">
      <c r="B221" s="3" t="s">
        <v>446</v>
      </c>
      <c r="C221" s="3" t="s">
        <v>447</v>
      </c>
      <c r="D221" s="3" t="s">
        <v>9</v>
      </c>
      <c r="E221" s="3"/>
      <c r="F221" s="3" t="s">
        <v>11</v>
      </c>
      <c r="G221" s="4">
        <v>58.62</v>
      </c>
    </row>
    <row r="222" spans="2:7">
      <c r="B222" s="3" t="s">
        <v>448</v>
      </c>
      <c r="C222" s="3" t="s">
        <v>449</v>
      </c>
      <c r="D222" s="3" t="s">
        <v>9</v>
      </c>
      <c r="E222" s="3"/>
      <c r="F222" s="3" t="s">
        <v>11</v>
      </c>
      <c r="G222" s="4">
        <v>58.55</v>
      </c>
    </row>
    <row r="223" spans="2:7">
      <c r="B223" s="3" t="s">
        <v>450</v>
      </c>
      <c r="C223" s="3" t="s">
        <v>451</v>
      </c>
      <c r="D223" s="3" t="s">
        <v>9</v>
      </c>
      <c r="E223" s="3"/>
      <c r="F223" s="3" t="s">
        <v>11</v>
      </c>
      <c r="G223" s="4">
        <v>58.11</v>
      </c>
    </row>
    <row r="224" spans="2:7">
      <c r="B224" s="3" t="s">
        <v>452</v>
      </c>
      <c r="C224" s="3" t="s">
        <v>453</v>
      </c>
      <c r="D224" s="3" t="s">
        <v>9</v>
      </c>
      <c r="E224" s="3"/>
      <c r="F224" s="3" t="s">
        <v>11</v>
      </c>
      <c r="G224" s="4">
        <v>57.45</v>
      </c>
    </row>
    <row r="225" spans="2:7">
      <c r="B225" s="3" t="s">
        <v>454</v>
      </c>
      <c r="C225" s="3" t="s">
        <v>455</v>
      </c>
      <c r="D225" s="3" t="s">
        <v>9</v>
      </c>
      <c r="E225" s="3"/>
      <c r="F225" s="3" t="s">
        <v>11</v>
      </c>
      <c r="G225" s="4">
        <v>56.71</v>
      </c>
    </row>
    <row r="226" spans="2:7">
      <c r="B226" s="3" t="s">
        <v>456</v>
      </c>
      <c r="C226" s="3" t="s">
        <v>457</v>
      </c>
      <c r="D226" s="3" t="s">
        <v>9</v>
      </c>
      <c r="E226" s="3"/>
      <c r="F226" s="3" t="s">
        <v>11</v>
      </c>
      <c r="G226" s="4">
        <v>54.14</v>
      </c>
    </row>
    <row r="227" spans="2:7">
      <c r="B227" s="3" t="s">
        <v>458</v>
      </c>
      <c r="C227" s="3" t="s">
        <v>459</v>
      </c>
      <c r="D227" s="3" t="s">
        <v>9</v>
      </c>
      <c r="E227" s="3"/>
      <c r="F227" s="3" t="s">
        <v>11</v>
      </c>
      <c r="G227" s="4">
        <v>52.93</v>
      </c>
    </row>
    <row r="228" spans="2:7">
      <c r="B228" s="3" t="s">
        <v>460</v>
      </c>
      <c r="C228" s="3" t="s">
        <v>461</v>
      </c>
      <c r="D228" s="3" t="s">
        <v>9</v>
      </c>
      <c r="E228" s="3"/>
      <c r="F228" s="3" t="s">
        <v>11</v>
      </c>
      <c r="G228" s="4">
        <v>52.82</v>
      </c>
    </row>
    <row r="229" spans="2:7">
      <c r="B229" s="3" t="s">
        <v>462</v>
      </c>
      <c r="C229" s="3" t="s">
        <v>463</v>
      </c>
      <c r="D229" s="3" t="s">
        <v>9</v>
      </c>
      <c r="E229" s="3"/>
      <c r="F229" s="3" t="s">
        <v>11</v>
      </c>
      <c r="G229" s="4">
        <v>51.76</v>
      </c>
    </row>
    <row r="230" spans="2:7">
      <c r="B230" s="3" t="s">
        <v>464</v>
      </c>
      <c r="C230" s="3" t="s">
        <v>465</v>
      </c>
      <c r="D230" s="3" t="s">
        <v>9</v>
      </c>
      <c r="E230" s="3"/>
      <c r="F230" s="3" t="s">
        <v>11</v>
      </c>
      <c r="G230" s="4">
        <v>50.65</v>
      </c>
    </row>
    <row r="231" spans="2:7">
      <c r="B231" s="3" t="s">
        <v>466</v>
      </c>
      <c r="C231" s="3" t="s">
        <v>467</v>
      </c>
      <c r="D231" s="3" t="s">
        <v>9</v>
      </c>
      <c r="E231" s="3"/>
      <c r="F231" s="3" t="s">
        <v>11</v>
      </c>
      <c r="G231" s="4">
        <v>50.03</v>
      </c>
    </row>
    <row r="232" spans="2:7">
      <c r="B232" s="3" t="s">
        <v>468</v>
      </c>
      <c r="C232" s="3" t="s">
        <v>469</v>
      </c>
      <c r="D232" s="3" t="s">
        <v>9</v>
      </c>
      <c r="E232" s="3"/>
      <c r="F232" s="3" t="s">
        <v>11</v>
      </c>
      <c r="G232" s="4">
        <v>49.94</v>
      </c>
    </row>
    <row r="233" spans="2:7">
      <c r="B233" s="3" t="s">
        <v>470</v>
      </c>
      <c r="C233" s="3" t="s">
        <v>471</v>
      </c>
      <c r="D233" s="3" t="s">
        <v>9</v>
      </c>
      <c r="E233" s="3"/>
      <c r="F233" s="3" t="s">
        <v>11</v>
      </c>
      <c r="G233" s="4">
        <v>48.19</v>
      </c>
    </row>
    <row r="234" spans="2:7">
      <c r="B234" s="3" t="s">
        <v>472</v>
      </c>
      <c r="C234" s="3" t="s">
        <v>473</v>
      </c>
      <c r="D234" s="3" t="s">
        <v>9</v>
      </c>
      <c r="E234" s="3"/>
      <c r="F234" s="3" t="s">
        <v>11</v>
      </c>
      <c r="G234" s="4">
        <v>46.01</v>
      </c>
    </row>
    <row r="235" spans="2:7">
      <c r="B235" s="3" t="s">
        <v>474</v>
      </c>
      <c r="C235" s="3" t="s">
        <v>475</v>
      </c>
      <c r="D235" s="3" t="s">
        <v>9</v>
      </c>
      <c r="E235" s="3"/>
      <c r="F235" s="3" t="s">
        <v>11</v>
      </c>
      <c r="G235" s="4">
        <v>43.86</v>
      </c>
    </row>
    <row r="236" spans="2:7">
      <c r="B236" s="3" t="s">
        <v>476</v>
      </c>
      <c r="C236" s="3" t="s">
        <v>477</v>
      </c>
      <c r="D236" s="3" t="s">
        <v>9</v>
      </c>
      <c r="E236" s="3"/>
      <c r="F236" s="3" t="s">
        <v>11</v>
      </c>
      <c r="G236" s="4">
        <v>41.3</v>
      </c>
    </row>
    <row r="237" spans="2:7">
      <c r="B237" s="3" t="s">
        <v>478</v>
      </c>
      <c r="C237" s="3" t="s">
        <v>479</v>
      </c>
      <c r="D237" s="3" t="s">
        <v>9</v>
      </c>
      <c r="E237" s="3"/>
      <c r="F237" s="3" t="s">
        <v>11</v>
      </c>
      <c r="G237" s="4">
        <v>40.56</v>
      </c>
    </row>
    <row r="238" spans="2:7">
      <c r="B238" s="3" t="s">
        <v>480</v>
      </c>
      <c r="C238" s="3" t="s">
        <v>481</v>
      </c>
      <c r="D238" s="3" t="s">
        <v>9</v>
      </c>
      <c r="E238" s="3"/>
      <c r="F238" s="3" t="s">
        <v>11</v>
      </c>
      <c r="G238" s="4">
        <v>37.61</v>
      </c>
    </row>
    <row r="239" spans="2:7">
      <c r="B239" s="3" t="s">
        <v>482</v>
      </c>
      <c r="C239" s="3" t="s">
        <v>483</v>
      </c>
      <c r="D239" s="3" t="s">
        <v>9</v>
      </c>
      <c r="E239" s="3"/>
      <c r="F239" s="3" t="s">
        <v>11</v>
      </c>
      <c r="G239" s="4">
        <v>36.869999999999997</v>
      </c>
    </row>
    <row r="240" spans="2:7">
      <c r="B240" s="3" t="s">
        <v>484</v>
      </c>
      <c r="C240" s="3" t="s">
        <v>485</v>
      </c>
      <c r="D240" s="3" t="s">
        <v>9</v>
      </c>
      <c r="E240" s="3"/>
      <c r="F240" s="3" t="s">
        <v>11</v>
      </c>
      <c r="G240" s="4">
        <v>31.8</v>
      </c>
    </row>
    <row r="241" spans="2:7">
      <c r="B241" s="3" t="s">
        <v>486</v>
      </c>
      <c r="C241" s="3" t="s">
        <v>487</v>
      </c>
      <c r="D241" s="3" t="s">
        <v>9</v>
      </c>
      <c r="E241" s="3"/>
      <c r="F241" s="3" t="s">
        <v>11</v>
      </c>
      <c r="G241" s="4">
        <v>31.49</v>
      </c>
    </row>
    <row r="242" spans="2:7">
      <c r="B242" s="3" t="s">
        <v>488</v>
      </c>
      <c r="C242" s="3" t="s">
        <v>489</v>
      </c>
      <c r="D242" s="3" t="s">
        <v>9</v>
      </c>
      <c r="E242" s="3"/>
      <c r="F242" s="3" t="s">
        <v>11</v>
      </c>
      <c r="G242" s="4">
        <v>28.57</v>
      </c>
    </row>
    <row r="243" spans="2:7">
      <c r="B243" s="3" t="s">
        <v>490</v>
      </c>
      <c r="C243" s="3" t="s">
        <v>491</v>
      </c>
      <c r="D243" s="3" t="s">
        <v>9</v>
      </c>
      <c r="E243" s="3"/>
      <c r="F243" s="3" t="s">
        <v>11</v>
      </c>
      <c r="G243" s="4">
        <v>28.48</v>
      </c>
    </row>
    <row r="244" spans="2:7">
      <c r="B244" s="3" t="s">
        <v>492</v>
      </c>
      <c r="C244" s="3" t="s">
        <v>493</v>
      </c>
      <c r="D244" s="3" t="s">
        <v>9</v>
      </c>
      <c r="E244" s="3"/>
      <c r="F244" s="3" t="s">
        <v>11</v>
      </c>
      <c r="G244" s="4">
        <v>27.99</v>
      </c>
    </row>
    <row r="245" spans="2:7">
      <c r="B245" s="3" t="s">
        <v>494</v>
      </c>
      <c r="C245" s="3" t="s">
        <v>495</v>
      </c>
      <c r="D245" s="3" t="s">
        <v>9</v>
      </c>
      <c r="E245" s="3"/>
      <c r="F245" s="3" t="s">
        <v>11</v>
      </c>
      <c r="G245" s="4">
        <v>27.53</v>
      </c>
    </row>
    <row r="246" spans="2:7">
      <c r="B246" s="3" t="s">
        <v>496</v>
      </c>
      <c r="C246" s="3" t="s">
        <v>497</v>
      </c>
      <c r="D246" s="3" t="s">
        <v>9</v>
      </c>
      <c r="E246" s="3"/>
      <c r="F246" s="3" t="s">
        <v>11</v>
      </c>
      <c r="G246" s="4">
        <v>25.98</v>
      </c>
    </row>
    <row r="247" spans="2:7">
      <c r="B247" s="3" t="s">
        <v>498</v>
      </c>
      <c r="C247" s="3" t="s">
        <v>499</v>
      </c>
      <c r="D247" s="3" t="s">
        <v>9</v>
      </c>
      <c r="E247" s="3"/>
      <c r="F247" s="3" t="s">
        <v>11</v>
      </c>
      <c r="G247" s="4">
        <v>20.78</v>
      </c>
    </row>
    <row r="248" spans="2:7">
      <c r="B248" s="3" t="s">
        <v>500</v>
      </c>
      <c r="C248" s="3" t="s">
        <v>501</v>
      </c>
      <c r="D248" s="3" t="s">
        <v>9</v>
      </c>
      <c r="E248" s="3"/>
      <c r="F248" s="3" t="s">
        <v>11</v>
      </c>
      <c r="G248" s="4">
        <v>19.52</v>
      </c>
    </row>
    <row r="249" spans="2:7">
      <c r="B249" s="3" t="s">
        <v>502</v>
      </c>
      <c r="C249" s="3" t="s">
        <v>503</v>
      </c>
      <c r="D249" s="3" t="s">
        <v>9</v>
      </c>
      <c r="E249" s="3"/>
      <c r="F249" s="3" t="s">
        <v>11</v>
      </c>
      <c r="G249" s="4">
        <v>17.2</v>
      </c>
    </row>
    <row r="250" spans="2:7">
      <c r="B250" s="3" t="s">
        <v>504</v>
      </c>
      <c r="C250" s="3" t="s">
        <v>505</v>
      </c>
      <c r="D250" s="3" t="s">
        <v>9</v>
      </c>
      <c r="E250" s="3"/>
      <c r="F250" s="3" t="s">
        <v>11</v>
      </c>
      <c r="G250" s="4">
        <v>16.87</v>
      </c>
    </row>
    <row r="251" spans="2:7">
      <c r="B251" s="3" t="s">
        <v>506</v>
      </c>
      <c r="C251" s="3" t="s">
        <v>507</v>
      </c>
      <c r="D251" s="3" t="s">
        <v>9</v>
      </c>
      <c r="E251" s="3"/>
      <c r="F251" s="3" t="s">
        <v>11</v>
      </c>
      <c r="G251" s="4">
        <v>16.52</v>
      </c>
    </row>
    <row r="252" spans="2:7">
      <c r="B252" s="3" t="s">
        <v>508</v>
      </c>
      <c r="C252" s="3" t="s">
        <v>509</v>
      </c>
      <c r="D252" s="3" t="s">
        <v>9</v>
      </c>
      <c r="E252" s="3"/>
      <c r="F252" s="3" t="s">
        <v>254</v>
      </c>
      <c r="G252" s="4">
        <v>15.13</v>
      </c>
    </row>
    <row r="253" spans="2:7">
      <c r="B253" s="3" t="s">
        <v>510</v>
      </c>
      <c r="C253" s="3" t="s">
        <v>511</v>
      </c>
      <c r="D253" s="3" t="s">
        <v>9</v>
      </c>
      <c r="E253" s="3"/>
      <c r="F253" s="3" t="s">
        <v>11</v>
      </c>
      <c r="G253" s="4">
        <v>15.07</v>
      </c>
    </row>
    <row r="254" spans="2:7">
      <c r="B254" s="3" t="s">
        <v>512</v>
      </c>
      <c r="C254" s="3" t="s">
        <v>513</v>
      </c>
      <c r="D254" s="3" t="s">
        <v>9</v>
      </c>
      <c r="E254" s="3"/>
      <c r="F254" s="3" t="s">
        <v>11</v>
      </c>
      <c r="G254" s="4">
        <v>14.95</v>
      </c>
    </row>
    <row r="255" spans="2:7">
      <c r="B255" s="3" t="s">
        <v>514</v>
      </c>
      <c r="C255" s="3" t="s">
        <v>515</v>
      </c>
      <c r="D255" s="3" t="s">
        <v>9</v>
      </c>
      <c r="E255" s="3"/>
      <c r="F255" s="3" t="s">
        <v>11</v>
      </c>
      <c r="G255" s="4">
        <v>13.62</v>
      </c>
    </row>
    <row r="256" spans="2:7">
      <c r="B256" s="3" t="s">
        <v>516</v>
      </c>
      <c r="C256" s="3" t="s">
        <v>517</v>
      </c>
      <c r="D256" s="3" t="s">
        <v>9</v>
      </c>
      <c r="E256" s="3"/>
      <c r="F256" s="3" t="s">
        <v>11</v>
      </c>
      <c r="G256" s="4">
        <v>12.98</v>
      </c>
    </row>
    <row r="257" spans="2:7">
      <c r="B257" s="3" t="s">
        <v>518</v>
      </c>
      <c r="C257" s="3" t="s">
        <v>519</v>
      </c>
      <c r="D257" s="3" t="s">
        <v>9</v>
      </c>
      <c r="E257" s="3"/>
      <c r="F257" s="3" t="s">
        <v>254</v>
      </c>
      <c r="G257" s="4">
        <v>12.87</v>
      </c>
    </row>
    <row r="258" spans="2:7">
      <c r="B258" s="3" t="s">
        <v>520</v>
      </c>
      <c r="C258" s="3" t="s">
        <v>521</v>
      </c>
      <c r="D258" s="3" t="s">
        <v>9</v>
      </c>
      <c r="E258" s="3"/>
      <c r="F258" s="3" t="s">
        <v>11</v>
      </c>
      <c r="G258" s="4">
        <v>12.2</v>
      </c>
    </row>
    <row r="259" spans="2:7">
      <c r="B259" s="3" t="s">
        <v>522</v>
      </c>
      <c r="C259" s="3" t="s">
        <v>523</v>
      </c>
      <c r="D259" s="3" t="s">
        <v>9</v>
      </c>
      <c r="E259" s="3"/>
      <c r="F259" s="3" t="s">
        <v>11</v>
      </c>
      <c r="G259" s="4">
        <v>12.02</v>
      </c>
    </row>
    <row r="260" spans="2:7">
      <c r="B260" s="3" t="s">
        <v>524</v>
      </c>
      <c r="C260" s="3" t="s">
        <v>525</v>
      </c>
      <c r="D260" s="3" t="s">
        <v>9</v>
      </c>
      <c r="E260" s="3"/>
      <c r="F260" s="3" t="s">
        <v>11</v>
      </c>
      <c r="G260" s="4">
        <v>11.92</v>
      </c>
    </row>
    <row r="261" spans="2:7">
      <c r="B261" s="3" t="s">
        <v>526</v>
      </c>
      <c r="C261" s="3" t="s">
        <v>527</v>
      </c>
      <c r="D261" s="3" t="s">
        <v>9</v>
      </c>
      <c r="E261" s="3"/>
      <c r="F261" s="3" t="s">
        <v>343</v>
      </c>
      <c r="G261" s="4">
        <v>11.63</v>
      </c>
    </row>
    <row r="262" spans="2:7">
      <c r="B262" s="3" t="s">
        <v>528</v>
      </c>
      <c r="C262" s="3" t="s">
        <v>529</v>
      </c>
      <c r="D262" s="3" t="s">
        <v>9</v>
      </c>
      <c r="E262" s="3"/>
      <c r="F262" s="3" t="s">
        <v>11</v>
      </c>
      <c r="G262" s="4">
        <v>9.82</v>
      </c>
    </row>
    <row r="263" spans="2:7">
      <c r="B263" s="3" t="s">
        <v>530</v>
      </c>
      <c r="C263" s="3" t="s">
        <v>531</v>
      </c>
      <c r="D263" s="3" t="s">
        <v>9</v>
      </c>
      <c r="E263" s="3"/>
      <c r="F263" s="3" t="s">
        <v>11</v>
      </c>
      <c r="G263" s="4">
        <v>6.8</v>
      </c>
    </row>
    <row r="264" spans="2:7">
      <c r="B264" s="3" t="s">
        <v>532</v>
      </c>
      <c r="C264" s="3" t="s">
        <v>533</v>
      </c>
      <c r="D264" s="3" t="s">
        <v>9</v>
      </c>
      <c r="E264" s="3"/>
      <c r="F264" s="3" t="s">
        <v>11</v>
      </c>
      <c r="G264" s="4">
        <v>6.56</v>
      </c>
    </row>
    <row r="265" spans="2:7">
      <c r="B265" s="3" t="s">
        <v>534</v>
      </c>
      <c r="C265" s="3" t="s">
        <v>535</v>
      </c>
      <c r="D265" s="3" t="s">
        <v>9</v>
      </c>
      <c r="E265" s="3"/>
      <c r="F265" s="3" t="s">
        <v>11</v>
      </c>
      <c r="G265" s="4">
        <v>6.23</v>
      </c>
    </row>
    <row r="266" spans="2:7">
      <c r="B266" s="3" t="s">
        <v>536</v>
      </c>
      <c r="C266" s="3" t="s">
        <v>537</v>
      </c>
      <c r="D266" s="3" t="s">
        <v>9</v>
      </c>
      <c r="E266" s="3"/>
      <c r="F266" s="3" t="s">
        <v>11</v>
      </c>
      <c r="G266" s="4">
        <v>5.48</v>
      </c>
    </row>
    <row r="267" spans="2:7">
      <c r="B267" s="3" t="s">
        <v>538</v>
      </c>
      <c r="C267" s="3" t="s">
        <v>539</v>
      </c>
      <c r="D267" s="3" t="s">
        <v>9</v>
      </c>
      <c r="E267" s="3"/>
      <c r="F267" s="3" t="s">
        <v>11</v>
      </c>
      <c r="G267" s="4">
        <v>4.67</v>
      </c>
    </row>
    <row r="268" spans="2:7">
      <c r="B268" s="3" t="s">
        <v>540</v>
      </c>
      <c r="C268" s="3" t="s">
        <v>541</v>
      </c>
      <c r="D268" s="3" t="s">
        <v>9</v>
      </c>
      <c r="E268" s="3"/>
      <c r="F268" s="3" t="s">
        <v>11</v>
      </c>
      <c r="G268" s="4">
        <v>4.63</v>
      </c>
    </row>
    <row r="269" spans="2:7">
      <c r="B269" s="3" t="s">
        <v>542</v>
      </c>
      <c r="C269" s="3" t="s">
        <v>543</v>
      </c>
      <c r="D269" s="3" t="s">
        <v>9</v>
      </c>
      <c r="E269" s="3"/>
      <c r="F269" s="3" t="s">
        <v>11</v>
      </c>
      <c r="G269" s="4">
        <v>4.4000000000000004</v>
      </c>
    </row>
    <row r="270" spans="2:7">
      <c r="B270" s="3" t="s">
        <v>544</v>
      </c>
      <c r="C270" s="3" t="s">
        <v>545</v>
      </c>
      <c r="D270" s="3" t="s">
        <v>9</v>
      </c>
      <c r="E270" s="3"/>
      <c r="F270" s="3" t="s">
        <v>11</v>
      </c>
      <c r="G270" s="4">
        <v>4.28</v>
      </c>
    </row>
    <row r="271" spans="2:7">
      <c r="B271" s="3" t="s">
        <v>546</v>
      </c>
      <c r="C271" s="3" t="s">
        <v>547</v>
      </c>
      <c r="D271" s="3" t="s">
        <v>9</v>
      </c>
      <c r="E271" s="3"/>
      <c r="F271" s="3" t="s">
        <v>343</v>
      </c>
      <c r="G271" s="4">
        <v>3.85</v>
      </c>
    </row>
    <row r="272" spans="2:7">
      <c r="B272" s="3" t="s">
        <v>548</v>
      </c>
      <c r="C272" s="3" t="s">
        <v>549</v>
      </c>
      <c r="D272" s="3" t="s">
        <v>9</v>
      </c>
      <c r="E272" s="3"/>
      <c r="F272" s="3" t="s">
        <v>11</v>
      </c>
      <c r="G272" s="4">
        <v>3.42</v>
      </c>
    </row>
    <row r="273" spans="2:7">
      <c r="B273" s="3" t="s">
        <v>550</v>
      </c>
      <c r="C273" s="3" t="s">
        <v>551</v>
      </c>
      <c r="D273" s="3" t="s">
        <v>9</v>
      </c>
      <c r="E273" s="3"/>
      <c r="F273" s="3" t="s">
        <v>254</v>
      </c>
      <c r="G273" s="4">
        <v>3.25</v>
      </c>
    </row>
    <row r="274" spans="2:7">
      <c r="B274" s="3" t="s">
        <v>552</v>
      </c>
      <c r="C274" s="3" t="s">
        <v>553</v>
      </c>
      <c r="D274" s="3" t="s">
        <v>9</v>
      </c>
      <c r="E274" s="3"/>
      <c r="F274" s="3" t="s">
        <v>11</v>
      </c>
      <c r="G274" s="4">
        <v>3.23</v>
      </c>
    </row>
    <row r="275" spans="2:7">
      <c r="B275" s="3" t="s">
        <v>554</v>
      </c>
      <c r="C275" s="3" t="s">
        <v>555</v>
      </c>
      <c r="D275" s="3" t="s">
        <v>9</v>
      </c>
      <c r="E275" s="3"/>
      <c r="F275" s="3" t="s">
        <v>11</v>
      </c>
      <c r="G275" s="4">
        <v>3.2</v>
      </c>
    </row>
    <row r="276" spans="2:7">
      <c r="B276" s="3" t="s">
        <v>556</v>
      </c>
      <c r="C276" s="3" t="s">
        <v>557</v>
      </c>
      <c r="D276" s="3" t="s">
        <v>9</v>
      </c>
      <c r="E276" s="3"/>
      <c r="F276" s="3" t="s">
        <v>11</v>
      </c>
      <c r="G276" s="4">
        <v>3.06</v>
      </c>
    </row>
    <row r="277" spans="2:7">
      <c r="B277" s="3" t="s">
        <v>558</v>
      </c>
      <c r="C277" s="3" t="s">
        <v>559</v>
      </c>
      <c r="D277" s="3" t="s">
        <v>9</v>
      </c>
      <c r="E277" s="3"/>
      <c r="F277" s="3" t="s">
        <v>254</v>
      </c>
      <c r="G277" s="4">
        <v>3.05</v>
      </c>
    </row>
    <row r="278" spans="2:7">
      <c r="B278" s="3" t="s">
        <v>560</v>
      </c>
      <c r="C278" s="3" t="s">
        <v>561</v>
      </c>
      <c r="D278" s="3" t="s">
        <v>9</v>
      </c>
      <c r="E278" s="3"/>
      <c r="F278" s="3" t="s">
        <v>11</v>
      </c>
      <c r="G278" s="4">
        <v>2.77</v>
      </c>
    </row>
    <row r="279" spans="2:7">
      <c r="B279" s="3" t="s">
        <v>562</v>
      </c>
      <c r="C279" s="3" t="s">
        <v>563</v>
      </c>
      <c r="D279" s="3" t="s">
        <v>9</v>
      </c>
      <c r="E279" s="3"/>
      <c r="F279" s="3" t="s">
        <v>254</v>
      </c>
      <c r="G279" s="4">
        <v>1.85</v>
      </c>
    </row>
    <row r="280" spans="2:7">
      <c r="B280" s="3" t="s">
        <v>564</v>
      </c>
      <c r="C280" s="3" t="s">
        <v>565</v>
      </c>
      <c r="D280" s="3" t="s">
        <v>9</v>
      </c>
      <c r="E280" s="3"/>
      <c r="F280" s="3" t="s">
        <v>11</v>
      </c>
      <c r="G280" s="4">
        <v>1.78</v>
      </c>
    </row>
    <row r="281" spans="2:7">
      <c r="B281" s="3" t="s">
        <v>566</v>
      </c>
      <c r="C281" s="3" t="s">
        <v>567</v>
      </c>
      <c r="D281" s="3" t="s">
        <v>9</v>
      </c>
      <c r="E281" s="3"/>
      <c r="F281" s="3" t="s">
        <v>11</v>
      </c>
      <c r="G281" s="4">
        <v>1.73</v>
      </c>
    </row>
    <row r="282" spans="2:7">
      <c r="B282" s="3" t="s">
        <v>568</v>
      </c>
      <c r="C282" s="3" t="s">
        <v>569</v>
      </c>
      <c r="D282" s="3" t="s">
        <v>9</v>
      </c>
      <c r="E282" s="3"/>
      <c r="F282" s="3" t="s">
        <v>11</v>
      </c>
      <c r="G282" s="4">
        <v>1.69</v>
      </c>
    </row>
    <row r="283" spans="2:7">
      <c r="B283" s="3" t="s">
        <v>570</v>
      </c>
      <c r="C283" s="3" t="s">
        <v>571</v>
      </c>
      <c r="D283" s="3" t="s">
        <v>9</v>
      </c>
      <c r="E283" s="3"/>
      <c r="F283" s="3" t="s">
        <v>11</v>
      </c>
      <c r="G283" s="4">
        <v>1.57</v>
      </c>
    </row>
    <row r="284" spans="2:7">
      <c r="B284" s="3" t="s">
        <v>572</v>
      </c>
      <c r="C284" s="3" t="s">
        <v>573</v>
      </c>
      <c r="D284" s="3" t="s">
        <v>9</v>
      </c>
      <c r="E284" s="3"/>
      <c r="F284" s="3" t="s">
        <v>11</v>
      </c>
      <c r="G284" s="4">
        <v>1.53</v>
      </c>
    </row>
    <row r="285" spans="2:7">
      <c r="B285" s="3" t="s">
        <v>574</v>
      </c>
      <c r="C285" s="3" t="s">
        <v>575</v>
      </c>
      <c r="D285" s="3" t="s">
        <v>9</v>
      </c>
      <c r="E285" s="3"/>
      <c r="F285" s="3" t="s">
        <v>343</v>
      </c>
      <c r="G285" s="4">
        <v>1.3</v>
      </c>
    </row>
    <row r="286" spans="2:7">
      <c r="B286" s="3" t="s">
        <v>576</v>
      </c>
      <c r="C286" s="3" t="s">
        <v>577</v>
      </c>
      <c r="D286" s="3" t="s">
        <v>9</v>
      </c>
      <c r="E286" s="3"/>
      <c r="F286" s="3" t="s">
        <v>11</v>
      </c>
      <c r="G286" s="4">
        <v>1.23</v>
      </c>
    </row>
    <row r="287" spans="2:7">
      <c r="B287" s="3" t="s">
        <v>578</v>
      </c>
      <c r="C287" s="3" t="s">
        <v>579</v>
      </c>
      <c r="D287" s="3" t="s">
        <v>9</v>
      </c>
      <c r="E287" s="3"/>
      <c r="F287" s="3" t="s">
        <v>11</v>
      </c>
      <c r="G287" s="4">
        <v>1.23</v>
      </c>
    </row>
    <row r="288" spans="2:7">
      <c r="B288" s="3" t="s">
        <v>580</v>
      </c>
      <c r="C288" s="3" t="s">
        <v>581</v>
      </c>
      <c r="D288" s="3" t="s">
        <v>9</v>
      </c>
      <c r="E288" s="3"/>
      <c r="F288" s="3" t="s">
        <v>11</v>
      </c>
      <c r="G288" s="4">
        <v>1.02</v>
      </c>
    </row>
    <row r="289" spans="2:7">
      <c r="B289" s="3" t="s">
        <v>582</v>
      </c>
      <c r="C289" s="3" t="s">
        <v>583</v>
      </c>
      <c r="D289" s="3" t="s">
        <v>9</v>
      </c>
      <c r="E289" s="3"/>
      <c r="F289" s="3" t="s">
        <v>11</v>
      </c>
      <c r="G289" s="4">
        <v>0.96</v>
      </c>
    </row>
    <row r="290" spans="2:7">
      <c r="B290" s="3" t="s">
        <v>584</v>
      </c>
      <c r="C290" s="3" t="s">
        <v>585</v>
      </c>
      <c r="D290" s="3" t="s">
        <v>9</v>
      </c>
      <c r="E290" s="3"/>
      <c r="F290" s="3" t="s">
        <v>11</v>
      </c>
      <c r="G290" s="4">
        <v>0.88</v>
      </c>
    </row>
    <row r="291" spans="2:7">
      <c r="B291" s="3" t="s">
        <v>586</v>
      </c>
      <c r="C291" s="3" t="s">
        <v>587</v>
      </c>
      <c r="D291" s="3" t="s">
        <v>9</v>
      </c>
      <c r="E291" s="3"/>
      <c r="F291" s="3" t="s">
        <v>11</v>
      </c>
      <c r="G291" s="4">
        <v>0.76</v>
      </c>
    </row>
    <row r="292" spans="2:7">
      <c r="B292" s="3" t="s">
        <v>588</v>
      </c>
      <c r="C292" s="3" t="s">
        <v>589</v>
      </c>
      <c r="D292" s="3" t="s">
        <v>9</v>
      </c>
      <c r="E292" s="3"/>
      <c r="F292" s="3" t="s">
        <v>11</v>
      </c>
      <c r="G292" s="4">
        <v>0.69</v>
      </c>
    </row>
    <row r="293" spans="2:7">
      <c r="B293" s="3" t="s">
        <v>590</v>
      </c>
      <c r="C293" s="3" t="s">
        <v>591</v>
      </c>
      <c r="D293" s="3" t="s">
        <v>9</v>
      </c>
      <c r="E293" s="3"/>
      <c r="F293" s="3" t="s">
        <v>11</v>
      </c>
      <c r="G293" s="4">
        <v>0.63</v>
      </c>
    </row>
    <row r="294" spans="2:7">
      <c r="B294" s="3" t="s">
        <v>592</v>
      </c>
      <c r="C294" s="3" t="s">
        <v>593</v>
      </c>
      <c r="D294" s="3" t="s">
        <v>9</v>
      </c>
      <c r="E294" s="3"/>
      <c r="F294" s="3" t="s">
        <v>11</v>
      </c>
      <c r="G294" s="4">
        <v>0.36</v>
      </c>
    </row>
    <row r="295" spans="2:7">
      <c r="B295" s="3" t="s">
        <v>594</v>
      </c>
      <c r="C295" s="3" t="s">
        <v>595</v>
      </c>
      <c r="D295" s="3" t="s">
        <v>9</v>
      </c>
      <c r="E295" s="3"/>
      <c r="F295" s="3" t="s">
        <v>11</v>
      </c>
      <c r="G295" s="4">
        <v>0.31</v>
      </c>
    </row>
    <row r="296" spans="2:7">
      <c r="B296" s="3" t="s">
        <v>596</v>
      </c>
      <c r="C296" s="3" t="s">
        <v>597</v>
      </c>
      <c r="D296" s="3" t="s">
        <v>9</v>
      </c>
      <c r="E296" s="3"/>
      <c r="F296" s="3" t="s">
        <v>11</v>
      </c>
      <c r="G296" s="4">
        <v>0.31</v>
      </c>
    </row>
    <row r="297" spans="2:7">
      <c r="B297" s="3" t="s">
        <v>598</v>
      </c>
      <c r="C297" s="3" t="s">
        <v>599</v>
      </c>
      <c r="D297" s="3" t="s">
        <v>9</v>
      </c>
      <c r="E297" s="3"/>
      <c r="F297" s="3" t="s">
        <v>343</v>
      </c>
      <c r="G297" s="4">
        <v>0.3</v>
      </c>
    </row>
    <row r="298" spans="2:7">
      <c r="B298" s="3" t="s">
        <v>600</v>
      </c>
      <c r="C298" s="3" t="s">
        <v>601</v>
      </c>
      <c r="D298" s="3" t="s">
        <v>9</v>
      </c>
      <c r="E298" s="3"/>
      <c r="F298" s="3" t="s">
        <v>343</v>
      </c>
      <c r="G298" s="4">
        <v>0.25</v>
      </c>
    </row>
    <row r="299" spans="2:7">
      <c r="B299" s="3" t="s">
        <v>602</v>
      </c>
      <c r="C299" s="3" t="s">
        <v>603</v>
      </c>
      <c r="D299" s="3" t="s">
        <v>9</v>
      </c>
      <c r="E299" s="3"/>
      <c r="F299" s="3" t="s">
        <v>11</v>
      </c>
      <c r="G299" s="4">
        <v>0.22</v>
      </c>
    </row>
    <row r="300" spans="2:7">
      <c r="B300" s="3" t="s">
        <v>604</v>
      </c>
      <c r="C300" s="3" t="s">
        <v>605</v>
      </c>
      <c r="D300" s="3" t="s">
        <v>9</v>
      </c>
      <c r="E300" s="3"/>
      <c r="F300" s="3" t="s">
        <v>11</v>
      </c>
      <c r="G300" s="4">
        <v>0.2</v>
      </c>
    </row>
    <row r="301" spans="2:7">
      <c r="B301" s="3" t="s">
        <v>606</v>
      </c>
      <c r="C301" s="3" t="s">
        <v>607</v>
      </c>
      <c r="D301" s="3" t="s">
        <v>9</v>
      </c>
      <c r="E301" s="3"/>
      <c r="F301" s="3" t="s">
        <v>11</v>
      </c>
      <c r="G301" s="4">
        <v>0.12</v>
      </c>
    </row>
    <row r="302" spans="2:7">
      <c r="B302" s="3" t="s">
        <v>608</v>
      </c>
      <c r="C302" s="3" t="s">
        <v>609</v>
      </c>
      <c r="D302" s="3" t="s">
        <v>9</v>
      </c>
      <c r="E302" s="3"/>
      <c r="F302" s="3" t="s">
        <v>11</v>
      </c>
      <c r="G302" s="4">
        <v>0</v>
      </c>
    </row>
    <row r="303" spans="2:7">
      <c r="B303" s="3" t="s">
        <v>610</v>
      </c>
      <c r="C303" s="3" t="s">
        <v>611</v>
      </c>
      <c r="D303" s="3" t="s">
        <v>9</v>
      </c>
      <c r="E303" s="3"/>
      <c r="F303" s="3" t="s">
        <v>11</v>
      </c>
      <c r="G303" s="4">
        <v>0</v>
      </c>
    </row>
  </sheetData>
  <autoFilter ref="B3:G303" xr:uid="{00000000-0009-0000-0000-000000000000}"/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114"/>
  <sheetViews>
    <sheetView topLeftCell="A39" workbookViewId="0">
      <selection activeCell="B70" sqref="B70"/>
    </sheetView>
  </sheetViews>
  <sheetFormatPr defaultRowHeight="16.5"/>
  <cols>
    <col min="1" max="1" width="3" customWidth="1"/>
    <col min="2" max="2" width="12" customWidth="1"/>
    <col min="3" max="3" width="14" customWidth="1"/>
    <col min="4" max="4" width="22" customWidth="1"/>
    <col min="5" max="6" width="12" customWidth="1"/>
    <col min="7" max="23" width="9" customWidth="1"/>
    <col min="24" max="27" width="10" customWidth="1"/>
  </cols>
  <sheetData>
    <row r="2" spans="2:27">
      <c r="B2" s="2" t="s">
        <v>1</v>
      </c>
      <c r="C2" s="2" t="s">
        <v>612</v>
      </c>
      <c r="D2" s="2" t="s">
        <v>613</v>
      </c>
      <c r="E2" s="2" t="s">
        <v>614</v>
      </c>
      <c r="F2" s="2" t="s">
        <v>615</v>
      </c>
      <c r="G2" s="2" t="s">
        <v>616</v>
      </c>
      <c r="H2" s="2" t="s">
        <v>617</v>
      </c>
      <c r="I2" s="2" t="s">
        <v>618</v>
      </c>
      <c r="J2" s="2" t="s">
        <v>619</v>
      </c>
      <c r="K2" s="2" t="s">
        <v>620</v>
      </c>
      <c r="L2" s="2" t="s">
        <v>621</v>
      </c>
      <c r="M2" s="2" t="s">
        <v>622</v>
      </c>
      <c r="N2" s="2" t="s">
        <v>623</v>
      </c>
      <c r="O2" s="2" t="s">
        <v>624</v>
      </c>
      <c r="P2" s="2" t="s">
        <v>625</v>
      </c>
      <c r="Q2" s="2" t="s">
        <v>626</v>
      </c>
      <c r="R2" s="2" t="s">
        <v>627</v>
      </c>
      <c r="S2" s="2" t="s">
        <v>628</v>
      </c>
      <c r="T2" s="2" t="s">
        <v>629</v>
      </c>
      <c r="U2" s="2" t="s">
        <v>630</v>
      </c>
      <c r="V2" s="2" t="s">
        <v>631</v>
      </c>
      <c r="W2" s="2" t="s">
        <v>632</v>
      </c>
      <c r="X2" s="5" t="s">
        <v>633</v>
      </c>
      <c r="Y2" s="6" t="s">
        <v>634</v>
      </c>
      <c r="Z2" s="6" t="s">
        <v>635</v>
      </c>
      <c r="AA2" s="6" t="s">
        <v>636</v>
      </c>
    </row>
    <row r="3" spans="2:27">
      <c r="B3" s="3" t="s">
        <v>7</v>
      </c>
      <c r="C3" s="3" t="s">
        <v>637</v>
      </c>
      <c r="D3" s="3" t="s">
        <v>638</v>
      </c>
      <c r="E3" s="3" t="s">
        <v>639</v>
      </c>
      <c r="F3" s="7">
        <v>14.9</v>
      </c>
      <c r="G3" s="4">
        <v>432.87</v>
      </c>
      <c r="H3" s="4">
        <v>446.36</v>
      </c>
      <c r="I3" s="4">
        <v>473.01</v>
      </c>
      <c r="J3" s="4">
        <v>477.88</v>
      </c>
      <c r="K3" s="4">
        <v>508.62</v>
      </c>
      <c r="L3" s="4">
        <v>525.19000000000005</v>
      </c>
      <c r="M3" s="4">
        <v>533.32000000000005</v>
      </c>
      <c r="N3" s="4">
        <v>558.16</v>
      </c>
      <c r="O3" s="4">
        <v>608.35</v>
      </c>
      <c r="P3" s="4">
        <v>634.34</v>
      </c>
      <c r="Q3" s="4">
        <v>678.13</v>
      </c>
      <c r="R3" s="4">
        <v>725.52</v>
      </c>
      <c r="S3" s="4">
        <v>827.52</v>
      </c>
      <c r="T3" s="4">
        <v>883.86</v>
      </c>
      <c r="U3" s="8">
        <v>1004</v>
      </c>
      <c r="V3" s="8">
        <v>1181</v>
      </c>
      <c r="W3" s="8">
        <v>1407</v>
      </c>
      <c r="X3" s="9">
        <v>8.7076995020083592E-2</v>
      </c>
      <c r="Y3" s="10">
        <v>0.1046121546180936</v>
      </c>
      <c r="Z3" s="10">
        <v>0.13237234444476731</v>
      </c>
      <c r="AA3" s="10">
        <v>0.148722660520791</v>
      </c>
    </row>
    <row r="4" spans="2:27">
      <c r="B4" s="3" t="s">
        <v>28</v>
      </c>
      <c r="C4" s="3" t="s">
        <v>637</v>
      </c>
      <c r="D4" s="3" t="s">
        <v>640</v>
      </c>
      <c r="E4" s="3" t="s">
        <v>639</v>
      </c>
      <c r="F4" s="7">
        <v>11.5</v>
      </c>
      <c r="G4" s="4">
        <v>885.05</v>
      </c>
      <c r="H4" s="4">
        <v>755.37</v>
      </c>
      <c r="I4" s="4">
        <v>840.77</v>
      </c>
      <c r="J4" s="4">
        <v>827.07</v>
      </c>
      <c r="K4" s="4">
        <v>731.84</v>
      </c>
      <c r="L4" s="4">
        <v>617.53</v>
      </c>
      <c r="M4" s="4">
        <v>684.44</v>
      </c>
      <c r="N4" s="4">
        <v>703.73</v>
      </c>
      <c r="O4" s="4">
        <v>670.6</v>
      </c>
      <c r="P4" s="4">
        <v>599.82000000000005</v>
      </c>
      <c r="Q4" s="4">
        <v>729.88</v>
      </c>
      <c r="R4" s="4">
        <v>737.3</v>
      </c>
      <c r="S4" s="4">
        <v>752.88</v>
      </c>
      <c r="T4" s="4">
        <v>685.68</v>
      </c>
      <c r="U4" s="4">
        <v>651.79999999999995</v>
      </c>
      <c r="V4" s="4">
        <v>769.21</v>
      </c>
      <c r="W4" s="8">
        <v>1083</v>
      </c>
      <c r="X4" s="9">
        <v>3.0448104174645611E-2</v>
      </c>
      <c r="Y4" s="11">
        <v>-2.6870951977809421E-2</v>
      </c>
      <c r="Z4" s="11">
        <v>1.128494939278402E-2</v>
      </c>
      <c r="AA4" s="10">
        <v>0.1154439303811414</v>
      </c>
    </row>
    <row r="5" spans="2:27">
      <c r="B5" s="3" t="s">
        <v>56</v>
      </c>
      <c r="C5" s="3" t="s">
        <v>637</v>
      </c>
      <c r="D5" s="3" t="s">
        <v>641</v>
      </c>
      <c r="E5" s="3" t="s">
        <v>642</v>
      </c>
      <c r="F5" s="7">
        <v>8.3000000000000007</v>
      </c>
      <c r="G5" s="4">
        <v>566.63</v>
      </c>
      <c r="H5" s="4">
        <v>564.4</v>
      </c>
      <c r="I5" s="4">
        <v>587.87</v>
      </c>
      <c r="J5" s="4">
        <v>655.43</v>
      </c>
      <c r="K5" s="4">
        <v>668.66</v>
      </c>
      <c r="L5" s="4">
        <v>665.28</v>
      </c>
      <c r="M5" s="4">
        <v>655.87</v>
      </c>
      <c r="N5" s="4">
        <v>685.48</v>
      </c>
      <c r="O5" s="4">
        <v>712.69</v>
      </c>
      <c r="P5" s="4">
        <v>731.54</v>
      </c>
      <c r="Q5" s="4">
        <v>753.26</v>
      </c>
      <c r="R5" s="4">
        <v>804.23</v>
      </c>
      <c r="S5" s="4">
        <v>833.61</v>
      </c>
      <c r="T5" s="4">
        <v>871.8</v>
      </c>
      <c r="U5" s="4">
        <v>909.69</v>
      </c>
      <c r="V5" s="4">
        <v>978.13</v>
      </c>
      <c r="W5" s="4">
        <v>1133</v>
      </c>
      <c r="X5" s="9">
        <v>4.4917121410088967E-2</v>
      </c>
      <c r="Y5" s="11">
        <v>4.7942014772135222E-2</v>
      </c>
      <c r="Z5" s="11">
        <v>5.0857916609394323E-2</v>
      </c>
      <c r="AA5" s="11">
        <v>8.3320577864484102E-2</v>
      </c>
    </row>
    <row r="6" spans="2:27">
      <c r="B6" s="3" t="s">
        <v>48</v>
      </c>
      <c r="C6" s="3" t="s">
        <v>637</v>
      </c>
      <c r="D6" s="3" t="s">
        <v>643</v>
      </c>
      <c r="E6" s="3" t="s">
        <v>644</v>
      </c>
      <c r="F6" s="7">
        <v>6.3</v>
      </c>
      <c r="G6" s="4">
        <v>541.59</v>
      </c>
      <c r="H6" s="4">
        <v>586.84</v>
      </c>
      <c r="I6" s="4">
        <v>614.33000000000004</v>
      </c>
      <c r="J6" s="4">
        <v>640.03</v>
      </c>
      <c r="K6" s="4">
        <v>618.62</v>
      </c>
      <c r="L6" s="4">
        <v>718.21</v>
      </c>
      <c r="M6" s="4">
        <v>800.66</v>
      </c>
      <c r="N6" s="4">
        <v>777.07</v>
      </c>
      <c r="O6" s="4">
        <v>786.73</v>
      </c>
      <c r="P6" s="4">
        <v>835.34</v>
      </c>
      <c r="Q6" s="4">
        <v>847.69</v>
      </c>
      <c r="R6" s="4">
        <v>854.49</v>
      </c>
      <c r="S6" s="4">
        <v>772.73</v>
      </c>
      <c r="T6" s="4">
        <v>883.63</v>
      </c>
      <c r="U6" s="4">
        <v>915.45</v>
      </c>
      <c r="V6" s="4">
        <v>995.26</v>
      </c>
      <c r="W6" s="4">
        <v>996.45</v>
      </c>
      <c r="X6" s="9">
        <v>1.4588022052715029E-2</v>
      </c>
      <c r="Y6" s="11">
        <v>2.017543337283478E-2</v>
      </c>
      <c r="Z6" s="11">
        <v>4.108513556898119E-2</v>
      </c>
      <c r="AA6" s="11">
        <v>6.2718141219544332E-2</v>
      </c>
    </row>
    <row r="7" spans="2:27">
      <c r="B7" s="3" t="s">
        <v>188</v>
      </c>
      <c r="C7" s="3" t="s">
        <v>637</v>
      </c>
      <c r="D7" s="3" t="s">
        <v>645</v>
      </c>
      <c r="E7" s="3" t="s">
        <v>646</v>
      </c>
      <c r="F7" s="7">
        <v>4.4000000000000004</v>
      </c>
      <c r="G7" s="4">
        <v>22.31</v>
      </c>
      <c r="H7" s="4">
        <v>21.03</v>
      </c>
      <c r="I7" s="4">
        <v>22.54</v>
      </c>
      <c r="J7" s="4">
        <v>26.8</v>
      </c>
      <c r="K7" s="8">
        <v>32.770000000000003</v>
      </c>
      <c r="L7" s="8">
        <v>37.19</v>
      </c>
      <c r="M7" s="8">
        <v>40.36</v>
      </c>
      <c r="N7" s="8">
        <v>42.78</v>
      </c>
      <c r="O7" s="8">
        <v>48.57</v>
      </c>
      <c r="P7" s="4">
        <v>46.43</v>
      </c>
      <c r="Q7" s="4">
        <v>51.35</v>
      </c>
      <c r="R7" s="4">
        <v>48.71</v>
      </c>
      <c r="S7" s="4">
        <v>51.97</v>
      </c>
      <c r="T7" s="4">
        <v>52.41</v>
      </c>
      <c r="U7" s="4">
        <v>55.95</v>
      </c>
      <c r="V7" s="4">
        <v>56.95</v>
      </c>
      <c r="W7" s="4">
        <v>61.45</v>
      </c>
      <c r="X7" s="9">
        <v>3.0132016527259831E-2</v>
      </c>
      <c r="Y7" s="11">
        <v>2.2500489141068281E-2</v>
      </c>
      <c r="Z7" s="11">
        <v>3.9418293149636519E-2</v>
      </c>
      <c r="AA7" s="11">
        <v>4.3630338733431362E-2</v>
      </c>
    </row>
    <row r="8" spans="2:27">
      <c r="B8" s="3" t="s">
        <v>66</v>
      </c>
      <c r="C8" s="3" t="s">
        <v>637</v>
      </c>
      <c r="D8" s="3" t="s">
        <v>647</v>
      </c>
      <c r="E8" s="3" t="s">
        <v>639</v>
      </c>
      <c r="F8" s="7">
        <v>4.3</v>
      </c>
      <c r="G8" s="4">
        <v>91.78</v>
      </c>
      <c r="H8" s="4">
        <v>99.05</v>
      </c>
      <c r="I8" s="4">
        <v>121.13</v>
      </c>
      <c r="J8" s="4">
        <v>112.24</v>
      </c>
      <c r="K8" s="4">
        <v>122.37</v>
      </c>
      <c r="L8" s="4">
        <v>113.76</v>
      </c>
      <c r="M8" s="4">
        <v>119.83</v>
      </c>
      <c r="N8" s="4">
        <v>105.3</v>
      </c>
      <c r="O8" s="4">
        <v>122.23</v>
      </c>
      <c r="P8" s="4">
        <v>117.87</v>
      </c>
      <c r="Q8" s="4">
        <v>132.13999999999999</v>
      </c>
      <c r="R8" s="4">
        <v>145.51</v>
      </c>
      <c r="S8" s="4">
        <v>161.1</v>
      </c>
      <c r="T8" s="4">
        <v>166.66</v>
      </c>
      <c r="U8" s="4">
        <v>172.21</v>
      </c>
      <c r="V8" s="4">
        <v>178.51</v>
      </c>
      <c r="W8" s="4">
        <v>190.24</v>
      </c>
      <c r="X8" s="9">
        <v>8.7654054830943906E-2</v>
      </c>
      <c r="Y8" s="11">
        <v>6.6186551262780613E-2</v>
      </c>
      <c r="Z8" s="11">
        <v>5.112474437627812E-2</v>
      </c>
      <c r="AA8" s="11">
        <v>4.2948944699917391E-2</v>
      </c>
    </row>
    <row r="9" spans="2:27">
      <c r="B9" s="3" t="s">
        <v>152</v>
      </c>
      <c r="C9" s="3" t="s">
        <v>637</v>
      </c>
      <c r="D9" s="3" t="s">
        <v>648</v>
      </c>
      <c r="E9" s="3" t="s">
        <v>644</v>
      </c>
      <c r="F9" s="7">
        <v>4</v>
      </c>
      <c r="G9" s="4">
        <v>42.02</v>
      </c>
      <c r="H9" s="4">
        <v>48.13</v>
      </c>
      <c r="I9" s="4">
        <v>56.11</v>
      </c>
      <c r="J9" s="4">
        <v>57.31</v>
      </c>
      <c r="K9" s="4">
        <v>54.24</v>
      </c>
      <c r="L9" s="4">
        <v>60.18</v>
      </c>
      <c r="M9" s="4">
        <v>63.74</v>
      </c>
      <c r="N9" s="4">
        <v>66.95</v>
      </c>
      <c r="O9" s="4">
        <v>71.5</v>
      </c>
      <c r="P9" s="4">
        <v>75.3</v>
      </c>
      <c r="Q9" s="4">
        <v>81.459999999999994</v>
      </c>
      <c r="R9" s="4">
        <v>84.71</v>
      </c>
      <c r="S9" s="4">
        <v>88.71</v>
      </c>
      <c r="T9" s="4">
        <v>92.79</v>
      </c>
      <c r="U9" s="4">
        <v>96.06</v>
      </c>
      <c r="V9" s="4">
        <v>99.01</v>
      </c>
      <c r="W9" s="4">
        <v>103.7</v>
      </c>
      <c r="X9" s="9">
        <v>5.2971106669089663E-2</v>
      </c>
      <c r="Y9" s="11">
        <v>4.199384473782608E-2</v>
      </c>
      <c r="Z9" s="11">
        <v>3.9473321003671291E-2</v>
      </c>
      <c r="AA9" s="11">
        <v>3.9806676049605638E-2</v>
      </c>
    </row>
    <row r="10" spans="2:27">
      <c r="B10" s="3" t="s">
        <v>19</v>
      </c>
      <c r="C10" s="3" t="s">
        <v>637</v>
      </c>
      <c r="D10" s="3" t="s">
        <v>649</v>
      </c>
      <c r="E10" s="3" t="s">
        <v>639</v>
      </c>
      <c r="F10" s="7">
        <v>3.4</v>
      </c>
      <c r="G10" s="4">
        <v>1324</v>
      </c>
      <c r="H10" s="4">
        <v>1296</v>
      </c>
      <c r="I10" s="4">
        <v>1280</v>
      </c>
      <c r="J10" s="4">
        <v>1316</v>
      </c>
      <c r="K10" s="4">
        <v>1400</v>
      </c>
      <c r="L10" s="4">
        <v>1351</v>
      </c>
      <c r="M10" s="4">
        <v>1370</v>
      </c>
      <c r="N10" s="4">
        <v>1411</v>
      </c>
      <c r="O10" s="4">
        <v>1527</v>
      </c>
      <c r="P10" s="4">
        <v>1443</v>
      </c>
      <c r="Q10" s="4">
        <v>1458</v>
      </c>
      <c r="R10" s="4">
        <v>1481</v>
      </c>
      <c r="S10" s="4">
        <v>1582</v>
      </c>
      <c r="T10" s="4">
        <v>1473</v>
      </c>
      <c r="U10" s="4">
        <v>1498</v>
      </c>
      <c r="V10" s="4">
        <v>1602</v>
      </c>
      <c r="W10" s="4">
        <v>1791</v>
      </c>
      <c r="X10" s="9">
        <v>5.0301810865192031E-3</v>
      </c>
      <c r="Y10" s="11">
        <v>6.6733400066734117E-3</v>
      </c>
      <c r="Z10" s="11">
        <v>2.0053032814053798E-2</v>
      </c>
      <c r="AA10" s="11">
        <v>3.3956133225020217E-2</v>
      </c>
    </row>
    <row r="11" spans="2:27">
      <c r="B11" s="3" t="s">
        <v>23</v>
      </c>
      <c r="C11" s="3" t="s">
        <v>637</v>
      </c>
      <c r="D11" s="3" t="s">
        <v>648</v>
      </c>
      <c r="E11" s="3" t="s">
        <v>639</v>
      </c>
      <c r="F11" s="7">
        <v>3.3</v>
      </c>
      <c r="G11" s="4">
        <v>801.09</v>
      </c>
      <c r="H11" s="4">
        <v>836.55</v>
      </c>
      <c r="I11" s="4">
        <v>860.55</v>
      </c>
      <c r="J11" s="4">
        <v>841.66</v>
      </c>
      <c r="K11" s="4">
        <v>828.57</v>
      </c>
      <c r="L11" s="4">
        <v>900.2</v>
      </c>
      <c r="M11" s="4">
        <v>943.63</v>
      </c>
      <c r="N11" s="4">
        <v>915.53</v>
      </c>
      <c r="O11" s="4">
        <v>901.6</v>
      </c>
      <c r="P11" s="4">
        <v>964.1</v>
      </c>
      <c r="Q11" s="4">
        <v>1004</v>
      </c>
      <c r="R11" s="4">
        <v>975.54</v>
      </c>
      <c r="S11" s="4">
        <v>954.29</v>
      </c>
      <c r="T11" s="4">
        <v>998.43</v>
      </c>
      <c r="U11" s="4">
        <v>1109</v>
      </c>
      <c r="V11" s="4">
        <v>1105</v>
      </c>
      <c r="W11" s="4">
        <v>1091</v>
      </c>
      <c r="X11" s="9">
        <v>8.80723871388156E-3</v>
      </c>
      <c r="Y11" s="11">
        <v>2.670220178726734E-2</v>
      </c>
      <c r="Z11" s="11">
        <v>3.2066302393207291E-2</v>
      </c>
      <c r="AA11" s="11">
        <v>3.2809980032255659E-2</v>
      </c>
    </row>
    <row r="12" spans="2:27">
      <c r="B12" s="3" t="s">
        <v>281</v>
      </c>
      <c r="C12" s="3" t="s">
        <v>637</v>
      </c>
      <c r="D12" s="3" t="s">
        <v>650</v>
      </c>
      <c r="E12" s="3" t="s">
        <v>639</v>
      </c>
      <c r="F12" s="7">
        <v>3.2</v>
      </c>
      <c r="G12" s="4">
        <v>34.869999999999997</v>
      </c>
      <c r="H12" s="4">
        <v>30.31</v>
      </c>
      <c r="I12" s="4">
        <v>34.61</v>
      </c>
      <c r="J12" s="4">
        <v>34.26</v>
      </c>
      <c r="K12" s="4">
        <v>30.54</v>
      </c>
      <c r="L12" s="4">
        <v>34.450000000000003</v>
      </c>
      <c r="M12" s="4">
        <v>36.4</v>
      </c>
      <c r="N12" s="4">
        <v>35.880000000000003</v>
      </c>
      <c r="O12" s="4">
        <v>32.39</v>
      </c>
      <c r="P12" s="4">
        <v>37.18</v>
      </c>
      <c r="Q12" s="4">
        <v>36.9</v>
      </c>
      <c r="R12" s="4">
        <v>37.22</v>
      </c>
      <c r="S12" s="4">
        <v>35.46</v>
      </c>
      <c r="T12" s="4">
        <v>34.68</v>
      </c>
      <c r="U12" s="4">
        <v>38.01</v>
      </c>
      <c r="V12" s="4">
        <v>36.340000000000003</v>
      </c>
      <c r="W12" s="4">
        <v>40.15</v>
      </c>
      <c r="X12" s="9">
        <v>-1.703461433633147E-2</v>
      </c>
      <c r="Y12" s="11">
        <v>7.6944405933732094E-3</v>
      </c>
      <c r="Z12" s="11">
        <v>-6.0535186076906564E-3</v>
      </c>
      <c r="AA12" s="11">
        <v>3.2458993701986349E-2</v>
      </c>
    </row>
    <row r="13" spans="2:27">
      <c r="B13" s="3" t="s">
        <v>178</v>
      </c>
      <c r="C13" s="3" t="s">
        <v>637</v>
      </c>
      <c r="D13" s="3" t="s">
        <v>651</v>
      </c>
      <c r="E13" s="3" t="s">
        <v>642</v>
      </c>
      <c r="F13" s="7">
        <v>2.8</v>
      </c>
      <c r="G13" s="4">
        <v>33.409999999999997</v>
      </c>
      <c r="H13" s="4">
        <v>35.909999999999997</v>
      </c>
      <c r="I13" s="4">
        <v>43.23</v>
      </c>
      <c r="J13" s="4">
        <v>39.49</v>
      </c>
      <c r="K13" s="4">
        <v>42.31</v>
      </c>
      <c r="L13" s="4">
        <v>43.53</v>
      </c>
      <c r="M13" s="4">
        <v>44.66</v>
      </c>
      <c r="N13" s="4">
        <v>41.68</v>
      </c>
      <c r="O13" s="4">
        <v>47.55</v>
      </c>
      <c r="P13" s="4">
        <v>49.27</v>
      </c>
      <c r="Q13" s="4">
        <v>50.33</v>
      </c>
      <c r="R13" s="4">
        <v>44</v>
      </c>
      <c r="S13" s="4">
        <v>42.93</v>
      </c>
      <c r="T13" s="4">
        <v>43.96</v>
      </c>
      <c r="U13" s="4">
        <v>50.72</v>
      </c>
      <c r="V13" s="4">
        <v>49.17</v>
      </c>
      <c r="W13" s="4">
        <v>48.17</v>
      </c>
      <c r="X13" s="9">
        <v>-2.8467270680319508E-2</v>
      </c>
      <c r="Y13" s="11">
        <v>2.1520803443328962E-3</v>
      </c>
      <c r="Z13" s="11">
        <v>2.8467595396729269E-2</v>
      </c>
      <c r="AA13" s="11">
        <v>2.8054395545561661E-2</v>
      </c>
    </row>
    <row r="14" spans="2:27">
      <c r="B14" s="3" t="s">
        <v>74</v>
      </c>
      <c r="C14" s="3" t="s">
        <v>637</v>
      </c>
      <c r="D14" s="3" t="s">
        <v>652</v>
      </c>
      <c r="E14" s="3" t="s">
        <v>639</v>
      </c>
      <c r="F14" s="7">
        <v>2.4</v>
      </c>
      <c r="G14" s="4">
        <v>2944</v>
      </c>
      <c r="H14" s="4">
        <v>2818</v>
      </c>
      <c r="I14" s="4">
        <v>2927</v>
      </c>
      <c r="J14" s="4">
        <v>2949</v>
      </c>
      <c r="K14" s="4">
        <v>0</v>
      </c>
      <c r="L14" s="4">
        <v>2873</v>
      </c>
      <c r="M14" s="4">
        <v>3000</v>
      </c>
      <c r="N14" s="4">
        <v>3121</v>
      </c>
      <c r="O14" s="8">
        <v>3146</v>
      </c>
      <c r="P14" s="4">
        <v>3071</v>
      </c>
      <c r="Q14" s="4">
        <v>3187</v>
      </c>
      <c r="R14" s="4">
        <v>3264</v>
      </c>
      <c r="S14" s="4">
        <v>3295</v>
      </c>
      <c r="T14" s="4">
        <v>3224</v>
      </c>
      <c r="U14" s="4">
        <v>3380</v>
      </c>
      <c r="V14" s="4">
        <v>3420</v>
      </c>
      <c r="W14" s="4">
        <v>3620</v>
      </c>
      <c r="X14" s="9">
        <v>1.1937270812202531E-2</v>
      </c>
      <c r="Y14" s="11">
        <v>1.4880493446414841E-2</v>
      </c>
      <c r="Z14" s="11">
        <v>1.1851401656157501E-2</v>
      </c>
      <c r="AA14" s="11">
        <v>2.4401231323673001E-2</v>
      </c>
    </row>
    <row r="15" spans="2:27">
      <c r="B15" s="3" t="s">
        <v>346</v>
      </c>
      <c r="C15" s="3" t="s">
        <v>637</v>
      </c>
      <c r="D15" s="3" t="s">
        <v>653</v>
      </c>
      <c r="E15" s="3" t="s">
        <v>642</v>
      </c>
      <c r="F15" s="7">
        <v>2.2000000000000002</v>
      </c>
      <c r="G15" s="4">
        <v>141.66999999999999</v>
      </c>
      <c r="H15" s="4">
        <v>140.41</v>
      </c>
      <c r="I15" s="4">
        <v>124.52</v>
      </c>
      <c r="J15" s="4">
        <v>95.68</v>
      </c>
      <c r="K15" s="4">
        <v>93.14</v>
      </c>
      <c r="L15" s="4">
        <v>99.05</v>
      </c>
      <c r="M15" s="4">
        <v>105.82</v>
      </c>
      <c r="N15" s="4">
        <v>94.6</v>
      </c>
      <c r="O15" s="4">
        <v>100.11</v>
      </c>
      <c r="P15" s="4">
        <v>107.22</v>
      </c>
      <c r="Q15" s="4">
        <v>110.82</v>
      </c>
      <c r="R15" s="4">
        <v>104.01</v>
      </c>
      <c r="S15" s="4">
        <v>108.48</v>
      </c>
      <c r="T15" s="4">
        <v>113.97</v>
      </c>
      <c r="U15" s="4">
        <v>114.61</v>
      </c>
      <c r="V15" s="4">
        <v>110.44</v>
      </c>
      <c r="W15" s="4">
        <v>118.25</v>
      </c>
      <c r="X15" s="9">
        <v>1.567834994077066E-2</v>
      </c>
      <c r="Y15" s="11">
        <v>8.6672155140872231E-3</v>
      </c>
      <c r="Z15" s="11">
        <v>1.4578184868615059E-2</v>
      </c>
      <c r="AA15" s="11">
        <v>2.183240223463678E-2</v>
      </c>
    </row>
    <row r="16" spans="2:27">
      <c r="B16" s="3" t="s">
        <v>110</v>
      </c>
      <c r="C16" s="3" t="s">
        <v>637</v>
      </c>
      <c r="D16" s="3" t="s">
        <v>654</v>
      </c>
      <c r="E16" s="3" t="s">
        <v>639</v>
      </c>
      <c r="F16" s="7">
        <v>2.2000000000000002</v>
      </c>
      <c r="G16" s="4">
        <v>46.11</v>
      </c>
      <c r="H16" s="4">
        <v>50.91</v>
      </c>
      <c r="I16" s="4">
        <v>60.49</v>
      </c>
      <c r="J16" s="4">
        <v>66.459999999999994</v>
      </c>
      <c r="K16" s="4">
        <v>58.29</v>
      </c>
      <c r="L16" s="4">
        <v>66.78</v>
      </c>
      <c r="M16" s="4">
        <v>73.98</v>
      </c>
      <c r="N16" s="4">
        <v>74.88</v>
      </c>
      <c r="O16" s="4">
        <v>65.69</v>
      </c>
      <c r="P16" s="4">
        <v>71.69</v>
      </c>
      <c r="Q16" s="4">
        <v>76.55</v>
      </c>
      <c r="R16" s="4">
        <v>89.43</v>
      </c>
      <c r="S16" s="4">
        <v>80.06</v>
      </c>
      <c r="T16" s="4">
        <v>91.25</v>
      </c>
      <c r="U16" s="4">
        <v>91.52</v>
      </c>
      <c r="V16" s="4">
        <v>102.02</v>
      </c>
      <c r="W16" s="4">
        <v>87.94</v>
      </c>
      <c r="X16" s="9">
        <v>6.1561703333018691E-2</v>
      </c>
      <c r="Y16" s="11">
        <v>4.4383171751311901E-2</v>
      </c>
      <c r="Z16" s="11">
        <v>3.574064611366623E-2</v>
      </c>
      <c r="AA16" s="11">
        <v>2.1597916952172062E-2</v>
      </c>
    </row>
    <row r="17" spans="2:27">
      <c r="B17" s="3" t="s">
        <v>21</v>
      </c>
      <c r="C17" s="3" t="s">
        <v>637</v>
      </c>
      <c r="D17" s="3" t="s">
        <v>647</v>
      </c>
      <c r="E17" s="3" t="s">
        <v>639</v>
      </c>
      <c r="F17" s="7">
        <v>1.9</v>
      </c>
      <c r="G17" s="4">
        <v>3039</v>
      </c>
      <c r="H17" s="4">
        <v>3136</v>
      </c>
      <c r="I17" s="4">
        <v>3312</v>
      </c>
      <c r="J17" s="4">
        <v>3445</v>
      </c>
      <c r="K17" s="4">
        <v>3312</v>
      </c>
      <c r="L17" s="4">
        <v>3121</v>
      </c>
      <c r="M17" s="4">
        <v>3299</v>
      </c>
      <c r="N17" s="4">
        <v>3434</v>
      </c>
      <c r="O17" s="4">
        <v>3422</v>
      </c>
      <c r="P17" s="4">
        <v>3126</v>
      </c>
      <c r="Q17" s="4">
        <v>3127</v>
      </c>
      <c r="R17" s="4">
        <v>3250</v>
      </c>
      <c r="S17" s="4">
        <v>3111</v>
      </c>
      <c r="T17" s="4">
        <v>2835</v>
      </c>
      <c r="U17" s="4">
        <v>2926</v>
      </c>
      <c r="V17" s="4">
        <v>3173</v>
      </c>
      <c r="W17" s="4">
        <v>3335</v>
      </c>
      <c r="X17" s="9">
        <v>-2.3069605200570779E-2</v>
      </c>
      <c r="Y17" s="11">
        <v>-1.6310963239470899E-2</v>
      </c>
      <c r="Z17" s="11">
        <v>-6.3520871143375457E-3</v>
      </c>
      <c r="AA17" s="11">
        <v>1.8596928185969249E-2</v>
      </c>
    </row>
    <row r="18" spans="2:27">
      <c r="B18" s="3" t="s">
        <v>64</v>
      </c>
      <c r="C18" s="3" t="s">
        <v>637</v>
      </c>
      <c r="D18" s="3" t="s">
        <v>648</v>
      </c>
      <c r="E18" s="3" t="s">
        <v>639</v>
      </c>
      <c r="F18" s="7">
        <v>1.5</v>
      </c>
      <c r="G18" s="4">
        <v>1028</v>
      </c>
      <c r="H18" s="4">
        <v>963.16</v>
      </c>
      <c r="I18" s="4">
        <v>895.64</v>
      </c>
      <c r="J18" s="4">
        <v>711.8</v>
      </c>
      <c r="K18" s="4">
        <v>741.21</v>
      </c>
      <c r="L18" s="4">
        <v>674.87</v>
      </c>
      <c r="M18" s="4">
        <v>709.07</v>
      </c>
      <c r="N18" s="4">
        <v>670.74</v>
      </c>
      <c r="O18" s="4">
        <v>695.9</v>
      </c>
      <c r="P18" s="4">
        <v>649.91999999999996</v>
      </c>
      <c r="Q18" s="4">
        <v>691.69</v>
      </c>
      <c r="R18" s="4">
        <v>684.05</v>
      </c>
      <c r="S18" s="4">
        <v>729.37</v>
      </c>
      <c r="T18" s="4">
        <v>664.76</v>
      </c>
      <c r="U18" s="4">
        <v>720.28</v>
      </c>
      <c r="V18" s="4">
        <v>698.95</v>
      </c>
      <c r="W18" s="4">
        <v>772.06</v>
      </c>
      <c r="X18" s="9">
        <v>5.3865112176636476E-3</v>
      </c>
      <c r="Y18" s="11">
        <v>1.032178405484729E-2</v>
      </c>
      <c r="Z18" s="11">
        <v>5.3243569677607896E-3</v>
      </c>
      <c r="AA18" s="11">
        <v>1.5174026786475951E-2</v>
      </c>
    </row>
    <row r="19" spans="2:27">
      <c r="B19" s="3" t="s">
        <v>12</v>
      </c>
      <c r="C19" s="3" t="s">
        <v>637</v>
      </c>
      <c r="D19" s="3" t="s">
        <v>655</v>
      </c>
      <c r="E19" s="3" t="s">
        <v>644</v>
      </c>
      <c r="F19" s="7">
        <v>1.4</v>
      </c>
      <c r="G19" s="4">
        <v>21819</v>
      </c>
      <c r="H19" s="4">
        <v>19249</v>
      </c>
      <c r="I19" s="4">
        <v>21504</v>
      </c>
      <c r="J19" s="4">
        <v>20150</v>
      </c>
      <c r="K19" s="4">
        <v>23512</v>
      </c>
      <c r="L19" s="4">
        <v>21815</v>
      </c>
      <c r="M19" s="4">
        <v>22330</v>
      </c>
      <c r="N19" s="4">
        <v>21241</v>
      </c>
      <c r="O19" s="4">
        <v>23549</v>
      </c>
      <c r="P19" s="4">
        <v>22083</v>
      </c>
      <c r="Q19" s="4">
        <v>23155</v>
      </c>
      <c r="R19" s="4">
        <v>22574</v>
      </c>
      <c r="S19" s="4">
        <v>24690</v>
      </c>
      <c r="T19" s="4">
        <v>23621</v>
      </c>
      <c r="U19" s="4">
        <v>23650</v>
      </c>
      <c r="V19" s="4">
        <v>22464</v>
      </c>
      <c r="W19" s="4">
        <v>25981</v>
      </c>
      <c r="X19" s="9">
        <v>1.6626667531512759E-2</v>
      </c>
      <c r="Y19" s="11">
        <v>5.2637175669927316E-3</v>
      </c>
      <c r="Z19" s="11">
        <v>-1.163590204686149E-3</v>
      </c>
      <c r="AA19" s="11">
        <v>1.367222663489542E-2</v>
      </c>
    </row>
    <row r="20" spans="2:27">
      <c r="B20" s="3" t="s">
        <v>40</v>
      </c>
      <c r="C20" s="3" t="s">
        <v>637</v>
      </c>
      <c r="D20" s="3" t="s">
        <v>656</v>
      </c>
      <c r="E20" s="3" t="s">
        <v>644</v>
      </c>
      <c r="F20" s="7">
        <v>1.3</v>
      </c>
      <c r="G20" s="4">
        <v>12933</v>
      </c>
      <c r="H20" s="4">
        <v>13117</v>
      </c>
      <c r="I20" s="4">
        <v>13495</v>
      </c>
      <c r="J20" s="4">
        <v>13737</v>
      </c>
      <c r="K20" s="4">
        <v>13260</v>
      </c>
      <c r="L20" s="4">
        <v>13133</v>
      </c>
      <c r="M20" s="4">
        <v>13140</v>
      </c>
      <c r="N20" s="4">
        <v>13348</v>
      </c>
      <c r="O20" s="4">
        <v>13319</v>
      </c>
      <c r="P20" s="4">
        <v>13072</v>
      </c>
      <c r="Q20" s="4">
        <v>13353</v>
      </c>
      <c r="R20" s="4">
        <v>13565</v>
      </c>
      <c r="S20" s="4">
        <v>13623</v>
      </c>
      <c r="T20" s="4">
        <v>13074</v>
      </c>
      <c r="U20" s="4">
        <v>13884</v>
      </c>
      <c r="V20" s="4">
        <v>13860</v>
      </c>
      <c r="W20" s="4">
        <v>14313</v>
      </c>
      <c r="X20" s="9">
        <v>3.7304385130498829E-5</v>
      </c>
      <c r="Y20" s="11">
        <v>9.903944791569419E-3</v>
      </c>
      <c r="Z20" s="11">
        <v>5.4482325564215728E-3</v>
      </c>
      <c r="AA20" s="11">
        <v>1.267427122940434E-2</v>
      </c>
    </row>
    <row r="21" spans="2:27">
      <c r="B21" s="3" t="s">
        <v>46</v>
      </c>
      <c r="C21" s="3" t="s">
        <v>637</v>
      </c>
      <c r="D21" s="3" t="s">
        <v>657</v>
      </c>
      <c r="E21" s="3" t="s">
        <v>639</v>
      </c>
      <c r="F21" s="7">
        <v>1.2</v>
      </c>
      <c r="G21" s="4">
        <v>4134</v>
      </c>
      <c r="H21" s="4">
        <v>4178</v>
      </c>
      <c r="I21" s="4">
        <v>4057</v>
      </c>
      <c r="J21" s="4">
        <v>4614</v>
      </c>
      <c r="K21" s="4">
        <v>4640</v>
      </c>
      <c r="L21" s="4">
        <v>4818</v>
      </c>
      <c r="M21" s="4">
        <v>5200</v>
      </c>
      <c r="N21" s="4">
        <v>5114</v>
      </c>
      <c r="O21" s="4">
        <v>4919</v>
      </c>
      <c r="P21" s="4">
        <v>4901</v>
      </c>
      <c r="Q21" s="4">
        <v>5051</v>
      </c>
      <c r="R21" s="4">
        <v>4854</v>
      </c>
      <c r="S21" s="4">
        <v>4907</v>
      </c>
      <c r="T21" s="4">
        <v>4825</v>
      </c>
      <c r="U21" s="4">
        <v>5208</v>
      </c>
      <c r="V21" s="4">
        <v>5212</v>
      </c>
      <c r="W21" s="4">
        <v>5153</v>
      </c>
      <c r="X21" s="9">
        <v>-3.8553238979354139E-3</v>
      </c>
      <c r="Y21" s="11">
        <v>7.9951112695422211E-3</v>
      </c>
      <c r="Z21" s="11">
        <v>1.808628877437601E-2</v>
      </c>
      <c r="AA21" s="11">
        <v>1.2207225089321261E-2</v>
      </c>
    </row>
    <row r="22" spans="2:27">
      <c r="B22" s="3" t="s">
        <v>450</v>
      </c>
      <c r="C22" s="3" t="s">
        <v>637</v>
      </c>
      <c r="D22" s="3" t="s">
        <v>658</v>
      </c>
      <c r="E22" s="3" t="s">
        <v>639</v>
      </c>
      <c r="F22" s="7">
        <v>1.1000000000000001</v>
      </c>
      <c r="G22" s="4">
        <v>16675</v>
      </c>
      <c r="H22" s="4">
        <v>17028</v>
      </c>
      <c r="I22" s="4">
        <v>16460</v>
      </c>
      <c r="J22" s="4">
        <v>14648</v>
      </c>
      <c r="K22" s="4">
        <v>14774</v>
      </c>
      <c r="L22" s="4">
        <v>13798</v>
      </c>
      <c r="M22" s="4">
        <v>12907</v>
      </c>
      <c r="N22" s="4">
        <v>13196</v>
      </c>
      <c r="O22" s="4">
        <v>13817</v>
      </c>
      <c r="P22" s="4">
        <v>13185</v>
      </c>
      <c r="Q22" s="4">
        <v>12800</v>
      </c>
      <c r="R22" s="4">
        <v>13519</v>
      </c>
      <c r="S22" s="4">
        <v>14055</v>
      </c>
      <c r="T22" s="4">
        <v>13504</v>
      </c>
      <c r="U22" s="4">
        <v>13220</v>
      </c>
      <c r="V22" s="4">
        <v>13932</v>
      </c>
      <c r="W22" s="4">
        <v>14639</v>
      </c>
      <c r="X22" s="9">
        <v>5.9560484699117122E-3</v>
      </c>
      <c r="Y22" s="11">
        <v>7.7953895838747123E-3</v>
      </c>
      <c r="Z22" s="11">
        <v>7.6061733397179143E-3</v>
      </c>
      <c r="AA22" s="11">
        <v>1.067427025643841E-2</v>
      </c>
    </row>
    <row r="23" spans="2:27">
      <c r="B23" s="3" t="s">
        <v>52</v>
      </c>
      <c r="C23" s="3" t="s">
        <v>637</v>
      </c>
      <c r="D23" s="3" t="s">
        <v>659</v>
      </c>
      <c r="E23" s="3" t="s">
        <v>639</v>
      </c>
      <c r="F23" s="7">
        <v>0.8</v>
      </c>
      <c r="G23" s="4">
        <v>483.21</v>
      </c>
      <c r="H23" s="4">
        <v>498.37</v>
      </c>
      <c r="I23" s="4">
        <v>517.92999999999995</v>
      </c>
      <c r="J23" s="4">
        <v>520.41</v>
      </c>
      <c r="K23" s="4">
        <v>524.47</v>
      </c>
      <c r="L23" s="4">
        <v>525.67999999999995</v>
      </c>
      <c r="M23" s="4">
        <v>545.42999999999995</v>
      </c>
      <c r="N23" s="4">
        <v>556.24</v>
      </c>
      <c r="O23" s="4">
        <v>553.65</v>
      </c>
      <c r="P23" s="4">
        <v>606.55999999999995</v>
      </c>
      <c r="Q23" s="4">
        <v>695.5</v>
      </c>
      <c r="R23" s="4">
        <v>700.4</v>
      </c>
      <c r="S23" s="4">
        <v>697.99</v>
      </c>
      <c r="T23" s="4">
        <v>702.89</v>
      </c>
      <c r="U23" s="4">
        <v>694.35</v>
      </c>
      <c r="V23" s="4">
        <v>705.87</v>
      </c>
      <c r="W23" s="4">
        <v>719.4</v>
      </c>
      <c r="X23" s="9">
        <v>3.5671832472365723E-2</v>
      </c>
      <c r="Y23" s="11">
        <v>-4.1118715093768632E-4</v>
      </c>
      <c r="Z23" s="11">
        <v>1.9566251614124841E-3</v>
      </c>
      <c r="AA23" s="11">
        <v>7.6434257970083852E-3</v>
      </c>
    </row>
    <row r="24" spans="2:27">
      <c r="B24" s="3" t="s">
        <v>102</v>
      </c>
      <c r="C24" s="3" t="s">
        <v>637</v>
      </c>
      <c r="D24" s="3" t="s">
        <v>660</v>
      </c>
      <c r="E24" s="3" t="s">
        <v>639</v>
      </c>
      <c r="F24" s="7">
        <v>0.5</v>
      </c>
      <c r="G24" s="4">
        <v>316.3</v>
      </c>
      <c r="H24" s="4">
        <v>312.39999999999998</v>
      </c>
      <c r="I24" s="4">
        <v>313.39999999999998</v>
      </c>
      <c r="J24" s="4">
        <v>334.8</v>
      </c>
      <c r="K24" s="4">
        <v>314.60000000000002</v>
      </c>
      <c r="L24" s="4">
        <v>305</v>
      </c>
      <c r="M24" s="4">
        <v>324</v>
      </c>
      <c r="N24" s="4">
        <v>363.1</v>
      </c>
      <c r="O24" s="4">
        <v>356.5</v>
      </c>
      <c r="P24" s="4">
        <v>355.6</v>
      </c>
      <c r="Q24" s="4">
        <v>365.5</v>
      </c>
      <c r="R24" s="4">
        <v>378.5</v>
      </c>
      <c r="S24" s="4">
        <v>395.9</v>
      </c>
      <c r="T24" s="4">
        <v>382</v>
      </c>
      <c r="U24" s="4">
        <v>414.2</v>
      </c>
      <c r="V24" s="4">
        <v>420.9</v>
      </c>
      <c r="W24" s="4">
        <v>404.2</v>
      </c>
      <c r="X24" s="9">
        <v>1.765295887662988E-2</v>
      </c>
      <c r="Y24" s="11">
        <v>3.1999474341283703E-2</v>
      </c>
      <c r="Z24" s="11">
        <v>2.699605246402648E-2</v>
      </c>
      <c r="AA24" s="11">
        <v>5.1456912585243764E-3</v>
      </c>
    </row>
    <row r="25" spans="2:27">
      <c r="B25" s="3" t="s">
        <v>92</v>
      </c>
      <c r="C25" s="3" t="s">
        <v>637</v>
      </c>
      <c r="D25" s="3" t="s">
        <v>661</v>
      </c>
      <c r="E25" s="3" t="s">
        <v>639</v>
      </c>
      <c r="F25" s="7">
        <v>-0.2</v>
      </c>
      <c r="G25" s="4">
        <v>294.12</v>
      </c>
      <c r="H25" s="4">
        <v>294.62</v>
      </c>
      <c r="I25" s="4">
        <v>293.12</v>
      </c>
      <c r="J25" s="4">
        <v>292.8</v>
      </c>
      <c r="K25" s="4">
        <v>292.25</v>
      </c>
      <c r="L25" s="4">
        <v>283.97000000000003</v>
      </c>
      <c r="M25" s="4">
        <v>290.68</v>
      </c>
      <c r="N25" s="4">
        <v>296.51</v>
      </c>
      <c r="O25" s="4">
        <v>283.95999999999998</v>
      </c>
      <c r="P25" s="4">
        <v>294.36</v>
      </c>
      <c r="Q25" s="4">
        <v>305.27999999999997</v>
      </c>
      <c r="R25" s="4">
        <v>306.64999999999998</v>
      </c>
      <c r="S25" s="4">
        <v>301.44</v>
      </c>
      <c r="T25" s="4">
        <v>306.23</v>
      </c>
      <c r="U25" s="4">
        <v>304.25</v>
      </c>
      <c r="V25" s="4">
        <v>304.51</v>
      </c>
      <c r="W25" s="4">
        <v>298.64999999999998</v>
      </c>
      <c r="X25" s="9">
        <v>9.8283556755234258E-3</v>
      </c>
      <c r="Y25" s="11">
        <v>-8.4453919317806214E-4</v>
      </c>
      <c r="Z25" s="11">
        <v>-1.756156806748788E-3</v>
      </c>
      <c r="AA25" s="11">
        <v>-2.293596836645095E-3</v>
      </c>
    </row>
    <row r="26" spans="2:27">
      <c r="B26" s="3" t="s">
        <v>257</v>
      </c>
      <c r="C26" s="3" t="s">
        <v>637</v>
      </c>
      <c r="D26" s="3" t="s">
        <v>662</v>
      </c>
      <c r="E26" s="3" t="s">
        <v>639</v>
      </c>
      <c r="F26" s="7">
        <v>-0.9</v>
      </c>
      <c r="G26" s="4">
        <v>410.36</v>
      </c>
      <c r="H26" s="4">
        <v>416.97</v>
      </c>
      <c r="I26" s="4">
        <v>436.52</v>
      </c>
      <c r="J26" s="4">
        <v>437.62</v>
      </c>
      <c r="K26" s="4">
        <v>419.66</v>
      </c>
      <c r="L26" s="4">
        <v>406</v>
      </c>
      <c r="M26" s="4">
        <v>389.19</v>
      </c>
      <c r="N26" s="4">
        <v>373.12</v>
      </c>
      <c r="O26" s="4">
        <v>363.45</v>
      </c>
      <c r="P26" s="4">
        <v>351.89</v>
      </c>
      <c r="Q26" s="4">
        <v>356.32</v>
      </c>
      <c r="R26" s="4">
        <v>353.32</v>
      </c>
      <c r="S26" s="4">
        <v>343.78</v>
      </c>
      <c r="T26" s="4">
        <v>330.03</v>
      </c>
      <c r="U26" s="4">
        <v>334.32</v>
      </c>
      <c r="V26" s="4">
        <v>332.65</v>
      </c>
      <c r="W26" s="4">
        <v>332.02</v>
      </c>
      <c r="X26" s="9">
        <v>-1.555528673388795E-2</v>
      </c>
      <c r="Y26" s="11">
        <v>-1.5902273302251579E-2</v>
      </c>
      <c r="Z26" s="11">
        <v>-1.5182342355576689E-2</v>
      </c>
      <c r="AA26" s="11">
        <v>-8.7710138874386168E-3</v>
      </c>
    </row>
    <row r="27" spans="2:27">
      <c r="B27" s="3" t="s">
        <v>134</v>
      </c>
      <c r="C27" s="3" t="s">
        <v>637</v>
      </c>
      <c r="D27" s="3" t="s">
        <v>663</v>
      </c>
      <c r="E27" s="3" t="s">
        <v>644</v>
      </c>
      <c r="F27" s="7">
        <v>-1</v>
      </c>
      <c r="G27" s="4">
        <v>512</v>
      </c>
      <c r="H27" s="4">
        <v>604</v>
      </c>
      <c r="I27" s="4">
        <v>644</v>
      </c>
      <c r="J27" s="4">
        <v>632</v>
      </c>
      <c r="K27" s="4">
        <v>525</v>
      </c>
      <c r="L27" s="4">
        <v>603</v>
      </c>
      <c r="M27" s="4">
        <v>546</v>
      </c>
      <c r="N27" s="4">
        <v>517</v>
      </c>
      <c r="O27" s="4">
        <v>473</v>
      </c>
      <c r="P27" s="4">
        <v>575</v>
      </c>
      <c r="Q27" s="4">
        <v>544</v>
      </c>
      <c r="R27" s="4">
        <v>522</v>
      </c>
      <c r="S27" s="4">
        <v>405</v>
      </c>
      <c r="T27" s="4">
        <v>479</v>
      </c>
      <c r="U27" s="4">
        <v>463</v>
      </c>
      <c r="V27" s="4">
        <v>477</v>
      </c>
      <c r="W27" s="4">
        <v>386</v>
      </c>
      <c r="X27" s="9">
        <v>-4.692082111436946E-2</v>
      </c>
      <c r="Y27" s="11">
        <v>-4.1538461538461517E-2</v>
      </c>
      <c r="Z27" s="11">
        <v>-2.4077046548956701E-2</v>
      </c>
      <c r="AA27" s="11">
        <v>-1.041666666666663E-2</v>
      </c>
    </row>
    <row r="28" spans="2:27">
      <c r="B28" s="3" t="s">
        <v>122</v>
      </c>
      <c r="C28" s="3" t="s">
        <v>637</v>
      </c>
      <c r="D28" s="3" t="s">
        <v>664</v>
      </c>
      <c r="E28" s="3" t="s">
        <v>639</v>
      </c>
      <c r="F28" s="7">
        <v>-2.4</v>
      </c>
      <c r="G28" s="4">
        <v>473.47</v>
      </c>
      <c r="H28" s="4">
        <v>463.42</v>
      </c>
      <c r="I28" s="4">
        <v>619.88</v>
      </c>
      <c r="J28" s="4">
        <v>632.46</v>
      </c>
      <c r="K28" s="8">
        <v>704.21</v>
      </c>
      <c r="L28" s="4">
        <v>662.92</v>
      </c>
      <c r="M28" s="4">
        <v>641.84</v>
      </c>
      <c r="N28" s="4">
        <v>636.52</v>
      </c>
      <c r="O28" s="4">
        <v>625.41999999999996</v>
      </c>
      <c r="P28" s="4">
        <v>651.70000000000005</v>
      </c>
      <c r="Q28" s="4">
        <v>593.35</v>
      </c>
      <c r="R28" s="4">
        <v>613.57000000000005</v>
      </c>
      <c r="S28" s="4">
        <v>590.09</v>
      </c>
      <c r="T28" s="4">
        <v>540.47</v>
      </c>
      <c r="U28" s="4">
        <v>547.46</v>
      </c>
      <c r="V28" s="4">
        <v>571.37</v>
      </c>
      <c r="W28" s="4">
        <v>535.51</v>
      </c>
      <c r="X28" s="9">
        <v>-4.5423917082872189E-2</v>
      </c>
      <c r="Y28" s="11">
        <v>-1.9632253537998131E-2</v>
      </c>
      <c r="Z28" s="11">
        <v>-1.8415161525403682E-2</v>
      </c>
      <c r="AA28" s="11">
        <v>-2.426435611432454E-2</v>
      </c>
    </row>
    <row r="29" spans="2:27">
      <c r="B29" s="3" t="s">
        <v>206</v>
      </c>
      <c r="C29" s="3" t="s">
        <v>637</v>
      </c>
      <c r="D29" s="3" t="s">
        <v>665</v>
      </c>
      <c r="E29" s="3" t="s">
        <v>639</v>
      </c>
      <c r="F29" s="7">
        <v>-39.5</v>
      </c>
      <c r="G29" s="4">
        <v>166.7</v>
      </c>
      <c r="H29" s="4">
        <v>-33.03</v>
      </c>
      <c r="I29" s="4">
        <v>-88.9</v>
      </c>
      <c r="J29" s="4">
        <v>346.8</v>
      </c>
      <c r="K29" s="4">
        <v>-146.16999999999999</v>
      </c>
      <c r="L29" s="4">
        <v>-100.54</v>
      </c>
      <c r="M29" s="8">
        <v>239.29</v>
      </c>
      <c r="N29" s="4">
        <v>349.87</v>
      </c>
      <c r="O29" s="4">
        <v>-233.74</v>
      </c>
      <c r="P29" s="8">
        <v>259.25</v>
      </c>
      <c r="Q29" s="4">
        <v>136.57</v>
      </c>
      <c r="R29" s="4">
        <v>-73.11</v>
      </c>
      <c r="S29" s="8">
        <v>271.04000000000002</v>
      </c>
      <c r="T29" s="4">
        <v>7.89</v>
      </c>
      <c r="U29" s="4">
        <v>23.61</v>
      </c>
      <c r="V29" s="8">
        <v>201.36</v>
      </c>
      <c r="W29" s="4">
        <v>71.94</v>
      </c>
      <c r="X29" s="9">
        <v>-0.42334315789473692</v>
      </c>
      <c r="Y29" s="11">
        <v>-0.32991617745845381</v>
      </c>
      <c r="Z29" s="10">
        <v>1.196312600793271</v>
      </c>
      <c r="AA29" s="11">
        <v>-0.39511807898392542</v>
      </c>
    </row>
    <row r="30" spans="2:27">
      <c r="B30" s="3">
        <v>8331</v>
      </c>
      <c r="C30" s="3" t="s">
        <v>666</v>
      </c>
      <c r="D30" s="3" t="s">
        <v>667</v>
      </c>
      <c r="E30" s="3" t="s">
        <v>646</v>
      </c>
      <c r="F30" s="7">
        <v>7</v>
      </c>
      <c r="G30" s="4">
        <v>52659</v>
      </c>
      <c r="H30" s="4">
        <v>49973</v>
      </c>
      <c r="I30" s="4">
        <v>61244</v>
      </c>
      <c r="J30" s="4">
        <v>63020</v>
      </c>
      <c r="K30" s="4">
        <v>60603</v>
      </c>
      <c r="L30" s="4">
        <v>55498</v>
      </c>
      <c r="M30" s="4">
        <v>60170</v>
      </c>
      <c r="N30" s="4">
        <v>60590</v>
      </c>
      <c r="O30" s="4">
        <v>61776</v>
      </c>
      <c r="P30" s="4">
        <v>55515</v>
      </c>
      <c r="Q30" s="4">
        <v>67905</v>
      </c>
      <c r="R30" s="4">
        <v>66474</v>
      </c>
      <c r="S30" s="4">
        <v>64252</v>
      </c>
      <c r="T30" s="4">
        <v>65179</v>
      </c>
      <c r="U30" s="4">
        <v>75955</v>
      </c>
      <c r="V30" s="4">
        <v>81359</v>
      </c>
      <c r="W30" s="4">
        <v>84291</v>
      </c>
      <c r="X30" s="9">
        <v>3.8025386982285747E-2</v>
      </c>
      <c r="Y30" s="11">
        <v>3.0514385353095141E-2</v>
      </c>
      <c r="Z30" s="11">
        <v>5.4752446111969499E-2</v>
      </c>
      <c r="AA30" s="11">
        <v>6.9884392055659106E-2</v>
      </c>
    </row>
    <row r="31" spans="2:27">
      <c r="B31" s="3">
        <v>7337</v>
      </c>
      <c r="C31" s="3" t="s">
        <v>666</v>
      </c>
      <c r="D31" s="3" t="s">
        <v>667</v>
      </c>
      <c r="E31" s="3" t="s">
        <v>646</v>
      </c>
      <c r="F31" s="7">
        <v>6.9</v>
      </c>
      <c r="G31" s="4">
        <v>35473</v>
      </c>
      <c r="H31" s="4">
        <v>31052</v>
      </c>
      <c r="I31" s="4">
        <v>36024</v>
      </c>
      <c r="J31" s="4">
        <v>28051</v>
      </c>
      <c r="K31" s="4">
        <v>34042</v>
      </c>
      <c r="L31" s="4">
        <v>33564</v>
      </c>
      <c r="M31" s="4">
        <v>36058</v>
      </c>
      <c r="N31" s="4">
        <v>36180</v>
      </c>
      <c r="O31" s="4">
        <v>35605</v>
      </c>
      <c r="P31" s="4">
        <v>27550</v>
      </c>
      <c r="Q31" s="4">
        <v>38834</v>
      </c>
      <c r="R31" s="4">
        <v>38922</v>
      </c>
      <c r="S31" s="4">
        <v>42895</v>
      </c>
      <c r="T31" s="4">
        <v>37223</v>
      </c>
      <c r="U31" s="4">
        <v>42154</v>
      </c>
      <c r="V31" s="4">
        <v>39847</v>
      </c>
      <c r="W31" s="4">
        <v>54153</v>
      </c>
      <c r="X31" s="9">
        <v>6.5269465118318992E-2</v>
      </c>
      <c r="Y31" s="11">
        <v>2.1029428531613711E-2</v>
      </c>
      <c r="Z31" s="11">
        <v>5.7384269885976114E-3</v>
      </c>
      <c r="AA31" s="11">
        <v>6.9442816696377418E-2</v>
      </c>
    </row>
    <row r="32" spans="2:27">
      <c r="B32" s="3">
        <v>8386</v>
      </c>
      <c r="C32" s="3" t="s">
        <v>666</v>
      </c>
      <c r="D32" s="3" t="s">
        <v>667</v>
      </c>
      <c r="E32" s="3" t="s">
        <v>642</v>
      </c>
      <c r="F32" s="7">
        <v>6</v>
      </c>
      <c r="G32" s="4">
        <v>17037</v>
      </c>
      <c r="H32" s="4">
        <v>18567</v>
      </c>
      <c r="I32" s="4">
        <v>15023</v>
      </c>
      <c r="J32" s="4">
        <v>21178</v>
      </c>
      <c r="K32" s="4">
        <v>20437</v>
      </c>
      <c r="L32" s="4">
        <v>19040</v>
      </c>
      <c r="M32" s="4">
        <v>14645</v>
      </c>
      <c r="N32" s="4">
        <v>16940</v>
      </c>
      <c r="O32" s="4">
        <v>14494</v>
      </c>
      <c r="P32" s="4">
        <v>17039</v>
      </c>
      <c r="Q32" s="4">
        <v>17520</v>
      </c>
      <c r="R32" s="4">
        <v>17247</v>
      </c>
      <c r="S32" s="4">
        <v>14292</v>
      </c>
      <c r="T32" s="4">
        <v>19913</v>
      </c>
      <c r="U32" s="4">
        <v>18479</v>
      </c>
      <c r="V32" s="4">
        <v>20602</v>
      </c>
      <c r="W32" s="4">
        <v>18703</v>
      </c>
      <c r="X32" s="9">
        <v>4.3480892008835433E-2</v>
      </c>
      <c r="Y32" s="11">
        <v>1.390419300585743E-2</v>
      </c>
      <c r="Z32" s="11">
        <v>4.7975861921036422E-2</v>
      </c>
      <c r="AA32" s="11">
        <v>6.018884916628009E-2</v>
      </c>
    </row>
    <row r="33" spans="2:27">
      <c r="B33" s="3">
        <v>1814</v>
      </c>
      <c r="C33" s="3" t="s">
        <v>666</v>
      </c>
      <c r="D33" s="3" t="s">
        <v>667</v>
      </c>
      <c r="E33" s="3" t="s">
        <v>642</v>
      </c>
      <c r="F33" s="7">
        <v>4.9000000000000004</v>
      </c>
      <c r="G33" s="4">
        <v>16376</v>
      </c>
      <c r="H33" s="4">
        <v>18292</v>
      </c>
      <c r="I33" s="4">
        <v>18640</v>
      </c>
      <c r="J33" s="4">
        <v>18790</v>
      </c>
      <c r="K33" s="4">
        <v>20028</v>
      </c>
      <c r="L33" s="4">
        <v>16361</v>
      </c>
      <c r="M33" s="4">
        <v>16655</v>
      </c>
      <c r="N33" s="4">
        <v>17353</v>
      </c>
      <c r="O33" s="4">
        <v>18899</v>
      </c>
      <c r="P33" s="4">
        <v>20503</v>
      </c>
      <c r="Q33" s="4">
        <v>21060</v>
      </c>
      <c r="R33" s="4">
        <v>19901</v>
      </c>
      <c r="S33" s="4">
        <v>21156</v>
      </c>
      <c r="T33" s="4">
        <v>23529</v>
      </c>
      <c r="U33" s="4">
        <v>24442</v>
      </c>
      <c r="V33" s="4">
        <v>21464</v>
      </c>
      <c r="W33" s="4">
        <v>25558</v>
      </c>
      <c r="X33" s="9">
        <v>3.6625514403292092E-2</v>
      </c>
      <c r="Y33" s="11">
        <v>3.9488125540013463E-2</v>
      </c>
      <c r="Z33" s="11">
        <v>1.755627443051622E-2</v>
      </c>
      <c r="AA33" s="11">
        <v>4.8592023490192197E-2</v>
      </c>
    </row>
    <row r="34" spans="2:27">
      <c r="B34" s="3">
        <v>6762</v>
      </c>
      <c r="C34" s="3" t="s">
        <v>666</v>
      </c>
      <c r="D34" s="3" t="s">
        <v>667</v>
      </c>
      <c r="E34" s="3" t="s">
        <v>642</v>
      </c>
      <c r="F34" s="7">
        <v>3.5</v>
      </c>
      <c r="G34" s="4">
        <v>474127</v>
      </c>
      <c r="H34" s="4">
        <v>499670</v>
      </c>
      <c r="I34" s="4">
        <v>508269</v>
      </c>
      <c r="J34" s="4">
        <v>510504</v>
      </c>
      <c r="K34" s="4">
        <v>611489</v>
      </c>
      <c r="L34" s="4">
        <v>586972</v>
      </c>
      <c r="M34" s="4">
        <v>471852</v>
      </c>
      <c r="N34" s="4">
        <v>503399</v>
      </c>
      <c r="O34" s="4">
        <v>556312</v>
      </c>
      <c r="P34" s="4">
        <v>559250</v>
      </c>
      <c r="Q34" s="4">
        <v>484915</v>
      </c>
      <c r="R34" s="4">
        <v>518809</v>
      </c>
      <c r="S34" s="4">
        <v>570692</v>
      </c>
      <c r="T34" s="4">
        <v>581043</v>
      </c>
      <c r="U34" s="4">
        <v>534262</v>
      </c>
      <c r="V34" s="4">
        <v>535753</v>
      </c>
      <c r="W34" s="4">
        <v>647610</v>
      </c>
      <c r="X34" s="9">
        <v>1.02138760237076E-2</v>
      </c>
      <c r="Y34" s="11">
        <v>2.2893963652289351E-2</v>
      </c>
      <c r="Z34" s="11">
        <v>7.6850298847155329E-3</v>
      </c>
      <c r="AA34" s="11">
        <v>3.4620456847080039E-2</v>
      </c>
    </row>
    <row r="35" spans="2:27">
      <c r="B35" s="3">
        <v>8346</v>
      </c>
      <c r="C35" s="3" t="s">
        <v>666</v>
      </c>
      <c r="D35" s="3" t="s">
        <v>667</v>
      </c>
      <c r="E35" s="3" t="s">
        <v>642</v>
      </c>
      <c r="F35" s="7">
        <v>3.2</v>
      </c>
      <c r="G35" s="4">
        <v>14750</v>
      </c>
      <c r="H35" s="4">
        <v>14288</v>
      </c>
      <c r="I35" s="4">
        <v>14091</v>
      </c>
      <c r="J35" s="4">
        <v>14536</v>
      </c>
      <c r="K35" s="4">
        <v>13215</v>
      </c>
      <c r="L35" s="4">
        <v>13962</v>
      </c>
      <c r="M35" s="4">
        <v>13006</v>
      </c>
      <c r="N35" s="4">
        <v>14421</v>
      </c>
      <c r="O35" s="4">
        <v>13647</v>
      </c>
      <c r="P35" s="4">
        <v>15023</v>
      </c>
      <c r="Q35" s="4">
        <v>13888</v>
      </c>
      <c r="R35" s="4">
        <v>15806</v>
      </c>
      <c r="S35" s="4">
        <v>15618</v>
      </c>
      <c r="T35" s="4">
        <v>16217</v>
      </c>
      <c r="U35" s="4">
        <v>16230</v>
      </c>
      <c r="V35" s="4">
        <v>18249</v>
      </c>
      <c r="W35" s="4">
        <v>17757</v>
      </c>
      <c r="X35" s="9">
        <v>1.9789508577111151E-2</v>
      </c>
      <c r="Y35" s="11">
        <v>3.8063352240407022E-2</v>
      </c>
      <c r="Z35" s="11">
        <v>3.8248970581328028E-2</v>
      </c>
      <c r="AA35" s="11">
        <v>3.2255632294839742E-2</v>
      </c>
    </row>
    <row r="36" spans="2:27">
      <c r="B36" s="3">
        <v>3132</v>
      </c>
      <c r="C36" s="3" t="s">
        <v>666</v>
      </c>
      <c r="D36" s="3" t="s">
        <v>667</v>
      </c>
      <c r="E36" s="3" t="s">
        <v>642</v>
      </c>
      <c r="F36" s="7">
        <v>2.9</v>
      </c>
      <c r="G36" s="4">
        <v>184279</v>
      </c>
      <c r="H36" s="4">
        <v>194802</v>
      </c>
      <c r="I36" s="4">
        <v>204678</v>
      </c>
      <c r="J36" s="4">
        <v>241320</v>
      </c>
      <c r="K36" s="4">
        <v>251242</v>
      </c>
      <c r="L36" s="4">
        <v>275442</v>
      </c>
      <c r="M36" s="4">
        <v>261259</v>
      </c>
      <c r="N36" s="4">
        <v>278562</v>
      </c>
      <c r="O36" s="4">
        <v>268399</v>
      </c>
      <c r="P36" s="4">
        <v>253342</v>
      </c>
      <c r="Q36" s="4">
        <v>228415</v>
      </c>
      <c r="R36" s="4">
        <v>256330</v>
      </c>
      <c r="S36" s="4">
        <v>262630</v>
      </c>
      <c r="T36" s="4">
        <v>262829</v>
      </c>
      <c r="U36" s="4">
        <v>252391</v>
      </c>
      <c r="V36" s="4">
        <v>281613</v>
      </c>
      <c r="W36" s="4">
        <v>293822</v>
      </c>
      <c r="X36" s="9">
        <v>9.4802026946678719E-3</v>
      </c>
      <c r="Y36" s="11">
        <v>2.37338200997026E-2</v>
      </c>
      <c r="Z36" s="11">
        <v>2.4447388268966641E-2</v>
      </c>
      <c r="AA36" s="11">
        <v>2.9441330183309859E-2</v>
      </c>
    </row>
    <row r="37" spans="2:27">
      <c r="B37" s="3">
        <v>8841</v>
      </c>
      <c r="C37" s="3" t="s">
        <v>666</v>
      </c>
      <c r="D37" s="3" t="s">
        <v>667</v>
      </c>
      <c r="E37" s="3" t="s">
        <v>642</v>
      </c>
      <c r="F37" s="7">
        <v>2.8</v>
      </c>
      <c r="G37" s="4">
        <v>4012</v>
      </c>
      <c r="H37" s="4">
        <v>4018</v>
      </c>
      <c r="I37" s="4">
        <v>4257</v>
      </c>
      <c r="J37" s="4">
        <v>4001</v>
      </c>
      <c r="K37" s="4">
        <v>4053</v>
      </c>
      <c r="L37" s="4">
        <v>3956</v>
      </c>
      <c r="M37" s="4">
        <v>3676</v>
      </c>
      <c r="N37" s="4">
        <v>3477</v>
      </c>
      <c r="O37" s="4">
        <v>3347</v>
      </c>
      <c r="P37" s="4">
        <v>3486</v>
      </c>
      <c r="Q37" s="4">
        <v>3405</v>
      </c>
      <c r="R37" s="4">
        <v>2993</v>
      </c>
      <c r="S37" s="4">
        <v>3282</v>
      </c>
      <c r="T37" s="4">
        <v>3382</v>
      </c>
      <c r="U37" s="4">
        <v>3495</v>
      </c>
      <c r="V37" s="4">
        <v>3465</v>
      </c>
      <c r="W37" s="4">
        <v>3666</v>
      </c>
      <c r="X37" s="9">
        <v>-7.8991341333738418E-3</v>
      </c>
      <c r="Y37" s="11">
        <v>6.8902158934314173E-3</v>
      </c>
      <c r="Z37" s="11">
        <v>3.5888077858880818E-2</v>
      </c>
      <c r="AA37" s="11">
        <v>2.818555490311225E-2</v>
      </c>
    </row>
    <row r="38" spans="2:27">
      <c r="B38" s="3">
        <v>8601</v>
      </c>
      <c r="C38" s="3" t="s">
        <v>666</v>
      </c>
      <c r="D38" s="3" t="s">
        <v>667</v>
      </c>
      <c r="E38" s="3" t="s">
        <v>642</v>
      </c>
      <c r="F38" s="7">
        <v>2.5</v>
      </c>
      <c r="G38" s="4">
        <v>154678</v>
      </c>
      <c r="H38" s="4">
        <v>166602</v>
      </c>
      <c r="I38" s="4">
        <v>148323</v>
      </c>
      <c r="J38" s="4">
        <v>146604</v>
      </c>
      <c r="K38" s="4">
        <v>192551</v>
      </c>
      <c r="L38" s="8">
        <v>233022</v>
      </c>
      <c r="M38" s="8">
        <v>293864</v>
      </c>
      <c r="N38" s="8">
        <v>266255</v>
      </c>
      <c r="O38" s="8">
        <v>303827</v>
      </c>
      <c r="P38" s="4">
        <v>335377</v>
      </c>
      <c r="Q38" s="4">
        <v>372008</v>
      </c>
      <c r="R38" s="4">
        <v>176188</v>
      </c>
      <c r="S38" s="4">
        <v>159958</v>
      </c>
      <c r="T38" s="4">
        <v>160018</v>
      </c>
      <c r="U38" s="8">
        <v>876860</v>
      </c>
      <c r="V38" s="4">
        <v>160993</v>
      </c>
      <c r="W38" s="4">
        <v>194358</v>
      </c>
      <c r="X38" s="9">
        <v>-0.16804388178214161</v>
      </c>
      <c r="Y38" s="10">
        <v>0.58151149772164956</v>
      </c>
      <c r="Z38" s="11">
        <v>-1.106681310741842E-2</v>
      </c>
      <c r="AA38" s="11">
        <v>2.5334559800976431E-2</v>
      </c>
    </row>
    <row r="39" spans="2:27">
      <c r="B39" s="3">
        <v>3467</v>
      </c>
      <c r="C39" s="3" t="s">
        <v>666</v>
      </c>
      <c r="D39" s="3" t="s">
        <v>667</v>
      </c>
      <c r="E39" s="3" t="s">
        <v>642</v>
      </c>
      <c r="F39" s="7">
        <v>2.5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4">
        <v>13370</v>
      </c>
      <c r="R39" s="4">
        <v>4971</v>
      </c>
      <c r="S39" s="4">
        <v>8508</v>
      </c>
      <c r="T39" s="4">
        <v>6124</v>
      </c>
      <c r="U39" s="4">
        <v>11140</v>
      </c>
      <c r="V39" s="4">
        <v>6930</v>
      </c>
      <c r="W39" s="4">
        <v>9318</v>
      </c>
      <c r="X39" s="12"/>
      <c r="Y39" s="11">
        <v>-6.7631092105662205E-2</v>
      </c>
      <c r="Z39" s="11">
        <v>6.372182285398309E-2</v>
      </c>
      <c r="AA39" s="11">
        <v>2.4769127270503288E-2</v>
      </c>
    </row>
    <row r="40" spans="2:27">
      <c r="B40" s="3">
        <v>4768</v>
      </c>
      <c r="C40" s="3" t="s">
        <v>666</v>
      </c>
      <c r="D40" s="3" t="s">
        <v>667</v>
      </c>
      <c r="E40" s="3" t="s">
        <v>639</v>
      </c>
      <c r="F40" s="7">
        <v>2.5</v>
      </c>
      <c r="G40" s="4">
        <v>192635</v>
      </c>
      <c r="H40" s="4">
        <v>210069</v>
      </c>
      <c r="I40" s="4">
        <v>235267</v>
      </c>
      <c r="J40" s="4">
        <v>207843</v>
      </c>
      <c r="K40" s="4">
        <v>207843</v>
      </c>
      <c r="L40" s="4">
        <v>242609</v>
      </c>
      <c r="M40" s="4">
        <v>278447</v>
      </c>
      <c r="N40" s="4">
        <v>219002</v>
      </c>
      <c r="O40" s="4">
        <v>237312</v>
      </c>
      <c r="P40" s="4">
        <v>266664</v>
      </c>
      <c r="Q40" s="4">
        <v>303058</v>
      </c>
      <c r="R40" s="4">
        <v>252540</v>
      </c>
      <c r="S40" s="4">
        <v>285406</v>
      </c>
      <c r="T40" s="4">
        <v>315541</v>
      </c>
      <c r="U40" s="4">
        <v>379591</v>
      </c>
      <c r="V40" s="4">
        <v>310587</v>
      </c>
      <c r="W40" s="4">
        <v>317072</v>
      </c>
      <c r="X40" s="9">
        <v>4.4126037765828803E-2</v>
      </c>
      <c r="Y40" s="11">
        <v>6.6173819436338377E-2</v>
      </c>
      <c r="Z40" s="11">
        <v>4.7074880907777228E-2</v>
      </c>
      <c r="AA40" s="11">
        <v>2.4525897957207832E-2</v>
      </c>
    </row>
    <row r="41" spans="2:27">
      <c r="B41" s="3">
        <v>2222</v>
      </c>
      <c r="C41" s="3" t="s">
        <v>666</v>
      </c>
      <c r="D41" s="3" t="s">
        <v>667</v>
      </c>
      <c r="E41" s="3" t="s">
        <v>646</v>
      </c>
      <c r="F41" s="7">
        <v>2.4</v>
      </c>
      <c r="G41" s="4">
        <v>10963</v>
      </c>
      <c r="H41" s="4">
        <v>9270</v>
      </c>
      <c r="I41" s="4">
        <v>9515</v>
      </c>
      <c r="J41" s="4">
        <v>10584</v>
      </c>
      <c r="K41" s="8">
        <v>15271</v>
      </c>
      <c r="L41" s="8">
        <v>14785</v>
      </c>
      <c r="M41" s="4">
        <v>13853</v>
      </c>
      <c r="N41" s="4">
        <v>15038</v>
      </c>
      <c r="O41" s="4">
        <v>18145</v>
      </c>
      <c r="P41" s="4">
        <v>16999</v>
      </c>
      <c r="Q41" s="4">
        <v>15526</v>
      </c>
      <c r="R41" s="4">
        <v>17380</v>
      </c>
      <c r="S41" s="4">
        <v>20901</v>
      </c>
      <c r="T41" s="4">
        <v>18542</v>
      </c>
      <c r="U41" s="4">
        <v>16976</v>
      </c>
      <c r="V41" s="4">
        <v>18811</v>
      </c>
      <c r="W41" s="4">
        <v>22698</v>
      </c>
      <c r="X41" s="9">
        <v>2.1791938536282141E-2</v>
      </c>
      <c r="Y41" s="11">
        <v>2.004174211115561E-2</v>
      </c>
      <c r="Z41" s="11">
        <v>1.939050664643149E-2</v>
      </c>
      <c r="AA41" s="11">
        <v>2.3886747308254689E-2</v>
      </c>
    </row>
    <row r="42" spans="2:27">
      <c r="B42" s="3">
        <v>8081</v>
      </c>
      <c r="C42" s="3" t="s">
        <v>666</v>
      </c>
      <c r="D42" s="3" t="s">
        <v>667</v>
      </c>
      <c r="E42" s="3" t="s">
        <v>642</v>
      </c>
      <c r="F42" s="7">
        <v>2</v>
      </c>
      <c r="G42" s="4">
        <v>23819</v>
      </c>
      <c r="H42" s="4">
        <v>23234</v>
      </c>
      <c r="I42" s="4">
        <v>32599</v>
      </c>
      <c r="J42" s="4">
        <v>19355</v>
      </c>
      <c r="K42" s="4">
        <v>26199</v>
      </c>
      <c r="L42" s="4">
        <v>24763</v>
      </c>
      <c r="M42" s="4">
        <v>36102</v>
      </c>
      <c r="N42" s="4">
        <v>24703</v>
      </c>
      <c r="O42" s="4">
        <v>28944</v>
      </c>
      <c r="P42" s="4">
        <v>26716</v>
      </c>
      <c r="Q42" s="4">
        <v>35908</v>
      </c>
      <c r="R42" s="4">
        <v>22441</v>
      </c>
      <c r="S42" s="4">
        <v>29371</v>
      </c>
      <c r="T42" s="4">
        <v>27588</v>
      </c>
      <c r="U42" s="4">
        <v>46265</v>
      </c>
      <c r="V42" s="4">
        <v>29609</v>
      </c>
      <c r="W42" s="4">
        <v>32048</v>
      </c>
      <c r="X42" s="9">
        <v>7.6199797266593983E-3</v>
      </c>
      <c r="Y42" s="11">
        <v>8.982030735074753E-2</v>
      </c>
      <c r="Z42" s="11">
        <v>5.7040544304301173E-2</v>
      </c>
      <c r="AA42" s="11">
        <v>2.0153124600061689E-2</v>
      </c>
    </row>
    <row r="43" spans="2:27">
      <c r="B43" s="3">
        <v>6908</v>
      </c>
      <c r="C43" s="3" t="s">
        <v>666</v>
      </c>
      <c r="D43" s="3" t="s">
        <v>667</v>
      </c>
      <c r="E43" s="3" t="s">
        <v>642</v>
      </c>
      <c r="F43" s="7">
        <v>2</v>
      </c>
      <c r="G43" s="4">
        <v>10792</v>
      </c>
      <c r="H43" s="4">
        <v>10446</v>
      </c>
      <c r="I43" s="4">
        <v>11439</v>
      </c>
      <c r="J43" s="4">
        <v>11929</v>
      </c>
      <c r="K43" s="4">
        <v>13614</v>
      </c>
      <c r="L43" s="4">
        <v>13976</v>
      </c>
      <c r="M43" s="4">
        <v>13384</v>
      </c>
      <c r="N43" s="4">
        <v>12496</v>
      </c>
      <c r="O43" s="4">
        <v>15644</v>
      </c>
      <c r="P43" s="4">
        <v>13000</v>
      </c>
      <c r="Q43" s="4">
        <v>14131</v>
      </c>
      <c r="R43" s="4">
        <v>12534</v>
      </c>
      <c r="S43" s="4">
        <v>14625</v>
      </c>
      <c r="T43" s="4">
        <v>15009</v>
      </c>
      <c r="U43" s="4">
        <v>14164</v>
      </c>
      <c r="V43" s="4">
        <v>15163</v>
      </c>
      <c r="W43" s="4">
        <v>15811</v>
      </c>
      <c r="X43" s="9">
        <v>3.7004973291582248E-2</v>
      </c>
      <c r="Y43" s="11">
        <v>5.8615605961032102E-4</v>
      </c>
      <c r="Z43" s="11">
        <v>4.6669743662571823E-2</v>
      </c>
      <c r="AA43" s="11">
        <v>2.0114991265412829E-2</v>
      </c>
    </row>
    <row r="44" spans="2:27">
      <c r="B44" s="3">
        <v>9022</v>
      </c>
      <c r="C44" s="3" t="s">
        <v>666</v>
      </c>
      <c r="D44" s="3" t="s">
        <v>667</v>
      </c>
      <c r="E44" s="3" t="s">
        <v>646</v>
      </c>
      <c r="F44" s="7">
        <v>1.9</v>
      </c>
      <c r="G44" s="4">
        <v>299440</v>
      </c>
      <c r="H44" s="4">
        <v>248750</v>
      </c>
      <c r="I44" s="4">
        <v>309342</v>
      </c>
      <c r="J44" s="4">
        <v>324797</v>
      </c>
      <c r="K44" s="4">
        <v>385012</v>
      </c>
      <c r="L44" s="8">
        <v>381134</v>
      </c>
      <c r="M44" s="4">
        <v>395091</v>
      </c>
      <c r="N44" s="4">
        <v>422454</v>
      </c>
      <c r="O44" s="4">
        <v>455472</v>
      </c>
      <c r="P44" s="4">
        <v>437390</v>
      </c>
      <c r="Q44" s="4">
        <v>435290</v>
      </c>
      <c r="R44" s="4">
        <v>438575</v>
      </c>
      <c r="S44" s="4">
        <v>494172</v>
      </c>
      <c r="T44" s="4">
        <v>463810</v>
      </c>
      <c r="U44" s="4">
        <v>478283</v>
      </c>
      <c r="V44" s="4">
        <v>503919</v>
      </c>
      <c r="W44" s="4">
        <v>531950</v>
      </c>
      <c r="X44" s="9">
        <v>1.463365730101529E-2</v>
      </c>
      <c r="Y44" s="11">
        <v>2.3469754843062681E-2</v>
      </c>
      <c r="Z44" s="11">
        <v>3.4853107465170341E-2</v>
      </c>
      <c r="AA44" s="11">
        <v>1.947134910915671E-2</v>
      </c>
    </row>
    <row r="45" spans="2:27">
      <c r="B45" s="3">
        <v>6971</v>
      </c>
      <c r="C45" s="3" t="s">
        <v>666</v>
      </c>
      <c r="D45" s="3" t="s">
        <v>667</v>
      </c>
      <c r="E45" s="3" t="s">
        <v>646</v>
      </c>
      <c r="F45" s="7">
        <v>1.9</v>
      </c>
      <c r="G45" s="4">
        <v>479328</v>
      </c>
      <c r="H45" s="4">
        <v>483273</v>
      </c>
      <c r="I45" s="4">
        <v>491954</v>
      </c>
      <c r="J45" s="4">
        <v>520218</v>
      </c>
      <c r="K45" s="4">
        <v>514325</v>
      </c>
      <c r="L45" s="4">
        <v>498835</v>
      </c>
      <c r="M45" s="4">
        <v>479420</v>
      </c>
      <c r="N45" s="4">
        <v>505870</v>
      </c>
      <c r="O45" s="4">
        <v>507382</v>
      </c>
      <c r="P45" s="4">
        <v>511549</v>
      </c>
      <c r="Q45" s="4">
        <v>498868</v>
      </c>
      <c r="R45" s="4">
        <v>499720</v>
      </c>
      <c r="S45" s="4">
        <v>493467</v>
      </c>
      <c r="T45" s="4">
        <v>522399</v>
      </c>
      <c r="U45" s="4">
        <v>478038</v>
      </c>
      <c r="V45" s="4">
        <v>513347</v>
      </c>
      <c r="W45" s="4">
        <v>530611</v>
      </c>
      <c r="X45" s="9">
        <v>5.4152417343946713E-3</v>
      </c>
      <c r="Y45" s="11">
        <v>-1.034027086247691E-2</v>
      </c>
      <c r="Z45" s="11">
        <v>6.8352909074127499E-3</v>
      </c>
      <c r="AA45" s="11">
        <v>1.8504910447173731E-2</v>
      </c>
    </row>
    <row r="46" spans="2:27">
      <c r="B46" s="3">
        <v>2676</v>
      </c>
      <c r="C46" s="3" t="s">
        <v>666</v>
      </c>
      <c r="D46" s="3" t="s">
        <v>667</v>
      </c>
      <c r="E46" s="3" t="s">
        <v>642</v>
      </c>
      <c r="F46" s="7">
        <v>1.8</v>
      </c>
      <c r="G46" s="4">
        <v>5181</v>
      </c>
      <c r="H46" s="4">
        <v>5200</v>
      </c>
      <c r="I46" s="4">
        <v>6001</v>
      </c>
      <c r="J46" s="4">
        <v>4974</v>
      </c>
      <c r="K46" s="4">
        <v>6144</v>
      </c>
      <c r="L46" s="4">
        <v>5816</v>
      </c>
      <c r="M46" s="4">
        <v>6426</v>
      </c>
      <c r="N46" s="4">
        <v>6080</v>
      </c>
      <c r="O46" s="4">
        <v>6649</v>
      </c>
      <c r="P46" s="4">
        <v>6231</v>
      </c>
      <c r="Q46" s="4">
        <v>6264</v>
      </c>
      <c r="R46" s="4">
        <v>6421</v>
      </c>
      <c r="S46" s="4">
        <v>6893</v>
      </c>
      <c r="T46" s="4">
        <v>6334</v>
      </c>
      <c r="U46" s="4">
        <v>8450</v>
      </c>
      <c r="V46" s="4">
        <v>6068</v>
      </c>
      <c r="W46" s="4">
        <v>7404</v>
      </c>
      <c r="X46" s="9">
        <v>3.9908559029795398E-3</v>
      </c>
      <c r="Y46" s="11">
        <v>8.4362457548626146E-2</v>
      </c>
      <c r="Z46" s="11">
        <v>-1.256317175599686E-2</v>
      </c>
      <c r="AA46" s="11">
        <v>1.8417732924851379E-2</v>
      </c>
    </row>
    <row r="47" spans="2:27">
      <c r="B47" s="3">
        <v>2282</v>
      </c>
      <c r="C47" s="3" t="s">
        <v>666</v>
      </c>
      <c r="D47" s="3" t="s">
        <v>667</v>
      </c>
      <c r="E47" s="3" t="s">
        <v>642</v>
      </c>
      <c r="F47" s="7">
        <v>1.6</v>
      </c>
      <c r="G47" s="4">
        <v>308418</v>
      </c>
      <c r="H47" s="4">
        <v>349874</v>
      </c>
      <c r="I47" s="4">
        <v>0</v>
      </c>
      <c r="J47" s="4">
        <v>311512</v>
      </c>
      <c r="K47" s="4">
        <v>322512</v>
      </c>
      <c r="L47" s="4">
        <v>352079</v>
      </c>
      <c r="M47" s="8">
        <v>273689</v>
      </c>
      <c r="N47" s="4">
        <v>322175</v>
      </c>
      <c r="O47" s="4">
        <v>329947</v>
      </c>
      <c r="P47" s="4">
        <v>345835</v>
      </c>
      <c r="Q47" s="4">
        <v>305475</v>
      </c>
      <c r="R47" s="4">
        <v>338050</v>
      </c>
      <c r="S47" s="4">
        <v>345814</v>
      </c>
      <c r="T47" s="4">
        <v>371154</v>
      </c>
      <c r="U47" s="4">
        <v>315535</v>
      </c>
      <c r="V47" s="4">
        <v>354141</v>
      </c>
      <c r="W47" s="4">
        <v>368458</v>
      </c>
      <c r="X47" s="9">
        <v>1.8963071479822121E-2</v>
      </c>
      <c r="Y47" s="11">
        <v>7.3943783613734659E-3</v>
      </c>
      <c r="Z47" s="11">
        <v>1.174051641928475E-2</v>
      </c>
      <c r="AA47" s="11">
        <v>1.6330074626219829E-2</v>
      </c>
    </row>
    <row r="48" spans="2:27">
      <c r="B48" s="3">
        <v>9020</v>
      </c>
      <c r="C48" s="3" t="s">
        <v>666</v>
      </c>
      <c r="D48" s="3" t="s">
        <v>667</v>
      </c>
      <c r="E48" s="3" t="s">
        <v>646</v>
      </c>
      <c r="F48" s="7">
        <v>1.6</v>
      </c>
      <c r="G48" s="4">
        <v>604954</v>
      </c>
      <c r="H48" s="4">
        <v>496173</v>
      </c>
      <c r="I48" s="4">
        <v>557618</v>
      </c>
      <c r="J48" s="4">
        <v>557455</v>
      </c>
      <c r="K48" s="4">
        <v>612011</v>
      </c>
      <c r="L48" s="4">
        <v>678454</v>
      </c>
      <c r="M48" s="4">
        <v>629472</v>
      </c>
      <c r="N48" s="4">
        <v>670357</v>
      </c>
      <c r="O48" s="4">
        <v>701193</v>
      </c>
      <c r="P48" s="4">
        <v>729096</v>
      </c>
      <c r="Q48" s="4">
        <v>686670</v>
      </c>
      <c r="R48" s="4">
        <v>708447</v>
      </c>
      <c r="S48" s="4">
        <v>730953</v>
      </c>
      <c r="T48" s="4">
        <v>761483</v>
      </c>
      <c r="U48" s="4">
        <v>715349</v>
      </c>
      <c r="V48" s="4">
        <v>747747</v>
      </c>
      <c r="W48" s="4">
        <v>776926</v>
      </c>
      <c r="X48" s="9">
        <v>1.1343298428182489E-2</v>
      </c>
      <c r="Y48" s="11">
        <v>9.9319389115974932E-3</v>
      </c>
      <c r="Z48" s="11">
        <v>1.347629406713868E-2</v>
      </c>
      <c r="AA48" s="11">
        <v>1.5554898407460939E-2</v>
      </c>
    </row>
    <row r="49" spans="2:27">
      <c r="B49" s="3">
        <v>9064</v>
      </c>
      <c r="C49" s="3" t="s">
        <v>666</v>
      </c>
      <c r="D49" s="3" t="s">
        <v>667</v>
      </c>
      <c r="E49" s="3" t="s">
        <v>646</v>
      </c>
      <c r="F49" s="7">
        <v>1.5</v>
      </c>
      <c r="G49" s="4">
        <v>506916</v>
      </c>
      <c r="H49" s="4">
        <v>421232</v>
      </c>
      <c r="I49" s="4">
        <v>424159</v>
      </c>
      <c r="J49" s="4">
        <v>459596</v>
      </c>
      <c r="K49" s="4">
        <v>512212</v>
      </c>
      <c r="L49" s="4">
        <v>404701</v>
      </c>
      <c r="M49" s="4">
        <v>420212</v>
      </c>
      <c r="N49" s="4">
        <v>446370</v>
      </c>
      <c r="O49" s="4">
        <v>500245</v>
      </c>
      <c r="P49" s="4">
        <v>391799</v>
      </c>
      <c r="Q49" s="4">
        <v>405632</v>
      </c>
      <c r="R49" s="4">
        <v>434781</v>
      </c>
      <c r="S49" s="4">
        <v>504118</v>
      </c>
      <c r="T49" s="4">
        <v>418165</v>
      </c>
      <c r="U49" s="4">
        <v>437352</v>
      </c>
      <c r="V49" s="4">
        <v>469422</v>
      </c>
      <c r="W49" s="4">
        <v>531982</v>
      </c>
      <c r="X49" s="9">
        <v>1.518490148762042E-2</v>
      </c>
      <c r="Y49" s="11">
        <v>1.7995161956457562E-2</v>
      </c>
      <c r="Z49" s="11">
        <v>1.9304888052714689E-2</v>
      </c>
      <c r="AA49" s="11">
        <v>1.52340796377588E-2</v>
      </c>
    </row>
    <row r="50" spans="2:27">
      <c r="B50" s="3">
        <v>4272</v>
      </c>
      <c r="C50" s="3" t="s">
        <v>666</v>
      </c>
      <c r="D50" s="3" t="s">
        <v>667</v>
      </c>
      <c r="E50" s="3" t="s">
        <v>642</v>
      </c>
      <c r="F50" s="7">
        <v>1.5</v>
      </c>
      <c r="G50" s="4">
        <v>42393</v>
      </c>
      <c r="H50" s="4">
        <v>49255</v>
      </c>
      <c r="I50" s="4">
        <v>46710</v>
      </c>
      <c r="J50" s="4">
        <v>48296</v>
      </c>
      <c r="K50" s="4">
        <v>54432</v>
      </c>
      <c r="L50" s="4">
        <v>50899</v>
      </c>
      <c r="M50" s="4">
        <v>44753</v>
      </c>
      <c r="N50" s="4">
        <v>48584</v>
      </c>
      <c r="O50" s="4">
        <v>49324</v>
      </c>
      <c r="P50" s="4">
        <v>51845</v>
      </c>
      <c r="Q50" s="4">
        <v>52038</v>
      </c>
      <c r="R50" s="4">
        <v>53645</v>
      </c>
      <c r="S50" s="4">
        <v>55464</v>
      </c>
      <c r="T50" s="4">
        <v>58846</v>
      </c>
      <c r="U50" s="4">
        <v>54629</v>
      </c>
      <c r="V50" s="4">
        <v>54758</v>
      </c>
      <c r="W50" s="4">
        <v>58817</v>
      </c>
      <c r="X50" s="9">
        <v>3.2869779146634581E-2</v>
      </c>
      <c r="Y50" s="11">
        <v>1.1777647470601281E-2</v>
      </c>
      <c r="Z50" s="11">
        <v>5.000359414872646E-3</v>
      </c>
      <c r="AA50" s="11">
        <v>1.4989025333375089E-2</v>
      </c>
    </row>
    <row r="51" spans="2:27">
      <c r="B51" s="3">
        <v>8411</v>
      </c>
      <c r="C51" s="3" t="s">
        <v>666</v>
      </c>
      <c r="D51" s="3" t="s">
        <v>667</v>
      </c>
      <c r="E51" s="3" t="s">
        <v>646</v>
      </c>
      <c r="F51" s="7">
        <v>1.5</v>
      </c>
      <c r="G51" s="4">
        <v>681625</v>
      </c>
      <c r="H51" s="4">
        <v>802755</v>
      </c>
      <c r="I51" s="4">
        <v>689784</v>
      </c>
      <c r="J51" s="4">
        <v>451997</v>
      </c>
      <c r="K51" s="8">
        <v>995900</v>
      </c>
      <c r="L51" s="4">
        <v>641535</v>
      </c>
      <c r="M51" s="4">
        <v>771638</v>
      </c>
      <c r="N51" s="8">
        <v>788870</v>
      </c>
      <c r="O51" s="4">
        <v>807972</v>
      </c>
      <c r="P51" s="4">
        <v>753625</v>
      </c>
      <c r="Q51" s="4">
        <v>950408</v>
      </c>
      <c r="R51" s="4">
        <v>1071722</v>
      </c>
      <c r="S51" s="4">
        <v>1058632</v>
      </c>
      <c r="T51" s="4">
        <v>818078</v>
      </c>
      <c r="U51" s="4">
        <v>957553</v>
      </c>
      <c r="V51" s="4">
        <v>1139963</v>
      </c>
      <c r="W51" s="4">
        <v>1117111</v>
      </c>
      <c r="X51" s="9">
        <v>1.6809205747881029E-2</v>
      </c>
      <c r="Y51" s="11">
        <v>1.8325963619949539E-3</v>
      </c>
      <c r="Z51" s="11">
        <v>1.7470881224582291E-2</v>
      </c>
      <c r="AA51" s="11">
        <v>1.47145632885497E-2</v>
      </c>
    </row>
    <row r="52" spans="2:27">
      <c r="B52" s="3">
        <v>7981</v>
      </c>
      <c r="C52" s="3" t="s">
        <v>666</v>
      </c>
      <c r="D52" s="3" t="s">
        <v>667</v>
      </c>
      <c r="E52" s="3" t="s">
        <v>642</v>
      </c>
      <c r="F52" s="7">
        <v>1.3</v>
      </c>
      <c r="G52" s="4">
        <v>51745</v>
      </c>
      <c r="H52" s="4">
        <v>59159</v>
      </c>
      <c r="I52" s="4">
        <v>50827</v>
      </c>
      <c r="J52" s="4">
        <v>54354</v>
      </c>
      <c r="K52" s="4">
        <v>55742</v>
      </c>
      <c r="L52" s="4">
        <v>62626</v>
      </c>
      <c r="M52" s="4">
        <v>54701</v>
      </c>
      <c r="N52" s="4">
        <v>57237</v>
      </c>
      <c r="O52" s="4">
        <v>57459</v>
      </c>
      <c r="P52" s="4">
        <v>64716</v>
      </c>
      <c r="Q52" s="4">
        <v>55326</v>
      </c>
      <c r="R52" s="4">
        <v>57318</v>
      </c>
      <c r="S52" s="4">
        <v>58639</v>
      </c>
      <c r="T52" s="4">
        <v>68359</v>
      </c>
      <c r="U52" s="4">
        <v>59064</v>
      </c>
      <c r="V52" s="4">
        <v>61385</v>
      </c>
      <c r="W52" s="4">
        <v>61757</v>
      </c>
      <c r="X52" s="9">
        <v>1.543650608689018E-2</v>
      </c>
      <c r="Y52" s="11">
        <v>1.559826741556147E-2</v>
      </c>
      <c r="Z52" s="11">
        <v>1.6710493877886371E-2</v>
      </c>
      <c r="AA52" s="11">
        <v>1.260067812501253E-2</v>
      </c>
    </row>
    <row r="53" spans="2:27">
      <c r="B53" s="3">
        <v>6981</v>
      </c>
      <c r="C53" s="3" t="s">
        <v>666</v>
      </c>
      <c r="D53" s="3" t="s">
        <v>667</v>
      </c>
      <c r="E53" s="3" t="s">
        <v>646</v>
      </c>
      <c r="F53" s="7">
        <v>1.1000000000000001</v>
      </c>
      <c r="G53" s="4">
        <v>471387</v>
      </c>
      <c r="H53" s="4">
        <v>433060</v>
      </c>
      <c r="I53" s="4">
        <v>436657</v>
      </c>
      <c r="J53" s="4">
        <v>483567</v>
      </c>
      <c r="K53" s="4">
        <v>418978</v>
      </c>
      <c r="L53" s="4">
        <v>347594</v>
      </c>
      <c r="M53" s="4">
        <v>367694</v>
      </c>
      <c r="N53" s="4">
        <v>442656</v>
      </c>
      <c r="O53" s="4">
        <v>439394</v>
      </c>
      <c r="P53" s="4">
        <v>390414</v>
      </c>
      <c r="Q53" s="4">
        <v>421707</v>
      </c>
      <c r="R53" s="4">
        <v>461774</v>
      </c>
      <c r="S53" s="4">
        <v>448008</v>
      </c>
      <c r="T53" s="4">
        <v>411863</v>
      </c>
      <c r="U53" s="4">
        <v>416154</v>
      </c>
      <c r="V53" s="4">
        <v>486624</v>
      </c>
      <c r="W53" s="4">
        <v>467454</v>
      </c>
      <c r="X53" s="9">
        <v>1.245656694947384E-2</v>
      </c>
      <c r="Y53" s="11">
        <v>-3.185243140800043E-3</v>
      </c>
      <c r="Z53" s="11">
        <v>1.4299697490906651E-2</v>
      </c>
      <c r="AA53" s="11">
        <v>1.103225883315395E-2</v>
      </c>
    </row>
    <row r="54" spans="2:27">
      <c r="B54" s="3">
        <v>2281</v>
      </c>
      <c r="C54" s="3" t="s">
        <v>666</v>
      </c>
      <c r="D54" s="3" t="s">
        <v>667</v>
      </c>
      <c r="E54" s="3" t="s">
        <v>642</v>
      </c>
      <c r="F54" s="7">
        <v>0.8</v>
      </c>
      <c r="G54" s="4">
        <v>105165</v>
      </c>
      <c r="H54" s="4">
        <v>110386</v>
      </c>
      <c r="I54" s="4">
        <v>99477</v>
      </c>
      <c r="J54" s="4">
        <v>104451</v>
      </c>
      <c r="K54" s="4">
        <v>107263</v>
      </c>
      <c r="L54" s="4">
        <v>116674</v>
      </c>
      <c r="M54" s="4">
        <v>102352</v>
      </c>
      <c r="N54" s="4">
        <v>109283</v>
      </c>
      <c r="O54" s="4">
        <v>113452</v>
      </c>
      <c r="P54" s="4">
        <v>119832</v>
      </c>
      <c r="Q54" s="4">
        <v>105862</v>
      </c>
      <c r="R54" s="4">
        <v>112891</v>
      </c>
      <c r="S54" s="4">
        <v>116550</v>
      </c>
      <c r="T54" s="4">
        <v>120844</v>
      </c>
      <c r="U54" s="4">
        <v>108069</v>
      </c>
      <c r="V54" s="4">
        <v>115809</v>
      </c>
      <c r="W54" s="4">
        <v>120250</v>
      </c>
      <c r="X54" s="9">
        <v>2.2235160996189052E-3</v>
      </c>
      <c r="Y54" s="11">
        <v>4.838352548630187E-3</v>
      </c>
      <c r="Z54" s="11">
        <v>6.3662583941670459E-3</v>
      </c>
      <c r="AA54" s="11">
        <v>8.0212976291644811E-3</v>
      </c>
    </row>
    <row r="55" spans="2:27">
      <c r="B55" s="3">
        <v>3024</v>
      </c>
      <c r="C55" s="3" t="s">
        <v>666</v>
      </c>
      <c r="D55" s="3" t="s">
        <v>667</v>
      </c>
      <c r="E55" s="3" t="s">
        <v>642</v>
      </c>
      <c r="F55" s="7">
        <v>0.6</v>
      </c>
      <c r="G55" s="4">
        <v>7811</v>
      </c>
      <c r="H55" s="4">
        <v>8368</v>
      </c>
      <c r="I55" s="4">
        <v>8069</v>
      </c>
      <c r="J55" s="4">
        <v>7823</v>
      </c>
      <c r="K55" s="4">
        <v>8660</v>
      </c>
      <c r="L55" s="4">
        <v>9362</v>
      </c>
      <c r="M55" s="4">
        <v>9036</v>
      </c>
      <c r="N55" s="4">
        <v>8446</v>
      </c>
      <c r="O55" s="4">
        <v>8926</v>
      </c>
      <c r="P55" s="4">
        <v>9872</v>
      </c>
      <c r="Q55" s="4">
        <v>8616</v>
      </c>
      <c r="R55" s="4">
        <v>8422</v>
      </c>
      <c r="S55" s="4">
        <v>8962</v>
      </c>
      <c r="T55" s="4">
        <v>9913</v>
      </c>
      <c r="U55" s="4">
        <v>9253</v>
      </c>
      <c r="V55" s="4">
        <v>8824</v>
      </c>
      <c r="W55" s="4">
        <v>9166</v>
      </c>
      <c r="X55" s="9">
        <v>1.1429527207849071E-3</v>
      </c>
      <c r="Y55" s="11">
        <v>1.7737309609333621E-2</v>
      </c>
      <c r="Z55" s="11">
        <v>1.099863201094387E-2</v>
      </c>
      <c r="AA55" s="11">
        <v>5.5206754708811978E-3</v>
      </c>
    </row>
    <row r="56" spans="2:27">
      <c r="B56" s="3">
        <v>7241</v>
      </c>
      <c r="C56" s="3" t="s">
        <v>666</v>
      </c>
      <c r="D56" s="3" t="s">
        <v>667</v>
      </c>
      <c r="E56" s="3" t="s">
        <v>642</v>
      </c>
      <c r="F56" s="7">
        <v>0.4</v>
      </c>
      <c r="G56" s="4">
        <v>126703</v>
      </c>
      <c r="H56" s="4">
        <v>144515</v>
      </c>
      <c r="I56" s="4">
        <v>163972</v>
      </c>
      <c r="J56" s="4">
        <v>153488</v>
      </c>
      <c r="K56" s="4">
        <v>172969</v>
      </c>
      <c r="L56" s="4">
        <v>188290</v>
      </c>
      <c r="M56" s="4">
        <v>193325</v>
      </c>
      <c r="N56" s="4">
        <v>204673</v>
      </c>
      <c r="O56" s="4">
        <v>198667</v>
      </c>
      <c r="P56" s="4">
        <v>206826</v>
      </c>
      <c r="Q56" s="4">
        <v>185636</v>
      </c>
      <c r="R56" s="4">
        <v>186453</v>
      </c>
      <c r="S56" s="4">
        <v>162859</v>
      </c>
      <c r="T56" s="4">
        <v>177177</v>
      </c>
      <c r="U56" s="4">
        <v>180615</v>
      </c>
      <c r="V56" s="4">
        <v>163920</v>
      </c>
      <c r="W56" s="4">
        <v>165558</v>
      </c>
      <c r="X56" s="9">
        <v>-3.9970395295602201E-2</v>
      </c>
      <c r="Y56" s="11">
        <v>-7.0507284535720194E-3</v>
      </c>
      <c r="Z56" s="11">
        <v>-3.1866599538398883E-2</v>
      </c>
      <c r="AA56" s="11">
        <v>3.9426151560613132E-3</v>
      </c>
    </row>
    <row r="57" spans="2:27">
      <c r="B57" s="3">
        <v>3433</v>
      </c>
      <c r="C57" s="3" t="s">
        <v>666</v>
      </c>
      <c r="D57" s="3" t="s">
        <v>667</v>
      </c>
      <c r="E57" s="3" t="s">
        <v>642</v>
      </c>
      <c r="F57" s="7">
        <v>0.3</v>
      </c>
      <c r="G57" s="4">
        <v>10362</v>
      </c>
      <c r="H57" s="4">
        <v>11129</v>
      </c>
      <c r="I57" s="4">
        <v>11586</v>
      </c>
      <c r="J57" s="4">
        <v>11906</v>
      </c>
      <c r="K57" s="4">
        <v>12090</v>
      </c>
      <c r="L57" s="4">
        <v>12428</v>
      </c>
      <c r="M57" s="4">
        <v>11720</v>
      </c>
      <c r="N57" s="4">
        <v>11787</v>
      </c>
      <c r="O57" s="4">
        <v>11184</v>
      </c>
      <c r="P57" s="4">
        <v>11833</v>
      </c>
      <c r="Q57" s="4">
        <v>11931</v>
      </c>
      <c r="R57" s="4">
        <v>12864</v>
      </c>
      <c r="S57" s="4">
        <v>12999</v>
      </c>
      <c r="T57" s="4">
        <v>14040</v>
      </c>
      <c r="U57" s="4">
        <v>14328</v>
      </c>
      <c r="V57" s="4">
        <v>15151</v>
      </c>
      <c r="W57" s="4">
        <v>13160</v>
      </c>
      <c r="X57" s="9">
        <v>4.4471759324561162E-2</v>
      </c>
      <c r="Y57" s="11">
        <v>4.6243778215071092E-2</v>
      </c>
      <c r="Z57" s="11">
        <v>4.2171451752687661E-2</v>
      </c>
      <c r="AA57" s="11">
        <v>2.8486499876145821E-3</v>
      </c>
    </row>
    <row r="58" spans="2:27">
      <c r="B58" s="3">
        <v>5992</v>
      </c>
      <c r="C58" s="3" t="s">
        <v>666</v>
      </c>
      <c r="D58" s="3" t="s">
        <v>667</v>
      </c>
      <c r="E58" s="3" t="s">
        <v>646</v>
      </c>
      <c r="F58" s="7">
        <v>0.1</v>
      </c>
      <c r="G58" s="4">
        <v>21965</v>
      </c>
      <c r="H58" s="4">
        <v>21899</v>
      </c>
      <c r="I58" s="4">
        <v>20318</v>
      </c>
      <c r="J58" s="4">
        <v>23085</v>
      </c>
      <c r="K58" s="4">
        <v>25089</v>
      </c>
      <c r="L58" s="4">
        <v>24274</v>
      </c>
      <c r="M58" s="4">
        <v>24006</v>
      </c>
      <c r="N58" s="4">
        <v>26338</v>
      </c>
      <c r="O58" s="4">
        <v>27259</v>
      </c>
      <c r="P58" s="4">
        <v>23372</v>
      </c>
      <c r="Q58" s="4">
        <v>25520</v>
      </c>
      <c r="R58" s="4">
        <v>27736</v>
      </c>
      <c r="S58" s="4">
        <v>28994</v>
      </c>
      <c r="T58" s="4">
        <v>27907</v>
      </c>
      <c r="U58" s="4">
        <v>26306</v>
      </c>
      <c r="V58" s="4">
        <v>27751</v>
      </c>
      <c r="W58" s="4">
        <v>29071</v>
      </c>
      <c r="X58" s="9">
        <v>4.2936130730340187E-2</v>
      </c>
      <c r="Y58" s="11">
        <v>7.1352705683704887E-3</v>
      </c>
      <c r="Z58" s="11">
        <v>1.3520456450599741E-4</v>
      </c>
      <c r="AA58" s="11">
        <v>6.9395627174251295E-4</v>
      </c>
    </row>
    <row r="59" spans="2:27">
      <c r="B59" s="3">
        <v>9502</v>
      </c>
      <c r="C59" s="3" t="s">
        <v>666</v>
      </c>
      <c r="D59" s="3" t="s">
        <v>667</v>
      </c>
      <c r="E59" s="3" t="s">
        <v>642</v>
      </c>
      <c r="F59" s="7">
        <v>0</v>
      </c>
      <c r="G59" s="4">
        <v>635540</v>
      </c>
      <c r="H59" s="4">
        <v>666420</v>
      </c>
      <c r="I59" s="4">
        <v>878268</v>
      </c>
      <c r="J59" s="4">
        <v>765963</v>
      </c>
      <c r="K59" s="8">
        <v>1013270</v>
      </c>
      <c r="L59" s="8">
        <v>1034811</v>
      </c>
      <c r="M59" s="4">
        <v>1172637</v>
      </c>
      <c r="N59" s="4">
        <v>897604</v>
      </c>
      <c r="O59" s="4">
        <v>943940</v>
      </c>
      <c r="P59" s="4">
        <v>855599</v>
      </c>
      <c r="Q59" s="4">
        <v>913271</v>
      </c>
      <c r="R59" s="4">
        <v>820592</v>
      </c>
      <c r="S59" s="4">
        <v>945890</v>
      </c>
      <c r="T59" s="4">
        <v>885154</v>
      </c>
      <c r="U59" s="4">
        <v>1017598</v>
      </c>
      <c r="V59" s="4">
        <v>800312</v>
      </c>
      <c r="W59" s="4">
        <v>947520</v>
      </c>
      <c r="X59" s="9">
        <v>8.3598464877048251E-3</v>
      </c>
      <c r="Y59" s="11">
        <v>2.926499905888158E-2</v>
      </c>
      <c r="Z59" s="11">
        <v>-5.5270391585818812E-3</v>
      </c>
      <c r="AA59" s="11">
        <v>4.4670335663310468E-4</v>
      </c>
    </row>
    <row r="60" spans="2:27">
      <c r="B60" s="3">
        <v>7883</v>
      </c>
      <c r="C60" s="3" t="s">
        <v>666</v>
      </c>
      <c r="D60" s="3" t="s">
        <v>667</v>
      </c>
      <c r="E60" s="3" t="s">
        <v>646</v>
      </c>
      <c r="F60" s="7">
        <v>0</v>
      </c>
      <c r="G60" s="4">
        <v>4160</v>
      </c>
      <c r="H60" s="4">
        <v>4661</v>
      </c>
      <c r="I60" s="4">
        <v>4205</v>
      </c>
      <c r="J60" s="4">
        <v>3835</v>
      </c>
      <c r="K60" s="4">
        <v>4580</v>
      </c>
      <c r="L60" s="4">
        <v>4528</v>
      </c>
      <c r="M60" s="4">
        <v>4227</v>
      </c>
      <c r="N60" s="4">
        <v>3735</v>
      </c>
      <c r="O60" s="4">
        <v>4341</v>
      </c>
      <c r="P60" s="4">
        <v>4330</v>
      </c>
      <c r="Q60" s="4">
        <v>4352</v>
      </c>
      <c r="R60" s="4">
        <v>3692</v>
      </c>
      <c r="S60" s="4">
        <v>4282</v>
      </c>
      <c r="T60" s="4">
        <v>4110</v>
      </c>
      <c r="U60" s="4">
        <v>4490</v>
      </c>
      <c r="V60" s="4">
        <v>3695</v>
      </c>
      <c r="W60" s="4">
        <v>4281</v>
      </c>
      <c r="X60" s="9">
        <v>-1.320845341018251E-2</v>
      </c>
      <c r="Y60" s="11">
        <v>8.3962034558286991E-3</v>
      </c>
      <c r="Z60" s="11">
        <v>1.810063955594021E-4</v>
      </c>
      <c r="AA60" s="11">
        <v>-6.0324546057755057E-5</v>
      </c>
    </row>
    <row r="61" spans="2:27">
      <c r="B61" s="3">
        <v>8370</v>
      </c>
      <c r="C61" s="3" t="s">
        <v>666</v>
      </c>
      <c r="D61" s="3" t="s">
        <v>667</v>
      </c>
      <c r="E61" s="3" t="s">
        <v>642</v>
      </c>
      <c r="F61" s="7">
        <v>0</v>
      </c>
      <c r="G61" s="4">
        <v>18304</v>
      </c>
      <c r="H61" s="4">
        <v>18255</v>
      </c>
      <c r="I61" s="4">
        <v>16336</v>
      </c>
      <c r="J61" s="4">
        <v>21599</v>
      </c>
      <c r="K61" s="4">
        <v>18351</v>
      </c>
      <c r="L61" s="4">
        <v>17959</v>
      </c>
      <c r="M61" s="4">
        <v>19789</v>
      </c>
      <c r="N61" s="4">
        <v>17504</v>
      </c>
      <c r="O61" s="4">
        <v>17837</v>
      </c>
      <c r="P61" s="4">
        <v>17614</v>
      </c>
      <c r="Q61" s="4">
        <v>22750</v>
      </c>
      <c r="R61" s="4">
        <v>21185</v>
      </c>
      <c r="S61" s="4">
        <v>17490</v>
      </c>
      <c r="T61" s="4">
        <v>23018</v>
      </c>
      <c r="U61" s="4">
        <v>23840</v>
      </c>
      <c r="V61" s="4">
        <v>22188</v>
      </c>
      <c r="W61" s="4">
        <v>17463</v>
      </c>
      <c r="X61" s="9">
        <v>6.8371310365768823E-2</v>
      </c>
      <c r="Y61" s="11">
        <v>1.290811553355509E-2</v>
      </c>
      <c r="Z61" s="11">
        <v>1.1726468146797229E-2</v>
      </c>
      <c r="AA61" s="11">
        <v>-3.1200887491911189E-4</v>
      </c>
    </row>
    <row r="62" spans="2:27">
      <c r="B62" s="3">
        <v>7224</v>
      </c>
      <c r="C62" s="3" t="s">
        <v>666</v>
      </c>
      <c r="D62" s="3" t="s">
        <v>667</v>
      </c>
      <c r="E62" s="3" t="s">
        <v>642</v>
      </c>
      <c r="F62" s="7">
        <v>-0.5</v>
      </c>
      <c r="G62" s="4">
        <v>53777</v>
      </c>
      <c r="H62" s="4">
        <v>54314</v>
      </c>
      <c r="I62" s="4">
        <v>62245</v>
      </c>
      <c r="J62" s="4">
        <v>47262</v>
      </c>
      <c r="K62" s="4">
        <v>56739</v>
      </c>
      <c r="L62" s="4">
        <v>56545</v>
      </c>
      <c r="M62" s="4">
        <v>64629</v>
      </c>
      <c r="N62" s="4">
        <v>52399</v>
      </c>
      <c r="O62" s="4">
        <v>64065</v>
      </c>
      <c r="P62" s="4">
        <v>61163</v>
      </c>
      <c r="Q62" s="4">
        <v>79433</v>
      </c>
      <c r="R62" s="4">
        <v>57423</v>
      </c>
      <c r="S62" s="4">
        <v>66642</v>
      </c>
      <c r="T62" s="4">
        <v>63177</v>
      </c>
      <c r="U62" s="4">
        <v>79199</v>
      </c>
      <c r="V62" s="4">
        <v>57665</v>
      </c>
      <c r="W62" s="4">
        <v>65298</v>
      </c>
      <c r="X62" s="9">
        <v>7.6097347172421337E-3</v>
      </c>
      <c r="Y62" s="11">
        <v>-8.7747257898185271E-4</v>
      </c>
      <c r="Z62" s="11">
        <v>9.0826862232162853E-4</v>
      </c>
      <c r="AA62" s="11">
        <v>-5.0396913189066916E-3</v>
      </c>
    </row>
    <row r="63" spans="2:27">
      <c r="B63" s="3">
        <v>9532</v>
      </c>
      <c r="C63" s="3" t="s">
        <v>666</v>
      </c>
      <c r="D63" s="3" t="s">
        <v>667</v>
      </c>
      <c r="E63" s="3" t="s">
        <v>646</v>
      </c>
      <c r="F63" s="7">
        <v>-0.7</v>
      </c>
      <c r="G63" s="4">
        <v>393347</v>
      </c>
      <c r="H63" s="4">
        <v>543111</v>
      </c>
      <c r="I63" s="4">
        <v>467119</v>
      </c>
      <c r="J63" s="4">
        <v>514441</v>
      </c>
      <c r="K63" s="8">
        <v>614965</v>
      </c>
      <c r="L63" s="4">
        <v>678588</v>
      </c>
      <c r="M63" s="4">
        <v>512611</v>
      </c>
      <c r="N63" s="4">
        <v>483082</v>
      </c>
      <c r="O63" s="4">
        <v>514454</v>
      </c>
      <c r="P63" s="4">
        <v>572903</v>
      </c>
      <c r="Q63" s="4">
        <v>470928</v>
      </c>
      <c r="R63" s="4">
        <v>479182</v>
      </c>
      <c r="S63" s="4">
        <v>494021</v>
      </c>
      <c r="T63" s="4">
        <v>624888</v>
      </c>
      <c r="U63" s="4">
        <v>470993</v>
      </c>
      <c r="V63" s="4">
        <v>488174</v>
      </c>
      <c r="W63" s="4">
        <v>479663</v>
      </c>
      <c r="X63" s="9">
        <v>2.5772991431973979E-2</v>
      </c>
      <c r="Y63" s="11">
        <v>3.1415854566896328E-5</v>
      </c>
      <c r="Z63" s="11">
        <v>4.3458844590167356E-3</v>
      </c>
      <c r="AA63" s="11">
        <v>-6.9092756954028936E-3</v>
      </c>
    </row>
    <row r="64" spans="2:27">
      <c r="B64" s="3">
        <v>9990</v>
      </c>
      <c r="C64" s="3" t="s">
        <v>666</v>
      </c>
      <c r="D64" s="3" t="s">
        <v>667</v>
      </c>
      <c r="E64" s="3" t="s">
        <v>642</v>
      </c>
      <c r="F64" s="7">
        <v>-1</v>
      </c>
      <c r="G64" s="4">
        <v>8077</v>
      </c>
      <c r="H64" s="4">
        <v>10192</v>
      </c>
      <c r="I64" s="4">
        <v>10862</v>
      </c>
      <c r="J64" s="4">
        <v>10381</v>
      </c>
      <c r="K64" s="4">
        <v>10641</v>
      </c>
      <c r="L64" s="4">
        <v>11989</v>
      </c>
      <c r="M64" s="4">
        <v>14225</v>
      </c>
      <c r="N64" s="4">
        <v>12427</v>
      </c>
      <c r="O64" s="4">
        <v>12764</v>
      </c>
      <c r="P64" s="4">
        <v>12792</v>
      </c>
      <c r="Q64" s="4">
        <v>14110</v>
      </c>
      <c r="R64" s="4">
        <v>12299</v>
      </c>
      <c r="S64" s="4">
        <v>13215</v>
      </c>
      <c r="T64" s="4">
        <v>13002</v>
      </c>
      <c r="U64" s="4">
        <v>13773</v>
      </c>
      <c r="V64" s="4">
        <v>11815</v>
      </c>
      <c r="W64" s="4">
        <v>12716</v>
      </c>
      <c r="X64" s="9">
        <v>4.0064102564103532E-3</v>
      </c>
      <c r="Y64" s="11">
        <v>-6.4036787899517389E-3</v>
      </c>
      <c r="Z64" s="11">
        <v>-9.2562489242479229E-3</v>
      </c>
      <c r="AA64" s="11">
        <v>-9.6322748769424038E-3</v>
      </c>
    </row>
    <row r="65" spans="2:27">
      <c r="B65" s="3">
        <v>7480</v>
      </c>
      <c r="C65" s="3" t="s">
        <v>666</v>
      </c>
      <c r="D65" s="3" t="s">
        <v>667</v>
      </c>
      <c r="E65" s="3" t="s">
        <v>642</v>
      </c>
      <c r="F65" s="7">
        <v>-1.1000000000000001</v>
      </c>
      <c r="G65" s="4">
        <v>13633</v>
      </c>
      <c r="H65" s="4">
        <v>15441</v>
      </c>
      <c r="I65" s="4">
        <v>17523</v>
      </c>
      <c r="J65" s="4">
        <v>15847</v>
      </c>
      <c r="K65" s="4">
        <v>17287</v>
      </c>
      <c r="L65" s="4">
        <v>17783</v>
      </c>
      <c r="M65" s="4">
        <v>16522</v>
      </c>
      <c r="N65" s="4">
        <v>14281</v>
      </c>
      <c r="O65" s="4">
        <v>13030</v>
      </c>
      <c r="P65" s="4">
        <v>12619</v>
      </c>
      <c r="Q65" s="4">
        <v>10999</v>
      </c>
      <c r="R65" s="4">
        <v>11021</v>
      </c>
      <c r="S65" s="4">
        <v>11315</v>
      </c>
      <c r="T65" s="4">
        <v>12378</v>
      </c>
      <c r="U65" s="4">
        <v>11917</v>
      </c>
      <c r="V65" s="4">
        <v>10288</v>
      </c>
      <c r="W65" s="4">
        <v>10812</v>
      </c>
      <c r="X65" s="9">
        <v>-5.2443748095921672E-3</v>
      </c>
      <c r="Y65" s="11">
        <v>2.008181480104132E-2</v>
      </c>
      <c r="Z65" s="11">
        <v>-1.5719156784113619E-2</v>
      </c>
      <c r="AA65" s="11">
        <v>-1.0959083184452489E-2</v>
      </c>
    </row>
    <row r="66" spans="2:27">
      <c r="B66" s="3" t="s">
        <v>698</v>
      </c>
      <c r="C66" s="3" t="s">
        <v>668</v>
      </c>
      <c r="D66" s="3" t="s">
        <v>667</v>
      </c>
      <c r="E66" s="3" t="s">
        <v>642</v>
      </c>
      <c r="F66" s="7">
        <v>18.399999999999999</v>
      </c>
      <c r="G66" s="4">
        <v>279.55</v>
      </c>
      <c r="H66" s="4">
        <v>308.89</v>
      </c>
      <c r="I66" s="4">
        <v>351.02</v>
      </c>
      <c r="J66" s="4">
        <v>258.33999999999997</v>
      </c>
      <c r="K66" s="4">
        <v>248.47</v>
      </c>
      <c r="L66" s="4">
        <v>352.8</v>
      </c>
      <c r="M66" s="4">
        <v>383.03</v>
      </c>
      <c r="N66" s="4">
        <v>229.85</v>
      </c>
      <c r="O66" s="4">
        <v>232.72</v>
      </c>
      <c r="P66" s="4">
        <v>421.54</v>
      </c>
      <c r="Q66" s="4">
        <v>450.13</v>
      </c>
      <c r="R66" s="4">
        <v>294.29000000000002</v>
      </c>
      <c r="S66" s="4">
        <v>273.60000000000002</v>
      </c>
      <c r="T66" s="4">
        <v>485.42</v>
      </c>
      <c r="U66" s="8">
        <v>749.63</v>
      </c>
      <c r="V66" s="4">
        <v>402.16</v>
      </c>
      <c r="W66" s="8">
        <v>624.45000000000005</v>
      </c>
      <c r="X66" s="9">
        <v>4.4374670038067172E-2</v>
      </c>
      <c r="Y66" s="10">
        <v>0.19920981216410369</v>
      </c>
      <c r="Z66" s="11">
        <v>5.9830055354032741E-2</v>
      </c>
      <c r="AA66" s="10">
        <v>0.18361323208482269</v>
      </c>
    </row>
    <row r="67" spans="2:27">
      <c r="B67" s="3" t="s">
        <v>697</v>
      </c>
      <c r="C67" s="3" t="s">
        <v>668</v>
      </c>
      <c r="D67" s="3" t="s">
        <v>667</v>
      </c>
      <c r="E67" s="3" t="s">
        <v>642</v>
      </c>
      <c r="F67" s="7">
        <v>16</v>
      </c>
      <c r="G67" s="4">
        <v>532.07000000000005</v>
      </c>
      <c r="H67" s="4">
        <v>501.62</v>
      </c>
      <c r="I67" s="4">
        <v>539.28</v>
      </c>
      <c r="J67" s="4">
        <v>692.53</v>
      </c>
      <c r="K67" s="8">
        <v>891.22</v>
      </c>
      <c r="L67" s="4">
        <v>631.34</v>
      </c>
      <c r="M67" s="4">
        <v>698.04</v>
      </c>
      <c r="N67" s="4">
        <v>900.19</v>
      </c>
      <c r="O67" s="4">
        <v>890.44</v>
      </c>
      <c r="P67" s="4">
        <v>664.23</v>
      </c>
      <c r="Q67" s="4">
        <v>669.54</v>
      </c>
      <c r="R67" s="4">
        <v>939.86</v>
      </c>
      <c r="S67" s="4">
        <v>986.82</v>
      </c>
      <c r="T67" s="4">
        <v>705.36</v>
      </c>
      <c r="U67" s="4">
        <v>948.81</v>
      </c>
      <c r="V67" s="8">
        <v>1457</v>
      </c>
      <c r="W67" s="8">
        <v>1643</v>
      </c>
      <c r="X67" s="9">
        <v>1.2614823107239831E-2</v>
      </c>
      <c r="Y67" s="11">
        <v>8.4586773605364707E-2</v>
      </c>
      <c r="Z67" s="10">
        <v>0.14441822472318019</v>
      </c>
      <c r="AA67" s="10">
        <v>0.1601224014699891</v>
      </c>
    </row>
    <row r="68" spans="2:27">
      <c r="B68" s="3" t="s">
        <v>699</v>
      </c>
      <c r="C68" s="3" t="s">
        <v>668</v>
      </c>
      <c r="D68" s="3" t="s">
        <v>667</v>
      </c>
      <c r="E68" s="3" t="s">
        <v>646</v>
      </c>
      <c r="F68" s="7">
        <v>12.3</v>
      </c>
      <c r="G68" s="4">
        <v>8.81</v>
      </c>
      <c r="H68" s="4">
        <v>9.98</v>
      </c>
      <c r="I68" s="4">
        <v>10.11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584.23</v>
      </c>
      <c r="P68" s="8">
        <v>322.89999999999998</v>
      </c>
      <c r="Q68" s="8">
        <v>311.06</v>
      </c>
      <c r="R68" s="8">
        <v>319.07</v>
      </c>
      <c r="S68" s="4">
        <v>330.25</v>
      </c>
      <c r="T68" s="4">
        <v>397.61</v>
      </c>
      <c r="U68" s="4">
        <v>408.33</v>
      </c>
      <c r="V68" s="4">
        <v>421.84</v>
      </c>
      <c r="W68" s="8">
        <v>522</v>
      </c>
      <c r="X68" s="9">
        <v>5.821800386509568E-2</v>
      </c>
      <c r="Y68" s="11">
        <v>7.1627920676882839E-2</v>
      </c>
      <c r="Z68" s="11">
        <v>7.0619683080686668E-2</v>
      </c>
      <c r="AA68" s="10">
        <v>0.12307208461968</v>
      </c>
    </row>
    <row r="69" spans="2:27">
      <c r="B69" s="3" t="s">
        <v>704</v>
      </c>
      <c r="C69" s="3" t="s">
        <v>668</v>
      </c>
      <c r="D69" s="3" t="s">
        <v>667</v>
      </c>
      <c r="E69" s="3" t="s">
        <v>646</v>
      </c>
      <c r="F69" s="7">
        <v>11.8</v>
      </c>
      <c r="G69" s="4">
        <v>0</v>
      </c>
      <c r="H69" s="4">
        <v>21.66</v>
      </c>
      <c r="I69" s="4">
        <v>156.51</v>
      </c>
      <c r="J69" s="4">
        <v>138.85</v>
      </c>
      <c r="K69" s="8">
        <v>438.64</v>
      </c>
      <c r="L69" s="8">
        <v>1558</v>
      </c>
      <c r="M69" s="8">
        <v>1852</v>
      </c>
      <c r="N69" s="8">
        <v>814.64</v>
      </c>
      <c r="O69" s="4">
        <v>557.99</v>
      </c>
      <c r="P69" s="4">
        <v>1290</v>
      </c>
      <c r="Q69" s="4">
        <v>882.93</v>
      </c>
      <c r="R69" s="4">
        <v>1075</v>
      </c>
      <c r="S69" s="8">
        <v>1374</v>
      </c>
      <c r="T69" s="4">
        <v>1647</v>
      </c>
      <c r="U69" s="8">
        <v>1562</v>
      </c>
      <c r="V69" s="4">
        <v>1506</v>
      </c>
      <c r="W69" s="8">
        <v>2090</v>
      </c>
      <c r="X69" s="9">
        <v>7.7240460154091473E-2</v>
      </c>
      <c r="Y69" s="10">
        <v>0.13638874215945981</v>
      </c>
      <c r="Z69" s="11">
        <v>7.6175326970661095E-2</v>
      </c>
      <c r="AA69" s="10">
        <v>0.1175890950895058</v>
      </c>
    </row>
    <row r="70" spans="2:27">
      <c r="B70" s="3" t="s">
        <v>216</v>
      </c>
      <c r="C70" s="3" t="s">
        <v>668</v>
      </c>
      <c r="D70" s="3" t="s">
        <v>667</v>
      </c>
      <c r="E70" s="3" t="s">
        <v>642</v>
      </c>
      <c r="F70" s="7">
        <v>10.7</v>
      </c>
      <c r="G70" s="4">
        <v>458.99</v>
      </c>
      <c r="H70" s="4">
        <v>645.91999999999996</v>
      </c>
      <c r="I70" s="4">
        <v>1057</v>
      </c>
      <c r="J70" s="4">
        <v>562.70000000000005</v>
      </c>
      <c r="K70" s="4">
        <v>520.59</v>
      </c>
      <c r="L70" s="4">
        <v>823.52</v>
      </c>
      <c r="M70" s="4">
        <v>1068</v>
      </c>
      <c r="N70" s="4">
        <v>576.91</v>
      </c>
      <c r="O70" s="8">
        <v>871.63</v>
      </c>
      <c r="P70" s="4">
        <v>913.43</v>
      </c>
      <c r="Q70" s="4">
        <v>1354</v>
      </c>
      <c r="R70" s="4">
        <v>912.02</v>
      </c>
      <c r="S70" s="8">
        <v>1607</v>
      </c>
      <c r="T70" s="8">
        <v>1484</v>
      </c>
      <c r="U70" s="4">
        <v>1618</v>
      </c>
      <c r="V70" s="4">
        <v>1336</v>
      </c>
      <c r="W70" s="8">
        <v>2253</v>
      </c>
      <c r="X70" s="13">
        <v>0.1192052565053434</v>
      </c>
      <c r="Y70" s="11">
        <v>4.9281130180585553E-2</v>
      </c>
      <c r="Z70" s="11">
        <v>7.542759143358313E-2</v>
      </c>
      <c r="AA70" s="10">
        <v>0.1068651778329197</v>
      </c>
    </row>
    <row r="71" spans="2:27">
      <c r="B71" s="3" t="s">
        <v>76</v>
      </c>
      <c r="C71" s="3" t="s">
        <v>668</v>
      </c>
      <c r="D71" s="3" t="s">
        <v>667</v>
      </c>
      <c r="E71" s="3" t="s">
        <v>646</v>
      </c>
      <c r="F71" s="7">
        <v>9.8000000000000007</v>
      </c>
      <c r="G71" s="4">
        <v>3673</v>
      </c>
      <c r="H71" s="4">
        <v>5403</v>
      </c>
      <c r="I71" s="4">
        <v>5052</v>
      </c>
      <c r="J71" s="4">
        <v>5735</v>
      </c>
      <c r="K71" s="8">
        <v>6101</v>
      </c>
      <c r="L71" s="8">
        <v>8691</v>
      </c>
      <c r="M71" s="4">
        <v>6656</v>
      </c>
      <c r="N71" s="4">
        <v>8116</v>
      </c>
      <c r="O71" s="4">
        <v>8709</v>
      </c>
      <c r="P71" s="4">
        <v>10896</v>
      </c>
      <c r="Q71" s="8">
        <v>10105</v>
      </c>
      <c r="R71" s="4">
        <v>11672</v>
      </c>
      <c r="S71" s="8">
        <v>12916</v>
      </c>
      <c r="T71" s="4">
        <v>15079</v>
      </c>
      <c r="U71" s="4">
        <v>13480</v>
      </c>
      <c r="V71" s="4">
        <v>16136</v>
      </c>
      <c r="W71" s="4">
        <v>18560</v>
      </c>
      <c r="X71" s="9">
        <v>9.1754589923007668E-2</v>
      </c>
      <c r="Y71" s="11">
        <v>6.7809209997589104E-2</v>
      </c>
      <c r="Z71" s="11">
        <v>8.3993452123356072E-2</v>
      </c>
      <c r="AA71" s="11">
        <v>9.7967402058634745E-2</v>
      </c>
    </row>
    <row r="72" spans="2:27">
      <c r="B72" s="3" t="s">
        <v>218</v>
      </c>
      <c r="C72" s="3" t="s">
        <v>668</v>
      </c>
      <c r="D72" s="3" t="s">
        <v>667</v>
      </c>
      <c r="E72" s="3" t="s">
        <v>646</v>
      </c>
      <c r="F72" s="7">
        <v>8.1999999999999993</v>
      </c>
      <c r="G72" s="4">
        <v>6110</v>
      </c>
      <c r="H72" s="4">
        <v>1886</v>
      </c>
      <c r="I72" s="4">
        <v>5474</v>
      </c>
      <c r="J72" s="4">
        <v>8976</v>
      </c>
      <c r="K72" s="8">
        <v>8543</v>
      </c>
      <c r="L72" s="4">
        <v>1734</v>
      </c>
      <c r="M72" s="4">
        <v>676.8</v>
      </c>
      <c r="N72" s="4">
        <v>4492</v>
      </c>
      <c r="O72" s="4">
        <v>400.6</v>
      </c>
      <c r="P72" s="4">
        <v>484.9</v>
      </c>
      <c r="Q72" s="8">
        <v>4012</v>
      </c>
      <c r="R72" s="4">
        <v>5050</v>
      </c>
      <c r="S72" s="8">
        <v>6395</v>
      </c>
      <c r="T72" s="8">
        <v>6990</v>
      </c>
      <c r="U72" s="8">
        <v>7249</v>
      </c>
      <c r="V72" s="8">
        <v>8253</v>
      </c>
      <c r="W72" s="4">
        <v>8754</v>
      </c>
      <c r="X72" s="13">
        <v>0.4080504833175469</v>
      </c>
      <c r="Y72" s="10">
        <v>0.14420635274201449</v>
      </c>
      <c r="Z72" s="10">
        <v>0.12470798940974941</v>
      </c>
      <c r="AA72" s="11">
        <v>8.1663031813618669E-2</v>
      </c>
    </row>
    <row r="73" spans="2:27">
      <c r="B73" s="3" t="s">
        <v>90</v>
      </c>
      <c r="C73" s="3" t="s">
        <v>668</v>
      </c>
      <c r="D73" s="3" t="s">
        <v>667</v>
      </c>
      <c r="E73" s="3" t="s">
        <v>646</v>
      </c>
      <c r="F73" s="7">
        <v>7.6</v>
      </c>
      <c r="G73" s="4">
        <v>6100</v>
      </c>
      <c r="H73" s="4">
        <v>7580</v>
      </c>
      <c r="I73" s="4">
        <v>6329</v>
      </c>
      <c r="J73" s="4">
        <v>7147</v>
      </c>
      <c r="K73" s="4">
        <v>7265</v>
      </c>
      <c r="L73" s="4">
        <v>8111</v>
      </c>
      <c r="M73" s="4">
        <v>7662</v>
      </c>
      <c r="N73" s="4">
        <v>8342</v>
      </c>
      <c r="O73" s="4">
        <v>8942</v>
      </c>
      <c r="P73" s="4">
        <v>11368</v>
      </c>
      <c r="Q73" s="4">
        <v>9006</v>
      </c>
      <c r="R73" s="4">
        <v>9449</v>
      </c>
      <c r="S73" s="4">
        <v>10017</v>
      </c>
      <c r="T73" s="4">
        <v>11272</v>
      </c>
      <c r="U73" s="4">
        <v>9992</v>
      </c>
      <c r="V73" s="4">
        <v>10830</v>
      </c>
      <c r="W73" s="4">
        <v>13206</v>
      </c>
      <c r="X73" s="9">
        <v>-2.4096385542168308E-3</v>
      </c>
      <c r="Y73" s="11">
        <v>2.4808776167471791E-2</v>
      </c>
      <c r="Z73" s="11">
        <v>3.3906211637613648E-2</v>
      </c>
      <c r="AA73" s="11">
        <v>7.5728432001139767E-2</v>
      </c>
    </row>
    <row r="74" spans="2:27">
      <c r="B74" s="3" t="s">
        <v>184</v>
      </c>
      <c r="C74" s="3" t="s">
        <v>668</v>
      </c>
      <c r="D74" s="3" t="s">
        <v>667</v>
      </c>
      <c r="E74" s="3" t="s">
        <v>646</v>
      </c>
      <c r="F74" s="7">
        <v>5.5</v>
      </c>
      <c r="G74" s="4">
        <v>5106</v>
      </c>
      <c r="H74" s="4">
        <v>5873</v>
      </c>
      <c r="I74" s="4">
        <v>6201</v>
      </c>
      <c r="J74" s="4">
        <v>6522</v>
      </c>
      <c r="K74" s="4">
        <v>6360</v>
      </c>
      <c r="L74" s="4">
        <v>7010</v>
      </c>
      <c r="M74" s="4">
        <v>7164</v>
      </c>
      <c r="N74" s="4">
        <v>7516</v>
      </c>
      <c r="O74" s="4">
        <v>7657</v>
      </c>
      <c r="P74" s="4">
        <v>8556</v>
      </c>
      <c r="Q74" s="4">
        <v>8371</v>
      </c>
      <c r="R74" s="4">
        <v>8765</v>
      </c>
      <c r="S74" s="4">
        <v>8479</v>
      </c>
      <c r="T74" s="4">
        <v>9884</v>
      </c>
      <c r="U74" s="4">
        <v>9633</v>
      </c>
      <c r="V74" s="4">
        <v>10165</v>
      </c>
      <c r="W74" s="4">
        <v>10563</v>
      </c>
      <c r="X74" s="9">
        <v>3.8863363670949003E-2</v>
      </c>
      <c r="Y74" s="11">
        <v>3.5550297191470293E-2</v>
      </c>
      <c r="Z74" s="11">
        <v>3.808383885095612E-2</v>
      </c>
      <c r="AA74" s="11">
        <v>5.4610728230392258E-2</v>
      </c>
    </row>
    <row r="75" spans="2:27">
      <c r="B75" s="3" t="s">
        <v>146</v>
      </c>
      <c r="C75" s="3" t="s">
        <v>668</v>
      </c>
      <c r="D75" s="3" t="s">
        <v>667</v>
      </c>
      <c r="E75" s="3" t="s">
        <v>642</v>
      </c>
      <c r="F75" s="7">
        <v>3.8</v>
      </c>
      <c r="G75" s="4">
        <v>12923</v>
      </c>
      <c r="H75" s="4">
        <v>12717</v>
      </c>
      <c r="I75" s="4">
        <v>14157</v>
      </c>
      <c r="J75" s="4">
        <v>12621</v>
      </c>
      <c r="K75" s="4">
        <v>14750</v>
      </c>
      <c r="L75" s="4">
        <v>15090</v>
      </c>
      <c r="M75" s="4">
        <v>14065</v>
      </c>
      <c r="N75" s="4">
        <v>14862</v>
      </c>
      <c r="O75" s="4">
        <v>15949</v>
      </c>
      <c r="P75" s="4">
        <v>16306</v>
      </c>
      <c r="Q75" s="4">
        <v>15170</v>
      </c>
      <c r="R75" s="4">
        <v>15617</v>
      </c>
      <c r="S75" s="4">
        <v>16480</v>
      </c>
      <c r="T75" s="4">
        <v>16928</v>
      </c>
      <c r="U75" s="4">
        <v>17696</v>
      </c>
      <c r="V75" s="4">
        <v>17107</v>
      </c>
      <c r="W75" s="4">
        <v>19102</v>
      </c>
      <c r="X75" s="9">
        <v>9.7840278105485456E-3</v>
      </c>
      <c r="Y75" s="11">
        <v>3.9348858945400737E-2</v>
      </c>
      <c r="Z75" s="11">
        <v>2.233179958333964E-2</v>
      </c>
      <c r="AA75" s="11">
        <v>3.8439547873510227E-2</v>
      </c>
    </row>
    <row r="76" spans="2:27">
      <c r="B76" s="3" t="s">
        <v>339</v>
      </c>
      <c r="C76" s="3" t="s">
        <v>668</v>
      </c>
      <c r="D76" s="3" t="s">
        <v>667</v>
      </c>
      <c r="E76" s="3" t="s">
        <v>646</v>
      </c>
      <c r="F76" s="7">
        <v>2.8</v>
      </c>
      <c r="G76" s="4">
        <v>1250</v>
      </c>
      <c r="H76" s="4">
        <v>1311</v>
      </c>
      <c r="I76" s="4">
        <v>1512</v>
      </c>
      <c r="J76" s="4">
        <v>1670</v>
      </c>
      <c r="K76" s="4">
        <v>1717</v>
      </c>
      <c r="L76" s="4">
        <v>1821</v>
      </c>
      <c r="M76" s="4">
        <v>1835</v>
      </c>
      <c r="N76" s="4">
        <v>1904</v>
      </c>
      <c r="O76" s="4">
        <v>1928</v>
      </c>
      <c r="P76" s="4">
        <v>1949</v>
      </c>
      <c r="Q76" s="4">
        <v>2010</v>
      </c>
      <c r="R76" s="4">
        <v>2153</v>
      </c>
      <c r="S76" s="4">
        <v>2268</v>
      </c>
      <c r="T76" s="4">
        <v>2399</v>
      </c>
      <c r="U76" s="4">
        <v>2491</v>
      </c>
      <c r="V76" s="4">
        <v>2585</v>
      </c>
      <c r="W76" s="4">
        <v>2536</v>
      </c>
      <c r="X76" s="9">
        <v>5.3699284009546489E-2</v>
      </c>
      <c r="Y76" s="11">
        <v>5.4473386183465422E-2</v>
      </c>
      <c r="Z76" s="11">
        <v>4.6396735044570869E-2</v>
      </c>
      <c r="AA76" s="11">
        <v>2.7506928050908371E-2</v>
      </c>
    </row>
    <row r="77" spans="2:27">
      <c r="B77" s="3" t="s">
        <v>68</v>
      </c>
      <c r="C77" s="3" t="s">
        <v>668</v>
      </c>
      <c r="D77" s="3" t="s">
        <v>667</v>
      </c>
      <c r="E77" s="3" t="s">
        <v>646</v>
      </c>
      <c r="F77" s="7">
        <v>2.4</v>
      </c>
      <c r="G77" s="4">
        <v>69274</v>
      </c>
      <c r="H77" s="4">
        <v>71163</v>
      </c>
      <c r="I77" s="4">
        <v>68973</v>
      </c>
      <c r="J77" s="4">
        <v>79666</v>
      </c>
      <c r="K77" s="4">
        <v>67650</v>
      </c>
      <c r="L77" s="4">
        <v>67529</v>
      </c>
      <c r="M77" s="4">
        <v>70759</v>
      </c>
      <c r="N77" s="4">
        <v>71325</v>
      </c>
      <c r="O77" s="4">
        <v>71990</v>
      </c>
      <c r="P77" s="4">
        <v>71932</v>
      </c>
      <c r="Q77" s="4">
        <v>73830</v>
      </c>
      <c r="R77" s="4">
        <v>74653</v>
      </c>
      <c r="S77" s="4">
        <v>75474</v>
      </c>
      <c r="T77" s="4">
        <v>77271</v>
      </c>
      <c r="U77" s="4">
        <v>80576</v>
      </c>
      <c r="V77" s="4">
        <v>81882</v>
      </c>
      <c r="W77" s="4">
        <v>83001</v>
      </c>
      <c r="X77" s="9">
        <v>1.8043928635400389E-2</v>
      </c>
      <c r="Y77" s="11">
        <v>2.2394996481070791E-2</v>
      </c>
      <c r="Z77" s="11">
        <v>2.347276068759041E-2</v>
      </c>
      <c r="AA77" s="11">
        <v>2.3879848859306611E-2</v>
      </c>
    </row>
    <row r="78" spans="2:27">
      <c r="B78" s="3" t="s">
        <v>422</v>
      </c>
      <c r="C78" s="3" t="s">
        <v>668</v>
      </c>
      <c r="D78" s="3" t="s">
        <v>667</v>
      </c>
      <c r="E78" s="3" t="s">
        <v>642</v>
      </c>
      <c r="F78" s="7">
        <v>2.1</v>
      </c>
      <c r="G78" s="4">
        <v>700.66</v>
      </c>
      <c r="H78" s="4">
        <v>734.02</v>
      </c>
      <c r="I78" s="4">
        <v>766.33</v>
      </c>
      <c r="J78" s="4">
        <v>872.89</v>
      </c>
      <c r="K78" s="8">
        <v>1086</v>
      </c>
      <c r="L78" s="8">
        <v>1094</v>
      </c>
      <c r="M78" s="4">
        <v>1123</v>
      </c>
      <c r="N78" s="4">
        <v>1288</v>
      </c>
      <c r="O78" s="4">
        <v>1240</v>
      </c>
      <c r="P78" s="4">
        <v>1240</v>
      </c>
      <c r="Q78" s="4">
        <v>1277</v>
      </c>
      <c r="R78" s="4">
        <v>1402</v>
      </c>
      <c r="S78" s="4">
        <v>1434</v>
      </c>
      <c r="T78" s="4">
        <v>1318</v>
      </c>
      <c r="U78" s="4">
        <v>1370</v>
      </c>
      <c r="V78" s="4">
        <v>1627</v>
      </c>
      <c r="W78" s="4">
        <v>1556</v>
      </c>
      <c r="X78" s="9">
        <v>1.4571268447599371E-2</v>
      </c>
      <c r="Y78" s="11">
        <v>1.7123918247099908E-2</v>
      </c>
      <c r="Z78" s="11">
        <v>4.0731354091238181E-2</v>
      </c>
      <c r="AA78" s="11">
        <v>2.122108192729177E-2</v>
      </c>
    </row>
    <row r="79" spans="2:27">
      <c r="B79" s="3" t="s">
        <v>442</v>
      </c>
      <c r="C79" s="3" t="s">
        <v>668</v>
      </c>
      <c r="D79" s="3" t="s">
        <v>667</v>
      </c>
      <c r="E79" s="3" t="s">
        <v>642</v>
      </c>
      <c r="F79" s="7">
        <v>2</v>
      </c>
      <c r="G79" s="4">
        <v>343.51</v>
      </c>
      <c r="H79" s="4">
        <v>250.41</v>
      </c>
      <c r="I79" s="4">
        <v>327.44</v>
      </c>
      <c r="J79" s="4">
        <v>232.91</v>
      </c>
      <c r="K79" s="4">
        <v>317.63</v>
      </c>
      <c r="L79" s="4">
        <v>203.55</v>
      </c>
      <c r="M79" s="4">
        <v>375.92</v>
      </c>
      <c r="N79" s="4">
        <v>241.64</v>
      </c>
      <c r="O79" s="4">
        <v>321.58999999999997</v>
      </c>
      <c r="P79" s="4">
        <v>234.8</v>
      </c>
      <c r="Q79" s="4">
        <v>421.18</v>
      </c>
      <c r="R79" s="4">
        <v>314.3</v>
      </c>
      <c r="S79" s="4">
        <v>412.64</v>
      </c>
      <c r="T79" s="4">
        <v>333.76</v>
      </c>
      <c r="U79" s="4">
        <v>402.04</v>
      </c>
      <c r="V79" s="4">
        <v>373.99</v>
      </c>
      <c r="W79" s="4">
        <v>443.24</v>
      </c>
      <c r="X79" s="9">
        <v>7.1558730801492443E-2</v>
      </c>
      <c r="Y79" s="11">
        <v>-1.291602558911664E-2</v>
      </c>
      <c r="Z79" s="11">
        <v>4.0806978683839867E-2</v>
      </c>
      <c r="AA79" s="11">
        <v>2.009944627996019E-2</v>
      </c>
    </row>
    <row r="80" spans="2:27">
      <c r="B80" s="3" t="s">
        <v>112</v>
      </c>
      <c r="C80" s="3" t="s">
        <v>668</v>
      </c>
      <c r="D80" s="3" t="s">
        <v>667</v>
      </c>
      <c r="E80" s="3" t="s">
        <v>646</v>
      </c>
      <c r="F80" s="7">
        <v>1.9</v>
      </c>
      <c r="G80" s="4">
        <v>16147</v>
      </c>
      <c r="H80" s="4">
        <v>19919</v>
      </c>
      <c r="I80" s="4">
        <v>16545</v>
      </c>
      <c r="J80" s="4">
        <v>20753</v>
      </c>
      <c r="K80" s="4">
        <v>20493</v>
      </c>
      <c r="L80" s="4">
        <v>23108</v>
      </c>
      <c r="M80" s="4">
        <v>19330</v>
      </c>
      <c r="N80" s="4">
        <v>23025</v>
      </c>
      <c r="O80" s="4">
        <v>23244</v>
      </c>
      <c r="P80" s="4">
        <v>27637</v>
      </c>
      <c r="Q80" s="4">
        <v>21844</v>
      </c>
      <c r="R80" s="4">
        <v>26116</v>
      </c>
      <c r="S80" s="4">
        <v>25078</v>
      </c>
      <c r="T80" s="4">
        <v>30849</v>
      </c>
      <c r="U80" s="4">
        <v>21502</v>
      </c>
      <c r="V80" s="4">
        <v>24739</v>
      </c>
      <c r="W80" s="4">
        <v>26974</v>
      </c>
      <c r="X80" s="9">
        <v>3.1904643655326533E-2</v>
      </c>
      <c r="Y80" s="11">
        <v>-3.292038464870473E-3</v>
      </c>
      <c r="Z80" s="11">
        <v>-1.329856584093869E-2</v>
      </c>
      <c r="AA80" s="11">
        <v>1.855766972046036E-2</v>
      </c>
    </row>
    <row r="81" spans="2:27">
      <c r="B81" s="3" t="s">
        <v>484</v>
      </c>
      <c r="C81" s="3" t="s">
        <v>668</v>
      </c>
      <c r="D81" s="3" t="s">
        <v>667</v>
      </c>
      <c r="E81" s="3" t="s">
        <v>646</v>
      </c>
      <c r="F81" s="7">
        <v>1.7</v>
      </c>
      <c r="G81" s="4">
        <v>190.33</v>
      </c>
      <c r="H81" s="4">
        <v>145.1</v>
      </c>
      <c r="I81" s="4">
        <v>300.62</v>
      </c>
      <c r="J81" s="4">
        <v>239.71</v>
      </c>
      <c r="K81" s="8">
        <v>417.95</v>
      </c>
      <c r="L81" s="8">
        <v>447.46</v>
      </c>
      <c r="M81" s="8">
        <v>498.85</v>
      </c>
      <c r="N81" s="8">
        <v>754.29</v>
      </c>
      <c r="O81" s="8">
        <v>688.46</v>
      </c>
      <c r="P81" s="4">
        <v>0</v>
      </c>
      <c r="Q81" s="4">
        <v>364.73</v>
      </c>
      <c r="R81" s="4">
        <v>558.37</v>
      </c>
      <c r="S81" s="4">
        <v>633.05999999999995</v>
      </c>
      <c r="T81" s="8">
        <v>550.05999999999995</v>
      </c>
      <c r="U81" s="4">
        <v>452.9</v>
      </c>
      <c r="V81" s="4">
        <v>619.73</v>
      </c>
      <c r="W81" s="4">
        <v>672.06</v>
      </c>
      <c r="X81" s="13">
        <v>0.3534726506271848</v>
      </c>
      <c r="Y81" s="11">
        <v>4.1861723846511767E-2</v>
      </c>
      <c r="Z81" s="11">
        <v>2.796221273337918E-2</v>
      </c>
      <c r="AA81" s="11">
        <v>1.7289149950127539E-2</v>
      </c>
    </row>
    <row r="82" spans="2:27">
      <c r="B82" s="3" t="s">
        <v>333</v>
      </c>
      <c r="C82" s="3" t="s">
        <v>668</v>
      </c>
      <c r="D82" s="3" t="s">
        <v>667</v>
      </c>
      <c r="E82" s="3" t="s">
        <v>642</v>
      </c>
      <c r="F82" s="7">
        <v>1.6</v>
      </c>
      <c r="G82" s="4">
        <v>1816</v>
      </c>
      <c r="H82" s="4">
        <v>1624</v>
      </c>
      <c r="I82" s="4">
        <v>1626</v>
      </c>
      <c r="J82" s="4">
        <v>2017</v>
      </c>
      <c r="K82" s="4">
        <v>2018</v>
      </c>
      <c r="L82" s="4">
        <v>2025</v>
      </c>
      <c r="M82" s="4">
        <v>1990</v>
      </c>
      <c r="N82" s="4">
        <v>2355</v>
      </c>
      <c r="O82" s="4">
        <v>2380</v>
      </c>
      <c r="P82" s="4">
        <v>2160</v>
      </c>
      <c r="Q82" s="4">
        <v>2442</v>
      </c>
      <c r="R82" s="4">
        <v>2789</v>
      </c>
      <c r="S82" s="4">
        <v>2675</v>
      </c>
      <c r="T82" s="4">
        <v>2756</v>
      </c>
      <c r="U82" s="4">
        <v>2649</v>
      </c>
      <c r="V82" s="4">
        <v>2964</v>
      </c>
      <c r="W82" s="4">
        <v>2854</v>
      </c>
      <c r="X82" s="9">
        <v>5.9209219153586228E-2</v>
      </c>
      <c r="Y82" s="11">
        <v>1.9414743950478371E-2</v>
      </c>
      <c r="Z82" s="11">
        <v>1.6100837243536729E-2</v>
      </c>
      <c r="AA82" s="11">
        <v>1.6207895689967389E-2</v>
      </c>
    </row>
    <row r="83" spans="2:27">
      <c r="B83" s="3" t="s">
        <v>230</v>
      </c>
      <c r="C83" s="3" t="s">
        <v>668</v>
      </c>
      <c r="D83" s="3" t="s">
        <v>667</v>
      </c>
      <c r="E83" s="3" t="s">
        <v>642</v>
      </c>
      <c r="F83" s="7">
        <v>1.5</v>
      </c>
      <c r="G83" s="4">
        <v>8880</v>
      </c>
      <c r="H83" s="4">
        <v>8813</v>
      </c>
      <c r="I83" s="4">
        <v>9461</v>
      </c>
      <c r="J83" s="4">
        <v>10511</v>
      </c>
      <c r="K83" s="4">
        <v>11645</v>
      </c>
      <c r="L83" s="4">
        <v>11654</v>
      </c>
      <c r="M83" s="8">
        <v>13980</v>
      </c>
      <c r="N83" s="4">
        <v>12846</v>
      </c>
      <c r="O83" s="4">
        <v>15844</v>
      </c>
      <c r="P83" s="4">
        <v>15372</v>
      </c>
      <c r="Q83" s="4">
        <v>18450</v>
      </c>
      <c r="R83" s="4">
        <v>17095</v>
      </c>
      <c r="S83" s="4">
        <v>19519</v>
      </c>
      <c r="T83" s="4">
        <v>16702</v>
      </c>
      <c r="U83" s="4">
        <v>20258</v>
      </c>
      <c r="V83" s="4">
        <v>18614</v>
      </c>
      <c r="W83" s="4">
        <v>20642</v>
      </c>
      <c r="X83" s="9">
        <v>1.8882389687091768E-2</v>
      </c>
      <c r="Y83" s="11">
        <v>2.519298832316141E-2</v>
      </c>
      <c r="Z83" s="11">
        <v>2.064588033816284E-2</v>
      </c>
      <c r="AA83" s="11">
        <v>1.4954789394484139E-2</v>
      </c>
    </row>
    <row r="84" spans="2:27">
      <c r="B84" s="3" t="s">
        <v>82</v>
      </c>
      <c r="C84" s="3" t="s">
        <v>668</v>
      </c>
      <c r="D84" s="3" t="s">
        <v>667</v>
      </c>
      <c r="E84" s="3" t="s">
        <v>642</v>
      </c>
      <c r="F84" s="7">
        <v>0.7</v>
      </c>
      <c r="G84" s="4">
        <v>134292</v>
      </c>
      <c r="H84" s="4">
        <v>111394</v>
      </c>
      <c r="I84" s="4">
        <v>115211</v>
      </c>
      <c r="J84" s="4">
        <v>126437</v>
      </c>
      <c r="K84" s="4">
        <v>120566</v>
      </c>
      <c r="L84" s="4">
        <v>112595</v>
      </c>
      <c r="M84" s="4">
        <v>106282</v>
      </c>
      <c r="N84" s="4">
        <v>110799</v>
      </c>
      <c r="O84" s="4">
        <v>130522</v>
      </c>
      <c r="P84" s="4">
        <v>108649</v>
      </c>
      <c r="Q84" s="4">
        <v>108917</v>
      </c>
      <c r="R84" s="4">
        <v>128712</v>
      </c>
      <c r="S84" s="4">
        <v>123838</v>
      </c>
      <c r="T84" s="4">
        <v>111373</v>
      </c>
      <c r="U84" s="4">
        <v>131939</v>
      </c>
      <c r="V84" s="4">
        <v>145679</v>
      </c>
      <c r="W84" s="4">
        <v>127377</v>
      </c>
      <c r="X84" s="9">
        <v>5.7943145946957042E-3</v>
      </c>
      <c r="Y84" s="11">
        <v>4.8688774215379427E-2</v>
      </c>
      <c r="Z84" s="11">
        <v>3.4217181393210172E-2</v>
      </c>
      <c r="AA84" s="11">
        <v>6.9009357895126744E-3</v>
      </c>
    </row>
    <row r="85" spans="2:27">
      <c r="B85" s="3" t="s">
        <v>368</v>
      </c>
      <c r="C85" s="3" t="s">
        <v>668</v>
      </c>
      <c r="D85" s="3" t="s">
        <v>667</v>
      </c>
      <c r="E85" s="3" t="s">
        <v>646</v>
      </c>
      <c r="F85" s="7">
        <v>0.3</v>
      </c>
      <c r="G85" s="4">
        <v>796.16</v>
      </c>
      <c r="H85" s="4">
        <v>1037</v>
      </c>
      <c r="I85" s="4">
        <v>610.79999999999995</v>
      </c>
      <c r="J85" s="4">
        <v>1009</v>
      </c>
      <c r="K85" s="4">
        <v>668</v>
      </c>
      <c r="L85" s="4">
        <v>492.7</v>
      </c>
      <c r="M85" s="4">
        <v>514.4</v>
      </c>
      <c r="N85" s="4">
        <v>783.6</v>
      </c>
      <c r="O85" s="4">
        <v>819.2</v>
      </c>
      <c r="P85" s="8">
        <v>800.3</v>
      </c>
      <c r="Q85" s="4">
        <v>702.9</v>
      </c>
      <c r="R85" s="4">
        <v>734.9</v>
      </c>
      <c r="S85" s="4">
        <v>706.1</v>
      </c>
      <c r="T85" s="4">
        <v>651.4</v>
      </c>
      <c r="U85" s="4">
        <v>572.29999999999995</v>
      </c>
      <c r="V85" s="4">
        <v>835.2</v>
      </c>
      <c r="W85" s="4">
        <v>715.4</v>
      </c>
      <c r="X85" s="9">
        <v>-5.0574009917804363E-2</v>
      </c>
      <c r="Y85" s="11">
        <v>-4.6721282152184178E-2</v>
      </c>
      <c r="Z85" s="11">
        <v>3.7640259691522633E-2</v>
      </c>
      <c r="AA85" s="11">
        <v>3.3634719710668999E-3</v>
      </c>
    </row>
    <row r="86" spans="2:27">
      <c r="B86" s="3" t="s">
        <v>164</v>
      </c>
      <c r="C86" s="3" t="s">
        <v>668</v>
      </c>
      <c r="D86" s="3" t="s">
        <v>667</v>
      </c>
      <c r="E86" s="3" t="s">
        <v>642</v>
      </c>
      <c r="F86" s="7">
        <v>0.1</v>
      </c>
      <c r="G86" s="4">
        <v>4384</v>
      </c>
      <c r="H86" s="4">
        <v>4634</v>
      </c>
      <c r="I86" s="4">
        <v>6169</v>
      </c>
      <c r="J86" s="4">
        <v>7477</v>
      </c>
      <c r="K86" s="8">
        <v>9192</v>
      </c>
      <c r="L86" s="8">
        <v>7595</v>
      </c>
      <c r="M86" s="4">
        <v>5966</v>
      </c>
      <c r="N86" s="4">
        <v>5472</v>
      </c>
      <c r="O86" s="4">
        <v>5405</v>
      </c>
      <c r="P86" s="4">
        <v>4884</v>
      </c>
      <c r="Q86" s="4">
        <v>5469</v>
      </c>
      <c r="R86" s="4">
        <v>5497</v>
      </c>
      <c r="S86" s="4">
        <v>5958</v>
      </c>
      <c r="T86" s="4">
        <v>5132</v>
      </c>
      <c r="U86" s="4">
        <v>6104</v>
      </c>
      <c r="V86" s="4">
        <v>5884</v>
      </c>
      <c r="W86" s="4">
        <v>5973</v>
      </c>
      <c r="X86" s="9">
        <v>1.137197358767428E-2</v>
      </c>
      <c r="Y86" s="11">
        <v>2.87903518317012E-2</v>
      </c>
      <c r="Z86" s="11">
        <v>1.7055220131329651E-2</v>
      </c>
      <c r="AA86" s="11">
        <v>6.4996966808217316E-4</v>
      </c>
    </row>
    <row r="87" spans="2:27">
      <c r="B87" s="3" t="s">
        <v>327</v>
      </c>
      <c r="C87" s="3" t="s">
        <v>668</v>
      </c>
      <c r="D87" s="3" t="s">
        <v>667</v>
      </c>
      <c r="E87" s="3" t="s">
        <v>642</v>
      </c>
      <c r="F87" s="7">
        <v>0</v>
      </c>
      <c r="G87" s="4">
        <v>560.29999999999995</v>
      </c>
      <c r="H87" s="4">
        <v>820.4</v>
      </c>
      <c r="I87" s="4">
        <v>650.84</v>
      </c>
      <c r="J87" s="4">
        <v>864.7</v>
      </c>
      <c r="K87" s="8">
        <v>1141</v>
      </c>
      <c r="L87" s="4">
        <v>1056</v>
      </c>
      <c r="M87" s="4">
        <v>799.14</v>
      </c>
      <c r="N87" s="4">
        <v>918.1</v>
      </c>
      <c r="O87" s="4">
        <v>904.6</v>
      </c>
      <c r="P87" s="4">
        <v>1119</v>
      </c>
      <c r="Q87" s="4">
        <v>1146</v>
      </c>
      <c r="R87" s="4">
        <v>947</v>
      </c>
      <c r="S87" s="4">
        <v>1074</v>
      </c>
      <c r="T87" s="4">
        <v>1287</v>
      </c>
      <c r="U87" s="4">
        <v>1239</v>
      </c>
      <c r="V87" s="4">
        <v>1064</v>
      </c>
      <c r="W87" s="4">
        <v>1072</v>
      </c>
      <c r="X87" s="9">
        <v>3.9197386840877257E-2</v>
      </c>
      <c r="Y87" s="11">
        <v>2.0880107768298069E-2</v>
      </c>
      <c r="Z87" s="11">
        <v>2.573125137453269E-2</v>
      </c>
      <c r="AA87" s="11">
        <v>-4.2881646655235078E-4</v>
      </c>
    </row>
    <row r="88" spans="2:27">
      <c r="B88" s="3" t="s">
        <v>454</v>
      </c>
      <c r="C88" s="3" t="s">
        <v>668</v>
      </c>
      <c r="D88" s="3" t="s">
        <v>667</v>
      </c>
      <c r="E88" s="3" t="s">
        <v>642</v>
      </c>
      <c r="F88" s="7">
        <v>-0.2</v>
      </c>
      <c r="G88" s="4">
        <v>1304</v>
      </c>
      <c r="H88" s="4">
        <v>1332</v>
      </c>
      <c r="I88" s="4">
        <v>1272</v>
      </c>
      <c r="J88" s="4">
        <v>1351</v>
      </c>
      <c r="K88" s="4">
        <v>1310</v>
      </c>
      <c r="L88" s="4">
        <v>1309</v>
      </c>
      <c r="M88" s="4">
        <v>1282</v>
      </c>
      <c r="N88" s="4">
        <v>1371</v>
      </c>
      <c r="O88" s="4">
        <v>1338</v>
      </c>
      <c r="P88" s="4">
        <v>1197</v>
      </c>
      <c r="Q88" s="4">
        <v>1227</v>
      </c>
      <c r="R88" s="4">
        <v>1235</v>
      </c>
      <c r="S88" s="4">
        <v>1293</v>
      </c>
      <c r="T88" s="4">
        <v>1640</v>
      </c>
      <c r="U88" s="4">
        <v>1562</v>
      </c>
      <c r="V88" s="4">
        <v>1253</v>
      </c>
      <c r="W88" s="4">
        <v>1282</v>
      </c>
      <c r="X88" s="9">
        <v>8.9458804523424806E-2</v>
      </c>
      <c r="Y88" s="11">
        <v>6.2094531974050023E-2</v>
      </c>
      <c r="Z88" s="11">
        <v>3.141361256544517E-3</v>
      </c>
      <c r="AA88" s="11">
        <v>-1.9137091162143569E-3</v>
      </c>
    </row>
    <row r="89" spans="2:27">
      <c r="B89" s="3" t="s">
        <v>323</v>
      </c>
      <c r="C89" s="3" t="s">
        <v>668</v>
      </c>
      <c r="D89" s="3" t="s">
        <v>667</v>
      </c>
      <c r="E89" s="3" t="s">
        <v>642</v>
      </c>
      <c r="F89" s="7">
        <v>-1.2</v>
      </c>
      <c r="G89" s="4">
        <v>4956</v>
      </c>
      <c r="H89" s="4">
        <v>5265</v>
      </c>
      <c r="I89" s="4">
        <v>5980</v>
      </c>
      <c r="J89" s="4">
        <v>6064</v>
      </c>
      <c r="K89" s="8">
        <v>7452</v>
      </c>
      <c r="L89" s="4">
        <v>6520</v>
      </c>
      <c r="M89" s="4">
        <v>6730</v>
      </c>
      <c r="N89" s="4">
        <v>4980</v>
      </c>
      <c r="O89" s="4">
        <v>4406</v>
      </c>
      <c r="P89" s="4">
        <v>3692</v>
      </c>
      <c r="Q89" s="4">
        <v>3807</v>
      </c>
      <c r="R89" s="4">
        <v>4510</v>
      </c>
      <c r="S89" s="4">
        <v>3806</v>
      </c>
      <c r="T89" s="4">
        <v>4148</v>
      </c>
      <c r="U89" s="4">
        <v>3590</v>
      </c>
      <c r="V89" s="4">
        <v>3778</v>
      </c>
      <c r="W89" s="4">
        <v>3626</v>
      </c>
      <c r="X89" s="9">
        <v>2.8833386025924671E-2</v>
      </c>
      <c r="Y89" s="11">
        <v>-1.333661114866946E-2</v>
      </c>
      <c r="Z89" s="11">
        <v>-4.5596113118225978E-2</v>
      </c>
      <c r="AA89" s="11">
        <v>-1.1747813601357571E-2</v>
      </c>
    </row>
    <row r="90" spans="2:27">
      <c r="B90" s="3" t="s">
        <v>398</v>
      </c>
      <c r="C90" s="3" t="s">
        <v>668</v>
      </c>
      <c r="D90" s="3" t="s">
        <v>667</v>
      </c>
      <c r="E90" s="3" t="s">
        <v>642</v>
      </c>
      <c r="F90" s="7">
        <v>-1.7</v>
      </c>
      <c r="G90" s="4">
        <v>1582</v>
      </c>
      <c r="H90" s="4">
        <v>1644</v>
      </c>
      <c r="I90" s="4">
        <v>1290</v>
      </c>
      <c r="J90" s="4">
        <v>1732</v>
      </c>
      <c r="K90" s="4">
        <v>1882</v>
      </c>
      <c r="L90" s="4">
        <v>1896</v>
      </c>
      <c r="M90" s="8">
        <v>2629</v>
      </c>
      <c r="N90" s="4">
        <v>2074</v>
      </c>
      <c r="O90" s="8">
        <v>2953</v>
      </c>
      <c r="P90" s="4">
        <v>2130</v>
      </c>
      <c r="Q90" s="4">
        <v>2374</v>
      </c>
      <c r="R90" s="4">
        <v>1768</v>
      </c>
      <c r="S90" s="4">
        <v>2054</v>
      </c>
      <c r="T90" s="4">
        <v>1821</v>
      </c>
      <c r="U90" s="4">
        <v>2459</v>
      </c>
      <c r="V90" s="4">
        <v>2112</v>
      </c>
      <c r="W90" s="4">
        <v>1911</v>
      </c>
      <c r="X90" s="9">
        <v>-3.7112659140043247E-2</v>
      </c>
      <c r="Y90" s="11">
        <v>1.060246975177748E-2</v>
      </c>
      <c r="Z90" s="11">
        <v>4.2458652184645729E-2</v>
      </c>
      <c r="AA90" s="11">
        <v>-1.693109164101347E-2</v>
      </c>
    </row>
    <row r="91" spans="2:27">
      <c r="B91" s="3" t="s">
        <v>424</v>
      </c>
      <c r="C91" s="3" t="s">
        <v>668</v>
      </c>
      <c r="D91" s="3" t="s">
        <v>667</v>
      </c>
      <c r="E91" s="3" t="s">
        <v>642</v>
      </c>
      <c r="F91" s="7">
        <v>-2.8</v>
      </c>
      <c r="G91" s="4">
        <v>331.17</v>
      </c>
      <c r="H91" s="4">
        <v>513.76</v>
      </c>
      <c r="I91" s="4">
        <v>466.1</v>
      </c>
      <c r="J91" s="4">
        <v>689.37</v>
      </c>
      <c r="K91" s="8">
        <v>617.32000000000005</v>
      </c>
      <c r="L91" s="8">
        <v>838.11</v>
      </c>
      <c r="M91" s="8">
        <v>817</v>
      </c>
      <c r="N91" s="4">
        <v>696.17</v>
      </c>
      <c r="O91" s="4">
        <v>639.99</v>
      </c>
      <c r="P91" s="4">
        <v>860.79</v>
      </c>
      <c r="Q91" s="4">
        <v>873.59</v>
      </c>
      <c r="R91" s="4">
        <v>737.56</v>
      </c>
      <c r="S91" s="4">
        <v>853.77</v>
      </c>
      <c r="T91" s="4">
        <v>1109</v>
      </c>
      <c r="U91" s="4">
        <v>882.41</v>
      </c>
      <c r="V91" s="4">
        <v>826.46</v>
      </c>
      <c r="W91" s="4">
        <v>751.27</v>
      </c>
      <c r="X91" s="9">
        <v>7.4633687242724012E-2</v>
      </c>
      <c r="Y91" s="11">
        <v>2.4678784080225391E-3</v>
      </c>
      <c r="Z91" s="11">
        <v>2.4813410964792389E-2</v>
      </c>
      <c r="AA91" s="11">
        <v>-2.7916680284559511E-2</v>
      </c>
    </row>
    <row r="92" spans="2:27">
      <c r="B92" s="3" t="s">
        <v>376</v>
      </c>
      <c r="C92" s="3" t="s">
        <v>668</v>
      </c>
      <c r="D92" s="3" t="s">
        <v>667</v>
      </c>
      <c r="E92" s="3" t="s">
        <v>646</v>
      </c>
      <c r="F92" s="7">
        <v>-2.9</v>
      </c>
      <c r="G92" s="4">
        <v>1036</v>
      </c>
      <c r="H92" s="4">
        <v>1345</v>
      </c>
      <c r="I92" s="4">
        <v>1328</v>
      </c>
      <c r="J92" s="4">
        <v>1497</v>
      </c>
      <c r="K92" s="4">
        <v>1443</v>
      </c>
      <c r="L92" s="4">
        <v>1623</v>
      </c>
      <c r="M92" s="4">
        <v>1584</v>
      </c>
      <c r="N92" s="4">
        <v>1591</v>
      </c>
      <c r="O92" s="4">
        <v>1572</v>
      </c>
      <c r="P92" s="4">
        <v>1472</v>
      </c>
      <c r="Q92" s="4">
        <v>1335</v>
      </c>
      <c r="R92" s="4">
        <v>1522</v>
      </c>
      <c r="S92" s="4">
        <v>1618</v>
      </c>
      <c r="T92" s="4">
        <v>1718</v>
      </c>
      <c r="U92" s="4">
        <v>1417</v>
      </c>
      <c r="V92" s="4">
        <v>1646</v>
      </c>
      <c r="W92" s="4">
        <v>1430</v>
      </c>
      <c r="X92" s="9">
        <v>4.1365394316462023E-2</v>
      </c>
      <c r="Y92" s="11">
        <v>1.32407556919103E-2</v>
      </c>
      <c r="Z92" s="11">
        <v>1.976095617529872E-2</v>
      </c>
      <c r="AA92" s="11">
        <v>-2.937959056102513E-2</v>
      </c>
    </row>
    <row r="93" spans="2:27">
      <c r="B93" s="3" t="s">
        <v>244</v>
      </c>
      <c r="C93" s="3" t="s">
        <v>668</v>
      </c>
      <c r="D93" s="3" t="s">
        <v>667</v>
      </c>
      <c r="E93" s="3" t="s">
        <v>642</v>
      </c>
      <c r="F93" s="7">
        <v>-4.8</v>
      </c>
      <c r="G93" s="4">
        <v>1879</v>
      </c>
      <c r="H93" s="4">
        <v>2342</v>
      </c>
      <c r="I93" s="4">
        <v>3233</v>
      </c>
      <c r="J93" s="4">
        <v>1149</v>
      </c>
      <c r="K93" s="4">
        <v>1810</v>
      </c>
      <c r="L93" s="4">
        <v>2315</v>
      </c>
      <c r="M93" s="4">
        <v>3446</v>
      </c>
      <c r="N93" s="4">
        <v>1877</v>
      </c>
      <c r="O93" s="4">
        <v>2275</v>
      </c>
      <c r="P93" s="4">
        <v>2520</v>
      </c>
      <c r="Q93" s="4">
        <v>4055</v>
      </c>
      <c r="R93" s="4">
        <v>1635</v>
      </c>
      <c r="S93" s="4">
        <v>2621</v>
      </c>
      <c r="T93" s="4">
        <v>2380</v>
      </c>
      <c r="U93" s="4">
        <v>4106</v>
      </c>
      <c r="V93" s="4">
        <v>1705</v>
      </c>
      <c r="W93" s="4">
        <v>2097</v>
      </c>
      <c r="X93" s="9">
        <v>-1.292586095466719E-2</v>
      </c>
      <c r="Y93" s="11">
        <v>4.7703675989150263E-3</v>
      </c>
      <c r="Z93" s="11">
        <v>6.5164773785142396E-3</v>
      </c>
      <c r="AA93" s="11">
        <v>-4.8464668886422542E-2</v>
      </c>
    </row>
    <row r="94" spans="2:27">
      <c r="B94" s="3" t="s">
        <v>476</v>
      </c>
      <c r="C94" s="3" t="s">
        <v>668</v>
      </c>
      <c r="D94" s="3" t="s">
        <v>667</v>
      </c>
      <c r="E94" s="3" t="s">
        <v>642</v>
      </c>
      <c r="F94" s="7">
        <v>-8.6999999999999993</v>
      </c>
      <c r="G94" s="4">
        <v>155.52000000000001</v>
      </c>
      <c r="H94" s="4">
        <v>141.4</v>
      </c>
      <c r="I94" s="4">
        <v>28.66</v>
      </c>
      <c r="J94" s="4">
        <v>6</v>
      </c>
      <c r="K94" s="4">
        <v>135.63</v>
      </c>
      <c r="L94" s="4">
        <v>125.19</v>
      </c>
      <c r="M94" s="8">
        <v>71.39</v>
      </c>
      <c r="N94" s="8">
        <v>134.27000000000001</v>
      </c>
      <c r="O94" s="4">
        <v>130.01</v>
      </c>
      <c r="P94" s="4">
        <v>141.4</v>
      </c>
      <c r="Q94" s="4">
        <v>112.1</v>
      </c>
      <c r="R94" s="4">
        <v>179.68</v>
      </c>
      <c r="S94" s="8">
        <v>188.71</v>
      </c>
      <c r="T94" s="4">
        <v>46.92</v>
      </c>
      <c r="U94" s="4">
        <v>49.58</v>
      </c>
      <c r="V94" s="4">
        <v>148.07</v>
      </c>
      <c r="W94" s="4">
        <v>151.06</v>
      </c>
      <c r="X94" s="9">
        <v>-0.15192397369309679</v>
      </c>
      <c r="Y94" s="11">
        <v>-0.1185415521131568</v>
      </c>
      <c r="Z94" s="11">
        <v>-6.7994579362860019E-2</v>
      </c>
      <c r="AA94" s="11">
        <v>-8.6895310192023567E-2</v>
      </c>
    </row>
    <row r="95" spans="2:27">
      <c r="B95" s="3" t="s">
        <v>494</v>
      </c>
      <c r="C95" s="3" t="s">
        <v>668</v>
      </c>
      <c r="D95" s="3" t="s">
        <v>667</v>
      </c>
      <c r="E95" s="3" t="s">
        <v>642</v>
      </c>
      <c r="F95" s="7">
        <v>-17.3</v>
      </c>
      <c r="G95" s="4">
        <v>6057</v>
      </c>
      <c r="H95" s="4">
        <v>5850</v>
      </c>
      <c r="I95" s="4">
        <v>7822</v>
      </c>
      <c r="J95" s="4">
        <v>8325</v>
      </c>
      <c r="K95" s="8">
        <v>9067</v>
      </c>
      <c r="L95" s="8">
        <v>10804</v>
      </c>
      <c r="M95" s="8">
        <v>12100</v>
      </c>
      <c r="N95" s="4">
        <v>11321</v>
      </c>
      <c r="O95" s="4">
        <v>11425</v>
      </c>
      <c r="P95" s="4">
        <v>11773</v>
      </c>
      <c r="Q95" s="4">
        <v>13766</v>
      </c>
      <c r="R95" s="4">
        <v>12910</v>
      </c>
      <c r="S95" s="4">
        <v>13294</v>
      </c>
      <c r="T95" s="4">
        <v>14372</v>
      </c>
      <c r="U95" s="4">
        <v>16392</v>
      </c>
      <c r="V95" s="4">
        <v>16440</v>
      </c>
      <c r="W95" s="4">
        <v>2799</v>
      </c>
      <c r="X95" s="9">
        <v>5.0229016485321631E-2</v>
      </c>
      <c r="Y95" s="11">
        <v>4.8323580287806811E-2</v>
      </c>
      <c r="Z95" s="11">
        <v>6.1964611711838202E-2</v>
      </c>
      <c r="AA95" s="11">
        <v>-0.1734768091507157</v>
      </c>
    </row>
    <row r="96" spans="2:27">
      <c r="B96" s="3" t="s">
        <v>116</v>
      </c>
      <c r="C96" s="3" t="s">
        <v>637</v>
      </c>
      <c r="D96" s="3" t="s">
        <v>669</v>
      </c>
      <c r="E96" s="3" t="s">
        <v>670</v>
      </c>
      <c r="F96" s="7">
        <v>5.6</v>
      </c>
      <c r="G96" s="4">
        <v>287.33</v>
      </c>
      <c r="H96" s="4">
        <v>248.41</v>
      </c>
      <c r="I96" s="4">
        <v>411.35</v>
      </c>
      <c r="J96" s="4">
        <v>359.6</v>
      </c>
      <c r="K96" s="4">
        <v>306.69</v>
      </c>
      <c r="L96" s="4">
        <v>253.14</v>
      </c>
      <c r="M96" s="4">
        <v>257.95999999999998</v>
      </c>
      <c r="N96" s="4">
        <v>246.1</v>
      </c>
      <c r="O96" s="4">
        <v>265.51</v>
      </c>
      <c r="P96" s="4">
        <v>254.5</v>
      </c>
      <c r="Q96" s="4">
        <v>228.13</v>
      </c>
      <c r="R96" s="4">
        <v>320.67</v>
      </c>
      <c r="S96" s="4">
        <v>255.13</v>
      </c>
      <c r="T96" s="4">
        <v>258.14999999999998</v>
      </c>
      <c r="U96" s="4">
        <v>268.26</v>
      </c>
      <c r="V96" s="4">
        <v>274.99</v>
      </c>
      <c r="W96" s="4">
        <v>314.18</v>
      </c>
      <c r="X96" s="9">
        <v>3.4485039161775699E-3</v>
      </c>
      <c r="Y96" s="11">
        <v>3.7784347695088982E-2</v>
      </c>
      <c r="Z96" s="11">
        <v>-4.1444007947668782E-2</v>
      </c>
      <c r="AA96" s="11">
        <v>5.5890509498073948E-2</v>
      </c>
    </row>
    <row r="97" spans="2:27">
      <c r="B97" s="3" t="s">
        <v>299</v>
      </c>
      <c r="C97" s="3" t="s">
        <v>637</v>
      </c>
      <c r="D97" s="3" t="s">
        <v>671</v>
      </c>
      <c r="E97" s="3" t="s">
        <v>670</v>
      </c>
      <c r="F97" s="7">
        <v>5</v>
      </c>
      <c r="G97" s="4">
        <v>41.63</v>
      </c>
      <c r="H97" s="4">
        <v>11.11</v>
      </c>
      <c r="I97" s="4">
        <v>37.4</v>
      </c>
      <c r="J97" s="4">
        <v>21.13</v>
      </c>
      <c r="K97" s="4">
        <v>23.72</v>
      </c>
      <c r="L97" s="8">
        <v>21.86</v>
      </c>
      <c r="M97" s="4">
        <v>26.54</v>
      </c>
      <c r="N97" s="4">
        <v>0</v>
      </c>
      <c r="O97" s="4">
        <v>24.52</v>
      </c>
      <c r="P97" s="8">
        <v>30.15</v>
      </c>
      <c r="Q97" s="8">
        <v>35.700000000000003</v>
      </c>
      <c r="R97" s="8">
        <v>37.89</v>
      </c>
      <c r="S97" s="4">
        <v>24.71</v>
      </c>
      <c r="T97" s="4">
        <v>32.56</v>
      </c>
      <c r="U97" s="4">
        <v>35.15</v>
      </c>
      <c r="V97" s="4">
        <v>36.44</v>
      </c>
      <c r="W97" s="4">
        <v>31.11</v>
      </c>
      <c r="X97" s="9">
        <v>1.8762164266251661E-2</v>
      </c>
      <c r="Y97" s="11">
        <v>-4.202965000764225E-3</v>
      </c>
      <c r="Z97" s="11">
        <v>-1.112731179495041E-2</v>
      </c>
      <c r="AA97" s="11">
        <v>4.9666304516529307E-2</v>
      </c>
    </row>
    <row r="98" spans="2:27">
      <c r="B98" s="3" t="s">
        <v>552</v>
      </c>
      <c r="C98" s="3" t="s">
        <v>637</v>
      </c>
      <c r="D98" s="3" t="s">
        <v>672</v>
      </c>
      <c r="E98" s="3" t="s">
        <v>670</v>
      </c>
      <c r="F98" s="7">
        <v>3.8</v>
      </c>
      <c r="G98" s="3"/>
      <c r="H98" s="3"/>
      <c r="I98" s="4">
        <v>90.41</v>
      </c>
      <c r="J98" s="4">
        <v>97.66</v>
      </c>
      <c r="K98" s="4">
        <v>68.95</v>
      </c>
      <c r="L98" s="4">
        <v>67.5</v>
      </c>
      <c r="M98" s="8">
        <v>165.65</v>
      </c>
      <c r="N98" s="8">
        <v>151.31</v>
      </c>
      <c r="O98" s="4">
        <v>94.47</v>
      </c>
      <c r="P98" s="4">
        <v>97.25</v>
      </c>
      <c r="Q98" s="4">
        <v>211.63</v>
      </c>
      <c r="R98" s="4">
        <v>192.77</v>
      </c>
      <c r="S98" s="4">
        <v>119</v>
      </c>
      <c r="T98" s="4">
        <v>123.64</v>
      </c>
      <c r="U98" s="4">
        <v>268.08</v>
      </c>
      <c r="V98" s="4">
        <v>241.14</v>
      </c>
      <c r="W98" s="4">
        <v>147.9</v>
      </c>
      <c r="X98" s="9">
        <v>4.2519938773866173E-2</v>
      </c>
      <c r="Y98" s="11">
        <v>8.7243447082097081E-2</v>
      </c>
      <c r="Z98" s="11">
        <v>6.8757196264339182E-2</v>
      </c>
      <c r="AA98" s="11">
        <v>3.8438007075785263E-2</v>
      </c>
    </row>
    <row r="99" spans="2:27">
      <c r="B99" s="3" t="s">
        <v>160</v>
      </c>
      <c r="C99" s="3" t="s">
        <v>637</v>
      </c>
      <c r="D99" s="3" t="s">
        <v>673</v>
      </c>
      <c r="E99" s="3" t="s">
        <v>670</v>
      </c>
      <c r="F99" s="7">
        <v>3.2</v>
      </c>
      <c r="G99" s="3"/>
      <c r="H99" s="3"/>
      <c r="I99" s="3"/>
      <c r="J99" s="3"/>
      <c r="K99" s="3"/>
      <c r="L99" s="3"/>
      <c r="M99" s="3"/>
      <c r="N99" s="3"/>
      <c r="O99" s="4">
        <v>96.89</v>
      </c>
      <c r="P99" s="4">
        <v>99.9</v>
      </c>
      <c r="Q99" s="4">
        <v>104.01</v>
      </c>
      <c r="R99" s="4">
        <v>108.57</v>
      </c>
      <c r="S99" s="4">
        <v>107.14</v>
      </c>
      <c r="T99" s="4">
        <v>100.86</v>
      </c>
      <c r="U99" s="4">
        <v>103.89</v>
      </c>
      <c r="V99" s="4">
        <v>119.59</v>
      </c>
      <c r="W99" s="4">
        <v>120.87</v>
      </c>
      <c r="X99" s="9">
        <v>2.2877841856918661E-3</v>
      </c>
      <c r="Y99" s="11">
        <v>-2.8532027200534049E-4</v>
      </c>
      <c r="Z99" s="11">
        <v>2.6209389716025381E-2</v>
      </c>
      <c r="AA99" s="11">
        <v>3.1820710114026207E-2</v>
      </c>
    </row>
    <row r="100" spans="2:27">
      <c r="B100" s="3" t="s">
        <v>204</v>
      </c>
      <c r="C100" s="3" t="s">
        <v>637</v>
      </c>
      <c r="D100" s="3" t="s">
        <v>674</v>
      </c>
      <c r="E100" s="3" t="s">
        <v>670</v>
      </c>
      <c r="F100" s="7">
        <v>2.8</v>
      </c>
      <c r="G100" s="4">
        <v>131.61000000000001</v>
      </c>
      <c r="H100" s="4">
        <v>130.76</v>
      </c>
      <c r="I100" s="4">
        <v>115.47</v>
      </c>
      <c r="J100" s="4">
        <v>134.56</v>
      </c>
      <c r="K100" s="4">
        <v>130.71</v>
      </c>
      <c r="L100" s="4">
        <v>136.49</v>
      </c>
      <c r="M100" s="4">
        <v>118.46</v>
      </c>
      <c r="N100" s="4">
        <v>165.24</v>
      </c>
      <c r="O100" s="8">
        <v>211.7</v>
      </c>
      <c r="P100" s="8">
        <v>231.04</v>
      </c>
      <c r="Q100" s="8">
        <v>205.83</v>
      </c>
      <c r="R100" s="4">
        <v>241.96</v>
      </c>
      <c r="S100" s="4">
        <v>250.4</v>
      </c>
      <c r="T100" s="4">
        <v>259.60000000000002</v>
      </c>
      <c r="U100" s="4">
        <v>244.32</v>
      </c>
      <c r="V100" s="4">
        <v>264.57</v>
      </c>
      <c r="W100" s="4">
        <v>278.63</v>
      </c>
      <c r="X100" s="9">
        <v>3.0735124780732589E-2</v>
      </c>
      <c r="Y100" s="11">
        <v>4.0186262124265022E-2</v>
      </c>
      <c r="Z100" s="11">
        <v>2.2694423254506772E-2</v>
      </c>
      <c r="AA100" s="11">
        <v>2.7706621912080731E-2</v>
      </c>
    </row>
    <row r="101" spans="2:27">
      <c r="B101" s="3" t="s">
        <v>50</v>
      </c>
      <c r="C101" s="3" t="s">
        <v>637</v>
      </c>
      <c r="D101" s="3" t="s">
        <v>651</v>
      </c>
      <c r="E101" s="3" t="s">
        <v>670</v>
      </c>
      <c r="F101" s="7">
        <v>2.7</v>
      </c>
      <c r="G101" s="4">
        <v>34.97</v>
      </c>
      <c r="H101" s="4">
        <v>0.67</v>
      </c>
      <c r="I101" s="4">
        <v>7.0000000000000007E-2</v>
      </c>
      <c r="J101" s="4">
        <v>12.75</v>
      </c>
      <c r="K101" s="4">
        <v>32.450000000000003</v>
      </c>
      <c r="L101" s="4">
        <v>1.1100000000000001</v>
      </c>
      <c r="M101" s="4">
        <v>0.37</v>
      </c>
      <c r="N101" s="4">
        <v>11.62</v>
      </c>
      <c r="O101" s="8">
        <v>53.62</v>
      </c>
      <c r="P101" s="4">
        <v>1.1100000000000001</v>
      </c>
      <c r="Q101" s="4">
        <v>5.51</v>
      </c>
      <c r="R101" s="4">
        <v>13.01</v>
      </c>
      <c r="S101" s="8">
        <v>64.510000000000005</v>
      </c>
      <c r="T101" s="8">
        <v>15.59</v>
      </c>
      <c r="U101" s="8">
        <v>15.65</v>
      </c>
      <c r="V101" s="8">
        <v>30.75</v>
      </c>
      <c r="W101" s="4">
        <v>67.89</v>
      </c>
      <c r="X101" s="13">
        <v>0.17209412883289771</v>
      </c>
      <c r="Y101" s="10">
        <v>0.10281890083147439</v>
      </c>
      <c r="Z101" s="10">
        <v>0.16311143802868691</v>
      </c>
      <c r="AA101" s="11">
        <v>2.6719367588932789E-2</v>
      </c>
    </row>
    <row r="102" spans="2:27">
      <c r="B102" s="3" t="s">
        <v>548</v>
      </c>
      <c r="C102" s="3" t="s">
        <v>637</v>
      </c>
      <c r="D102" s="3" t="s">
        <v>675</v>
      </c>
      <c r="E102" s="3" t="s">
        <v>670</v>
      </c>
      <c r="F102" s="7">
        <v>2.6</v>
      </c>
      <c r="G102" s="4">
        <v>1441</v>
      </c>
      <c r="H102" s="4">
        <v>1504</v>
      </c>
      <c r="I102" s="4">
        <v>1459</v>
      </c>
      <c r="J102" s="4">
        <v>1515</v>
      </c>
      <c r="K102" s="4">
        <v>1552</v>
      </c>
      <c r="L102" s="4">
        <v>1626</v>
      </c>
      <c r="M102" s="4">
        <v>1597</v>
      </c>
      <c r="N102" s="4">
        <v>1646</v>
      </c>
      <c r="O102" s="4">
        <v>1623</v>
      </c>
      <c r="P102" s="4">
        <v>1731</v>
      </c>
      <c r="Q102" s="4">
        <v>1736</v>
      </c>
      <c r="R102" s="4">
        <v>1735</v>
      </c>
      <c r="S102" s="4">
        <v>1709</v>
      </c>
      <c r="T102" s="4">
        <v>1762</v>
      </c>
      <c r="U102" s="4">
        <v>1732</v>
      </c>
      <c r="V102" s="4">
        <v>1778</v>
      </c>
      <c r="W102" s="4">
        <v>1893</v>
      </c>
      <c r="X102" s="9">
        <v>4.4856026624222611E-3</v>
      </c>
      <c r="Y102" s="11">
        <v>-5.7620282339387874E-4</v>
      </c>
      <c r="Z102" s="11">
        <v>6.1977515134044037E-3</v>
      </c>
      <c r="AA102" s="11">
        <v>2.6357255407534641E-2</v>
      </c>
    </row>
    <row r="103" spans="2:27">
      <c r="B103" s="3" t="s">
        <v>273</v>
      </c>
      <c r="C103" s="3" t="s">
        <v>637</v>
      </c>
      <c r="D103" s="3" t="s">
        <v>676</v>
      </c>
      <c r="E103" s="3" t="s">
        <v>670</v>
      </c>
      <c r="F103" s="7">
        <v>-0.9</v>
      </c>
      <c r="G103" s="4">
        <v>37.770000000000003</v>
      </c>
      <c r="H103" s="4">
        <v>38.299999999999997</v>
      </c>
      <c r="I103" s="4">
        <v>38.44</v>
      </c>
      <c r="J103" s="4">
        <v>37.29</v>
      </c>
      <c r="K103" s="4">
        <v>37.69</v>
      </c>
      <c r="L103" s="4">
        <v>38.14</v>
      </c>
      <c r="M103" s="4">
        <v>36.47</v>
      </c>
      <c r="N103" s="4">
        <v>36.159999999999997</v>
      </c>
      <c r="O103" s="4">
        <v>37.950000000000003</v>
      </c>
      <c r="P103" s="4">
        <v>38</v>
      </c>
      <c r="Q103" s="4">
        <v>35.31</v>
      </c>
      <c r="R103" s="4">
        <v>35.020000000000003</v>
      </c>
      <c r="S103" s="4">
        <v>35.82</v>
      </c>
      <c r="T103" s="4">
        <v>36.909999999999997</v>
      </c>
      <c r="U103" s="4">
        <v>33.549999999999997</v>
      </c>
      <c r="V103" s="4">
        <v>34.04</v>
      </c>
      <c r="W103" s="4">
        <v>34.61</v>
      </c>
      <c r="X103" s="9">
        <v>-7.561567811307679E-3</v>
      </c>
      <c r="Y103" s="11">
        <v>-1.230253040682228E-2</v>
      </c>
      <c r="Z103" s="11">
        <v>-6.9355980184007127E-3</v>
      </c>
      <c r="AA103" s="11">
        <v>-8.6231470923603393E-3</v>
      </c>
    </row>
    <row r="104" spans="2:27">
      <c r="B104" s="3" t="s">
        <v>390</v>
      </c>
      <c r="C104" s="3" t="s">
        <v>637</v>
      </c>
      <c r="D104" s="3" t="s">
        <v>677</v>
      </c>
      <c r="E104" s="3" t="s">
        <v>678</v>
      </c>
      <c r="F104" s="7">
        <v>-8.3000000000000007</v>
      </c>
      <c r="G104" s="3"/>
      <c r="H104" s="3"/>
      <c r="I104" s="4">
        <v>878.68</v>
      </c>
      <c r="J104" s="4">
        <v>2007</v>
      </c>
      <c r="K104" s="4">
        <v>2007</v>
      </c>
      <c r="L104" s="4">
        <v>2610</v>
      </c>
      <c r="M104" s="4">
        <v>1122</v>
      </c>
      <c r="N104" s="4">
        <v>2286</v>
      </c>
      <c r="O104" s="8">
        <v>3220</v>
      </c>
      <c r="P104" s="4">
        <v>2526</v>
      </c>
      <c r="Q104" s="4">
        <v>1315</v>
      </c>
      <c r="R104" s="4">
        <v>2366</v>
      </c>
      <c r="S104" s="4">
        <v>3066</v>
      </c>
      <c r="T104" s="4">
        <v>2546</v>
      </c>
      <c r="U104" s="4">
        <v>1415</v>
      </c>
      <c r="V104" s="4">
        <v>2053</v>
      </c>
      <c r="W104" s="4">
        <v>2316</v>
      </c>
      <c r="X104" s="9">
        <v>2.1567993098241529E-3</v>
      </c>
      <c r="Y104" s="11">
        <v>1.076078768965893E-2</v>
      </c>
      <c r="Z104" s="11">
        <v>-3.3322687107420368E-2</v>
      </c>
      <c r="AA104" s="11">
        <v>-8.2599118942731309E-2</v>
      </c>
    </row>
    <row r="105" spans="2:27">
      <c r="B105" s="3" t="s">
        <v>98</v>
      </c>
      <c r="C105" s="3" t="s">
        <v>637</v>
      </c>
      <c r="D105" s="3" t="s">
        <v>679</v>
      </c>
      <c r="E105" s="3" t="s">
        <v>680</v>
      </c>
      <c r="F105" s="7">
        <v>-24</v>
      </c>
      <c r="G105" s="4">
        <v>675.84</v>
      </c>
      <c r="H105" s="4">
        <v>912.32</v>
      </c>
      <c r="I105" s="4">
        <v>552.34</v>
      </c>
      <c r="J105" s="4">
        <v>765.49</v>
      </c>
      <c r="K105" s="4">
        <v>723.57</v>
      </c>
      <c r="L105" s="4">
        <v>644.03</v>
      </c>
      <c r="M105" s="4">
        <v>264.08</v>
      </c>
      <c r="N105" s="4">
        <v>331.33</v>
      </c>
      <c r="O105" s="4">
        <v>467.21</v>
      </c>
      <c r="P105" s="4">
        <v>657.91</v>
      </c>
      <c r="Q105" s="4">
        <v>275.64</v>
      </c>
      <c r="R105" s="4">
        <v>395.78</v>
      </c>
      <c r="S105" s="4">
        <v>488.36</v>
      </c>
      <c r="T105" s="8">
        <v>913.03</v>
      </c>
      <c r="U105" s="4">
        <v>298.95</v>
      </c>
      <c r="V105" s="4">
        <v>336.08</v>
      </c>
      <c r="W105" s="4">
        <v>0</v>
      </c>
      <c r="X105" s="13">
        <v>0.14035396574773459</v>
      </c>
      <c r="Y105" s="11">
        <v>1.1245603793883729E-2</v>
      </c>
      <c r="Z105" s="11">
        <v>-2.8481193824780981E-2</v>
      </c>
      <c r="AA105" s="11">
        <v>-0.23981300517574969</v>
      </c>
    </row>
    <row r="106" spans="2:27">
      <c r="B106" s="3" t="s">
        <v>358</v>
      </c>
      <c r="C106" s="3" t="s">
        <v>666</v>
      </c>
      <c r="D106" s="3" t="s">
        <v>667</v>
      </c>
      <c r="E106" s="3" t="s">
        <v>670</v>
      </c>
      <c r="F106" s="7">
        <v>6.8</v>
      </c>
      <c r="G106" s="4">
        <v>3071</v>
      </c>
      <c r="H106" s="4">
        <v>3154</v>
      </c>
      <c r="I106" s="4">
        <v>3933</v>
      </c>
      <c r="J106" s="4">
        <v>4221</v>
      </c>
      <c r="K106" s="8">
        <v>4606</v>
      </c>
      <c r="L106" s="4">
        <v>4657</v>
      </c>
      <c r="M106" s="4">
        <v>4206</v>
      </c>
      <c r="N106" s="8">
        <v>9890</v>
      </c>
      <c r="O106" s="4">
        <v>6451</v>
      </c>
      <c r="P106" s="4">
        <v>5463</v>
      </c>
      <c r="Q106" s="4">
        <v>5948</v>
      </c>
      <c r="R106" s="4">
        <v>5785</v>
      </c>
      <c r="S106" s="4">
        <v>5458</v>
      </c>
      <c r="T106" s="4">
        <v>6419</v>
      </c>
      <c r="U106" s="4">
        <v>5321</v>
      </c>
      <c r="V106" s="4">
        <v>6931</v>
      </c>
      <c r="W106" s="4">
        <v>7105</v>
      </c>
      <c r="X106" s="9">
        <v>4.2200052970777779E-2</v>
      </c>
      <c r="Y106" s="11">
        <v>-2.6556543837357061E-2</v>
      </c>
      <c r="Z106" s="11">
        <v>4.9862942174650822E-2</v>
      </c>
      <c r="AA106" s="11">
        <v>6.8258112644535629E-2</v>
      </c>
    </row>
    <row r="107" spans="2:27">
      <c r="B107" s="3" t="s">
        <v>236</v>
      </c>
      <c r="C107" s="3" t="s">
        <v>666</v>
      </c>
      <c r="D107" s="3" t="s">
        <v>667</v>
      </c>
      <c r="E107" s="3" t="s">
        <v>670</v>
      </c>
      <c r="F107" s="7">
        <v>0.2</v>
      </c>
      <c r="G107" s="4">
        <v>8742</v>
      </c>
      <c r="H107" s="4">
        <v>12365</v>
      </c>
      <c r="I107" s="4">
        <v>11321</v>
      </c>
      <c r="J107" s="4">
        <v>10836</v>
      </c>
      <c r="K107" s="4">
        <v>9931</v>
      </c>
      <c r="L107" s="4">
        <v>8383</v>
      </c>
      <c r="M107" s="4">
        <v>11377</v>
      </c>
      <c r="N107" s="4">
        <v>11585</v>
      </c>
      <c r="O107" s="4">
        <v>11030</v>
      </c>
      <c r="P107" s="4">
        <v>11014</v>
      </c>
      <c r="Q107" s="4">
        <v>11990</v>
      </c>
      <c r="R107" s="4">
        <v>7883</v>
      </c>
      <c r="S107" s="4">
        <v>11221</v>
      </c>
      <c r="T107" s="4">
        <v>9223</v>
      </c>
      <c r="U107" s="4">
        <v>11869</v>
      </c>
      <c r="V107" s="8">
        <v>13201</v>
      </c>
      <c r="W107" s="4">
        <v>11321</v>
      </c>
      <c r="X107" s="9">
        <v>-4.2533485323454023E-2</v>
      </c>
      <c r="Y107" s="11">
        <v>-3.001215368206966E-3</v>
      </c>
      <c r="Z107" s="10">
        <v>0.1323017215643347</v>
      </c>
      <c r="AA107" s="11">
        <v>2.1971261589841529E-3</v>
      </c>
    </row>
    <row r="108" spans="2:27">
      <c r="B108" s="3" t="s">
        <v>162</v>
      </c>
      <c r="C108" s="3" t="s">
        <v>666</v>
      </c>
      <c r="D108" s="3" t="s">
        <v>667</v>
      </c>
      <c r="E108" s="3" t="s">
        <v>670</v>
      </c>
      <c r="F108" s="7">
        <v>-0.2</v>
      </c>
      <c r="G108" s="4">
        <v>49900</v>
      </c>
      <c r="H108" s="4">
        <v>47825</v>
      </c>
      <c r="I108" s="4">
        <v>44144</v>
      </c>
      <c r="J108" s="4">
        <v>51645</v>
      </c>
      <c r="K108" s="4">
        <v>54817</v>
      </c>
      <c r="L108" s="4">
        <v>55011</v>
      </c>
      <c r="M108" s="4">
        <v>48009</v>
      </c>
      <c r="N108" s="4">
        <v>57313</v>
      </c>
      <c r="O108" s="4">
        <v>59544</v>
      </c>
      <c r="P108" s="4">
        <v>59863</v>
      </c>
      <c r="Q108" s="4">
        <v>67378</v>
      </c>
      <c r="R108" s="4">
        <v>80863</v>
      </c>
      <c r="S108" s="4">
        <v>78138</v>
      </c>
      <c r="T108" s="4">
        <v>80489</v>
      </c>
      <c r="U108" s="4">
        <v>67167</v>
      </c>
      <c r="V108" s="4">
        <v>71514</v>
      </c>
      <c r="W108" s="4">
        <v>77628</v>
      </c>
      <c r="X108" s="9">
        <v>7.2057909041999491E-2</v>
      </c>
      <c r="Y108" s="11">
        <v>-6.875920591263851E-4</v>
      </c>
      <c r="Z108" s="11">
        <v>-3.0486830563137279E-2</v>
      </c>
      <c r="AA108" s="11">
        <v>-1.7153927913140521E-3</v>
      </c>
    </row>
    <row r="109" spans="2:27">
      <c r="B109" s="3" t="s">
        <v>44</v>
      </c>
      <c r="C109" s="3" t="s">
        <v>681</v>
      </c>
      <c r="D109" s="3" t="s">
        <v>667</v>
      </c>
      <c r="E109" s="3" t="s">
        <v>682</v>
      </c>
      <c r="F109" s="7">
        <v>15.4</v>
      </c>
      <c r="G109" s="3"/>
      <c r="H109" s="3"/>
      <c r="I109" s="3"/>
      <c r="J109" s="3"/>
      <c r="K109" s="3"/>
      <c r="L109" s="3"/>
      <c r="M109" s="3"/>
      <c r="N109" s="4">
        <v>1932</v>
      </c>
      <c r="O109" s="4">
        <v>1358</v>
      </c>
      <c r="P109" s="4">
        <v>2294</v>
      </c>
      <c r="Q109" s="4">
        <v>1829</v>
      </c>
      <c r="R109" s="4">
        <v>0</v>
      </c>
      <c r="S109" s="8">
        <v>2616</v>
      </c>
      <c r="T109" s="4">
        <v>0</v>
      </c>
      <c r="U109" s="8">
        <v>3051</v>
      </c>
      <c r="V109" s="8">
        <v>3652</v>
      </c>
      <c r="W109" s="8">
        <v>4047</v>
      </c>
      <c r="X109" s="9">
        <v>-0.34040658851461641</v>
      </c>
      <c r="Y109" s="10">
        <v>0.27491563554555692</v>
      </c>
      <c r="Z109" s="10">
        <v>0.6444326804305629</v>
      </c>
      <c r="AA109" s="10">
        <v>0.15355724863182749</v>
      </c>
    </row>
    <row r="110" spans="2:27">
      <c r="B110" s="3" t="s">
        <v>222</v>
      </c>
      <c r="C110" s="3" t="s">
        <v>683</v>
      </c>
      <c r="D110" s="3" t="s">
        <v>667</v>
      </c>
      <c r="E110" s="3" t="s">
        <v>684</v>
      </c>
      <c r="F110" s="7">
        <v>-0.1</v>
      </c>
      <c r="G110" s="3"/>
      <c r="H110" s="3"/>
      <c r="I110" s="3"/>
      <c r="J110" s="3"/>
      <c r="K110" s="3"/>
      <c r="L110" s="3"/>
      <c r="M110" s="3"/>
      <c r="N110" s="4">
        <v>192.29</v>
      </c>
      <c r="O110" s="4">
        <v>206.73</v>
      </c>
      <c r="P110" s="4">
        <v>188.58</v>
      </c>
      <c r="Q110" s="4">
        <v>162.52000000000001</v>
      </c>
      <c r="R110" s="4">
        <v>204.68</v>
      </c>
      <c r="S110" s="4">
        <v>207.5</v>
      </c>
      <c r="T110" s="4">
        <v>196.82</v>
      </c>
      <c r="U110" s="4">
        <v>216.99</v>
      </c>
      <c r="V110" s="4">
        <v>201.09</v>
      </c>
      <c r="W110" s="4">
        <v>206.99</v>
      </c>
      <c r="X110" s="9">
        <v>1.0795514097054809E-2</v>
      </c>
      <c r="Y110" s="11">
        <v>7.0600891746163352E-2</v>
      </c>
      <c r="Z110" s="11">
        <v>-4.346299592004832E-3</v>
      </c>
      <c r="AA110" s="11">
        <v>-6.201361867703703E-4</v>
      </c>
    </row>
    <row r="111" spans="2:27">
      <c r="B111" s="3" t="s">
        <v>104</v>
      </c>
      <c r="C111" s="3" t="s">
        <v>681</v>
      </c>
      <c r="D111" s="3" t="s">
        <v>667</v>
      </c>
      <c r="E111" s="3" t="s">
        <v>684</v>
      </c>
      <c r="F111" s="7">
        <v>-2.9</v>
      </c>
      <c r="G111" s="3"/>
      <c r="H111" s="3"/>
      <c r="I111" s="3"/>
      <c r="J111" s="3"/>
      <c r="K111" s="3"/>
      <c r="L111" s="3"/>
      <c r="M111" s="3"/>
      <c r="N111" s="4">
        <v>0</v>
      </c>
      <c r="O111" s="4">
        <v>71.89</v>
      </c>
      <c r="P111" s="4">
        <v>54.49</v>
      </c>
      <c r="Q111" s="4">
        <v>21.7</v>
      </c>
      <c r="R111" s="8">
        <v>35.24</v>
      </c>
      <c r="S111" s="4">
        <v>34.07</v>
      </c>
      <c r="T111" s="8">
        <v>77.48</v>
      </c>
      <c r="U111" s="8">
        <v>44.51</v>
      </c>
      <c r="V111" s="4">
        <v>48.73</v>
      </c>
      <c r="W111" s="4">
        <v>28.03</v>
      </c>
      <c r="X111" s="13">
        <v>0.15800687285223369</v>
      </c>
      <c r="Y111" s="10">
        <v>0.13537895424060789</v>
      </c>
      <c r="Z111" s="11">
        <v>7.0517511761630791E-2</v>
      </c>
      <c r="AA111" s="11">
        <v>-2.9493627618536019E-2</v>
      </c>
    </row>
    <row r="112" spans="2:27">
      <c r="B112" s="3" t="s">
        <v>58</v>
      </c>
      <c r="C112" s="3" t="s">
        <v>681</v>
      </c>
      <c r="D112" s="3" t="s">
        <v>667</v>
      </c>
      <c r="E112" s="3" t="s">
        <v>682</v>
      </c>
      <c r="F112" s="7">
        <v>-4.8</v>
      </c>
      <c r="G112" s="3"/>
      <c r="H112" s="3"/>
      <c r="I112" s="3"/>
      <c r="J112" s="3"/>
      <c r="K112" s="3"/>
      <c r="L112" s="3"/>
      <c r="M112" s="3"/>
      <c r="N112" s="4">
        <v>64.14</v>
      </c>
      <c r="O112" s="4">
        <v>49.92</v>
      </c>
      <c r="P112" s="4">
        <v>45.31</v>
      </c>
      <c r="Q112" s="4">
        <v>85.91</v>
      </c>
      <c r="R112" s="8">
        <v>106.83</v>
      </c>
      <c r="S112" s="8">
        <v>147.41999999999999</v>
      </c>
      <c r="T112" s="8">
        <v>160.91</v>
      </c>
      <c r="U112" s="4">
        <v>131.47</v>
      </c>
      <c r="V112" s="4">
        <v>144.16</v>
      </c>
      <c r="W112" s="4">
        <v>119.55</v>
      </c>
      <c r="X112" s="13">
        <v>0.29989363634005239</v>
      </c>
      <c r="Y112" s="11">
        <v>9.0925419602051694E-2</v>
      </c>
      <c r="Z112" s="11">
        <v>6.8291165870881576E-2</v>
      </c>
      <c r="AA112" s="11">
        <v>-4.7725871635043493E-2</v>
      </c>
    </row>
    <row r="113" spans="2:27">
      <c r="B113" s="3" t="s">
        <v>42</v>
      </c>
      <c r="C113" s="3" t="s">
        <v>681</v>
      </c>
      <c r="D113" s="3" t="s">
        <v>667</v>
      </c>
      <c r="E113" s="3" t="s">
        <v>684</v>
      </c>
      <c r="F113" s="7">
        <v>-17.600000000000001</v>
      </c>
      <c r="G113" s="3"/>
      <c r="H113" s="3"/>
      <c r="I113" s="3"/>
      <c r="J113" s="3"/>
      <c r="K113" s="3"/>
      <c r="L113" s="3"/>
      <c r="M113" s="3"/>
      <c r="N113" s="4">
        <v>93.44</v>
      </c>
      <c r="O113" s="4">
        <v>112.83</v>
      </c>
      <c r="P113" s="4">
        <v>132.19</v>
      </c>
      <c r="Q113" s="4">
        <v>118.36</v>
      </c>
      <c r="R113" s="4">
        <v>114.92</v>
      </c>
      <c r="S113" s="4">
        <v>100</v>
      </c>
      <c r="T113" s="4">
        <v>72.52</v>
      </c>
      <c r="U113" s="4">
        <v>63.16</v>
      </c>
      <c r="V113" s="4">
        <v>48.7</v>
      </c>
      <c r="W113" s="4">
        <v>50.06</v>
      </c>
      <c r="X113" s="9">
        <v>-0.12819300921649091</v>
      </c>
      <c r="Y113" s="11">
        <v>-0.1360275998028585</v>
      </c>
      <c r="Z113" s="11">
        <v>-0.18887621220764411</v>
      </c>
      <c r="AA113" s="11">
        <v>-0.1756100991630917</v>
      </c>
    </row>
    <row r="114" spans="2:27">
      <c r="B114" s="3" t="s">
        <v>36</v>
      </c>
      <c r="C114" s="3" t="s">
        <v>681</v>
      </c>
      <c r="D114" s="3" t="s">
        <v>667</v>
      </c>
      <c r="E114" s="3" t="s">
        <v>684</v>
      </c>
      <c r="F114" s="7">
        <v>-57</v>
      </c>
      <c r="G114" s="3"/>
      <c r="H114" s="3"/>
      <c r="I114" s="3"/>
      <c r="J114" s="3"/>
      <c r="K114" s="3"/>
      <c r="L114" s="3"/>
      <c r="M114" s="3"/>
      <c r="N114" s="4">
        <v>57.32</v>
      </c>
      <c r="O114" s="4">
        <v>54.47</v>
      </c>
      <c r="P114" s="4">
        <v>51.15</v>
      </c>
      <c r="Q114" s="4">
        <v>43.6</v>
      </c>
      <c r="R114" s="8">
        <v>137.47999999999999</v>
      </c>
      <c r="S114" s="8">
        <v>101.69</v>
      </c>
      <c r="T114" s="4">
        <v>12.28</v>
      </c>
      <c r="U114" s="4">
        <v>15.96</v>
      </c>
      <c r="V114" s="4">
        <v>20.079999999999998</v>
      </c>
      <c r="W114" s="4">
        <v>16.12</v>
      </c>
      <c r="X114" s="9">
        <v>-0.11640512697652119</v>
      </c>
      <c r="Y114" s="11">
        <v>-9.367903745127959E-2</v>
      </c>
      <c r="Z114" s="11">
        <v>-0.43902621442728401</v>
      </c>
      <c r="AA114" s="11">
        <v>-0.57042863809079392</v>
      </c>
    </row>
  </sheetData>
  <autoFilter ref="B2:AA114" xr:uid="{00000000-0009-0000-0000-000001000000}"/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115"/>
  <sheetViews>
    <sheetView tabSelected="1" workbookViewId="0">
      <selection activeCell="F16" sqref="F16"/>
    </sheetView>
  </sheetViews>
  <sheetFormatPr defaultRowHeight="16.5"/>
  <cols>
    <col min="1" max="1" width="3" customWidth="1"/>
    <col min="2" max="2" width="12" customWidth="1"/>
    <col min="3" max="3" width="14" customWidth="1"/>
    <col min="4" max="4" width="35.125" customWidth="1"/>
    <col min="5" max="6" width="12" customWidth="1"/>
    <col min="7" max="23" width="9" customWidth="1"/>
    <col min="24" max="27" width="10" customWidth="1"/>
  </cols>
  <sheetData>
    <row r="2" spans="2:27">
      <c r="B2" s="2" t="s">
        <v>1</v>
      </c>
      <c r="C2" s="2" t="s">
        <v>612</v>
      </c>
      <c r="D2" s="2" t="s">
        <v>613</v>
      </c>
      <c r="E2" s="2" t="s">
        <v>614</v>
      </c>
      <c r="F2" s="2" t="s">
        <v>615</v>
      </c>
      <c r="G2" s="2" t="s">
        <v>616</v>
      </c>
      <c r="H2" s="2" t="s">
        <v>617</v>
      </c>
      <c r="I2" s="2" t="s">
        <v>618</v>
      </c>
      <c r="J2" s="2" t="s">
        <v>619</v>
      </c>
      <c r="K2" s="2" t="s">
        <v>620</v>
      </c>
      <c r="L2" s="2" t="s">
        <v>621</v>
      </c>
      <c r="M2" s="2" t="s">
        <v>622</v>
      </c>
      <c r="N2" s="2" t="s">
        <v>623</v>
      </c>
      <c r="O2" s="2" t="s">
        <v>624</v>
      </c>
      <c r="P2" s="2" t="s">
        <v>625</v>
      </c>
      <c r="Q2" s="2" t="s">
        <v>626</v>
      </c>
      <c r="R2" s="2" t="s">
        <v>627</v>
      </c>
      <c r="S2" s="2" t="s">
        <v>628</v>
      </c>
      <c r="T2" s="2" t="s">
        <v>629</v>
      </c>
      <c r="U2" s="2" t="s">
        <v>630</v>
      </c>
      <c r="V2" s="2" t="s">
        <v>631</v>
      </c>
      <c r="W2" s="2" t="s">
        <v>632</v>
      </c>
      <c r="X2" s="5" t="s">
        <v>633</v>
      </c>
      <c r="Y2" s="6" t="s">
        <v>634</v>
      </c>
      <c r="Z2" s="6" t="s">
        <v>635</v>
      </c>
      <c r="AA2" s="6" t="s">
        <v>636</v>
      </c>
    </row>
    <row r="3" spans="2:27">
      <c r="B3" s="3" t="s">
        <v>7</v>
      </c>
      <c r="C3" s="3" t="s">
        <v>637</v>
      </c>
      <c r="D3" s="3" t="s">
        <v>638</v>
      </c>
      <c r="E3" s="3" t="s">
        <v>639</v>
      </c>
      <c r="F3" s="7">
        <v>66.400000000000006</v>
      </c>
      <c r="G3" s="4">
        <v>-58.94</v>
      </c>
      <c r="H3" s="4">
        <v>-39.44</v>
      </c>
      <c r="I3" s="4">
        <v>-41.75</v>
      </c>
      <c r="J3" s="4">
        <v>-62.19</v>
      </c>
      <c r="K3" s="4">
        <v>-17.829999999999998</v>
      </c>
      <c r="L3" s="4">
        <v>4.12</v>
      </c>
      <c r="M3" s="4">
        <v>10.07</v>
      </c>
      <c r="N3" s="4">
        <v>39.979999999999997</v>
      </c>
      <c r="O3" s="8">
        <v>65.790000000000006</v>
      </c>
      <c r="P3" s="8">
        <v>80.88</v>
      </c>
      <c r="Q3" s="8">
        <v>105.34</v>
      </c>
      <c r="R3" s="8">
        <v>113.14</v>
      </c>
      <c r="S3" s="4">
        <v>11.04</v>
      </c>
      <c r="T3" s="8">
        <v>176.05</v>
      </c>
      <c r="U3" s="8">
        <v>269.32</v>
      </c>
      <c r="V3" s="8">
        <v>393.26</v>
      </c>
      <c r="W3" s="8">
        <v>575.39</v>
      </c>
      <c r="X3" s="13">
        <v>0.30660438144329899</v>
      </c>
      <c r="Y3" s="10">
        <v>0.40431984614246602</v>
      </c>
      <c r="Z3" s="10">
        <v>0.49182688087086301</v>
      </c>
      <c r="AA3" s="10">
        <v>0.66419904198100443</v>
      </c>
    </row>
    <row r="4" spans="2:27">
      <c r="B4" s="3" t="s">
        <v>28</v>
      </c>
      <c r="C4" s="3" t="s">
        <v>637</v>
      </c>
      <c r="D4" s="3" t="s">
        <v>640</v>
      </c>
      <c r="E4" s="3" t="s">
        <v>639</v>
      </c>
      <c r="F4" s="7">
        <v>26.2</v>
      </c>
      <c r="G4" s="4">
        <v>270.83</v>
      </c>
      <c r="H4" s="4">
        <v>200.56</v>
      </c>
      <c r="I4" s="4">
        <v>247.99</v>
      </c>
      <c r="J4" s="4">
        <v>232.71</v>
      </c>
      <c r="K4" s="4">
        <v>215.44</v>
      </c>
      <c r="L4" s="4">
        <v>94.9</v>
      </c>
      <c r="M4" s="4">
        <v>145.01</v>
      </c>
      <c r="N4" s="4">
        <v>147.96</v>
      </c>
      <c r="O4" s="4">
        <v>130.26</v>
      </c>
      <c r="P4" s="4">
        <v>81.97</v>
      </c>
      <c r="Q4" s="4">
        <v>154.88</v>
      </c>
      <c r="R4" s="4">
        <v>154.54</v>
      </c>
      <c r="S4" s="4">
        <v>154.55000000000001</v>
      </c>
      <c r="T4" s="4">
        <v>135.30000000000001</v>
      </c>
      <c r="U4" s="4">
        <v>93.04</v>
      </c>
      <c r="V4" s="4">
        <v>145.32</v>
      </c>
      <c r="W4" s="8">
        <v>293.2</v>
      </c>
      <c r="X4" s="9">
        <v>9.768472725940569E-2</v>
      </c>
      <c r="Y4" s="11">
        <v>-0.10319221719759029</v>
      </c>
      <c r="Z4" s="11">
        <v>-1.7155722605734721E-2</v>
      </c>
      <c r="AA4" s="10">
        <v>0.26249029741958679</v>
      </c>
    </row>
    <row r="5" spans="2:27">
      <c r="B5" s="3" t="s">
        <v>122</v>
      </c>
      <c r="C5" s="3" t="s">
        <v>637</v>
      </c>
      <c r="D5" s="3" t="s">
        <v>664</v>
      </c>
      <c r="E5" s="3" t="s">
        <v>639</v>
      </c>
      <c r="F5" s="7">
        <v>16.2</v>
      </c>
      <c r="G5" s="4">
        <v>59.22</v>
      </c>
      <c r="H5" s="4">
        <v>88.46</v>
      </c>
      <c r="I5" s="4">
        <v>176.51</v>
      </c>
      <c r="J5" s="4">
        <v>180.36</v>
      </c>
      <c r="K5" s="8">
        <v>212.17</v>
      </c>
      <c r="L5" s="8">
        <v>205.83</v>
      </c>
      <c r="M5" s="4">
        <v>182.35</v>
      </c>
      <c r="N5" s="4">
        <v>163.9</v>
      </c>
      <c r="O5" s="4">
        <v>114.16</v>
      </c>
      <c r="P5" s="4">
        <v>158.32</v>
      </c>
      <c r="Q5" s="4">
        <v>115.4</v>
      </c>
      <c r="R5" s="4">
        <v>98.95</v>
      </c>
      <c r="S5" s="4">
        <v>44.36</v>
      </c>
      <c r="T5" s="4">
        <v>92.78</v>
      </c>
      <c r="U5" s="4">
        <v>87.2</v>
      </c>
      <c r="V5" s="4">
        <v>103.46</v>
      </c>
      <c r="W5" s="8">
        <v>97.34</v>
      </c>
      <c r="X5" s="9">
        <v>-0.1571589573891565</v>
      </c>
      <c r="Y5" s="11">
        <v>-8.0229878517169784E-2</v>
      </c>
      <c r="Z5" s="11">
        <v>1.3950323239196869E-2</v>
      </c>
      <c r="AA5" s="10">
        <v>0.16162294081757159</v>
      </c>
    </row>
    <row r="6" spans="2:27">
      <c r="B6" s="3" t="s">
        <v>48</v>
      </c>
      <c r="C6" s="3" t="s">
        <v>637</v>
      </c>
      <c r="D6" s="3" t="s">
        <v>643</v>
      </c>
      <c r="E6" s="3" t="s">
        <v>644</v>
      </c>
      <c r="F6" s="7">
        <v>13.2</v>
      </c>
      <c r="G6" s="4">
        <v>35.75</v>
      </c>
      <c r="H6" s="4">
        <v>56.66</v>
      </c>
      <c r="I6" s="4">
        <v>56.24</v>
      </c>
      <c r="J6" s="4">
        <v>59.66</v>
      </c>
      <c r="K6" s="4">
        <v>33.82</v>
      </c>
      <c r="L6" s="4">
        <v>45.56</v>
      </c>
      <c r="M6" s="8">
        <v>104.06</v>
      </c>
      <c r="N6" s="8">
        <v>91.57</v>
      </c>
      <c r="O6" s="8">
        <v>103.28</v>
      </c>
      <c r="P6" s="8">
        <v>120.83</v>
      </c>
      <c r="Q6" s="4">
        <v>117.46</v>
      </c>
      <c r="R6" s="4">
        <v>99.73</v>
      </c>
      <c r="S6" s="4">
        <v>93.94</v>
      </c>
      <c r="T6" s="4">
        <v>123.53</v>
      </c>
      <c r="U6" s="4">
        <v>120.07</v>
      </c>
      <c r="V6" s="8">
        <v>158.01</v>
      </c>
      <c r="W6" s="8">
        <v>159.41999999999999</v>
      </c>
      <c r="X6" s="9">
        <v>6.2505787572924021E-3</v>
      </c>
      <c r="Y6" s="11">
        <v>6.0046933235171629E-3</v>
      </c>
      <c r="Z6" s="10">
        <v>0.13328149655819049</v>
      </c>
      <c r="AA6" s="10">
        <v>0.1321360104933913</v>
      </c>
    </row>
    <row r="7" spans="2:27">
      <c r="B7" s="3" t="s">
        <v>56</v>
      </c>
      <c r="C7" s="3" t="s">
        <v>637</v>
      </c>
      <c r="D7" s="3" t="s">
        <v>641</v>
      </c>
      <c r="E7" s="3" t="s">
        <v>642</v>
      </c>
      <c r="F7" s="7">
        <v>10</v>
      </c>
      <c r="G7" s="4">
        <v>51.58</v>
      </c>
      <c r="H7" s="4">
        <v>53.66</v>
      </c>
      <c r="I7" s="4">
        <v>56.71</v>
      </c>
      <c r="J7" s="4">
        <v>62.19</v>
      </c>
      <c r="K7" s="4">
        <v>66.290000000000006</v>
      </c>
      <c r="L7" s="4">
        <v>67.7</v>
      </c>
      <c r="M7" s="4">
        <v>62.76</v>
      </c>
      <c r="N7" s="4">
        <v>63.98</v>
      </c>
      <c r="O7" s="4">
        <v>68.819999999999993</v>
      </c>
      <c r="P7" s="4">
        <v>71.31</v>
      </c>
      <c r="Q7" s="4">
        <v>73.7</v>
      </c>
      <c r="R7" s="4">
        <v>76.89</v>
      </c>
      <c r="S7" s="4">
        <v>80.09</v>
      </c>
      <c r="T7" s="4">
        <v>80.12</v>
      </c>
      <c r="U7" s="4">
        <v>89</v>
      </c>
      <c r="V7" s="4">
        <v>94.29</v>
      </c>
      <c r="W7" s="4">
        <v>114.4</v>
      </c>
      <c r="X7" s="9">
        <v>2.9173151428855348E-2</v>
      </c>
      <c r="Y7" s="11">
        <v>4.9227799227799178E-2</v>
      </c>
      <c r="Z7" s="11">
        <v>5.3357865685372603E-2</v>
      </c>
      <c r="AA7" s="11">
        <v>9.9883551673944693E-2</v>
      </c>
    </row>
    <row r="8" spans="2:27">
      <c r="B8" s="3" t="s">
        <v>281</v>
      </c>
      <c r="C8" s="3" t="s">
        <v>637</v>
      </c>
      <c r="D8" s="3" t="s">
        <v>650</v>
      </c>
      <c r="E8" s="3" t="s">
        <v>639</v>
      </c>
      <c r="F8" s="7">
        <v>8.8000000000000007</v>
      </c>
      <c r="G8" s="4">
        <v>12.69</v>
      </c>
      <c r="H8" s="4">
        <v>10.14</v>
      </c>
      <c r="I8" s="4">
        <v>12.49</v>
      </c>
      <c r="J8" s="4">
        <v>13.27</v>
      </c>
      <c r="K8" s="4">
        <v>9.01</v>
      </c>
      <c r="L8" s="4">
        <v>11.46</v>
      </c>
      <c r="M8" s="4">
        <v>13.43</v>
      </c>
      <c r="N8" s="4">
        <v>13.32</v>
      </c>
      <c r="O8" s="4">
        <v>8.25</v>
      </c>
      <c r="P8" s="4">
        <v>12.65</v>
      </c>
      <c r="Q8" s="4">
        <v>14.21</v>
      </c>
      <c r="R8" s="4">
        <v>14.41</v>
      </c>
      <c r="S8" s="4">
        <v>12.6</v>
      </c>
      <c r="T8" s="4">
        <v>12.27</v>
      </c>
      <c r="U8" s="4">
        <v>14.24</v>
      </c>
      <c r="V8" s="4">
        <v>12.7</v>
      </c>
      <c r="W8" s="4">
        <v>17.14</v>
      </c>
      <c r="X8" s="9">
        <v>-7.054018934471884E-3</v>
      </c>
      <c r="Y8" s="11">
        <v>5.608524957934069E-4</v>
      </c>
      <c r="Z8" s="11">
        <v>-3.1950672645739808E-2</v>
      </c>
      <c r="AA8" s="11">
        <v>8.7627871067361474E-2</v>
      </c>
    </row>
    <row r="9" spans="2:27">
      <c r="B9" s="3" t="s">
        <v>178</v>
      </c>
      <c r="C9" s="3" t="s">
        <v>637</v>
      </c>
      <c r="D9" s="3" t="s">
        <v>651</v>
      </c>
      <c r="E9" s="3" t="s">
        <v>642</v>
      </c>
      <c r="F9" s="7">
        <v>7.4</v>
      </c>
      <c r="G9" s="4">
        <v>1.27</v>
      </c>
      <c r="H9" s="4">
        <v>4.58</v>
      </c>
      <c r="I9" s="4">
        <v>9.3800000000000008</v>
      </c>
      <c r="J9" s="4">
        <v>3.65</v>
      </c>
      <c r="K9" s="8">
        <v>4.33</v>
      </c>
      <c r="L9" s="8">
        <v>10.54</v>
      </c>
      <c r="M9" s="4">
        <v>11.36</v>
      </c>
      <c r="N9" s="8">
        <v>11.56</v>
      </c>
      <c r="O9" s="8">
        <v>13.81</v>
      </c>
      <c r="P9" s="4">
        <v>14.49</v>
      </c>
      <c r="Q9" s="4">
        <v>15.66</v>
      </c>
      <c r="R9" s="4">
        <v>11.86</v>
      </c>
      <c r="S9" s="4">
        <v>11.17</v>
      </c>
      <c r="T9" s="4">
        <v>11.15</v>
      </c>
      <c r="U9" s="4">
        <v>12.73</v>
      </c>
      <c r="V9" s="4">
        <v>13.64</v>
      </c>
      <c r="W9" s="4">
        <v>14.75</v>
      </c>
      <c r="X9" s="9">
        <v>-6.2805566002256397E-2</v>
      </c>
      <c r="Y9" s="11">
        <v>-5.8788121990369313E-2</v>
      </c>
      <c r="Z9" s="11">
        <v>3.7945001065870843E-2</v>
      </c>
      <c r="AA9" s="11">
        <v>7.3526391456151252E-2</v>
      </c>
    </row>
    <row r="10" spans="2:27">
      <c r="B10" s="3" t="s">
        <v>346</v>
      </c>
      <c r="C10" s="3" t="s">
        <v>637</v>
      </c>
      <c r="D10" s="3" t="s">
        <v>653</v>
      </c>
      <c r="E10" s="3" t="s">
        <v>642</v>
      </c>
      <c r="F10" s="7">
        <v>6.8</v>
      </c>
      <c r="G10" s="4">
        <v>-8.01</v>
      </c>
      <c r="H10" s="4">
        <v>5.76</v>
      </c>
      <c r="I10" s="4">
        <v>3.58</v>
      </c>
      <c r="J10" s="4">
        <v>0.43</v>
      </c>
      <c r="K10" s="8">
        <v>0.97</v>
      </c>
      <c r="L10" s="4">
        <v>2.12</v>
      </c>
      <c r="M10" s="4">
        <v>4.24</v>
      </c>
      <c r="N10" s="8">
        <v>1.92</v>
      </c>
      <c r="O10" s="8">
        <v>4.58</v>
      </c>
      <c r="P10" s="8">
        <v>5.61</v>
      </c>
      <c r="Q10" s="4">
        <v>4.6900000000000004</v>
      </c>
      <c r="R10" s="8">
        <v>6.05</v>
      </c>
      <c r="S10" s="4">
        <v>6.66</v>
      </c>
      <c r="T10" s="8">
        <v>8.27</v>
      </c>
      <c r="U10" s="8">
        <v>10.27</v>
      </c>
      <c r="V10" s="4">
        <v>8.99</v>
      </c>
      <c r="W10" s="4">
        <v>9</v>
      </c>
      <c r="X10" s="13">
        <v>0.1156019122120817</v>
      </c>
      <c r="Y10" s="10">
        <v>0.21737436696532919</v>
      </c>
      <c r="Z10" s="11">
        <v>9.4079999999999941E-2</v>
      </c>
      <c r="AA10" s="11">
        <v>6.8441064638783411E-2</v>
      </c>
    </row>
    <row r="11" spans="2:27">
      <c r="B11" s="3" t="s">
        <v>74</v>
      </c>
      <c r="C11" s="3" t="s">
        <v>637</v>
      </c>
      <c r="D11" s="3" t="s">
        <v>652</v>
      </c>
      <c r="E11" s="3" t="s">
        <v>639</v>
      </c>
      <c r="F11" s="7">
        <v>6.2</v>
      </c>
      <c r="G11" s="4">
        <v>386.26</v>
      </c>
      <c r="H11" s="4">
        <v>331.26</v>
      </c>
      <c r="I11" s="4">
        <v>423.57</v>
      </c>
      <c r="J11" s="4">
        <v>303.27999999999997</v>
      </c>
      <c r="K11" s="4">
        <v>0</v>
      </c>
      <c r="L11" s="4">
        <v>304.83</v>
      </c>
      <c r="M11" s="4">
        <v>396.84</v>
      </c>
      <c r="N11" s="8">
        <v>488.71</v>
      </c>
      <c r="O11" s="8">
        <v>315.33</v>
      </c>
      <c r="P11" s="4">
        <v>442.02</v>
      </c>
      <c r="Q11" s="4">
        <v>500.92</v>
      </c>
      <c r="R11" s="4">
        <v>531.16999999999996</v>
      </c>
      <c r="S11" s="4">
        <v>432.53</v>
      </c>
      <c r="T11" s="4">
        <v>433.33</v>
      </c>
      <c r="U11" s="4">
        <v>530.48</v>
      </c>
      <c r="V11" s="4">
        <v>507.31</v>
      </c>
      <c r="W11" s="4">
        <v>551.21</v>
      </c>
      <c r="X11" s="9">
        <v>-4.5577560525322802E-3</v>
      </c>
      <c r="Y11" s="11">
        <v>1.557469901736086E-2</v>
      </c>
      <c r="Z11" s="11">
        <v>-1.2378664702128559E-2</v>
      </c>
      <c r="AA11" s="11">
        <v>6.2343392955637837E-2</v>
      </c>
    </row>
    <row r="12" spans="2:27">
      <c r="B12" s="3" t="s">
        <v>66</v>
      </c>
      <c r="C12" s="3" t="s">
        <v>637</v>
      </c>
      <c r="D12" s="3" t="s">
        <v>647</v>
      </c>
      <c r="E12" s="3" t="s">
        <v>639</v>
      </c>
      <c r="F12" s="7">
        <v>5.2</v>
      </c>
      <c r="G12" s="4">
        <v>16.47</v>
      </c>
      <c r="H12" s="4">
        <v>9.52</v>
      </c>
      <c r="I12" s="4">
        <v>30.06</v>
      </c>
      <c r="J12" s="4">
        <v>19.329999999999998</v>
      </c>
      <c r="K12" s="4">
        <v>22.34</v>
      </c>
      <c r="L12" s="4">
        <v>8.84</v>
      </c>
      <c r="M12" s="4">
        <v>28.09</v>
      </c>
      <c r="N12" s="4">
        <v>18.309999999999999</v>
      </c>
      <c r="O12" s="8">
        <v>36.26</v>
      </c>
      <c r="P12" s="8">
        <v>30.83</v>
      </c>
      <c r="Q12" s="8">
        <v>40.19</v>
      </c>
      <c r="R12" s="8">
        <v>50.15</v>
      </c>
      <c r="S12" s="8">
        <v>57.86</v>
      </c>
      <c r="T12" s="8">
        <v>63.14</v>
      </c>
      <c r="U12" s="8">
        <v>62.99</v>
      </c>
      <c r="V12" s="4">
        <v>63.26</v>
      </c>
      <c r="W12" s="4">
        <v>70.83</v>
      </c>
      <c r="X12" s="13">
        <v>0.1804725465005865</v>
      </c>
      <c r="Y12" s="10">
        <v>0.1078830320810069</v>
      </c>
      <c r="Z12" s="11">
        <v>5.5992141453831128E-2</v>
      </c>
      <c r="AA12" s="11">
        <v>5.2457027300303549E-2</v>
      </c>
    </row>
    <row r="13" spans="2:27">
      <c r="B13" s="3" t="s">
        <v>23</v>
      </c>
      <c r="C13" s="3" t="s">
        <v>637</v>
      </c>
      <c r="D13" s="3" t="s">
        <v>648</v>
      </c>
      <c r="E13" s="3" t="s">
        <v>639</v>
      </c>
      <c r="F13" s="7">
        <v>4.0999999999999996</v>
      </c>
      <c r="G13" s="4">
        <v>199.19</v>
      </c>
      <c r="H13" s="4">
        <v>248.34</v>
      </c>
      <c r="I13" s="4">
        <v>179.07</v>
      </c>
      <c r="J13" s="4">
        <v>244.83</v>
      </c>
      <c r="K13" s="4">
        <v>226.53</v>
      </c>
      <c r="L13" s="4">
        <v>280.39999999999998</v>
      </c>
      <c r="M13" s="8">
        <v>296.14</v>
      </c>
      <c r="N13" s="4">
        <v>275.27999999999997</v>
      </c>
      <c r="O13" s="4">
        <v>245.3</v>
      </c>
      <c r="P13" s="4">
        <v>298.95999999999998</v>
      </c>
      <c r="Q13" s="4">
        <v>325.3</v>
      </c>
      <c r="R13" s="4">
        <v>303.89</v>
      </c>
      <c r="S13" s="4">
        <v>261.69</v>
      </c>
      <c r="T13" s="4">
        <v>316.52999999999997</v>
      </c>
      <c r="U13" s="4">
        <v>373.05</v>
      </c>
      <c r="V13" s="4">
        <v>354.85</v>
      </c>
      <c r="W13" s="4">
        <v>315.61</v>
      </c>
      <c r="X13" s="9">
        <v>1.4766691319841209E-2</v>
      </c>
      <c r="Y13" s="11">
        <v>3.9547461094408647E-2</v>
      </c>
      <c r="Z13" s="11">
        <v>4.0600401542432829E-2</v>
      </c>
      <c r="AA13" s="11">
        <v>4.1282577404832647E-2</v>
      </c>
    </row>
    <row r="14" spans="2:27">
      <c r="B14" s="3" t="s">
        <v>188</v>
      </c>
      <c r="C14" s="3" t="s">
        <v>637</v>
      </c>
      <c r="D14" s="3" t="s">
        <v>645</v>
      </c>
      <c r="E14" s="3" t="s">
        <v>646</v>
      </c>
      <c r="F14" s="7">
        <v>3.9</v>
      </c>
      <c r="G14" s="4">
        <v>16.489999999999998</v>
      </c>
      <c r="H14" s="4">
        <v>16.899999999999999</v>
      </c>
      <c r="I14" s="4">
        <v>18.11</v>
      </c>
      <c r="J14" s="4">
        <v>21.61</v>
      </c>
      <c r="K14" s="8">
        <v>26.62</v>
      </c>
      <c r="L14" s="8">
        <v>31.58</v>
      </c>
      <c r="M14" s="8">
        <v>34.68</v>
      </c>
      <c r="N14" s="8">
        <v>36.89</v>
      </c>
      <c r="O14" s="8">
        <v>41.24</v>
      </c>
      <c r="P14" s="4">
        <v>41.22</v>
      </c>
      <c r="Q14" s="4">
        <v>43.73</v>
      </c>
      <c r="R14" s="4">
        <v>42.6</v>
      </c>
      <c r="S14" s="4">
        <v>45.4</v>
      </c>
      <c r="T14" s="4">
        <v>43.67</v>
      </c>
      <c r="U14" s="4">
        <v>47.98</v>
      </c>
      <c r="V14" s="4">
        <v>50.04</v>
      </c>
      <c r="W14" s="4">
        <v>52.68</v>
      </c>
      <c r="X14" s="9">
        <v>1.416594391442616E-2</v>
      </c>
      <c r="Y14" s="11">
        <v>2.423033067274805E-2</v>
      </c>
      <c r="Z14" s="11">
        <v>4.1413860283885377E-2</v>
      </c>
      <c r="AA14" s="11">
        <v>3.8911753701427187E-2</v>
      </c>
    </row>
    <row r="15" spans="2:27">
      <c r="B15" s="3" t="s">
        <v>52</v>
      </c>
      <c r="C15" s="3" t="s">
        <v>637</v>
      </c>
      <c r="D15" s="3" t="s">
        <v>659</v>
      </c>
      <c r="E15" s="3" t="s">
        <v>639</v>
      </c>
      <c r="F15" s="7">
        <v>3.5</v>
      </c>
      <c r="G15" s="4">
        <v>77.69</v>
      </c>
      <c r="H15" s="4">
        <v>89.27</v>
      </c>
      <c r="I15" s="4">
        <v>97.01</v>
      </c>
      <c r="J15" s="4">
        <v>101.73</v>
      </c>
      <c r="K15" s="4">
        <v>96.2</v>
      </c>
      <c r="L15" s="4">
        <v>96.39</v>
      </c>
      <c r="M15" s="4">
        <v>99.45</v>
      </c>
      <c r="N15" s="4">
        <v>115.82</v>
      </c>
      <c r="O15" s="4">
        <v>113.65</v>
      </c>
      <c r="P15" s="4">
        <v>29.42</v>
      </c>
      <c r="Q15" s="4">
        <v>110.7</v>
      </c>
      <c r="R15" s="4">
        <v>115.75</v>
      </c>
      <c r="S15" s="4">
        <v>120.48</v>
      </c>
      <c r="T15" s="8">
        <v>132.5</v>
      </c>
      <c r="U15" s="4">
        <v>124.27</v>
      </c>
      <c r="V15" s="4">
        <v>131.31</v>
      </c>
      <c r="W15" s="4">
        <v>138.49</v>
      </c>
      <c r="X15" s="13">
        <v>0.27389398166600237</v>
      </c>
      <c r="Y15" s="11">
        <v>2.8304444861606552E-2</v>
      </c>
      <c r="Z15" s="11">
        <v>3.1561866125760618E-2</v>
      </c>
      <c r="AA15" s="11">
        <v>3.5413717162183563E-2</v>
      </c>
    </row>
    <row r="16" spans="2:27">
      <c r="B16" s="3" t="s">
        <v>110</v>
      </c>
      <c r="C16" s="3" t="s">
        <v>637</v>
      </c>
      <c r="D16" s="3" t="s">
        <v>654</v>
      </c>
      <c r="E16" s="3" t="s">
        <v>639</v>
      </c>
      <c r="F16" s="7">
        <v>3.2</v>
      </c>
      <c r="G16" s="4">
        <v>9.65</v>
      </c>
      <c r="H16" s="4">
        <v>10.83</v>
      </c>
      <c r="I16" s="4">
        <v>12.63</v>
      </c>
      <c r="J16" s="4">
        <v>19.05</v>
      </c>
      <c r="K16" s="4">
        <v>12.27</v>
      </c>
      <c r="L16" s="8">
        <v>19.84</v>
      </c>
      <c r="M16" s="8">
        <v>22.81</v>
      </c>
      <c r="N16" s="4">
        <v>23.8</v>
      </c>
      <c r="O16" s="4">
        <v>18.97</v>
      </c>
      <c r="P16" s="4">
        <v>25.76</v>
      </c>
      <c r="Q16" s="4">
        <v>29.94</v>
      </c>
      <c r="R16" s="8">
        <v>38.14</v>
      </c>
      <c r="S16" s="8">
        <v>31.09</v>
      </c>
      <c r="T16" s="8">
        <v>39.89</v>
      </c>
      <c r="U16" s="4">
        <v>35.69</v>
      </c>
      <c r="V16" s="4">
        <v>46.26</v>
      </c>
      <c r="W16" s="4">
        <v>36.01</v>
      </c>
      <c r="X16" s="13">
        <v>0.1131033378692068</v>
      </c>
      <c r="Y16" s="11">
        <v>4.1349057960592628E-2</v>
      </c>
      <c r="Z16" s="11">
        <v>5.6073475588702459E-2</v>
      </c>
      <c r="AA16" s="11">
        <v>3.2171581769437019E-2</v>
      </c>
    </row>
    <row r="17" spans="2:27">
      <c r="B17" s="3" t="s">
        <v>64</v>
      </c>
      <c r="C17" s="3" t="s">
        <v>637</v>
      </c>
      <c r="D17" s="3" t="s">
        <v>648</v>
      </c>
      <c r="E17" s="3" t="s">
        <v>639</v>
      </c>
      <c r="F17" s="7">
        <v>2.5</v>
      </c>
      <c r="G17" s="4">
        <v>346.63</v>
      </c>
      <c r="H17" s="4">
        <v>303.39999999999998</v>
      </c>
      <c r="I17" s="4">
        <v>263.12</v>
      </c>
      <c r="J17" s="4">
        <v>134.44999999999999</v>
      </c>
      <c r="K17" s="4">
        <v>175.25</v>
      </c>
      <c r="L17" s="4">
        <v>95.72</v>
      </c>
      <c r="M17" s="4">
        <v>108.02</v>
      </c>
      <c r="N17" s="4">
        <v>92.8</v>
      </c>
      <c r="O17" s="4">
        <v>86.41</v>
      </c>
      <c r="P17" s="4">
        <v>73.09</v>
      </c>
      <c r="Q17" s="4">
        <v>104.32</v>
      </c>
      <c r="R17" s="4">
        <v>101.38</v>
      </c>
      <c r="S17" s="8">
        <v>136.46</v>
      </c>
      <c r="T17" s="4">
        <v>81.180000000000007</v>
      </c>
      <c r="U17" s="4">
        <v>103.1</v>
      </c>
      <c r="V17" s="4">
        <v>96.37</v>
      </c>
      <c r="W17" s="4">
        <v>146.93</v>
      </c>
      <c r="X17" s="9">
        <v>1.9482239614690089E-2</v>
      </c>
      <c r="Y17" s="11">
        <v>-2.8818443804035092E-3</v>
      </c>
      <c r="Z17" s="11">
        <v>-1.1868662939448439E-2</v>
      </c>
      <c r="AA17" s="11">
        <v>2.5101292225072621E-2</v>
      </c>
    </row>
    <row r="18" spans="2:27">
      <c r="B18" s="3" t="s">
        <v>19</v>
      </c>
      <c r="C18" s="3" t="s">
        <v>637</v>
      </c>
      <c r="D18" s="3" t="s">
        <v>649</v>
      </c>
      <c r="E18" s="3" t="s">
        <v>639</v>
      </c>
      <c r="F18" s="7">
        <v>1.8</v>
      </c>
      <c r="G18" s="4">
        <v>589.42999999999995</v>
      </c>
      <c r="H18" s="4">
        <v>620.39</v>
      </c>
      <c r="I18" s="4">
        <v>626.76</v>
      </c>
      <c r="J18" s="4">
        <v>652.20000000000005</v>
      </c>
      <c r="K18" s="4">
        <v>684.21</v>
      </c>
      <c r="L18" s="4">
        <v>662.72</v>
      </c>
      <c r="M18" s="4">
        <v>657.93</v>
      </c>
      <c r="N18" s="4">
        <v>694.23</v>
      </c>
      <c r="O18" s="4">
        <v>792.14</v>
      </c>
      <c r="P18" s="4">
        <v>735.18</v>
      </c>
      <c r="Q18" s="4">
        <v>754.1</v>
      </c>
      <c r="R18" s="4">
        <v>767.77</v>
      </c>
      <c r="S18" s="4">
        <v>835.75</v>
      </c>
      <c r="T18" s="4">
        <v>727.62</v>
      </c>
      <c r="U18" s="4">
        <v>744.2</v>
      </c>
      <c r="V18" s="4">
        <v>812.91</v>
      </c>
      <c r="W18" s="4">
        <v>890.67</v>
      </c>
      <c r="X18" s="9">
        <v>-2.4443869632696509E-3</v>
      </c>
      <c r="Y18" s="11">
        <v>-3.2088265418572788E-3</v>
      </c>
      <c r="Z18" s="11">
        <v>1.467805185768079E-2</v>
      </c>
      <c r="AA18" s="11">
        <v>1.7599856432343849E-2</v>
      </c>
    </row>
    <row r="19" spans="2:27">
      <c r="B19" s="3" t="s">
        <v>102</v>
      </c>
      <c r="C19" s="3" t="s">
        <v>637</v>
      </c>
      <c r="D19" s="3" t="s">
        <v>660</v>
      </c>
      <c r="E19" s="3" t="s">
        <v>639</v>
      </c>
      <c r="F19" s="7">
        <v>0.9</v>
      </c>
      <c r="G19" s="4">
        <v>199.9</v>
      </c>
      <c r="H19" s="4">
        <v>195.5</v>
      </c>
      <c r="I19" s="4">
        <v>195.3</v>
      </c>
      <c r="J19" s="4">
        <v>204</v>
      </c>
      <c r="K19" s="4">
        <v>196.4</v>
      </c>
      <c r="L19" s="4">
        <v>188.7</v>
      </c>
      <c r="M19" s="4">
        <v>198.1</v>
      </c>
      <c r="N19" s="4">
        <v>220</v>
      </c>
      <c r="O19" s="4">
        <v>210.1</v>
      </c>
      <c r="P19" s="4">
        <v>222</v>
      </c>
      <c r="Q19" s="4">
        <v>222.3</v>
      </c>
      <c r="R19" s="4">
        <v>231.7</v>
      </c>
      <c r="S19" s="4">
        <v>243</v>
      </c>
      <c r="T19" s="4">
        <v>237.4</v>
      </c>
      <c r="U19" s="4">
        <v>260.2</v>
      </c>
      <c r="V19" s="4">
        <v>258.89999999999998</v>
      </c>
      <c r="W19" s="4">
        <v>251.6</v>
      </c>
      <c r="X19" s="9">
        <v>1.6757344940152349E-2</v>
      </c>
      <c r="Y19" s="11">
        <v>4.0560787671232827E-2</v>
      </c>
      <c r="Z19" s="11">
        <v>2.7974904864753739E-2</v>
      </c>
      <c r="AA19" s="11">
        <v>8.6043021510755491E-3</v>
      </c>
    </row>
    <row r="20" spans="2:27">
      <c r="B20" s="3" t="s">
        <v>450</v>
      </c>
      <c r="C20" s="3" t="s">
        <v>637</v>
      </c>
      <c r="D20" s="3" t="s">
        <v>658</v>
      </c>
      <c r="E20" s="3" t="s">
        <v>639</v>
      </c>
      <c r="F20" s="7">
        <v>-1</v>
      </c>
      <c r="G20" s="4">
        <v>1134</v>
      </c>
      <c r="H20" s="4">
        <v>1482</v>
      </c>
      <c r="I20" s="4">
        <v>1339</v>
      </c>
      <c r="J20" s="4">
        <v>1357</v>
      </c>
      <c r="K20" s="4">
        <v>940</v>
      </c>
      <c r="L20" s="4">
        <v>980</v>
      </c>
      <c r="M20" s="4">
        <v>1034</v>
      </c>
      <c r="N20" s="4">
        <v>1089</v>
      </c>
      <c r="O20" s="4">
        <v>1236</v>
      </c>
      <c r="P20" s="4">
        <v>1028</v>
      </c>
      <c r="Q20" s="4">
        <v>1049</v>
      </c>
      <c r="R20" s="4">
        <v>1012</v>
      </c>
      <c r="S20" s="4">
        <v>1126</v>
      </c>
      <c r="T20" s="4">
        <v>926</v>
      </c>
      <c r="U20" s="4">
        <v>799</v>
      </c>
      <c r="V20" s="4">
        <v>837</v>
      </c>
      <c r="W20" s="4">
        <v>1089</v>
      </c>
      <c r="X20" s="9">
        <v>-2.419928825622775E-2</v>
      </c>
      <c r="Y20" s="11">
        <v>-6.0782883539995169E-2</v>
      </c>
      <c r="Z20" s="11">
        <v>-4.5301579083613763E-2</v>
      </c>
      <c r="AA20" s="11">
        <v>-1.0032537960954491E-2</v>
      </c>
    </row>
    <row r="21" spans="2:27">
      <c r="B21" s="3" t="s">
        <v>152</v>
      </c>
      <c r="C21" s="3" t="s">
        <v>637</v>
      </c>
      <c r="D21" s="3" t="s">
        <v>648</v>
      </c>
      <c r="E21" s="3" t="s">
        <v>644</v>
      </c>
      <c r="F21" s="7">
        <v>-1.3</v>
      </c>
      <c r="G21" s="4">
        <v>-58.77</v>
      </c>
      <c r="H21" s="4">
        <v>-66.819999999999993</v>
      </c>
      <c r="I21" s="4">
        <v>-65.39</v>
      </c>
      <c r="J21" s="4">
        <v>-58.05</v>
      </c>
      <c r="K21" s="4">
        <v>-48.77</v>
      </c>
      <c r="L21" s="4">
        <v>-62.83</v>
      </c>
      <c r="M21" s="4">
        <v>-48.69</v>
      </c>
      <c r="N21" s="4">
        <v>-46.62</v>
      </c>
      <c r="O21" s="4">
        <v>-46.98</v>
      </c>
      <c r="P21" s="4">
        <v>-48.89</v>
      </c>
      <c r="Q21" s="4">
        <v>-43.99</v>
      </c>
      <c r="R21" s="4">
        <v>-36.04</v>
      </c>
      <c r="S21" s="4">
        <v>-34.64</v>
      </c>
      <c r="T21" s="4">
        <v>-41.56</v>
      </c>
      <c r="U21" s="4">
        <v>-30.12</v>
      </c>
      <c r="V21" s="4">
        <v>-29.93</v>
      </c>
      <c r="W21" s="4">
        <v>-32.9</v>
      </c>
      <c r="X21" s="9">
        <v>-4.4815358278307522E-2</v>
      </c>
      <c r="Y21" s="11">
        <v>-8.8779363758561103E-2</v>
      </c>
      <c r="Z21" s="11">
        <v>-4.2919359370609873E-2</v>
      </c>
      <c r="AA21" s="11">
        <v>-1.2770642201834881E-2</v>
      </c>
    </row>
    <row r="22" spans="2:27">
      <c r="B22" s="3" t="s">
        <v>12</v>
      </c>
      <c r="C22" s="3" t="s">
        <v>637</v>
      </c>
      <c r="D22" s="3" t="s">
        <v>655</v>
      </c>
      <c r="E22" s="3" t="s">
        <v>644</v>
      </c>
      <c r="F22" s="7">
        <v>-1.9</v>
      </c>
      <c r="G22" s="4">
        <v>2212</v>
      </c>
      <c r="H22" s="4">
        <v>1616</v>
      </c>
      <c r="I22" s="4">
        <v>2445</v>
      </c>
      <c r="J22" s="4">
        <v>559</v>
      </c>
      <c r="K22" s="4">
        <v>2079</v>
      </c>
      <c r="L22" s="8">
        <v>2359</v>
      </c>
      <c r="M22" s="4">
        <v>2728</v>
      </c>
      <c r="N22" s="8">
        <v>2166</v>
      </c>
      <c r="O22" s="8">
        <v>3036</v>
      </c>
      <c r="P22" s="4">
        <v>2982</v>
      </c>
      <c r="Q22" s="4">
        <v>3453</v>
      </c>
      <c r="R22" s="4">
        <v>2847</v>
      </c>
      <c r="S22" s="4">
        <v>4144</v>
      </c>
      <c r="T22" s="4">
        <v>3571</v>
      </c>
      <c r="U22" s="4">
        <v>3712</v>
      </c>
      <c r="V22" s="4">
        <v>2666</v>
      </c>
      <c r="W22" s="4">
        <v>3875</v>
      </c>
      <c r="X22" s="9">
        <v>4.3870102785639853E-2</v>
      </c>
      <c r="Y22" s="11">
        <v>1.8480199785943618E-2</v>
      </c>
      <c r="Z22" s="11">
        <v>-1.2680397926299601E-2</v>
      </c>
      <c r="AA22" s="11">
        <v>-1.9087490243383191E-2</v>
      </c>
    </row>
    <row r="23" spans="2:27">
      <c r="B23" s="3" t="s">
        <v>92</v>
      </c>
      <c r="C23" s="3" t="s">
        <v>637</v>
      </c>
      <c r="D23" s="3" t="s">
        <v>661</v>
      </c>
      <c r="E23" s="3" t="s">
        <v>639</v>
      </c>
      <c r="F23" s="7">
        <v>-2.2000000000000002</v>
      </c>
      <c r="G23" s="4">
        <v>272.83999999999997</v>
      </c>
      <c r="H23" s="4">
        <v>256.45999999999998</v>
      </c>
      <c r="I23" s="4">
        <v>335.74</v>
      </c>
      <c r="J23" s="4">
        <v>336.2</v>
      </c>
      <c r="K23" s="4">
        <v>249.89</v>
      </c>
      <c r="L23" s="4">
        <v>204.98</v>
      </c>
      <c r="M23" s="4">
        <v>251.76</v>
      </c>
      <c r="N23" s="4">
        <v>243.65</v>
      </c>
      <c r="O23" s="4">
        <v>238.75</v>
      </c>
      <c r="P23" s="4">
        <v>228.78</v>
      </c>
      <c r="Q23" s="4">
        <v>268.72000000000003</v>
      </c>
      <c r="R23" s="4">
        <v>263.2</v>
      </c>
      <c r="S23" s="4">
        <v>243.61</v>
      </c>
      <c r="T23" s="4">
        <v>243.58</v>
      </c>
      <c r="U23" s="4">
        <v>254.99</v>
      </c>
      <c r="V23" s="4">
        <v>243.97</v>
      </c>
      <c r="W23" s="4">
        <v>221.61</v>
      </c>
      <c r="X23" s="9">
        <v>1.473648574643294E-2</v>
      </c>
      <c r="Y23" s="11">
        <v>-1.3472539765089111E-2</v>
      </c>
      <c r="Z23" s="11">
        <v>-1.9127096222323781E-2</v>
      </c>
      <c r="AA23" s="11">
        <v>-2.230897936419407E-2</v>
      </c>
    </row>
    <row r="24" spans="2:27">
      <c r="B24" s="3" t="s">
        <v>21</v>
      </c>
      <c r="C24" s="3" t="s">
        <v>637</v>
      </c>
      <c r="D24" s="3" t="s">
        <v>647</v>
      </c>
      <c r="E24" s="3" t="s">
        <v>639</v>
      </c>
      <c r="F24" s="7">
        <v>-3.5</v>
      </c>
      <c r="G24" s="4">
        <v>832</v>
      </c>
      <c r="H24" s="4">
        <v>872</v>
      </c>
      <c r="I24" s="4">
        <v>943</v>
      </c>
      <c r="J24" s="4">
        <v>1002</v>
      </c>
      <c r="K24" s="4">
        <v>962</v>
      </c>
      <c r="L24" s="4">
        <v>843</v>
      </c>
      <c r="M24" s="4">
        <v>937</v>
      </c>
      <c r="N24" s="4">
        <v>988</v>
      </c>
      <c r="O24" s="4">
        <v>978</v>
      </c>
      <c r="P24" s="4">
        <v>863</v>
      </c>
      <c r="Q24" s="4">
        <v>902</v>
      </c>
      <c r="R24" s="4">
        <v>990</v>
      </c>
      <c r="S24" s="4">
        <v>771</v>
      </c>
      <c r="T24" s="4">
        <v>737</v>
      </c>
      <c r="U24" s="4">
        <v>754</v>
      </c>
      <c r="V24" s="4">
        <v>896</v>
      </c>
      <c r="W24" s="4">
        <v>660</v>
      </c>
      <c r="X24" s="9">
        <v>-3.5734543391945588E-2</v>
      </c>
      <c r="Y24" s="11">
        <v>-4.3529411764705928E-2</v>
      </c>
      <c r="Z24" s="11">
        <v>-2.8905289052890581E-2</v>
      </c>
      <c r="AA24" s="11">
        <v>-3.5148828372387642E-2</v>
      </c>
    </row>
    <row r="25" spans="2:27">
      <c r="B25" s="3" t="s">
        <v>46</v>
      </c>
      <c r="C25" s="3" t="s">
        <v>637</v>
      </c>
      <c r="D25" s="3" t="s">
        <v>657</v>
      </c>
      <c r="E25" s="3" t="s">
        <v>639</v>
      </c>
      <c r="F25" s="7">
        <v>-3.8</v>
      </c>
      <c r="G25" s="4">
        <v>278</v>
      </c>
      <c r="H25" s="4">
        <v>283</v>
      </c>
      <c r="I25" s="4">
        <v>172</v>
      </c>
      <c r="J25" s="4">
        <v>484</v>
      </c>
      <c r="K25" s="8">
        <v>482</v>
      </c>
      <c r="L25" s="4">
        <v>371</v>
      </c>
      <c r="M25" s="8">
        <v>465</v>
      </c>
      <c r="N25" s="4">
        <v>494</v>
      </c>
      <c r="O25" s="4">
        <v>510</v>
      </c>
      <c r="P25" s="4">
        <v>484</v>
      </c>
      <c r="Q25" s="4">
        <v>547</v>
      </c>
      <c r="R25" s="4">
        <v>535</v>
      </c>
      <c r="S25" s="4">
        <v>545</v>
      </c>
      <c r="T25" s="4">
        <v>515</v>
      </c>
      <c r="U25" s="4">
        <v>573</v>
      </c>
      <c r="V25" s="4">
        <v>596</v>
      </c>
      <c r="W25" s="4">
        <v>461</v>
      </c>
      <c r="X25" s="9">
        <v>1.4684983420180099E-2</v>
      </c>
      <c r="Y25" s="11">
        <v>1.2138188608776799E-2</v>
      </c>
      <c r="Z25" s="11">
        <v>2.8136531365313688E-2</v>
      </c>
      <c r="AA25" s="11">
        <v>-3.7685060565275867E-2</v>
      </c>
    </row>
    <row r="26" spans="2:27">
      <c r="B26" s="3" t="s">
        <v>134</v>
      </c>
      <c r="C26" s="3" t="s">
        <v>637</v>
      </c>
      <c r="D26" s="3" t="s">
        <v>663</v>
      </c>
      <c r="E26" s="3" t="s">
        <v>644</v>
      </c>
      <c r="F26" s="7">
        <v>-12.1</v>
      </c>
      <c r="G26" s="4">
        <v>43</v>
      </c>
      <c r="H26" s="4">
        <v>92</v>
      </c>
      <c r="I26" s="4">
        <v>74</v>
      </c>
      <c r="J26" s="4">
        <v>102</v>
      </c>
      <c r="K26" s="4">
        <v>40</v>
      </c>
      <c r="L26" s="4">
        <v>81</v>
      </c>
      <c r="M26" s="4">
        <v>56</v>
      </c>
      <c r="N26" s="4">
        <v>-9</v>
      </c>
      <c r="O26" s="4">
        <v>6</v>
      </c>
      <c r="P26" s="4">
        <v>19</v>
      </c>
      <c r="Q26" s="4">
        <v>51</v>
      </c>
      <c r="R26" s="8">
        <v>48</v>
      </c>
      <c r="S26" s="4">
        <v>7</v>
      </c>
      <c r="T26" s="8">
        <v>32</v>
      </c>
      <c r="U26" s="4">
        <v>34</v>
      </c>
      <c r="V26" s="8">
        <v>68</v>
      </c>
      <c r="W26" s="4">
        <v>-10</v>
      </c>
      <c r="X26" s="13">
        <v>0.10400000000000011</v>
      </c>
      <c r="Y26" s="11">
        <v>-0.1231884057971014</v>
      </c>
      <c r="Z26" s="10">
        <v>0.165289256198347</v>
      </c>
      <c r="AA26" s="11">
        <v>-0.1205673758865248</v>
      </c>
    </row>
    <row r="27" spans="2:27">
      <c r="B27" s="3" t="s">
        <v>257</v>
      </c>
      <c r="C27" s="3" t="s">
        <v>637</v>
      </c>
      <c r="D27" s="3" t="s">
        <v>662</v>
      </c>
      <c r="E27" s="3" t="s">
        <v>639</v>
      </c>
      <c r="F27" s="7">
        <v>-12.3</v>
      </c>
      <c r="G27" s="4">
        <v>24.67</v>
      </c>
      <c r="H27" s="4">
        <v>27.74</v>
      </c>
      <c r="I27" s="4">
        <v>33.85</v>
      </c>
      <c r="J27" s="4">
        <v>31.32</v>
      </c>
      <c r="K27" s="4">
        <v>23.95</v>
      </c>
      <c r="L27" s="4">
        <v>23.4</v>
      </c>
      <c r="M27" s="4">
        <v>25.93</v>
      </c>
      <c r="N27" s="4">
        <v>21.87</v>
      </c>
      <c r="O27" s="4">
        <v>15.92</v>
      </c>
      <c r="P27" s="4">
        <v>15.73</v>
      </c>
      <c r="Q27" s="4">
        <v>19.7</v>
      </c>
      <c r="R27" s="4">
        <v>18.72</v>
      </c>
      <c r="S27" s="4">
        <v>15.58</v>
      </c>
      <c r="T27" s="4">
        <v>11.63</v>
      </c>
      <c r="U27" s="4">
        <v>14.89</v>
      </c>
      <c r="V27" s="4">
        <v>15</v>
      </c>
      <c r="W27" s="4">
        <v>8.56</v>
      </c>
      <c r="X27" s="9">
        <v>-5.8798221712319083E-2</v>
      </c>
      <c r="Y27" s="11">
        <v>-7.3289654121590719E-2</v>
      </c>
      <c r="Z27" s="11">
        <v>-6.1164090759618477E-2</v>
      </c>
      <c r="AA27" s="11">
        <v>-0.1229422066549913</v>
      </c>
    </row>
    <row r="28" spans="2:27">
      <c r="B28" s="3" t="s">
        <v>40</v>
      </c>
      <c r="C28" s="3" t="s">
        <v>637</v>
      </c>
      <c r="D28" s="3" t="s">
        <v>656</v>
      </c>
      <c r="E28" s="3" t="s">
        <v>644</v>
      </c>
      <c r="F28" s="7">
        <v>-23.5</v>
      </c>
      <c r="G28" s="4">
        <v>1432</v>
      </c>
      <c r="H28" s="4">
        <v>1161</v>
      </c>
      <c r="I28" s="4">
        <v>998</v>
      </c>
      <c r="J28" s="4">
        <v>816</v>
      </c>
      <c r="K28" s="4">
        <v>453</v>
      </c>
      <c r="L28" s="4">
        <v>65</v>
      </c>
      <c r="M28" s="4">
        <v>141</v>
      </c>
      <c r="N28" s="4">
        <v>113</v>
      </c>
      <c r="O28" s="4">
        <v>386</v>
      </c>
      <c r="P28" s="8">
        <v>405</v>
      </c>
      <c r="Q28" s="8">
        <v>491</v>
      </c>
      <c r="R28" s="8">
        <v>440</v>
      </c>
      <c r="S28" s="8">
        <v>687</v>
      </c>
      <c r="T28" s="4">
        <v>515</v>
      </c>
      <c r="U28" s="4">
        <v>505</v>
      </c>
      <c r="V28" s="4">
        <v>-69</v>
      </c>
      <c r="W28" s="4">
        <v>302</v>
      </c>
      <c r="X28" s="9">
        <v>5.4374691052891722E-2</v>
      </c>
      <c r="Y28" s="11">
        <v>6.5635255508673662E-3</v>
      </c>
      <c r="Z28" s="11">
        <v>-0.2370749883558454</v>
      </c>
      <c r="AA28" s="11">
        <v>-0.2350427350427351</v>
      </c>
    </row>
    <row r="29" spans="2:27">
      <c r="B29" s="3" t="s">
        <v>206</v>
      </c>
      <c r="C29" s="3" t="s">
        <v>637</v>
      </c>
      <c r="D29" s="3" t="s">
        <v>665</v>
      </c>
      <c r="E29" s="3" t="s">
        <v>639</v>
      </c>
      <c r="F29" s="7">
        <v>-129.4</v>
      </c>
      <c r="G29" s="4">
        <v>1.48</v>
      </c>
      <c r="H29" s="4">
        <v>334.76</v>
      </c>
      <c r="I29" s="4">
        <v>-44.08</v>
      </c>
      <c r="J29" s="4">
        <v>303.66000000000003</v>
      </c>
      <c r="K29" s="4">
        <v>-269.08999999999997</v>
      </c>
      <c r="L29" s="4">
        <v>-175.3</v>
      </c>
      <c r="M29" s="4">
        <v>222.16</v>
      </c>
      <c r="N29" s="8">
        <v>354.05</v>
      </c>
      <c r="O29" s="4">
        <v>-459.45</v>
      </c>
      <c r="P29" s="4">
        <v>216.76</v>
      </c>
      <c r="Q29" s="4">
        <v>69.709999999999994</v>
      </c>
      <c r="R29" s="4">
        <v>-248.84</v>
      </c>
      <c r="S29" s="4">
        <v>308.94</v>
      </c>
      <c r="T29" s="4">
        <v>-78.52</v>
      </c>
      <c r="U29" s="4">
        <v>-57.45</v>
      </c>
      <c r="V29" s="4">
        <v>52.41</v>
      </c>
      <c r="W29" s="4">
        <v>17.29</v>
      </c>
      <c r="X29" s="9">
        <v>-0.85200680959113595</v>
      </c>
      <c r="Y29" s="11">
        <v>-2.479235718463638</v>
      </c>
      <c r="Z29" s="11">
        <v>-3.970607618294451</v>
      </c>
      <c r="AA29" s="11">
        <v>-1.2940367379536779</v>
      </c>
    </row>
    <row r="30" spans="2:27">
      <c r="B30" s="3">
        <v>6971</v>
      </c>
      <c r="C30" s="3" t="s">
        <v>666</v>
      </c>
      <c r="D30" s="3" t="s">
        <v>667</v>
      </c>
      <c r="E30" s="3" t="s">
        <v>646</v>
      </c>
      <c r="F30" s="7">
        <v>75.900000000000006</v>
      </c>
      <c r="G30" s="4">
        <v>42779</v>
      </c>
      <c r="H30" s="4">
        <v>30452</v>
      </c>
      <c r="I30" s="4">
        <v>41428</v>
      </c>
      <c r="J30" s="4">
        <v>35060</v>
      </c>
      <c r="K30" s="4">
        <v>37396</v>
      </c>
      <c r="L30" s="4">
        <v>14633</v>
      </c>
      <c r="M30" s="4">
        <v>25677</v>
      </c>
      <c r="N30" s="4">
        <v>28325</v>
      </c>
      <c r="O30" s="4">
        <v>25842</v>
      </c>
      <c r="P30" s="4">
        <v>13079</v>
      </c>
      <c r="Q30" s="4">
        <v>20956</v>
      </c>
      <c r="R30" s="4">
        <v>16920</v>
      </c>
      <c r="S30" s="4">
        <v>-25601</v>
      </c>
      <c r="T30" s="8">
        <v>55172</v>
      </c>
      <c r="U30" s="4">
        <v>18550</v>
      </c>
      <c r="V30" s="4">
        <v>23395</v>
      </c>
      <c r="W30" s="8">
        <v>28676</v>
      </c>
      <c r="X30" s="13">
        <v>1.660211406484184</v>
      </c>
      <c r="Y30" s="11">
        <v>-3.5672453926786973E-2</v>
      </c>
      <c r="Z30" s="11">
        <v>9.9552589904829292E-2</v>
      </c>
      <c r="AA30" s="10">
        <v>0.75894904636724658</v>
      </c>
    </row>
    <row r="31" spans="2:27">
      <c r="B31" s="3">
        <v>2282</v>
      </c>
      <c r="C31" s="3" t="s">
        <v>666</v>
      </c>
      <c r="D31" s="3" t="s">
        <v>667</v>
      </c>
      <c r="E31" s="3" t="s">
        <v>642</v>
      </c>
      <c r="F31" s="7">
        <v>30.5</v>
      </c>
      <c r="G31" s="4">
        <v>11670</v>
      </c>
      <c r="H31" s="4">
        <v>20357</v>
      </c>
      <c r="I31" s="4">
        <v>0</v>
      </c>
      <c r="J31" s="4">
        <v>13202</v>
      </c>
      <c r="K31" s="4">
        <v>6423</v>
      </c>
      <c r="L31" s="4">
        <v>1760</v>
      </c>
      <c r="M31" s="4">
        <v>-10848</v>
      </c>
      <c r="N31" s="8">
        <v>17632</v>
      </c>
      <c r="O31" s="8">
        <v>13023</v>
      </c>
      <c r="P31" s="8">
        <v>12269</v>
      </c>
      <c r="Q31" s="4">
        <v>-11247</v>
      </c>
      <c r="R31" s="4">
        <v>19099</v>
      </c>
      <c r="S31" s="4">
        <v>9780</v>
      </c>
      <c r="T31" s="4">
        <v>14203</v>
      </c>
      <c r="U31" s="8">
        <v>-6510</v>
      </c>
      <c r="V31" s="4">
        <v>18261</v>
      </c>
      <c r="W31" s="8">
        <v>20694</v>
      </c>
      <c r="X31" s="9">
        <v>6.4680111033075915E-2</v>
      </c>
      <c r="Y31" s="10">
        <v>0.1487984922255379</v>
      </c>
      <c r="Z31" s="11">
        <v>-2.2913704473367599E-2</v>
      </c>
      <c r="AA31" s="10">
        <v>0.30542340627973358</v>
      </c>
    </row>
    <row r="32" spans="2:27">
      <c r="B32" s="3">
        <v>1814</v>
      </c>
      <c r="C32" s="3" t="s">
        <v>666</v>
      </c>
      <c r="D32" s="3" t="s">
        <v>667</v>
      </c>
      <c r="E32" s="3" t="s">
        <v>642</v>
      </c>
      <c r="F32" s="7">
        <v>26.5</v>
      </c>
      <c r="G32" s="4">
        <v>374</v>
      </c>
      <c r="H32" s="4">
        <v>840</v>
      </c>
      <c r="I32" s="4">
        <v>743</v>
      </c>
      <c r="J32" s="4">
        <v>229</v>
      </c>
      <c r="K32" s="8">
        <v>704</v>
      </c>
      <c r="L32" s="4">
        <v>471</v>
      </c>
      <c r="M32" s="4">
        <v>483</v>
      </c>
      <c r="N32" s="4">
        <v>275</v>
      </c>
      <c r="O32" s="4">
        <v>-41</v>
      </c>
      <c r="P32" s="4">
        <v>263</v>
      </c>
      <c r="Q32" s="8">
        <v>1094</v>
      </c>
      <c r="R32" s="8">
        <v>520</v>
      </c>
      <c r="S32" s="8">
        <v>599</v>
      </c>
      <c r="T32" s="8">
        <v>799</v>
      </c>
      <c r="U32" s="8">
        <v>1778</v>
      </c>
      <c r="V32" s="4">
        <v>793</v>
      </c>
      <c r="W32" s="8">
        <v>1649</v>
      </c>
      <c r="X32" s="13">
        <v>0.21647819063004839</v>
      </c>
      <c r="Y32" s="10">
        <v>0.22709163346613551</v>
      </c>
      <c r="Z32" s="11">
        <v>7.3863636363636465E-2</v>
      </c>
      <c r="AA32" s="10">
        <v>0.26455026455026459</v>
      </c>
    </row>
    <row r="33" spans="2:27">
      <c r="B33" s="3">
        <v>8841</v>
      </c>
      <c r="C33" s="3" t="s">
        <v>666</v>
      </c>
      <c r="D33" s="3" t="s">
        <v>667</v>
      </c>
      <c r="E33" s="3" t="s">
        <v>642</v>
      </c>
      <c r="F33" s="7">
        <v>17</v>
      </c>
      <c r="G33" s="4">
        <v>1378</v>
      </c>
      <c r="H33" s="4">
        <v>1328</v>
      </c>
      <c r="I33" s="4">
        <v>1483</v>
      </c>
      <c r="J33" s="4">
        <v>1358</v>
      </c>
      <c r="K33" s="4">
        <v>1277</v>
      </c>
      <c r="L33" s="4">
        <v>1024</v>
      </c>
      <c r="M33" s="4">
        <v>609</v>
      </c>
      <c r="N33" s="4">
        <v>787</v>
      </c>
      <c r="O33" s="4">
        <v>452</v>
      </c>
      <c r="P33" s="4">
        <v>677</v>
      </c>
      <c r="Q33" s="4">
        <v>370</v>
      </c>
      <c r="R33" s="4">
        <v>313</v>
      </c>
      <c r="S33" s="4">
        <v>369</v>
      </c>
      <c r="T33" s="4">
        <v>608</v>
      </c>
      <c r="U33" s="4">
        <v>129</v>
      </c>
      <c r="V33" s="4">
        <v>420</v>
      </c>
      <c r="W33" s="8">
        <v>629</v>
      </c>
      <c r="X33" s="9">
        <v>-3.9907460960092567E-2</v>
      </c>
      <c r="Y33" s="11">
        <v>-0.14518072289156619</v>
      </c>
      <c r="Z33" s="11">
        <v>7.5405214940098553E-2</v>
      </c>
      <c r="AA33" s="10">
        <v>0.17038007863695939</v>
      </c>
    </row>
    <row r="34" spans="2:27">
      <c r="B34" s="3">
        <v>2676</v>
      </c>
      <c r="C34" s="3" t="s">
        <v>666</v>
      </c>
      <c r="D34" s="3" t="s">
        <v>667</v>
      </c>
      <c r="E34" s="3" t="s">
        <v>642</v>
      </c>
      <c r="F34" s="7">
        <v>16.600000000000001</v>
      </c>
      <c r="G34" s="4">
        <v>365</v>
      </c>
      <c r="H34" s="4">
        <v>191</v>
      </c>
      <c r="I34" s="4">
        <v>402</v>
      </c>
      <c r="J34" s="4">
        <v>207</v>
      </c>
      <c r="K34" s="4">
        <v>377</v>
      </c>
      <c r="L34" s="8">
        <v>346</v>
      </c>
      <c r="M34" s="4">
        <v>446</v>
      </c>
      <c r="N34" s="4">
        <v>315</v>
      </c>
      <c r="O34" s="4">
        <v>399</v>
      </c>
      <c r="P34" s="4">
        <v>266</v>
      </c>
      <c r="Q34" s="4">
        <v>486</v>
      </c>
      <c r="R34" s="8">
        <v>464</v>
      </c>
      <c r="S34" s="4">
        <v>472</v>
      </c>
      <c r="T34" s="4">
        <v>427</v>
      </c>
      <c r="U34" s="8">
        <v>717</v>
      </c>
      <c r="V34" s="4">
        <v>184</v>
      </c>
      <c r="W34" s="8">
        <v>770</v>
      </c>
      <c r="X34" s="9">
        <v>9.537914691943139E-2</v>
      </c>
      <c r="Y34" s="10">
        <v>0.1249323958896702</v>
      </c>
      <c r="Z34" s="11">
        <v>-0.13461538461538461</v>
      </c>
      <c r="AA34" s="10">
        <v>0.16555555555555551</v>
      </c>
    </row>
    <row r="35" spans="2:27">
      <c r="B35" s="3">
        <v>7241</v>
      </c>
      <c r="C35" s="3" t="s">
        <v>666</v>
      </c>
      <c r="D35" s="3" t="s">
        <v>667</v>
      </c>
      <c r="E35" s="3" t="s">
        <v>642</v>
      </c>
      <c r="F35" s="7">
        <v>16.399999999999999</v>
      </c>
      <c r="G35" s="4">
        <v>-1909</v>
      </c>
      <c r="H35" s="4">
        <v>940</v>
      </c>
      <c r="I35" s="4">
        <v>3878</v>
      </c>
      <c r="J35" s="4">
        <v>-2008</v>
      </c>
      <c r="K35" s="8">
        <v>1718</v>
      </c>
      <c r="L35" s="8">
        <v>2764</v>
      </c>
      <c r="M35" s="8">
        <v>5208</v>
      </c>
      <c r="N35" s="8">
        <v>4730</v>
      </c>
      <c r="O35" s="8">
        <v>4716</v>
      </c>
      <c r="P35" s="8">
        <v>6565</v>
      </c>
      <c r="Q35" s="4">
        <v>3202</v>
      </c>
      <c r="R35" s="4">
        <v>3615</v>
      </c>
      <c r="S35" s="4">
        <v>1832</v>
      </c>
      <c r="T35" s="4">
        <v>4466</v>
      </c>
      <c r="U35" s="8">
        <v>5265</v>
      </c>
      <c r="V35" s="4">
        <v>4192</v>
      </c>
      <c r="W35" s="8">
        <v>4417</v>
      </c>
      <c r="X35" s="9">
        <v>-0.1379650322071776</v>
      </c>
      <c r="Y35" s="10">
        <v>0.15730080060998849</v>
      </c>
      <c r="Z35" s="11">
        <v>3.8015548820661493E-2</v>
      </c>
      <c r="AA35" s="10">
        <v>0.16407489685814031</v>
      </c>
    </row>
    <row r="36" spans="2:27">
      <c r="B36" s="3">
        <v>8386</v>
      </c>
      <c r="C36" s="3" t="s">
        <v>666</v>
      </c>
      <c r="D36" s="3" t="s">
        <v>667</v>
      </c>
      <c r="E36" s="3" t="s">
        <v>642</v>
      </c>
      <c r="F36" s="7">
        <v>15.4</v>
      </c>
      <c r="G36" s="4">
        <v>4702</v>
      </c>
      <c r="H36" s="4">
        <v>4792</v>
      </c>
      <c r="I36" s="4">
        <v>479</v>
      </c>
      <c r="J36" s="4">
        <v>5110</v>
      </c>
      <c r="K36" s="4">
        <v>3616</v>
      </c>
      <c r="L36" s="4">
        <v>2197</v>
      </c>
      <c r="M36" s="8">
        <v>2285</v>
      </c>
      <c r="N36" s="4">
        <v>5688</v>
      </c>
      <c r="O36" s="4">
        <v>1616</v>
      </c>
      <c r="P36" s="8">
        <v>3488</v>
      </c>
      <c r="Q36" s="4">
        <v>3489</v>
      </c>
      <c r="R36" s="4">
        <v>4955</v>
      </c>
      <c r="S36" s="8">
        <v>3016</v>
      </c>
      <c r="T36" s="8">
        <v>5576</v>
      </c>
      <c r="U36" s="4">
        <v>4050</v>
      </c>
      <c r="V36" s="4">
        <v>6603</v>
      </c>
      <c r="W36" s="8">
        <v>5971</v>
      </c>
      <c r="X36" s="13">
        <v>0.13968423869413971</v>
      </c>
      <c r="Y36" s="11">
        <v>3.2930265320497698E-2</v>
      </c>
      <c r="Z36" s="11">
        <v>9.3652327101210409E-2</v>
      </c>
      <c r="AA36" s="10">
        <v>0.15354637568199531</v>
      </c>
    </row>
    <row r="37" spans="2:27">
      <c r="B37" s="3">
        <v>7981</v>
      </c>
      <c r="C37" s="3" t="s">
        <v>666</v>
      </c>
      <c r="D37" s="3" t="s">
        <v>667</v>
      </c>
      <c r="E37" s="3" t="s">
        <v>642</v>
      </c>
      <c r="F37" s="7">
        <v>9.9</v>
      </c>
      <c r="G37" s="4">
        <v>3990</v>
      </c>
      <c r="H37" s="4">
        <v>5837</v>
      </c>
      <c r="I37" s="4">
        <v>877</v>
      </c>
      <c r="J37" s="4">
        <v>3225</v>
      </c>
      <c r="K37" s="4">
        <v>2861</v>
      </c>
      <c r="L37" s="4">
        <v>3886</v>
      </c>
      <c r="M37" s="4">
        <v>969</v>
      </c>
      <c r="N37" s="4">
        <v>2684</v>
      </c>
      <c r="O37" s="4">
        <v>2624</v>
      </c>
      <c r="P37" s="8">
        <v>5411</v>
      </c>
      <c r="Q37" s="4">
        <v>1709</v>
      </c>
      <c r="R37" s="4">
        <v>3098</v>
      </c>
      <c r="S37" s="4">
        <v>2860</v>
      </c>
      <c r="T37" s="8">
        <v>6885</v>
      </c>
      <c r="U37" s="4">
        <v>2793</v>
      </c>
      <c r="V37" s="4">
        <v>4196</v>
      </c>
      <c r="W37" s="4">
        <v>4519</v>
      </c>
      <c r="X37" s="13">
        <v>0.1127083651934546</v>
      </c>
      <c r="Y37" s="11">
        <v>7.449147883452456E-2</v>
      </c>
      <c r="Z37" s="11">
        <v>7.0222563315425868E-2</v>
      </c>
      <c r="AA37" s="11">
        <v>9.9139476514879865E-2</v>
      </c>
    </row>
    <row r="38" spans="2:27">
      <c r="B38" s="3">
        <v>9502</v>
      </c>
      <c r="C38" s="3" t="s">
        <v>666</v>
      </c>
      <c r="D38" s="3" t="s">
        <v>667</v>
      </c>
      <c r="E38" s="3" t="s">
        <v>642</v>
      </c>
      <c r="F38" s="7">
        <v>9.1999999999999993</v>
      </c>
      <c r="G38" s="4">
        <v>31762</v>
      </c>
      <c r="H38" s="4">
        <v>-55866</v>
      </c>
      <c r="I38" s="4">
        <v>-52029</v>
      </c>
      <c r="J38" s="4">
        <v>41486</v>
      </c>
      <c r="K38" s="8">
        <v>19776</v>
      </c>
      <c r="L38" s="4">
        <v>-12994</v>
      </c>
      <c r="M38" s="4">
        <v>58821</v>
      </c>
      <c r="N38" s="8">
        <v>157186</v>
      </c>
      <c r="O38" s="8">
        <v>88472</v>
      </c>
      <c r="P38" s="8">
        <v>43953</v>
      </c>
      <c r="Q38" s="4">
        <v>53729</v>
      </c>
      <c r="R38" s="4">
        <v>85868</v>
      </c>
      <c r="S38" s="4">
        <v>56887</v>
      </c>
      <c r="T38" s="4">
        <v>41365</v>
      </c>
      <c r="U38" s="4">
        <v>57925</v>
      </c>
      <c r="V38" s="4">
        <v>67932</v>
      </c>
      <c r="W38" s="4">
        <v>77613</v>
      </c>
      <c r="X38" s="9">
        <v>-1.0763734367006729E-2</v>
      </c>
      <c r="Y38" s="11">
        <v>1.764144478219376E-2</v>
      </c>
      <c r="Z38" s="11">
        <v>-7.4101923196099873E-2</v>
      </c>
      <c r="AA38" s="11">
        <v>9.2481783417890373E-2</v>
      </c>
    </row>
    <row r="39" spans="2:27">
      <c r="B39" s="3">
        <v>8331</v>
      </c>
      <c r="C39" s="3" t="s">
        <v>666</v>
      </c>
      <c r="D39" s="3" t="s">
        <v>667</v>
      </c>
      <c r="E39" s="3" t="s">
        <v>646</v>
      </c>
      <c r="F39" s="7">
        <v>8.9</v>
      </c>
      <c r="G39" s="4">
        <v>19452</v>
      </c>
      <c r="H39" s="4">
        <v>13461</v>
      </c>
      <c r="I39" s="4">
        <v>23942</v>
      </c>
      <c r="J39" s="4">
        <v>26698</v>
      </c>
      <c r="K39" s="4">
        <v>19092</v>
      </c>
      <c r="L39" s="4">
        <v>16937</v>
      </c>
      <c r="M39" s="4">
        <v>25921</v>
      </c>
      <c r="N39" s="4">
        <v>24001</v>
      </c>
      <c r="O39" s="4">
        <v>22592</v>
      </c>
      <c r="P39" s="4">
        <v>18153</v>
      </c>
      <c r="Q39" s="4">
        <v>28626</v>
      </c>
      <c r="R39" s="4">
        <v>25631</v>
      </c>
      <c r="S39" s="4">
        <v>25108</v>
      </c>
      <c r="T39" s="4">
        <v>27460</v>
      </c>
      <c r="U39" s="4">
        <v>30960</v>
      </c>
      <c r="V39" s="4">
        <v>31799</v>
      </c>
      <c r="W39" s="4">
        <v>35358</v>
      </c>
      <c r="X39" s="9">
        <v>9.5438790787341743E-2</v>
      </c>
      <c r="Y39" s="11">
        <v>2.184881816054296E-2</v>
      </c>
      <c r="Z39" s="11">
        <v>5.6504731630007583E-2</v>
      </c>
      <c r="AA39" s="11">
        <v>8.8877712937993625E-2</v>
      </c>
    </row>
    <row r="40" spans="2:27">
      <c r="B40" s="3">
        <v>8346</v>
      </c>
      <c r="C40" s="3" t="s">
        <v>666</v>
      </c>
      <c r="D40" s="3" t="s">
        <v>667</v>
      </c>
      <c r="E40" s="3" t="s">
        <v>642</v>
      </c>
      <c r="F40" s="7">
        <v>8.5</v>
      </c>
      <c r="G40" s="4">
        <v>2851</v>
      </c>
      <c r="H40" s="4">
        <v>2876</v>
      </c>
      <c r="I40" s="4">
        <v>1558</v>
      </c>
      <c r="J40" s="4">
        <v>2478</v>
      </c>
      <c r="K40" s="4">
        <v>1533</v>
      </c>
      <c r="L40" s="4">
        <v>2341</v>
      </c>
      <c r="M40" s="4">
        <v>711</v>
      </c>
      <c r="N40" s="4">
        <v>2858</v>
      </c>
      <c r="O40" s="4">
        <v>2201</v>
      </c>
      <c r="P40" s="8">
        <v>3211</v>
      </c>
      <c r="Q40" s="4">
        <v>-276</v>
      </c>
      <c r="R40" s="4">
        <v>3291</v>
      </c>
      <c r="S40" s="8">
        <v>3211</v>
      </c>
      <c r="T40" s="4">
        <v>2872</v>
      </c>
      <c r="U40" s="8">
        <v>1250</v>
      </c>
      <c r="V40" s="8">
        <v>4545</v>
      </c>
      <c r="W40" s="4">
        <v>4222</v>
      </c>
      <c r="X40" s="9">
        <v>-3.5922432976581493E-2</v>
      </c>
      <c r="Y40" s="10">
        <v>0.16772917124642769</v>
      </c>
      <c r="Z40" s="10">
        <v>0.11803463855421679</v>
      </c>
      <c r="AA40" s="11">
        <v>8.5115339282707536E-2</v>
      </c>
    </row>
    <row r="41" spans="2:27">
      <c r="B41" s="3">
        <v>6762</v>
      </c>
      <c r="C41" s="3" t="s">
        <v>666</v>
      </c>
      <c r="D41" s="3" t="s">
        <v>667</v>
      </c>
      <c r="E41" s="3" t="s">
        <v>642</v>
      </c>
      <c r="F41" s="7">
        <v>8.5</v>
      </c>
      <c r="G41" s="4">
        <v>48962</v>
      </c>
      <c r="H41" s="4">
        <v>59492</v>
      </c>
      <c r="I41" s="4">
        <v>21407</v>
      </c>
      <c r="J41" s="4">
        <v>44414</v>
      </c>
      <c r="K41" s="8">
        <v>75390</v>
      </c>
      <c r="L41" s="4">
        <v>66228</v>
      </c>
      <c r="M41" s="4">
        <v>-28306</v>
      </c>
      <c r="N41" s="4">
        <v>25342</v>
      </c>
      <c r="O41" s="4">
        <v>58605</v>
      </c>
      <c r="P41" s="4">
        <v>69027</v>
      </c>
      <c r="Q41" s="8">
        <v>17688</v>
      </c>
      <c r="R41" s="8">
        <v>57872</v>
      </c>
      <c r="S41" s="4">
        <v>72806</v>
      </c>
      <c r="T41" s="4">
        <v>75791</v>
      </c>
      <c r="U41" s="4">
        <v>11743</v>
      </c>
      <c r="V41" s="4">
        <v>56419</v>
      </c>
      <c r="W41" s="4">
        <v>91208</v>
      </c>
      <c r="X41" s="9">
        <v>3.111415730957301E-2</v>
      </c>
      <c r="Y41" s="11">
        <v>-2.652158977859265E-2</v>
      </c>
      <c r="Z41" s="11">
        <v>-6.6586622183931743E-3</v>
      </c>
      <c r="AA41" s="11">
        <v>8.4896128880461719E-2</v>
      </c>
    </row>
    <row r="42" spans="2:27">
      <c r="B42" s="3">
        <v>7337</v>
      </c>
      <c r="C42" s="3" t="s">
        <v>666</v>
      </c>
      <c r="D42" s="3" t="s">
        <v>667</v>
      </c>
      <c r="E42" s="3" t="s">
        <v>646</v>
      </c>
      <c r="F42" s="7">
        <v>5</v>
      </c>
      <c r="G42" s="4">
        <v>12515</v>
      </c>
      <c r="H42" s="4">
        <v>4371</v>
      </c>
      <c r="I42" s="4">
        <v>12885</v>
      </c>
      <c r="J42" s="4">
        <v>1687</v>
      </c>
      <c r="K42" s="4">
        <v>5896</v>
      </c>
      <c r="L42" s="4">
        <v>-2214</v>
      </c>
      <c r="M42" s="4">
        <v>13684</v>
      </c>
      <c r="N42" s="8">
        <v>10157</v>
      </c>
      <c r="O42" s="8">
        <v>9513</v>
      </c>
      <c r="P42" s="8">
        <v>6590</v>
      </c>
      <c r="Q42" s="4">
        <v>15232</v>
      </c>
      <c r="R42" s="4">
        <v>11141</v>
      </c>
      <c r="S42" s="8">
        <v>15310</v>
      </c>
      <c r="T42" s="4">
        <v>9358</v>
      </c>
      <c r="U42" s="4">
        <v>16518</v>
      </c>
      <c r="V42" s="4">
        <v>12526</v>
      </c>
      <c r="W42" s="4">
        <v>17990</v>
      </c>
      <c r="X42" s="9">
        <v>5.7340542332152467E-2</v>
      </c>
      <c r="Y42" s="11">
        <v>2.5195431123998361E-2</v>
      </c>
      <c r="Z42" s="11">
        <v>2.646817130735557E-2</v>
      </c>
      <c r="AA42" s="11">
        <v>4.9895740244265678E-2</v>
      </c>
    </row>
    <row r="43" spans="2:27">
      <c r="B43" s="3">
        <v>9064</v>
      </c>
      <c r="C43" s="3" t="s">
        <v>666</v>
      </c>
      <c r="D43" s="3" t="s">
        <v>667</v>
      </c>
      <c r="E43" s="3" t="s">
        <v>646</v>
      </c>
      <c r="F43" s="7">
        <v>4.3</v>
      </c>
      <c r="G43" s="4">
        <v>47482</v>
      </c>
      <c r="H43" s="4">
        <v>-1973</v>
      </c>
      <c r="I43" s="4">
        <v>2418</v>
      </c>
      <c r="J43" s="4">
        <v>15631</v>
      </c>
      <c r="K43" s="4">
        <v>48352</v>
      </c>
      <c r="L43" s="4">
        <v>-6315</v>
      </c>
      <c r="M43" s="4">
        <v>1598</v>
      </c>
      <c r="N43" s="4">
        <v>10761</v>
      </c>
      <c r="O43" s="4">
        <v>38004</v>
      </c>
      <c r="P43" s="4">
        <v>-10303</v>
      </c>
      <c r="Q43" s="4">
        <v>-14205</v>
      </c>
      <c r="R43" s="4">
        <v>-797</v>
      </c>
      <c r="S43" s="8">
        <v>41267</v>
      </c>
      <c r="T43" s="4">
        <v>-12058</v>
      </c>
      <c r="U43" s="8">
        <v>-6494</v>
      </c>
      <c r="V43" s="8">
        <v>2712</v>
      </c>
      <c r="W43" s="4">
        <v>42368</v>
      </c>
      <c r="X43" s="9">
        <v>-0.10994862799147979</v>
      </c>
      <c r="Y43" s="10">
        <v>0.54276061096642492</v>
      </c>
      <c r="Z43" s="10">
        <v>0.16009672415366369</v>
      </c>
      <c r="AA43" s="11">
        <v>4.330042867817685E-2</v>
      </c>
    </row>
    <row r="44" spans="2:27">
      <c r="B44" s="3">
        <v>3467</v>
      </c>
      <c r="C44" s="3" t="s">
        <v>666</v>
      </c>
      <c r="D44" s="3" t="s">
        <v>667</v>
      </c>
      <c r="E44" s="3" t="s">
        <v>642</v>
      </c>
      <c r="F44" s="7">
        <v>4.0999999999999996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4">
        <v>1293</v>
      </c>
      <c r="R44" s="4">
        <v>226</v>
      </c>
      <c r="S44" s="4">
        <v>855</v>
      </c>
      <c r="T44" s="4">
        <v>427</v>
      </c>
      <c r="U44" s="4">
        <v>1041</v>
      </c>
      <c r="V44" s="8">
        <v>508</v>
      </c>
      <c r="W44" s="4">
        <v>971</v>
      </c>
      <c r="X44" s="12"/>
      <c r="Y44" s="11">
        <v>-8.9967868618350599E-2</v>
      </c>
      <c r="Z44" s="10">
        <v>0.1106316202432327</v>
      </c>
      <c r="AA44" s="11">
        <v>4.0974920522783398E-2</v>
      </c>
    </row>
    <row r="45" spans="2:27">
      <c r="B45" s="3">
        <v>8411</v>
      </c>
      <c r="C45" s="3" t="s">
        <v>666</v>
      </c>
      <c r="D45" s="3" t="s">
        <v>667</v>
      </c>
      <c r="E45" s="3" t="s">
        <v>646</v>
      </c>
      <c r="F45" s="7">
        <v>3.7</v>
      </c>
      <c r="G45" s="4">
        <v>108485</v>
      </c>
      <c r="H45" s="4">
        <v>48765</v>
      </c>
      <c r="I45" s="4">
        <v>207355</v>
      </c>
      <c r="J45" s="4">
        <v>237700</v>
      </c>
      <c r="K45" s="8">
        <v>244905</v>
      </c>
      <c r="L45" s="4">
        <v>89003</v>
      </c>
      <c r="M45" s="8">
        <v>313573</v>
      </c>
      <c r="N45" s="4">
        <v>282748</v>
      </c>
      <c r="O45" s="4">
        <v>325130</v>
      </c>
      <c r="P45" s="4">
        <v>33582</v>
      </c>
      <c r="Q45" s="4">
        <v>397385</v>
      </c>
      <c r="R45" s="8">
        <v>393772</v>
      </c>
      <c r="S45" s="4">
        <v>376077</v>
      </c>
      <c r="T45" s="4">
        <v>22849</v>
      </c>
      <c r="U45" s="4">
        <v>378595</v>
      </c>
      <c r="V45" s="8">
        <v>520119</v>
      </c>
      <c r="W45" s="4">
        <v>424507</v>
      </c>
      <c r="X45" s="9">
        <v>-8.9380887663055297E-3</v>
      </c>
      <c r="Y45" s="11">
        <v>-1.5788814729728928E-2</v>
      </c>
      <c r="Z45" s="10">
        <v>0.107869679064077</v>
      </c>
      <c r="AA45" s="11">
        <v>3.7321599210875078E-2</v>
      </c>
    </row>
    <row r="46" spans="2:27">
      <c r="B46" s="3">
        <v>4272</v>
      </c>
      <c r="C46" s="3" t="s">
        <v>666</v>
      </c>
      <c r="D46" s="3" t="s">
        <v>667</v>
      </c>
      <c r="E46" s="3" t="s">
        <v>642</v>
      </c>
      <c r="F46" s="7">
        <v>3.4</v>
      </c>
      <c r="G46" s="4">
        <v>4964</v>
      </c>
      <c r="H46" s="4">
        <v>6438</v>
      </c>
      <c r="I46" s="4">
        <v>3711</v>
      </c>
      <c r="J46" s="4">
        <v>6381</v>
      </c>
      <c r="K46" s="8">
        <v>7179</v>
      </c>
      <c r="L46" s="4">
        <v>5503</v>
      </c>
      <c r="M46" s="4">
        <v>2443</v>
      </c>
      <c r="N46" s="4">
        <v>2335</v>
      </c>
      <c r="O46" s="4">
        <v>2433</v>
      </c>
      <c r="P46" s="4">
        <v>-656</v>
      </c>
      <c r="Q46" s="8">
        <v>3225</v>
      </c>
      <c r="R46" s="8">
        <v>5570</v>
      </c>
      <c r="S46" s="8">
        <v>5591</v>
      </c>
      <c r="T46" s="8">
        <v>6955</v>
      </c>
      <c r="U46" s="4">
        <v>2286</v>
      </c>
      <c r="V46" s="4">
        <v>4369</v>
      </c>
      <c r="W46" s="4">
        <v>6250</v>
      </c>
      <c r="X46" s="13">
        <v>0.55433357611070644</v>
      </c>
      <c r="Y46" s="11">
        <v>-4.3999812567358632E-2</v>
      </c>
      <c r="Z46" s="11">
        <v>-5.8866777766885647E-2</v>
      </c>
      <c r="AA46" s="11">
        <v>3.4321129107858887E-2</v>
      </c>
    </row>
    <row r="47" spans="2:27">
      <c r="B47" s="3">
        <v>9022</v>
      </c>
      <c r="C47" s="3" t="s">
        <v>666</v>
      </c>
      <c r="D47" s="3" t="s">
        <v>667</v>
      </c>
      <c r="E47" s="3" t="s">
        <v>646</v>
      </c>
      <c r="F47" s="7">
        <v>3</v>
      </c>
      <c r="G47" s="4">
        <v>71276</v>
      </c>
      <c r="H47" s="4">
        <v>-35464</v>
      </c>
      <c r="I47" s="4">
        <v>83541</v>
      </c>
      <c r="J47" s="4">
        <v>88386</v>
      </c>
      <c r="K47" s="8">
        <v>134444</v>
      </c>
      <c r="L47" s="8">
        <v>68133</v>
      </c>
      <c r="M47" s="8">
        <v>146519</v>
      </c>
      <c r="N47" s="8">
        <v>165573</v>
      </c>
      <c r="O47" s="8">
        <v>190507</v>
      </c>
      <c r="P47" s="4">
        <v>104783</v>
      </c>
      <c r="Q47" s="4">
        <v>184329</v>
      </c>
      <c r="R47" s="4">
        <v>180881</v>
      </c>
      <c r="S47" s="4">
        <v>218719</v>
      </c>
      <c r="T47" s="4">
        <v>118866</v>
      </c>
      <c r="U47" s="4">
        <v>221226</v>
      </c>
      <c r="V47" s="4">
        <v>232826</v>
      </c>
      <c r="W47" s="4">
        <v>242711</v>
      </c>
      <c r="X47" s="9">
        <v>2.0448315115752399E-2</v>
      </c>
      <c r="Y47" s="11">
        <v>5.2500373508633347E-2</v>
      </c>
      <c r="Z47" s="11">
        <v>7.0225174802485357E-2</v>
      </c>
      <c r="AA47" s="11">
        <v>3.0306819918725299E-2</v>
      </c>
    </row>
    <row r="48" spans="2:27">
      <c r="B48" s="3">
        <v>2222</v>
      </c>
      <c r="C48" s="3" t="s">
        <v>666</v>
      </c>
      <c r="D48" s="3" t="s">
        <v>667</v>
      </c>
      <c r="E48" s="3" t="s">
        <v>646</v>
      </c>
      <c r="F48" s="7">
        <v>2.9</v>
      </c>
      <c r="G48" s="4">
        <v>2279</v>
      </c>
      <c r="H48" s="4">
        <v>539</v>
      </c>
      <c r="I48" s="4">
        <v>1151</v>
      </c>
      <c r="J48" s="4">
        <v>1679</v>
      </c>
      <c r="K48" s="8">
        <v>4027</v>
      </c>
      <c r="L48" s="8">
        <v>3093</v>
      </c>
      <c r="M48" s="8">
        <v>3059</v>
      </c>
      <c r="N48" s="8">
        <v>3564</v>
      </c>
      <c r="O48" s="4">
        <v>5112</v>
      </c>
      <c r="P48" s="4">
        <v>4044</v>
      </c>
      <c r="Q48" s="4">
        <v>3428</v>
      </c>
      <c r="R48" s="4">
        <v>4050</v>
      </c>
      <c r="S48" s="4">
        <v>6068</v>
      </c>
      <c r="T48" s="4">
        <v>4064</v>
      </c>
      <c r="U48" s="4">
        <v>3441</v>
      </c>
      <c r="V48" s="4">
        <v>3999</v>
      </c>
      <c r="W48" s="4">
        <v>6573</v>
      </c>
      <c r="X48" s="9">
        <v>1.137009664582189E-3</v>
      </c>
      <c r="Y48" s="11">
        <v>7.3821692220321644E-4</v>
      </c>
      <c r="Z48" s="11">
        <v>-2.8939454122454129E-3</v>
      </c>
      <c r="AA48" s="11">
        <v>2.873890279990898E-2</v>
      </c>
    </row>
    <row r="49" spans="2:27">
      <c r="B49" s="3">
        <v>3024</v>
      </c>
      <c r="C49" s="3" t="s">
        <v>666</v>
      </c>
      <c r="D49" s="3" t="s">
        <v>667</v>
      </c>
      <c r="E49" s="3" t="s">
        <v>642</v>
      </c>
      <c r="F49" s="7">
        <v>1.9</v>
      </c>
      <c r="G49" s="4">
        <v>13</v>
      </c>
      <c r="H49" s="4">
        <v>189</v>
      </c>
      <c r="I49" s="4">
        <v>118</v>
      </c>
      <c r="J49" s="4">
        <v>107</v>
      </c>
      <c r="K49" s="8">
        <v>188</v>
      </c>
      <c r="L49" s="4">
        <v>214</v>
      </c>
      <c r="M49" s="4">
        <v>171</v>
      </c>
      <c r="N49" s="4">
        <v>-49</v>
      </c>
      <c r="O49" s="4">
        <v>140</v>
      </c>
      <c r="P49" s="8">
        <v>334</v>
      </c>
      <c r="Q49" s="4">
        <v>-12</v>
      </c>
      <c r="R49" s="8">
        <v>75</v>
      </c>
      <c r="S49" s="4">
        <v>144</v>
      </c>
      <c r="T49" s="4">
        <v>328</v>
      </c>
      <c r="U49" s="8">
        <v>222</v>
      </c>
      <c r="V49" s="4">
        <v>134</v>
      </c>
      <c r="W49" s="4">
        <v>160</v>
      </c>
      <c r="X49" s="9">
        <v>-1.1090573012939029E-2</v>
      </c>
      <c r="Y49" s="10">
        <v>0.43738317757009337</v>
      </c>
      <c r="Z49" s="11">
        <v>7.6723016905071439E-2</v>
      </c>
      <c r="AA49" s="11">
        <v>1.932367149758463E-2</v>
      </c>
    </row>
    <row r="50" spans="2:27">
      <c r="B50" s="3">
        <v>4768</v>
      </c>
      <c r="C50" s="3" t="s">
        <v>666</v>
      </c>
      <c r="D50" s="3" t="s">
        <v>667</v>
      </c>
      <c r="E50" s="3" t="s">
        <v>639</v>
      </c>
      <c r="F50" s="7">
        <v>1.5</v>
      </c>
      <c r="G50" s="4">
        <v>11293</v>
      </c>
      <c r="H50" s="4">
        <v>13787</v>
      </c>
      <c r="I50" s="4">
        <v>16992</v>
      </c>
      <c r="J50" s="4">
        <v>11997</v>
      </c>
      <c r="K50" s="4">
        <v>11997</v>
      </c>
      <c r="L50" s="4">
        <v>16876</v>
      </c>
      <c r="M50" s="4">
        <v>19837</v>
      </c>
      <c r="N50" s="4">
        <v>10678</v>
      </c>
      <c r="O50" s="4">
        <v>15574</v>
      </c>
      <c r="P50" s="4">
        <v>17243</v>
      </c>
      <c r="Q50" s="4">
        <v>21601</v>
      </c>
      <c r="R50" s="4">
        <v>13326</v>
      </c>
      <c r="S50" s="4">
        <v>22047</v>
      </c>
      <c r="T50" s="4">
        <v>21176</v>
      </c>
      <c r="U50" s="4">
        <v>27998</v>
      </c>
      <c r="V50" s="4">
        <v>17357</v>
      </c>
      <c r="W50" s="4">
        <v>23413</v>
      </c>
      <c r="X50" s="9">
        <v>5.2993249525041357E-2</v>
      </c>
      <c r="Y50" s="11">
        <v>8.1855406269993658E-2</v>
      </c>
      <c r="Z50" s="11">
        <v>4.7677623097212241E-2</v>
      </c>
      <c r="AA50" s="11">
        <v>1.542143647406813E-2</v>
      </c>
    </row>
    <row r="51" spans="2:27">
      <c r="B51" s="3">
        <v>8601</v>
      </c>
      <c r="C51" s="3" t="s">
        <v>666</v>
      </c>
      <c r="D51" s="3" t="s">
        <v>667</v>
      </c>
      <c r="E51" s="3" t="s">
        <v>642</v>
      </c>
      <c r="F51" s="7">
        <v>0.9</v>
      </c>
      <c r="G51" s="4">
        <v>56158</v>
      </c>
      <c r="H51" s="4">
        <v>68276</v>
      </c>
      <c r="I51" s="4">
        <v>53515</v>
      </c>
      <c r="J51" s="4">
        <v>49366</v>
      </c>
      <c r="K51" s="8">
        <v>93611</v>
      </c>
      <c r="L51" s="8">
        <v>133122</v>
      </c>
      <c r="M51" s="8">
        <v>192039</v>
      </c>
      <c r="N51" s="8">
        <v>162882</v>
      </c>
      <c r="O51" s="8">
        <v>197335</v>
      </c>
      <c r="P51" s="8">
        <v>225544</v>
      </c>
      <c r="Q51" s="4">
        <v>254516</v>
      </c>
      <c r="R51" s="4">
        <v>34552</v>
      </c>
      <c r="S51" s="4">
        <v>41008</v>
      </c>
      <c r="T51" s="4">
        <v>37040</v>
      </c>
      <c r="U51" s="8">
        <v>781179</v>
      </c>
      <c r="V51" s="4">
        <v>35094</v>
      </c>
      <c r="W51" s="4">
        <v>48910</v>
      </c>
      <c r="X51" s="9">
        <v>-0.33926784492998813</v>
      </c>
      <c r="Y51" s="10">
        <v>1.434595604659018</v>
      </c>
      <c r="Z51" s="11">
        <v>6.0641388978699418E-4</v>
      </c>
      <c r="AA51" s="11">
        <v>8.8357536052490193E-3</v>
      </c>
    </row>
    <row r="52" spans="2:27">
      <c r="B52" s="3">
        <v>8081</v>
      </c>
      <c r="C52" s="3" t="s">
        <v>666</v>
      </c>
      <c r="D52" s="3" t="s">
        <v>667</v>
      </c>
      <c r="E52" s="3" t="s">
        <v>642</v>
      </c>
      <c r="F52" s="7">
        <v>0.6</v>
      </c>
      <c r="G52" s="4">
        <v>732</v>
      </c>
      <c r="H52" s="4">
        <v>396</v>
      </c>
      <c r="I52" s="4">
        <v>1614</v>
      </c>
      <c r="J52" s="4">
        <v>139</v>
      </c>
      <c r="K52" s="8">
        <v>1186</v>
      </c>
      <c r="L52" s="8">
        <v>803</v>
      </c>
      <c r="M52" s="4">
        <v>1840</v>
      </c>
      <c r="N52" s="4">
        <v>522</v>
      </c>
      <c r="O52" s="4">
        <v>1324</v>
      </c>
      <c r="P52" s="4">
        <v>754</v>
      </c>
      <c r="Q52" s="4">
        <v>1945</v>
      </c>
      <c r="R52" s="4">
        <v>338</v>
      </c>
      <c r="S52" s="4">
        <v>1180</v>
      </c>
      <c r="T52" s="4">
        <v>507</v>
      </c>
      <c r="U52" s="8">
        <v>2476</v>
      </c>
      <c r="V52" s="4">
        <v>470</v>
      </c>
      <c r="W52" s="4">
        <v>1206</v>
      </c>
      <c r="X52" s="9">
        <v>-5.8572444866018543E-2</v>
      </c>
      <c r="Y52" s="10">
        <v>0.13375314861460949</v>
      </c>
      <c r="Z52" s="11">
        <v>2.9326816263052669E-2</v>
      </c>
      <c r="AA52" s="11">
        <v>5.6119145262250036E-3</v>
      </c>
    </row>
    <row r="53" spans="2:27">
      <c r="B53" s="3">
        <v>9020</v>
      </c>
      <c r="C53" s="3" t="s">
        <v>666</v>
      </c>
      <c r="D53" s="3" t="s">
        <v>667</v>
      </c>
      <c r="E53" s="3" t="s">
        <v>646</v>
      </c>
      <c r="F53" s="7">
        <v>0.3</v>
      </c>
      <c r="G53" s="4">
        <v>73356</v>
      </c>
      <c r="H53" s="4">
        <v>-111402</v>
      </c>
      <c r="I53" s="4">
        <v>40298</v>
      </c>
      <c r="J53" s="4">
        <v>26413</v>
      </c>
      <c r="K53" s="4">
        <v>45297</v>
      </c>
      <c r="L53" s="8">
        <v>28622</v>
      </c>
      <c r="M53" s="8">
        <v>80176</v>
      </c>
      <c r="N53" s="8">
        <v>111622</v>
      </c>
      <c r="O53" s="8">
        <v>106713</v>
      </c>
      <c r="P53" s="4">
        <v>46651</v>
      </c>
      <c r="Q53" s="8">
        <v>120531</v>
      </c>
      <c r="R53" s="4">
        <v>115075</v>
      </c>
      <c r="S53" s="4">
        <v>116948</v>
      </c>
      <c r="T53" s="4">
        <v>24233</v>
      </c>
      <c r="U53" s="4">
        <v>114787</v>
      </c>
      <c r="V53" s="4">
        <v>116694</v>
      </c>
      <c r="W53" s="4">
        <v>118134</v>
      </c>
      <c r="X53" s="9">
        <v>-5.6156611264888912E-2</v>
      </c>
      <c r="Y53" s="11">
        <v>-1.524468731670681E-2</v>
      </c>
      <c r="Z53" s="11">
        <v>4.3633756734393634E-3</v>
      </c>
      <c r="AA53" s="11">
        <v>3.182508546618612E-3</v>
      </c>
    </row>
    <row r="54" spans="2:27">
      <c r="B54" s="3">
        <v>3433</v>
      </c>
      <c r="C54" s="3" t="s">
        <v>666</v>
      </c>
      <c r="D54" s="3" t="s">
        <v>667</v>
      </c>
      <c r="E54" s="3" t="s">
        <v>642</v>
      </c>
      <c r="F54" s="7">
        <v>-0.1</v>
      </c>
      <c r="G54" s="4">
        <v>2351</v>
      </c>
      <c r="H54" s="4">
        <v>2443</v>
      </c>
      <c r="I54" s="4">
        <v>2702</v>
      </c>
      <c r="J54" s="4">
        <v>2724</v>
      </c>
      <c r="K54" s="4">
        <v>2858</v>
      </c>
      <c r="L54" s="4">
        <v>2642</v>
      </c>
      <c r="M54" s="4">
        <v>2335</v>
      </c>
      <c r="N54" s="4">
        <v>2270</v>
      </c>
      <c r="O54" s="4">
        <v>2027</v>
      </c>
      <c r="P54" s="4">
        <v>2108</v>
      </c>
      <c r="Q54" s="4">
        <v>2793</v>
      </c>
      <c r="R54" s="4">
        <v>2688</v>
      </c>
      <c r="S54" s="4">
        <v>2696</v>
      </c>
      <c r="T54" s="4">
        <v>3107</v>
      </c>
      <c r="U54" s="4">
        <v>3781</v>
      </c>
      <c r="V54" s="4">
        <v>3838</v>
      </c>
      <c r="W54" s="4">
        <v>2682</v>
      </c>
      <c r="X54" s="9">
        <v>9.7131745260087499E-2</v>
      </c>
      <c r="Y54" s="11">
        <v>8.7557603686635899E-2</v>
      </c>
      <c r="Z54" s="11">
        <v>9.3709256844850097E-2</v>
      </c>
      <c r="AA54" s="11">
        <v>-1.0430636268812239E-3</v>
      </c>
    </row>
    <row r="55" spans="2:27">
      <c r="B55" s="3">
        <v>9532</v>
      </c>
      <c r="C55" s="3" t="s">
        <v>666</v>
      </c>
      <c r="D55" s="3" t="s">
        <v>667</v>
      </c>
      <c r="E55" s="3" t="s">
        <v>646</v>
      </c>
      <c r="F55" s="7">
        <v>-0.2</v>
      </c>
      <c r="G55" s="4">
        <v>2137</v>
      </c>
      <c r="H55" s="4">
        <v>52229</v>
      </c>
      <c r="I55" s="4">
        <v>7367</v>
      </c>
      <c r="J55" s="4">
        <v>-53057</v>
      </c>
      <c r="K55" s="8">
        <v>30763</v>
      </c>
      <c r="L55" s="8">
        <v>74929</v>
      </c>
      <c r="M55" s="8">
        <v>73664</v>
      </c>
      <c r="N55" s="8">
        <v>23068</v>
      </c>
      <c r="O55" s="4">
        <v>43961</v>
      </c>
      <c r="P55" s="4">
        <v>31862</v>
      </c>
      <c r="Q55" s="4">
        <v>28750</v>
      </c>
      <c r="R55" s="4">
        <v>26191</v>
      </c>
      <c r="S55" s="4">
        <v>44567</v>
      </c>
      <c r="T55" s="8">
        <v>61224</v>
      </c>
      <c r="U55" s="8">
        <v>47680</v>
      </c>
      <c r="V55" s="4">
        <v>41990</v>
      </c>
      <c r="W55" s="4">
        <v>44079</v>
      </c>
      <c r="X55" s="13">
        <v>0.22350612773083661</v>
      </c>
      <c r="Y55" s="10">
        <v>0.11777368538934389</v>
      </c>
      <c r="Z55" s="11">
        <v>8.7937349022052524E-2</v>
      </c>
      <c r="AA55" s="11">
        <v>-2.4966617381472211E-3</v>
      </c>
    </row>
    <row r="56" spans="2:27">
      <c r="B56" s="3">
        <v>3132</v>
      </c>
      <c r="C56" s="3" t="s">
        <v>666</v>
      </c>
      <c r="D56" s="3" t="s">
        <v>667</v>
      </c>
      <c r="E56" s="3" t="s">
        <v>642</v>
      </c>
      <c r="F56" s="7">
        <v>-2.8</v>
      </c>
      <c r="G56" s="4">
        <v>8130</v>
      </c>
      <c r="H56" s="4">
        <v>9939</v>
      </c>
      <c r="I56" s="4">
        <v>11435</v>
      </c>
      <c r="J56" s="4">
        <v>12266</v>
      </c>
      <c r="K56" s="8">
        <v>14536</v>
      </c>
      <c r="L56" s="8">
        <v>18493</v>
      </c>
      <c r="M56" s="4">
        <v>16353</v>
      </c>
      <c r="N56" s="8">
        <v>20654</v>
      </c>
      <c r="O56" s="4">
        <v>17346</v>
      </c>
      <c r="P56" s="4">
        <v>13311</v>
      </c>
      <c r="Q56" s="4">
        <v>12422</v>
      </c>
      <c r="R56" s="4">
        <v>12048</v>
      </c>
      <c r="S56" s="4">
        <v>10329</v>
      </c>
      <c r="T56" s="4">
        <v>10841</v>
      </c>
      <c r="U56" s="4">
        <v>6432</v>
      </c>
      <c r="V56" s="4">
        <v>8198</v>
      </c>
      <c r="W56" s="4">
        <v>9309</v>
      </c>
      <c r="X56" s="9">
        <v>-5.1340677613801677E-2</v>
      </c>
      <c r="Y56" s="11">
        <v>-0.13124452234881681</v>
      </c>
      <c r="Z56" s="11">
        <v>-9.7099621689785587E-2</v>
      </c>
      <c r="AA56" s="11">
        <v>-2.84916201117319E-2</v>
      </c>
    </row>
    <row r="57" spans="2:27">
      <c r="B57" s="3">
        <v>6908</v>
      </c>
      <c r="C57" s="3" t="s">
        <v>666</v>
      </c>
      <c r="D57" s="3" t="s">
        <v>667</v>
      </c>
      <c r="E57" s="3" t="s">
        <v>642</v>
      </c>
      <c r="F57" s="7">
        <v>-4.5999999999999996</v>
      </c>
      <c r="G57" s="4">
        <v>1263</v>
      </c>
      <c r="H57" s="4">
        <v>860</v>
      </c>
      <c r="I57" s="4">
        <v>1134</v>
      </c>
      <c r="J57" s="4">
        <v>1399</v>
      </c>
      <c r="K57" s="4">
        <v>1665</v>
      </c>
      <c r="L57" s="8">
        <v>2179</v>
      </c>
      <c r="M57" s="4">
        <v>1698</v>
      </c>
      <c r="N57" s="4">
        <v>968</v>
      </c>
      <c r="O57" s="8">
        <v>2349</v>
      </c>
      <c r="P57" s="4">
        <v>1476</v>
      </c>
      <c r="Q57" s="4">
        <v>1145</v>
      </c>
      <c r="R57" s="4">
        <v>191</v>
      </c>
      <c r="S57" s="4">
        <v>1929</v>
      </c>
      <c r="T57" s="4">
        <v>1762</v>
      </c>
      <c r="U57" s="4">
        <v>1426</v>
      </c>
      <c r="V57" s="8">
        <v>1070</v>
      </c>
      <c r="W57" s="4">
        <v>1647</v>
      </c>
      <c r="X57" s="9">
        <v>6.0324825986078912E-2</v>
      </c>
      <c r="Y57" s="11">
        <v>5.5898149990053707E-2</v>
      </c>
      <c r="Z57" s="10">
        <v>0.16559909570459669</v>
      </c>
      <c r="AA57" s="11">
        <v>-4.5579440762889889E-2</v>
      </c>
    </row>
    <row r="58" spans="2:27">
      <c r="B58" s="3">
        <v>8370</v>
      </c>
      <c r="C58" s="3" t="s">
        <v>666</v>
      </c>
      <c r="D58" s="3" t="s">
        <v>667</v>
      </c>
      <c r="E58" s="3" t="s">
        <v>642</v>
      </c>
      <c r="F58" s="7">
        <v>-5</v>
      </c>
      <c r="G58" s="4">
        <v>5402</v>
      </c>
      <c r="H58" s="4">
        <v>7447</v>
      </c>
      <c r="I58" s="4">
        <v>3014</v>
      </c>
      <c r="J58" s="4">
        <v>6694</v>
      </c>
      <c r="K58" s="4">
        <v>6340</v>
      </c>
      <c r="L58" s="4">
        <v>6734</v>
      </c>
      <c r="M58" s="4">
        <v>-14901</v>
      </c>
      <c r="N58" s="4">
        <v>4787</v>
      </c>
      <c r="O58" s="4">
        <v>4747</v>
      </c>
      <c r="P58" s="4">
        <v>5654</v>
      </c>
      <c r="Q58" s="8">
        <v>4845</v>
      </c>
      <c r="R58" s="4">
        <v>5175</v>
      </c>
      <c r="S58" s="4">
        <v>5267</v>
      </c>
      <c r="T58" s="4">
        <v>6006</v>
      </c>
      <c r="U58" s="4">
        <v>6925</v>
      </c>
      <c r="V58" s="4">
        <v>6407</v>
      </c>
      <c r="W58" s="4">
        <v>4039</v>
      </c>
      <c r="X58" s="9">
        <v>1.680913041402032E-2</v>
      </c>
      <c r="Y58" s="11">
        <v>9.7684685107781943E-2</v>
      </c>
      <c r="Z58" s="11">
        <v>5.2710392333033873E-2</v>
      </c>
      <c r="AA58" s="11">
        <v>-4.9908555171713109E-2</v>
      </c>
    </row>
    <row r="59" spans="2:27">
      <c r="B59" s="3">
        <v>7224</v>
      </c>
      <c r="C59" s="3" t="s">
        <v>666</v>
      </c>
      <c r="D59" s="3" t="s">
        <v>667</v>
      </c>
      <c r="E59" s="3" t="s">
        <v>642</v>
      </c>
      <c r="F59" s="7">
        <v>-5.4</v>
      </c>
      <c r="G59" s="4">
        <v>3039</v>
      </c>
      <c r="H59" s="4">
        <v>2687</v>
      </c>
      <c r="I59" s="4">
        <v>3443</v>
      </c>
      <c r="J59" s="4">
        <v>793</v>
      </c>
      <c r="K59" s="4">
        <v>2413</v>
      </c>
      <c r="L59" s="4">
        <v>2799</v>
      </c>
      <c r="M59" s="4">
        <v>3290</v>
      </c>
      <c r="N59" s="4">
        <v>638</v>
      </c>
      <c r="O59" s="8">
        <v>3794</v>
      </c>
      <c r="P59" s="4">
        <v>1869</v>
      </c>
      <c r="Q59" s="8">
        <v>5464</v>
      </c>
      <c r="R59" s="8">
        <v>1843</v>
      </c>
      <c r="S59" s="4">
        <v>3880</v>
      </c>
      <c r="T59" s="4">
        <v>2596</v>
      </c>
      <c r="U59" s="4">
        <v>5651</v>
      </c>
      <c r="V59" s="4">
        <v>1427</v>
      </c>
      <c r="W59" s="4">
        <v>3151</v>
      </c>
      <c r="X59" s="9">
        <v>5.5683210784313708E-2</v>
      </c>
      <c r="Y59" s="11">
        <v>1.356743814844363E-2</v>
      </c>
      <c r="Z59" s="11">
        <v>-2.9778095919828159E-2</v>
      </c>
      <c r="AA59" s="11">
        <v>-5.3784860557768877E-2</v>
      </c>
    </row>
    <row r="60" spans="2:27">
      <c r="B60" s="3">
        <v>2281</v>
      </c>
      <c r="C60" s="3" t="s">
        <v>666</v>
      </c>
      <c r="D60" s="3" t="s">
        <v>667</v>
      </c>
      <c r="E60" s="3" t="s">
        <v>642</v>
      </c>
      <c r="F60" s="7">
        <v>-5.6</v>
      </c>
      <c r="G60" s="4">
        <v>3285</v>
      </c>
      <c r="H60" s="4">
        <v>3521</v>
      </c>
      <c r="I60" s="4">
        <v>1450</v>
      </c>
      <c r="J60" s="4">
        <v>3406</v>
      </c>
      <c r="K60" s="4">
        <v>2066</v>
      </c>
      <c r="L60" s="4">
        <v>3291</v>
      </c>
      <c r="M60" s="4">
        <v>919</v>
      </c>
      <c r="N60" s="4">
        <v>3608</v>
      </c>
      <c r="O60" s="8">
        <v>3223</v>
      </c>
      <c r="P60" s="4">
        <v>3561</v>
      </c>
      <c r="Q60" s="4">
        <v>1428</v>
      </c>
      <c r="R60" s="4">
        <v>3347</v>
      </c>
      <c r="S60" s="4">
        <v>2839</v>
      </c>
      <c r="T60" s="4">
        <v>2088</v>
      </c>
      <c r="U60" s="4">
        <v>675</v>
      </c>
      <c r="V60" s="4">
        <v>2530</v>
      </c>
      <c r="W60" s="4">
        <v>2381</v>
      </c>
      <c r="X60" s="9">
        <v>-0.13181208053691271</v>
      </c>
      <c r="Y60" s="11">
        <v>-7.7612863327149006E-2</v>
      </c>
      <c r="Z60" s="11">
        <v>-9.1295116772823759E-2</v>
      </c>
      <c r="AA60" s="11">
        <v>-5.6320708312838197E-2</v>
      </c>
    </row>
    <row r="61" spans="2:27">
      <c r="B61" s="3">
        <v>7480</v>
      </c>
      <c r="C61" s="3" t="s">
        <v>666</v>
      </c>
      <c r="D61" s="3" t="s">
        <v>667</v>
      </c>
      <c r="E61" s="3" t="s">
        <v>642</v>
      </c>
      <c r="F61" s="7">
        <v>-6</v>
      </c>
      <c r="G61" s="4">
        <v>719</v>
      </c>
      <c r="H61" s="4">
        <v>761</v>
      </c>
      <c r="I61" s="4">
        <v>1123</v>
      </c>
      <c r="J61" s="4">
        <v>949</v>
      </c>
      <c r="K61" s="8">
        <v>1240</v>
      </c>
      <c r="L61" s="4">
        <v>1113</v>
      </c>
      <c r="M61" s="4">
        <v>1097</v>
      </c>
      <c r="N61" s="4">
        <v>806</v>
      </c>
      <c r="O61" s="4">
        <v>729</v>
      </c>
      <c r="P61" s="4">
        <v>676</v>
      </c>
      <c r="Q61" s="4">
        <v>576</v>
      </c>
      <c r="R61" s="4">
        <v>489</v>
      </c>
      <c r="S61" s="4">
        <v>630</v>
      </c>
      <c r="T61" s="4">
        <v>669</v>
      </c>
      <c r="U61" s="4">
        <v>635</v>
      </c>
      <c r="V61" s="4">
        <v>382</v>
      </c>
      <c r="W61" s="4">
        <v>491</v>
      </c>
      <c r="X61" s="9">
        <v>-2.9523407844791461E-3</v>
      </c>
      <c r="Y61" s="11">
        <v>2.4957698815566861E-2</v>
      </c>
      <c r="Z61" s="11">
        <v>-4.4160132067684647E-2</v>
      </c>
      <c r="AA61" s="11">
        <v>-6.0017271157167477E-2</v>
      </c>
    </row>
    <row r="62" spans="2:27">
      <c r="B62" s="3">
        <v>9990</v>
      </c>
      <c r="C62" s="3" t="s">
        <v>666</v>
      </c>
      <c r="D62" s="3" t="s">
        <v>667</v>
      </c>
      <c r="E62" s="3" t="s">
        <v>642</v>
      </c>
      <c r="F62" s="7">
        <v>-7.5</v>
      </c>
      <c r="G62" s="4">
        <v>-680</v>
      </c>
      <c r="H62" s="4">
        <v>104</v>
      </c>
      <c r="I62" s="4">
        <v>315</v>
      </c>
      <c r="J62" s="4">
        <v>218</v>
      </c>
      <c r="K62" s="4">
        <v>310</v>
      </c>
      <c r="L62" s="8">
        <v>860</v>
      </c>
      <c r="M62" s="8">
        <v>1096</v>
      </c>
      <c r="N62" s="8">
        <v>832</v>
      </c>
      <c r="O62" s="8">
        <v>908</v>
      </c>
      <c r="P62" s="4">
        <v>876</v>
      </c>
      <c r="Q62" s="4">
        <v>1148</v>
      </c>
      <c r="R62" s="4">
        <v>810</v>
      </c>
      <c r="S62" s="4">
        <v>1096</v>
      </c>
      <c r="T62" s="4">
        <v>971.94</v>
      </c>
      <c r="U62" s="4">
        <v>1162</v>
      </c>
      <c r="V62" s="4">
        <v>557.80999999999995</v>
      </c>
      <c r="W62" s="4">
        <v>810.19</v>
      </c>
      <c r="X62" s="9">
        <v>2.44122137404581E-2</v>
      </c>
      <c r="Y62" s="11">
        <v>3.477448744889422E-3</v>
      </c>
      <c r="Z62" s="11">
        <v>-6.242419441872904E-2</v>
      </c>
      <c r="AA62" s="11">
        <v>-7.5456405517787539E-2</v>
      </c>
    </row>
    <row r="63" spans="2:27">
      <c r="B63" s="3">
        <v>6981</v>
      </c>
      <c r="C63" s="3" t="s">
        <v>666</v>
      </c>
      <c r="D63" s="3" t="s">
        <v>667</v>
      </c>
      <c r="E63" s="3" t="s">
        <v>646</v>
      </c>
      <c r="F63" s="7">
        <v>-12.4</v>
      </c>
      <c r="G63" s="4">
        <v>113919</v>
      </c>
      <c r="H63" s="4">
        <v>91283</v>
      </c>
      <c r="I63" s="4">
        <v>88613</v>
      </c>
      <c r="J63" s="4">
        <v>106361</v>
      </c>
      <c r="K63" s="4">
        <v>77285</v>
      </c>
      <c r="L63" s="4">
        <v>26207</v>
      </c>
      <c r="M63" s="4">
        <v>50111</v>
      </c>
      <c r="N63" s="4">
        <v>88811</v>
      </c>
      <c r="O63" s="4">
        <v>76197</v>
      </c>
      <c r="P63" s="4">
        <v>45869</v>
      </c>
      <c r="Q63" s="4">
        <v>66375</v>
      </c>
      <c r="R63" s="4">
        <v>91797</v>
      </c>
      <c r="S63" s="4">
        <v>75989</v>
      </c>
      <c r="T63" s="4">
        <v>65600</v>
      </c>
      <c r="U63" s="4">
        <v>61621</v>
      </c>
      <c r="V63" s="4">
        <v>103515</v>
      </c>
      <c r="W63" s="4">
        <v>37876</v>
      </c>
      <c r="X63" s="9">
        <v>7.0460307824161683E-2</v>
      </c>
      <c r="Y63" s="11">
        <v>-1.5859301243323801E-2</v>
      </c>
      <c r="Z63" s="11">
        <v>3.9721091363933647E-2</v>
      </c>
      <c r="AA63" s="11">
        <v>-0.1242578857282582</v>
      </c>
    </row>
    <row r="64" spans="2:27">
      <c r="B64" s="3">
        <v>5992</v>
      </c>
      <c r="C64" s="3" t="s">
        <v>666</v>
      </c>
      <c r="D64" s="3" t="s">
        <v>667</v>
      </c>
      <c r="E64" s="3" t="s">
        <v>646</v>
      </c>
      <c r="F64" s="7">
        <v>-15.6</v>
      </c>
      <c r="G64" s="4">
        <v>809</v>
      </c>
      <c r="H64" s="4">
        <v>786</v>
      </c>
      <c r="I64" s="4">
        <v>-391</v>
      </c>
      <c r="J64" s="4">
        <v>732</v>
      </c>
      <c r="K64" s="4">
        <v>144</v>
      </c>
      <c r="L64" s="4">
        <v>-149</v>
      </c>
      <c r="M64" s="8">
        <v>-54</v>
      </c>
      <c r="N64" s="4">
        <v>735</v>
      </c>
      <c r="O64" s="8">
        <v>311</v>
      </c>
      <c r="P64" s="8">
        <v>69</v>
      </c>
      <c r="Q64" s="8">
        <v>136</v>
      </c>
      <c r="R64" s="8">
        <v>1625</v>
      </c>
      <c r="S64" s="8">
        <v>1235</v>
      </c>
      <c r="T64" s="8">
        <v>1383</v>
      </c>
      <c r="U64" s="8">
        <v>602</v>
      </c>
      <c r="V64" s="4">
        <v>893</v>
      </c>
      <c r="W64" s="4">
        <v>592</v>
      </c>
      <c r="X64" s="13">
        <v>0.42871125611745509</v>
      </c>
      <c r="Y64" s="10">
        <v>0.1064169901804064</v>
      </c>
      <c r="Z64" s="11">
        <v>-0.15108359133126939</v>
      </c>
      <c r="AA64" s="11">
        <v>-0.15633357646486751</v>
      </c>
    </row>
    <row r="65" spans="2:27">
      <c r="B65" s="3">
        <v>7883</v>
      </c>
      <c r="C65" s="3" t="s">
        <v>666</v>
      </c>
      <c r="D65" s="3" t="s">
        <v>667</v>
      </c>
      <c r="E65" s="3" t="s">
        <v>646</v>
      </c>
      <c r="F65" s="7">
        <v>-62.3</v>
      </c>
      <c r="G65" s="4">
        <v>60</v>
      </c>
      <c r="H65" s="4">
        <v>254</v>
      </c>
      <c r="I65" s="4">
        <v>41</v>
      </c>
      <c r="J65" s="4">
        <v>-31</v>
      </c>
      <c r="K65" s="8">
        <v>119</v>
      </c>
      <c r="L65" s="4">
        <v>112</v>
      </c>
      <c r="M65" s="8">
        <v>138</v>
      </c>
      <c r="N65" s="4">
        <v>-60</v>
      </c>
      <c r="O65" s="4">
        <v>65</v>
      </c>
      <c r="P65" s="4">
        <v>115</v>
      </c>
      <c r="Q65" s="8">
        <v>190</v>
      </c>
      <c r="R65" s="4">
        <v>-129</v>
      </c>
      <c r="S65" s="4">
        <v>89</v>
      </c>
      <c r="T65" s="4">
        <v>-15</v>
      </c>
      <c r="U65" s="8">
        <v>269</v>
      </c>
      <c r="V65" s="4">
        <v>-184</v>
      </c>
      <c r="W65" s="4">
        <v>-10</v>
      </c>
      <c r="X65" s="9">
        <v>-0.49056603773584911</v>
      </c>
      <c r="Y65" s="10">
        <v>0.58518518518518525</v>
      </c>
      <c r="Z65" s="11">
        <v>-0.2570093457943925</v>
      </c>
      <c r="AA65" s="11">
        <v>-0.62264150943396224</v>
      </c>
    </row>
    <row r="66" spans="2:27">
      <c r="B66" s="3" t="s">
        <v>696</v>
      </c>
      <c r="C66" s="3" t="s">
        <v>668</v>
      </c>
      <c r="D66" s="3" t="s">
        <v>667</v>
      </c>
      <c r="E66" s="3" t="s">
        <v>646</v>
      </c>
      <c r="F66" s="7">
        <v>155.69999999999999</v>
      </c>
      <c r="G66" s="4">
        <v>-3280</v>
      </c>
      <c r="H66" s="4">
        <v>-2669</v>
      </c>
      <c r="I66" s="4">
        <v>-2475</v>
      </c>
      <c r="J66" s="4">
        <v>-2416</v>
      </c>
      <c r="K66" s="4">
        <v>-1507</v>
      </c>
      <c r="L66" s="4">
        <v>-854.94</v>
      </c>
      <c r="M66" s="4">
        <v>-966.21</v>
      </c>
      <c r="N66" s="4">
        <v>-1114</v>
      </c>
      <c r="O66" s="4">
        <v>-485.8</v>
      </c>
      <c r="P66" s="4">
        <v>-183.38</v>
      </c>
      <c r="Q66" s="4">
        <v>-642.70000000000005</v>
      </c>
      <c r="R66" s="4">
        <v>-371.8</v>
      </c>
      <c r="S66" s="4">
        <v>-58.9</v>
      </c>
      <c r="T66" s="4">
        <v>795.8</v>
      </c>
      <c r="U66" s="4">
        <v>9.1</v>
      </c>
      <c r="V66" s="8">
        <v>639.6</v>
      </c>
      <c r="W66" s="8">
        <v>2099</v>
      </c>
      <c r="X66" s="9">
        <v>-0.77911806362290925</v>
      </c>
      <c r="Y66" s="11">
        <v>-2.3479827089337171</v>
      </c>
      <c r="Z66" s="10">
        <v>2.702832709780866</v>
      </c>
      <c r="AA66" s="10">
        <v>1.5573758660508079</v>
      </c>
    </row>
    <row r="67" spans="2:27">
      <c r="B67" s="3" t="s">
        <v>697</v>
      </c>
      <c r="C67" s="3" t="s">
        <v>668</v>
      </c>
      <c r="D67" s="3" t="s">
        <v>667</v>
      </c>
      <c r="E67" s="3" t="s">
        <v>642</v>
      </c>
      <c r="F67" s="7">
        <v>135</v>
      </c>
      <c r="G67" s="4">
        <v>51.06</v>
      </c>
      <c r="H67" s="4">
        <v>7.48</v>
      </c>
      <c r="I67" s="4">
        <v>26.29</v>
      </c>
      <c r="J67" s="4">
        <v>52.18</v>
      </c>
      <c r="K67" s="4">
        <v>56.45</v>
      </c>
      <c r="L67" s="8">
        <v>28.41</v>
      </c>
      <c r="M67" s="4">
        <v>12.36</v>
      </c>
      <c r="N67" s="4">
        <v>54.96</v>
      </c>
      <c r="O67" s="4">
        <v>33.26</v>
      </c>
      <c r="P67" s="4">
        <v>11.86</v>
      </c>
      <c r="Q67" s="8">
        <v>31.48</v>
      </c>
      <c r="R67" s="4">
        <v>52.07</v>
      </c>
      <c r="S67" s="8">
        <v>57.11</v>
      </c>
      <c r="T67" s="4">
        <v>-54.04</v>
      </c>
      <c r="U67" s="4">
        <v>-30.1</v>
      </c>
      <c r="V67" s="8">
        <v>87.66</v>
      </c>
      <c r="W67" s="8">
        <v>138.96</v>
      </c>
      <c r="X67" s="9">
        <v>-0.43207448203514298</v>
      </c>
      <c r="Y67" s="11">
        <v>-0.7109212652966983</v>
      </c>
      <c r="Z67" s="10">
        <v>1.4213258785942491</v>
      </c>
      <c r="AA67" s="10">
        <v>1.3499917532574639</v>
      </c>
    </row>
    <row r="68" spans="2:27">
      <c r="B68" s="3" t="s">
        <v>698</v>
      </c>
      <c r="C68" s="3" t="s">
        <v>668</v>
      </c>
      <c r="D68" s="3" t="s">
        <v>667</v>
      </c>
      <c r="E68" s="3" t="s">
        <v>642</v>
      </c>
      <c r="F68" s="7">
        <v>39.299999999999997</v>
      </c>
      <c r="G68" s="4">
        <v>38.1</v>
      </c>
      <c r="H68" s="4">
        <v>39.47</v>
      </c>
      <c r="I68" s="4">
        <v>78.77</v>
      </c>
      <c r="J68" s="4">
        <v>31.22</v>
      </c>
      <c r="K68" s="4">
        <v>21.71</v>
      </c>
      <c r="L68" s="4">
        <v>21.12</v>
      </c>
      <c r="M68" s="4">
        <v>71.19</v>
      </c>
      <c r="N68" s="4">
        <v>17.8</v>
      </c>
      <c r="O68" s="4">
        <v>22.01</v>
      </c>
      <c r="P68" s="8">
        <v>67.03</v>
      </c>
      <c r="Q68" s="4">
        <v>64.959999999999994</v>
      </c>
      <c r="R68" s="4">
        <v>22.74</v>
      </c>
      <c r="S68" s="4">
        <v>10.130000000000001</v>
      </c>
      <c r="T68" s="4">
        <v>62.74</v>
      </c>
      <c r="U68" s="8">
        <v>157.19</v>
      </c>
      <c r="V68" s="4">
        <v>36.549999999999997</v>
      </c>
      <c r="W68" s="8">
        <v>114.93</v>
      </c>
      <c r="X68" s="9">
        <v>-2.6022079340046082E-2</v>
      </c>
      <c r="Y68" s="10">
        <v>0.57439123123871227</v>
      </c>
      <c r="Z68" s="11">
        <v>5.4628164556961963E-2</v>
      </c>
      <c r="AA68" s="10">
        <v>0.39308353025017828</v>
      </c>
    </row>
    <row r="69" spans="2:27">
      <c r="B69" s="3" t="s">
        <v>699</v>
      </c>
      <c r="C69" s="3" t="s">
        <v>668</v>
      </c>
      <c r="D69" s="3" t="s">
        <v>667</v>
      </c>
      <c r="E69" s="3" t="s">
        <v>646</v>
      </c>
      <c r="F69" s="7">
        <v>24.6</v>
      </c>
      <c r="G69" s="4">
        <v>-6.08</v>
      </c>
      <c r="H69" s="4">
        <v>-10.23</v>
      </c>
      <c r="I69" s="4">
        <v>-2.34</v>
      </c>
      <c r="J69" s="4">
        <v>-10.48</v>
      </c>
      <c r="K69" s="8">
        <v>-25.72</v>
      </c>
      <c r="L69" s="8">
        <v>-44.31</v>
      </c>
      <c r="M69" s="4">
        <v>-10.57</v>
      </c>
      <c r="N69" s="4">
        <v>-11.58</v>
      </c>
      <c r="O69" s="4">
        <v>72.42</v>
      </c>
      <c r="P69" s="8">
        <v>48.96</v>
      </c>
      <c r="Q69" s="8">
        <v>50.16</v>
      </c>
      <c r="R69" s="8">
        <v>63.69</v>
      </c>
      <c r="S69" s="4">
        <v>77.78</v>
      </c>
      <c r="T69" s="8">
        <v>89.24</v>
      </c>
      <c r="U69" s="8">
        <v>107.72</v>
      </c>
      <c r="V69" s="4">
        <v>85.16</v>
      </c>
      <c r="W69" s="8">
        <v>166.18</v>
      </c>
      <c r="X69" s="13">
        <v>0.16742175485265401</v>
      </c>
      <c r="Y69" s="10">
        <v>0.20493466728379681</v>
      </c>
      <c r="Z69" s="11">
        <v>6.3440002363856607E-2</v>
      </c>
      <c r="AA69" s="10">
        <v>0.24562378438455151</v>
      </c>
    </row>
    <row r="70" spans="2:27">
      <c r="B70" s="3" t="s">
        <v>700</v>
      </c>
      <c r="C70" s="3" t="s">
        <v>668</v>
      </c>
      <c r="D70" s="3" t="s">
        <v>667</v>
      </c>
      <c r="E70" s="3" t="s">
        <v>642</v>
      </c>
      <c r="F70" s="7">
        <v>19.100000000000001</v>
      </c>
      <c r="G70" s="4">
        <v>78.27</v>
      </c>
      <c r="H70" s="4">
        <v>95.5</v>
      </c>
      <c r="I70" s="4">
        <v>140.6</v>
      </c>
      <c r="J70" s="4">
        <v>73.760000000000005</v>
      </c>
      <c r="K70" s="4">
        <v>94.07</v>
      </c>
      <c r="L70" s="8">
        <v>169.63</v>
      </c>
      <c r="M70" s="8">
        <v>202.4</v>
      </c>
      <c r="N70" s="4">
        <v>101.33</v>
      </c>
      <c r="O70" s="8">
        <v>156.61000000000001</v>
      </c>
      <c r="P70" s="4">
        <v>211.74</v>
      </c>
      <c r="Q70" s="4">
        <v>257.74</v>
      </c>
      <c r="R70" s="8">
        <v>189.18</v>
      </c>
      <c r="S70" s="8">
        <v>291.47000000000003</v>
      </c>
      <c r="T70" s="8">
        <v>339.68</v>
      </c>
      <c r="U70" s="4">
        <v>327.72</v>
      </c>
      <c r="V70" s="8">
        <v>364.42</v>
      </c>
      <c r="W70" s="8">
        <v>544.41999999999996</v>
      </c>
      <c r="X70" s="13">
        <v>0.1346552577015778</v>
      </c>
      <c r="Y70" s="11">
        <v>6.4912296975150108E-2</v>
      </c>
      <c r="Z70" s="10">
        <v>0.15264143547754869</v>
      </c>
      <c r="AA70" s="10">
        <v>0.191152355114903</v>
      </c>
    </row>
    <row r="71" spans="2:27">
      <c r="B71" s="3" t="s">
        <v>701</v>
      </c>
      <c r="C71" s="3" t="s">
        <v>668</v>
      </c>
      <c r="D71" s="3" t="s">
        <v>667</v>
      </c>
      <c r="E71" s="3" t="s">
        <v>646</v>
      </c>
      <c r="F71" s="7">
        <v>16.399999999999999</v>
      </c>
      <c r="G71" s="4">
        <v>294.7</v>
      </c>
      <c r="H71" s="4">
        <v>-1965</v>
      </c>
      <c r="I71" s="4">
        <v>779.5</v>
      </c>
      <c r="J71" s="4">
        <v>1405</v>
      </c>
      <c r="K71" s="4">
        <v>292.89999999999998</v>
      </c>
      <c r="L71" s="8">
        <v>-267.7</v>
      </c>
      <c r="M71" s="4">
        <v>-496.4</v>
      </c>
      <c r="N71" s="4">
        <v>-585.20000000000005</v>
      </c>
      <c r="O71" s="8">
        <v>-778.6</v>
      </c>
      <c r="P71" s="4">
        <v>-49</v>
      </c>
      <c r="Q71" s="4">
        <v>478</v>
      </c>
      <c r="R71" s="4">
        <v>814.8</v>
      </c>
      <c r="S71" s="8">
        <v>1071</v>
      </c>
      <c r="T71" s="8">
        <v>1419</v>
      </c>
      <c r="U71" s="8">
        <v>1223</v>
      </c>
      <c r="V71" s="8">
        <v>1727</v>
      </c>
      <c r="W71" s="8">
        <v>1962</v>
      </c>
      <c r="X71" s="13">
        <v>0.63418005875237604</v>
      </c>
      <c r="Y71" s="10">
        <v>0.196944062599133</v>
      </c>
      <c r="Z71" s="10">
        <v>0.20146649586995879</v>
      </c>
      <c r="AA71" s="10">
        <v>0.16378676470588241</v>
      </c>
    </row>
    <row r="72" spans="2:27">
      <c r="B72" s="3" t="s">
        <v>702</v>
      </c>
      <c r="C72" s="3" t="s">
        <v>668</v>
      </c>
      <c r="D72" s="3" t="s">
        <v>667</v>
      </c>
      <c r="E72" s="3" t="s">
        <v>646</v>
      </c>
      <c r="F72" s="7">
        <v>15.6</v>
      </c>
      <c r="G72" s="4">
        <v>841.3</v>
      </c>
      <c r="H72" s="4">
        <v>1078</v>
      </c>
      <c r="I72" s="4">
        <v>674.8</v>
      </c>
      <c r="J72" s="4">
        <v>1108</v>
      </c>
      <c r="K72" s="8">
        <v>1320</v>
      </c>
      <c r="L72" s="8">
        <v>1743</v>
      </c>
      <c r="M72" s="4">
        <v>1028</v>
      </c>
      <c r="N72" s="8">
        <v>1717</v>
      </c>
      <c r="O72" s="4">
        <v>1516</v>
      </c>
      <c r="P72" s="8">
        <v>2379</v>
      </c>
      <c r="Q72" s="4">
        <v>1051</v>
      </c>
      <c r="R72" s="4">
        <v>2359</v>
      </c>
      <c r="S72" s="4">
        <v>1539</v>
      </c>
      <c r="T72" s="4">
        <v>2585</v>
      </c>
      <c r="U72" s="4">
        <v>1762</v>
      </c>
      <c r="V72" s="4">
        <v>1206</v>
      </c>
      <c r="W72" s="8">
        <v>2643</v>
      </c>
      <c r="X72" s="9">
        <v>2.8111353711790299E-2</v>
      </c>
      <c r="Y72" s="11">
        <v>9.4372179453145799E-2</v>
      </c>
      <c r="Z72" s="11">
        <v>-0.13984232868405089</v>
      </c>
      <c r="AA72" s="10">
        <v>0.15566835871404389</v>
      </c>
    </row>
    <row r="73" spans="2:27">
      <c r="B73" s="3" t="s">
        <v>703</v>
      </c>
      <c r="C73" s="3" t="s">
        <v>668</v>
      </c>
      <c r="D73" s="3" t="s">
        <v>667</v>
      </c>
      <c r="E73" s="3" t="s">
        <v>646</v>
      </c>
      <c r="F73" s="7">
        <v>13</v>
      </c>
      <c r="G73" s="4">
        <v>31.04</v>
      </c>
      <c r="H73" s="4">
        <v>44.27</v>
      </c>
      <c r="I73" s="4">
        <v>39.65</v>
      </c>
      <c r="J73" s="4">
        <v>-32.32</v>
      </c>
      <c r="K73" s="4">
        <v>23.12</v>
      </c>
      <c r="L73" s="4">
        <v>-3.31</v>
      </c>
      <c r="M73" s="4">
        <v>23.44</v>
      </c>
      <c r="N73" s="8">
        <v>152.36000000000001</v>
      </c>
      <c r="O73" s="8">
        <v>104.35</v>
      </c>
      <c r="P73" s="4">
        <v>0</v>
      </c>
      <c r="Q73" s="4">
        <v>-22.23</v>
      </c>
      <c r="R73" s="4">
        <v>78.72</v>
      </c>
      <c r="S73" s="4">
        <v>79.67</v>
      </c>
      <c r="T73" s="8">
        <v>18.760000000000002</v>
      </c>
      <c r="U73" s="4">
        <v>-11.58</v>
      </c>
      <c r="V73" s="4">
        <v>58.74</v>
      </c>
      <c r="W73" s="8">
        <v>98.61</v>
      </c>
      <c r="X73" s="13">
        <v>0.13777908343125761</v>
      </c>
      <c r="Y73" s="11">
        <v>6.8745158791634342E-2</v>
      </c>
      <c r="Z73" s="11">
        <v>-0.1206740351512955</v>
      </c>
      <c r="AA73" s="10">
        <v>0.13009135242805139</v>
      </c>
    </row>
    <row r="74" spans="2:27">
      <c r="B74" s="3" t="s">
        <v>90</v>
      </c>
      <c r="C74" s="3" t="s">
        <v>668</v>
      </c>
      <c r="D74" s="3" t="s">
        <v>667</v>
      </c>
      <c r="E74" s="3" t="s">
        <v>646</v>
      </c>
      <c r="F74" s="7">
        <v>11.4</v>
      </c>
      <c r="G74" s="4">
        <v>3434</v>
      </c>
      <c r="H74" s="4">
        <v>4511</v>
      </c>
      <c r="I74" s="4">
        <v>3460</v>
      </c>
      <c r="J74" s="4">
        <v>3974</v>
      </c>
      <c r="K74" s="4">
        <v>4241</v>
      </c>
      <c r="L74" s="4">
        <v>5073</v>
      </c>
      <c r="M74" s="4">
        <v>4220</v>
      </c>
      <c r="N74" s="4">
        <v>4681</v>
      </c>
      <c r="O74" s="4">
        <v>5134</v>
      </c>
      <c r="P74" s="8">
        <v>7111</v>
      </c>
      <c r="Q74" s="4">
        <v>5165</v>
      </c>
      <c r="R74" s="4">
        <v>5462</v>
      </c>
      <c r="S74" s="4">
        <v>5837</v>
      </c>
      <c r="T74" s="4">
        <v>6834</v>
      </c>
      <c r="U74" s="4">
        <v>5712</v>
      </c>
      <c r="V74" s="4">
        <v>6351</v>
      </c>
      <c r="W74" s="8">
        <v>8654</v>
      </c>
      <c r="X74" s="9">
        <v>-1.174973488865327E-2</v>
      </c>
      <c r="Y74" s="11">
        <v>2.3478410163962678E-2</v>
      </c>
      <c r="Z74" s="11">
        <v>3.7282449150765277E-2</v>
      </c>
      <c r="AA74" s="10">
        <v>0.1138918088461227</v>
      </c>
    </row>
    <row r="75" spans="2:27">
      <c r="B75" s="3" t="s">
        <v>333</v>
      </c>
      <c r="C75" s="3" t="s">
        <v>668</v>
      </c>
      <c r="D75" s="3" t="s">
        <v>667</v>
      </c>
      <c r="E75" s="3" t="s">
        <v>642</v>
      </c>
      <c r="F75" s="7">
        <v>11</v>
      </c>
      <c r="G75" s="4">
        <v>179.69</v>
      </c>
      <c r="H75" s="4">
        <v>169.51</v>
      </c>
      <c r="I75" s="4">
        <v>145.43</v>
      </c>
      <c r="J75" s="4">
        <v>284.75</v>
      </c>
      <c r="K75" s="4">
        <v>251.75</v>
      </c>
      <c r="L75" s="4">
        <v>221.63</v>
      </c>
      <c r="M75" s="4">
        <v>168.72</v>
      </c>
      <c r="N75" s="4">
        <v>311.88</v>
      </c>
      <c r="O75" s="8">
        <v>404.2</v>
      </c>
      <c r="P75" s="4">
        <v>299.25</v>
      </c>
      <c r="Q75" s="8">
        <v>357.61</v>
      </c>
      <c r="R75" s="4">
        <v>288.37</v>
      </c>
      <c r="S75" s="4">
        <v>158.06</v>
      </c>
      <c r="T75" s="4">
        <v>175.91</v>
      </c>
      <c r="U75" s="4">
        <v>184.01</v>
      </c>
      <c r="V75" s="4">
        <v>250.15</v>
      </c>
      <c r="W75" s="8">
        <v>242.45</v>
      </c>
      <c r="X75" s="9">
        <v>-0.11179291029557049</v>
      </c>
      <c r="Y75" s="11">
        <v>-0.17715189550487279</v>
      </c>
      <c r="Z75" s="11">
        <v>-4.7398772245302978E-2</v>
      </c>
      <c r="AA75" s="10">
        <v>0.1098642156926561</v>
      </c>
    </row>
    <row r="76" spans="2:27">
      <c r="B76" s="3" t="s">
        <v>184</v>
      </c>
      <c r="C76" s="3" t="s">
        <v>668</v>
      </c>
      <c r="D76" s="3" t="s">
        <v>667</v>
      </c>
      <c r="E76" s="3" t="s">
        <v>646</v>
      </c>
      <c r="F76" s="7">
        <v>10</v>
      </c>
      <c r="G76" s="4">
        <v>470.3</v>
      </c>
      <c r="H76" s="4">
        <v>612.35</v>
      </c>
      <c r="I76" s="4">
        <v>696.4</v>
      </c>
      <c r="J76" s="4">
        <v>910.5</v>
      </c>
      <c r="K76" s="8">
        <v>937.8</v>
      </c>
      <c r="L76" s="8">
        <v>1112</v>
      </c>
      <c r="M76" s="8">
        <v>1235</v>
      </c>
      <c r="N76" s="8">
        <v>1351</v>
      </c>
      <c r="O76" s="4">
        <v>1323</v>
      </c>
      <c r="P76" s="4">
        <v>1437</v>
      </c>
      <c r="Q76" s="4">
        <v>1359</v>
      </c>
      <c r="R76" s="4">
        <v>1469</v>
      </c>
      <c r="S76" s="4">
        <v>1397</v>
      </c>
      <c r="T76" s="4">
        <v>1828</v>
      </c>
      <c r="U76" s="4">
        <v>1636</v>
      </c>
      <c r="V76" s="4">
        <v>1747</v>
      </c>
      <c r="W76" s="8">
        <v>2061</v>
      </c>
      <c r="X76" s="9">
        <v>6.9056870363829015E-2</v>
      </c>
      <c r="Y76" s="11">
        <v>4.5762431851974261E-2</v>
      </c>
      <c r="Z76" s="11">
        <v>4.3917851500789862E-2</v>
      </c>
      <c r="AA76" s="10">
        <v>0.1004842615012107</v>
      </c>
    </row>
    <row r="77" spans="2:27">
      <c r="B77" s="3" t="s">
        <v>146</v>
      </c>
      <c r="C77" s="3" t="s">
        <v>668</v>
      </c>
      <c r="D77" s="3" t="s">
        <v>667</v>
      </c>
      <c r="E77" s="3" t="s">
        <v>642</v>
      </c>
      <c r="F77" s="7">
        <v>9.1999999999999993</v>
      </c>
      <c r="G77" s="4">
        <v>2026</v>
      </c>
      <c r="H77" s="4">
        <v>1997</v>
      </c>
      <c r="I77" s="4">
        <v>23.6</v>
      </c>
      <c r="J77" s="4">
        <v>-524.4</v>
      </c>
      <c r="K77" s="4">
        <v>1651</v>
      </c>
      <c r="L77" s="4">
        <v>1822</v>
      </c>
      <c r="M77" s="8">
        <v>1430</v>
      </c>
      <c r="N77" s="8">
        <v>1325</v>
      </c>
      <c r="O77" s="4">
        <v>1407</v>
      </c>
      <c r="P77" s="4">
        <v>1969</v>
      </c>
      <c r="Q77" s="4">
        <v>1906</v>
      </c>
      <c r="R77" s="4">
        <v>1678</v>
      </c>
      <c r="S77" s="4">
        <v>1688</v>
      </c>
      <c r="T77" s="4">
        <v>1902</v>
      </c>
      <c r="U77" s="4">
        <v>2031</v>
      </c>
      <c r="V77" s="4">
        <v>2076</v>
      </c>
      <c r="W77" s="4">
        <v>2396</v>
      </c>
      <c r="X77" s="9">
        <v>-9.2528656262946818E-3</v>
      </c>
      <c r="Y77" s="11">
        <v>1.7424031223864041E-2</v>
      </c>
      <c r="Z77" s="11">
        <v>5.4528017536648932E-2</v>
      </c>
      <c r="AA77" s="11">
        <v>9.1983889827205401E-2</v>
      </c>
    </row>
    <row r="78" spans="2:27">
      <c r="B78" s="3" t="s">
        <v>339</v>
      </c>
      <c r="C78" s="3" t="s">
        <v>668</v>
      </c>
      <c r="D78" s="3" t="s">
        <v>667</v>
      </c>
      <c r="E78" s="3" t="s">
        <v>646</v>
      </c>
      <c r="F78" s="7">
        <v>6.2</v>
      </c>
      <c r="G78" s="4">
        <v>208.06</v>
      </c>
      <c r="H78" s="4">
        <v>120.41</v>
      </c>
      <c r="I78" s="4">
        <v>234.72</v>
      </c>
      <c r="J78" s="4">
        <v>264.08999999999997</v>
      </c>
      <c r="K78" s="4">
        <v>248.26</v>
      </c>
      <c r="L78" s="8">
        <v>297.85000000000002</v>
      </c>
      <c r="M78" s="4">
        <v>318.24</v>
      </c>
      <c r="N78" s="4">
        <v>328.83</v>
      </c>
      <c r="O78" s="4">
        <v>301.32</v>
      </c>
      <c r="P78" s="4">
        <v>299.48</v>
      </c>
      <c r="Q78" s="4">
        <v>320.32</v>
      </c>
      <c r="R78" s="4">
        <v>336.09</v>
      </c>
      <c r="S78" s="4">
        <v>350.02</v>
      </c>
      <c r="T78" s="4">
        <v>329.8</v>
      </c>
      <c r="U78" s="4">
        <v>425.08</v>
      </c>
      <c r="V78" s="4">
        <v>473.32</v>
      </c>
      <c r="W78" s="4">
        <v>448.37</v>
      </c>
      <c r="X78" s="9">
        <v>2.321752647579101E-2</v>
      </c>
      <c r="Y78" s="11">
        <v>7.839967670236403E-2</v>
      </c>
      <c r="Z78" s="11">
        <v>9.5233138328510325E-2</v>
      </c>
      <c r="AA78" s="11">
        <v>6.2317040716756811E-2</v>
      </c>
    </row>
    <row r="79" spans="2:27">
      <c r="B79" s="3" t="s">
        <v>82</v>
      </c>
      <c r="C79" s="3" t="s">
        <v>668</v>
      </c>
      <c r="D79" s="3" t="s">
        <v>667</v>
      </c>
      <c r="E79" s="3" t="s">
        <v>642</v>
      </c>
      <c r="F79" s="7">
        <v>5.9</v>
      </c>
      <c r="G79" s="4">
        <v>15372</v>
      </c>
      <c r="H79" s="4">
        <v>-837.5</v>
      </c>
      <c r="I79" s="4">
        <v>35245</v>
      </c>
      <c r="J79" s="4">
        <v>5345</v>
      </c>
      <c r="K79" s="8">
        <v>21655</v>
      </c>
      <c r="L79" s="8">
        <v>9858</v>
      </c>
      <c r="M79" s="4">
        <v>34945</v>
      </c>
      <c r="N79" s="4">
        <v>9662</v>
      </c>
      <c r="O79" s="4">
        <v>14646</v>
      </c>
      <c r="P79" s="4">
        <v>13479</v>
      </c>
      <c r="Q79" s="4">
        <v>40865</v>
      </c>
      <c r="R79" s="4">
        <v>14731</v>
      </c>
      <c r="S79" s="8">
        <v>23802</v>
      </c>
      <c r="T79" s="4">
        <v>19289</v>
      </c>
      <c r="U79" s="4">
        <v>31921</v>
      </c>
      <c r="V79" s="8">
        <v>27485</v>
      </c>
      <c r="W79" s="4">
        <v>29807</v>
      </c>
      <c r="X79" s="9">
        <v>6.2555853440571907E-2</v>
      </c>
      <c r="Y79" s="11">
        <v>-9.0629971526138164E-2</v>
      </c>
      <c r="Z79" s="10">
        <v>0.14211693391128</v>
      </c>
      <c r="AA79" s="11">
        <v>5.8587080597480863E-2</v>
      </c>
    </row>
    <row r="80" spans="2:27">
      <c r="B80" s="3" t="s">
        <v>380</v>
      </c>
      <c r="C80" s="3" t="s">
        <v>668</v>
      </c>
      <c r="D80" s="3" t="s">
        <v>667</v>
      </c>
      <c r="E80" s="3" t="s">
        <v>646</v>
      </c>
      <c r="F80" s="7">
        <v>4.9000000000000004</v>
      </c>
      <c r="G80" s="4">
        <v>-132.36000000000001</v>
      </c>
      <c r="H80" s="4">
        <v>-169.19</v>
      </c>
      <c r="I80" s="4">
        <v>-6.73</v>
      </c>
      <c r="J80" s="4">
        <v>-43.04</v>
      </c>
      <c r="K80" s="4">
        <v>-55.35</v>
      </c>
      <c r="L80" s="4">
        <v>-70.5</v>
      </c>
      <c r="M80" s="4">
        <v>20.25</v>
      </c>
      <c r="N80" s="4">
        <v>72.680000000000007</v>
      </c>
      <c r="O80" s="8">
        <v>-60.21</v>
      </c>
      <c r="P80" s="4">
        <v>-29.68</v>
      </c>
      <c r="Q80" s="8">
        <v>39.340000000000003</v>
      </c>
      <c r="R80" s="4">
        <v>67.25</v>
      </c>
      <c r="S80" s="8">
        <v>99.5</v>
      </c>
      <c r="T80" s="8">
        <v>90.2</v>
      </c>
      <c r="U80" s="4">
        <v>40.200000000000003</v>
      </c>
      <c r="V80" s="4">
        <v>56.3</v>
      </c>
      <c r="W80" s="4">
        <v>113.4</v>
      </c>
      <c r="X80" s="13">
        <v>0.67955331330423463</v>
      </c>
      <c r="Y80" s="11">
        <v>2.9025616794355891E-3</v>
      </c>
      <c r="Z80" s="11">
        <v>-3.685007571933363E-2</v>
      </c>
      <c r="AA80" s="11">
        <v>4.8567435359888389E-2</v>
      </c>
    </row>
    <row r="81" spans="2:27">
      <c r="B81" s="3" t="s">
        <v>376</v>
      </c>
      <c r="C81" s="3" t="s">
        <v>668</v>
      </c>
      <c r="D81" s="3" t="s">
        <v>667</v>
      </c>
      <c r="E81" s="3" t="s">
        <v>646</v>
      </c>
      <c r="F81" s="7">
        <v>2.9</v>
      </c>
      <c r="G81" s="4">
        <v>97.23</v>
      </c>
      <c r="H81" s="4">
        <v>160.54</v>
      </c>
      <c r="I81" s="4">
        <v>200.03</v>
      </c>
      <c r="J81" s="4">
        <v>260.41000000000003</v>
      </c>
      <c r="K81" s="8">
        <v>316.39999999999998</v>
      </c>
      <c r="L81" s="8">
        <v>404.76</v>
      </c>
      <c r="M81" s="8">
        <v>358.72</v>
      </c>
      <c r="N81" s="4">
        <v>363.04</v>
      </c>
      <c r="O81" s="4">
        <v>386.2</v>
      </c>
      <c r="P81" s="4">
        <v>321.20999999999998</v>
      </c>
      <c r="Q81" s="4">
        <v>272.52999999999997</v>
      </c>
      <c r="R81" s="4">
        <v>282.52</v>
      </c>
      <c r="S81" s="4">
        <v>235.05</v>
      </c>
      <c r="T81" s="4">
        <v>313.14</v>
      </c>
      <c r="U81" s="4">
        <v>242.94</v>
      </c>
      <c r="V81" s="4">
        <v>325.76</v>
      </c>
      <c r="W81" s="4">
        <v>267.51</v>
      </c>
      <c r="X81" s="9">
        <v>-7.2617001556720684E-3</v>
      </c>
      <c r="Y81" s="11">
        <v>-2.6820999963743101E-2</v>
      </c>
      <c r="Z81" s="11">
        <v>4.0273832254458908E-2</v>
      </c>
      <c r="AA81" s="11">
        <v>2.9062844147588422E-2</v>
      </c>
    </row>
    <row r="82" spans="2:27">
      <c r="B82" s="3" t="s">
        <v>327</v>
      </c>
      <c r="C82" s="3" t="s">
        <v>668</v>
      </c>
      <c r="D82" s="3" t="s">
        <v>667</v>
      </c>
      <c r="E82" s="3" t="s">
        <v>642</v>
      </c>
      <c r="F82" s="7">
        <v>1.6</v>
      </c>
      <c r="G82" s="4">
        <v>97.3</v>
      </c>
      <c r="H82" s="4">
        <v>249.2</v>
      </c>
      <c r="I82" s="4">
        <v>100.14</v>
      </c>
      <c r="J82" s="4">
        <v>268.10000000000002</v>
      </c>
      <c r="K82" s="8">
        <v>522.9</v>
      </c>
      <c r="L82" s="4">
        <v>296.3</v>
      </c>
      <c r="M82" s="4">
        <v>-19.579999999999998</v>
      </c>
      <c r="N82" s="4">
        <v>227.9</v>
      </c>
      <c r="O82" s="4">
        <v>190.8</v>
      </c>
      <c r="P82" s="8">
        <v>377</v>
      </c>
      <c r="Q82" s="8">
        <v>353.21</v>
      </c>
      <c r="R82" s="4">
        <v>252.9</v>
      </c>
      <c r="S82" s="4">
        <v>283.60000000000002</v>
      </c>
      <c r="T82" s="4">
        <v>480.5</v>
      </c>
      <c r="U82" s="4">
        <v>290.06</v>
      </c>
      <c r="V82" s="4">
        <v>286.10000000000002</v>
      </c>
      <c r="W82" s="4">
        <v>305</v>
      </c>
      <c r="X82" s="9">
        <v>8.1707731051306132E-2</v>
      </c>
      <c r="Y82" s="11">
        <v>-4.608782595368599E-2</v>
      </c>
      <c r="Z82" s="11">
        <v>2.5400517191253691E-2</v>
      </c>
      <c r="AA82" s="11">
        <v>1.596705116917629E-2</v>
      </c>
    </row>
    <row r="83" spans="2:27">
      <c r="B83" s="3" t="s">
        <v>442</v>
      </c>
      <c r="C83" s="3" t="s">
        <v>668</v>
      </c>
      <c r="D83" s="3" t="s">
        <v>667</v>
      </c>
      <c r="E83" s="3" t="s">
        <v>642</v>
      </c>
      <c r="F83" s="7">
        <v>-1</v>
      </c>
      <c r="G83" s="4">
        <v>52.8</v>
      </c>
      <c r="H83" s="4">
        <v>37.479999999999997</v>
      </c>
      <c r="I83" s="4">
        <v>37.880000000000003</v>
      </c>
      <c r="J83" s="4">
        <v>29.27</v>
      </c>
      <c r="K83" s="4">
        <v>54.06</v>
      </c>
      <c r="L83" s="4">
        <v>18.09</v>
      </c>
      <c r="M83" s="4">
        <v>39.020000000000003</v>
      </c>
      <c r="N83" s="8">
        <v>49.32</v>
      </c>
      <c r="O83" s="4">
        <v>60.46</v>
      </c>
      <c r="P83" s="8">
        <v>37.76</v>
      </c>
      <c r="Q83" s="4">
        <v>54.57</v>
      </c>
      <c r="R83" s="4">
        <v>42.23</v>
      </c>
      <c r="S83" s="4">
        <v>61.49</v>
      </c>
      <c r="T83" s="4">
        <v>42.48</v>
      </c>
      <c r="U83" s="4">
        <v>70.64</v>
      </c>
      <c r="V83" s="4">
        <v>41.85</v>
      </c>
      <c r="W83" s="4">
        <v>59.3</v>
      </c>
      <c r="X83" s="9">
        <v>2.4075490946187109E-2</v>
      </c>
      <c r="Y83" s="11">
        <v>8.0041838920157593E-2</v>
      </c>
      <c r="Z83" s="11">
        <v>-1.752444198487302E-3</v>
      </c>
      <c r="AA83" s="11">
        <v>-1.011734269611031E-2</v>
      </c>
    </row>
    <row r="84" spans="2:27">
      <c r="B84" s="3" t="s">
        <v>398</v>
      </c>
      <c r="C84" s="3" t="s">
        <v>668</v>
      </c>
      <c r="D84" s="3" t="s">
        <v>667</v>
      </c>
      <c r="E84" s="3" t="s">
        <v>642</v>
      </c>
      <c r="F84" s="7">
        <v>-1.3</v>
      </c>
      <c r="G84" s="4">
        <v>65.599999999999994</v>
      </c>
      <c r="H84" s="4">
        <v>58</v>
      </c>
      <c r="I84" s="4">
        <v>103.12</v>
      </c>
      <c r="J84" s="4">
        <v>112.2</v>
      </c>
      <c r="K84" s="8">
        <v>176.4</v>
      </c>
      <c r="L84" s="8">
        <v>184.8</v>
      </c>
      <c r="M84" s="8">
        <v>195.41</v>
      </c>
      <c r="N84" s="4">
        <v>122.9</v>
      </c>
      <c r="O84" s="4">
        <v>99</v>
      </c>
      <c r="P84" s="4">
        <v>96.8</v>
      </c>
      <c r="Q84" s="4">
        <v>80.53</v>
      </c>
      <c r="R84" s="4">
        <v>36.9</v>
      </c>
      <c r="S84" s="4">
        <v>63.6</v>
      </c>
      <c r="T84" s="4">
        <v>35.4</v>
      </c>
      <c r="U84" s="4">
        <v>61.15</v>
      </c>
      <c r="V84" s="4">
        <v>31.2</v>
      </c>
      <c r="W84" s="4">
        <v>61.1</v>
      </c>
      <c r="X84" s="9">
        <v>-0.22099845229096929</v>
      </c>
      <c r="Y84" s="11">
        <v>-8.9543963406182092E-2</v>
      </c>
      <c r="Z84" s="11">
        <v>-2.8926668358284831E-2</v>
      </c>
      <c r="AA84" s="11">
        <v>-1.306506401881369E-2</v>
      </c>
    </row>
    <row r="85" spans="2:27">
      <c r="B85" s="3" t="s">
        <v>164</v>
      </c>
      <c r="C85" s="3" t="s">
        <v>668</v>
      </c>
      <c r="D85" s="3" t="s">
        <v>667</v>
      </c>
      <c r="E85" s="3" t="s">
        <v>642</v>
      </c>
      <c r="F85" s="7">
        <v>-3.6</v>
      </c>
      <c r="G85" s="4">
        <v>632.89</v>
      </c>
      <c r="H85" s="4">
        <v>697.27</v>
      </c>
      <c r="I85" s="4">
        <v>1503</v>
      </c>
      <c r="J85" s="4">
        <v>2035</v>
      </c>
      <c r="K85" s="8">
        <v>2424</v>
      </c>
      <c r="L85" s="8">
        <v>1478</v>
      </c>
      <c r="M85" s="4">
        <v>1894</v>
      </c>
      <c r="N85" s="4">
        <v>1295</v>
      </c>
      <c r="O85" s="4">
        <v>1167</v>
      </c>
      <c r="P85" s="4">
        <v>1035</v>
      </c>
      <c r="Q85" s="4">
        <v>1282</v>
      </c>
      <c r="R85" s="4">
        <v>1280</v>
      </c>
      <c r="S85" s="4">
        <v>1382</v>
      </c>
      <c r="T85" s="4">
        <v>859.88</v>
      </c>
      <c r="U85" s="4">
        <v>1084</v>
      </c>
      <c r="V85" s="4">
        <v>1118</v>
      </c>
      <c r="W85" s="4">
        <v>1223</v>
      </c>
      <c r="X85" s="9">
        <v>-3.5171721229162463E-2</v>
      </c>
      <c r="Y85" s="11">
        <v>-4.1216683181095282E-2</v>
      </c>
      <c r="Z85" s="11">
        <v>-3.5172431761140148E-2</v>
      </c>
      <c r="AA85" s="11">
        <v>-3.577954400208827E-2</v>
      </c>
    </row>
    <row r="86" spans="2:27">
      <c r="B86" s="3" t="s">
        <v>230</v>
      </c>
      <c r="C86" s="3" t="s">
        <v>668</v>
      </c>
      <c r="D86" s="3" t="s">
        <v>667</v>
      </c>
      <c r="E86" s="3" t="s">
        <v>642</v>
      </c>
      <c r="F86" s="7">
        <v>-5.8</v>
      </c>
      <c r="G86" s="4">
        <v>-1829</v>
      </c>
      <c r="H86" s="4">
        <v>-534.73</v>
      </c>
      <c r="I86" s="4">
        <v>1197</v>
      </c>
      <c r="J86" s="4">
        <v>1140</v>
      </c>
      <c r="K86" s="4">
        <v>338.99</v>
      </c>
      <c r="L86" s="8">
        <v>1309</v>
      </c>
      <c r="M86" s="8">
        <v>2441</v>
      </c>
      <c r="N86" s="4">
        <v>1193</v>
      </c>
      <c r="O86" s="4">
        <v>830.83</v>
      </c>
      <c r="P86" s="4">
        <v>649.59</v>
      </c>
      <c r="Q86" s="4">
        <v>84.87</v>
      </c>
      <c r="R86" s="4">
        <v>410.9</v>
      </c>
      <c r="S86" s="4">
        <v>612.25</v>
      </c>
      <c r="T86" s="4">
        <v>-737.81</v>
      </c>
      <c r="U86" s="8">
        <v>2252</v>
      </c>
      <c r="V86" s="4">
        <v>27.52</v>
      </c>
      <c r="W86" s="4">
        <v>487.32</v>
      </c>
      <c r="X86" s="9">
        <v>-0.78936737956657055</v>
      </c>
      <c r="Y86" s="10">
        <v>5.8537856892034252</v>
      </c>
      <c r="Z86" s="11">
        <v>-0.1510952414733541</v>
      </c>
      <c r="AA86" s="11">
        <v>-5.8000148563575937E-2</v>
      </c>
    </row>
    <row r="87" spans="2:27">
      <c r="B87" s="3" t="s">
        <v>244</v>
      </c>
      <c r="C87" s="3" t="s">
        <v>668</v>
      </c>
      <c r="D87" s="3" t="s">
        <v>667</v>
      </c>
      <c r="E87" s="3" t="s">
        <v>642</v>
      </c>
      <c r="F87" s="7">
        <v>-9.6999999999999993</v>
      </c>
      <c r="G87" s="4">
        <v>448.47</v>
      </c>
      <c r="H87" s="4">
        <v>559.91999999999996</v>
      </c>
      <c r="I87" s="4">
        <v>1134</v>
      </c>
      <c r="J87" s="4">
        <v>206.46</v>
      </c>
      <c r="K87" s="4">
        <v>453.13</v>
      </c>
      <c r="L87" s="4">
        <v>520.96</v>
      </c>
      <c r="M87" s="4">
        <v>997.96</v>
      </c>
      <c r="N87" s="4">
        <v>273.51</v>
      </c>
      <c r="O87" s="4">
        <v>218.63</v>
      </c>
      <c r="P87" s="4">
        <v>214.42</v>
      </c>
      <c r="Q87" s="4">
        <v>773.29</v>
      </c>
      <c r="R87" s="4">
        <v>80.319999999999993</v>
      </c>
      <c r="S87" s="4">
        <v>332.72</v>
      </c>
      <c r="T87" s="8">
        <v>362.71</v>
      </c>
      <c r="U87" s="4">
        <v>911.78</v>
      </c>
      <c r="V87" s="4">
        <v>180.53</v>
      </c>
      <c r="W87" s="4">
        <v>159.85</v>
      </c>
      <c r="X87" s="13">
        <v>0.1058647153310726</v>
      </c>
      <c r="Y87" s="11">
        <v>8.9403759747972877E-2</v>
      </c>
      <c r="Z87" s="11">
        <v>5.9382648012183507E-2</v>
      </c>
      <c r="AA87" s="11">
        <v>-9.6697506348798035E-2</v>
      </c>
    </row>
    <row r="88" spans="2:27">
      <c r="B88" s="3" t="s">
        <v>422</v>
      </c>
      <c r="C88" s="3" t="s">
        <v>668</v>
      </c>
      <c r="D88" s="3" t="s">
        <v>667</v>
      </c>
      <c r="E88" s="3" t="s">
        <v>642</v>
      </c>
      <c r="F88" s="7">
        <v>-12.3</v>
      </c>
      <c r="G88" s="4">
        <v>51.73</v>
      </c>
      <c r="H88" s="4">
        <v>47.32</v>
      </c>
      <c r="I88" s="4">
        <v>46.74</v>
      </c>
      <c r="J88" s="4">
        <v>72.930000000000007</v>
      </c>
      <c r="K88" s="8">
        <v>98.25</v>
      </c>
      <c r="L88" s="8">
        <v>105.14</v>
      </c>
      <c r="M88" s="8">
        <v>86.19</v>
      </c>
      <c r="N88" s="4">
        <v>106.1</v>
      </c>
      <c r="O88" s="4">
        <v>91.72</v>
      </c>
      <c r="P88" s="4">
        <v>112.34</v>
      </c>
      <c r="Q88" s="8">
        <v>125.91</v>
      </c>
      <c r="R88" s="4">
        <v>77.3</v>
      </c>
      <c r="S88" s="4">
        <v>61.03</v>
      </c>
      <c r="T88" s="4">
        <v>36.71</v>
      </c>
      <c r="U88" s="4">
        <v>99.06</v>
      </c>
      <c r="V88" s="4">
        <v>88.34</v>
      </c>
      <c r="W88" s="4">
        <v>26.07</v>
      </c>
      <c r="X88" s="9">
        <v>-0.20083382017101281</v>
      </c>
      <c r="Y88" s="11">
        <v>-8.9217477986376359E-2</v>
      </c>
      <c r="Z88" s="11">
        <v>4.0277271068952743E-2</v>
      </c>
      <c r="AA88" s="11">
        <v>-0.1226064389422739</v>
      </c>
    </row>
    <row r="89" spans="2:27">
      <c r="B89" s="3" t="s">
        <v>476</v>
      </c>
      <c r="C89" s="3" t="s">
        <v>668</v>
      </c>
      <c r="D89" s="3" t="s">
        <v>667</v>
      </c>
      <c r="E89" s="3" t="s">
        <v>642</v>
      </c>
      <c r="F89" s="7">
        <v>-13.5</v>
      </c>
      <c r="G89" s="4">
        <v>138.5</v>
      </c>
      <c r="H89" s="4">
        <v>120.74</v>
      </c>
      <c r="I89" s="4">
        <v>5.07</v>
      </c>
      <c r="J89" s="4">
        <v>-15.25</v>
      </c>
      <c r="K89" s="4">
        <v>115.96</v>
      </c>
      <c r="L89" s="4">
        <v>103.37</v>
      </c>
      <c r="M89" s="8">
        <v>43.67</v>
      </c>
      <c r="N89" s="8">
        <v>113.81</v>
      </c>
      <c r="O89" s="4">
        <v>101.6</v>
      </c>
      <c r="P89" s="4">
        <v>119.61</v>
      </c>
      <c r="Q89" s="8">
        <v>87.8</v>
      </c>
      <c r="R89" s="4">
        <v>152.25</v>
      </c>
      <c r="S89" s="8">
        <v>159.5</v>
      </c>
      <c r="T89" s="4">
        <v>20.5</v>
      </c>
      <c r="U89" s="4">
        <v>25.73</v>
      </c>
      <c r="V89" s="4">
        <v>118.45</v>
      </c>
      <c r="W89" s="4">
        <v>115.85</v>
      </c>
      <c r="X89" s="9">
        <v>-0.1909045381000076</v>
      </c>
      <c r="Y89" s="11">
        <v>-0.1477681228425187</v>
      </c>
      <c r="Z89" s="11">
        <v>-9.4418682607966931E-2</v>
      </c>
      <c r="AA89" s="11">
        <v>-0.1346474181010551</v>
      </c>
    </row>
    <row r="90" spans="2:27">
      <c r="B90" s="3" t="s">
        <v>68</v>
      </c>
      <c r="C90" s="3" t="s">
        <v>668</v>
      </c>
      <c r="D90" s="3" t="s">
        <v>667</v>
      </c>
      <c r="E90" s="3" t="s">
        <v>646</v>
      </c>
      <c r="F90" s="7">
        <v>-18.399999999999999</v>
      </c>
      <c r="G90" s="4">
        <v>23797</v>
      </c>
      <c r="H90" s="4">
        <v>27643</v>
      </c>
      <c r="I90" s="4">
        <v>9829</v>
      </c>
      <c r="J90" s="4">
        <v>15057</v>
      </c>
      <c r="K90" s="4">
        <v>-1719</v>
      </c>
      <c r="L90" s="4">
        <v>23839</v>
      </c>
      <c r="M90" s="8">
        <v>21397</v>
      </c>
      <c r="N90" s="4">
        <v>19303</v>
      </c>
      <c r="O90" s="8">
        <v>20259</v>
      </c>
      <c r="P90" s="4">
        <v>28283</v>
      </c>
      <c r="Q90" s="4">
        <v>29848</v>
      </c>
      <c r="R90" s="8">
        <v>33270</v>
      </c>
      <c r="S90" s="8">
        <v>54286</v>
      </c>
      <c r="T90" s="4">
        <v>29899</v>
      </c>
      <c r="U90" s="4">
        <v>26858</v>
      </c>
      <c r="V90" s="4">
        <v>28119</v>
      </c>
      <c r="W90" s="4">
        <v>28644</v>
      </c>
      <c r="X90" s="9">
        <v>1.1092273160954619E-2</v>
      </c>
      <c r="Y90" s="11">
        <v>-2.0298296708145761E-2</v>
      </c>
      <c r="Z90" s="11">
        <v>-3.5693250088349671E-2</v>
      </c>
      <c r="AA90" s="11">
        <v>-0.18426007099639269</v>
      </c>
    </row>
    <row r="91" spans="2:27">
      <c r="B91" s="3" t="s">
        <v>424</v>
      </c>
      <c r="C91" s="3" t="s">
        <v>668</v>
      </c>
      <c r="D91" s="3" t="s">
        <v>667</v>
      </c>
      <c r="E91" s="3" t="s">
        <v>642</v>
      </c>
      <c r="F91" s="7">
        <v>-18.399999999999999</v>
      </c>
      <c r="G91" s="4">
        <v>38.299999999999997</v>
      </c>
      <c r="H91" s="4">
        <v>130.24</v>
      </c>
      <c r="I91" s="4">
        <v>95.75</v>
      </c>
      <c r="J91" s="4">
        <v>255.9</v>
      </c>
      <c r="K91" s="8">
        <v>148.15</v>
      </c>
      <c r="L91" s="8">
        <v>292.14999999999998</v>
      </c>
      <c r="M91" s="8">
        <v>248.97</v>
      </c>
      <c r="N91" s="4">
        <v>191.29</v>
      </c>
      <c r="O91" s="4">
        <v>145.19999999999999</v>
      </c>
      <c r="P91" s="4">
        <v>210.59</v>
      </c>
      <c r="Q91" s="4">
        <v>211.9</v>
      </c>
      <c r="R91" s="4">
        <v>85.15</v>
      </c>
      <c r="S91" s="4">
        <v>176.45</v>
      </c>
      <c r="T91" s="8">
        <v>392.54</v>
      </c>
      <c r="U91" s="4">
        <v>210.53</v>
      </c>
      <c r="V91" s="4">
        <v>117</v>
      </c>
      <c r="W91" s="4">
        <v>11.24</v>
      </c>
      <c r="X91" s="13">
        <v>0.26597377538043232</v>
      </c>
      <c r="Y91" s="11">
        <v>-1.581913075608399E-3</v>
      </c>
      <c r="Z91" s="11">
        <v>3.6834861854811551E-2</v>
      </c>
      <c r="AA91" s="11">
        <v>-0.18427921295676611</v>
      </c>
    </row>
    <row r="92" spans="2:27">
      <c r="B92" s="3" t="s">
        <v>368</v>
      </c>
      <c r="C92" s="3" t="s">
        <v>668</v>
      </c>
      <c r="D92" s="3" t="s">
        <v>667</v>
      </c>
      <c r="E92" s="3" t="s">
        <v>646</v>
      </c>
      <c r="F92" s="7">
        <v>-19.600000000000001</v>
      </c>
      <c r="G92" s="4">
        <v>159.37</v>
      </c>
      <c r="H92" s="4">
        <v>312.33999999999997</v>
      </c>
      <c r="I92" s="4">
        <v>-29</v>
      </c>
      <c r="J92" s="4">
        <v>242.4</v>
      </c>
      <c r="K92" s="4">
        <v>-155.4</v>
      </c>
      <c r="L92" s="4">
        <v>-156.19999999999999</v>
      </c>
      <c r="M92" s="8">
        <v>-180.1</v>
      </c>
      <c r="N92" s="8">
        <v>77.2</v>
      </c>
      <c r="O92" s="4">
        <v>83.8</v>
      </c>
      <c r="P92" s="4">
        <v>123.2</v>
      </c>
      <c r="Q92" s="8">
        <v>-2</v>
      </c>
      <c r="R92" s="4">
        <v>-0.8</v>
      </c>
      <c r="S92" s="4">
        <v>-71.599999999999994</v>
      </c>
      <c r="T92" s="4">
        <v>-66.2</v>
      </c>
      <c r="U92" s="8">
        <v>-126.9</v>
      </c>
      <c r="V92" s="4">
        <v>59.5</v>
      </c>
      <c r="W92" s="4">
        <v>-31.4</v>
      </c>
      <c r="X92" s="9">
        <v>-3.8811475409836058</v>
      </c>
      <c r="Y92" s="10">
        <v>0.88833570412517782</v>
      </c>
      <c r="Z92" s="11">
        <v>-0.22711864406779669</v>
      </c>
      <c r="AA92" s="11">
        <v>-0.19590643274853789</v>
      </c>
    </row>
    <row r="93" spans="2:27">
      <c r="B93" s="3" t="s">
        <v>494</v>
      </c>
      <c r="C93" s="3" t="s">
        <v>668</v>
      </c>
      <c r="D93" s="3" t="s">
        <v>667</v>
      </c>
      <c r="E93" s="3" t="s">
        <v>642</v>
      </c>
      <c r="F93" s="7">
        <v>-20.399999999999999</v>
      </c>
      <c r="G93" s="4">
        <v>164.94</v>
      </c>
      <c r="H93" s="4">
        <v>108.8</v>
      </c>
      <c r="I93" s="4">
        <v>272.10000000000002</v>
      </c>
      <c r="J93" s="4">
        <v>223.5</v>
      </c>
      <c r="K93" s="8">
        <v>256</v>
      </c>
      <c r="L93" s="8">
        <v>251.2</v>
      </c>
      <c r="M93" s="4">
        <v>370.1</v>
      </c>
      <c r="N93" s="4">
        <v>305.7</v>
      </c>
      <c r="O93" s="4">
        <v>322.3</v>
      </c>
      <c r="P93" s="4">
        <v>361.9</v>
      </c>
      <c r="Q93" s="4">
        <v>368.9</v>
      </c>
      <c r="R93" s="4">
        <v>365.2</v>
      </c>
      <c r="S93" s="4">
        <v>323.5</v>
      </c>
      <c r="T93" s="4">
        <v>360.4</v>
      </c>
      <c r="U93" s="4">
        <v>486.7</v>
      </c>
      <c r="V93" s="8">
        <v>545.29999999999995</v>
      </c>
      <c r="W93" s="4">
        <v>-26.3</v>
      </c>
      <c r="X93" s="9">
        <v>-1.056710109193393E-3</v>
      </c>
      <c r="Y93" s="11">
        <v>8.3074753173483673E-2</v>
      </c>
      <c r="Z93" s="10">
        <v>0.1172678734210184</v>
      </c>
      <c r="AA93" s="11">
        <v>-0.2038580336849467</v>
      </c>
    </row>
    <row r="94" spans="2:27">
      <c r="B94" s="3" t="s">
        <v>323</v>
      </c>
      <c r="C94" s="3" t="s">
        <v>668</v>
      </c>
      <c r="D94" s="3" t="s">
        <v>667</v>
      </c>
      <c r="E94" s="3" t="s">
        <v>642</v>
      </c>
      <c r="F94" s="7">
        <v>-33.799999999999997</v>
      </c>
      <c r="G94" s="4">
        <v>184.5</v>
      </c>
      <c r="H94" s="4">
        <v>423.3</v>
      </c>
      <c r="I94" s="4">
        <v>920.7</v>
      </c>
      <c r="J94" s="4">
        <v>48.1</v>
      </c>
      <c r="K94" s="4">
        <v>1.5</v>
      </c>
      <c r="L94" s="4">
        <v>318</v>
      </c>
      <c r="M94" s="4">
        <v>-357.6</v>
      </c>
      <c r="N94" s="4">
        <v>-45.1</v>
      </c>
      <c r="O94" s="4">
        <v>76</v>
      </c>
      <c r="P94" s="8">
        <v>-320</v>
      </c>
      <c r="Q94" s="8">
        <v>-516.20000000000005</v>
      </c>
      <c r="R94" s="4">
        <v>38.6</v>
      </c>
      <c r="S94" s="8">
        <v>-500.7</v>
      </c>
      <c r="T94" s="4">
        <v>76.3</v>
      </c>
      <c r="U94" s="4">
        <v>-211</v>
      </c>
      <c r="V94" s="8">
        <v>-218.8</v>
      </c>
      <c r="W94" s="4">
        <v>-212.4</v>
      </c>
      <c r="X94" s="9">
        <v>-0.30524532080412847</v>
      </c>
      <c r="Y94" s="11">
        <v>-0.33835920177383588</v>
      </c>
      <c r="Z94" s="10">
        <v>0.431300268096515</v>
      </c>
      <c r="AA94" s="11">
        <v>-0.33750878014516522</v>
      </c>
    </row>
    <row r="95" spans="2:27">
      <c r="B95" s="3" t="s">
        <v>454</v>
      </c>
      <c r="C95" s="3" t="s">
        <v>668</v>
      </c>
      <c r="D95" s="3" t="s">
        <v>667</v>
      </c>
      <c r="E95" s="3" t="s">
        <v>642</v>
      </c>
      <c r="F95" s="7">
        <v>-61.2</v>
      </c>
      <c r="G95" s="4">
        <v>62.3</v>
      </c>
      <c r="H95" s="4">
        <v>108.66</v>
      </c>
      <c r="I95" s="4">
        <v>61.34</v>
      </c>
      <c r="J95" s="4">
        <v>51.4</v>
      </c>
      <c r="K95" s="4">
        <v>-23.06</v>
      </c>
      <c r="L95" s="4">
        <v>-1.63</v>
      </c>
      <c r="M95" s="4">
        <v>-4.42</v>
      </c>
      <c r="N95" s="8">
        <v>84.88</v>
      </c>
      <c r="O95" s="8">
        <v>50.55</v>
      </c>
      <c r="P95" s="4">
        <v>-26.48</v>
      </c>
      <c r="Q95" s="8">
        <v>61.46</v>
      </c>
      <c r="R95" s="4">
        <v>-88.22</v>
      </c>
      <c r="S95" s="8">
        <v>-74.84</v>
      </c>
      <c r="T95" s="4">
        <v>17.78</v>
      </c>
      <c r="U95" s="8">
        <v>-46.51</v>
      </c>
      <c r="V95" s="4">
        <v>-18.850000000000001</v>
      </c>
      <c r="W95" s="4">
        <v>0.05</v>
      </c>
      <c r="X95" s="9">
        <v>-0.34556527170518442</v>
      </c>
      <c r="Y95" s="10">
        <v>1.2881173944166071</v>
      </c>
      <c r="Z95" s="11">
        <v>-0.36169769018196979</v>
      </c>
      <c r="AA95" s="11">
        <v>-0.61174644665904265</v>
      </c>
    </row>
    <row r="96" spans="2:27">
      <c r="B96" s="3" t="s">
        <v>116</v>
      </c>
      <c r="C96" s="3" t="s">
        <v>637</v>
      </c>
      <c r="D96" s="3" t="s">
        <v>669</v>
      </c>
      <c r="E96" s="3" t="s">
        <v>670</v>
      </c>
      <c r="F96" s="7">
        <v>47.5</v>
      </c>
      <c r="G96" s="4">
        <v>74.95</v>
      </c>
      <c r="H96" s="4">
        <v>48.32</v>
      </c>
      <c r="I96" s="4">
        <v>213.28</v>
      </c>
      <c r="J96" s="4">
        <v>146.04</v>
      </c>
      <c r="K96" s="4">
        <v>65.13</v>
      </c>
      <c r="L96" s="4">
        <v>9.31</v>
      </c>
      <c r="M96" s="4">
        <v>15.15</v>
      </c>
      <c r="N96" s="4">
        <v>13.22</v>
      </c>
      <c r="O96" s="4">
        <v>19.68</v>
      </c>
      <c r="P96" s="4">
        <v>-0.2</v>
      </c>
      <c r="Q96" s="4">
        <v>-4.5599999999999996</v>
      </c>
      <c r="R96" s="8">
        <v>17.649999999999999</v>
      </c>
      <c r="S96" s="4">
        <v>7.37</v>
      </c>
      <c r="T96" s="8">
        <v>13.54</v>
      </c>
      <c r="U96" s="8">
        <v>27.16</v>
      </c>
      <c r="V96" s="4">
        <v>13.5</v>
      </c>
      <c r="W96" s="8">
        <v>36.61</v>
      </c>
      <c r="X96" s="13">
        <v>0.67818361303060226</v>
      </c>
      <c r="Y96" s="10">
        <v>0.93294117647058816</v>
      </c>
      <c r="Z96" s="11">
        <v>-6.3146682897139317E-2</v>
      </c>
      <c r="AA96" s="10">
        <v>0.47490661036218951</v>
      </c>
    </row>
    <row r="97" spans="2:27">
      <c r="B97" s="3" t="s">
        <v>50</v>
      </c>
      <c r="C97" s="3" t="s">
        <v>637</v>
      </c>
      <c r="D97" s="3" t="s">
        <v>651</v>
      </c>
      <c r="E97" s="3" t="s">
        <v>670</v>
      </c>
      <c r="F97" s="7">
        <v>31.1</v>
      </c>
      <c r="G97" s="4">
        <v>20.78</v>
      </c>
      <c r="H97" s="4">
        <v>-6.97</v>
      </c>
      <c r="I97" s="4">
        <v>-10.52</v>
      </c>
      <c r="J97" s="4">
        <v>-2.4</v>
      </c>
      <c r="K97" s="4">
        <v>1.78</v>
      </c>
      <c r="L97" s="4">
        <v>2.16</v>
      </c>
      <c r="M97" s="8">
        <v>-40.11</v>
      </c>
      <c r="N97" s="8">
        <v>-13.16</v>
      </c>
      <c r="O97" s="4">
        <v>23.25</v>
      </c>
      <c r="P97" s="8">
        <v>-17.48</v>
      </c>
      <c r="Q97" s="4">
        <v>-15.04</v>
      </c>
      <c r="R97" s="4">
        <v>-4.5599999999999996</v>
      </c>
      <c r="S97" s="4">
        <v>33.14</v>
      </c>
      <c r="T97" s="4">
        <v>-6.82</v>
      </c>
      <c r="U97" s="8">
        <v>-10.41</v>
      </c>
      <c r="V97" s="8">
        <v>2.93</v>
      </c>
      <c r="W97" s="8">
        <v>39</v>
      </c>
      <c r="X97" s="9">
        <v>-2.7055837563451779</v>
      </c>
      <c r="Y97" s="10">
        <v>0.68898809523809512</v>
      </c>
      <c r="Z97" s="10">
        <v>0.65991189427312746</v>
      </c>
      <c r="AA97" s="10">
        <v>0.31104033970276013</v>
      </c>
    </row>
    <row r="98" spans="2:27">
      <c r="B98" s="3" t="s">
        <v>386</v>
      </c>
      <c r="C98" s="3" t="s">
        <v>637</v>
      </c>
      <c r="D98" s="3" t="s">
        <v>685</v>
      </c>
      <c r="E98" s="3" t="s">
        <v>670</v>
      </c>
      <c r="F98" s="7">
        <v>18.399999999999999</v>
      </c>
      <c r="G98" s="4">
        <v>-2.5499999999999998</v>
      </c>
      <c r="H98" s="4">
        <v>-3.56</v>
      </c>
      <c r="I98" s="4">
        <v>-4.2699999999999996</v>
      </c>
      <c r="J98" s="4">
        <v>-4.09</v>
      </c>
      <c r="K98" s="8">
        <v>-4.03</v>
      </c>
      <c r="L98" s="4">
        <v>-4.0199999999999996</v>
      </c>
      <c r="M98" s="4">
        <v>-3.09</v>
      </c>
      <c r="N98" s="4">
        <v>-4.45</v>
      </c>
      <c r="O98" s="4">
        <v>-5.37</v>
      </c>
      <c r="P98" s="8">
        <v>-6.52</v>
      </c>
      <c r="Q98" s="8">
        <v>-5.04</v>
      </c>
      <c r="R98" s="4">
        <v>-6.4</v>
      </c>
      <c r="S98" s="4">
        <v>-5.95</v>
      </c>
      <c r="T98" s="4">
        <v>-6.44</v>
      </c>
      <c r="U98" s="4">
        <v>-6.76</v>
      </c>
      <c r="V98" s="8">
        <v>-9.67</v>
      </c>
      <c r="W98" s="8">
        <v>-11.24</v>
      </c>
      <c r="X98" s="9">
        <v>-3.3458803847761232E-3</v>
      </c>
      <c r="Y98" s="11">
        <v>7.2177926982794682E-2</v>
      </c>
      <c r="Z98" s="10">
        <v>0.12798434442270051</v>
      </c>
      <c r="AA98" s="10">
        <v>0.18355308813324081</v>
      </c>
    </row>
    <row r="99" spans="2:27">
      <c r="B99" s="3" t="s">
        <v>160</v>
      </c>
      <c r="C99" s="3" t="s">
        <v>637</v>
      </c>
      <c r="D99" s="3" t="s">
        <v>673</v>
      </c>
      <c r="E99" s="3" t="s">
        <v>670</v>
      </c>
      <c r="F99" s="7">
        <v>6.8</v>
      </c>
      <c r="G99" s="3"/>
      <c r="H99" s="3"/>
      <c r="I99" s="3"/>
      <c r="J99" s="3"/>
      <c r="K99" s="3"/>
      <c r="L99" s="3"/>
      <c r="M99" s="3"/>
      <c r="N99" s="3"/>
      <c r="O99" s="4">
        <v>30.24</v>
      </c>
      <c r="P99" s="4">
        <v>32.32</v>
      </c>
      <c r="Q99" s="4">
        <v>32.44</v>
      </c>
      <c r="R99" s="4">
        <v>33.39</v>
      </c>
      <c r="S99" s="4">
        <v>32.85</v>
      </c>
      <c r="T99" s="4">
        <v>28</v>
      </c>
      <c r="U99" s="4">
        <v>25.62</v>
      </c>
      <c r="V99" s="4">
        <v>40.630000000000003</v>
      </c>
      <c r="W99" s="4">
        <v>41.46</v>
      </c>
      <c r="X99" s="9">
        <v>-3.2977099236641161E-2</v>
      </c>
      <c r="Y99" s="11">
        <v>-5.3836438269655902E-2</v>
      </c>
      <c r="Z99" s="11">
        <v>6.0403804438511573E-2</v>
      </c>
      <c r="AA99" s="11">
        <v>6.7741935483870863E-2</v>
      </c>
    </row>
    <row r="100" spans="2:27">
      <c r="B100" s="3" t="s">
        <v>204</v>
      </c>
      <c r="C100" s="3" t="s">
        <v>637</v>
      </c>
      <c r="D100" s="3" t="s">
        <v>674</v>
      </c>
      <c r="E100" s="3" t="s">
        <v>670</v>
      </c>
      <c r="F100" s="7">
        <v>4.5999999999999996</v>
      </c>
      <c r="G100" s="4">
        <v>-15.3</v>
      </c>
      <c r="H100" s="4">
        <v>-44.66</v>
      </c>
      <c r="I100" s="4">
        <v>-113.02</v>
      </c>
      <c r="J100" s="4">
        <v>-33.65</v>
      </c>
      <c r="K100" s="4">
        <v>-30.87</v>
      </c>
      <c r="L100" s="4">
        <v>-46.06</v>
      </c>
      <c r="M100" s="4">
        <v>-53.58</v>
      </c>
      <c r="N100" s="4">
        <v>3.04</v>
      </c>
      <c r="O100" s="8">
        <v>-57.78</v>
      </c>
      <c r="P100" s="4">
        <v>34.94</v>
      </c>
      <c r="Q100" s="4">
        <v>15.21</v>
      </c>
      <c r="R100" s="4">
        <v>30.44</v>
      </c>
      <c r="S100" s="8">
        <v>31.64</v>
      </c>
      <c r="T100" s="4">
        <v>6.99</v>
      </c>
      <c r="U100" s="4">
        <v>19.29</v>
      </c>
      <c r="V100" s="4">
        <v>32.369999999999997</v>
      </c>
      <c r="W100" s="4">
        <v>35.76</v>
      </c>
      <c r="X100" s="9">
        <v>-0.2490421455938697</v>
      </c>
      <c r="Y100" s="11">
        <v>4.8410061699098117E-2</v>
      </c>
      <c r="Z100" s="11">
        <v>2.1842462652784E-2</v>
      </c>
      <c r="AA100" s="11">
        <v>4.5630745376010751E-2</v>
      </c>
    </row>
    <row r="101" spans="2:27">
      <c r="B101" s="3" t="s">
        <v>548</v>
      </c>
      <c r="C101" s="3" t="s">
        <v>637</v>
      </c>
      <c r="D101" s="3" t="s">
        <v>675</v>
      </c>
      <c r="E101" s="3" t="s">
        <v>670</v>
      </c>
      <c r="F101" s="7">
        <v>2.7</v>
      </c>
      <c r="G101" s="4">
        <v>329.76</v>
      </c>
      <c r="H101" s="4">
        <v>379.22</v>
      </c>
      <c r="I101" s="4">
        <v>345.64</v>
      </c>
      <c r="J101" s="4">
        <v>360.83</v>
      </c>
      <c r="K101" s="4">
        <v>381.07</v>
      </c>
      <c r="L101" s="4">
        <v>413.16</v>
      </c>
      <c r="M101" s="4">
        <v>392.13</v>
      </c>
      <c r="N101" s="4">
        <v>408.94</v>
      </c>
      <c r="O101" s="4">
        <v>428.88</v>
      </c>
      <c r="P101" s="4">
        <v>477.51</v>
      </c>
      <c r="Q101" s="4">
        <v>434.44</v>
      </c>
      <c r="R101" s="4">
        <v>438.55</v>
      </c>
      <c r="S101" s="4">
        <v>438.12</v>
      </c>
      <c r="T101" s="4">
        <v>497.66</v>
      </c>
      <c r="U101" s="4">
        <v>444.42</v>
      </c>
      <c r="V101" s="4">
        <v>453.1</v>
      </c>
      <c r="W101" s="4">
        <v>488.06</v>
      </c>
      <c r="X101" s="9">
        <v>1.1265668504210071E-2</v>
      </c>
      <c r="Y101" s="11">
        <v>5.5175616579221654E-3</v>
      </c>
      <c r="Z101" s="11">
        <v>8.0000000000000071E-3</v>
      </c>
      <c r="AA101" s="11">
        <v>2.7240495281732221E-2</v>
      </c>
    </row>
    <row r="102" spans="2:27">
      <c r="B102" s="3" t="s">
        <v>273</v>
      </c>
      <c r="C102" s="3" t="s">
        <v>637</v>
      </c>
      <c r="D102" s="3" t="s">
        <v>676</v>
      </c>
      <c r="E102" s="3" t="s">
        <v>670</v>
      </c>
      <c r="F102" s="7">
        <v>-0.9</v>
      </c>
      <c r="G102" s="4">
        <v>13.14</v>
      </c>
      <c r="H102" s="4">
        <v>13</v>
      </c>
      <c r="I102" s="4">
        <v>11.7</v>
      </c>
      <c r="J102" s="4">
        <v>11.5</v>
      </c>
      <c r="K102" s="4">
        <v>11.12</v>
      </c>
      <c r="L102" s="4">
        <v>12.24</v>
      </c>
      <c r="M102" s="4">
        <v>9.02</v>
      </c>
      <c r="N102" s="4">
        <v>9.3699999999999992</v>
      </c>
      <c r="O102" s="4">
        <v>9.98</v>
      </c>
      <c r="P102" s="4">
        <v>11.71</v>
      </c>
      <c r="Q102" s="4">
        <v>8.76</v>
      </c>
      <c r="R102" s="4">
        <v>8.8699999999999992</v>
      </c>
      <c r="S102" s="4">
        <v>7.98</v>
      </c>
      <c r="T102" s="4">
        <v>9.61</v>
      </c>
      <c r="U102" s="4">
        <v>8.6</v>
      </c>
      <c r="V102" s="4">
        <v>1.59</v>
      </c>
      <c r="W102" s="4">
        <v>7.74</v>
      </c>
      <c r="X102" s="9">
        <v>-5.6270096463022501E-2</v>
      </c>
      <c r="Y102" s="11">
        <v>-4.5428733674047761E-3</v>
      </c>
      <c r="Z102" s="11">
        <v>-0.20764403879064461</v>
      </c>
      <c r="AA102" s="11">
        <v>-8.6393088552916275E-3</v>
      </c>
    </row>
    <row r="103" spans="2:27">
      <c r="B103" s="3" t="s">
        <v>552</v>
      </c>
      <c r="C103" s="3" t="s">
        <v>637</v>
      </c>
      <c r="D103" s="3" t="s">
        <v>672</v>
      </c>
      <c r="E103" s="3" t="s">
        <v>670</v>
      </c>
      <c r="F103" s="7">
        <v>-1.8</v>
      </c>
      <c r="G103" s="3"/>
      <c r="H103" s="3"/>
      <c r="I103" s="4">
        <v>3.64</v>
      </c>
      <c r="J103" s="4">
        <v>20.45</v>
      </c>
      <c r="K103" s="4">
        <v>3.72</v>
      </c>
      <c r="L103" s="4">
        <v>19.760000000000002</v>
      </c>
      <c r="M103" s="8">
        <v>32.520000000000003</v>
      </c>
      <c r="N103" s="8">
        <v>36.83</v>
      </c>
      <c r="O103" s="4">
        <v>6.31</v>
      </c>
      <c r="P103" s="4">
        <v>23.85</v>
      </c>
      <c r="Q103" s="4">
        <v>38.979999999999997</v>
      </c>
      <c r="R103" s="8">
        <v>53.04</v>
      </c>
      <c r="S103" s="8">
        <v>19.53</v>
      </c>
      <c r="T103" s="4">
        <v>4.04</v>
      </c>
      <c r="U103" s="4">
        <v>42.67</v>
      </c>
      <c r="V103" s="4">
        <v>57.09</v>
      </c>
      <c r="W103" s="4">
        <v>17.36</v>
      </c>
      <c r="X103" s="9">
        <v>-0.1463072378138848</v>
      </c>
      <c r="Y103" s="11">
        <v>3.1923176745393127E-2</v>
      </c>
      <c r="Z103" s="11">
        <v>3.3953722334004073E-2</v>
      </c>
      <c r="AA103" s="11">
        <v>-1.759507013703077E-2</v>
      </c>
    </row>
    <row r="104" spans="2:27">
      <c r="B104" s="3" t="s">
        <v>98</v>
      </c>
      <c r="C104" s="3" t="s">
        <v>637</v>
      </c>
      <c r="D104" s="3" t="s">
        <v>679</v>
      </c>
      <c r="E104" s="3" t="s">
        <v>680</v>
      </c>
      <c r="F104" s="7">
        <v>-29.9</v>
      </c>
      <c r="G104" s="4">
        <v>156.88999999999999</v>
      </c>
      <c r="H104" s="4">
        <v>138.88</v>
      </c>
      <c r="I104" s="4">
        <v>29.81</v>
      </c>
      <c r="J104" s="4">
        <v>80.91</v>
      </c>
      <c r="K104" s="4">
        <v>172.79</v>
      </c>
      <c r="L104" s="4">
        <v>165.18</v>
      </c>
      <c r="M104" s="4">
        <v>4.7300000000000004</v>
      </c>
      <c r="N104" s="4">
        <v>64.290000000000006</v>
      </c>
      <c r="O104" s="4">
        <v>135.82</v>
      </c>
      <c r="P104" s="4">
        <v>170.22</v>
      </c>
      <c r="Q104" s="4">
        <v>5.94</v>
      </c>
      <c r="R104" s="8">
        <v>146.13</v>
      </c>
      <c r="S104" s="4">
        <v>134.72</v>
      </c>
      <c r="T104" s="8">
        <v>279.26</v>
      </c>
      <c r="U104" s="4">
        <v>-1.61</v>
      </c>
      <c r="V104" s="4">
        <v>38.299999999999997</v>
      </c>
      <c r="W104" s="4">
        <v>0</v>
      </c>
      <c r="X104" s="13">
        <v>0.23859434148049269</v>
      </c>
      <c r="Y104" s="11">
        <v>-1.3338044342372511E-2</v>
      </c>
      <c r="Z104" s="11">
        <v>-0.1930707251566697</v>
      </c>
      <c r="AA104" s="11">
        <v>-0.29893270020192148</v>
      </c>
    </row>
    <row r="105" spans="2:27">
      <c r="B105" s="3" t="s">
        <v>299</v>
      </c>
      <c r="C105" s="3" t="s">
        <v>637</v>
      </c>
      <c r="D105" s="3" t="s">
        <v>671</v>
      </c>
      <c r="E105" s="3" t="s">
        <v>670</v>
      </c>
      <c r="F105" s="7">
        <v>-59.9</v>
      </c>
      <c r="G105" s="4">
        <v>-0.91</v>
      </c>
      <c r="H105" s="4">
        <v>2.46</v>
      </c>
      <c r="I105" s="4">
        <v>-3.3</v>
      </c>
      <c r="J105" s="4">
        <v>-0.28000000000000003</v>
      </c>
      <c r="K105" s="8">
        <v>-4.34</v>
      </c>
      <c r="L105" s="8">
        <v>-4.79</v>
      </c>
      <c r="M105" s="4">
        <v>-3.97</v>
      </c>
      <c r="N105" s="4">
        <v>0</v>
      </c>
      <c r="O105" s="8">
        <v>-7.41</v>
      </c>
      <c r="P105" s="4">
        <v>-1.33</v>
      </c>
      <c r="Q105" s="4">
        <v>-0.12</v>
      </c>
      <c r="R105" s="4">
        <v>2.89</v>
      </c>
      <c r="S105" s="8">
        <v>-9.08</v>
      </c>
      <c r="T105" s="4">
        <v>-1.56</v>
      </c>
      <c r="U105" s="8">
        <v>-2.29</v>
      </c>
      <c r="V105" s="4">
        <v>2.9</v>
      </c>
      <c r="W105" s="4">
        <v>-3.07</v>
      </c>
      <c r="X105" s="9">
        <v>3.0104712041884921E-2</v>
      </c>
      <c r="Y105" s="10">
        <v>0.27573062261753489</v>
      </c>
      <c r="Z105" s="11">
        <v>-9.9601593625475715E-4</v>
      </c>
      <c r="AA105" s="11">
        <v>-0.59920239282153553</v>
      </c>
    </row>
    <row r="106" spans="2:27">
      <c r="B106" s="3" t="s">
        <v>390</v>
      </c>
      <c r="C106" s="3" t="s">
        <v>637</v>
      </c>
      <c r="D106" s="3" t="s">
        <v>677</v>
      </c>
      <c r="E106" s="3" t="s">
        <v>678</v>
      </c>
      <c r="F106" s="7">
        <v>-4725.3999999999996</v>
      </c>
      <c r="G106" s="3"/>
      <c r="H106" s="3"/>
      <c r="I106" s="4">
        <v>-68.27</v>
      </c>
      <c r="J106" s="4">
        <v>133.96</v>
      </c>
      <c r="K106" s="4">
        <v>133.96</v>
      </c>
      <c r="L106" s="4">
        <v>192.76</v>
      </c>
      <c r="M106" s="4">
        <v>-121.35</v>
      </c>
      <c r="N106" s="8">
        <v>172.4</v>
      </c>
      <c r="O106" s="8">
        <v>366.2</v>
      </c>
      <c r="P106" s="4">
        <v>-262.44</v>
      </c>
      <c r="Q106" s="8">
        <v>-59.89</v>
      </c>
      <c r="R106" s="4">
        <v>-26.6</v>
      </c>
      <c r="S106" s="4">
        <v>152.02000000000001</v>
      </c>
      <c r="T106" s="4">
        <v>-49.35</v>
      </c>
      <c r="U106" s="4">
        <v>-81.599999999999994</v>
      </c>
      <c r="V106" s="4">
        <v>3.5</v>
      </c>
      <c r="W106" s="4">
        <v>-1009</v>
      </c>
      <c r="X106" s="9">
        <v>-1.0821695190696261</v>
      </c>
      <c r="Y106" s="11">
        <v>-1.3417799752781201</v>
      </c>
      <c r="Z106" s="11">
        <v>-5.4430379746835573</v>
      </c>
      <c r="AA106" s="11">
        <v>-47.25356125356123</v>
      </c>
    </row>
    <row r="107" spans="2:27">
      <c r="B107" s="3" t="s">
        <v>236</v>
      </c>
      <c r="C107" s="3" t="s">
        <v>666</v>
      </c>
      <c r="D107" s="3" t="s">
        <v>667</v>
      </c>
      <c r="E107" s="3" t="s">
        <v>670</v>
      </c>
      <c r="F107" s="7">
        <v>1.3</v>
      </c>
      <c r="G107" s="4">
        <v>2898</v>
      </c>
      <c r="H107" s="4">
        <v>2950</v>
      </c>
      <c r="I107" s="4">
        <v>3395</v>
      </c>
      <c r="J107" s="4">
        <v>2904</v>
      </c>
      <c r="K107" s="4">
        <v>2080</v>
      </c>
      <c r="L107" s="4">
        <v>771</v>
      </c>
      <c r="M107" s="4">
        <v>3777</v>
      </c>
      <c r="N107" s="8">
        <v>4154</v>
      </c>
      <c r="O107" s="8">
        <v>3463</v>
      </c>
      <c r="P107" s="8">
        <v>3058</v>
      </c>
      <c r="Q107" s="4">
        <v>4354</v>
      </c>
      <c r="R107" s="4">
        <v>592</v>
      </c>
      <c r="S107" s="4">
        <v>3734</v>
      </c>
      <c r="T107" s="4">
        <v>247</v>
      </c>
      <c r="U107" s="4">
        <v>4223</v>
      </c>
      <c r="V107" s="8">
        <v>5554</v>
      </c>
      <c r="W107" s="4">
        <v>3915</v>
      </c>
      <c r="X107" s="9">
        <v>-0.23947861645936269</v>
      </c>
      <c r="Y107" s="11">
        <v>-1.4674582726559859E-2</v>
      </c>
      <c r="Z107" s="10">
        <v>0.56412005457025916</v>
      </c>
      <c r="AA107" s="11">
        <v>1.3155981974124041E-2</v>
      </c>
    </row>
    <row r="108" spans="2:27">
      <c r="B108" s="3" t="s">
        <v>358</v>
      </c>
      <c r="C108" s="3" t="s">
        <v>666</v>
      </c>
      <c r="D108" s="3" t="s">
        <v>667</v>
      </c>
      <c r="E108" s="3" t="s">
        <v>670</v>
      </c>
      <c r="F108" s="7">
        <v>-7.4</v>
      </c>
      <c r="G108" s="4">
        <v>505</v>
      </c>
      <c r="H108" s="4">
        <v>-932</v>
      </c>
      <c r="I108" s="4">
        <v>479</v>
      </c>
      <c r="J108" s="4">
        <v>525</v>
      </c>
      <c r="K108" s="4">
        <v>490</v>
      </c>
      <c r="L108" s="8">
        <v>-325</v>
      </c>
      <c r="M108" s="4">
        <v>398</v>
      </c>
      <c r="N108" s="8">
        <v>5078</v>
      </c>
      <c r="O108" s="8">
        <v>1327</v>
      </c>
      <c r="P108" s="4">
        <v>-2296</v>
      </c>
      <c r="Q108" s="8">
        <v>2284</v>
      </c>
      <c r="R108" s="4">
        <v>-522</v>
      </c>
      <c r="S108" s="4">
        <v>580.67999999999995</v>
      </c>
      <c r="T108" s="8">
        <v>-783.82</v>
      </c>
      <c r="U108" s="4">
        <v>-772.31</v>
      </c>
      <c r="V108" s="4">
        <v>-406.69</v>
      </c>
      <c r="W108" s="4">
        <v>683.54</v>
      </c>
      <c r="X108" s="13">
        <v>32.394601542416488</v>
      </c>
      <c r="Y108" s="11">
        <v>-1.960605827335361</v>
      </c>
      <c r="Z108" s="11">
        <v>-7.7004240542255076E-2</v>
      </c>
      <c r="AA108" s="11">
        <v>-7.4420825676125513E-2</v>
      </c>
    </row>
    <row r="109" spans="2:27">
      <c r="B109" s="3" t="s">
        <v>162</v>
      </c>
      <c r="C109" s="3" t="s">
        <v>666</v>
      </c>
      <c r="D109" s="3" t="s">
        <v>667</v>
      </c>
      <c r="E109" s="3" t="s">
        <v>670</v>
      </c>
      <c r="F109" s="7">
        <v>-9.8000000000000007</v>
      </c>
      <c r="G109" s="4">
        <v>4649</v>
      </c>
      <c r="H109" s="4">
        <v>2180</v>
      </c>
      <c r="I109" s="4">
        <v>2149</v>
      </c>
      <c r="J109" s="4">
        <v>3159</v>
      </c>
      <c r="K109" s="4">
        <v>4253</v>
      </c>
      <c r="L109" s="4">
        <v>2390</v>
      </c>
      <c r="M109" s="4">
        <v>3144</v>
      </c>
      <c r="N109" s="8">
        <v>5039</v>
      </c>
      <c r="O109" s="8">
        <v>6011</v>
      </c>
      <c r="P109" s="4">
        <v>3327</v>
      </c>
      <c r="Q109" s="8">
        <v>15195</v>
      </c>
      <c r="R109" s="8">
        <v>10110</v>
      </c>
      <c r="S109" s="4">
        <v>8169</v>
      </c>
      <c r="T109" s="4">
        <v>-6737</v>
      </c>
      <c r="U109" s="4">
        <v>4791</v>
      </c>
      <c r="V109" s="4">
        <v>5734</v>
      </c>
      <c r="W109" s="4">
        <v>6992</v>
      </c>
      <c r="X109" s="9">
        <v>-0.27347082959702179</v>
      </c>
      <c r="Y109" s="11">
        <v>-0.3891236862774432</v>
      </c>
      <c r="Z109" s="11">
        <v>-0.26792383518030982</v>
      </c>
      <c r="AA109" s="11">
        <v>-9.8436062557497706E-2</v>
      </c>
    </row>
    <row r="110" spans="2:27">
      <c r="B110" s="3" t="s">
        <v>44</v>
      </c>
      <c r="C110" s="3" t="s">
        <v>681</v>
      </c>
      <c r="D110" s="3" t="s">
        <v>667</v>
      </c>
      <c r="E110" s="3" t="s">
        <v>682</v>
      </c>
      <c r="F110" s="7">
        <v>7.6</v>
      </c>
      <c r="G110" s="3"/>
      <c r="H110" s="3"/>
      <c r="I110" s="3"/>
      <c r="J110" s="3"/>
      <c r="K110" s="3"/>
      <c r="L110" s="3"/>
      <c r="M110" s="3"/>
      <c r="N110" s="4">
        <v>428.02</v>
      </c>
      <c r="O110" s="4">
        <v>-192.25</v>
      </c>
      <c r="P110" s="4">
        <v>209.71</v>
      </c>
      <c r="Q110" s="4">
        <v>4.6399999999999997</v>
      </c>
      <c r="R110" s="4">
        <v>0</v>
      </c>
      <c r="S110" s="8">
        <v>333.66</v>
      </c>
      <c r="T110" s="4">
        <v>0</v>
      </c>
      <c r="U110" s="8">
        <v>538.04999999999995</v>
      </c>
      <c r="V110" s="8">
        <v>261.56</v>
      </c>
      <c r="W110" s="4">
        <v>419.31</v>
      </c>
      <c r="X110" s="9">
        <v>-0.38267549862228789</v>
      </c>
      <c r="Y110" s="10">
        <v>1.5767366242979599</v>
      </c>
      <c r="Z110" s="10">
        <v>0.30005391701368578</v>
      </c>
      <c r="AA110" s="11">
        <v>7.5577752874425475E-2</v>
      </c>
    </row>
    <row r="111" spans="2:27">
      <c r="B111" s="3" t="s">
        <v>42</v>
      </c>
      <c r="C111" s="3" t="s">
        <v>681</v>
      </c>
      <c r="D111" s="3" t="s">
        <v>667</v>
      </c>
      <c r="E111" s="3" t="s">
        <v>684</v>
      </c>
      <c r="F111" s="7">
        <v>5.5</v>
      </c>
      <c r="G111" s="3"/>
      <c r="H111" s="3"/>
      <c r="I111" s="3"/>
      <c r="J111" s="3"/>
      <c r="K111" s="3"/>
      <c r="L111" s="3"/>
      <c r="M111" s="3"/>
      <c r="N111" s="4">
        <v>-7.29</v>
      </c>
      <c r="O111" s="4">
        <v>-0.8</v>
      </c>
      <c r="P111" s="4">
        <v>0.62</v>
      </c>
      <c r="Q111" s="4">
        <v>-9.09</v>
      </c>
      <c r="R111" s="8">
        <v>-22.78</v>
      </c>
      <c r="S111" s="8">
        <v>-6.67</v>
      </c>
      <c r="T111" s="8">
        <v>-19.52</v>
      </c>
      <c r="U111" s="8">
        <v>-23.85</v>
      </c>
      <c r="V111" s="4">
        <v>-18.86</v>
      </c>
      <c r="W111" s="4">
        <v>-10.43</v>
      </c>
      <c r="X111" s="13">
        <v>0.5311181434599157</v>
      </c>
      <c r="Y111" s="10">
        <v>0.25421977264898388</v>
      </c>
      <c r="Z111" s="11">
        <v>-5.3831365009612719E-2</v>
      </c>
      <c r="AA111" s="11">
        <v>5.4571843251088437E-2</v>
      </c>
    </row>
    <row r="112" spans="2:27">
      <c r="B112" s="3" t="s">
        <v>36</v>
      </c>
      <c r="C112" s="3" t="s">
        <v>681</v>
      </c>
      <c r="D112" s="3" t="s">
        <v>667</v>
      </c>
      <c r="E112" s="3" t="s">
        <v>684</v>
      </c>
      <c r="F112" s="7">
        <v>4.4000000000000004</v>
      </c>
      <c r="G112" s="3"/>
      <c r="H112" s="3"/>
      <c r="I112" s="3"/>
      <c r="J112" s="3"/>
      <c r="K112" s="3"/>
      <c r="L112" s="3"/>
      <c r="M112" s="3"/>
      <c r="N112" s="4">
        <v>-11.38</v>
      </c>
      <c r="O112" s="4">
        <v>-10.06</v>
      </c>
      <c r="P112" s="4">
        <v>-21.38</v>
      </c>
      <c r="Q112" s="4">
        <v>-12.26</v>
      </c>
      <c r="R112" s="4">
        <v>19.57</v>
      </c>
      <c r="S112" s="4">
        <v>3.23</v>
      </c>
      <c r="T112" s="8">
        <v>-45.99</v>
      </c>
      <c r="U112" s="8">
        <v>-23.96</v>
      </c>
      <c r="V112" s="8">
        <v>-120.04</v>
      </c>
      <c r="W112" s="4">
        <v>-4.97</v>
      </c>
      <c r="X112" s="13">
        <v>2.2702952029520298</v>
      </c>
      <c r="Y112" s="10">
        <v>0.33004231311706639</v>
      </c>
      <c r="Z112" s="10">
        <v>2.960975609756098</v>
      </c>
      <c r="AA112" s="11">
        <v>4.3906618119511583E-2</v>
      </c>
    </row>
    <row r="113" spans="2:27">
      <c r="B113" s="3" t="s">
        <v>58</v>
      </c>
      <c r="C113" s="3" t="s">
        <v>681</v>
      </c>
      <c r="D113" s="3" t="s">
        <v>667</v>
      </c>
      <c r="E113" s="3" t="s">
        <v>682</v>
      </c>
      <c r="F113" s="7">
        <v>-2</v>
      </c>
      <c r="G113" s="3"/>
      <c r="H113" s="3"/>
      <c r="I113" s="3"/>
      <c r="J113" s="3"/>
      <c r="K113" s="3"/>
      <c r="L113" s="3"/>
      <c r="M113" s="3"/>
      <c r="N113" s="4">
        <v>94.16</v>
      </c>
      <c r="O113" s="4">
        <v>55.58</v>
      </c>
      <c r="P113" s="4">
        <v>32.74</v>
      </c>
      <c r="Q113" s="4">
        <v>50.31</v>
      </c>
      <c r="R113" s="4">
        <v>78.010000000000005</v>
      </c>
      <c r="S113" s="8">
        <v>114.57</v>
      </c>
      <c r="T113" s="8">
        <v>129.93</v>
      </c>
      <c r="U113" s="8">
        <v>111.4</v>
      </c>
      <c r="V113" s="8">
        <v>123.49</v>
      </c>
      <c r="W113" s="4">
        <v>105.03</v>
      </c>
      <c r="X113" s="13">
        <v>0.35261038348510693</v>
      </c>
      <c r="Y113" s="10">
        <v>0.16385923501958069</v>
      </c>
      <c r="Z113" s="10">
        <v>0.10481436242538771</v>
      </c>
      <c r="AA113" s="11">
        <v>-1.9900289951813699E-2</v>
      </c>
    </row>
    <row r="114" spans="2:27">
      <c r="B114" s="3" t="s">
        <v>104</v>
      </c>
      <c r="C114" s="3" t="s">
        <v>681</v>
      </c>
      <c r="D114" s="3" t="s">
        <v>667</v>
      </c>
      <c r="E114" s="3" t="s">
        <v>684</v>
      </c>
      <c r="F114" s="7">
        <v>-4.4000000000000004</v>
      </c>
      <c r="G114" s="3"/>
      <c r="H114" s="3"/>
      <c r="I114" s="3"/>
      <c r="J114" s="3"/>
      <c r="K114" s="3"/>
      <c r="L114" s="3"/>
      <c r="M114" s="3"/>
      <c r="N114" s="4">
        <v>0</v>
      </c>
      <c r="O114" s="4">
        <v>-12.96</v>
      </c>
      <c r="P114" s="4">
        <v>-11.82</v>
      </c>
      <c r="Q114" s="4">
        <v>-4.95</v>
      </c>
      <c r="R114" s="8">
        <v>-13.15</v>
      </c>
      <c r="S114" s="4">
        <v>-5.26</v>
      </c>
      <c r="T114" s="4">
        <v>-1</v>
      </c>
      <c r="U114" s="4">
        <v>-5.34</v>
      </c>
      <c r="V114" s="4">
        <v>-6.43</v>
      </c>
      <c r="W114" s="4">
        <v>-4.47</v>
      </c>
      <c r="X114" s="9">
        <v>-0.3075611142694713</v>
      </c>
      <c r="Y114" s="11">
        <v>1.6009852216748891E-2</v>
      </c>
      <c r="Z114" s="11">
        <v>-0.27151515151515149</v>
      </c>
      <c r="AA114" s="11">
        <v>-4.3815862451469963E-2</v>
      </c>
    </row>
    <row r="115" spans="2:27">
      <c r="B115" s="3" t="s">
        <v>222</v>
      </c>
      <c r="C115" s="3" t="s">
        <v>683</v>
      </c>
      <c r="D115" s="3" t="s">
        <v>667</v>
      </c>
      <c r="E115" s="3" t="s">
        <v>684</v>
      </c>
      <c r="F115" s="7">
        <v>-5.2</v>
      </c>
      <c r="G115" s="3"/>
      <c r="H115" s="3"/>
      <c r="I115" s="3"/>
      <c r="J115" s="3"/>
      <c r="K115" s="3"/>
      <c r="L115" s="3"/>
      <c r="M115" s="3"/>
      <c r="N115" s="4">
        <v>66.540000000000006</v>
      </c>
      <c r="O115" s="4">
        <v>74.459999999999994</v>
      </c>
      <c r="P115" s="4">
        <v>57.76</v>
      </c>
      <c r="Q115" s="4">
        <v>32.79</v>
      </c>
      <c r="R115" s="4">
        <v>68.95</v>
      </c>
      <c r="S115" s="4">
        <v>70.180000000000007</v>
      </c>
      <c r="T115" s="4">
        <v>57.5</v>
      </c>
      <c r="U115" s="8">
        <v>71.150000000000006</v>
      </c>
      <c r="V115" s="4">
        <v>52.94</v>
      </c>
      <c r="W115" s="4">
        <v>57.13</v>
      </c>
      <c r="X115" s="9">
        <v>-1.1320097526993369E-3</v>
      </c>
      <c r="Y115" s="10">
        <v>0.16720425420625931</v>
      </c>
      <c r="Z115" s="11">
        <v>-5.9787885577713078E-2</v>
      </c>
      <c r="AA115" s="11">
        <v>-5.1833022202804169E-2</v>
      </c>
    </row>
  </sheetData>
  <autoFilter ref="B2:AA115" xr:uid="{00000000-0009-0000-0000-000002000000}"/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14"/>
  <sheetViews>
    <sheetView workbookViewId="0">
      <selection activeCell="B5" sqref="B5"/>
    </sheetView>
  </sheetViews>
  <sheetFormatPr defaultRowHeight="16.5"/>
  <cols>
    <col min="1" max="1" width="3" customWidth="1"/>
    <col min="2" max="2" width="18" customWidth="1"/>
    <col min="3" max="19" width="8" customWidth="1"/>
  </cols>
  <sheetData>
    <row r="2" spans="2:19">
      <c r="B2" s="14" t="s">
        <v>686</v>
      </c>
    </row>
    <row r="4" spans="2:19">
      <c r="B4" s="15" t="s">
        <v>695</v>
      </c>
      <c r="C4" s="14">
        <v>6</v>
      </c>
      <c r="D4" s="14">
        <v>7</v>
      </c>
      <c r="E4" s="14">
        <v>8</v>
      </c>
      <c r="F4" s="14">
        <v>9</v>
      </c>
      <c r="G4" s="14">
        <v>10</v>
      </c>
      <c r="H4" s="14">
        <v>11</v>
      </c>
      <c r="I4" s="14">
        <v>12</v>
      </c>
      <c r="J4" s="14">
        <v>13</v>
      </c>
      <c r="K4" s="14">
        <v>14</v>
      </c>
      <c r="L4" s="14">
        <v>15</v>
      </c>
      <c r="M4" s="14">
        <v>16</v>
      </c>
      <c r="N4" s="14">
        <v>17</v>
      </c>
      <c r="O4" s="14">
        <v>18</v>
      </c>
      <c r="P4" s="14">
        <v>19</v>
      </c>
      <c r="Q4" s="14">
        <v>20</v>
      </c>
      <c r="R4" s="14">
        <v>21</v>
      </c>
      <c r="S4" s="14">
        <v>22</v>
      </c>
    </row>
    <row r="5" spans="2:19" ht="21" customHeight="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2:19" ht="18" customHeight="1">
      <c r="B6" s="21"/>
      <c r="C6" s="22" t="s">
        <v>616</v>
      </c>
      <c r="D6" s="22" t="s">
        <v>617</v>
      </c>
      <c r="E6" s="22" t="s">
        <v>618</v>
      </c>
      <c r="F6" s="22" t="s">
        <v>619</v>
      </c>
      <c r="G6" s="22" t="s">
        <v>620</v>
      </c>
      <c r="H6" s="22" t="s">
        <v>621</v>
      </c>
      <c r="I6" s="22" t="s">
        <v>622</v>
      </c>
      <c r="J6" s="22" t="s">
        <v>623</v>
      </c>
      <c r="K6" s="22" t="s">
        <v>624</v>
      </c>
      <c r="L6" s="22" t="s">
        <v>625</v>
      </c>
      <c r="M6" s="22" t="s">
        <v>626</v>
      </c>
      <c r="N6" s="22" t="s">
        <v>627</v>
      </c>
      <c r="O6" s="22" t="s">
        <v>628</v>
      </c>
      <c r="P6" s="22" t="s">
        <v>629</v>
      </c>
      <c r="Q6" s="22" t="s">
        <v>630</v>
      </c>
      <c r="R6" s="22" t="s">
        <v>631</v>
      </c>
      <c r="S6" s="22" t="s">
        <v>632</v>
      </c>
    </row>
    <row r="7" spans="2:19">
      <c r="B7" s="15" t="s">
        <v>687</v>
      </c>
      <c r="C7" s="16">
        <f>IFERROR(VLOOKUP($B$4,Revenue!$B$2:$X$500,C$4,FALSE),"-")</f>
        <v>432.87</v>
      </c>
      <c r="D7" s="16">
        <f>IFERROR(VLOOKUP($B$4,Revenue!$B$2:$X$500,D$4,FALSE),"-")</f>
        <v>446.36</v>
      </c>
      <c r="E7" s="16">
        <f>IFERROR(VLOOKUP($B$4,Revenue!$B$2:$X$500,E$4,FALSE),"-")</f>
        <v>473.01</v>
      </c>
      <c r="F7" s="16">
        <f>IFERROR(VLOOKUP($B$4,Revenue!$B$2:$X$500,F$4,FALSE),"-")</f>
        <v>477.88</v>
      </c>
      <c r="G7" s="16">
        <f>IFERROR(VLOOKUP($B$4,Revenue!$B$2:$X$500,G$4,FALSE),"-")</f>
        <v>508.62</v>
      </c>
      <c r="H7" s="16">
        <f>IFERROR(VLOOKUP($B$4,Revenue!$B$2:$X$500,H$4,FALSE),"-")</f>
        <v>525.19000000000005</v>
      </c>
      <c r="I7" s="16">
        <f>IFERROR(VLOOKUP($B$4,Revenue!$B$2:$X$500,I$4,FALSE),"-")</f>
        <v>533.32000000000005</v>
      </c>
      <c r="J7" s="16">
        <f>IFERROR(VLOOKUP($B$4,Revenue!$B$2:$X$500,J$4,FALSE),"-")</f>
        <v>558.16</v>
      </c>
      <c r="K7" s="16">
        <f>IFERROR(VLOOKUP($B$4,Revenue!$B$2:$X$500,K$4,FALSE),"-")</f>
        <v>608.35</v>
      </c>
      <c r="L7" s="16">
        <f>IFERROR(VLOOKUP($B$4,Revenue!$B$2:$X$500,L$4,FALSE),"-")</f>
        <v>634.34</v>
      </c>
      <c r="M7" s="16">
        <f>IFERROR(VLOOKUP($B$4,Revenue!$B$2:$X$500,M$4,FALSE),"-")</f>
        <v>678.13</v>
      </c>
      <c r="N7" s="16">
        <f>IFERROR(VLOOKUP($B$4,Revenue!$B$2:$X$500,N$4,FALSE),"-")</f>
        <v>725.52</v>
      </c>
      <c r="O7" s="16">
        <f>IFERROR(VLOOKUP($B$4,Revenue!$B$2:$X$500,O$4,FALSE),"-")</f>
        <v>827.52</v>
      </c>
      <c r="P7" s="16">
        <f>IFERROR(VLOOKUP($B$4,Revenue!$B$2:$X$500,P$4,FALSE),"-")</f>
        <v>883.86</v>
      </c>
      <c r="Q7" s="16">
        <f>IFERROR(VLOOKUP($B$4,Revenue!$B$2:$X$500,Q$4,FALSE),"-")</f>
        <v>1004</v>
      </c>
      <c r="R7" s="16">
        <f>IFERROR(VLOOKUP($B$4,Revenue!$B$2:$X$500,R$4,FALSE),"-")</f>
        <v>1181</v>
      </c>
      <c r="S7" s="16">
        <f>IFERROR(VLOOKUP($B$4,Revenue!$B$2:$X$500,S$4,FALSE),"-")</f>
        <v>1407</v>
      </c>
    </row>
    <row r="8" spans="2:19">
      <c r="B8" s="15" t="s">
        <v>688</v>
      </c>
      <c r="C8" s="16">
        <f>IFERROR(VLOOKUP($B$4,'Operating Income'!$B$2:$X$500,C$4,FALSE),"-")</f>
        <v>-58.94</v>
      </c>
      <c r="D8" s="16">
        <f>IFERROR(VLOOKUP($B$4,'Operating Income'!$B$2:$X$500,D$4,FALSE),"-")</f>
        <v>-39.44</v>
      </c>
      <c r="E8" s="16">
        <f>IFERROR(VLOOKUP($B$4,'Operating Income'!$B$2:$X$500,E$4,FALSE),"-")</f>
        <v>-41.75</v>
      </c>
      <c r="F8" s="16">
        <f>IFERROR(VLOOKUP($B$4,'Operating Income'!$B$2:$X$500,F$4,FALSE),"-")</f>
        <v>-62.19</v>
      </c>
      <c r="G8" s="16">
        <f>IFERROR(VLOOKUP($B$4,'Operating Income'!$B$2:$X$500,G$4,FALSE),"-")</f>
        <v>-17.829999999999998</v>
      </c>
      <c r="H8" s="16">
        <f>IFERROR(VLOOKUP($B$4,'Operating Income'!$B$2:$X$500,H$4,FALSE),"-")</f>
        <v>4.12</v>
      </c>
      <c r="I8" s="16">
        <f>IFERROR(VLOOKUP($B$4,'Operating Income'!$B$2:$X$500,I$4,FALSE),"-")</f>
        <v>10.07</v>
      </c>
      <c r="J8" s="16">
        <f>IFERROR(VLOOKUP($B$4,'Operating Income'!$B$2:$X$500,J$4,FALSE),"-")</f>
        <v>39.979999999999997</v>
      </c>
      <c r="K8" s="16">
        <f>IFERROR(VLOOKUP($B$4,'Operating Income'!$B$2:$X$500,K$4,FALSE),"-")</f>
        <v>65.790000000000006</v>
      </c>
      <c r="L8" s="16">
        <f>IFERROR(VLOOKUP($B$4,'Operating Income'!$B$2:$X$500,L$4,FALSE),"-")</f>
        <v>80.88</v>
      </c>
      <c r="M8" s="16">
        <f>IFERROR(VLOOKUP($B$4,'Operating Income'!$B$2:$X$500,M$4,FALSE),"-")</f>
        <v>105.34</v>
      </c>
      <c r="N8" s="16">
        <f>IFERROR(VLOOKUP($B$4,'Operating Income'!$B$2:$X$500,N$4,FALSE),"-")</f>
        <v>113.14</v>
      </c>
      <c r="O8" s="16">
        <f>IFERROR(VLOOKUP($B$4,'Operating Income'!$B$2:$X$500,O$4,FALSE),"-")</f>
        <v>11.04</v>
      </c>
      <c r="P8" s="16">
        <f>IFERROR(VLOOKUP($B$4,'Operating Income'!$B$2:$X$500,P$4,FALSE),"-")</f>
        <v>176.05</v>
      </c>
      <c r="Q8" s="16">
        <f>IFERROR(VLOOKUP($B$4,'Operating Income'!$B$2:$X$500,Q$4,FALSE),"-")</f>
        <v>269.32</v>
      </c>
      <c r="R8" s="16">
        <f>IFERROR(VLOOKUP($B$4,'Operating Income'!$B$2:$X$500,R$4,FALSE),"-")</f>
        <v>393.26</v>
      </c>
      <c r="S8" s="16">
        <f>IFERROR(VLOOKUP($B$4,'Operating Income'!$B$2:$X$500,S$4,FALSE),"-")</f>
        <v>575.39</v>
      </c>
    </row>
    <row r="9" spans="2:19">
      <c r="B9" s="15" t="s">
        <v>689</v>
      </c>
      <c r="C9" s="16">
        <f>IFERROR(AVERAGE(C8:C8),"-")</f>
        <v>-58.94</v>
      </c>
      <c r="D9" s="16">
        <f>IFERROR(AVERAGE(C8:D8),"-")</f>
        <v>-49.19</v>
      </c>
      <c r="E9" s="16">
        <f>IFERROR(AVERAGE(C8:E8),"-")</f>
        <v>-46.71</v>
      </c>
      <c r="F9" s="16">
        <f t="shared" ref="F9:S9" si="0">IFERROR(AVERAGE(C8:F8),"-")</f>
        <v>-50.58</v>
      </c>
      <c r="G9" s="16">
        <f t="shared" si="0"/>
        <v>-40.302499999999995</v>
      </c>
      <c r="H9" s="16">
        <f t="shared" si="0"/>
        <v>-29.412499999999998</v>
      </c>
      <c r="I9" s="16">
        <f t="shared" si="0"/>
        <v>-16.457499999999996</v>
      </c>
      <c r="J9" s="16">
        <f t="shared" si="0"/>
        <v>9.0850000000000009</v>
      </c>
      <c r="K9" s="16">
        <f t="shared" si="0"/>
        <v>29.990000000000002</v>
      </c>
      <c r="L9" s="16">
        <f t="shared" si="0"/>
        <v>49.18</v>
      </c>
      <c r="M9" s="16">
        <f t="shared" si="0"/>
        <v>72.997500000000002</v>
      </c>
      <c r="N9" s="16">
        <f t="shared" si="0"/>
        <v>91.287500000000009</v>
      </c>
      <c r="O9" s="16">
        <f t="shared" si="0"/>
        <v>77.600000000000009</v>
      </c>
      <c r="P9" s="16">
        <f t="shared" si="0"/>
        <v>101.39250000000001</v>
      </c>
      <c r="Q9" s="16">
        <f t="shared" si="0"/>
        <v>142.38749999999999</v>
      </c>
      <c r="R9" s="16">
        <f t="shared" si="0"/>
        <v>212.41749999999999</v>
      </c>
      <c r="S9" s="16">
        <f t="shared" si="0"/>
        <v>353.505</v>
      </c>
    </row>
    <row r="10" spans="2:19">
      <c r="B10" s="15" t="s">
        <v>690</v>
      </c>
      <c r="C10" s="16">
        <f>IFERROR(SUM(C8:C8),"-")</f>
        <v>-58.94</v>
      </c>
      <c r="D10" s="16">
        <f>IFERROR(SUM(C8:D8),"-")</f>
        <v>-98.38</v>
      </c>
      <c r="E10" s="16">
        <f>IFERROR(SUM(C8:E8),"-")</f>
        <v>-140.13</v>
      </c>
      <c r="F10" s="16">
        <f t="shared" ref="F10:S10" si="1">IFERROR(SUM(C8:F8),"-")</f>
        <v>-202.32</v>
      </c>
      <c r="G10" s="16">
        <f t="shared" si="1"/>
        <v>-161.20999999999998</v>
      </c>
      <c r="H10" s="16">
        <f t="shared" si="1"/>
        <v>-117.64999999999999</v>
      </c>
      <c r="I10" s="16">
        <f t="shared" si="1"/>
        <v>-65.829999999999984</v>
      </c>
      <c r="J10" s="16">
        <f t="shared" si="1"/>
        <v>36.340000000000003</v>
      </c>
      <c r="K10" s="16">
        <f t="shared" si="1"/>
        <v>119.96000000000001</v>
      </c>
      <c r="L10" s="16">
        <f t="shared" si="1"/>
        <v>196.72</v>
      </c>
      <c r="M10" s="16">
        <f t="shared" si="1"/>
        <v>291.99</v>
      </c>
      <c r="N10" s="16">
        <f t="shared" si="1"/>
        <v>365.15000000000003</v>
      </c>
      <c r="O10" s="16">
        <f t="shared" si="1"/>
        <v>310.40000000000003</v>
      </c>
      <c r="P10" s="16">
        <f t="shared" si="1"/>
        <v>405.57000000000005</v>
      </c>
      <c r="Q10" s="16">
        <f t="shared" si="1"/>
        <v>569.54999999999995</v>
      </c>
      <c r="R10" s="16">
        <f t="shared" si="1"/>
        <v>849.67</v>
      </c>
      <c r="S10" s="16">
        <f t="shared" si="1"/>
        <v>1414.02</v>
      </c>
    </row>
    <row r="11" spans="2:19">
      <c r="B11" s="17" t="s">
        <v>691</v>
      </c>
      <c r="D11" s="18">
        <f t="shared" ref="D11:S11" si="2">IFERROR(D9/C9-1,"-")</f>
        <v>-0.165422463522226</v>
      </c>
      <c r="E11" s="18">
        <f t="shared" si="2"/>
        <v>-5.0416751372230117E-2</v>
      </c>
      <c r="F11" s="18">
        <f t="shared" si="2"/>
        <v>8.2851637764932429E-2</v>
      </c>
      <c r="G11" s="18">
        <f t="shared" si="2"/>
        <v>-0.20319296164491907</v>
      </c>
      <c r="H11" s="18">
        <f t="shared" si="2"/>
        <v>-0.27020656286830835</v>
      </c>
      <c r="I11" s="18">
        <f t="shared" si="2"/>
        <v>-0.44045898852528698</v>
      </c>
      <c r="J11" s="18">
        <f t="shared" si="2"/>
        <v>-1.5520279507823183</v>
      </c>
      <c r="K11" s="18">
        <f t="shared" si="2"/>
        <v>2.3010456796917995</v>
      </c>
      <c r="L11" s="18">
        <f t="shared" si="2"/>
        <v>0.63987995998666203</v>
      </c>
      <c r="M11" s="18">
        <f t="shared" si="2"/>
        <v>0.48429239528263524</v>
      </c>
      <c r="N11" s="18">
        <f t="shared" si="2"/>
        <v>0.2505565259084217</v>
      </c>
      <c r="O11" s="18">
        <f t="shared" si="2"/>
        <v>-0.14993838148706007</v>
      </c>
      <c r="P11" s="18">
        <f t="shared" si="2"/>
        <v>0.30660438144329905</v>
      </c>
      <c r="Q11" s="18">
        <f t="shared" si="2"/>
        <v>0.40431984614246597</v>
      </c>
      <c r="R11" s="18">
        <f t="shared" si="2"/>
        <v>0.49182688087086301</v>
      </c>
      <c r="S11" s="18">
        <f t="shared" si="2"/>
        <v>0.66419904198100443</v>
      </c>
    </row>
    <row r="12" spans="2:19">
      <c r="B12" s="15" t="s">
        <v>692</v>
      </c>
      <c r="C12" s="19">
        <f t="shared" ref="C12:S12" si="3">IFERROR(C8/C7,"-")</f>
        <v>-0.13616097211633976</v>
      </c>
      <c r="D12" s="19">
        <f t="shared" si="3"/>
        <v>-8.8359171968814404E-2</v>
      </c>
      <c r="E12" s="19">
        <f t="shared" si="3"/>
        <v>-8.8264518720534452E-2</v>
      </c>
      <c r="F12" s="19">
        <f t="shared" si="3"/>
        <v>-0.13013727295555369</v>
      </c>
      <c r="G12" s="19">
        <f t="shared" si="3"/>
        <v>-3.5055640753411187E-2</v>
      </c>
      <c r="H12" s="19">
        <f t="shared" si="3"/>
        <v>7.8447799843866031E-3</v>
      </c>
      <c r="I12" s="19">
        <f t="shared" si="3"/>
        <v>1.8881722043051077E-2</v>
      </c>
      <c r="J12" s="19">
        <f t="shared" si="3"/>
        <v>7.1628206965744581E-2</v>
      </c>
      <c r="K12" s="19">
        <f t="shared" si="3"/>
        <v>0.10814498232925127</v>
      </c>
      <c r="L12" s="19">
        <f t="shared" si="3"/>
        <v>0.12750260112873221</v>
      </c>
      <c r="M12" s="19">
        <f t="shared" si="3"/>
        <v>0.15533894680960877</v>
      </c>
      <c r="N12" s="19">
        <f t="shared" si="3"/>
        <v>0.15594332340941669</v>
      </c>
      <c r="O12" s="19">
        <f t="shared" si="3"/>
        <v>1.334106728538283E-2</v>
      </c>
      <c r="P12" s="19">
        <f t="shared" si="3"/>
        <v>0.19918312854977033</v>
      </c>
      <c r="Q12" s="19">
        <f t="shared" si="3"/>
        <v>0.26824701195219125</v>
      </c>
      <c r="R12" s="19">
        <f t="shared" si="3"/>
        <v>0.33298899237933954</v>
      </c>
      <c r="S12" s="19">
        <f t="shared" si="3"/>
        <v>0.40894811656005686</v>
      </c>
    </row>
    <row r="13" spans="2:19">
      <c r="B13" s="15" t="s">
        <v>693</v>
      </c>
      <c r="G13" s="19">
        <f t="shared" ref="G13:S13" si="4">IFERROR(G8/C8-1,"-")</f>
        <v>-0.69748897183576519</v>
      </c>
      <c r="H13" s="19">
        <f t="shared" si="4"/>
        <v>-1.1044624746450304</v>
      </c>
      <c r="I13" s="19">
        <f t="shared" si="4"/>
        <v>-1.2411976047904192</v>
      </c>
      <c r="J13" s="19">
        <f t="shared" si="4"/>
        <v>-1.6428686283968483</v>
      </c>
      <c r="K13" s="19">
        <f t="shared" si="4"/>
        <v>-4.6898485698261361</v>
      </c>
      <c r="L13" s="19">
        <f t="shared" si="4"/>
        <v>18.631067961165048</v>
      </c>
      <c r="M13" s="19">
        <f t="shared" si="4"/>
        <v>9.4607745779543198</v>
      </c>
      <c r="N13" s="19">
        <f t="shared" si="4"/>
        <v>1.8299149574787394</v>
      </c>
      <c r="O13" s="19">
        <f t="shared" si="4"/>
        <v>-0.83219334245326038</v>
      </c>
      <c r="P13" s="19">
        <f t="shared" si="4"/>
        <v>1.1766815034619191</v>
      </c>
      <c r="Q13" s="19">
        <f t="shared" si="4"/>
        <v>1.5566736282513762</v>
      </c>
      <c r="R13" s="19">
        <f t="shared" si="4"/>
        <v>2.4758706027929995</v>
      </c>
      <c r="S13" s="19">
        <f t="shared" si="4"/>
        <v>51.118659420289859</v>
      </c>
    </row>
    <row r="14" spans="2:19">
      <c r="B14" s="15" t="s">
        <v>694</v>
      </c>
      <c r="G14" s="19">
        <f t="shared" ref="G14:S14" si="5">IFERROR(G7/C7-1,"-")</f>
        <v>0.17499480213458996</v>
      </c>
      <c r="H14" s="19">
        <f t="shared" si="5"/>
        <v>0.17660632673178611</v>
      </c>
      <c r="I14" s="19">
        <f t="shared" si="5"/>
        <v>0.12750258979725593</v>
      </c>
      <c r="J14" s="19">
        <f t="shared" si="5"/>
        <v>0.16799196450991882</v>
      </c>
      <c r="K14" s="19">
        <f t="shared" si="5"/>
        <v>0.19607958790452606</v>
      </c>
      <c r="L14" s="19">
        <f t="shared" si="5"/>
        <v>0.20782954740189252</v>
      </c>
      <c r="M14" s="19">
        <f t="shared" si="5"/>
        <v>0.27152553813845337</v>
      </c>
      <c r="N14" s="19">
        <f t="shared" si="5"/>
        <v>0.29984233911423241</v>
      </c>
      <c r="O14" s="19">
        <f t="shared" si="5"/>
        <v>0.36026958165529699</v>
      </c>
      <c r="P14" s="19">
        <f t="shared" si="5"/>
        <v>0.39335372197874952</v>
      </c>
      <c r="Q14" s="19">
        <f t="shared" si="5"/>
        <v>0.4805420789524133</v>
      </c>
      <c r="R14" s="19">
        <f t="shared" si="5"/>
        <v>0.62779799316352403</v>
      </c>
      <c r="S14" s="19">
        <f t="shared" si="5"/>
        <v>0.70026102088167064</v>
      </c>
    </row>
  </sheetData>
  <phoneticPr fontId="9" type="noConversion"/>
  <conditionalFormatting sqref="D11:S11">
    <cfRule type="cellIs" dxfId="0" priority="1" operator="greaterThanOrEqual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2026-02-03T06:05:33Z</dcterms:created>
  <dcterms:modified xsi:type="dcterms:W3CDTF">2026-02-03T06:45:54Z</dcterms:modified>
</cp:coreProperties>
</file>