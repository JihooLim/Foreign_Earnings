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툴 개발\finchat 키인\"/>
    </mc:Choice>
  </mc:AlternateContent>
  <xr:revisionPtr revIDLastSave="0" documentId="13_ncr:1_{D837C7FB-3C05-48F5-9DEB-ED6B26B5DD3C}" xr6:coauthVersionLast="47" xr6:coauthVersionMax="47" xr10:uidLastSave="{00000000-0000-0000-0000-000000000000}"/>
  <bookViews>
    <workbookView xWindow="28680" yWindow="465" windowWidth="29040" windowHeight="15720" activeTab="3" xr2:uid="{00000000-000D-0000-FFFF-FFFF00000000}"/>
  </bookViews>
  <sheets>
    <sheet name="기업리스트" sheetId="1" r:id="rId1"/>
    <sheet name="Revenue" sheetId="2" r:id="rId2"/>
    <sheet name="Operating Income" sheetId="3" r:id="rId3"/>
    <sheet name="빨간줄" sheetId="4" r:id="rId4"/>
  </sheets>
  <definedNames>
    <definedName name="_xlnm._FilterDatabase" localSheetId="2" hidden="1">'Operating Income'!$B$2:$AA$153</definedName>
    <definedName name="_xlnm._FilterDatabase" localSheetId="1" hidden="1">Revenue!$B$2:$AA$153</definedName>
    <definedName name="_xlnm._FilterDatabase" localSheetId="0" hidden="1">기업리스트!$B$3:$G$203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8" i="2" l="1"/>
  <c r="D94" i="2"/>
  <c r="D138" i="2"/>
  <c r="D137" i="2"/>
  <c r="D136" i="2"/>
  <c r="D135" i="2"/>
  <c r="D134" i="2"/>
  <c r="D2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08" i="3"/>
  <c r="S8" i="4" l="1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R9" i="4" l="1"/>
  <c r="S9" i="4"/>
  <c r="S11" i="4" s="1"/>
  <c r="L9" i="4"/>
  <c r="M9" i="4"/>
  <c r="I14" i="4"/>
  <c r="O10" i="4"/>
  <c r="Q14" i="4"/>
  <c r="R14" i="4"/>
  <c r="Q10" i="4"/>
  <c r="S14" i="4"/>
  <c r="J12" i="4"/>
  <c r="S10" i="4"/>
  <c r="I9" i="4"/>
  <c r="I13" i="4"/>
  <c r="K12" i="4"/>
  <c r="G13" i="4"/>
  <c r="S13" i="4"/>
  <c r="N10" i="4"/>
  <c r="P10" i="4"/>
  <c r="F10" i="4"/>
  <c r="R10" i="4"/>
  <c r="G9" i="4"/>
  <c r="P13" i="4"/>
  <c r="R13" i="4"/>
  <c r="H13" i="4"/>
  <c r="M10" i="4"/>
  <c r="N9" i="4"/>
  <c r="P14" i="4"/>
  <c r="G14" i="4"/>
  <c r="L14" i="4"/>
  <c r="M14" i="4"/>
  <c r="N14" i="4"/>
  <c r="H14" i="4"/>
  <c r="I12" i="4"/>
  <c r="O14" i="4"/>
  <c r="L12" i="4"/>
  <c r="K13" i="4"/>
  <c r="C9" i="4"/>
  <c r="O9" i="4"/>
  <c r="J10" i="4"/>
  <c r="M12" i="4"/>
  <c r="L13" i="4"/>
  <c r="K14" i="4"/>
  <c r="I10" i="4"/>
  <c r="J14" i="4"/>
  <c r="D9" i="4"/>
  <c r="P9" i="4"/>
  <c r="K10" i="4"/>
  <c r="N12" i="4"/>
  <c r="M13" i="4"/>
  <c r="H10" i="4"/>
  <c r="E9" i="4"/>
  <c r="Q9" i="4"/>
  <c r="L10" i="4"/>
  <c r="C12" i="4"/>
  <c r="O12" i="4"/>
  <c r="N13" i="4"/>
  <c r="J13" i="4"/>
  <c r="F9" i="4"/>
  <c r="D12" i="4"/>
  <c r="P12" i="4"/>
  <c r="O13" i="4"/>
  <c r="E12" i="4"/>
  <c r="Q12" i="4"/>
  <c r="G10" i="4"/>
  <c r="H9" i="4"/>
  <c r="C10" i="4"/>
  <c r="F12" i="4"/>
  <c r="R12" i="4"/>
  <c r="Q13" i="4"/>
  <c r="D10" i="4"/>
  <c r="G12" i="4"/>
  <c r="S12" i="4"/>
  <c r="J9" i="4"/>
  <c r="E10" i="4"/>
  <c r="H12" i="4"/>
  <c r="K9" i="4"/>
  <c r="M11" i="4" l="1"/>
  <c r="N11" i="4"/>
  <c r="J11" i="4"/>
  <c r="E11" i="4"/>
  <c r="H11" i="4"/>
  <c r="O11" i="4"/>
  <c r="K11" i="4"/>
  <c r="Q11" i="4"/>
  <c r="F11" i="4"/>
  <c r="P11" i="4"/>
  <c r="L11" i="4"/>
  <c r="R11" i="4"/>
  <c r="D11" i="4"/>
  <c r="I11" i="4"/>
  <c r="G11" i="4"/>
</calcChain>
</file>

<file path=xl/sharedStrings.xml><?xml version="1.0" encoding="utf-8"?>
<sst xmlns="http://schemas.openxmlformats.org/spreadsheetml/2006/main" count="1969" uniqueCount="484">
  <si>
    <t>실적 기업 정보</t>
  </si>
  <si>
    <t>Ticker</t>
  </si>
  <si>
    <t>Company</t>
  </si>
  <si>
    <t>Date</t>
  </si>
  <si>
    <t>Time</t>
  </si>
  <si>
    <t>Quarter Ending</t>
  </si>
  <si>
    <t>Market Cap (mil$)</t>
  </si>
  <si>
    <t>AMD</t>
  </si>
  <si>
    <t>Advanced Micro Devices, Inc.</t>
  </si>
  <si>
    <t>03-Feb-26</t>
  </si>
  <si>
    <t>After Hours</t>
  </si>
  <si>
    <t>Dec-25</t>
  </si>
  <si>
    <t>MRK</t>
  </si>
  <si>
    <t>Merck &amp; Co., Inc.</t>
  </si>
  <si>
    <t>PEP</t>
  </si>
  <si>
    <t>PepsiCo, Inc.</t>
  </si>
  <si>
    <t>AMGN</t>
  </si>
  <si>
    <t>Amgen Inc.</t>
  </si>
  <si>
    <t>PFE</t>
  </si>
  <si>
    <t>Pfizer Inc.</t>
  </si>
  <si>
    <t>ETN</t>
  </si>
  <si>
    <t>Eaton Corporation plc</t>
  </si>
  <si>
    <t>CB</t>
  </si>
  <si>
    <t>Chubb Limited</t>
  </si>
  <si>
    <t>EMR</t>
  </si>
  <si>
    <t>Emerson Electric Co.</t>
  </si>
  <si>
    <t>TDG</t>
  </si>
  <si>
    <t>TransDigm Group Incorporated</t>
  </si>
  <si>
    <t>Nintendo Co., Ltd.</t>
  </si>
  <si>
    <t>ITW</t>
  </si>
  <si>
    <t>Illinois Tool Works Inc.</t>
  </si>
  <si>
    <t>Pre Market</t>
  </si>
  <si>
    <t>MDLZ</t>
  </si>
  <si>
    <t>Mondelez International, Inc.</t>
  </si>
  <si>
    <t>EPD</t>
  </si>
  <si>
    <t>Enterprise Products Partners L.P.</t>
  </si>
  <si>
    <t>Mitsubishi Electric Corporation</t>
  </si>
  <si>
    <t>SU</t>
  </si>
  <si>
    <t>Suncor Energy Inc.</t>
  </si>
  <si>
    <t>BAJFINANCE</t>
  </si>
  <si>
    <t>Bajaj Finance Limited</t>
  </si>
  <si>
    <t>MPLX</t>
  </si>
  <si>
    <t>MPLX LP</t>
  </si>
  <si>
    <t>MPC</t>
  </si>
  <si>
    <t>Marathon Petroleum Corporation</t>
  </si>
  <si>
    <t>AME</t>
  </si>
  <si>
    <t>AMETEK, Inc.</t>
  </si>
  <si>
    <t>CMG</t>
  </si>
  <si>
    <t>Chipotle Mexican Grill, Inc.</t>
  </si>
  <si>
    <t>GWW</t>
  </si>
  <si>
    <t>W.W. Grainger, Inc.</t>
  </si>
  <si>
    <t>EA</t>
  </si>
  <si>
    <t>Electronic Arts Inc.</t>
  </si>
  <si>
    <t>PYPL</t>
  </si>
  <si>
    <t>PayPal Holdings, Inc.</t>
  </si>
  <si>
    <t>CTVA</t>
  </si>
  <si>
    <t>Corteva, Inc.</t>
  </si>
  <si>
    <t>TTWO</t>
  </si>
  <si>
    <t>Take-Two Interactive Software, Inc.</t>
  </si>
  <si>
    <t>Toyota Tsusho Corporation</t>
  </si>
  <si>
    <t>PRU</t>
  </si>
  <si>
    <t>Prudential Financial, Inc.</t>
  </si>
  <si>
    <t>ADANIPORTS</t>
  </si>
  <si>
    <t>Adani Ports and Special Economic Zone Limited</t>
  </si>
  <si>
    <t>Sumitomo Electric Industries, Ltd.</t>
  </si>
  <si>
    <t>Chunghwa Telecom Co., Ltd.</t>
  </si>
  <si>
    <t>ADVANC</t>
  </si>
  <si>
    <t>Advanced Info Service Public Company Limited</t>
  </si>
  <si>
    <t>WTW</t>
  </si>
  <si>
    <t>Willis Towers Watson Public Limited Company</t>
  </si>
  <si>
    <t>ADM</t>
  </si>
  <si>
    <t>Archer-Daniels-Midland Company</t>
  </si>
  <si>
    <t>Adani Enterprises Limited</t>
  </si>
  <si>
    <t>ATO</t>
  </si>
  <si>
    <t>Atmos Energy Corporation</t>
  </si>
  <si>
    <t>HUBB</t>
  </si>
  <si>
    <t>Hubbell Incorporated</t>
  </si>
  <si>
    <t>BR</t>
  </si>
  <si>
    <t>Broadridge Financial Solutions, Inc.</t>
  </si>
  <si>
    <t>VLTO</t>
  </si>
  <si>
    <t>Veralto Corporation</t>
  </si>
  <si>
    <t>Jan-26</t>
  </si>
  <si>
    <t>PUB</t>
  </si>
  <si>
    <t>Publicis Groupe S.A.</t>
  </si>
  <si>
    <t>DIM</t>
  </si>
  <si>
    <t>Sartorius Stedim Biotech S.A.</t>
  </si>
  <si>
    <t>ALFA</t>
  </si>
  <si>
    <t>Alfa Laval AB (publ)</t>
  </si>
  <si>
    <t>SMCI</t>
  </si>
  <si>
    <t>Super Micro Computer, Inc.</t>
  </si>
  <si>
    <t>AMCR</t>
  </si>
  <si>
    <t>Amcor plc</t>
  </si>
  <si>
    <t>J</t>
  </si>
  <si>
    <t>Jacobs Solutions Inc.</t>
  </si>
  <si>
    <t>PNR</t>
  </si>
  <si>
    <t>Pentair plc</t>
  </si>
  <si>
    <t>IT</t>
  </si>
  <si>
    <t>Gartner, Inc.</t>
  </si>
  <si>
    <t>FORTUM</t>
  </si>
  <si>
    <t>Fortum Oyj</t>
  </si>
  <si>
    <t>PIDILITIND</t>
  </si>
  <si>
    <t>Pidilite Industries Limited</t>
  </si>
  <si>
    <t>VBL</t>
  </si>
  <si>
    <t>Varun Beverages Limited</t>
  </si>
  <si>
    <t>AMUN</t>
  </si>
  <si>
    <t>Amundi S.A.</t>
  </si>
  <si>
    <t>CHILE</t>
  </si>
  <si>
    <t>Banco de Chile</t>
  </si>
  <si>
    <t>CLX</t>
  </si>
  <si>
    <t>The Clorox Company</t>
  </si>
  <si>
    <t>OMC</t>
  </si>
  <si>
    <t>Omnicom Group Inc.</t>
  </si>
  <si>
    <t>BMED</t>
  </si>
  <si>
    <t>Banca Mediolanum S.p.A.</t>
  </si>
  <si>
    <t>SOLARINDS</t>
  </si>
  <si>
    <t>Solar Industries India Limited</t>
  </si>
  <si>
    <t>CSL</t>
  </si>
  <si>
    <t>Carlisle Companies Incorporated</t>
  </si>
  <si>
    <t>BALL</t>
  </si>
  <si>
    <t>Ball Corporation</t>
  </si>
  <si>
    <t>1080</t>
  </si>
  <si>
    <t>Arab National Bank</t>
  </si>
  <si>
    <t>BOL</t>
  </si>
  <si>
    <t>Boliden AB (publ)</t>
  </si>
  <si>
    <t>AFG</t>
  </si>
  <si>
    <t>American Financial Group, Inc.</t>
  </si>
  <si>
    <t>RNR</t>
  </si>
  <si>
    <t>RenaissanceRe Holdings Ltd.</t>
  </si>
  <si>
    <t>LITE</t>
  </si>
  <si>
    <t>Lumentum Holdings Inc.</t>
  </si>
  <si>
    <t>SWKS</t>
  </si>
  <si>
    <t>Skyworks Solutions, Inc.</t>
  </si>
  <si>
    <t>ATI</t>
  </si>
  <si>
    <t>ATI Inc.</t>
  </si>
  <si>
    <t>MLI</t>
  </si>
  <si>
    <t>Mueller Industries, Inc.</t>
  </si>
  <si>
    <t>JKHY</t>
  </si>
  <si>
    <t>Jack Henry &amp; Associates, Inc.</t>
  </si>
  <si>
    <t>West Japan Railway Company</t>
  </si>
  <si>
    <t>BPSO</t>
  </si>
  <si>
    <t>Banca Popolare di Sondrio S.p.A</t>
  </si>
  <si>
    <t>BBNI</t>
  </si>
  <si>
    <t>PT Bank Negara Indonesia (Persero) Tbk</t>
  </si>
  <si>
    <t>DOX</t>
  </si>
  <si>
    <t>Amdocs Limited</t>
  </si>
  <si>
    <t>ABCAPITAL</t>
  </si>
  <si>
    <t>Aditya Birla Capital Limited</t>
  </si>
  <si>
    <t>Kawasaki Kisen Kaisha, Ltd.</t>
  </si>
  <si>
    <t>Ibiden Co.,Ltd.</t>
  </si>
  <si>
    <t>MTCH</t>
  </si>
  <si>
    <t>Match Group, Inc.</t>
  </si>
  <si>
    <t>NMDC Limited</t>
  </si>
  <si>
    <t>ZWS</t>
  </si>
  <si>
    <t>Zurn Elkay Water Solutions Corporation</t>
  </si>
  <si>
    <t>Yokogawa Electric Corporation</t>
  </si>
  <si>
    <t>UNI</t>
  </si>
  <si>
    <t>Unicaja Banco, S.A.</t>
  </si>
  <si>
    <t>MonotaRO Co., Ltd.</t>
  </si>
  <si>
    <t>DEMANT</t>
  </si>
  <si>
    <t>Demant A/S</t>
  </si>
  <si>
    <t>INGR</t>
  </si>
  <si>
    <t>Ingredion Incorporated</t>
  </si>
  <si>
    <t>VOYA</t>
  </si>
  <si>
    <t>Voya Financial, Inc.</t>
  </si>
  <si>
    <t>A003230</t>
  </si>
  <si>
    <t>Samyang Foods Co., Ltd.</t>
  </si>
  <si>
    <t>HLUN B</t>
  </si>
  <si>
    <t>H. Lundbeck A/S</t>
  </si>
  <si>
    <t>THG</t>
  </si>
  <si>
    <t>The Hanover Insurance Group, Inc.</t>
  </si>
  <si>
    <t>HLNE</t>
  </si>
  <si>
    <t>Hamilton Lane Incorporated</t>
  </si>
  <si>
    <t>RITM</t>
  </si>
  <si>
    <t>Rithm Capital Corp.</t>
  </si>
  <si>
    <t>CRUS</t>
  </si>
  <si>
    <t>Cirrus Logic, Inc.</t>
  </si>
  <si>
    <t>HRB</t>
  </si>
  <si>
    <t>H&amp;R Block, Inc.</t>
  </si>
  <si>
    <t>ACT</t>
  </si>
  <si>
    <t>Enact Holdings, Inc.</t>
  </si>
  <si>
    <t>SKY</t>
  </si>
  <si>
    <t>Champion Homes, Inc.</t>
  </si>
  <si>
    <t>SR</t>
  </si>
  <si>
    <t>Spire Inc.</t>
  </si>
  <si>
    <t>ENPH</t>
  </si>
  <si>
    <t>Enphase Energy, Inc.</t>
  </si>
  <si>
    <t>WFRD</t>
  </si>
  <si>
    <t>Weatherford International plc</t>
  </si>
  <si>
    <t>MZTI</t>
  </si>
  <si>
    <t>The Marzetti Company</t>
  </si>
  <si>
    <t>GPK</t>
  </si>
  <si>
    <t>Graphic Packaging Holding Company</t>
  </si>
  <si>
    <t>MONET</t>
  </si>
  <si>
    <t>MONETA Money Bank, a.s.</t>
  </si>
  <si>
    <t>A039490</t>
  </si>
  <si>
    <t>Kiwoom Securities Co., Ltd.</t>
  </si>
  <si>
    <t>Fuji Media Holdings, Inc.</t>
  </si>
  <si>
    <t>POWL</t>
  </si>
  <si>
    <t>Powell Industries, Inc.</t>
  </si>
  <si>
    <t>BRBR</t>
  </si>
  <si>
    <t>BellRing Brands, Inc.</t>
  </si>
  <si>
    <t>MRCY</t>
  </si>
  <si>
    <t>Mercury Systems, Inc.</t>
  </si>
  <si>
    <t>PJT</t>
  </si>
  <si>
    <t>PJT Partners Inc.</t>
  </si>
  <si>
    <t>Hirose Electric Co.,Ltd.</t>
  </si>
  <si>
    <t>Seiko Epson Corporation</t>
  </si>
  <si>
    <t>VRNS</t>
  </si>
  <si>
    <t>Varonis Systems, Inc.</t>
  </si>
  <si>
    <t>EXCL</t>
  </si>
  <si>
    <t>PT XLSMART Telecom Sejahtera Tbk</t>
  </si>
  <si>
    <t>Alsok Co.,Ltd.</t>
  </si>
  <si>
    <t>SPNO</t>
  </si>
  <si>
    <t>Spar Nord Bank A/S</t>
  </si>
  <si>
    <t>CBT</t>
  </si>
  <si>
    <t>Cabot Corporation</t>
  </si>
  <si>
    <t>CRVL</t>
  </si>
  <si>
    <t>CorVel Corporation</t>
  </si>
  <si>
    <t>JTEKT Corporation</t>
  </si>
  <si>
    <t>INTA</t>
  </si>
  <si>
    <t>Intapp, Inc.</t>
  </si>
  <si>
    <t>A006260</t>
  </si>
  <si>
    <t>LS Corp.</t>
  </si>
  <si>
    <t>SIMO</t>
  </si>
  <si>
    <t>Silicon Motion Technology Corporation</t>
  </si>
  <si>
    <t>NSK Ltd.</t>
  </si>
  <si>
    <t>IAC</t>
  </si>
  <si>
    <t>IAC Inc.</t>
  </si>
  <si>
    <t>Nichirei Corporation</t>
  </si>
  <si>
    <t>COLM</t>
  </si>
  <si>
    <t>Columbia Sportswear Company</t>
  </si>
  <si>
    <t>APAM</t>
  </si>
  <si>
    <t>Artisan Partners Asset Management Inc.</t>
  </si>
  <si>
    <t>A001440</t>
  </si>
  <si>
    <t>Taihan Cable &amp; Solution Co., Ltd.</t>
  </si>
  <si>
    <t>Toyota Boshoku Corporation</t>
  </si>
  <si>
    <t>A302440</t>
  </si>
  <si>
    <t>SK bioscience Co.,Ltd.</t>
  </si>
  <si>
    <t>FSL</t>
  </si>
  <si>
    <t>Firstsource Solutions Limited</t>
  </si>
  <si>
    <t>CPRI</t>
  </si>
  <si>
    <t>Capri Holdings Limited</t>
  </si>
  <si>
    <t>KINV B</t>
  </si>
  <si>
    <t>Kinnevik AB</t>
  </si>
  <si>
    <t>PNI</t>
  </si>
  <si>
    <t>Pinnacle Investment Management Group Limited</t>
  </si>
  <si>
    <t>ATKR</t>
  </si>
  <si>
    <t>Atkore Inc.</t>
  </si>
  <si>
    <t>MSGE</t>
  </si>
  <si>
    <t>Madison Square Garden Entertainment Corp.</t>
  </si>
  <si>
    <t>NETC</t>
  </si>
  <si>
    <t>Netcompany Group A/S</t>
  </si>
  <si>
    <t>PAX</t>
  </si>
  <si>
    <t>Patria Investments Limited</t>
  </si>
  <si>
    <t>EMBLA</t>
  </si>
  <si>
    <t>Embla Medical hf.</t>
  </si>
  <si>
    <t>Kansai Nerolac Paints Limited</t>
  </si>
  <si>
    <t>Castrol India Limited</t>
  </si>
  <si>
    <t>Nippon Gas Co., Ltd.</t>
  </si>
  <si>
    <t>VITR</t>
  </si>
  <si>
    <t>Vitrolife AB (publ)</t>
  </si>
  <si>
    <t>DAIHEN Corporation</t>
  </si>
  <si>
    <t>JJSF</t>
  </si>
  <si>
    <t>J&amp;J Snack Foods Corp.</t>
  </si>
  <si>
    <t>House Foods Group Inc.</t>
  </si>
  <si>
    <t>HMN</t>
  </si>
  <si>
    <t>Horace Mann Educators Corporation</t>
  </si>
  <si>
    <t>SONO</t>
  </si>
  <si>
    <t>Sonos, Inc.</t>
  </si>
  <si>
    <t>BHE</t>
  </si>
  <si>
    <t>Benchmark Electronics, Inc.</t>
  </si>
  <si>
    <t>CRLA</t>
  </si>
  <si>
    <t>Caisse Régionale de Crédit Agricole Mutuel du Languedoc Société coopérative</t>
  </si>
  <si>
    <t>The Hyakugo Bank, Ltd.</t>
  </si>
  <si>
    <t>ARE Holdings, Inc.</t>
  </si>
  <si>
    <t>XIOR</t>
  </si>
  <si>
    <t>Xior Student Housing NV</t>
  </si>
  <si>
    <t>A004170</t>
  </si>
  <si>
    <t>SHINSEGAE Inc.</t>
  </si>
  <si>
    <t>Zydus Wellness Limited</t>
  </si>
  <si>
    <t>Chugoku Marine Paints, Ltd.</t>
  </si>
  <si>
    <t>ANOD B</t>
  </si>
  <si>
    <t>Addnode Group AB (publ)</t>
  </si>
  <si>
    <t>Parade Technologies, Ltd.</t>
  </si>
  <si>
    <t>BDB</t>
  </si>
  <si>
    <t>Banco di Desio e della Brianza S.p.A.</t>
  </si>
  <si>
    <t>CCL Products (India) Limited</t>
  </si>
  <si>
    <t>Aica Kogyo Company, Limited</t>
  </si>
  <si>
    <t>ATS</t>
  </si>
  <si>
    <t>AT &amp; S Austria Technologie &amp; Systemtechnik Aktiengesellschaft</t>
  </si>
  <si>
    <t>NTN Corporation</t>
  </si>
  <si>
    <t>RPOWER</t>
  </si>
  <si>
    <t>Reliance Power Limited</t>
  </si>
  <si>
    <t>RES</t>
  </si>
  <si>
    <t>RPC, Inc.</t>
  </si>
  <si>
    <t>BV</t>
  </si>
  <si>
    <t>BrightView Holdings, Inc.</t>
  </si>
  <si>
    <t>A006360</t>
  </si>
  <si>
    <t>GS Engineering &amp; Construction Corporation</t>
  </si>
  <si>
    <t>NAZARA</t>
  </si>
  <si>
    <t>Nazara Technologies Limited</t>
  </si>
  <si>
    <t>NGL</t>
  </si>
  <si>
    <t>NGL Energy Partners LP</t>
  </si>
  <si>
    <t>AAT</t>
  </si>
  <si>
    <t>American Assets Trust, Inc.</t>
  </si>
  <si>
    <t>The Nanto Bank, Ltd.</t>
  </si>
  <si>
    <t>Aichi Steel Corporation</t>
  </si>
  <si>
    <t>A064760</t>
  </si>
  <si>
    <t>Tokai Carbon Korea Co., Ltd.</t>
  </si>
  <si>
    <t>The Hyakujushi Bank, Ltd.</t>
  </si>
  <si>
    <t>JVCKENWOOD Corporation</t>
  </si>
  <si>
    <t>Fujimi Incorporated</t>
  </si>
  <si>
    <t>ATX</t>
  </si>
  <si>
    <t>ATEX Resources Inc.</t>
  </si>
  <si>
    <t>HFCL</t>
  </si>
  <si>
    <t>HFCL Limited</t>
  </si>
  <si>
    <t>SSII</t>
  </si>
  <si>
    <t>SS Innovations International, Inc.</t>
  </si>
  <si>
    <t>AU8U</t>
  </si>
  <si>
    <t>CapitaLand China Trust</t>
  </si>
  <si>
    <t>INWI</t>
  </si>
  <si>
    <t>Inwido AB (publ)</t>
  </si>
  <si>
    <t>CHBB.F</t>
  </si>
  <si>
    <t>ShinMaywa Industries, Ltd.</t>
  </si>
  <si>
    <t>Eagle Industry Co.,Ltd.</t>
  </si>
  <si>
    <t>SNCY</t>
  </si>
  <si>
    <t>Sun Country Airlines Holdings, Inc.</t>
  </si>
  <si>
    <t>ALBAV</t>
  </si>
  <si>
    <t>Ålandsbanken Abp</t>
  </si>
  <si>
    <t>FUBO</t>
  </si>
  <si>
    <t>fuboTV Inc.</t>
  </si>
  <si>
    <t>HTLD</t>
  </si>
  <si>
    <t>Heartland Express, Inc.</t>
  </si>
  <si>
    <t>MATW</t>
  </si>
  <si>
    <t>Matthews International Corporation</t>
  </si>
  <si>
    <t>ACGP</t>
  </si>
  <si>
    <t>Associated Capital Group, Inc.</t>
  </si>
  <si>
    <t>BECTORFOOD</t>
  </si>
  <si>
    <t>Mrs. Bectors Food Specialities Limited</t>
  </si>
  <si>
    <t>THFF</t>
  </si>
  <si>
    <t>First Financial Corporation</t>
  </si>
  <si>
    <t>INNV</t>
  </si>
  <si>
    <t>InnovAge Holding Corp.</t>
  </si>
  <si>
    <t>Fuji Kyuko Co., Ltd.</t>
  </si>
  <si>
    <t>SNT</t>
  </si>
  <si>
    <t>Synektik Spólka Akcyjna</t>
  </si>
  <si>
    <t>PILANIINVS</t>
  </si>
  <si>
    <t>Pilani Investment and Industries Corporation Limited</t>
  </si>
  <si>
    <t>FTC</t>
  </si>
  <si>
    <t>Filtronic plc</t>
  </si>
  <si>
    <t>Nov-25</t>
  </si>
  <si>
    <t>KREF</t>
  </si>
  <si>
    <t>KKR Real Estate Finance Trust Inc.</t>
  </si>
  <si>
    <t>CMSINFO</t>
  </si>
  <si>
    <t>CMS Info Systems Limited</t>
  </si>
  <si>
    <t>HGINFRA</t>
  </si>
  <si>
    <t>H.G. Infra Engineering Limited</t>
  </si>
  <si>
    <t>APPS</t>
  </si>
  <si>
    <t>Digital Turbine, Inc.</t>
  </si>
  <si>
    <t>TRNS</t>
  </si>
  <si>
    <t>Transcat, Inc.</t>
  </si>
  <si>
    <t>BDN</t>
  </si>
  <si>
    <t>Brandywine Realty Trust</t>
  </si>
  <si>
    <t>EQV1V</t>
  </si>
  <si>
    <t>eQ Oyj</t>
  </si>
  <si>
    <t>PGC</t>
  </si>
  <si>
    <t>Peapack-Gladstone Financial Corporation</t>
  </si>
  <si>
    <t>A214320</t>
  </si>
  <si>
    <t>Innocean Worldwide Inc.</t>
  </si>
  <si>
    <t>Riso Kagaku Corporation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</si>
  <si>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</si>
  <si>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</si>
  <si>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</si>
  <si>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</si>
  <si>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</si>
  <si>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</si>
  <si>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</si>
  <si>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</si>
  <si>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</si>
  <si>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</si>
  <si>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</si>
  <si>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</si>
  <si>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</si>
  <si>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</si>
  <si>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</si>
  <si>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</si>
  <si>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</si>
  <si>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</si>
  <si>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</si>
  <si>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</si>
  <si>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</si>
  <si>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United States</t>
  </si>
  <si>
    <t>Computer Hardware</t>
  </si>
  <si>
    <t>Jun'26</t>
  </si>
  <si>
    <t>Communication Equipment</t>
  </si>
  <si>
    <t>Packaging &amp; Containers</t>
  </si>
  <si>
    <t>REIT - Office</t>
  </si>
  <si>
    <t>Dec'25</t>
  </si>
  <si>
    <t>Semiconductors</t>
  </si>
  <si>
    <t>Oil &amp; Gas Equipment &amp; Services</t>
  </si>
  <si>
    <t>Specialty Business Services</t>
  </si>
  <si>
    <t>Sep'26</t>
  </si>
  <si>
    <t>Leisure</t>
  </si>
  <si>
    <t>Electronic Gaming &amp; Multimedia</t>
  </si>
  <si>
    <t>Specialty Industrial Machinery</t>
  </si>
  <si>
    <t>Banks - Regional</t>
  </si>
  <si>
    <t>Asset Management</t>
  </si>
  <si>
    <t>Utilities - Regulated Gas</t>
  </si>
  <si>
    <t>Mar'26</t>
  </si>
  <si>
    <t>Software - Application</t>
  </si>
  <si>
    <t>Medical Care Facilities</t>
  </si>
  <si>
    <t>Capital Markets</t>
  </si>
  <si>
    <t>Aerospace &amp; Defense</t>
  </si>
  <si>
    <t>Oil &amp; Gas Midstream</t>
  </si>
  <si>
    <t>Engineering &amp; Construction</t>
  </si>
  <si>
    <t>Insurance - Life</t>
  </si>
  <si>
    <t>Electrical Equipment &amp; Parts</t>
  </si>
  <si>
    <t>Software - Infrastructure</t>
  </si>
  <si>
    <t>Information Technology Services</t>
  </si>
  <si>
    <t>Confectioners</t>
  </si>
  <si>
    <t>Pollution &amp; Treatment Controls</t>
  </si>
  <si>
    <t>Drug Manufacturers - General</t>
  </si>
  <si>
    <t>Electronic Components</t>
  </si>
  <si>
    <t>Beverages - Non-Alcoholic</t>
  </si>
  <si>
    <t>Insurance - Property &amp; Casualty</t>
  </si>
  <si>
    <t>Financial Conglomerates</t>
  </si>
  <si>
    <t>Restaurants</t>
  </si>
  <si>
    <t>Industrial Distribution</t>
  </si>
  <si>
    <t>Credit Services</t>
  </si>
  <si>
    <t>Metal Fabrication</t>
  </si>
  <si>
    <t>Insurance Brokers</t>
  </si>
  <si>
    <t>Broadcasting</t>
  </si>
  <si>
    <t>Personal Services</t>
  </si>
  <si>
    <t>Internet Content &amp; Information</t>
  </si>
  <si>
    <t>Packaged Foods</t>
  </si>
  <si>
    <t>Residential Construction</t>
  </si>
  <si>
    <t>Oil &amp; Gas Refining &amp; Marketing</t>
  </si>
  <si>
    <t>Household &amp; Personal Products</t>
  </si>
  <si>
    <t>Consumer Electronics</t>
  </si>
  <si>
    <t>Agricultural Inputs</t>
  </si>
  <si>
    <t>REIT - Diversified</t>
  </si>
  <si>
    <t>Apparel Manufacturing</t>
  </si>
  <si>
    <t>Solar</t>
  </si>
  <si>
    <t>Specialty Chemicals</t>
  </si>
  <si>
    <t>Farm Products</t>
  </si>
  <si>
    <t>Luxury Goods</t>
  </si>
  <si>
    <t>Trucking</t>
  </si>
  <si>
    <t>Conglomerates</t>
  </si>
  <si>
    <t>REIT - Mortgage</t>
  </si>
  <si>
    <t>Japan</t>
  </si>
  <si>
    <t>N/A</t>
  </si>
  <si>
    <t>India</t>
  </si>
  <si>
    <t>Unknown</t>
  </si>
  <si>
    <t>Sep'25</t>
  </si>
  <si>
    <t>Jun'25</t>
  </si>
  <si>
    <t>Advertising Agencies</t>
  </si>
  <si>
    <t>Airlines</t>
  </si>
  <si>
    <t>Building Products &amp; Equipment</t>
  </si>
  <si>
    <t>Insurance - Specialty</t>
  </si>
  <si>
    <t>Security &amp; Protection Services</t>
  </si>
  <si>
    <t>Oil &amp; Gas Integrated</t>
  </si>
  <si>
    <t>Insurance - Reinsurance</t>
  </si>
  <si>
    <t>Medical Devices</t>
  </si>
  <si>
    <t>Hong Kong</t>
  </si>
  <si>
    <t>H1 2025</t>
  </si>
  <si>
    <t>France</t>
  </si>
  <si>
    <t>Sweden</t>
  </si>
  <si>
    <t>Revenue</t>
  </si>
  <si>
    <t>OP</t>
  </si>
  <si>
    <t>Trailing 4Q OP avg.</t>
  </si>
  <si>
    <t>Trailing 4Q OP sum.</t>
  </si>
  <si>
    <t>Trailing OP Delta</t>
  </si>
  <si>
    <t>opm</t>
  </si>
  <si>
    <t>op yoy</t>
  </si>
  <si>
    <t>rv yoy</t>
  </si>
  <si>
    <t>1Q26</t>
  </si>
  <si>
    <t>2Q26</t>
  </si>
  <si>
    <t>3Q26</t>
  </si>
  <si>
    <t>4Q26</t>
  </si>
  <si>
    <t>Dec'25</t>
    <phoneticPr fontId="6" type="noConversion"/>
  </si>
  <si>
    <t>NAZARA</t>
    <phoneticPr fontId="6" type="noConversion"/>
  </si>
  <si>
    <t>SOLARINDS</t>
    <phoneticPr fontId="6" type="noConversion"/>
  </si>
  <si>
    <t>2Q25</t>
    <phoneticPr fontId="6" type="noConversion"/>
  </si>
  <si>
    <t>(단위: mil $)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</si>
</sst>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&quot;%&quot;"/>
    <numFmt numFmtId="177" formatCode="0.0%"/>
    <numFmt numFmtId="178" formatCode="#,##0_);[Red]\(#,##0\)"/>
  </numFmts>
  <fonts count="10">
    <font>
      <sz val="11"/>
      <color theme="1"/>
      <name val="맑은 고딕"/>
      <family val="2"/>
      <scheme val="minor"/>
    </font>
    <font>
      <b/>
      <sz val="14"/>
      <name val="Pretendard"/>
      <family val="3"/>
      <charset val="129"/>
    </font>
    <font>
      <b/>
      <sz val="10"/>
      <name val="Pretendard"/>
      <family val="3"/>
      <charset val="129"/>
    </font>
    <font>
      <sz val="10"/>
      <name val="Pretendard"/>
      <family val="3"/>
      <charset val="129"/>
    </font>
    <font>
      <sz val="9"/>
      <name val="Pretendard"/>
      <family val="3"/>
      <charset val="129"/>
    </font>
    <font>
      <b/>
      <sz val="10"/>
      <color rgb="FFFFFFFF"/>
      <name val="Pretendard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9"/>
      <name val="Pretendard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499984740745262"/>
        <bgColor rgb="FF7030A0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dotted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dotted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3" fontId="3" fillId="0" borderId="0" xfId="0" applyNumberFormat="1" applyFont="1"/>
    <xf numFmtId="176" fontId="3" fillId="0" borderId="0" xfId="0" applyNumberFormat="1" applyFont="1"/>
    <xf numFmtId="3" fontId="3" fillId="3" borderId="0" xfId="0" applyNumberFormat="1" applyFont="1" applyFill="1"/>
    <xf numFmtId="177" fontId="3" fillId="0" borderId="1" xfId="0" applyNumberFormat="1" applyFont="1" applyBorder="1"/>
    <xf numFmtId="177" fontId="3" fillId="0" borderId="0" xfId="0" applyNumberFormat="1" applyFont="1"/>
    <xf numFmtId="177" fontId="3" fillId="3" borderId="0" xfId="0" applyNumberFormat="1" applyFont="1" applyFill="1"/>
    <xf numFmtId="177" fontId="3" fillId="3" borderId="1" xfId="0" applyNumberFormat="1" applyFont="1" applyFill="1" applyBorder="1"/>
    <xf numFmtId="0" fontId="4" fillId="0" borderId="0" xfId="0" applyFont="1"/>
    <xf numFmtId="0" fontId="2" fillId="0" borderId="0" xfId="0" applyFont="1"/>
    <xf numFmtId="9" fontId="3" fillId="0" borderId="0" xfId="0" applyNumberFormat="1" applyFont="1" applyAlignment="1">
      <alignment horizontal="right"/>
    </xf>
    <xf numFmtId="0" fontId="0" fillId="0" borderId="0" xfId="0" applyFill="1"/>
    <xf numFmtId="0" fontId="5" fillId="5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9" fontId="3" fillId="0" borderId="2" xfId="0" applyNumberFormat="1" applyFont="1" applyBorder="1" applyAlignment="1">
      <alignment horizontal="right"/>
    </xf>
    <xf numFmtId="0" fontId="0" fillId="4" borderId="2" xfId="0" applyFill="1" applyBorder="1" applyAlignment="1">
      <alignment vertical="center"/>
    </xf>
    <xf numFmtId="0" fontId="2" fillId="0" borderId="2" xfId="0" applyFont="1" applyBorder="1"/>
    <xf numFmtId="0" fontId="7" fillId="0" borderId="0" xfId="0" applyFont="1"/>
    <xf numFmtId="177" fontId="3" fillId="0" borderId="0" xfId="0" applyNumberFormat="1" applyFont="1" applyAlignment="1">
      <alignment horizontal="right"/>
    </xf>
    <xf numFmtId="177" fontId="3" fillId="6" borderId="0" xfId="0" applyNumberFormat="1" applyFont="1" applyFill="1"/>
    <xf numFmtId="177" fontId="3" fillId="0" borderId="0" xfId="0" applyNumberFormat="1" applyFont="1" applyBorder="1"/>
    <xf numFmtId="176" fontId="2" fillId="6" borderId="0" xfId="0" applyNumberFormat="1" applyFont="1" applyFill="1"/>
    <xf numFmtId="178" fontId="3" fillId="0" borderId="0" xfId="0" applyNumberFormat="1" applyFont="1"/>
    <xf numFmtId="178" fontId="3" fillId="3" borderId="0" xfId="0" applyNumberFormat="1" applyFont="1" applyFill="1"/>
    <xf numFmtId="178" fontId="3" fillId="6" borderId="0" xfId="0" applyNumberFormat="1" applyFont="1" applyFill="1"/>
    <xf numFmtId="0" fontId="8" fillId="0" borderId="0" xfId="0" applyFont="1"/>
    <xf numFmtId="0" fontId="2" fillId="0" borderId="3" xfId="0" applyFont="1" applyBorder="1"/>
    <xf numFmtId="0" fontId="3" fillId="0" borderId="3" xfId="0" applyFont="1" applyBorder="1"/>
    <xf numFmtId="0" fontId="2" fillId="0" borderId="0" xfId="0" applyFont="1" applyBorder="1"/>
    <xf numFmtId="0" fontId="3" fillId="0" borderId="0" xfId="0" applyFont="1" applyBorder="1"/>
    <xf numFmtId="176" fontId="2" fillId="6" borderId="3" xfId="0" applyNumberFormat="1" applyFont="1" applyFill="1" applyBorder="1"/>
    <xf numFmtId="3" fontId="3" fillId="0" borderId="3" xfId="0" applyNumberFormat="1" applyFont="1" applyBorder="1"/>
    <xf numFmtId="3" fontId="3" fillId="3" borderId="3" xfId="0" applyNumberFormat="1" applyFont="1" applyFill="1" applyBorder="1"/>
    <xf numFmtId="177" fontId="3" fillId="0" borderId="4" xfId="0" applyNumberFormat="1" applyFont="1" applyBorder="1"/>
    <xf numFmtId="177" fontId="3" fillId="0" borderId="3" xfId="0" applyNumberFormat="1" applyFont="1" applyBorder="1"/>
    <xf numFmtId="177" fontId="3" fillId="3" borderId="3" xfId="0" applyNumberFormat="1" applyFont="1" applyFill="1" applyBorder="1"/>
    <xf numFmtId="176" fontId="3" fillId="0" borderId="0" xfId="0" applyNumberFormat="1" applyFont="1" applyBorder="1"/>
    <xf numFmtId="3" fontId="3" fillId="0" borderId="0" xfId="0" applyNumberFormat="1" applyFont="1" applyBorder="1"/>
    <xf numFmtId="177" fontId="3" fillId="3" borderId="4" xfId="0" applyNumberFormat="1" applyFont="1" applyFill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78" fontId="3" fillId="0" borderId="3" xfId="0" applyNumberFormat="1" applyFont="1" applyBorder="1"/>
    <xf numFmtId="178" fontId="3" fillId="3" borderId="3" xfId="0" applyNumberFormat="1" applyFont="1" applyFill="1" applyBorder="1"/>
    <xf numFmtId="176" fontId="2" fillId="6" borderId="0" xfId="0" applyNumberFormat="1" applyFont="1" applyFill="1" applyBorder="1"/>
    <xf numFmtId="178" fontId="3" fillId="0" borderId="0" xfId="0" applyNumberFormat="1" applyFont="1" applyBorder="1"/>
    <xf numFmtId="178" fontId="3" fillId="3" borderId="0" xfId="0" applyNumberFormat="1" applyFont="1" applyFill="1" applyBorder="1"/>
    <xf numFmtId="177" fontId="3" fillId="3" borderId="0" xfId="0" applyNumberFormat="1" applyFont="1" applyFill="1" applyBorder="1"/>
    <xf numFmtId="0" fontId="9" fillId="0" borderId="0" xfId="0" applyFont="1"/>
    <xf numFmtId="178" fontId="3" fillId="0" borderId="0" xfId="0" applyNumberFormat="1" applyFont="1" applyAlignment="1">
      <alignment horizontal="right"/>
    </xf>
    <xf numFmtId="178" fontId="3" fillId="0" borderId="2" xfId="0" applyNumberFormat="1" applyFont="1" applyBorder="1" applyAlignment="1">
      <alignment horizontal="right"/>
    </xf>
    <xf numFmtId="178" fontId="0" fillId="0" borderId="0" xfId="0" applyNumberFormat="1"/>
    <xf numFmtId="0" fontId="0" fillId="0" borderId="0" xfId="0" applyBorder="1"/>
    <xf numFmtId="0" fontId="0" fillId="0" borderId="0" xfId="0" applyFill="1" applyBorder="1"/>
  </cellXfs>
  <cellStyles count="1">
    <cellStyle name="표준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03"/>
  <sheetViews>
    <sheetView workbookViewId="0">
      <selection activeCell="I11" sqref="I11"/>
    </sheetView>
  </sheetViews>
  <sheetFormatPr defaultRowHeight="16.5"/>
  <cols>
    <col min="1" max="1" width="9.75" customWidth="1"/>
    <col min="2" max="2" width="12" style="28" customWidth="1"/>
    <col min="3" max="3" width="63.25" bestFit="1" customWidth="1"/>
    <col min="4" max="5" width="12" customWidth="1"/>
    <col min="6" max="6" width="17.25" bestFit="1" customWidth="1"/>
    <col min="7" max="7" width="19.125" bestFit="1" customWidth="1"/>
  </cols>
  <sheetData>
    <row r="2" spans="2:7" ht="18.75">
      <c r="B2" s="1" t="s">
        <v>0</v>
      </c>
    </row>
    <row r="3" spans="2:7">
      <c r="B3" s="42" t="s">
        <v>1</v>
      </c>
      <c r="C3" s="42" t="s">
        <v>2</v>
      </c>
      <c r="D3" s="42" t="s">
        <v>3</v>
      </c>
      <c r="E3" s="42" t="s">
        <v>4</v>
      </c>
      <c r="F3" s="42" t="s">
        <v>5</v>
      </c>
      <c r="G3" s="42" t="s">
        <v>6</v>
      </c>
    </row>
    <row r="4" spans="2:7">
      <c r="B4" s="12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4">
        <v>385406</v>
      </c>
    </row>
    <row r="5" spans="2:7">
      <c r="B5" s="12" t="s">
        <v>12</v>
      </c>
      <c r="C5" s="3" t="s">
        <v>13</v>
      </c>
      <c r="D5" s="3" t="s">
        <v>9</v>
      </c>
      <c r="E5" s="3"/>
      <c r="F5" s="3" t="s">
        <v>11</v>
      </c>
      <c r="G5" s="4">
        <v>273693</v>
      </c>
    </row>
    <row r="6" spans="2:7">
      <c r="B6" s="12" t="s">
        <v>14</v>
      </c>
      <c r="C6" s="3" t="s">
        <v>15</v>
      </c>
      <c r="D6" s="3" t="s">
        <v>9</v>
      </c>
      <c r="E6" s="3"/>
      <c r="F6" s="3" t="s">
        <v>11</v>
      </c>
      <c r="G6" s="4">
        <v>212497</v>
      </c>
    </row>
    <row r="7" spans="2:7">
      <c r="B7" s="12" t="s">
        <v>16</v>
      </c>
      <c r="C7" s="3" t="s">
        <v>17</v>
      </c>
      <c r="D7" s="3" t="s">
        <v>9</v>
      </c>
      <c r="E7" s="3" t="s">
        <v>10</v>
      </c>
      <c r="F7" s="3" t="s">
        <v>11</v>
      </c>
      <c r="G7" s="4">
        <v>184096</v>
      </c>
    </row>
    <row r="8" spans="2:7">
      <c r="B8" s="12" t="s">
        <v>18</v>
      </c>
      <c r="C8" s="3" t="s">
        <v>19</v>
      </c>
      <c r="D8" s="3" t="s">
        <v>9</v>
      </c>
      <c r="E8" s="3"/>
      <c r="F8" s="3" t="s">
        <v>11</v>
      </c>
      <c r="G8" s="4">
        <v>150330</v>
      </c>
    </row>
    <row r="9" spans="2:7">
      <c r="B9" s="12" t="s">
        <v>20</v>
      </c>
      <c r="C9" s="3" t="s">
        <v>21</v>
      </c>
      <c r="D9" s="3" t="s">
        <v>9</v>
      </c>
      <c r="E9" s="3"/>
      <c r="F9" s="3" t="s">
        <v>11</v>
      </c>
      <c r="G9" s="4">
        <v>136492</v>
      </c>
    </row>
    <row r="10" spans="2:7">
      <c r="B10" s="12" t="s">
        <v>22</v>
      </c>
      <c r="C10" s="3" t="s">
        <v>23</v>
      </c>
      <c r="D10" s="3" t="s">
        <v>9</v>
      </c>
      <c r="E10" s="3"/>
      <c r="F10" s="3" t="s">
        <v>11</v>
      </c>
      <c r="G10" s="4">
        <v>121828</v>
      </c>
    </row>
    <row r="11" spans="2:7">
      <c r="B11" s="12" t="s">
        <v>24</v>
      </c>
      <c r="C11" s="3" t="s">
        <v>25</v>
      </c>
      <c r="D11" s="3" t="s">
        <v>9</v>
      </c>
      <c r="E11" s="3"/>
      <c r="F11" s="3" t="s">
        <v>11</v>
      </c>
      <c r="G11" s="4">
        <v>82635.92</v>
      </c>
    </row>
    <row r="12" spans="2:7">
      <c r="B12" s="12" t="s">
        <v>26</v>
      </c>
      <c r="C12" s="3" t="s">
        <v>27</v>
      </c>
      <c r="D12" s="3" t="s">
        <v>9</v>
      </c>
      <c r="E12" s="3"/>
      <c r="F12" s="3" t="s">
        <v>11</v>
      </c>
      <c r="G12" s="4">
        <v>80587.97</v>
      </c>
    </row>
    <row r="13" spans="2:7">
      <c r="B13" s="12">
        <v>7974</v>
      </c>
      <c r="C13" s="3" t="s">
        <v>28</v>
      </c>
      <c r="D13" s="3" t="s">
        <v>9</v>
      </c>
      <c r="E13" s="3"/>
      <c r="F13" s="3" t="s">
        <v>11</v>
      </c>
      <c r="G13" s="4">
        <v>76065.45</v>
      </c>
    </row>
    <row r="14" spans="2:7">
      <c r="B14" s="12" t="s">
        <v>29</v>
      </c>
      <c r="C14" s="3" t="s">
        <v>30</v>
      </c>
      <c r="D14" s="3" t="s">
        <v>9</v>
      </c>
      <c r="E14" s="3" t="s">
        <v>31</v>
      </c>
      <c r="F14" s="3" t="s">
        <v>11</v>
      </c>
      <c r="G14" s="4">
        <v>75791.53</v>
      </c>
    </row>
    <row r="15" spans="2:7">
      <c r="B15" s="12" t="s">
        <v>32</v>
      </c>
      <c r="C15" s="3" t="s">
        <v>33</v>
      </c>
      <c r="D15" s="3" t="s">
        <v>9</v>
      </c>
      <c r="E15" s="3" t="s">
        <v>10</v>
      </c>
      <c r="F15" s="3" t="s">
        <v>11</v>
      </c>
      <c r="G15" s="4">
        <v>75447.259999999995</v>
      </c>
    </row>
    <row r="16" spans="2:7">
      <c r="B16" s="12" t="s">
        <v>34</v>
      </c>
      <c r="C16" s="3" t="s">
        <v>35</v>
      </c>
      <c r="D16" s="3" t="s">
        <v>9</v>
      </c>
      <c r="E16" s="3" t="s">
        <v>31</v>
      </c>
      <c r="F16" s="3" t="s">
        <v>11</v>
      </c>
      <c r="G16" s="4">
        <v>71800.63</v>
      </c>
    </row>
    <row r="17" spans="2:7">
      <c r="B17" s="12">
        <v>6503</v>
      </c>
      <c r="C17" s="3" t="s">
        <v>36</v>
      </c>
      <c r="D17" s="3" t="s">
        <v>9</v>
      </c>
      <c r="E17" s="3"/>
      <c r="F17" s="3" t="s">
        <v>11</v>
      </c>
      <c r="G17" s="4">
        <v>64221.8</v>
      </c>
    </row>
    <row r="18" spans="2:7">
      <c r="B18" s="12" t="s">
        <v>37</v>
      </c>
      <c r="C18" s="3" t="s">
        <v>38</v>
      </c>
      <c r="D18" s="3" t="s">
        <v>9</v>
      </c>
      <c r="E18" s="3"/>
      <c r="F18" s="3" t="s">
        <v>11</v>
      </c>
      <c r="G18" s="4">
        <v>63761.61</v>
      </c>
    </row>
    <row r="19" spans="2:7">
      <c r="B19" s="12" t="s">
        <v>39</v>
      </c>
      <c r="C19" s="3" t="s">
        <v>40</v>
      </c>
      <c r="D19" s="3" t="s">
        <v>9</v>
      </c>
      <c r="E19" s="3"/>
      <c r="F19" s="3" t="s">
        <v>11</v>
      </c>
      <c r="G19" s="4">
        <v>62857.21</v>
      </c>
    </row>
    <row r="20" spans="2:7">
      <c r="B20" s="12" t="s">
        <v>41</v>
      </c>
      <c r="C20" s="3" t="s">
        <v>42</v>
      </c>
      <c r="D20" s="3" t="s">
        <v>9</v>
      </c>
      <c r="E20" s="3" t="s">
        <v>31</v>
      </c>
      <c r="F20" s="3" t="s">
        <v>11</v>
      </c>
      <c r="G20" s="4">
        <v>56853.94</v>
      </c>
    </row>
    <row r="21" spans="2:7">
      <c r="B21" s="12" t="s">
        <v>43</v>
      </c>
      <c r="C21" s="3" t="s">
        <v>44</v>
      </c>
      <c r="D21" s="3" t="s">
        <v>9</v>
      </c>
      <c r="E21" s="3" t="s">
        <v>31</v>
      </c>
      <c r="F21" s="3" t="s">
        <v>11</v>
      </c>
      <c r="G21" s="4">
        <v>52963.15</v>
      </c>
    </row>
    <row r="22" spans="2:7">
      <c r="B22" s="12" t="s">
        <v>45</v>
      </c>
      <c r="C22" s="3" t="s">
        <v>46</v>
      </c>
      <c r="D22" s="3" t="s">
        <v>9</v>
      </c>
      <c r="E22" s="3"/>
      <c r="F22" s="3" t="s">
        <v>11</v>
      </c>
      <c r="G22" s="4">
        <v>51561.06</v>
      </c>
    </row>
    <row r="23" spans="2:7">
      <c r="B23" s="12" t="s">
        <v>47</v>
      </c>
      <c r="C23" s="3" t="s">
        <v>48</v>
      </c>
      <c r="D23" s="3" t="s">
        <v>9</v>
      </c>
      <c r="E23" s="3" t="s">
        <v>10</v>
      </c>
      <c r="F23" s="3" t="s">
        <v>11</v>
      </c>
      <c r="G23" s="4">
        <v>51396.95</v>
      </c>
    </row>
    <row r="24" spans="2:7">
      <c r="B24" s="12" t="s">
        <v>49</v>
      </c>
      <c r="C24" s="3" t="s">
        <v>50</v>
      </c>
      <c r="D24" s="3" t="s">
        <v>9</v>
      </c>
      <c r="E24" s="3" t="s">
        <v>31</v>
      </c>
      <c r="F24" s="3" t="s">
        <v>11</v>
      </c>
      <c r="G24" s="4">
        <v>51350.43</v>
      </c>
    </row>
    <row r="25" spans="2:7">
      <c r="B25" s="12" t="s">
        <v>51</v>
      </c>
      <c r="C25" s="3" t="s">
        <v>52</v>
      </c>
      <c r="D25" s="3" t="s">
        <v>9</v>
      </c>
      <c r="E25" s="3" t="s">
        <v>10</v>
      </c>
      <c r="F25" s="3" t="s">
        <v>11</v>
      </c>
      <c r="G25" s="4">
        <v>50858.58</v>
      </c>
    </row>
    <row r="26" spans="2:7">
      <c r="B26" s="12" t="s">
        <v>53</v>
      </c>
      <c r="C26" s="3" t="s">
        <v>54</v>
      </c>
      <c r="D26" s="3" t="s">
        <v>9</v>
      </c>
      <c r="E26" s="3" t="s">
        <v>31</v>
      </c>
      <c r="F26" s="3" t="s">
        <v>11</v>
      </c>
      <c r="G26" s="4">
        <v>49299.5</v>
      </c>
    </row>
    <row r="27" spans="2:7">
      <c r="B27" s="12" t="s">
        <v>55</v>
      </c>
      <c r="C27" s="3" t="s">
        <v>56</v>
      </c>
      <c r="D27" s="3" t="s">
        <v>9</v>
      </c>
      <c r="E27" s="3" t="s">
        <v>10</v>
      </c>
      <c r="F27" s="3" t="s">
        <v>11</v>
      </c>
      <c r="G27" s="4">
        <v>49193.29</v>
      </c>
    </row>
    <row r="28" spans="2:7">
      <c r="B28" s="12" t="s">
        <v>57</v>
      </c>
      <c r="C28" s="3" t="s">
        <v>58</v>
      </c>
      <c r="D28" s="3" t="s">
        <v>9</v>
      </c>
      <c r="E28" s="3" t="s">
        <v>10</v>
      </c>
      <c r="F28" s="3" t="s">
        <v>11</v>
      </c>
      <c r="G28" s="4">
        <v>44372.79</v>
      </c>
    </row>
    <row r="29" spans="2:7">
      <c r="B29" s="12">
        <v>8015</v>
      </c>
      <c r="C29" s="3" t="s">
        <v>59</v>
      </c>
      <c r="D29" s="3" t="s">
        <v>9</v>
      </c>
      <c r="E29" s="3"/>
      <c r="F29" s="3" t="s">
        <v>11</v>
      </c>
      <c r="G29" s="4">
        <v>40700.300000000003</v>
      </c>
    </row>
    <row r="30" spans="2:7">
      <c r="B30" s="12" t="s">
        <v>60</v>
      </c>
      <c r="C30" s="3" t="s">
        <v>61</v>
      </c>
      <c r="D30" s="3" t="s">
        <v>9</v>
      </c>
      <c r="E30" s="3" t="s">
        <v>10</v>
      </c>
      <c r="F30" s="3" t="s">
        <v>11</v>
      </c>
      <c r="G30" s="4">
        <v>39080.33</v>
      </c>
    </row>
    <row r="31" spans="2:7">
      <c r="B31" s="12" t="s">
        <v>62</v>
      </c>
      <c r="C31" s="3" t="s">
        <v>63</v>
      </c>
      <c r="D31" s="3" t="s">
        <v>9</v>
      </c>
      <c r="E31" s="3"/>
      <c r="F31" s="3" t="s">
        <v>11</v>
      </c>
      <c r="G31" s="4">
        <v>36104.019999999997</v>
      </c>
    </row>
    <row r="32" spans="2:7">
      <c r="B32" s="12">
        <v>5802</v>
      </c>
      <c r="C32" s="3" t="s">
        <v>64</v>
      </c>
      <c r="D32" s="3" t="s">
        <v>9</v>
      </c>
      <c r="E32" s="3"/>
      <c r="F32" s="3" t="s">
        <v>11</v>
      </c>
      <c r="G32" s="4">
        <v>33687.35</v>
      </c>
    </row>
    <row r="33" spans="2:7">
      <c r="B33" s="12">
        <v>2412</v>
      </c>
      <c r="C33" s="3" t="s">
        <v>65</v>
      </c>
      <c r="D33" s="3" t="s">
        <v>9</v>
      </c>
      <c r="E33" s="3" t="s">
        <v>31</v>
      </c>
      <c r="F33" s="3" t="s">
        <v>11</v>
      </c>
      <c r="G33" s="4">
        <v>32675.86</v>
      </c>
    </row>
    <row r="34" spans="2:7">
      <c r="B34" s="12" t="s">
        <v>66</v>
      </c>
      <c r="C34" s="3" t="s">
        <v>67</v>
      </c>
      <c r="D34" s="3" t="s">
        <v>9</v>
      </c>
      <c r="E34" s="3"/>
      <c r="F34" s="3" t="s">
        <v>11</v>
      </c>
      <c r="G34" s="4">
        <v>32414.91</v>
      </c>
    </row>
    <row r="35" spans="2:7">
      <c r="B35" s="12" t="s">
        <v>68</v>
      </c>
      <c r="C35" s="3" t="s">
        <v>69</v>
      </c>
      <c r="D35" s="3" t="s">
        <v>9</v>
      </c>
      <c r="E35" s="3" t="s">
        <v>31</v>
      </c>
      <c r="F35" s="3" t="s">
        <v>11</v>
      </c>
      <c r="G35" s="4">
        <v>31540.55</v>
      </c>
    </row>
    <row r="36" spans="2:7">
      <c r="B36" s="12" t="s">
        <v>70</v>
      </c>
      <c r="C36" s="3" t="s">
        <v>71</v>
      </c>
      <c r="D36" s="3" t="s">
        <v>9</v>
      </c>
      <c r="E36" s="3" t="s">
        <v>31</v>
      </c>
      <c r="F36" s="3" t="s">
        <v>11</v>
      </c>
      <c r="G36" s="4">
        <v>31323.54</v>
      </c>
    </row>
    <row r="37" spans="2:7">
      <c r="B37" s="12">
        <v>512599</v>
      </c>
      <c r="C37" s="3" t="s">
        <v>72</v>
      </c>
      <c r="D37" s="3" t="s">
        <v>9</v>
      </c>
      <c r="E37" s="3"/>
      <c r="F37" s="3" t="s">
        <v>11</v>
      </c>
      <c r="G37" s="4">
        <v>30725.1</v>
      </c>
    </row>
    <row r="38" spans="2:7">
      <c r="B38" s="12" t="s">
        <v>73</v>
      </c>
      <c r="C38" s="3" t="s">
        <v>74</v>
      </c>
      <c r="D38" s="3" t="s">
        <v>9</v>
      </c>
      <c r="E38" s="3" t="s">
        <v>10</v>
      </c>
      <c r="F38" s="3" t="s">
        <v>11</v>
      </c>
      <c r="G38" s="4">
        <v>27573.18</v>
      </c>
    </row>
    <row r="39" spans="2:7">
      <c r="B39" s="12" t="s">
        <v>75</v>
      </c>
      <c r="C39" s="3" t="s">
        <v>76</v>
      </c>
      <c r="D39" s="3" t="s">
        <v>9</v>
      </c>
      <c r="E39" s="3"/>
      <c r="F39" s="3" t="s">
        <v>11</v>
      </c>
      <c r="G39" s="4">
        <v>26004.26</v>
      </c>
    </row>
    <row r="40" spans="2:7">
      <c r="B40" s="12" t="s">
        <v>77</v>
      </c>
      <c r="C40" s="3" t="s">
        <v>78</v>
      </c>
      <c r="D40" s="3" t="s">
        <v>9</v>
      </c>
      <c r="E40" s="3" t="s">
        <v>31</v>
      </c>
      <c r="F40" s="3" t="s">
        <v>11</v>
      </c>
      <c r="G40" s="4">
        <v>25521.31</v>
      </c>
    </row>
    <row r="41" spans="2:7">
      <c r="B41" s="12" t="s">
        <v>79</v>
      </c>
      <c r="C41" s="3" t="s">
        <v>80</v>
      </c>
      <c r="D41" s="3" t="s">
        <v>9</v>
      </c>
      <c r="E41" s="3"/>
      <c r="F41" s="3" t="s">
        <v>81</v>
      </c>
      <c r="G41" s="4">
        <v>25492.69</v>
      </c>
    </row>
    <row r="42" spans="2:7">
      <c r="B42" s="12" t="s">
        <v>82</v>
      </c>
      <c r="C42" s="3" t="s">
        <v>83</v>
      </c>
      <c r="D42" s="3" t="s">
        <v>9</v>
      </c>
      <c r="E42" s="3"/>
      <c r="F42" s="3" t="s">
        <v>11</v>
      </c>
      <c r="G42" s="4">
        <v>25108.03</v>
      </c>
    </row>
    <row r="43" spans="2:7">
      <c r="B43" s="12" t="s">
        <v>84</v>
      </c>
      <c r="C43" s="3" t="s">
        <v>85</v>
      </c>
      <c r="D43" s="3" t="s">
        <v>9</v>
      </c>
      <c r="E43" s="3"/>
      <c r="F43" s="3" t="s">
        <v>11</v>
      </c>
      <c r="G43" s="4">
        <v>24079.42</v>
      </c>
    </row>
    <row r="44" spans="2:7">
      <c r="B44" s="12" t="s">
        <v>86</v>
      </c>
      <c r="C44" s="3" t="s">
        <v>87</v>
      </c>
      <c r="D44" s="3" t="s">
        <v>9</v>
      </c>
      <c r="E44" s="3"/>
      <c r="F44" s="3" t="s">
        <v>11</v>
      </c>
      <c r="G44" s="4">
        <v>22721.279999999999</v>
      </c>
    </row>
    <row r="45" spans="2:7">
      <c r="B45" s="12" t="s">
        <v>88</v>
      </c>
      <c r="C45" s="3" t="s">
        <v>89</v>
      </c>
      <c r="D45" s="3" t="s">
        <v>9</v>
      </c>
      <c r="E45" s="3" t="s">
        <v>10</v>
      </c>
      <c r="F45" s="3" t="s">
        <v>11</v>
      </c>
      <c r="G45" s="4">
        <v>19485.14</v>
      </c>
    </row>
    <row r="46" spans="2:7">
      <c r="B46" s="12" t="s">
        <v>90</v>
      </c>
      <c r="C46" s="3" t="s">
        <v>91</v>
      </c>
      <c r="D46" s="3" t="s">
        <v>9</v>
      </c>
      <c r="E46" s="3" t="s">
        <v>10</v>
      </c>
      <c r="F46" s="3" t="s">
        <v>11</v>
      </c>
      <c r="G46" s="4">
        <v>18878.29</v>
      </c>
    </row>
    <row r="47" spans="2:7">
      <c r="B47" s="12" t="s">
        <v>92</v>
      </c>
      <c r="C47" s="3" t="s">
        <v>93</v>
      </c>
      <c r="D47" s="3" t="s">
        <v>9</v>
      </c>
      <c r="E47" s="3" t="s">
        <v>10</v>
      </c>
      <c r="F47" s="3" t="s">
        <v>11</v>
      </c>
      <c r="G47" s="4">
        <v>18480.34</v>
      </c>
    </row>
    <row r="48" spans="2:7">
      <c r="B48" s="12" t="s">
        <v>94</v>
      </c>
      <c r="C48" s="3" t="s">
        <v>95</v>
      </c>
      <c r="D48" s="3" t="s">
        <v>9</v>
      </c>
      <c r="E48" s="3"/>
      <c r="F48" s="3" t="s">
        <v>11</v>
      </c>
      <c r="G48" s="4">
        <v>18398</v>
      </c>
    </row>
    <row r="49" spans="2:7">
      <c r="B49" s="12" t="s">
        <v>96</v>
      </c>
      <c r="C49" s="3" t="s">
        <v>97</v>
      </c>
      <c r="D49" s="3" t="s">
        <v>9</v>
      </c>
      <c r="E49" s="3" t="s">
        <v>31</v>
      </c>
      <c r="F49" s="3" t="s">
        <v>11</v>
      </c>
      <c r="G49" s="4">
        <v>17204.900000000001</v>
      </c>
    </row>
    <row r="50" spans="2:7">
      <c r="B50" s="12" t="s">
        <v>98</v>
      </c>
      <c r="C50" s="3" t="s">
        <v>99</v>
      </c>
      <c r="D50" s="3" t="s">
        <v>9</v>
      </c>
      <c r="E50" s="3"/>
      <c r="F50" s="3" t="s">
        <v>11</v>
      </c>
      <c r="G50" s="4">
        <v>17191.86</v>
      </c>
    </row>
    <row r="51" spans="2:7">
      <c r="B51" s="12" t="s">
        <v>100</v>
      </c>
      <c r="C51" s="3" t="s">
        <v>101</v>
      </c>
      <c r="D51" s="3" t="s">
        <v>9</v>
      </c>
      <c r="E51" s="3"/>
      <c r="F51" s="3" t="s">
        <v>11</v>
      </c>
      <c r="G51" s="4">
        <v>17075.900000000001</v>
      </c>
    </row>
    <row r="52" spans="2:7">
      <c r="B52" s="12" t="s">
        <v>102</v>
      </c>
      <c r="C52" s="3" t="s">
        <v>103</v>
      </c>
      <c r="D52" s="3" t="s">
        <v>9</v>
      </c>
      <c r="E52" s="3"/>
      <c r="F52" s="3" t="s">
        <v>11</v>
      </c>
      <c r="G52" s="4">
        <v>16892.57</v>
      </c>
    </row>
    <row r="53" spans="2:7">
      <c r="B53" s="12" t="s">
        <v>104</v>
      </c>
      <c r="C53" s="3" t="s">
        <v>105</v>
      </c>
      <c r="D53" s="3" t="s">
        <v>9</v>
      </c>
      <c r="E53" s="3"/>
      <c r="F53" s="3" t="s">
        <v>11</v>
      </c>
      <c r="G53" s="4">
        <v>15945.22</v>
      </c>
    </row>
    <row r="54" spans="2:7">
      <c r="B54" s="12" t="s">
        <v>106</v>
      </c>
      <c r="C54" s="3" t="s">
        <v>107</v>
      </c>
      <c r="D54" s="3" t="s">
        <v>9</v>
      </c>
      <c r="E54" s="3"/>
      <c r="F54" s="3" t="s">
        <v>11</v>
      </c>
      <c r="G54" s="4">
        <v>15459.66</v>
      </c>
    </row>
    <row r="55" spans="2:7">
      <c r="B55" s="12" t="s">
        <v>108</v>
      </c>
      <c r="C55" s="3" t="s">
        <v>109</v>
      </c>
      <c r="D55" s="3" t="s">
        <v>9</v>
      </c>
      <c r="E55" s="3"/>
      <c r="F55" s="3" t="s">
        <v>11</v>
      </c>
      <c r="G55" s="4">
        <v>15067.3</v>
      </c>
    </row>
    <row r="56" spans="2:7">
      <c r="B56" s="12" t="s">
        <v>110</v>
      </c>
      <c r="C56" s="3" t="s">
        <v>111</v>
      </c>
      <c r="D56" s="3" t="s">
        <v>9</v>
      </c>
      <c r="E56" s="3"/>
      <c r="F56" s="3" t="s">
        <v>11</v>
      </c>
      <c r="G56" s="4">
        <v>15034.83</v>
      </c>
    </row>
    <row r="57" spans="2:7">
      <c r="B57" s="12" t="s">
        <v>112</v>
      </c>
      <c r="C57" s="3" t="s">
        <v>113</v>
      </c>
      <c r="D57" s="3" t="s">
        <v>9</v>
      </c>
      <c r="E57" s="3"/>
      <c r="F57" s="3" t="s">
        <v>11</v>
      </c>
      <c r="G57" s="4">
        <v>14767.96</v>
      </c>
    </row>
    <row r="58" spans="2:7">
      <c r="B58" s="12" t="s">
        <v>114</v>
      </c>
      <c r="C58" s="3" t="s">
        <v>115</v>
      </c>
      <c r="D58" s="3" t="s">
        <v>9</v>
      </c>
      <c r="E58" s="3"/>
      <c r="F58" s="3" t="s">
        <v>11</v>
      </c>
      <c r="G58" s="4">
        <v>14119.94</v>
      </c>
    </row>
    <row r="59" spans="2:7">
      <c r="B59" s="12" t="s">
        <v>116</v>
      </c>
      <c r="C59" s="3" t="s">
        <v>117</v>
      </c>
      <c r="D59" s="3" t="s">
        <v>9</v>
      </c>
      <c r="E59" s="3" t="s">
        <v>10</v>
      </c>
      <c r="F59" s="3" t="s">
        <v>11</v>
      </c>
      <c r="G59" s="4">
        <v>13991.57</v>
      </c>
    </row>
    <row r="60" spans="2:7">
      <c r="B60" s="12" t="s">
        <v>118</v>
      </c>
      <c r="C60" s="3" t="s">
        <v>119</v>
      </c>
      <c r="D60" s="3" t="s">
        <v>9</v>
      </c>
      <c r="E60" s="3" t="s">
        <v>31</v>
      </c>
      <c r="F60" s="3" t="s">
        <v>11</v>
      </c>
      <c r="G60" s="4">
        <v>13675.48</v>
      </c>
    </row>
    <row r="61" spans="2:7">
      <c r="B61" s="12">
        <v>1080</v>
      </c>
      <c r="C61" s="3" t="s">
        <v>121</v>
      </c>
      <c r="D61" s="3" t="s">
        <v>9</v>
      </c>
      <c r="E61" s="3"/>
      <c r="F61" s="3" t="s">
        <v>11</v>
      </c>
      <c r="G61" s="4">
        <v>13448.87</v>
      </c>
    </row>
    <row r="62" spans="2:7">
      <c r="B62" s="12" t="s">
        <v>122</v>
      </c>
      <c r="C62" s="3" t="s">
        <v>123</v>
      </c>
      <c r="D62" s="3" t="s">
        <v>9</v>
      </c>
      <c r="E62" s="3"/>
      <c r="F62" s="3" t="s">
        <v>11</v>
      </c>
      <c r="G62" s="4">
        <v>13141.51</v>
      </c>
    </row>
    <row r="63" spans="2:7">
      <c r="B63" s="12" t="s">
        <v>124</v>
      </c>
      <c r="C63" s="3" t="s">
        <v>125</v>
      </c>
      <c r="D63" s="3" t="s">
        <v>9</v>
      </c>
      <c r="E63" s="3" t="s">
        <v>10</v>
      </c>
      <c r="F63" s="3" t="s">
        <v>11</v>
      </c>
      <c r="G63" s="4">
        <v>12401.59</v>
      </c>
    </row>
    <row r="64" spans="2:7">
      <c r="B64" s="12" t="s">
        <v>126</v>
      </c>
      <c r="C64" s="3" t="s">
        <v>127</v>
      </c>
      <c r="D64" s="3" t="s">
        <v>9</v>
      </c>
      <c r="E64" s="3" t="s">
        <v>10</v>
      </c>
      <c r="F64" s="3" t="s">
        <v>11</v>
      </c>
      <c r="G64" s="4">
        <v>12214.15</v>
      </c>
    </row>
    <row r="65" spans="2:7">
      <c r="B65" s="12" t="s">
        <v>128</v>
      </c>
      <c r="C65" s="3" t="s">
        <v>129</v>
      </c>
      <c r="D65" s="3" t="s">
        <v>9</v>
      </c>
      <c r="E65" s="3" t="s">
        <v>10</v>
      </c>
      <c r="F65" s="3" t="s">
        <v>11</v>
      </c>
      <c r="G65" s="4">
        <v>11450.32</v>
      </c>
    </row>
    <row r="66" spans="2:7">
      <c r="B66" s="12" t="s">
        <v>130</v>
      </c>
      <c r="C66" s="3" t="s">
        <v>131</v>
      </c>
      <c r="D66" s="3" t="s">
        <v>9</v>
      </c>
      <c r="E66" s="3" t="s">
        <v>10</v>
      </c>
      <c r="F66" s="3" t="s">
        <v>11</v>
      </c>
      <c r="G66" s="4">
        <v>11443.77</v>
      </c>
    </row>
    <row r="67" spans="2:7">
      <c r="B67" s="12" t="s">
        <v>132</v>
      </c>
      <c r="C67" s="3" t="s">
        <v>133</v>
      </c>
      <c r="D67" s="3" t="s">
        <v>9</v>
      </c>
      <c r="E67" s="3" t="s">
        <v>31</v>
      </c>
      <c r="F67" s="3" t="s">
        <v>11</v>
      </c>
      <c r="G67" s="4">
        <v>11203</v>
      </c>
    </row>
    <row r="68" spans="2:7">
      <c r="B68" s="12" t="s">
        <v>134</v>
      </c>
      <c r="C68" s="3" t="s">
        <v>135</v>
      </c>
      <c r="D68" s="3" t="s">
        <v>9</v>
      </c>
      <c r="E68" s="3"/>
      <c r="F68" s="3" t="s">
        <v>11</v>
      </c>
      <c r="G68" s="4">
        <v>11125.43</v>
      </c>
    </row>
    <row r="69" spans="2:7">
      <c r="B69" s="12" t="s">
        <v>136</v>
      </c>
      <c r="C69" s="3" t="s">
        <v>137</v>
      </c>
      <c r="D69" s="3" t="s">
        <v>9</v>
      </c>
      <c r="E69" s="3" t="s">
        <v>10</v>
      </c>
      <c r="F69" s="3" t="s">
        <v>11</v>
      </c>
      <c r="G69" s="4">
        <v>10628.01</v>
      </c>
    </row>
    <row r="70" spans="2:7">
      <c r="B70" s="12">
        <v>9021</v>
      </c>
      <c r="C70" s="3" t="s">
        <v>138</v>
      </c>
      <c r="D70" s="3" t="s">
        <v>9</v>
      </c>
      <c r="E70" s="3"/>
      <c r="F70" s="3" t="s">
        <v>11</v>
      </c>
      <c r="G70" s="4">
        <v>9813.2900000000009</v>
      </c>
    </row>
    <row r="71" spans="2:7">
      <c r="B71" s="12" t="s">
        <v>139</v>
      </c>
      <c r="C71" s="3" t="s">
        <v>140</v>
      </c>
      <c r="D71" s="3" t="s">
        <v>9</v>
      </c>
      <c r="E71" s="3"/>
      <c r="F71" s="3" t="s">
        <v>11</v>
      </c>
      <c r="G71" s="4">
        <v>9249.98</v>
      </c>
    </row>
    <row r="72" spans="2:7">
      <c r="B72" s="12" t="s">
        <v>141</v>
      </c>
      <c r="C72" s="3" t="s">
        <v>142</v>
      </c>
      <c r="D72" s="3" t="s">
        <v>9</v>
      </c>
      <c r="E72" s="3"/>
      <c r="F72" s="3" t="s">
        <v>11</v>
      </c>
      <c r="G72" s="4">
        <v>9059.1299999999992</v>
      </c>
    </row>
    <row r="73" spans="2:7">
      <c r="B73" s="12" t="s">
        <v>143</v>
      </c>
      <c r="C73" s="3" t="s">
        <v>144</v>
      </c>
      <c r="D73" s="3" t="s">
        <v>9</v>
      </c>
      <c r="E73" s="3" t="s">
        <v>10</v>
      </c>
      <c r="F73" s="3" t="s">
        <v>11</v>
      </c>
      <c r="G73" s="4">
        <v>9054.5400000000009</v>
      </c>
    </row>
    <row r="74" spans="2:7">
      <c r="B74" s="12" t="s">
        <v>145</v>
      </c>
      <c r="C74" s="3" t="s">
        <v>146</v>
      </c>
      <c r="D74" s="3" t="s">
        <v>9</v>
      </c>
      <c r="E74" s="3"/>
      <c r="F74" s="3" t="s">
        <v>11</v>
      </c>
      <c r="G74" s="4">
        <v>8944.35</v>
      </c>
    </row>
    <row r="75" spans="2:7">
      <c r="B75" s="12">
        <v>9107</v>
      </c>
      <c r="C75" s="3" t="s">
        <v>147</v>
      </c>
      <c r="D75" s="3" t="s">
        <v>9</v>
      </c>
      <c r="E75" s="3"/>
      <c r="F75" s="3" t="s">
        <v>11</v>
      </c>
      <c r="G75" s="4">
        <v>8872.0499999999993</v>
      </c>
    </row>
    <row r="76" spans="2:7">
      <c r="B76" s="12">
        <v>4062</v>
      </c>
      <c r="C76" s="3" t="s">
        <v>148</v>
      </c>
      <c r="D76" s="3" t="s">
        <v>9</v>
      </c>
      <c r="E76" s="3"/>
      <c r="F76" s="3" t="s">
        <v>11</v>
      </c>
      <c r="G76" s="4">
        <v>8731.1</v>
      </c>
    </row>
    <row r="77" spans="2:7">
      <c r="B77" s="12" t="s">
        <v>149</v>
      </c>
      <c r="C77" s="3" t="s">
        <v>150</v>
      </c>
      <c r="D77" s="3" t="s">
        <v>9</v>
      </c>
      <c r="E77" s="3" t="s">
        <v>10</v>
      </c>
      <c r="F77" s="3" t="s">
        <v>11</v>
      </c>
      <c r="G77" s="4">
        <v>8258.15</v>
      </c>
    </row>
    <row r="78" spans="2:7">
      <c r="B78" s="12">
        <v>526371</v>
      </c>
      <c r="C78" s="3" t="s">
        <v>151</v>
      </c>
      <c r="D78" s="3" t="s">
        <v>9</v>
      </c>
      <c r="E78" s="3"/>
      <c r="F78" s="3" t="s">
        <v>11</v>
      </c>
      <c r="G78" s="4">
        <v>8195.49</v>
      </c>
    </row>
    <row r="79" spans="2:7">
      <c r="B79" s="12" t="s">
        <v>152</v>
      </c>
      <c r="C79" s="3" t="s">
        <v>153</v>
      </c>
      <c r="D79" s="3" t="s">
        <v>9</v>
      </c>
      <c r="E79" s="3" t="s">
        <v>10</v>
      </c>
      <c r="F79" s="3" t="s">
        <v>11</v>
      </c>
      <c r="G79" s="4">
        <v>7848.16</v>
      </c>
    </row>
    <row r="80" spans="2:7">
      <c r="B80" s="12">
        <v>6841</v>
      </c>
      <c r="C80" s="3" t="s">
        <v>154</v>
      </c>
      <c r="D80" s="3" t="s">
        <v>9</v>
      </c>
      <c r="E80" s="3"/>
      <c r="F80" s="3" t="s">
        <v>11</v>
      </c>
      <c r="G80" s="4">
        <v>7756.23</v>
      </c>
    </row>
    <row r="81" spans="2:7">
      <c r="B81" s="12" t="s">
        <v>155</v>
      </c>
      <c r="C81" s="3" t="s">
        <v>156</v>
      </c>
      <c r="D81" s="3" t="s">
        <v>9</v>
      </c>
      <c r="E81" s="3"/>
      <c r="F81" s="3" t="s">
        <v>11</v>
      </c>
      <c r="G81" s="4">
        <v>7620.1</v>
      </c>
    </row>
    <row r="82" spans="2:7">
      <c r="B82" s="12">
        <v>3064</v>
      </c>
      <c r="C82" s="3" t="s">
        <v>157</v>
      </c>
      <c r="D82" s="3" t="s">
        <v>9</v>
      </c>
      <c r="E82" s="3"/>
      <c r="F82" s="3" t="s">
        <v>11</v>
      </c>
      <c r="G82" s="4">
        <v>7611.26</v>
      </c>
    </row>
    <row r="83" spans="2:7">
      <c r="B83" s="12" t="s">
        <v>158</v>
      </c>
      <c r="C83" s="3" t="s">
        <v>159</v>
      </c>
      <c r="D83" s="3" t="s">
        <v>9</v>
      </c>
      <c r="E83" s="3"/>
      <c r="F83" s="3" t="s">
        <v>11</v>
      </c>
      <c r="G83" s="4">
        <v>7235.32</v>
      </c>
    </row>
    <row r="84" spans="2:7">
      <c r="B84" s="12" t="s">
        <v>160</v>
      </c>
      <c r="C84" s="3" t="s">
        <v>161</v>
      </c>
      <c r="D84" s="3" t="s">
        <v>9</v>
      </c>
      <c r="E84" s="3" t="s">
        <v>31</v>
      </c>
      <c r="F84" s="3" t="s">
        <v>11</v>
      </c>
      <c r="G84" s="4">
        <v>7014.36</v>
      </c>
    </row>
    <row r="85" spans="2:7">
      <c r="B85" s="12" t="s">
        <v>162</v>
      </c>
      <c r="C85" s="3" t="s">
        <v>163</v>
      </c>
      <c r="D85" s="3" t="s">
        <v>9</v>
      </c>
      <c r="E85" s="3" t="s">
        <v>10</v>
      </c>
      <c r="F85" s="3" t="s">
        <v>11</v>
      </c>
      <c r="G85" s="4">
        <v>6902.17</v>
      </c>
    </row>
    <row r="86" spans="2:7">
      <c r="B86" s="12" t="s">
        <v>164</v>
      </c>
      <c r="C86" s="3" t="s">
        <v>165</v>
      </c>
      <c r="D86" s="3" t="s">
        <v>9</v>
      </c>
      <c r="E86" s="3"/>
      <c r="F86" s="3" t="s">
        <v>11</v>
      </c>
      <c r="G86" s="4">
        <v>6581.6</v>
      </c>
    </row>
    <row r="87" spans="2:7">
      <c r="B87" s="12" t="s">
        <v>166</v>
      </c>
      <c r="C87" s="3" t="s">
        <v>167</v>
      </c>
      <c r="D87" s="3" t="s">
        <v>9</v>
      </c>
      <c r="E87" s="3"/>
      <c r="F87" s="3" t="s">
        <v>11</v>
      </c>
      <c r="G87" s="4">
        <v>6455.71</v>
      </c>
    </row>
    <row r="88" spans="2:7">
      <c r="B88" s="12" t="s">
        <v>168</v>
      </c>
      <c r="C88" s="3" t="s">
        <v>169</v>
      </c>
      <c r="D88" s="3" t="s">
        <v>9</v>
      </c>
      <c r="E88" s="3" t="s">
        <v>10</v>
      </c>
      <c r="F88" s="3" t="s">
        <v>11</v>
      </c>
      <c r="G88" s="4">
        <v>6422.19</v>
      </c>
    </row>
    <row r="89" spans="2:7">
      <c r="B89" s="12" t="s">
        <v>170</v>
      </c>
      <c r="C89" s="3" t="s">
        <v>171</v>
      </c>
      <c r="D89" s="3" t="s">
        <v>9</v>
      </c>
      <c r="E89" s="3" t="s">
        <v>31</v>
      </c>
      <c r="F89" s="3" t="s">
        <v>11</v>
      </c>
      <c r="G89" s="4">
        <v>6362.07</v>
      </c>
    </row>
    <row r="90" spans="2:7">
      <c r="B90" s="12" t="s">
        <v>172</v>
      </c>
      <c r="C90" s="3" t="s">
        <v>173</v>
      </c>
      <c r="D90" s="3" t="s">
        <v>9</v>
      </c>
      <c r="E90" s="3" t="s">
        <v>31</v>
      </c>
      <c r="F90" s="3" t="s">
        <v>11</v>
      </c>
      <c r="G90" s="4">
        <v>6179.29</v>
      </c>
    </row>
    <row r="91" spans="2:7">
      <c r="B91" s="12" t="s">
        <v>174</v>
      </c>
      <c r="C91" s="3" t="s">
        <v>175</v>
      </c>
      <c r="D91" s="3" t="s">
        <v>9</v>
      </c>
      <c r="E91" s="3" t="s">
        <v>10</v>
      </c>
      <c r="F91" s="3" t="s">
        <v>11</v>
      </c>
      <c r="G91" s="4">
        <v>6038.94</v>
      </c>
    </row>
    <row r="92" spans="2:7">
      <c r="B92" s="12" t="s">
        <v>176</v>
      </c>
      <c r="C92" s="3" t="s">
        <v>177</v>
      </c>
      <c r="D92" s="3" t="s">
        <v>9</v>
      </c>
      <c r="E92" s="3" t="s">
        <v>10</v>
      </c>
      <c r="F92" s="3" t="s">
        <v>11</v>
      </c>
      <c r="G92" s="4">
        <v>5526.05</v>
      </c>
    </row>
    <row r="93" spans="2:7">
      <c r="B93" s="12" t="s">
        <v>178</v>
      </c>
      <c r="C93" s="3" t="s">
        <v>179</v>
      </c>
      <c r="D93" s="3" t="s">
        <v>9</v>
      </c>
      <c r="E93" s="3" t="s">
        <v>10</v>
      </c>
      <c r="F93" s="3" t="s">
        <v>11</v>
      </c>
      <c r="G93" s="4">
        <v>5435.06</v>
      </c>
    </row>
    <row r="94" spans="2:7">
      <c r="B94" s="12" t="s">
        <v>180</v>
      </c>
      <c r="C94" s="3" t="s">
        <v>181</v>
      </c>
      <c r="D94" s="3" t="s">
        <v>9</v>
      </c>
      <c r="E94" s="3" t="s">
        <v>10</v>
      </c>
      <c r="F94" s="3" t="s">
        <v>11</v>
      </c>
      <c r="G94" s="4">
        <v>4890.95</v>
      </c>
    </row>
    <row r="95" spans="2:7">
      <c r="B95" s="12" t="s">
        <v>182</v>
      </c>
      <c r="C95" s="3" t="s">
        <v>183</v>
      </c>
      <c r="D95" s="3" t="s">
        <v>9</v>
      </c>
      <c r="E95" s="3" t="s">
        <v>31</v>
      </c>
      <c r="F95" s="3" t="s">
        <v>11</v>
      </c>
      <c r="G95" s="4">
        <v>4857.17</v>
      </c>
    </row>
    <row r="96" spans="2:7">
      <c r="B96" s="12" t="s">
        <v>184</v>
      </c>
      <c r="C96" s="3" t="s">
        <v>185</v>
      </c>
      <c r="D96" s="3" t="s">
        <v>9</v>
      </c>
      <c r="E96" s="3" t="s">
        <v>10</v>
      </c>
      <c r="F96" s="3" t="s">
        <v>11</v>
      </c>
      <c r="G96" s="4">
        <v>4811.63</v>
      </c>
    </row>
    <row r="97" spans="2:7">
      <c r="B97" s="12" t="s">
        <v>186</v>
      </c>
      <c r="C97" s="3" t="s">
        <v>187</v>
      </c>
      <c r="D97" s="3" t="s">
        <v>9</v>
      </c>
      <c r="E97" s="3" t="s">
        <v>10</v>
      </c>
      <c r="F97" s="3" t="s">
        <v>11</v>
      </c>
      <c r="G97" s="4">
        <v>4715.25</v>
      </c>
    </row>
    <row r="98" spans="2:7">
      <c r="B98" s="12" t="s">
        <v>188</v>
      </c>
      <c r="C98" s="3" t="s">
        <v>189</v>
      </c>
      <c r="D98" s="3" t="s">
        <v>9</v>
      </c>
      <c r="E98" s="3" t="s">
        <v>31</v>
      </c>
      <c r="F98" s="3" t="s">
        <v>11</v>
      </c>
      <c r="G98" s="4">
        <v>4639.4799999999996</v>
      </c>
    </row>
    <row r="99" spans="2:7">
      <c r="B99" s="12" t="s">
        <v>190</v>
      </c>
      <c r="C99" s="3" t="s">
        <v>191</v>
      </c>
      <c r="D99" s="3" t="s">
        <v>9</v>
      </c>
      <c r="E99" s="3" t="s">
        <v>31</v>
      </c>
      <c r="F99" s="3" t="s">
        <v>11</v>
      </c>
      <c r="G99" s="4">
        <v>4630.4799999999996</v>
      </c>
    </row>
    <row r="100" spans="2:7">
      <c r="B100" s="12" t="s">
        <v>192</v>
      </c>
      <c r="C100" s="3" t="s">
        <v>193</v>
      </c>
      <c r="D100" s="3" t="s">
        <v>9</v>
      </c>
      <c r="E100" s="3"/>
      <c r="F100" s="3" t="s">
        <v>11</v>
      </c>
      <c r="G100" s="4">
        <v>4624.5200000000004</v>
      </c>
    </row>
    <row r="101" spans="2:7">
      <c r="B101" s="12" t="s">
        <v>194</v>
      </c>
      <c r="C101" s="3" t="s">
        <v>195</v>
      </c>
      <c r="D101" s="3" t="s">
        <v>9</v>
      </c>
      <c r="E101" s="3"/>
      <c r="F101" s="3" t="s">
        <v>11</v>
      </c>
      <c r="G101" s="4">
        <v>4621.54</v>
      </c>
    </row>
    <row r="102" spans="2:7">
      <c r="B102" s="12">
        <v>4676</v>
      </c>
      <c r="C102" s="3" t="s">
        <v>196</v>
      </c>
      <c r="D102" s="3" t="s">
        <v>9</v>
      </c>
      <c r="E102" s="3"/>
      <c r="F102" s="3" t="s">
        <v>11</v>
      </c>
      <c r="G102" s="4">
        <v>4595.72</v>
      </c>
    </row>
    <row r="103" spans="2:7">
      <c r="B103" s="12" t="s">
        <v>197</v>
      </c>
      <c r="C103" s="3" t="s">
        <v>198</v>
      </c>
      <c r="D103" s="3" t="s">
        <v>9</v>
      </c>
      <c r="E103" s="3" t="s">
        <v>10</v>
      </c>
      <c r="F103" s="3" t="s">
        <v>11</v>
      </c>
      <c r="G103" s="4">
        <v>4587.62</v>
      </c>
    </row>
    <row r="104" spans="2:7">
      <c r="B104" s="12" t="s">
        <v>199</v>
      </c>
      <c r="C104" s="3" t="s">
        <v>200</v>
      </c>
      <c r="D104" s="3" t="s">
        <v>9</v>
      </c>
      <c r="E104" s="3" t="s">
        <v>31</v>
      </c>
      <c r="F104" s="3" t="s">
        <v>11</v>
      </c>
      <c r="G104" s="4">
        <v>4408.01</v>
      </c>
    </row>
    <row r="105" spans="2:7">
      <c r="B105" s="12" t="s">
        <v>201</v>
      </c>
      <c r="C105" s="3" t="s">
        <v>202</v>
      </c>
      <c r="D105" s="3" t="s">
        <v>9</v>
      </c>
      <c r="E105" s="3"/>
      <c r="F105" s="3" t="s">
        <v>11</v>
      </c>
      <c r="G105" s="4">
        <v>4393.32</v>
      </c>
    </row>
    <row r="106" spans="2:7">
      <c r="B106" s="12" t="s">
        <v>203</v>
      </c>
      <c r="C106" s="3" t="s">
        <v>204</v>
      </c>
      <c r="D106" s="3" t="s">
        <v>9</v>
      </c>
      <c r="E106" s="3" t="s">
        <v>31</v>
      </c>
      <c r="F106" s="3" t="s">
        <v>11</v>
      </c>
      <c r="G106" s="4">
        <v>4362.99</v>
      </c>
    </row>
    <row r="107" spans="2:7">
      <c r="B107" s="12">
        <v>6806</v>
      </c>
      <c r="C107" s="3" t="s">
        <v>205</v>
      </c>
      <c r="D107" s="3" t="s">
        <v>9</v>
      </c>
      <c r="E107" s="3"/>
      <c r="F107" s="3" t="s">
        <v>11</v>
      </c>
      <c r="G107" s="4">
        <v>4109.6099999999997</v>
      </c>
    </row>
    <row r="108" spans="2:7">
      <c r="B108" s="12">
        <v>6724</v>
      </c>
      <c r="C108" s="3" t="s">
        <v>206</v>
      </c>
      <c r="D108" s="3" t="s">
        <v>9</v>
      </c>
      <c r="E108" s="3"/>
      <c r="F108" s="3" t="s">
        <v>11</v>
      </c>
      <c r="G108" s="4">
        <v>3973.96</v>
      </c>
    </row>
    <row r="109" spans="2:7">
      <c r="B109" s="12" t="s">
        <v>207</v>
      </c>
      <c r="C109" s="3" t="s">
        <v>208</v>
      </c>
      <c r="D109" s="3" t="s">
        <v>9</v>
      </c>
      <c r="E109" s="3" t="s">
        <v>10</v>
      </c>
      <c r="F109" s="3" t="s">
        <v>11</v>
      </c>
      <c r="G109" s="4">
        <v>3907.12</v>
      </c>
    </row>
    <row r="110" spans="2:7">
      <c r="B110" s="12" t="s">
        <v>209</v>
      </c>
      <c r="C110" s="3" t="s">
        <v>210</v>
      </c>
      <c r="D110" s="3" t="s">
        <v>9</v>
      </c>
      <c r="E110" s="3"/>
      <c r="F110" s="3" t="s">
        <v>11</v>
      </c>
      <c r="G110" s="4">
        <v>3883.82</v>
      </c>
    </row>
    <row r="111" spans="2:7">
      <c r="B111" s="12">
        <v>2331</v>
      </c>
      <c r="C111" s="3" t="s">
        <v>211</v>
      </c>
      <c r="D111" s="3" t="s">
        <v>9</v>
      </c>
      <c r="E111" s="3"/>
      <c r="F111" s="3" t="s">
        <v>11</v>
      </c>
      <c r="G111" s="4">
        <v>3774.18</v>
      </c>
    </row>
    <row r="112" spans="2:7">
      <c r="B112" s="12" t="s">
        <v>212</v>
      </c>
      <c r="C112" s="3" t="s">
        <v>213</v>
      </c>
      <c r="D112" s="3" t="s">
        <v>9</v>
      </c>
      <c r="E112" s="3"/>
      <c r="F112" s="3" t="s">
        <v>11</v>
      </c>
      <c r="G112" s="4">
        <v>3759.66</v>
      </c>
    </row>
    <row r="113" spans="2:7">
      <c r="B113" s="12" t="s">
        <v>214</v>
      </c>
      <c r="C113" s="3" t="s">
        <v>215</v>
      </c>
      <c r="D113" s="3" t="s">
        <v>9</v>
      </c>
      <c r="E113" s="3" t="s">
        <v>10</v>
      </c>
      <c r="F113" s="3" t="s">
        <v>11</v>
      </c>
      <c r="G113" s="4">
        <v>3625.15</v>
      </c>
    </row>
    <row r="114" spans="2:7">
      <c r="B114" s="12" t="s">
        <v>216</v>
      </c>
      <c r="C114" s="3" t="s">
        <v>217</v>
      </c>
      <c r="D114" s="3" t="s">
        <v>9</v>
      </c>
      <c r="E114" s="3"/>
      <c r="F114" s="3" t="s">
        <v>11</v>
      </c>
      <c r="G114" s="4">
        <v>3542.19</v>
      </c>
    </row>
    <row r="115" spans="2:7">
      <c r="B115" s="12">
        <v>6473</v>
      </c>
      <c r="C115" s="3" t="s">
        <v>218</v>
      </c>
      <c r="D115" s="3" t="s">
        <v>9</v>
      </c>
      <c r="E115" s="3"/>
      <c r="F115" s="3" t="s">
        <v>11</v>
      </c>
      <c r="G115" s="4">
        <v>3538.66</v>
      </c>
    </row>
    <row r="116" spans="2:7">
      <c r="B116" s="12" t="s">
        <v>219</v>
      </c>
      <c r="C116" s="3" t="s">
        <v>220</v>
      </c>
      <c r="D116" s="3" t="s">
        <v>9</v>
      </c>
      <c r="E116" s="3" t="s">
        <v>10</v>
      </c>
      <c r="F116" s="3" t="s">
        <v>11</v>
      </c>
      <c r="G116" s="4">
        <v>3522.84</v>
      </c>
    </row>
    <row r="117" spans="2:7">
      <c r="B117" s="12" t="s">
        <v>221</v>
      </c>
      <c r="C117" s="3" t="s">
        <v>222</v>
      </c>
      <c r="D117" s="3" t="s">
        <v>9</v>
      </c>
      <c r="E117" s="3"/>
      <c r="F117" s="3" t="s">
        <v>11</v>
      </c>
      <c r="G117" s="4">
        <v>3446.95</v>
      </c>
    </row>
    <row r="118" spans="2:7">
      <c r="B118" s="12" t="s">
        <v>223</v>
      </c>
      <c r="C118" s="3" t="s">
        <v>224</v>
      </c>
      <c r="D118" s="3" t="s">
        <v>9</v>
      </c>
      <c r="E118" s="3" t="s">
        <v>10</v>
      </c>
      <c r="F118" s="3" t="s">
        <v>11</v>
      </c>
      <c r="G118" s="4">
        <v>3136.35</v>
      </c>
    </row>
    <row r="119" spans="2:7">
      <c r="B119" s="12">
        <v>6471</v>
      </c>
      <c r="C119" s="3" t="s">
        <v>225</v>
      </c>
      <c r="D119" s="3" t="s">
        <v>9</v>
      </c>
      <c r="E119" s="3"/>
      <c r="F119" s="3" t="s">
        <v>11</v>
      </c>
      <c r="G119" s="4">
        <v>2996.68</v>
      </c>
    </row>
    <row r="120" spans="2:7">
      <c r="B120" s="12" t="s">
        <v>226</v>
      </c>
      <c r="C120" s="3" t="s">
        <v>227</v>
      </c>
      <c r="D120" s="3" t="s">
        <v>9</v>
      </c>
      <c r="E120" s="3" t="s">
        <v>10</v>
      </c>
      <c r="F120" s="3" t="s">
        <v>11</v>
      </c>
      <c r="G120" s="4">
        <v>2989.69</v>
      </c>
    </row>
    <row r="121" spans="2:7">
      <c r="B121" s="12">
        <v>2871</v>
      </c>
      <c r="C121" s="3" t="s">
        <v>228</v>
      </c>
      <c r="D121" s="3" t="s">
        <v>9</v>
      </c>
      <c r="E121" s="3"/>
      <c r="F121" s="3" t="s">
        <v>11</v>
      </c>
      <c r="G121" s="4">
        <v>2942.66</v>
      </c>
    </row>
    <row r="122" spans="2:7">
      <c r="B122" s="12" t="s">
        <v>229</v>
      </c>
      <c r="C122" s="3" t="s">
        <v>230</v>
      </c>
      <c r="D122" s="3" t="s">
        <v>9</v>
      </c>
      <c r="E122" s="3" t="s">
        <v>10</v>
      </c>
      <c r="F122" s="3" t="s">
        <v>11</v>
      </c>
      <c r="G122" s="4">
        <v>2919.24</v>
      </c>
    </row>
    <row r="123" spans="2:7">
      <c r="B123" s="12" t="s">
        <v>231</v>
      </c>
      <c r="C123" s="3" t="s">
        <v>232</v>
      </c>
      <c r="D123" s="3" t="s">
        <v>9</v>
      </c>
      <c r="E123" s="3" t="s">
        <v>10</v>
      </c>
      <c r="F123" s="3" t="s">
        <v>11</v>
      </c>
      <c r="G123" s="4">
        <v>2896.68</v>
      </c>
    </row>
    <row r="124" spans="2:7">
      <c r="B124" s="12" t="s">
        <v>233</v>
      </c>
      <c r="C124" s="3" t="s">
        <v>234</v>
      </c>
      <c r="D124" s="3" t="s">
        <v>9</v>
      </c>
      <c r="E124" s="3"/>
      <c r="F124" s="3" t="s">
        <v>11</v>
      </c>
      <c r="G124" s="4">
        <v>2843.19</v>
      </c>
    </row>
    <row r="125" spans="2:7">
      <c r="B125" s="12">
        <v>3116</v>
      </c>
      <c r="C125" s="3" t="s">
        <v>235</v>
      </c>
      <c r="D125" s="3" t="s">
        <v>9</v>
      </c>
      <c r="E125" s="3"/>
      <c r="F125" s="3" t="s">
        <v>11</v>
      </c>
      <c r="G125" s="4">
        <v>2821.7</v>
      </c>
    </row>
    <row r="126" spans="2:7">
      <c r="B126" s="12" t="s">
        <v>236</v>
      </c>
      <c r="C126" s="3" t="s">
        <v>237</v>
      </c>
      <c r="D126" s="3" t="s">
        <v>9</v>
      </c>
      <c r="E126" s="3"/>
      <c r="F126" s="3" t="s">
        <v>11</v>
      </c>
      <c r="G126" s="4">
        <v>2782.64</v>
      </c>
    </row>
    <row r="127" spans="2:7">
      <c r="B127" s="12" t="s">
        <v>238</v>
      </c>
      <c r="C127" s="3" t="s">
        <v>239</v>
      </c>
      <c r="D127" s="3" t="s">
        <v>9</v>
      </c>
      <c r="E127" s="3"/>
      <c r="F127" s="3" t="s">
        <v>11</v>
      </c>
      <c r="G127" s="4">
        <v>2621.39</v>
      </c>
    </row>
    <row r="128" spans="2:7">
      <c r="B128" s="12" t="s">
        <v>240</v>
      </c>
      <c r="C128" s="3" t="s">
        <v>241</v>
      </c>
      <c r="D128" s="3" t="s">
        <v>9</v>
      </c>
      <c r="E128" s="3" t="s">
        <v>31</v>
      </c>
      <c r="F128" s="3" t="s">
        <v>11</v>
      </c>
      <c r="G128" s="4">
        <v>2561.91</v>
      </c>
    </row>
    <row r="129" spans="2:7">
      <c r="B129" s="12" t="s">
        <v>242</v>
      </c>
      <c r="C129" s="3" t="s">
        <v>243</v>
      </c>
      <c r="D129" s="3" t="s">
        <v>9</v>
      </c>
      <c r="E129" s="3"/>
      <c r="F129" s="3" t="s">
        <v>11</v>
      </c>
      <c r="G129" s="4">
        <v>2510.1999999999998</v>
      </c>
    </row>
    <row r="130" spans="2:7">
      <c r="B130" s="12" t="s">
        <v>244</v>
      </c>
      <c r="C130" s="3" t="s">
        <v>245</v>
      </c>
      <c r="D130" s="3" t="s">
        <v>9</v>
      </c>
      <c r="E130" s="3"/>
      <c r="F130" s="3" t="s">
        <v>11</v>
      </c>
      <c r="G130" s="4">
        <v>2485.9899999999998</v>
      </c>
    </row>
    <row r="131" spans="2:7">
      <c r="B131" s="12" t="s">
        <v>246</v>
      </c>
      <c r="C131" s="3" t="s">
        <v>247</v>
      </c>
      <c r="D131" s="3" t="s">
        <v>9</v>
      </c>
      <c r="E131" s="3" t="s">
        <v>31</v>
      </c>
      <c r="F131" s="3" t="s">
        <v>11</v>
      </c>
      <c r="G131" s="4">
        <v>2436.8000000000002</v>
      </c>
    </row>
    <row r="132" spans="2:7">
      <c r="B132" s="12" t="s">
        <v>248</v>
      </c>
      <c r="C132" s="3" t="s">
        <v>249</v>
      </c>
      <c r="D132" s="3" t="s">
        <v>9</v>
      </c>
      <c r="E132" s="3" t="s">
        <v>31</v>
      </c>
      <c r="F132" s="3" t="s">
        <v>11</v>
      </c>
      <c r="G132" s="4">
        <v>2257.6799999999998</v>
      </c>
    </row>
    <row r="133" spans="2:7">
      <c r="B133" s="12" t="s">
        <v>250</v>
      </c>
      <c r="C133" s="3" t="s">
        <v>251</v>
      </c>
      <c r="D133" s="3" t="s">
        <v>9</v>
      </c>
      <c r="E133" s="3"/>
      <c r="F133" s="3" t="s">
        <v>11</v>
      </c>
      <c r="G133" s="4">
        <v>2195.19</v>
      </c>
    </row>
    <row r="134" spans="2:7">
      <c r="B134" s="12" t="s">
        <v>252</v>
      </c>
      <c r="C134" s="3" t="s">
        <v>253</v>
      </c>
      <c r="D134" s="3" t="s">
        <v>9</v>
      </c>
      <c r="E134" s="3" t="s">
        <v>31</v>
      </c>
      <c r="F134" s="3" t="s">
        <v>11</v>
      </c>
      <c r="G134" s="4">
        <v>2188.7199999999998</v>
      </c>
    </row>
    <row r="135" spans="2:7">
      <c r="B135" s="12" t="s">
        <v>254</v>
      </c>
      <c r="C135" s="3" t="s">
        <v>255</v>
      </c>
      <c r="D135" s="3" t="s">
        <v>9</v>
      </c>
      <c r="E135" s="3"/>
      <c r="F135" s="3" t="s">
        <v>11</v>
      </c>
      <c r="G135" s="4">
        <v>2157.4499999999998</v>
      </c>
    </row>
    <row r="136" spans="2:7">
      <c r="B136" s="12">
        <v>500165</v>
      </c>
      <c r="C136" s="3" t="s">
        <v>256</v>
      </c>
      <c r="D136" s="3" t="s">
        <v>9</v>
      </c>
      <c r="E136" s="3"/>
      <c r="F136" s="3" t="s">
        <v>11</v>
      </c>
      <c r="G136" s="4">
        <v>2125.5100000000002</v>
      </c>
    </row>
    <row r="137" spans="2:7">
      <c r="B137" s="12">
        <v>500870</v>
      </c>
      <c r="C137" s="3" t="s">
        <v>257</v>
      </c>
      <c r="D137" s="3" t="s">
        <v>9</v>
      </c>
      <c r="E137" s="3"/>
      <c r="F137" s="3" t="s">
        <v>11</v>
      </c>
      <c r="G137" s="4">
        <v>2106.59</v>
      </c>
    </row>
    <row r="138" spans="2:7">
      <c r="B138" s="12">
        <v>8174</v>
      </c>
      <c r="C138" s="3" t="s">
        <v>258</v>
      </c>
      <c r="D138" s="3" t="s">
        <v>9</v>
      </c>
      <c r="E138" s="3"/>
      <c r="F138" s="3" t="s">
        <v>11</v>
      </c>
      <c r="G138" s="4">
        <v>2075.9499999999998</v>
      </c>
    </row>
    <row r="139" spans="2:7">
      <c r="B139" s="12" t="s">
        <v>259</v>
      </c>
      <c r="C139" s="3" t="s">
        <v>260</v>
      </c>
      <c r="D139" s="3" t="s">
        <v>9</v>
      </c>
      <c r="E139" s="3"/>
      <c r="F139" s="3" t="s">
        <v>11</v>
      </c>
      <c r="G139" s="4">
        <v>1881.09</v>
      </c>
    </row>
    <row r="140" spans="2:7">
      <c r="B140" s="12">
        <v>6622</v>
      </c>
      <c r="C140" s="3" t="s">
        <v>261</v>
      </c>
      <c r="D140" s="3" t="s">
        <v>9</v>
      </c>
      <c r="E140" s="3"/>
      <c r="F140" s="3" t="s">
        <v>11</v>
      </c>
      <c r="G140" s="4">
        <v>1850.35</v>
      </c>
    </row>
    <row r="141" spans="2:7">
      <c r="B141" s="12" t="s">
        <v>262</v>
      </c>
      <c r="C141" s="3" t="s">
        <v>263</v>
      </c>
      <c r="D141" s="3" t="s">
        <v>9</v>
      </c>
      <c r="E141" s="3"/>
      <c r="F141" s="3" t="s">
        <v>11</v>
      </c>
      <c r="G141" s="4">
        <v>1813.61</v>
      </c>
    </row>
    <row r="142" spans="2:7">
      <c r="B142" s="12">
        <v>2810</v>
      </c>
      <c r="C142" s="3" t="s">
        <v>264</v>
      </c>
      <c r="D142" s="3" t="s">
        <v>9</v>
      </c>
      <c r="E142" s="3"/>
      <c r="F142" s="3" t="s">
        <v>11</v>
      </c>
      <c r="G142" s="4">
        <v>1813.54</v>
      </c>
    </row>
    <row r="143" spans="2:7">
      <c r="B143" s="12" t="s">
        <v>265</v>
      </c>
      <c r="C143" s="3" t="s">
        <v>266</v>
      </c>
      <c r="D143" s="3" t="s">
        <v>9</v>
      </c>
      <c r="E143" s="3" t="s">
        <v>10</v>
      </c>
      <c r="F143" s="3" t="s">
        <v>11</v>
      </c>
      <c r="G143" s="4">
        <v>1807.3</v>
      </c>
    </row>
    <row r="144" spans="2:7">
      <c r="B144" s="12" t="s">
        <v>267</v>
      </c>
      <c r="C144" s="3" t="s">
        <v>268</v>
      </c>
      <c r="D144" s="3" t="s">
        <v>9</v>
      </c>
      <c r="E144" s="3" t="s">
        <v>10</v>
      </c>
      <c r="F144" s="3" t="s">
        <v>11</v>
      </c>
      <c r="G144" s="4">
        <v>1792.79</v>
      </c>
    </row>
    <row r="145" spans="2:7">
      <c r="B145" s="12" t="s">
        <v>269</v>
      </c>
      <c r="C145" s="3" t="s">
        <v>270</v>
      </c>
      <c r="D145" s="3" t="s">
        <v>9</v>
      </c>
      <c r="E145" s="3" t="s">
        <v>10</v>
      </c>
      <c r="F145" s="3" t="s">
        <v>11</v>
      </c>
      <c r="G145" s="4">
        <v>1756.83</v>
      </c>
    </row>
    <row r="146" spans="2:7">
      <c r="B146" s="12" t="s">
        <v>271</v>
      </c>
      <c r="C146" s="3" t="s">
        <v>272</v>
      </c>
      <c r="D146" s="3" t="s">
        <v>9</v>
      </c>
      <c r="E146" s="3"/>
      <c r="F146" s="3" t="s">
        <v>11</v>
      </c>
      <c r="G146" s="4">
        <v>1741.82</v>
      </c>
    </row>
    <row r="147" spans="2:7">
      <c r="B147" s="12">
        <v>8368</v>
      </c>
      <c r="C147" s="3" t="s">
        <v>273</v>
      </c>
      <c r="D147" s="3" t="s">
        <v>9</v>
      </c>
      <c r="E147" s="3"/>
      <c r="F147" s="3" t="s">
        <v>11</v>
      </c>
      <c r="G147" s="4">
        <v>1691</v>
      </c>
    </row>
    <row r="148" spans="2:7">
      <c r="B148" s="12">
        <v>5857</v>
      </c>
      <c r="C148" s="3" t="s">
        <v>274</v>
      </c>
      <c r="D148" s="3" t="s">
        <v>9</v>
      </c>
      <c r="E148" s="3"/>
      <c r="F148" s="3" t="s">
        <v>11</v>
      </c>
      <c r="G148" s="4">
        <v>1652.05</v>
      </c>
    </row>
    <row r="149" spans="2:7">
      <c r="B149" s="12" t="s">
        <v>275</v>
      </c>
      <c r="C149" s="3" t="s">
        <v>276</v>
      </c>
      <c r="D149" s="3" t="s">
        <v>9</v>
      </c>
      <c r="E149" s="3"/>
      <c r="F149" s="3" t="s">
        <v>11</v>
      </c>
      <c r="G149" s="4">
        <v>1562.21</v>
      </c>
    </row>
    <row r="150" spans="2:7">
      <c r="B150" s="12" t="s">
        <v>277</v>
      </c>
      <c r="C150" s="3" t="s">
        <v>278</v>
      </c>
      <c r="D150" s="3" t="s">
        <v>9</v>
      </c>
      <c r="E150" s="3"/>
      <c r="F150" s="3" t="s">
        <v>11</v>
      </c>
      <c r="G150" s="4">
        <v>1463.64</v>
      </c>
    </row>
    <row r="151" spans="2:7">
      <c r="B151" s="12">
        <v>531335</v>
      </c>
      <c r="C151" s="3" t="s">
        <v>279</v>
      </c>
      <c r="D151" s="3" t="s">
        <v>9</v>
      </c>
      <c r="E151" s="3"/>
      <c r="F151" s="3" t="s">
        <v>11</v>
      </c>
      <c r="G151" s="4">
        <v>1453.69</v>
      </c>
    </row>
    <row r="152" spans="2:7">
      <c r="B152" s="12">
        <v>4617</v>
      </c>
      <c r="C152" s="3" t="s">
        <v>280</v>
      </c>
      <c r="D152" s="3" t="s">
        <v>9</v>
      </c>
      <c r="E152" s="3"/>
      <c r="F152" s="3" t="s">
        <v>11</v>
      </c>
      <c r="G152" s="4">
        <v>1443.72</v>
      </c>
    </row>
    <row r="153" spans="2:7">
      <c r="B153" s="12" t="s">
        <v>281</v>
      </c>
      <c r="C153" s="3" t="s">
        <v>282</v>
      </c>
      <c r="D153" s="3" t="s">
        <v>9</v>
      </c>
      <c r="E153" s="3"/>
      <c r="F153" s="3" t="s">
        <v>11</v>
      </c>
      <c r="G153" s="4">
        <v>1429.73</v>
      </c>
    </row>
    <row r="154" spans="2:7">
      <c r="B154" s="12">
        <v>4966</v>
      </c>
      <c r="C154" s="3" t="s">
        <v>283</v>
      </c>
      <c r="D154" s="3" t="s">
        <v>9</v>
      </c>
      <c r="E154" s="3"/>
      <c r="F154" s="3" t="s">
        <v>11</v>
      </c>
      <c r="G154" s="4">
        <v>1411.5</v>
      </c>
    </row>
    <row r="155" spans="2:7">
      <c r="B155" s="12" t="s">
        <v>284</v>
      </c>
      <c r="C155" s="3" t="s">
        <v>285</v>
      </c>
      <c r="D155" s="3" t="s">
        <v>9</v>
      </c>
      <c r="E155" s="3"/>
      <c r="F155" s="3" t="s">
        <v>11</v>
      </c>
      <c r="G155" s="4">
        <v>1399.58</v>
      </c>
    </row>
    <row r="156" spans="2:7">
      <c r="B156" s="12">
        <v>519600</v>
      </c>
      <c r="C156" s="3" t="s">
        <v>286</v>
      </c>
      <c r="D156" s="3" t="s">
        <v>9</v>
      </c>
      <c r="E156" s="3"/>
      <c r="F156" s="3" t="s">
        <v>11</v>
      </c>
      <c r="G156" s="4">
        <v>1384.94</v>
      </c>
    </row>
    <row r="157" spans="2:7">
      <c r="B157" s="12">
        <v>4206</v>
      </c>
      <c r="C157" s="3" t="s">
        <v>287</v>
      </c>
      <c r="D157" s="3" t="s">
        <v>9</v>
      </c>
      <c r="E157" s="3"/>
      <c r="F157" s="3" t="s">
        <v>11</v>
      </c>
      <c r="G157" s="4">
        <v>1369.93</v>
      </c>
    </row>
    <row r="158" spans="2:7">
      <c r="B158" s="12" t="s">
        <v>288</v>
      </c>
      <c r="C158" s="3" t="s">
        <v>289</v>
      </c>
      <c r="D158" s="3" t="s">
        <v>9</v>
      </c>
      <c r="E158" s="3"/>
      <c r="F158" s="3" t="s">
        <v>11</v>
      </c>
      <c r="G158" s="4">
        <v>1368.75</v>
      </c>
    </row>
    <row r="159" spans="2:7">
      <c r="B159" s="12">
        <v>6472</v>
      </c>
      <c r="C159" s="3" t="s">
        <v>290</v>
      </c>
      <c r="D159" s="3" t="s">
        <v>9</v>
      </c>
      <c r="E159" s="3"/>
      <c r="F159" s="3" t="s">
        <v>11</v>
      </c>
      <c r="G159" s="4">
        <v>1286.19</v>
      </c>
    </row>
    <row r="160" spans="2:7">
      <c r="B160" s="12" t="s">
        <v>291</v>
      </c>
      <c r="C160" s="3" t="s">
        <v>292</v>
      </c>
      <c r="D160" s="3" t="s">
        <v>9</v>
      </c>
      <c r="E160" s="3"/>
      <c r="F160" s="3" t="s">
        <v>11</v>
      </c>
      <c r="G160" s="4">
        <v>1276.02</v>
      </c>
    </row>
    <row r="161" spans="2:7">
      <c r="B161" s="12" t="s">
        <v>293</v>
      </c>
      <c r="C161" s="3" t="s">
        <v>294</v>
      </c>
      <c r="D161" s="3" t="s">
        <v>9</v>
      </c>
      <c r="E161" s="3" t="s">
        <v>31</v>
      </c>
      <c r="F161" s="3" t="s">
        <v>11</v>
      </c>
      <c r="G161" s="4">
        <v>1231.9100000000001</v>
      </c>
    </row>
    <row r="162" spans="2:7">
      <c r="B162" s="12" t="s">
        <v>295</v>
      </c>
      <c r="C162" s="3" t="s">
        <v>296</v>
      </c>
      <c r="D162" s="3" t="s">
        <v>9</v>
      </c>
      <c r="E162" s="3" t="s">
        <v>10</v>
      </c>
      <c r="F162" s="3" t="s">
        <v>11</v>
      </c>
      <c r="G162" s="4">
        <v>1213.1099999999999</v>
      </c>
    </row>
    <row r="163" spans="2:7">
      <c r="B163" s="12" t="s">
        <v>297</v>
      </c>
      <c r="C163" s="3" t="s">
        <v>298</v>
      </c>
      <c r="D163" s="3" t="s">
        <v>9</v>
      </c>
      <c r="E163" s="3"/>
      <c r="F163" s="3" t="s">
        <v>11</v>
      </c>
      <c r="G163" s="4">
        <v>1189.49</v>
      </c>
    </row>
    <row r="164" spans="2:7">
      <c r="B164" s="12" t="s">
        <v>299</v>
      </c>
      <c r="C164" s="3" t="s">
        <v>300</v>
      </c>
      <c r="D164" s="3" t="s">
        <v>9</v>
      </c>
      <c r="E164" s="3"/>
      <c r="F164" s="3" t="s">
        <v>11</v>
      </c>
      <c r="G164" s="4">
        <v>1185.0899999999999</v>
      </c>
    </row>
    <row r="165" spans="2:7">
      <c r="B165" s="12" t="s">
        <v>301</v>
      </c>
      <c r="C165" s="3" t="s">
        <v>302</v>
      </c>
      <c r="D165" s="3" t="s">
        <v>9</v>
      </c>
      <c r="E165" s="3"/>
      <c r="F165" s="3" t="s">
        <v>11</v>
      </c>
      <c r="G165" s="4">
        <v>1184.31</v>
      </c>
    </row>
    <row r="166" spans="2:7">
      <c r="B166" s="12" t="s">
        <v>303</v>
      </c>
      <c r="C166" s="3" t="s">
        <v>304</v>
      </c>
      <c r="D166" s="3" t="s">
        <v>9</v>
      </c>
      <c r="E166" s="3" t="s">
        <v>10</v>
      </c>
      <c r="F166" s="3" t="s">
        <v>11</v>
      </c>
      <c r="G166" s="4">
        <v>1171.68</v>
      </c>
    </row>
    <row r="167" spans="2:7">
      <c r="B167" s="12">
        <v>8367</v>
      </c>
      <c r="C167" s="3" t="s">
        <v>305</v>
      </c>
      <c r="D167" s="3" t="s">
        <v>9</v>
      </c>
      <c r="E167" s="3"/>
      <c r="F167" s="3" t="s">
        <v>11</v>
      </c>
      <c r="G167" s="4">
        <v>1158.6500000000001</v>
      </c>
    </row>
    <row r="168" spans="2:7">
      <c r="B168" s="12">
        <v>5482</v>
      </c>
      <c r="C168" s="3" t="s">
        <v>306</v>
      </c>
      <c r="D168" s="3" t="s">
        <v>9</v>
      </c>
      <c r="E168" s="3"/>
      <c r="F168" s="3" t="s">
        <v>11</v>
      </c>
      <c r="G168" s="4">
        <v>1151.6300000000001</v>
      </c>
    </row>
    <row r="169" spans="2:7">
      <c r="B169" s="12" t="s">
        <v>307</v>
      </c>
      <c r="C169" s="3" t="s">
        <v>308</v>
      </c>
      <c r="D169" s="3" t="s">
        <v>9</v>
      </c>
      <c r="E169" s="3"/>
      <c r="F169" s="3" t="s">
        <v>11</v>
      </c>
      <c r="G169" s="4">
        <v>1135.6600000000001</v>
      </c>
    </row>
    <row r="170" spans="2:7">
      <c r="B170" s="12">
        <v>8386</v>
      </c>
      <c r="C170" s="3" t="s">
        <v>309</v>
      </c>
      <c r="D170" s="3" t="s">
        <v>9</v>
      </c>
      <c r="E170" s="3"/>
      <c r="F170" s="3" t="s">
        <v>11</v>
      </c>
      <c r="G170" s="4">
        <v>1134.57</v>
      </c>
    </row>
    <row r="171" spans="2:7">
      <c r="B171" s="12">
        <v>6632</v>
      </c>
      <c r="C171" s="3" t="s">
        <v>310</v>
      </c>
      <c r="D171" s="3" t="s">
        <v>9</v>
      </c>
      <c r="E171" s="3"/>
      <c r="F171" s="3" t="s">
        <v>11</v>
      </c>
      <c r="G171" s="4">
        <v>1130.17</v>
      </c>
    </row>
    <row r="172" spans="2:7">
      <c r="B172" s="12">
        <v>5384</v>
      </c>
      <c r="C172" s="3" t="s">
        <v>311</v>
      </c>
      <c r="D172" s="3" t="s">
        <v>9</v>
      </c>
      <c r="E172" s="3"/>
      <c r="F172" s="3" t="s">
        <v>11</v>
      </c>
      <c r="G172" s="4">
        <v>1119.56</v>
      </c>
    </row>
    <row r="173" spans="2:7">
      <c r="B173" s="12" t="s">
        <v>312</v>
      </c>
      <c r="C173" s="3" t="s">
        <v>313</v>
      </c>
      <c r="D173" s="3" t="s">
        <v>9</v>
      </c>
      <c r="E173" s="3"/>
      <c r="F173" s="3" t="s">
        <v>11</v>
      </c>
      <c r="G173" s="4">
        <v>1097.22</v>
      </c>
    </row>
    <row r="174" spans="2:7">
      <c r="B174" s="12" t="s">
        <v>314</v>
      </c>
      <c r="C174" s="3" t="s">
        <v>315</v>
      </c>
      <c r="D174" s="3" t="s">
        <v>9</v>
      </c>
      <c r="E174" s="3"/>
      <c r="F174" s="3" t="s">
        <v>11</v>
      </c>
      <c r="G174" s="4">
        <v>1068.1300000000001</v>
      </c>
    </row>
    <row r="175" spans="2:7">
      <c r="B175" s="12" t="s">
        <v>316</v>
      </c>
      <c r="C175" s="3" t="s">
        <v>317</v>
      </c>
      <c r="D175" s="3" t="s">
        <v>9</v>
      </c>
      <c r="E175" s="3"/>
      <c r="F175" s="3" t="s">
        <v>11</v>
      </c>
      <c r="G175" s="4">
        <v>1049.43</v>
      </c>
    </row>
    <row r="176" spans="2:7">
      <c r="B176" s="12" t="s">
        <v>318</v>
      </c>
      <c r="C176" s="3" t="s">
        <v>319</v>
      </c>
      <c r="D176" s="3" t="s">
        <v>9</v>
      </c>
      <c r="E176" s="3"/>
      <c r="F176" s="3" t="s">
        <v>11</v>
      </c>
      <c r="G176" s="4">
        <v>1047.07</v>
      </c>
    </row>
    <row r="177" spans="2:7">
      <c r="B177" s="12" t="s">
        <v>320</v>
      </c>
      <c r="C177" s="3" t="s">
        <v>321</v>
      </c>
      <c r="D177" s="3" t="s">
        <v>9</v>
      </c>
      <c r="E177" s="3"/>
      <c r="F177" s="3" t="s">
        <v>11</v>
      </c>
      <c r="G177" s="4">
        <v>975.97</v>
      </c>
    </row>
    <row r="178" spans="2:7">
      <c r="B178" s="12" t="s">
        <v>322</v>
      </c>
      <c r="C178" s="3" t="s">
        <v>23</v>
      </c>
      <c r="D178" s="3" t="s">
        <v>9</v>
      </c>
      <c r="E178" s="3" t="s">
        <v>10</v>
      </c>
      <c r="F178" s="3" t="s">
        <v>11</v>
      </c>
      <c r="G178" s="4">
        <v>966.76</v>
      </c>
    </row>
    <row r="179" spans="2:7">
      <c r="B179" s="12">
        <v>7224</v>
      </c>
      <c r="C179" s="3" t="s">
        <v>323</v>
      </c>
      <c r="D179" s="3" t="s">
        <v>9</v>
      </c>
      <c r="E179" s="3"/>
      <c r="F179" s="3" t="s">
        <v>11</v>
      </c>
      <c r="G179" s="4">
        <v>950.01</v>
      </c>
    </row>
    <row r="180" spans="2:7">
      <c r="B180" s="12">
        <v>6486</v>
      </c>
      <c r="C180" s="3" t="s">
        <v>324</v>
      </c>
      <c r="D180" s="3" t="s">
        <v>9</v>
      </c>
      <c r="E180" s="3"/>
      <c r="F180" s="3" t="s">
        <v>11</v>
      </c>
      <c r="G180" s="4">
        <v>947.51</v>
      </c>
    </row>
    <row r="181" spans="2:7">
      <c r="B181" s="12" t="s">
        <v>325</v>
      </c>
      <c r="C181" s="3" t="s">
        <v>326</v>
      </c>
      <c r="D181" s="3" t="s">
        <v>9</v>
      </c>
      <c r="E181" s="3"/>
      <c r="F181" s="3" t="s">
        <v>11</v>
      </c>
      <c r="G181" s="4">
        <v>935.44</v>
      </c>
    </row>
    <row r="182" spans="2:7">
      <c r="B182" s="12" t="s">
        <v>327</v>
      </c>
      <c r="C182" s="3" t="s">
        <v>328</v>
      </c>
      <c r="D182" s="3" t="s">
        <v>9</v>
      </c>
      <c r="E182" s="3"/>
      <c r="F182" s="3" t="s">
        <v>11</v>
      </c>
      <c r="G182" s="4">
        <v>874.12</v>
      </c>
    </row>
    <row r="183" spans="2:7">
      <c r="B183" s="12" t="s">
        <v>329</v>
      </c>
      <c r="C183" s="3" t="s">
        <v>330</v>
      </c>
      <c r="D183" s="3" t="s">
        <v>9</v>
      </c>
      <c r="E183" s="3" t="s">
        <v>31</v>
      </c>
      <c r="F183" s="3" t="s">
        <v>11</v>
      </c>
      <c r="G183" s="4">
        <v>867.09</v>
      </c>
    </row>
    <row r="184" spans="2:7">
      <c r="B184" s="12" t="s">
        <v>331</v>
      </c>
      <c r="C184" s="3" t="s">
        <v>332</v>
      </c>
      <c r="D184" s="3" t="s">
        <v>9</v>
      </c>
      <c r="E184" s="3"/>
      <c r="F184" s="3" t="s">
        <v>11</v>
      </c>
      <c r="G184" s="4">
        <v>818.62</v>
      </c>
    </row>
    <row r="185" spans="2:7">
      <c r="B185" s="12" t="s">
        <v>333</v>
      </c>
      <c r="C185" s="3" t="s">
        <v>334</v>
      </c>
      <c r="D185" s="3" t="s">
        <v>9</v>
      </c>
      <c r="E185" s="3" t="s">
        <v>10</v>
      </c>
      <c r="F185" s="3" t="s">
        <v>11</v>
      </c>
      <c r="G185" s="4">
        <v>817.01</v>
      </c>
    </row>
    <row r="186" spans="2:7">
      <c r="B186" s="12" t="s">
        <v>335</v>
      </c>
      <c r="C186" s="3" t="s">
        <v>336</v>
      </c>
      <c r="D186" s="3" t="s">
        <v>9</v>
      </c>
      <c r="E186" s="3"/>
      <c r="F186" s="3" t="s">
        <v>11</v>
      </c>
      <c r="G186" s="4">
        <v>812.79</v>
      </c>
    </row>
    <row r="187" spans="2:7">
      <c r="B187" s="12" t="s">
        <v>337</v>
      </c>
      <c r="C187" s="3" t="s">
        <v>338</v>
      </c>
      <c r="D187" s="3" t="s">
        <v>9</v>
      </c>
      <c r="E187" s="3"/>
      <c r="F187" s="3" t="s">
        <v>11</v>
      </c>
      <c r="G187" s="4">
        <v>742.84</v>
      </c>
    </row>
    <row r="188" spans="2:7">
      <c r="B188" s="12" t="s">
        <v>339</v>
      </c>
      <c r="C188" s="3" t="s">
        <v>340</v>
      </c>
      <c r="D188" s="3" t="s">
        <v>9</v>
      </c>
      <c r="E188" s="3"/>
      <c r="F188" s="3" t="s">
        <v>11</v>
      </c>
      <c r="G188" s="4">
        <v>742.09</v>
      </c>
    </row>
    <row r="189" spans="2:7">
      <c r="B189" s="12" t="s">
        <v>341</v>
      </c>
      <c r="C189" s="3" t="s">
        <v>342</v>
      </c>
      <c r="D189" s="3" t="s">
        <v>9</v>
      </c>
      <c r="E189" s="3" t="s">
        <v>10</v>
      </c>
      <c r="F189" s="3" t="s">
        <v>11</v>
      </c>
      <c r="G189" s="4">
        <v>732.68</v>
      </c>
    </row>
    <row r="190" spans="2:7">
      <c r="B190" s="12">
        <v>9010</v>
      </c>
      <c r="C190" s="3" t="s">
        <v>343</v>
      </c>
      <c r="D190" s="3" t="s">
        <v>9</v>
      </c>
      <c r="E190" s="3"/>
      <c r="F190" s="3" t="s">
        <v>11</v>
      </c>
      <c r="G190" s="4">
        <v>729.92</v>
      </c>
    </row>
    <row r="191" spans="2:7">
      <c r="B191" s="12" t="s">
        <v>344</v>
      </c>
      <c r="C191" s="3" t="s">
        <v>345</v>
      </c>
      <c r="D191" s="3" t="s">
        <v>9</v>
      </c>
      <c r="E191" s="3"/>
      <c r="F191" s="3" t="s">
        <v>11</v>
      </c>
      <c r="G191" s="4">
        <v>681.19</v>
      </c>
    </row>
    <row r="192" spans="2:7">
      <c r="B192" s="12" t="s">
        <v>346</v>
      </c>
      <c r="C192" s="3" t="s">
        <v>347</v>
      </c>
      <c r="D192" s="3" t="s">
        <v>9</v>
      </c>
      <c r="E192" s="3"/>
      <c r="F192" s="3" t="s">
        <v>11</v>
      </c>
      <c r="G192" s="4">
        <v>644.02</v>
      </c>
    </row>
    <row r="193" spans="2:7">
      <c r="B193" s="12" t="s">
        <v>348</v>
      </c>
      <c r="C193" s="3" t="s">
        <v>349</v>
      </c>
      <c r="D193" s="3" t="s">
        <v>9</v>
      </c>
      <c r="E193" s="3"/>
      <c r="F193" s="3" t="s">
        <v>350</v>
      </c>
      <c r="G193" s="4">
        <v>585.77</v>
      </c>
    </row>
    <row r="194" spans="2:7">
      <c r="B194" s="12" t="s">
        <v>351</v>
      </c>
      <c r="C194" s="3" t="s">
        <v>352</v>
      </c>
      <c r="D194" s="3" t="s">
        <v>9</v>
      </c>
      <c r="E194" s="3" t="s">
        <v>10</v>
      </c>
      <c r="F194" s="3" t="s">
        <v>11</v>
      </c>
      <c r="G194" s="4">
        <v>583.5</v>
      </c>
    </row>
    <row r="195" spans="2:7">
      <c r="B195" s="12" t="s">
        <v>353</v>
      </c>
      <c r="C195" s="3" t="s">
        <v>354</v>
      </c>
      <c r="D195" s="3" t="s">
        <v>9</v>
      </c>
      <c r="E195" s="3"/>
      <c r="F195" s="3" t="s">
        <v>11</v>
      </c>
      <c r="G195" s="4">
        <v>573.69000000000005</v>
      </c>
    </row>
    <row r="196" spans="2:7">
      <c r="B196" s="12" t="s">
        <v>355</v>
      </c>
      <c r="C196" s="3" t="s">
        <v>356</v>
      </c>
      <c r="D196" s="3" t="s">
        <v>9</v>
      </c>
      <c r="E196" s="3"/>
      <c r="F196" s="3" t="s">
        <v>11</v>
      </c>
      <c r="G196" s="4">
        <v>548.49</v>
      </c>
    </row>
    <row r="197" spans="2:7">
      <c r="B197" s="12" t="s">
        <v>357</v>
      </c>
      <c r="C197" s="3" t="s">
        <v>358</v>
      </c>
      <c r="D197" s="3" t="s">
        <v>9</v>
      </c>
      <c r="E197" s="3" t="s">
        <v>10</v>
      </c>
      <c r="F197" s="3" t="s">
        <v>11</v>
      </c>
      <c r="G197" s="4">
        <v>537.19000000000005</v>
      </c>
    </row>
    <row r="198" spans="2:7">
      <c r="B198" s="12" t="s">
        <v>359</v>
      </c>
      <c r="C198" s="3" t="s">
        <v>360</v>
      </c>
      <c r="D198" s="3" t="s">
        <v>9</v>
      </c>
      <c r="E198" s="3" t="s">
        <v>10</v>
      </c>
      <c r="F198" s="3" t="s">
        <v>11</v>
      </c>
      <c r="G198" s="4">
        <v>524.26</v>
      </c>
    </row>
    <row r="199" spans="2:7">
      <c r="B199" s="12" t="s">
        <v>361</v>
      </c>
      <c r="C199" s="3" t="s">
        <v>362</v>
      </c>
      <c r="D199" s="3" t="s">
        <v>9</v>
      </c>
      <c r="E199" s="3" t="s">
        <v>10</v>
      </c>
      <c r="F199" s="3" t="s">
        <v>11</v>
      </c>
      <c r="G199" s="4">
        <v>522.83000000000004</v>
      </c>
    </row>
    <row r="200" spans="2:7">
      <c r="B200" s="12" t="s">
        <v>363</v>
      </c>
      <c r="C200" s="3" t="s">
        <v>364</v>
      </c>
      <c r="D200" s="3" t="s">
        <v>9</v>
      </c>
      <c r="E200" s="3"/>
      <c r="F200" s="3" t="s">
        <v>11</v>
      </c>
      <c r="G200" s="4">
        <v>518.42999999999995</v>
      </c>
    </row>
    <row r="201" spans="2:7">
      <c r="B201" s="12" t="s">
        <v>365</v>
      </c>
      <c r="C201" s="3" t="s">
        <v>366</v>
      </c>
      <c r="D201" s="3" t="s">
        <v>9</v>
      </c>
      <c r="E201" s="3"/>
      <c r="F201" s="3" t="s">
        <v>11</v>
      </c>
      <c r="G201" s="4">
        <v>514.88</v>
      </c>
    </row>
    <row r="202" spans="2:7">
      <c r="B202" s="12" t="s">
        <v>367</v>
      </c>
      <c r="C202" s="3" t="s">
        <v>368</v>
      </c>
      <c r="D202" s="3" t="s">
        <v>9</v>
      </c>
      <c r="E202" s="3"/>
      <c r="F202" s="3" t="s">
        <v>11</v>
      </c>
      <c r="G202" s="4">
        <v>511.72</v>
      </c>
    </row>
    <row r="203" spans="2:7">
      <c r="B203" s="12">
        <v>6413</v>
      </c>
      <c r="C203" s="3" t="s">
        <v>369</v>
      </c>
      <c r="D203" s="3" t="s">
        <v>9</v>
      </c>
      <c r="E203" s="3"/>
      <c r="F203" s="3" t="s">
        <v>11</v>
      </c>
      <c r="G203" s="4">
        <v>504.13</v>
      </c>
    </row>
  </sheetData>
  <autoFilter ref="B3:G203" xr:uid="{00000000-0009-0000-0000-000000000000}">
    <sortState xmlns:xlrd2="http://schemas.microsoft.com/office/spreadsheetml/2017/richdata2" ref="B4:G203">
      <sortCondition descending="1" ref="G3:G203"/>
    </sortState>
  </autoFilter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2:AA153"/>
  <sheetViews>
    <sheetView workbookViewId="0">
      <selection activeCell="D14" sqref="D14"/>
    </sheetView>
  </sheetViews>
  <sheetFormatPr defaultRowHeight="16.5"/>
  <cols>
    <col min="1" max="1" width="9.875" customWidth="1"/>
    <col min="2" max="2" width="12" style="28" customWidth="1"/>
    <col min="3" max="3" width="14" customWidth="1"/>
    <col min="4" max="4" width="42" bestFit="1" customWidth="1"/>
    <col min="5" max="5" width="12" hidden="1" customWidth="1"/>
    <col min="6" max="6" width="12" customWidth="1"/>
    <col min="7" max="23" width="9" customWidth="1"/>
    <col min="24" max="27" width="10" customWidth="1"/>
  </cols>
  <sheetData>
    <row r="2" spans="2:27">
      <c r="B2" s="42" t="s">
        <v>1</v>
      </c>
      <c r="C2" s="42" t="s">
        <v>370</v>
      </c>
      <c r="D2" s="42" t="s">
        <v>371</v>
      </c>
      <c r="E2" s="2" t="s">
        <v>372</v>
      </c>
      <c r="F2" s="42" t="s">
        <v>373</v>
      </c>
      <c r="G2" s="42" t="s">
        <v>374</v>
      </c>
      <c r="H2" s="42" t="s">
        <v>375</v>
      </c>
      <c r="I2" s="42" t="s">
        <v>376</v>
      </c>
      <c r="J2" s="42" t="s">
        <v>377</v>
      </c>
      <c r="K2" s="42" t="s">
        <v>378</v>
      </c>
      <c r="L2" s="42" t="s">
        <v>379</v>
      </c>
      <c r="M2" s="42" t="s">
        <v>380</v>
      </c>
      <c r="N2" s="42" t="s">
        <v>381</v>
      </c>
      <c r="O2" s="42" t="s">
        <v>382</v>
      </c>
      <c r="P2" s="42" t="s">
        <v>383</v>
      </c>
      <c r="Q2" s="42" t="s">
        <v>384</v>
      </c>
      <c r="R2" s="42" t="s">
        <v>385</v>
      </c>
      <c r="S2" s="42" t="s">
        <v>386</v>
      </c>
      <c r="T2" s="42" t="s">
        <v>387</v>
      </c>
      <c r="U2" s="42" t="s">
        <v>388</v>
      </c>
      <c r="V2" s="42" t="s">
        <v>389</v>
      </c>
      <c r="W2" s="42" t="s">
        <v>390</v>
      </c>
      <c r="X2" s="42" t="s">
        <v>387</v>
      </c>
      <c r="Y2" s="42" t="s">
        <v>388</v>
      </c>
      <c r="Z2" s="42" t="s">
        <v>389</v>
      </c>
      <c r="AA2" s="42" t="s">
        <v>390</v>
      </c>
    </row>
    <row r="3" spans="2:27">
      <c r="B3" s="12" t="s">
        <v>88</v>
      </c>
      <c r="C3" s="3" t="s">
        <v>391</v>
      </c>
      <c r="D3" s="3" t="s">
        <v>392</v>
      </c>
      <c r="E3" s="3" t="s">
        <v>393</v>
      </c>
      <c r="F3" s="24">
        <v>33.299999999999997</v>
      </c>
      <c r="G3" s="4">
        <v>1172</v>
      </c>
      <c r="H3" s="4">
        <v>1355</v>
      </c>
      <c r="I3" s="4">
        <v>1635</v>
      </c>
      <c r="J3" s="4">
        <v>1852</v>
      </c>
      <c r="K3" s="6">
        <v>1803</v>
      </c>
      <c r="L3" s="4">
        <v>1283</v>
      </c>
      <c r="M3" s="4">
        <v>2185</v>
      </c>
      <c r="N3" s="4">
        <v>2120</v>
      </c>
      <c r="O3" s="6">
        <v>3665</v>
      </c>
      <c r="P3" s="6">
        <v>3850</v>
      </c>
      <c r="Q3" s="6">
        <v>5355</v>
      </c>
      <c r="R3" s="6">
        <v>5937</v>
      </c>
      <c r="S3" s="6">
        <v>5678</v>
      </c>
      <c r="T3" s="4">
        <v>4600</v>
      </c>
      <c r="U3" s="4">
        <v>5757</v>
      </c>
      <c r="V3" s="4">
        <v>5018</v>
      </c>
      <c r="W3" s="6">
        <v>12682</v>
      </c>
      <c r="X3" s="7">
        <v>3.6023054755043298E-2</v>
      </c>
      <c r="Y3" s="8">
        <v>1.8636995827538309E-2</v>
      </c>
      <c r="Z3" s="8">
        <v>-4.1825960313125798E-2</v>
      </c>
      <c r="AA3" s="9">
        <v>0.33268417802688449</v>
      </c>
    </row>
    <row r="4" spans="2:27">
      <c r="B4" s="12" t="s">
        <v>128</v>
      </c>
      <c r="C4" s="3" t="s">
        <v>391</v>
      </c>
      <c r="D4" s="3" t="s">
        <v>394</v>
      </c>
      <c r="E4" s="3" t="s">
        <v>393</v>
      </c>
      <c r="F4" s="24">
        <v>14.3</v>
      </c>
      <c r="G4" s="4">
        <v>446.7</v>
      </c>
      <c r="H4" s="4">
        <v>395.4</v>
      </c>
      <c r="I4" s="4">
        <v>422.1</v>
      </c>
      <c r="J4" s="4">
        <v>506.8</v>
      </c>
      <c r="K4" s="4">
        <v>506</v>
      </c>
      <c r="L4" s="4">
        <v>383.4</v>
      </c>
      <c r="M4" s="4">
        <v>370.8</v>
      </c>
      <c r="N4" s="4">
        <v>317.60000000000002</v>
      </c>
      <c r="O4" s="4">
        <v>366.8</v>
      </c>
      <c r="P4" s="4">
        <v>366.5</v>
      </c>
      <c r="Q4" s="4">
        <v>308.3</v>
      </c>
      <c r="R4" s="4">
        <v>336.9</v>
      </c>
      <c r="S4" s="4">
        <v>402.2</v>
      </c>
      <c r="T4" s="4">
        <v>425.2</v>
      </c>
      <c r="U4" s="6">
        <v>480.7</v>
      </c>
      <c r="V4" s="6">
        <v>533.79999999999995</v>
      </c>
      <c r="W4" s="6">
        <v>665.5</v>
      </c>
      <c r="X4" s="7">
        <v>4.1516373152273633E-2</v>
      </c>
      <c r="Y4" s="9">
        <v>0.11707184571506191</v>
      </c>
      <c r="Z4" s="9">
        <v>0.11969604863221869</v>
      </c>
      <c r="AA4" s="9">
        <v>0.1429502144524675</v>
      </c>
    </row>
    <row r="5" spans="2:27">
      <c r="B5" s="12" t="s">
        <v>90</v>
      </c>
      <c r="C5" s="3" t="s">
        <v>391</v>
      </c>
      <c r="D5" s="3" t="s">
        <v>395</v>
      </c>
      <c r="E5" s="3" t="s">
        <v>393</v>
      </c>
      <c r="F5" s="24">
        <v>12.7</v>
      </c>
      <c r="G5" s="4">
        <v>3507</v>
      </c>
      <c r="H5" s="4">
        <v>3708</v>
      </c>
      <c r="I5" s="4">
        <v>3909</v>
      </c>
      <c r="J5" s="4">
        <v>3712</v>
      </c>
      <c r="K5" s="4">
        <v>3642</v>
      </c>
      <c r="L5" s="4">
        <v>3667</v>
      </c>
      <c r="M5" s="4">
        <v>3673</v>
      </c>
      <c r="N5" s="4">
        <v>3443</v>
      </c>
      <c r="O5" s="4">
        <v>3251</v>
      </c>
      <c r="P5" s="4">
        <v>3411</v>
      </c>
      <c r="Q5" s="4">
        <v>3535</v>
      </c>
      <c r="R5" s="4">
        <v>3353</v>
      </c>
      <c r="S5" s="4">
        <v>3241</v>
      </c>
      <c r="T5" s="4">
        <v>3333</v>
      </c>
      <c r="U5" s="6">
        <v>5082</v>
      </c>
      <c r="V5" s="6">
        <v>5745</v>
      </c>
      <c r="W5" s="6">
        <v>5449</v>
      </c>
      <c r="X5" s="7">
        <v>-5.7607090103397596E-3</v>
      </c>
      <c r="Y5" s="9">
        <v>0.1149160600207992</v>
      </c>
      <c r="Z5" s="9">
        <v>0.15937104404024249</v>
      </c>
      <c r="AA5" s="9">
        <v>0.12688925923797489</v>
      </c>
    </row>
    <row r="6" spans="2:27">
      <c r="B6" s="12" t="s">
        <v>361</v>
      </c>
      <c r="C6" s="3" t="s">
        <v>391</v>
      </c>
      <c r="D6" s="3" t="s">
        <v>396</v>
      </c>
      <c r="E6" s="3" t="s">
        <v>397</v>
      </c>
      <c r="F6" s="24">
        <v>11</v>
      </c>
      <c r="G6" s="4">
        <v>117.65</v>
      </c>
      <c r="H6" s="4">
        <v>120.49</v>
      </c>
      <c r="I6" s="4">
        <v>121.62</v>
      </c>
      <c r="J6" s="4">
        <v>119.48</v>
      </c>
      <c r="K6" s="4">
        <v>120.12</v>
      </c>
      <c r="L6" s="4">
        <v>123.1</v>
      </c>
      <c r="M6" s="4">
        <v>118.35</v>
      </c>
      <c r="N6" s="4">
        <v>119.24</v>
      </c>
      <c r="O6" s="4">
        <v>77.14</v>
      </c>
      <c r="P6" s="4">
        <v>112.67</v>
      </c>
      <c r="Q6" s="4">
        <v>111.27</v>
      </c>
      <c r="R6" s="4">
        <v>6.17</v>
      </c>
      <c r="S6" s="4">
        <v>77.38</v>
      </c>
      <c r="T6" s="4">
        <v>111.21</v>
      </c>
      <c r="U6" s="4">
        <v>105.34</v>
      </c>
      <c r="V6" s="6">
        <v>103.14</v>
      </c>
      <c r="W6" s="6">
        <v>120.95</v>
      </c>
      <c r="X6" s="7">
        <v>-4.7481218901428424E-3</v>
      </c>
      <c r="Y6" s="8">
        <v>-1.937718524327681E-2</v>
      </c>
      <c r="Z6" s="9">
        <v>0.32312562479173618</v>
      </c>
      <c r="AA6" s="9">
        <v>0.10972876319036939</v>
      </c>
    </row>
    <row r="7" spans="2:27">
      <c r="B7" s="12" t="s">
        <v>223</v>
      </c>
      <c r="C7" s="3" t="s">
        <v>391</v>
      </c>
      <c r="D7" s="3" t="s">
        <v>398</v>
      </c>
      <c r="E7" s="3" t="s">
        <v>397</v>
      </c>
      <c r="F7" s="24">
        <v>10.9</v>
      </c>
      <c r="G7" s="4">
        <v>264.36</v>
      </c>
      <c r="H7" s="4">
        <v>241.98</v>
      </c>
      <c r="I7" s="4">
        <v>252.37</v>
      </c>
      <c r="J7" s="4">
        <v>250.81</v>
      </c>
      <c r="K7" s="4">
        <v>200.76</v>
      </c>
      <c r="L7" s="4">
        <v>124.07</v>
      </c>
      <c r="M7" s="4">
        <v>140.36000000000001</v>
      </c>
      <c r="N7" s="4">
        <v>172.33</v>
      </c>
      <c r="O7" s="4">
        <v>202.38</v>
      </c>
      <c r="P7" s="6">
        <v>189.31</v>
      </c>
      <c r="Q7" s="4">
        <v>210.67</v>
      </c>
      <c r="R7" s="4">
        <v>212.41</v>
      </c>
      <c r="S7" s="4">
        <v>191.16</v>
      </c>
      <c r="T7" s="4">
        <v>166.49</v>
      </c>
      <c r="U7" s="4">
        <v>198.68</v>
      </c>
      <c r="V7" s="4">
        <v>242</v>
      </c>
      <c r="W7" s="6">
        <v>278.45999999999998</v>
      </c>
      <c r="X7" s="7">
        <v>-2.8398979528342919E-2</v>
      </c>
      <c r="Y7" s="8">
        <v>-1.5357421900016649E-2</v>
      </c>
      <c r="Z7" s="8">
        <v>3.8491557613757672E-2</v>
      </c>
      <c r="AA7" s="9">
        <v>0.1093532749614821</v>
      </c>
    </row>
    <row r="8" spans="2:27">
      <c r="B8" s="12" t="s">
        <v>7</v>
      </c>
      <c r="C8" s="3" t="s">
        <v>391</v>
      </c>
      <c r="D8" s="3" t="s">
        <v>398</v>
      </c>
      <c r="E8" s="3" t="s">
        <v>479</v>
      </c>
      <c r="F8" s="5">
        <v>8.1999999999999993</v>
      </c>
      <c r="G8" s="4">
        <v>4826</v>
      </c>
      <c r="H8" s="4">
        <v>5887</v>
      </c>
      <c r="I8" s="4">
        <v>6550</v>
      </c>
      <c r="J8" s="4">
        <v>5565</v>
      </c>
      <c r="K8" s="4">
        <v>5599</v>
      </c>
      <c r="L8" s="4">
        <v>5353</v>
      </c>
      <c r="M8" s="4">
        <v>5359</v>
      </c>
      <c r="N8" s="4">
        <v>5800</v>
      </c>
      <c r="O8" s="4">
        <v>6168</v>
      </c>
      <c r="P8" s="4">
        <v>5473</v>
      </c>
      <c r="Q8" s="4">
        <v>5835</v>
      </c>
      <c r="R8" s="4">
        <v>6819</v>
      </c>
      <c r="S8" s="4">
        <v>7658</v>
      </c>
      <c r="T8" s="4">
        <v>7438</v>
      </c>
      <c r="U8" s="4">
        <v>7685</v>
      </c>
      <c r="V8" s="4">
        <v>9246</v>
      </c>
      <c r="W8" s="4">
        <v>10270</v>
      </c>
      <c r="X8" s="7">
        <v>7.6207097149505465E-2</v>
      </c>
      <c r="Y8" s="8">
        <v>6.6666666666666652E-2</v>
      </c>
      <c r="Z8" s="8">
        <v>8.1993243243243308E-2</v>
      </c>
      <c r="AA8" s="8">
        <f>SUM(T8:W8)/SUM(S8:V8)-1</f>
        <v>8.1556186967246314E-2</v>
      </c>
    </row>
    <row r="9" spans="2:27">
      <c r="B9" s="12" t="s">
        <v>293</v>
      </c>
      <c r="C9" s="3" t="s">
        <v>391</v>
      </c>
      <c r="D9" s="3" t="s">
        <v>399</v>
      </c>
      <c r="E9" s="3" t="s">
        <v>397</v>
      </c>
      <c r="F9" s="5">
        <v>5.9</v>
      </c>
      <c r="G9" s="4">
        <v>268.25</v>
      </c>
      <c r="H9" s="4">
        <v>284.62</v>
      </c>
      <c r="I9" s="4">
        <v>375.51</v>
      </c>
      <c r="J9" s="4">
        <v>459.6</v>
      </c>
      <c r="K9" s="6">
        <v>482.03</v>
      </c>
      <c r="L9" s="6">
        <v>476.67</v>
      </c>
      <c r="M9" s="4">
        <v>415.86</v>
      </c>
      <c r="N9" s="4">
        <v>330.42</v>
      </c>
      <c r="O9" s="4">
        <v>394.53</v>
      </c>
      <c r="P9" s="4">
        <v>377.83</v>
      </c>
      <c r="Q9" s="4">
        <v>364.15</v>
      </c>
      <c r="R9" s="4">
        <v>337.65</v>
      </c>
      <c r="S9" s="4">
        <v>335.36</v>
      </c>
      <c r="T9" s="4">
        <v>332.88</v>
      </c>
      <c r="U9" s="4">
        <v>420.81</v>
      </c>
      <c r="V9" s="4">
        <v>447.1</v>
      </c>
      <c r="W9" s="4">
        <v>425.78</v>
      </c>
      <c r="X9" s="7">
        <v>-3.1767008954126867E-2</v>
      </c>
      <c r="Y9" s="8">
        <v>4.1356456745788472E-2</v>
      </c>
      <c r="Z9" s="8">
        <v>7.6715497301464985E-2</v>
      </c>
      <c r="AA9" s="8">
        <v>5.8861439312567043E-2</v>
      </c>
    </row>
    <row r="10" spans="2:27">
      <c r="B10" s="12" t="s">
        <v>359</v>
      </c>
      <c r="C10" s="3" t="s">
        <v>391</v>
      </c>
      <c r="D10" s="3" t="s">
        <v>400</v>
      </c>
      <c r="E10" s="3" t="s">
        <v>401</v>
      </c>
      <c r="F10" s="5">
        <v>5.7</v>
      </c>
      <c r="G10" s="4">
        <v>50.9</v>
      </c>
      <c r="H10" s="4">
        <v>55.88</v>
      </c>
      <c r="I10" s="4">
        <v>54.66</v>
      </c>
      <c r="J10" s="4">
        <v>56.44</v>
      </c>
      <c r="K10" s="4">
        <v>57.4</v>
      </c>
      <c r="L10" s="4">
        <v>62.07</v>
      </c>
      <c r="M10" s="4">
        <v>60.6</v>
      </c>
      <c r="N10" s="4">
        <v>62.8</v>
      </c>
      <c r="O10" s="4">
        <v>65.17</v>
      </c>
      <c r="P10" s="4">
        <v>70.91</v>
      </c>
      <c r="Q10" s="4">
        <v>66.709999999999994</v>
      </c>
      <c r="R10" s="4">
        <v>67.83</v>
      </c>
      <c r="S10" s="4">
        <v>66.75</v>
      </c>
      <c r="T10" s="4">
        <v>77.13</v>
      </c>
      <c r="U10" s="4">
        <v>76.42</v>
      </c>
      <c r="V10" s="4">
        <v>82.27</v>
      </c>
      <c r="W10" s="4">
        <v>83.86</v>
      </c>
      <c r="X10" s="7">
        <v>2.2850844966936009E-2</v>
      </c>
      <c r="Y10" s="8">
        <v>3.4875368148840069E-2</v>
      </c>
      <c r="Z10" s="8">
        <v>5.0116266962829233E-2</v>
      </c>
      <c r="AA10" s="8">
        <v>5.6548897775721363E-2</v>
      </c>
    </row>
    <row r="11" spans="2:27">
      <c r="B11" s="12" t="s">
        <v>248</v>
      </c>
      <c r="C11" s="3" t="s">
        <v>391</v>
      </c>
      <c r="D11" s="3" t="s">
        <v>402</v>
      </c>
      <c r="E11" s="3" t="s">
        <v>393</v>
      </c>
      <c r="F11" s="5">
        <v>5.5</v>
      </c>
      <c r="G11" s="4">
        <v>-13.35</v>
      </c>
      <c r="H11" s="4">
        <v>193.99</v>
      </c>
      <c r="I11" s="4">
        <v>178.34</v>
      </c>
      <c r="J11" s="4">
        <v>146.44999999999999</v>
      </c>
      <c r="K11" s="6">
        <v>355.88</v>
      </c>
      <c r="L11" s="4">
        <v>201.23</v>
      </c>
      <c r="M11" s="4">
        <v>147.94</v>
      </c>
      <c r="N11" s="4">
        <v>142.21</v>
      </c>
      <c r="O11" s="4">
        <v>402.67</v>
      </c>
      <c r="P11" s="4">
        <v>228.31</v>
      </c>
      <c r="Q11" s="4">
        <v>186.07</v>
      </c>
      <c r="R11" s="4">
        <v>138.71</v>
      </c>
      <c r="S11" s="4">
        <v>407.42</v>
      </c>
      <c r="T11" s="4">
        <v>242.47</v>
      </c>
      <c r="U11" s="4">
        <v>154.13999999999999</v>
      </c>
      <c r="V11" s="4">
        <v>158.26</v>
      </c>
      <c r="W11" s="4">
        <v>459.94</v>
      </c>
      <c r="X11" s="7">
        <v>1.4742168223131459E-2</v>
      </c>
      <c r="Y11" s="8">
        <v>-3.2759805883016857E-2</v>
      </c>
      <c r="Z11" s="8">
        <v>2.0737424952797179E-2</v>
      </c>
      <c r="AA11" s="8">
        <v>5.4578141724428209E-2</v>
      </c>
    </row>
    <row r="12" spans="2:27">
      <c r="B12" s="12" t="s">
        <v>57</v>
      </c>
      <c r="C12" s="3" t="s">
        <v>391</v>
      </c>
      <c r="D12" s="3" t="s">
        <v>403</v>
      </c>
      <c r="E12" s="3" t="s">
        <v>401</v>
      </c>
      <c r="F12" s="5">
        <v>5.4</v>
      </c>
      <c r="G12" s="4">
        <v>903.3</v>
      </c>
      <c r="H12" s="4">
        <v>930</v>
      </c>
      <c r="I12" s="4">
        <v>1102</v>
      </c>
      <c r="J12" s="4">
        <v>1394</v>
      </c>
      <c r="K12" s="6">
        <v>1408</v>
      </c>
      <c r="L12" s="6">
        <v>1446</v>
      </c>
      <c r="M12" s="4">
        <v>1285</v>
      </c>
      <c r="N12" s="4">
        <v>1299</v>
      </c>
      <c r="O12" s="4">
        <v>1366</v>
      </c>
      <c r="P12" s="4">
        <v>1399</v>
      </c>
      <c r="Q12" s="4">
        <v>1338</v>
      </c>
      <c r="R12" s="4">
        <v>1353</v>
      </c>
      <c r="S12" s="4">
        <v>1360</v>
      </c>
      <c r="T12" s="4">
        <v>1583</v>
      </c>
      <c r="U12" s="4">
        <v>1504</v>
      </c>
      <c r="V12" s="4">
        <v>1774</v>
      </c>
      <c r="W12" s="4">
        <v>1699</v>
      </c>
      <c r="X12" s="7">
        <v>3.3761467889908303E-2</v>
      </c>
      <c r="Y12" s="8">
        <v>2.9463968761093359E-2</v>
      </c>
      <c r="Z12" s="8">
        <v>7.2586206896551708E-2</v>
      </c>
      <c r="AA12" s="8">
        <v>5.449284680919475E-2</v>
      </c>
    </row>
    <row r="13" spans="2:27">
      <c r="B13" s="12" t="s">
        <v>288</v>
      </c>
      <c r="C13" s="3" t="s">
        <v>391</v>
      </c>
      <c r="D13" s="3" t="s">
        <v>404</v>
      </c>
      <c r="E13" s="3" t="s">
        <v>393</v>
      </c>
      <c r="F13" s="5">
        <v>4.5</v>
      </c>
      <c r="G13" s="4">
        <v>522.13</v>
      </c>
      <c r="H13" s="4">
        <v>546.79999999999995</v>
      </c>
      <c r="I13" s="4">
        <v>603.16</v>
      </c>
      <c r="J13" s="4">
        <v>610.59</v>
      </c>
      <c r="K13" s="4">
        <v>588.95000000000005</v>
      </c>
      <c r="L13" s="4">
        <v>647.04999999999995</v>
      </c>
      <c r="M13" s="4">
        <v>730.79</v>
      </c>
      <c r="N13" s="4">
        <v>753.65</v>
      </c>
      <c r="O13" s="4">
        <v>735.72</v>
      </c>
      <c r="P13" s="4">
        <v>752.05</v>
      </c>
      <c r="Q13" s="4">
        <v>791.47</v>
      </c>
      <c r="R13" s="4">
        <v>694.27</v>
      </c>
      <c r="S13" s="4">
        <v>612.78</v>
      </c>
      <c r="T13" s="4">
        <v>651.99</v>
      </c>
      <c r="U13" s="4">
        <v>574.24</v>
      </c>
      <c r="V13" s="4">
        <v>736.72</v>
      </c>
      <c r="W13" s="4">
        <v>728.46</v>
      </c>
      <c r="X13" s="7">
        <v>-3.5101751579508463E-2</v>
      </c>
      <c r="Y13" s="8">
        <v>-7.8978080428720676E-2</v>
      </c>
      <c r="Z13" s="8">
        <v>1.675693172487858E-2</v>
      </c>
      <c r="AA13" s="8">
        <v>4.4911539641188991E-2</v>
      </c>
    </row>
    <row r="14" spans="2:27">
      <c r="B14" s="12" t="s">
        <v>365</v>
      </c>
      <c r="C14" s="3" t="s">
        <v>391</v>
      </c>
      <c r="D14" s="3" t="s">
        <v>405</v>
      </c>
      <c r="E14" s="3" t="s">
        <v>397</v>
      </c>
      <c r="F14" s="5">
        <v>4.3</v>
      </c>
      <c r="G14" s="4">
        <v>52.43</v>
      </c>
      <c r="H14" s="4">
        <v>51.96</v>
      </c>
      <c r="I14" s="4">
        <v>59.95</v>
      </c>
      <c r="J14" s="4">
        <v>61.31</v>
      </c>
      <c r="K14" s="4">
        <v>62.9</v>
      </c>
      <c r="L14" s="4">
        <v>60.52</v>
      </c>
      <c r="M14" s="4">
        <v>55.8</v>
      </c>
      <c r="N14" s="4">
        <v>50.01</v>
      </c>
      <c r="O14" s="4">
        <v>49.2</v>
      </c>
      <c r="P14" s="4">
        <v>52.45</v>
      </c>
      <c r="Q14" s="4">
        <v>52.69</v>
      </c>
      <c r="R14" s="4">
        <v>55.4</v>
      </c>
      <c r="S14" s="4">
        <v>59.86</v>
      </c>
      <c r="T14" s="4">
        <v>59.89</v>
      </c>
      <c r="U14" s="4">
        <v>63.16</v>
      </c>
      <c r="V14" s="4">
        <v>65.900000000000006</v>
      </c>
      <c r="W14" s="4">
        <v>70.53</v>
      </c>
      <c r="X14" s="7">
        <v>3.3756805807622532E-2</v>
      </c>
      <c r="Y14" s="8">
        <v>4.5953300561797812E-2</v>
      </c>
      <c r="Z14" s="8">
        <v>4.4060257647601908E-2</v>
      </c>
      <c r="AA14" s="8">
        <v>4.2884128451428971E-2</v>
      </c>
    </row>
    <row r="15" spans="2:27">
      <c r="B15" s="12" t="s">
        <v>170</v>
      </c>
      <c r="C15" s="3" t="s">
        <v>391</v>
      </c>
      <c r="D15" s="3" t="s">
        <v>406</v>
      </c>
      <c r="E15" s="3" t="s">
        <v>401</v>
      </c>
      <c r="F15" s="5">
        <v>4.0999999999999996</v>
      </c>
      <c r="G15" s="4">
        <v>91.7</v>
      </c>
      <c r="H15" s="4">
        <v>100.9</v>
      </c>
      <c r="I15" s="4">
        <v>135.51</v>
      </c>
      <c r="J15" s="4">
        <v>153.38</v>
      </c>
      <c r="K15" s="4">
        <v>127.07</v>
      </c>
      <c r="L15" s="4">
        <v>112.79</v>
      </c>
      <c r="M15" s="4">
        <v>125.04</v>
      </c>
      <c r="N15" s="4">
        <v>126.88</v>
      </c>
      <c r="O15" s="4">
        <v>125.26</v>
      </c>
      <c r="P15" s="6">
        <v>176.67</v>
      </c>
      <c r="Q15" s="6">
        <v>196.73</v>
      </c>
      <c r="R15" s="4">
        <v>150</v>
      </c>
      <c r="S15" s="4">
        <v>168.26</v>
      </c>
      <c r="T15" s="4">
        <v>197.97</v>
      </c>
      <c r="U15" s="4">
        <v>175.96</v>
      </c>
      <c r="V15" s="4">
        <v>190.88</v>
      </c>
      <c r="W15" s="4">
        <v>198.59</v>
      </c>
      <c r="X15" s="7">
        <v>3.0795477546771591E-2</v>
      </c>
      <c r="Y15" s="8">
        <v>-2.9132069120287211E-2</v>
      </c>
      <c r="Z15" s="8">
        <v>5.9058928906802872E-2</v>
      </c>
      <c r="AA15" s="8">
        <v>4.1373947917661358E-2</v>
      </c>
    </row>
    <row r="16" spans="2:27">
      <c r="B16" s="12" t="s">
        <v>182</v>
      </c>
      <c r="C16" s="3" t="s">
        <v>391</v>
      </c>
      <c r="D16" s="3" t="s">
        <v>407</v>
      </c>
      <c r="E16" s="3" t="s">
        <v>408</v>
      </c>
      <c r="F16" s="5">
        <v>3.8</v>
      </c>
      <c r="G16" s="4">
        <v>555.4</v>
      </c>
      <c r="H16" s="4">
        <v>880.9</v>
      </c>
      <c r="I16" s="4">
        <v>448</v>
      </c>
      <c r="J16" s="4">
        <v>314.2</v>
      </c>
      <c r="K16" s="6">
        <v>814</v>
      </c>
      <c r="L16" s="4">
        <v>1123</v>
      </c>
      <c r="M16" s="4">
        <v>418.5</v>
      </c>
      <c r="N16" s="4">
        <v>310.39999999999998</v>
      </c>
      <c r="O16" s="4">
        <v>756.6</v>
      </c>
      <c r="P16" s="4">
        <v>1129</v>
      </c>
      <c r="Q16" s="4">
        <v>414.1</v>
      </c>
      <c r="R16" s="4">
        <v>293.8</v>
      </c>
      <c r="S16" s="4">
        <v>669.1</v>
      </c>
      <c r="T16" s="4">
        <v>1051</v>
      </c>
      <c r="U16" s="4">
        <v>421.9</v>
      </c>
      <c r="V16" s="4">
        <v>334.1</v>
      </c>
      <c r="W16" s="4">
        <v>762.2</v>
      </c>
      <c r="X16" s="7">
        <v>-3.1125299281723921E-2</v>
      </c>
      <c r="Y16" s="8">
        <v>3.2125205930808591E-3</v>
      </c>
      <c r="Z16" s="8">
        <v>1.6544872321208489E-2</v>
      </c>
      <c r="AA16" s="8">
        <v>3.7599450749161933E-2</v>
      </c>
    </row>
    <row r="17" spans="2:27">
      <c r="B17" s="12" t="s">
        <v>118</v>
      </c>
      <c r="C17" s="3" t="s">
        <v>391</v>
      </c>
      <c r="D17" s="3" t="s">
        <v>395</v>
      </c>
      <c r="E17" s="3" t="s">
        <v>397</v>
      </c>
      <c r="F17" s="5">
        <v>3.7</v>
      </c>
      <c r="G17" s="4">
        <v>3674</v>
      </c>
      <c r="H17" s="4">
        <v>3716</v>
      </c>
      <c r="I17" s="4">
        <v>4134</v>
      </c>
      <c r="J17" s="4">
        <v>3951</v>
      </c>
      <c r="K17" s="4">
        <v>3548</v>
      </c>
      <c r="L17" s="4">
        <v>2981</v>
      </c>
      <c r="M17" s="4">
        <v>3067</v>
      </c>
      <c r="N17" s="4">
        <v>3111</v>
      </c>
      <c r="O17" s="4">
        <v>2903</v>
      </c>
      <c r="P17" s="4">
        <v>2874</v>
      </c>
      <c r="Q17" s="4">
        <v>2959</v>
      </c>
      <c r="R17" s="4">
        <v>3082</v>
      </c>
      <c r="S17" s="4">
        <v>2880</v>
      </c>
      <c r="T17" s="4">
        <v>3097</v>
      </c>
      <c r="U17" s="4">
        <v>3338</v>
      </c>
      <c r="V17" s="4">
        <v>3379</v>
      </c>
      <c r="W17" s="4">
        <v>3347</v>
      </c>
      <c r="X17" s="7">
        <v>1.8906316235693051E-2</v>
      </c>
      <c r="Y17" s="8">
        <v>3.1536029289399137E-2</v>
      </c>
      <c r="Z17" s="8">
        <v>2.395740905057675E-2</v>
      </c>
      <c r="AA17" s="8">
        <v>3.6789034189380843E-2</v>
      </c>
    </row>
    <row r="18" spans="2:27">
      <c r="B18" s="12" t="s">
        <v>219</v>
      </c>
      <c r="C18" s="3" t="s">
        <v>391</v>
      </c>
      <c r="D18" s="3" t="s">
        <v>409</v>
      </c>
      <c r="E18" s="3" t="s">
        <v>393</v>
      </c>
      <c r="F18" s="5">
        <v>3.6</v>
      </c>
      <c r="G18" s="4">
        <v>64.7</v>
      </c>
      <c r="H18" s="4">
        <v>69.66</v>
      </c>
      <c r="I18" s="4">
        <v>75.52</v>
      </c>
      <c r="J18" s="4">
        <v>79.540000000000006</v>
      </c>
      <c r="K18" s="4">
        <v>84.69</v>
      </c>
      <c r="L18" s="4">
        <v>92.02</v>
      </c>
      <c r="M18" s="4">
        <v>94.62</v>
      </c>
      <c r="N18" s="4">
        <v>101.58</v>
      </c>
      <c r="O18" s="4">
        <v>103.93</v>
      </c>
      <c r="P18" s="4">
        <v>110.64</v>
      </c>
      <c r="Q18" s="4">
        <v>114.38</v>
      </c>
      <c r="R18" s="4">
        <v>118.81</v>
      </c>
      <c r="S18" s="4">
        <v>121.21</v>
      </c>
      <c r="T18" s="4">
        <v>129.07</v>
      </c>
      <c r="U18" s="4">
        <v>135.04</v>
      </c>
      <c r="V18" s="4">
        <v>139.03</v>
      </c>
      <c r="W18" s="4">
        <v>140.21</v>
      </c>
      <c r="X18" s="7">
        <v>3.9630999483915463E-2</v>
      </c>
      <c r="Y18" s="8">
        <v>4.2732744534304201E-2</v>
      </c>
      <c r="Z18" s="8">
        <v>4.0108702120484903E-2</v>
      </c>
      <c r="AA18" s="8">
        <v>3.6235338991131849E-2</v>
      </c>
    </row>
    <row r="19" spans="2:27">
      <c r="B19" s="12" t="s">
        <v>73</v>
      </c>
      <c r="C19" s="3" t="s">
        <v>391</v>
      </c>
      <c r="D19" s="3" t="s">
        <v>407</v>
      </c>
      <c r="E19" s="3" t="s">
        <v>408</v>
      </c>
      <c r="F19" s="5">
        <v>3.6</v>
      </c>
      <c r="G19" s="4">
        <v>1013</v>
      </c>
      <c r="H19" s="4">
        <v>1650</v>
      </c>
      <c r="I19" s="4">
        <v>816.43</v>
      </c>
      <c r="J19" s="4">
        <v>722.63</v>
      </c>
      <c r="K19" s="6">
        <v>1484</v>
      </c>
      <c r="L19" s="4">
        <v>1541</v>
      </c>
      <c r="M19" s="4">
        <v>662.73</v>
      </c>
      <c r="N19" s="4">
        <v>587.64</v>
      </c>
      <c r="O19" s="4">
        <v>1158</v>
      </c>
      <c r="P19" s="4">
        <v>1647</v>
      </c>
      <c r="Q19" s="4">
        <v>701.55</v>
      </c>
      <c r="R19" s="4">
        <v>657.94</v>
      </c>
      <c r="S19" s="4">
        <v>1176</v>
      </c>
      <c r="T19" s="4">
        <v>1951</v>
      </c>
      <c r="U19" s="4">
        <v>838.77</v>
      </c>
      <c r="V19" s="4">
        <v>737.48</v>
      </c>
      <c r="W19" s="4">
        <v>1343</v>
      </c>
      <c r="X19" s="7">
        <v>7.2683975335266826E-2</v>
      </c>
      <c r="Y19" s="8">
        <v>3.0585156770660319E-2</v>
      </c>
      <c r="Z19" s="8">
        <v>1.720263597846761E-2</v>
      </c>
      <c r="AA19" s="8">
        <v>3.5507361930579913E-2</v>
      </c>
    </row>
    <row r="20" spans="2:27">
      <c r="B20" s="12" t="s">
        <v>341</v>
      </c>
      <c r="C20" s="3" t="s">
        <v>391</v>
      </c>
      <c r="D20" s="3" t="s">
        <v>410</v>
      </c>
      <c r="E20" s="3" t="s">
        <v>393</v>
      </c>
      <c r="F20" s="5">
        <v>3.5</v>
      </c>
      <c r="G20" s="4">
        <v>175.35</v>
      </c>
      <c r="H20" s="4">
        <v>177.36</v>
      </c>
      <c r="I20" s="4">
        <v>172.86</v>
      </c>
      <c r="J20" s="4">
        <v>171.22</v>
      </c>
      <c r="K20" s="4">
        <v>167.46</v>
      </c>
      <c r="L20" s="4">
        <v>172.54</v>
      </c>
      <c r="M20" s="4">
        <v>176.87</v>
      </c>
      <c r="N20" s="4">
        <v>182.49</v>
      </c>
      <c r="O20" s="4">
        <v>188.9</v>
      </c>
      <c r="P20" s="4">
        <v>193.07</v>
      </c>
      <c r="Q20" s="4">
        <v>199.4</v>
      </c>
      <c r="R20" s="4">
        <v>205.14</v>
      </c>
      <c r="S20" s="4">
        <v>209</v>
      </c>
      <c r="T20" s="4">
        <v>218.14</v>
      </c>
      <c r="U20" s="4">
        <v>221.42</v>
      </c>
      <c r="V20" s="4">
        <v>236.11</v>
      </c>
      <c r="W20" s="4">
        <v>239.71</v>
      </c>
      <c r="X20" s="7">
        <v>3.10806957513543E-2</v>
      </c>
      <c r="Y20" s="8">
        <v>2.6476529434397818E-2</v>
      </c>
      <c r="Z20" s="8">
        <v>3.627738081293197E-2</v>
      </c>
      <c r="AA20" s="8">
        <v>3.471350899205361E-2</v>
      </c>
    </row>
    <row r="21" spans="2:27">
      <c r="B21" s="12" t="s">
        <v>203</v>
      </c>
      <c r="C21" s="3" t="s">
        <v>391</v>
      </c>
      <c r="D21" s="3" t="s">
        <v>411</v>
      </c>
      <c r="E21" s="3" t="s">
        <v>397</v>
      </c>
      <c r="F21" s="5">
        <v>3.4</v>
      </c>
      <c r="G21" s="4">
        <v>313.87</v>
      </c>
      <c r="H21" s="4">
        <v>246.22</v>
      </c>
      <c r="I21" s="4">
        <v>233.14</v>
      </c>
      <c r="J21" s="4">
        <v>266.08999999999997</v>
      </c>
      <c r="K21" s="4">
        <v>277.95</v>
      </c>
      <c r="L21" s="4">
        <v>202.49</v>
      </c>
      <c r="M21" s="6">
        <v>346.08</v>
      </c>
      <c r="N21" s="4">
        <v>278.16000000000003</v>
      </c>
      <c r="O21" s="4">
        <v>329.25</v>
      </c>
      <c r="P21" s="6">
        <v>329.19</v>
      </c>
      <c r="Q21" s="4">
        <v>359.98</v>
      </c>
      <c r="R21" s="4">
        <v>326.12</v>
      </c>
      <c r="S21" s="6">
        <v>478.58</v>
      </c>
      <c r="T21" s="4">
        <v>324.33</v>
      </c>
      <c r="U21" s="4">
        <v>406.68</v>
      </c>
      <c r="V21" s="4">
        <v>446.89</v>
      </c>
      <c r="W21" s="4">
        <v>535.16</v>
      </c>
      <c r="X21" s="7">
        <v>-3.2532951327758348E-3</v>
      </c>
      <c r="Y21" s="8">
        <v>3.1363120462589267E-2</v>
      </c>
      <c r="Z21" s="8">
        <v>7.8641149696231594E-2</v>
      </c>
      <c r="AA21" s="8">
        <v>3.4156766154737728E-2</v>
      </c>
    </row>
    <row r="22" spans="2:27">
      <c r="B22" s="12" t="s">
        <v>231</v>
      </c>
      <c r="C22" s="3" t="s">
        <v>391</v>
      </c>
      <c r="D22" s="3" t="s">
        <v>406</v>
      </c>
      <c r="E22" s="3" t="s">
        <v>397</v>
      </c>
      <c r="F22" s="5">
        <v>3.3</v>
      </c>
      <c r="G22" s="4">
        <v>315.04000000000002</v>
      </c>
      <c r="H22" s="4">
        <v>281.60000000000002</v>
      </c>
      <c r="I22" s="4">
        <v>251.39</v>
      </c>
      <c r="J22" s="4">
        <v>234.31</v>
      </c>
      <c r="K22" s="4">
        <v>225.99</v>
      </c>
      <c r="L22" s="4">
        <v>234.51</v>
      </c>
      <c r="M22" s="4">
        <v>242.9</v>
      </c>
      <c r="N22" s="4">
        <v>248.72</v>
      </c>
      <c r="O22" s="4">
        <v>249</v>
      </c>
      <c r="P22" s="4">
        <v>264.35000000000002</v>
      </c>
      <c r="Q22" s="4">
        <v>270.82</v>
      </c>
      <c r="R22" s="4">
        <v>279.58</v>
      </c>
      <c r="S22" s="4">
        <v>297.05</v>
      </c>
      <c r="T22" s="4">
        <v>277.14999999999998</v>
      </c>
      <c r="U22" s="4">
        <v>282.75</v>
      </c>
      <c r="V22" s="4">
        <v>301.29000000000002</v>
      </c>
      <c r="W22" s="4">
        <v>335.5</v>
      </c>
      <c r="X22" s="7">
        <v>1.151286202554402E-2</v>
      </c>
      <c r="Y22" s="8">
        <v>1.0608216254668351E-2</v>
      </c>
      <c r="Z22" s="8">
        <v>1.9102003466692441E-2</v>
      </c>
      <c r="AA22" s="8">
        <v>3.3196919464014478E-2</v>
      </c>
    </row>
    <row r="23" spans="2:27">
      <c r="B23" s="12" t="s">
        <v>45</v>
      </c>
      <c r="C23" s="3" t="s">
        <v>391</v>
      </c>
      <c r="D23" s="3" t="s">
        <v>404</v>
      </c>
      <c r="E23" s="3" t="s">
        <v>397</v>
      </c>
      <c r="F23" s="5">
        <v>3.3</v>
      </c>
      <c r="G23" s="4">
        <v>1504</v>
      </c>
      <c r="H23" s="4">
        <v>1459</v>
      </c>
      <c r="I23" s="4">
        <v>1515</v>
      </c>
      <c r="J23" s="4">
        <v>1552</v>
      </c>
      <c r="K23" s="4">
        <v>1626</v>
      </c>
      <c r="L23" s="4">
        <v>1597</v>
      </c>
      <c r="M23" s="4">
        <v>1646</v>
      </c>
      <c r="N23" s="4">
        <v>1623</v>
      </c>
      <c r="O23" s="4">
        <v>1731</v>
      </c>
      <c r="P23" s="4">
        <v>1736</v>
      </c>
      <c r="Q23" s="4">
        <v>1735</v>
      </c>
      <c r="R23" s="4">
        <v>1709</v>
      </c>
      <c r="S23" s="4">
        <v>1762</v>
      </c>
      <c r="T23" s="4">
        <v>1732</v>
      </c>
      <c r="U23" s="4">
        <v>1778</v>
      </c>
      <c r="V23" s="4">
        <v>1893</v>
      </c>
      <c r="W23" s="4">
        <v>1998</v>
      </c>
      <c r="X23" s="7">
        <v>-5.7620282339387874E-4</v>
      </c>
      <c r="Y23" s="8">
        <v>6.1977515134044037E-3</v>
      </c>
      <c r="Z23" s="8">
        <v>2.6357255407534641E-2</v>
      </c>
      <c r="AA23" s="8">
        <v>3.2937892533147162E-2</v>
      </c>
    </row>
    <row r="24" spans="2:27">
      <c r="B24" s="12" t="s">
        <v>357</v>
      </c>
      <c r="C24" s="3" t="s">
        <v>391</v>
      </c>
      <c r="D24" s="3" t="str">
        <f>VLOOKUP(B24,기업리스트!B:G,2,FALSE)</f>
        <v>Digital Turbine, Inc.</v>
      </c>
      <c r="E24" s="3" t="s">
        <v>401</v>
      </c>
      <c r="F24" s="5">
        <v>3.2</v>
      </c>
      <c r="G24" s="4">
        <v>216.82</v>
      </c>
      <c r="H24" s="4">
        <v>184.14</v>
      </c>
      <c r="I24" s="4">
        <v>188.63</v>
      </c>
      <c r="J24" s="4">
        <v>174.86</v>
      </c>
      <c r="K24" s="4">
        <v>162.31</v>
      </c>
      <c r="L24" s="4">
        <v>140.12</v>
      </c>
      <c r="M24" s="4">
        <v>146.37</v>
      </c>
      <c r="N24" s="4">
        <v>143.26</v>
      </c>
      <c r="O24" s="4">
        <v>142.63</v>
      </c>
      <c r="P24" s="4">
        <v>112.22</v>
      </c>
      <c r="Q24" s="4">
        <v>117.99</v>
      </c>
      <c r="R24" s="4">
        <v>118.73</v>
      </c>
      <c r="S24" s="4">
        <v>134.63999999999999</v>
      </c>
      <c r="T24" s="4">
        <v>119.15</v>
      </c>
      <c r="U24" s="4">
        <v>130.93</v>
      </c>
      <c r="V24" s="4">
        <v>140.38</v>
      </c>
      <c r="W24" s="4">
        <v>151.4</v>
      </c>
      <c r="X24" s="7">
        <v>1.43306174779767E-2</v>
      </c>
      <c r="Y24" s="8">
        <v>2.6380705796008149E-2</v>
      </c>
      <c r="Z24" s="8">
        <v>4.3003277386036487E-2</v>
      </c>
      <c r="AA24" s="8">
        <v>3.1917729956198793E-2</v>
      </c>
    </row>
    <row r="25" spans="2:27">
      <c r="B25" s="12" t="s">
        <v>26</v>
      </c>
      <c r="C25" s="3" t="s">
        <v>391</v>
      </c>
      <c r="D25" s="3" t="s">
        <v>412</v>
      </c>
      <c r="E25" s="3" t="s">
        <v>408</v>
      </c>
      <c r="F25" s="5">
        <v>3.2</v>
      </c>
      <c r="G25" s="4">
        <v>1194</v>
      </c>
      <c r="H25" s="4">
        <v>1327</v>
      </c>
      <c r="I25" s="4">
        <v>1398</v>
      </c>
      <c r="J25" s="4">
        <v>1510</v>
      </c>
      <c r="K25" s="4">
        <v>1397</v>
      </c>
      <c r="L25" s="4">
        <v>1592</v>
      </c>
      <c r="M25" s="4">
        <v>1744</v>
      </c>
      <c r="N25" s="4">
        <v>1852</v>
      </c>
      <c r="O25" s="4">
        <v>1789</v>
      </c>
      <c r="P25" s="4">
        <v>1919</v>
      </c>
      <c r="Q25" s="4">
        <v>2046</v>
      </c>
      <c r="R25" s="4">
        <v>2186</v>
      </c>
      <c r="S25" s="4">
        <v>2006</v>
      </c>
      <c r="T25" s="4">
        <v>2150</v>
      </c>
      <c r="U25" s="4">
        <v>2237</v>
      </c>
      <c r="V25" s="4">
        <v>2437</v>
      </c>
      <c r="W25" s="4">
        <v>2285</v>
      </c>
      <c r="X25" s="7">
        <v>2.8319235012872479E-2</v>
      </c>
      <c r="Y25" s="8">
        <v>2.277062470195523E-2</v>
      </c>
      <c r="Z25" s="8">
        <v>2.925748921785765E-2</v>
      </c>
      <c r="AA25" s="8">
        <v>3.1596828992072501E-2</v>
      </c>
    </row>
    <row r="26" spans="2:27">
      <c r="B26" s="12" t="s">
        <v>41</v>
      </c>
      <c r="C26" s="3" t="s">
        <v>391</v>
      </c>
      <c r="D26" s="3" t="s">
        <v>413</v>
      </c>
      <c r="E26" s="3" t="s">
        <v>397</v>
      </c>
      <c r="F26" s="5">
        <v>3.1</v>
      </c>
      <c r="G26" s="4">
        <v>2641</v>
      </c>
      <c r="H26" s="4">
        <v>2511</v>
      </c>
      <c r="I26" s="4">
        <v>2829</v>
      </c>
      <c r="J26" s="4">
        <v>3276</v>
      </c>
      <c r="K26" s="4">
        <v>2521</v>
      </c>
      <c r="L26" s="4">
        <v>2579</v>
      </c>
      <c r="M26" s="4">
        <v>2545</v>
      </c>
      <c r="N26" s="4">
        <v>2753</v>
      </c>
      <c r="O26" s="4">
        <v>2804</v>
      </c>
      <c r="P26" s="4">
        <v>2689</v>
      </c>
      <c r="Q26" s="4">
        <v>2707</v>
      </c>
      <c r="R26" s="4">
        <v>2823</v>
      </c>
      <c r="S26" s="4">
        <v>2892</v>
      </c>
      <c r="T26" s="4">
        <v>2938</v>
      </c>
      <c r="U26" s="4">
        <v>2833</v>
      </c>
      <c r="V26" s="4">
        <v>2949</v>
      </c>
      <c r="W26" s="4">
        <v>3252</v>
      </c>
      <c r="X26" s="7">
        <v>2.2410224102241031E-2</v>
      </c>
      <c r="Y26" s="8">
        <v>1.1091549295774611E-2</v>
      </c>
      <c r="Z26" s="8">
        <v>1.0969876371234481E-2</v>
      </c>
      <c r="AA26" s="8">
        <v>3.1002411298656659E-2</v>
      </c>
    </row>
    <row r="27" spans="2:27">
      <c r="B27" s="12" t="s">
        <v>20</v>
      </c>
      <c r="C27" s="3" t="s">
        <v>391</v>
      </c>
      <c r="D27" s="3" t="s">
        <v>404</v>
      </c>
      <c r="E27" s="3" t="s">
        <v>397</v>
      </c>
      <c r="F27" s="5">
        <v>3.1</v>
      </c>
      <c r="G27" s="4">
        <v>4798</v>
      </c>
      <c r="H27" s="4">
        <v>4843</v>
      </c>
      <c r="I27" s="4">
        <v>5212</v>
      </c>
      <c r="J27" s="4">
        <v>5313</v>
      </c>
      <c r="K27" s="4">
        <v>5384</v>
      </c>
      <c r="L27" s="4">
        <v>5483</v>
      </c>
      <c r="M27" s="4">
        <v>5866</v>
      </c>
      <c r="N27" s="4">
        <v>5880</v>
      </c>
      <c r="O27" s="4">
        <v>5967</v>
      </c>
      <c r="P27" s="4">
        <v>5943</v>
      </c>
      <c r="Q27" s="4">
        <v>6350</v>
      </c>
      <c r="R27" s="4">
        <v>6345</v>
      </c>
      <c r="S27" s="4">
        <v>6240</v>
      </c>
      <c r="T27" s="4">
        <v>6377</v>
      </c>
      <c r="U27" s="4">
        <v>7028</v>
      </c>
      <c r="V27" s="4">
        <v>6988</v>
      </c>
      <c r="W27" s="4">
        <v>7055</v>
      </c>
      <c r="X27" s="7">
        <v>1.7445132245357261E-2</v>
      </c>
      <c r="Y27" s="8">
        <v>2.6785714285714191E-2</v>
      </c>
      <c r="Z27" s="8">
        <v>2.474028472489409E-2</v>
      </c>
      <c r="AA27" s="8">
        <v>3.060113393158859E-2</v>
      </c>
    </row>
    <row r="28" spans="2:27">
      <c r="B28" s="12" t="s">
        <v>92</v>
      </c>
      <c r="C28" s="3" t="s">
        <v>391</v>
      </c>
      <c r="D28" s="3" t="s">
        <v>414</v>
      </c>
      <c r="E28" s="3" t="s">
        <v>408</v>
      </c>
      <c r="F28" s="5">
        <v>3</v>
      </c>
      <c r="G28" s="4">
        <v>3381</v>
      </c>
      <c r="H28" s="4">
        <v>3834</v>
      </c>
      <c r="I28" s="4">
        <v>3827</v>
      </c>
      <c r="J28" s="4">
        <v>3881</v>
      </c>
      <c r="K28" s="4">
        <v>3799</v>
      </c>
      <c r="L28" s="4">
        <v>4078</v>
      </c>
      <c r="M28" s="4">
        <v>4187</v>
      </c>
      <c r="N28" s="4">
        <v>-1212</v>
      </c>
      <c r="O28" s="4">
        <v>2810</v>
      </c>
      <c r="P28" s="4">
        <v>2847</v>
      </c>
      <c r="Q28" s="4">
        <v>2883</v>
      </c>
      <c r="R28" s="6">
        <v>0</v>
      </c>
      <c r="S28" s="4">
        <v>2933</v>
      </c>
      <c r="T28" s="4">
        <v>2910</v>
      </c>
      <c r="U28" s="4">
        <v>3032</v>
      </c>
      <c r="V28" s="6">
        <v>3155</v>
      </c>
      <c r="W28" s="4">
        <v>3293</v>
      </c>
      <c r="X28" s="7">
        <v>7.2723075147178573E-3</v>
      </c>
      <c r="Y28" s="8">
        <v>1.7075406830162839E-2</v>
      </c>
      <c r="Z28" s="9">
        <v>0.35549295774647888</v>
      </c>
      <c r="AA28" s="8">
        <v>2.9925187032418869E-2</v>
      </c>
    </row>
    <row r="29" spans="2:27">
      <c r="B29" s="12" t="s">
        <v>60</v>
      </c>
      <c r="C29" s="3" t="s">
        <v>391</v>
      </c>
      <c r="D29" s="3" t="s">
        <v>415</v>
      </c>
      <c r="E29" s="3" t="s">
        <v>397</v>
      </c>
      <c r="F29" s="5">
        <v>3</v>
      </c>
      <c r="G29" s="4">
        <v>16424</v>
      </c>
      <c r="H29" s="4">
        <v>11855</v>
      </c>
      <c r="I29" s="4">
        <v>11392</v>
      </c>
      <c r="J29" s="4">
        <v>20201</v>
      </c>
      <c r="K29" s="4">
        <v>11135</v>
      </c>
      <c r="L29" s="4">
        <v>17045</v>
      </c>
      <c r="M29" s="4">
        <v>13498</v>
      </c>
      <c r="N29" s="4">
        <v>8352</v>
      </c>
      <c r="O29" s="4">
        <v>15084</v>
      </c>
      <c r="P29" s="6">
        <v>23509</v>
      </c>
      <c r="Q29" s="4">
        <v>14883</v>
      </c>
      <c r="R29" s="6">
        <v>19490</v>
      </c>
      <c r="S29" s="4">
        <v>12523</v>
      </c>
      <c r="T29" s="4">
        <v>13470</v>
      </c>
      <c r="U29" s="4">
        <v>13726</v>
      </c>
      <c r="V29" s="4">
        <v>17879</v>
      </c>
      <c r="W29" s="4">
        <v>14229</v>
      </c>
      <c r="X29" s="7">
        <v>-0.1425893047368795</v>
      </c>
      <c r="Y29" s="8">
        <v>-1.91664181824206E-2</v>
      </c>
      <c r="Z29" s="8">
        <v>-2.7208701379857762E-2</v>
      </c>
      <c r="AA29" s="8">
        <v>2.9619083995972021E-2</v>
      </c>
    </row>
    <row r="30" spans="2:27">
      <c r="B30" s="12" t="s">
        <v>75</v>
      </c>
      <c r="C30" s="3" t="s">
        <v>391</v>
      </c>
      <c r="D30" s="3" t="s">
        <v>416</v>
      </c>
      <c r="E30" s="3" t="s">
        <v>397</v>
      </c>
      <c r="F30" s="5">
        <v>2.8</v>
      </c>
      <c r="G30" s="4">
        <v>1100</v>
      </c>
      <c r="H30" s="4">
        <v>1156</v>
      </c>
      <c r="I30" s="4">
        <v>1256</v>
      </c>
      <c r="J30" s="4">
        <v>1316</v>
      </c>
      <c r="K30" s="4">
        <v>1220</v>
      </c>
      <c r="L30" s="4">
        <v>1285</v>
      </c>
      <c r="M30" s="4">
        <v>1366</v>
      </c>
      <c r="N30" s="4">
        <v>1376</v>
      </c>
      <c r="O30" s="4">
        <v>1346</v>
      </c>
      <c r="P30" s="4">
        <v>1399</v>
      </c>
      <c r="Q30" s="4">
        <v>1453</v>
      </c>
      <c r="R30" s="4">
        <v>1443</v>
      </c>
      <c r="S30" s="4">
        <v>1334</v>
      </c>
      <c r="T30" s="4">
        <v>1365</v>
      </c>
      <c r="U30" s="4">
        <v>1484</v>
      </c>
      <c r="V30" s="4">
        <v>1502</v>
      </c>
      <c r="W30" s="4">
        <v>1493</v>
      </c>
      <c r="X30" s="7">
        <v>-6.040149227216185E-3</v>
      </c>
      <c r="Y30" s="8">
        <v>5.5406613047364051E-3</v>
      </c>
      <c r="Z30" s="8">
        <v>1.048702452897254E-2</v>
      </c>
      <c r="AA30" s="8">
        <v>2.7968337730870822E-2</v>
      </c>
    </row>
    <row r="31" spans="2:27">
      <c r="B31" s="12" t="s">
        <v>207</v>
      </c>
      <c r="C31" s="3" t="s">
        <v>391</v>
      </c>
      <c r="D31" s="3" t="s">
        <v>417</v>
      </c>
      <c r="E31" s="3" t="s">
        <v>397</v>
      </c>
      <c r="F31" s="5">
        <v>2.4</v>
      </c>
      <c r="G31" s="4">
        <v>126.58</v>
      </c>
      <c r="H31" s="4">
        <v>96.26</v>
      </c>
      <c r="I31" s="4">
        <v>111.45</v>
      </c>
      <c r="J31" s="4">
        <v>123.31</v>
      </c>
      <c r="K31" s="4">
        <v>142.62</v>
      </c>
      <c r="L31" s="4">
        <v>107.34</v>
      </c>
      <c r="M31" s="4">
        <v>115.42</v>
      </c>
      <c r="N31" s="4">
        <v>122.31</v>
      </c>
      <c r="O31" s="4">
        <v>154.1</v>
      </c>
      <c r="P31" s="4">
        <v>114.02</v>
      </c>
      <c r="Q31" s="4">
        <v>130.35</v>
      </c>
      <c r="R31" s="4">
        <v>148.07</v>
      </c>
      <c r="S31" s="4">
        <v>158.51</v>
      </c>
      <c r="T31" s="4">
        <v>136.41999999999999</v>
      </c>
      <c r="U31" s="4">
        <v>152.16</v>
      </c>
      <c r="V31" s="4">
        <v>161.58000000000001</v>
      </c>
      <c r="W31" s="4">
        <v>173.37</v>
      </c>
      <c r="X31" s="7">
        <v>4.0657046918958217E-2</v>
      </c>
      <c r="Y31" s="8">
        <v>3.8039591872329297E-2</v>
      </c>
      <c r="Z31" s="8">
        <v>2.26997782109013E-2</v>
      </c>
      <c r="AA31" s="8">
        <v>2.4413886013767701E-2</v>
      </c>
    </row>
    <row r="32" spans="2:27">
      <c r="B32" s="12" t="s">
        <v>77</v>
      </c>
      <c r="C32" s="3" t="s">
        <v>391</v>
      </c>
      <c r="D32" s="3" t="s">
        <v>418</v>
      </c>
      <c r="E32" s="3" t="s">
        <v>408</v>
      </c>
      <c r="F32" s="5">
        <v>2.4</v>
      </c>
      <c r="G32" s="4">
        <v>1193</v>
      </c>
      <c r="H32" s="4">
        <v>1260</v>
      </c>
      <c r="I32" s="4">
        <v>1534</v>
      </c>
      <c r="J32" s="4">
        <v>1723</v>
      </c>
      <c r="K32" s="4">
        <v>1283</v>
      </c>
      <c r="L32" s="4">
        <v>1293</v>
      </c>
      <c r="M32" s="4">
        <v>1646</v>
      </c>
      <c r="N32" s="4">
        <v>1839</v>
      </c>
      <c r="O32" s="4">
        <v>1431</v>
      </c>
      <c r="P32" s="4">
        <v>1405</v>
      </c>
      <c r="Q32" s="4">
        <v>1727</v>
      </c>
      <c r="R32" s="4">
        <v>1944</v>
      </c>
      <c r="S32" s="4">
        <v>1423</v>
      </c>
      <c r="T32" s="4">
        <v>1589</v>
      </c>
      <c r="U32" s="4">
        <v>1812</v>
      </c>
      <c r="V32" s="4">
        <v>2065</v>
      </c>
      <c r="W32" s="4">
        <v>1589</v>
      </c>
      <c r="X32" s="7">
        <v>2.8312048007385741E-2</v>
      </c>
      <c r="Y32" s="8">
        <v>1.271883884483027E-2</v>
      </c>
      <c r="Z32" s="8">
        <v>1.7878250591016439E-2</v>
      </c>
      <c r="AA32" s="8">
        <v>2.4096385542168749E-2</v>
      </c>
    </row>
    <row r="33" spans="2:27">
      <c r="B33" s="12" t="s">
        <v>32</v>
      </c>
      <c r="C33" s="3" t="s">
        <v>391</v>
      </c>
      <c r="D33" s="3" t="s">
        <v>419</v>
      </c>
      <c r="E33" s="3" t="s">
        <v>397</v>
      </c>
      <c r="F33" s="5">
        <v>2.4</v>
      </c>
      <c r="G33" s="4">
        <v>7658</v>
      </c>
      <c r="H33" s="4">
        <v>7764</v>
      </c>
      <c r="I33" s="4">
        <v>7274</v>
      </c>
      <c r="J33" s="4">
        <v>7763</v>
      </c>
      <c r="K33" s="4">
        <v>8695</v>
      </c>
      <c r="L33" s="4">
        <v>9166</v>
      </c>
      <c r="M33" s="4">
        <v>8507</v>
      </c>
      <c r="N33" s="4">
        <v>9029</v>
      </c>
      <c r="O33" s="4">
        <v>9314</v>
      </c>
      <c r="P33" s="4">
        <v>9290</v>
      </c>
      <c r="Q33" s="4">
        <v>8343</v>
      </c>
      <c r="R33" s="4">
        <v>9204</v>
      </c>
      <c r="S33" s="4">
        <v>9604</v>
      </c>
      <c r="T33" s="4">
        <v>9313</v>
      </c>
      <c r="U33" s="4">
        <v>8984</v>
      </c>
      <c r="V33" s="4">
        <v>9744</v>
      </c>
      <c r="W33" s="4">
        <v>10496</v>
      </c>
      <c r="X33" s="7">
        <v>6.3115721302930972E-4</v>
      </c>
      <c r="Y33" s="8">
        <v>1.7578982009653469E-2</v>
      </c>
      <c r="Z33" s="8">
        <v>1.4553294704217731E-2</v>
      </c>
      <c r="AA33" s="8">
        <v>2.369504582281845E-2</v>
      </c>
    </row>
    <row r="34" spans="2:27">
      <c r="B34" s="12" t="s">
        <v>152</v>
      </c>
      <c r="C34" s="3" t="s">
        <v>391</v>
      </c>
      <c r="D34" s="3" t="s">
        <v>420</v>
      </c>
      <c r="E34" s="3" t="s">
        <v>397</v>
      </c>
      <c r="F34" s="5">
        <v>2.2000000000000002</v>
      </c>
      <c r="G34" s="4">
        <v>232.3</v>
      </c>
      <c r="H34" s="4">
        <v>239.6</v>
      </c>
      <c r="I34" s="4">
        <v>284.2</v>
      </c>
      <c r="J34" s="4">
        <v>417.7</v>
      </c>
      <c r="K34" s="4">
        <v>340.3</v>
      </c>
      <c r="L34" s="6">
        <v>372.1</v>
      </c>
      <c r="M34" s="4">
        <v>403.2</v>
      </c>
      <c r="N34" s="4">
        <v>398.4</v>
      </c>
      <c r="O34" s="4">
        <v>356.8</v>
      </c>
      <c r="P34" s="4">
        <v>373.8</v>
      </c>
      <c r="Q34" s="4">
        <v>412</v>
      </c>
      <c r="R34" s="4">
        <v>410</v>
      </c>
      <c r="S34" s="4">
        <v>370.7</v>
      </c>
      <c r="T34" s="4">
        <v>388.8</v>
      </c>
      <c r="U34" s="4">
        <v>444.5</v>
      </c>
      <c r="V34" s="4">
        <v>455.4</v>
      </c>
      <c r="W34" s="4">
        <v>407.2</v>
      </c>
      <c r="X34" s="7">
        <v>9.5754867539099564E-3</v>
      </c>
      <c r="Y34" s="8">
        <v>2.05501106544419E-2</v>
      </c>
      <c r="Z34" s="8">
        <v>2.8128872366790739E-2</v>
      </c>
      <c r="AA34" s="8">
        <v>2.199590213330116E-2</v>
      </c>
    </row>
    <row r="35" spans="2:27">
      <c r="B35" s="12" t="s">
        <v>16</v>
      </c>
      <c r="C35" s="3" t="s">
        <v>391</v>
      </c>
      <c r="D35" s="3" t="s">
        <v>421</v>
      </c>
      <c r="E35" s="3" t="s">
        <v>397</v>
      </c>
      <c r="F35" s="5">
        <v>2.2000000000000002</v>
      </c>
      <c r="G35" s="4">
        <v>6846</v>
      </c>
      <c r="H35" s="4">
        <v>6238</v>
      </c>
      <c r="I35" s="4">
        <v>6594</v>
      </c>
      <c r="J35" s="4">
        <v>6652</v>
      </c>
      <c r="K35" s="4">
        <v>6839</v>
      </c>
      <c r="L35" s="4">
        <v>6105</v>
      </c>
      <c r="M35" s="4">
        <v>6986</v>
      </c>
      <c r="N35" s="4">
        <v>6903</v>
      </c>
      <c r="O35" s="4">
        <v>8196</v>
      </c>
      <c r="P35" s="4">
        <v>7447</v>
      </c>
      <c r="Q35" s="4">
        <v>8388</v>
      </c>
      <c r="R35" s="4">
        <v>8503</v>
      </c>
      <c r="S35" s="4">
        <v>9086</v>
      </c>
      <c r="T35" s="4">
        <v>8149</v>
      </c>
      <c r="U35" s="4">
        <v>9179</v>
      </c>
      <c r="V35" s="4">
        <v>9557</v>
      </c>
      <c r="W35" s="4">
        <v>9866</v>
      </c>
      <c r="X35" s="7">
        <v>2.100287218764962E-2</v>
      </c>
      <c r="Y35" s="8">
        <v>2.3178807947019871E-2</v>
      </c>
      <c r="Z35" s="8">
        <v>3.018586934730938E-2</v>
      </c>
      <c r="AA35" s="8">
        <v>2.168413444163364E-2</v>
      </c>
    </row>
    <row r="36" spans="2:27">
      <c r="B36" s="12" t="s">
        <v>130</v>
      </c>
      <c r="C36" s="3" t="s">
        <v>391</v>
      </c>
      <c r="D36" s="3" t="s">
        <v>398</v>
      </c>
      <c r="E36" s="3" t="s">
        <v>397</v>
      </c>
      <c r="F36" s="5">
        <v>1.9</v>
      </c>
      <c r="G36" s="4">
        <v>1311</v>
      </c>
      <c r="H36" s="4">
        <v>1510</v>
      </c>
      <c r="I36" s="4">
        <v>1336</v>
      </c>
      <c r="J36" s="4">
        <v>1233</v>
      </c>
      <c r="K36" s="4">
        <v>1407</v>
      </c>
      <c r="L36" s="4">
        <v>1329</v>
      </c>
      <c r="M36" s="4">
        <v>1153</v>
      </c>
      <c r="N36" s="4">
        <v>1071</v>
      </c>
      <c r="O36" s="4">
        <v>1219</v>
      </c>
      <c r="P36" s="4">
        <v>1202</v>
      </c>
      <c r="Q36" s="4">
        <v>1046</v>
      </c>
      <c r="R36" s="4">
        <v>905.5</v>
      </c>
      <c r="S36" s="4">
        <v>1025</v>
      </c>
      <c r="T36" s="4">
        <v>1069</v>
      </c>
      <c r="U36" s="4">
        <v>953.2</v>
      </c>
      <c r="V36" s="4">
        <v>965</v>
      </c>
      <c r="W36" s="4">
        <v>1100</v>
      </c>
      <c r="X36" s="7">
        <v>-3.1829603924853463E-2</v>
      </c>
      <c r="Y36" s="8">
        <v>-2.293906810035851E-2</v>
      </c>
      <c r="Z36" s="8">
        <v>1.505300174564228E-2</v>
      </c>
      <c r="AA36" s="8">
        <v>1.8692986391505961E-2</v>
      </c>
    </row>
    <row r="37" spans="2:27">
      <c r="B37" s="12" t="s">
        <v>136</v>
      </c>
      <c r="C37" s="3" t="s">
        <v>391</v>
      </c>
      <c r="D37" s="3" t="s">
        <v>418</v>
      </c>
      <c r="E37" s="3" t="s">
        <v>408</v>
      </c>
      <c r="F37" s="5">
        <v>1.8</v>
      </c>
      <c r="G37" s="4">
        <v>488.06</v>
      </c>
      <c r="H37" s="4">
        <v>493.9</v>
      </c>
      <c r="I37" s="4">
        <v>478.26</v>
      </c>
      <c r="J37" s="4">
        <v>482.67</v>
      </c>
      <c r="K37" s="4">
        <v>529.20000000000005</v>
      </c>
      <c r="L37" s="4">
        <v>505.31</v>
      </c>
      <c r="M37" s="4">
        <v>508.55</v>
      </c>
      <c r="N37" s="4">
        <v>534.63</v>
      </c>
      <c r="O37" s="4">
        <v>571.37</v>
      </c>
      <c r="P37" s="4">
        <v>545.70000000000005</v>
      </c>
      <c r="Q37" s="4">
        <v>538.55999999999995</v>
      </c>
      <c r="R37" s="4">
        <v>559.91</v>
      </c>
      <c r="S37" s="4">
        <v>600.98</v>
      </c>
      <c r="T37" s="4">
        <v>573.85</v>
      </c>
      <c r="U37" s="4">
        <v>585.09</v>
      </c>
      <c r="V37" s="4">
        <v>615.37</v>
      </c>
      <c r="W37" s="4">
        <v>644.74</v>
      </c>
      <c r="X37" s="7">
        <v>1.253813776362378E-2</v>
      </c>
      <c r="Y37" s="8">
        <v>2.0468042053402469E-2</v>
      </c>
      <c r="Z37" s="8">
        <v>2.3906924214274431E-2</v>
      </c>
      <c r="AA37" s="8">
        <v>1.8423013610969759E-2</v>
      </c>
    </row>
    <row r="38" spans="2:27">
      <c r="B38" s="12" t="s">
        <v>269</v>
      </c>
      <c r="C38" s="3" t="s">
        <v>391</v>
      </c>
      <c r="D38" s="3" t="s">
        <v>422</v>
      </c>
      <c r="E38" s="3" t="s">
        <v>397</v>
      </c>
      <c r="F38" s="5">
        <v>1.8</v>
      </c>
      <c r="G38" s="4">
        <v>633.04999999999995</v>
      </c>
      <c r="H38" s="4">
        <v>636.08000000000004</v>
      </c>
      <c r="I38" s="4">
        <v>728.03</v>
      </c>
      <c r="J38" s="4">
        <v>771.58</v>
      </c>
      <c r="K38" s="4">
        <v>750.64</v>
      </c>
      <c r="L38" s="4">
        <v>694.7</v>
      </c>
      <c r="M38" s="4">
        <v>733.23</v>
      </c>
      <c r="N38" s="4">
        <v>719.7</v>
      </c>
      <c r="O38" s="4">
        <v>691.35</v>
      </c>
      <c r="P38" s="4">
        <v>675.58</v>
      </c>
      <c r="Q38" s="4">
        <v>665.9</v>
      </c>
      <c r="R38" s="4">
        <v>657.75</v>
      </c>
      <c r="S38" s="4">
        <v>656.89</v>
      </c>
      <c r="T38" s="4">
        <v>631.76</v>
      </c>
      <c r="U38" s="4">
        <v>642.34</v>
      </c>
      <c r="V38" s="4">
        <v>680.68</v>
      </c>
      <c r="W38" s="4">
        <v>704.33</v>
      </c>
      <c r="X38" s="7">
        <v>-1.649774859569586E-2</v>
      </c>
      <c r="Y38" s="8">
        <v>-9.0188722581634462E-3</v>
      </c>
      <c r="Z38" s="8">
        <v>8.8575909515826723E-3</v>
      </c>
      <c r="AA38" s="8">
        <v>1.8164622636091199E-2</v>
      </c>
    </row>
    <row r="39" spans="2:27">
      <c r="B39" s="12" t="s">
        <v>14</v>
      </c>
      <c r="C39" s="3" t="s">
        <v>391</v>
      </c>
      <c r="D39" s="3" t="s">
        <v>423</v>
      </c>
      <c r="E39" s="3" t="s">
        <v>397</v>
      </c>
      <c r="F39" s="5">
        <v>1.7</v>
      </c>
      <c r="G39" s="4">
        <v>25248</v>
      </c>
      <c r="H39" s="4">
        <v>16200</v>
      </c>
      <c r="I39" s="4">
        <v>20225</v>
      </c>
      <c r="J39" s="4">
        <v>21971</v>
      </c>
      <c r="K39" s="4">
        <v>27996</v>
      </c>
      <c r="L39" s="4">
        <v>17846</v>
      </c>
      <c r="M39" s="4">
        <v>22322</v>
      </c>
      <c r="N39" s="4">
        <v>23453</v>
      </c>
      <c r="O39" s="4">
        <v>27850</v>
      </c>
      <c r="P39" s="4">
        <v>18250</v>
      </c>
      <c r="Q39" s="4">
        <v>22501</v>
      </c>
      <c r="R39" s="4">
        <v>23319</v>
      </c>
      <c r="S39" s="4">
        <v>27784</v>
      </c>
      <c r="T39" s="4">
        <v>17919</v>
      </c>
      <c r="U39" s="4">
        <v>22726</v>
      </c>
      <c r="V39" s="4">
        <v>23937</v>
      </c>
      <c r="W39" s="4">
        <v>29343</v>
      </c>
      <c r="X39" s="7">
        <v>-3.6035447558081519E-3</v>
      </c>
      <c r="Y39" s="8">
        <v>2.4583984353658832E-3</v>
      </c>
      <c r="Z39" s="8">
        <v>6.7358416532239396E-3</v>
      </c>
      <c r="AA39" s="8">
        <v>1.687850507762589E-2</v>
      </c>
    </row>
    <row r="40" spans="2:27">
      <c r="B40" s="12" t="s">
        <v>22</v>
      </c>
      <c r="C40" s="3" t="s">
        <v>391</v>
      </c>
      <c r="D40" s="3" t="s">
        <v>424</v>
      </c>
      <c r="E40" s="3" t="s">
        <v>397</v>
      </c>
      <c r="F40" s="5">
        <v>1.4</v>
      </c>
      <c r="G40" s="4">
        <v>10217</v>
      </c>
      <c r="H40" s="4">
        <v>9557</v>
      </c>
      <c r="I40" s="4">
        <v>9631</v>
      </c>
      <c r="J40" s="4">
        <v>11920</v>
      </c>
      <c r="K40" s="4">
        <v>11592</v>
      </c>
      <c r="L40" s="4">
        <v>10926</v>
      </c>
      <c r="M40" s="4">
        <v>12019</v>
      </c>
      <c r="N40" s="4">
        <v>13804</v>
      </c>
      <c r="O40" s="4">
        <v>13034</v>
      </c>
      <c r="P40" s="4">
        <v>13025</v>
      </c>
      <c r="Q40" s="4">
        <v>13808</v>
      </c>
      <c r="R40" s="4">
        <v>14907</v>
      </c>
      <c r="S40" s="4">
        <v>14236</v>
      </c>
      <c r="T40" s="4">
        <v>13418</v>
      </c>
      <c r="U40" s="4">
        <v>14925</v>
      </c>
      <c r="V40" s="4">
        <v>16263</v>
      </c>
      <c r="W40" s="4">
        <v>15065</v>
      </c>
      <c r="X40" s="7">
        <v>7.0208660854651486E-3</v>
      </c>
      <c r="Y40" s="8">
        <v>1.9815856233035941E-2</v>
      </c>
      <c r="Z40" s="8">
        <v>2.3588351946560952E-2</v>
      </c>
      <c r="AA40" s="8">
        <v>1.408857618707726E-2</v>
      </c>
    </row>
    <row r="41" spans="2:27">
      <c r="B41" s="12" t="s">
        <v>168</v>
      </c>
      <c r="C41" s="3" t="s">
        <v>391</v>
      </c>
      <c r="D41" s="3" t="s">
        <v>424</v>
      </c>
      <c r="E41" s="3" t="s">
        <v>397</v>
      </c>
      <c r="F41" s="5">
        <v>1.4</v>
      </c>
      <c r="G41" s="4">
        <v>1379</v>
      </c>
      <c r="H41" s="4">
        <v>1331</v>
      </c>
      <c r="I41" s="4">
        <v>1293</v>
      </c>
      <c r="J41" s="4">
        <v>1366</v>
      </c>
      <c r="K41" s="4">
        <v>1479</v>
      </c>
      <c r="L41" s="4">
        <v>1444</v>
      </c>
      <c r="M41" s="4">
        <v>1504</v>
      </c>
      <c r="N41" s="4">
        <v>1517</v>
      </c>
      <c r="O41" s="4">
        <v>1529</v>
      </c>
      <c r="P41" s="4">
        <v>1551</v>
      </c>
      <c r="Q41" s="4">
        <v>1537</v>
      </c>
      <c r="R41" s="4">
        <v>1565</v>
      </c>
      <c r="S41" s="4">
        <v>1584</v>
      </c>
      <c r="T41" s="4">
        <v>1603</v>
      </c>
      <c r="U41" s="4">
        <v>1654</v>
      </c>
      <c r="V41" s="4">
        <v>1665</v>
      </c>
      <c r="W41" s="4">
        <v>1672</v>
      </c>
      <c r="X41" s="7">
        <v>8.3373416706749026E-3</v>
      </c>
      <c r="Y41" s="8">
        <v>1.860391159166808E-2</v>
      </c>
      <c r="Z41" s="8">
        <v>1.561036528254767E-2</v>
      </c>
      <c r="AA41" s="8">
        <v>1.3525976022133349E-2</v>
      </c>
    </row>
    <row r="42" spans="2:27">
      <c r="B42" s="12" t="s">
        <v>174</v>
      </c>
      <c r="C42" s="3" t="s">
        <v>391</v>
      </c>
      <c r="D42" s="3" t="s">
        <v>398</v>
      </c>
      <c r="E42" s="3" t="s">
        <v>401</v>
      </c>
      <c r="F42" s="5">
        <v>1.3</v>
      </c>
      <c r="G42" s="4">
        <v>548.35</v>
      </c>
      <c r="H42" s="4">
        <v>489.97</v>
      </c>
      <c r="I42" s="4">
        <v>393.64</v>
      </c>
      <c r="J42" s="4">
        <v>540.57000000000005</v>
      </c>
      <c r="K42" s="4">
        <v>590.58000000000004</v>
      </c>
      <c r="L42" s="4">
        <v>372.82</v>
      </c>
      <c r="M42" s="4">
        <v>317.02</v>
      </c>
      <c r="N42" s="4">
        <v>481.06</v>
      </c>
      <c r="O42" s="4">
        <v>618.98</v>
      </c>
      <c r="P42" s="4">
        <v>371.83</v>
      </c>
      <c r="Q42" s="4">
        <v>374.03</v>
      </c>
      <c r="R42" s="4">
        <v>541.86</v>
      </c>
      <c r="S42" s="4">
        <v>555.74</v>
      </c>
      <c r="T42" s="4">
        <v>424.46</v>
      </c>
      <c r="U42" s="4">
        <v>407.27</v>
      </c>
      <c r="V42" s="4">
        <v>560.96</v>
      </c>
      <c r="W42" s="4">
        <v>580.62</v>
      </c>
      <c r="X42" s="7">
        <v>2.85495752552265E-2</v>
      </c>
      <c r="Y42" s="8">
        <v>1.7530813410755911E-2</v>
      </c>
      <c r="Z42" s="8">
        <v>9.8998097785241157E-3</v>
      </c>
      <c r="AA42" s="8">
        <v>1.2769255246531721E-2</v>
      </c>
    </row>
    <row r="43" spans="2:27">
      <c r="B43" s="12" t="s">
        <v>162</v>
      </c>
      <c r="C43" s="3" t="s">
        <v>391</v>
      </c>
      <c r="D43" s="3" t="s">
        <v>425</v>
      </c>
      <c r="E43" s="3" t="s">
        <v>397</v>
      </c>
      <c r="F43" s="5">
        <v>1.2</v>
      </c>
      <c r="G43" s="4">
        <v>1401</v>
      </c>
      <c r="H43" s="4">
        <v>1506</v>
      </c>
      <c r="I43" s="4">
        <v>1524</v>
      </c>
      <c r="J43" s="4">
        <v>1345</v>
      </c>
      <c r="K43" s="4">
        <v>1555</v>
      </c>
      <c r="L43" s="4">
        <v>1835</v>
      </c>
      <c r="M43" s="4">
        <v>1871</v>
      </c>
      <c r="N43" s="4">
        <v>1823</v>
      </c>
      <c r="O43" s="4">
        <v>1819</v>
      </c>
      <c r="P43" s="4">
        <v>2051</v>
      </c>
      <c r="Q43" s="4">
        <v>2033</v>
      </c>
      <c r="R43" s="4">
        <v>1956</v>
      </c>
      <c r="S43" s="4">
        <v>2010</v>
      </c>
      <c r="T43" s="4">
        <v>1969</v>
      </c>
      <c r="U43" s="4">
        <v>1981</v>
      </c>
      <c r="V43" s="4">
        <v>2128</v>
      </c>
      <c r="W43" s="4">
        <v>2111</v>
      </c>
      <c r="X43" s="7">
        <v>-1.018633540372671E-2</v>
      </c>
      <c r="Y43" s="8">
        <v>-6.5261044176706529E-3</v>
      </c>
      <c r="Z43" s="8">
        <v>2.172814552804447E-2</v>
      </c>
      <c r="AA43" s="8">
        <v>1.2487636003956529E-2</v>
      </c>
    </row>
    <row r="44" spans="2:27">
      <c r="B44" s="12" t="s">
        <v>12</v>
      </c>
      <c r="C44" s="3" t="s">
        <v>391</v>
      </c>
      <c r="D44" s="3" t="s">
        <v>421</v>
      </c>
      <c r="E44" s="3" t="s">
        <v>397</v>
      </c>
      <c r="F44" s="5">
        <v>1.2</v>
      </c>
      <c r="G44" s="4">
        <v>13521</v>
      </c>
      <c r="H44" s="4">
        <v>15901</v>
      </c>
      <c r="I44" s="4">
        <v>14593</v>
      </c>
      <c r="J44" s="4">
        <v>14959</v>
      </c>
      <c r="K44" s="4">
        <v>13830</v>
      </c>
      <c r="L44" s="4">
        <v>14487</v>
      </c>
      <c r="M44" s="4">
        <v>15035</v>
      </c>
      <c r="N44" s="4">
        <v>15962</v>
      </c>
      <c r="O44" s="4">
        <v>14630</v>
      </c>
      <c r="P44" s="4">
        <v>15775</v>
      </c>
      <c r="Q44" s="4">
        <v>16112</v>
      </c>
      <c r="R44" s="4">
        <v>16657</v>
      </c>
      <c r="S44" s="4">
        <v>15624</v>
      </c>
      <c r="T44" s="4">
        <v>15529</v>
      </c>
      <c r="U44" s="4">
        <v>15806</v>
      </c>
      <c r="V44" s="4">
        <v>17276</v>
      </c>
      <c r="W44" s="4">
        <v>16400</v>
      </c>
      <c r="X44" s="7">
        <v>-3.8336865727465201E-3</v>
      </c>
      <c r="Y44" s="8">
        <v>-4.7870842589405882E-3</v>
      </c>
      <c r="Z44" s="8">
        <v>9.7302565392354268E-3</v>
      </c>
      <c r="AA44" s="8">
        <v>1.2080641394878191E-2</v>
      </c>
    </row>
    <row r="45" spans="2:27">
      <c r="B45" s="12" t="s">
        <v>47</v>
      </c>
      <c r="C45" s="3" t="s">
        <v>391</v>
      </c>
      <c r="D45" s="3" t="s">
        <v>426</v>
      </c>
      <c r="E45" s="3" t="s">
        <v>397</v>
      </c>
      <c r="F45" s="5">
        <v>1.2</v>
      </c>
      <c r="G45" s="4">
        <v>1961</v>
      </c>
      <c r="H45" s="4">
        <v>2021</v>
      </c>
      <c r="I45" s="4">
        <v>2213</v>
      </c>
      <c r="J45" s="4">
        <v>2220</v>
      </c>
      <c r="K45" s="4">
        <v>2181</v>
      </c>
      <c r="L45" s="4">
        <v>2369</v>
      </c>
      <c r="M45" s="4">
        <v>2515</v>
      </c>
      <c r="N45" s="4">
        <v>2472</v>
      </c>
      <c r="O45" s="4">
        <v>2516</v>
      </c>
      <c r="P45" s="4">
        <v>2702</v>
      </c>
      <c r="Q45" s="4">
        <v>2973</v>
      </c>
      <c r="R45" s="4">
        <v>2794</v>
      </c>
      <c r="S45" s="4">
        <v>2845</v>
      </c>
      <c r="T45" s="4">
        <v>2875</v>
      </c>
      <c r="U45" s="4">
        <v>3063</v>
      </c>
      <c r="V45" s="4">
        <v>3003</v>
      </c>
      <c r="W45" s="4">
        <v>2984</v>
      </c>
      <c r="X45" s="7">
        <v>1.529079017146895E-2</v>
      </c>
      <c r="Y45" s="8">
        <v>7.8349438495690649E-3</v>
      </c>
      <c r="Z45" s="8">
        <v>1.805303619245047E-2</v>
      </c>
      <c r="AA45" s="8">
        <v>1.1793653487188079E-2</v>
      </c>
    </row>
    <row r="46" spans="2:27">
      <c r="B46" s="12" t="s">
        <v>94</v>
      </c>
      <c r="C46" s="3" t="s">
        <v>391</v>
      </c>
      <c r="D46" s="3" t="s">
        <v>404</v>
      </c>
      <c r="E46" s="3" t="s">
        <v>397</v>
      </c>
      <c r="F46" s="5">
        <v>1.2</v>
      </c>
      <c r="G46" s="4">
        <v>988.6</v>
      </c>
      <c r="H46" s="4">
        <v>999.6</v>
      </c>
      <c r="I46" s="4">
        <v>1064</v>
      </c>
      <c r="J46" s="4">
        <v>1055</v>
      </c>
      <c r="K46" s="4">
        <v>1003</v>
      </c>
      <c r="L46" s="4">
        <v>1029</v>
      </c>
      <c r="M46" s="4">
        <v>1083</v>
      </c>
      <c r="N46" s="4">
        <v>1009</v>
      </c>
      <c r="O46" s="4">
        <v>984.6</v>
      </c>
      <c r="P46" s="4">
        <v>1017</v>
      </c>
      <c r="Q46" s="4">
        <v>1099</v>
      </c>
      <c r="R46" s="4">
        <v>993.4</v>
      </c>
      <c r="S46" s="4">
        <v>972.9</v>
      </c>
      <c r="T46" s="4">
        <v>1010</v>
      </c>
      <c r="U46" s="4">
        <v>1123</v>
      </c>
      <c r="V46" s="4">
        <v>1022</v>
      </c>
      <c r="W46" s="4">
        <v>1021</v>
      </c>
      <c r="X46" s="7">
        <v>-1.714719643338358E-3</v>
      </c>
      <c r="Y46" s="8">
        <v>5.8891369960494266E-3</v>
      </c>
      <c r="Z46" s="8">
        <v>6.9768009172297418E-3</v>
      </c>
      <c r="AA46" s="8">
        <v>1.165241406041817E-2</v>
      </c>
    </row>
    <row r="47" spans="2:27">
      <c r="B47" s="12" t="s">
        <v>339</v>
      </c>
      <c r="C47" s="3" t="s">
        <v>391</v>
      </c>
      <c r="D47" s="3" t="s">
        <v>405</v>
      </c>
      <c r="E47" s="3" t="s">
        <v>397</v>
      </c>
      <c r="F47" s="5">
        <v>1.1000000000000001</v>
      </c>
      <c r="G47" s="4">
        <v>41.89</v>
      </c>
      <c r="H47" s="4">
        <v>58.1</v>
      </c>
      <c r="I47" s="4">
        <v>45.99</v>
      </c>
      <c r="J47" s="4">
        <v>54.19</v>
      </c>
      <c r="K47" s="4">
        <v>59.5</v>
      </c>
      <c r="L47" s="4">
        <v>51.91</v>
      </c>
      <c r="M47" s="4">
        <v>50.84</v>
      </c>
      <c r="N47" s="4">
        <v>51.58</v>
      </c>
      <c r="O47" s="4">
        <v>48.34</v>
      </c>
      <c r="P47" s="4">
        <v>46.55</v>
      </c>
      <c r="Q47" s="4">
        <v>46.23</v>
      </c>
      <c r="R47" s="4">
        <v>48.99</v>
      </c>
      <c r="S47" s="4">
        <v>59.82</v>
      </c>
      <c r="T47" s="4">
        <v>60.54</v>
      </c>
      <c r="U47" s="4">
        <v>61.1</v>
      </c>
      <c r="V47" s="4">
        <v>69.3</v>
      </c>
      <c r="W47" s="4">
        <v>62.7</v>
      </c>
      <c r="X47" s="7">
        <v>6.9398283645021985E-2</v>
      </c>
      <c r="Y47" s="8">
        <v>6.8976713980888782E-2</v>
      </c>
      <c r="Z47" s="8">
        <v>8.8131915816880069E-2</v>
      </c>
      <c r="AA47" s="8">
        <v>1.1485085340564581E-2</v>
      </c>
    </row>
    <row r="48" spans="2:27">
      <c r="B48" s="12" t="s">
        <v>49</v>
      </c>
      <c r="C48" s="3" t="s">
        <v>391</v>
      </c>
      <c r="D48" s="3" t="s">
        <v>427</v>
      </c>
      <c r="E48" s="3" t="s">
        <v>397</v>
      </c>
      <c r="F48" s="5">
        <v>1.1000000000000001</v>
      </c>
      <c r="G48" s="4">
        <v>3359</v>
      </c>
      <c r="H48" s="4">
        <v>3647</v>
      </c>
      <c r="I48" s="4">
        <v>3837</v>
      </c>
      <c r="J48" s="4">
        <v>3942</v>
      </c>
      <c r="K48" s="4">
        <v>3802</v>
      </c>
      <c r="L48" s="4">
        <v>4091</v>
      </c>
      <c r="M48" s="4">
        <v>4182</v>
      </c>
      <c r="N48" s="4">
        <v>4208</v>
      </c>
      <c r="O48" s="4">
        <v>3997</v>
      </c>
      <c r="P48" s="4">
        <v>4235</v>
      </c>
      <c r="Q48" s="4">
        <v>4312</v>
      </c>
      <c r="R48" s="4">
        <v>4388</v>
      </c>
      <c r="S48" s="4">
        <v>4233</v>
      </c>
      <c r="T48" s="4">
        <v>4306</v>
      </c>
      <c r="U48" s="4">
        <v>4554</v>
      </c>
      <c r="V48" s="4">
        <v>4657</v>
      </c>
      <c r="W48" s="4">
        <v>4425</v>
      </c>
      <c r="X48" s="7">
        <v>4.1356011183597552E-3</v>
      </c>
      <c r="Y48" s="8">
        <v>1.403793723533853E-2</v>
      </c>
      <c r="Z48" s="8">
        <v>1.538813569017794E-2</v>
      </c>
      <c r="AA48" s="8">
        <v>1.0816901408450709E-2</v>
      </c>
    </row>
    <row r="49" spans="2:27">
      <c r="B49" s="12" t="s">
        <v>201</v>
      </c>
      <c r="C49" s="3" t="s">
        <v>391</v>
      </c>
      <c r="D49" s="3" t="s">
        <v>412</v>
      </c>
      <c r="E49" s="3" t="s">
        <v>393</v>
      </c>
      <c r="F49" s="5">
        <v>1</v>
      </c>
      <c r="G49" s="4">
        <v>220.38</v>
      </c>
      <c r="H49" s="4">
        <v>253.08</v>
      </c>
      <c r="I49" s="4">
        <v>289.73</v>
      </c>
      <c r="J49" s="4">
        <v>227.58</v>
      </c>
      <c r="K49" s="4">
        <v>229.59</v>
      </c>
      <c r="L49" s="4">
        <v>263.48</v>
      </c>
      <c r="M49" s="4">
        <v>253.24</v>
      </c>
      <c r="N49" s="4">
        <v>180.99</v>
      </c>
      <c r="O49" s="4">
        <v>197.46</v>
      </c>
      <c r="P49" s="4">
        <v>208.26</v>
      </c>
      <c r="Q49" s="4">
        <v>248.56</v>
      </c>
      <c r="R49" s="4">
        <v>204.43</v>
      </c>
      <c r="S49" s="4">
        <v>223.13</v>
      </c>
      <c r="T49" s="4">
        <v>211.36</v>
      </c>
      <c r="U49" s="4">
        <v>273.11</v>
      </c>
      <c r="V49" s="4">
        <v>225.21</v>
      </c>
      <c r="W49" s="4">
        <v>232.87</v>
      </c>
      <c r="X49" s="7">
        <v>3.505280535516464E-3</v>
      </c>
      <c r="Y49" s="8">
        <v>2.7662595213413299E-2</v>
      </c>
      <c r="Z49" s="8">
        <v>2.2784338234487889E-2</v>
      </c>
      <c r="AA49" s="8">
        <v>1.0441569022630491E-2</v>
      </c>
    </row>
    <row r="50" spans="2:27">
      <c r="B50" s="12" t="s">
        <v>143</v>
      </c>
      <c r="C50" s="3" t="s">
        <v>391</v>
      </c>
      <c r="D50" s="3" t="s">
        <v>417</v>
      </c>
      <c r="E50" s="3" t="s">
        <v>408</v>
      </c>
      <c r="F50" s="5">
        <v>1</v>
      </c>
      <c r="G50" s="4">
        <v>1105</v>
      </c>
      <c r="H50" s="4">
        <v>1145</v>
      </c>
      <c r="I50" s="4">
        <v>1160</v>
      </c>
      <c r="J50" s="4">
        <v>1167</v>
      </c>
      <c r="K50" s="4">
        <v>1186</v>
      </c>
      <c r="L50" s="4">
        <v>1223</v>
      </c>
      <c r="M50" s="4">
        <v>1236</v>
      </c>
      <c r="N50" s="4">
        <v>1243</v>
      </c>
      <c r="O50" s="4">
        <v>1245</v>
      </c>
      <c r="P50" s="4">
        <v>1246</v>
      </c>
      <c r="Q50" s="4">
        <v>1250</v>
      </c>
      <c r="R50" s="4">
        <v>1264</v>
      </c>
      <c r="S50" s="4">
        <v>1110</v>
      </c>
      <c r="T50" s="4">
        <v>1128</v>
      </c>
      <c r="U50" s="4">
        <v>1144</v>
      </c>
      <c r="V50" s="4">
        <v>1150</v>
      </c>
      <c r="W50" s="4">
        <v>1156</v>
      </c>
      <c r="X50" s="7">
        <v>-2.4229979466119041E-2</v>
      </c>
      <c r="Y50" s="8">
        <v>-2.2306397306397271E-2</v>
      </c>
      <c r="Z50" s="8">
        <v>-2.4537236332328849E-2</v>
      </c>
      <c r="AA50" s="8">
        <v>1.015004413062659E-2</v>
      </c>
    </row>
    <row r="51" spans="2:27">
      <c r="B51" s="12" t="s">
        <v>29</v>
      </c>
      <c r="C51" s="3" t="s">
        <v>391</v>
      </c>
      <c r="D51" s="3" t="s">
        <v>404</v>
      </c>
      <c r="E51" s="3" t="s">
        <v>397</v>
      </c>
      <c r="F51" s="5">
        <v>1</v>
      </c>
      <c r="G51" s="4">
        <v>3679</v>
      </c>
      <c r="H51" s="4">
        <v>3939</v>
      </c>
      <c r="I51" s="4">
        <v>4011</v>
      </c>
      <c r="J51" s="4">
        <v>4011</v>
      </c>
      <c r="K51" s="4">
        <v>3971</v>
      </c>
      <c r="L51" s="4">
        <v>4019</v>
      </c>
      <c r="M51" s="4">
        <v>4074</v>
      </c>
      <c r="N51" s="4">
        <v>4031</v>
      </c>
      <c r="O51" s="4">
        <v>3983</v>
      </c>
      <c r="P51" s="4">
        <v>3973</v>
      </c>
      <c r="Q51" s="4">
        <v>4027</v>
      </c>
      <c r="R51" s="4">
        <v>3966</v>
      </c>
      <c r="S51" s="4">
        <v>3932</v>
      </c>
      <c r="T51" s="4">
        <v>3839</v>
      </c>
      <c r="U51" s="4">
        <v>4053</v>
      </c>
      <c r="V51" s="4">
        <v>4059</v>
      </c>
      <c r="W51" s="4">
        <v>4093</v>
      </c>
      <c r="X51" s="7">
        <v>-8.428733173984182E-3</v>
      </c>
      <c r="Y51" s="8">
        <v>1.649327581832116E-3</v>
      </c>
      <c r="Z51" s="8">
        <v>5.8898036732109027E-3</v>
      </c>
      <c r="AA51" s="8">
        <v>1.013662406346416E-2</v>
      </c>
    </row>
    <row r="52" spans="2:27">
      <c r="B52" s="12" t="s">
        <v>24</v>
      </c>
      <c r="C52" s="3" t="s">
        <v>391</v>
      </c>
      <c r="D52" s="3" t="s">
        <v>404</v>
      </c>
      <c r="E52" s="3" t="s">
        <v>408</v>
      </c>
      <c r="F52" s="5">
        <v>0.9</v>
      </c>
      <c r="G52" s="4">
        <v>3156</v>
      </c>
      <c r="H52" s="4">
        <v>3291</v>
      </c>
      <c r="I52" s="4">
        <v>3465</v>
      </c>
      <c r="J52" s="4">
        <v>3892</v>
      </c>
      <c r="K52" s="4">
        <v>3373</v>
      </c>
      <c r="L52" s="4">
        <v>3756</v>
      </c>
      <c r="M52" s="4">
        <v>3946</v>
      </c>
      <c r="N52" s="4">
        <v>4090</v>
      </c>
      <c r="O52" s="4">
        <v>4117</v>
      </c>
      <c r="P52" s="4">
        <v>4376</v>
      </c>
      <c r="Q52" s="4">
        <v>4380</v>
      </c>
      <c r="R52" s="4">
        <v>4619</v>
      </c>
      <c r="S52" s="4">
        <v>4175</v>
      </c>
      <c r="T52" s="4">
        <v>4432</v>
      </c>
      <c r="U52" s="4">
        <v>4553</v>
      </c>
      <c r="V52" s="4">
        <v>4855</v>
      </c>
      <c r="W52" s="4">
        <v>4346</v>
      </c>
      <c r="X52" s="7">
        <v>3.1908831908831199E-3</v>
      </c>
      <c r="Y52" s="8">
        <v>9.8261956151310947E-3</v>
      </c>
      <c r="Z52" s="8">
        <v>1.327408740649072E-2</v>
      </c>
      <c r="AA52" s="8">
        <v>9.4920899250623414E-3</v>
      </c>
    </row>
    <row r="53" spans="2:27">
      <c r="B53" s="12" t="s">
        <v>53</v>
      </c>
      <c r="C53" s="3" t="s">
        <v>391</v>
      </c>
      <c r="D53" s="3" t="s">
        <v>428</v>
      </c>
      <c r="E53" s="3" t="s">
        <v>397</v>
      </c>
      <c r="F53" s="5">
        <v>0.9</v>
      </c>
      <c r="G53" s="4">
        <v>6918</v>
      </c>
      <c r="H53" s="4">
        <v>6483</v>
      </c>
      <c r="I53" s="4">
        <v>6806</v>
      </c>
      <c r="J53" s="4">
        <v>6846</v>
      </c>
      <c r="K53" s="4">
        <v>7383</v>
      </c>
      <c r="L53" s="4">
        <v>7040</v>
      </c>
      <c r="M53" s="4">
        <v>7287</v>
      </c>
      <c r="N53" s="4">
        <v>7418</v>
      </c>
      <c r="O53" s="4">
        <v>8026</v>
      </c>
      <c r="P53" s="4">
        <v>7699</v>
      </c>
      <c r="Q53" s="4">
        <v>7885</v>
      </c>
      <c r="R53" s="4">
        <v>7847</v>
      </c>
      <c r="S53" s="4">
        <v>8366</v>
      </c>
      <c r="T53" s="4">
        <v>7791</v>
      </c>
      <c r="U53" s="4">
        <v>8288</v>
      </c>
      <c r="V53" s="4">
        <v>8417</v>
      </c>
      <c r="W53" s="4">
        <v>8676</v>
      </c>
      <c r="X53" s="7">
        <v>2.893354718998653E-3</v>
      </c>
      <c r="Y53" s="8">
        <v>1.263758662861791E-2</v>
      </c>
      <c r="Z53" s="8">
        <v>1.7651430694908932E-2</v>
      </c>
      <c r="AA53" s="8">
        <v>9.4333881078449977E-3</v>
      </c>
    </row>
    <row r="54" spans="2:27">
      <c r="B54" s="12" t="s">
        <v>134</v>
      </c>
      <c r="C54" s="3" t="s">
        <v>391</v>
      </c>
      <c r="D54" s="3" t="s">
        <v>429</v>
      </c>
      <c r="E54" s="3" t="s">
        <v>397</v>
      </c>
      <c r="F54" s="5">
        <v>0.9</v>
      </c>
      <c r="G54" s="4">
        <v>956.36</v>
      </c>
      <c r="H54" s="4">
        <v>1010</v>
      </c>
      <c r="I54" s="4">
        <v>1150</v>
      </c>
      <c r="J54" s="4">
        <v>944.83</v>
      </c>
      <c r="K54" s="4">
        <v>877.58</v>
      </c>
      <c r="L54" s="4">
        <v>971.19</v>
      </c>
      <c r="M54" s="4">
        <v>896.98</v>
      </c>
      <c r="N54" s="4">
        <v>819.79</v>
      </c>
      <c r="O54" s="4">
        <v>732.38</v>
      </c>
      <c r="P54" s="4">
        <v>849.65</v>
      </c>
      <c r="Q54" s="4">
        <v>997.75</v>
      </c>
      <c r="R54" s="4">
        <v>997.83</v>
      </c>
      <c r="S54" s="4">
        <v>923.54</v>
      </c>
      <c r="T54" s="4">
        <v>1000</v>
      </c>
      <c r="U54" s="4">
        <v>1138</v>
      </c>
      <c r="V54" s="4">
        <v>1078</v>
      </c>
      <c r="W54" s="4">
        <v>962.39</v>
      </c>
      <c r="X54" s="7">
        <v>3.9893652305659437E-2</v>
      </c>
      <c r="Y54" s="8">
        <v>3.5786094837616522E-2</v>
      </c>
      <c r="Z54" s="8">
        <v>1.9749369976129309E-2</v>
      </c>
      <c r="AA54" s="8">
        <v>9.3851007599878855E-3</v>
      </c>
    </row>
    <row r="55" spans="2:27">
      <c r="B55" s="12" t="s">
        <v>79</v>
      </c>
      <c r="C55" s="3" t="s">
        <v>391</v>
      </c>
      <c r="D55" s="3" t="s">
        <v>420</v>
      </c>
      <c r="E55" s="3" t="s">
        <v>397</v>
      </c>
      <c r="F55" s="5">
        <v>0.9</v>
      </c>
      <c r="G55" s="3"/>
      <c r="H55" s="4">
        <v>1172</v>
      </c>
      <c r="I55" s="4">
        <v>1231</v>
      </c>
      <c r="J55" s="4">
        <v>1219</v>
      </c>
      <c r="K55" s="4">
        <v>1248</v>
      </c>
      <c r="L55" s="4">
        <v>1225</v>
      </c>
      <c r="M55" s="4">
        <v>1253</v>
      </c>
      <c r="N55" s="4">
        <v>1255</v>
      </c>
      <c r="O55" s="4">
        <v>1288</v>
      </c>
      <c r="P55" s="4">
        <v>1246</v>
      </c>
      <c r="Q55" s="4">
        <v>1288</v>
      </c>
      <c r="R55" s="4">
        <v>1314</v>
      </c>
      <c r="S55" s="4">
        <v>1345</v>
      </c>
      <c r="T55" s="4">
        <v>1332</v>
      </c>
      <c r="U55" s="4">
        <v>1371</v>
      </c>
      <c r="V55" s="4">
        <v>1404</v>
      </c>
      <c r="W55" s="4">
        <v>1396</v>
      </c>
      <c r="X55" s="7">
        <v>1.656075486231456E-2</v>
      </c>
      <c r="Y55" s="8">
        <v>1.5722674749005568E-2</v>
      </c>
      <c r="Z55" s="8">
        <v>1.6784781797836601E-2</v>
      </c>
      <c r="AA55" s="8">
        <v>9.3543653705061569E-3</v>
      </c>
    </row>
    <row r="56" spans="2:27">
      <c r="B56" s="12" t="s">
        <v>197</v>
      </c>
      <c r="C56" s="3" t="s">
        <v>391</v>
      </c>
      <c r="D56" s="3" t="s">
        <v>416</v>
      </c>
      <c r="E56" s="3" t="s">
        <v>408</v>
      </c>
      <c r="F56" s="5">
        <v>0.9</v>
      </c>
      <c r="G56" s="4">
        <v>106.57</v>
      </c>
      <c r="H56" s="4">
        <v>127.85</v>
      </c>
      <c r="I56" s="4">
        <v>135.47999999999999</v>
      </c>
      <c r="J56" s="4">
        <v>162.68</v>
      </c>
      <c r="K56" s="4">
        <v>126.86</v>
      </c>
      <c r="L56" s="4">
        <v>171.44</v>
      </c>
      <c r="M56" s="4">
        <v>192.37</v>
      </c>
      <c r="N56" s="4">
        <v>208.64</v>
      </c>
      <c r="O56" s="4">
        <v>194.02</v>
      </c>
      <c r="P56" s="6">
        <v>255.11</v>
      </c>
      <c r="Q56" s="6">
        <v>288.17</v>
      </c>
      <c r="R56" s="4">
        <v>275.06</v>
      </c>
      <c r="S56" s="4">
        <v>241.43</v>
      </c>
      <c r="T56" s="4">
        <v>278.63</v>
      </c>
      <c r="U56" s="4">
        <v>286.27</v>
      </c>
      <c r="V56" s="4">
        <v>297.98</v>
      </c>
      <c r="W56" s="4">
        <v>251.18</v>
      </c>
      <c r="X56" s="7">
        <v>2.2193494814912729E-2</v>
      </c>
      <c r="Y56" s="8">
        <v>-1.7539163104987039E-3</v>
      </c>
      <c r="Z56" s="8">
        <v>2.1194943544882161E-2</v>
      </c>
      <c r="AA56" s="8">
        <v>8.8290425695682906E-3</v>
      </c>
    </row>
    <row r="57" spans="2:27">
      <c r="B57" s="12" t="s">
        <v>216</v>
      </c>
      <c r="C57" s="3" t="s">
        <v>391</v>
      </c>
      <c r="D57" s="3" t="s">
        <v>430</v>
      </c>
      <c r="E57" s="3" t="s">
        <v>401</v>
      </c>
      <c r="F57" s="5">
        <v>0.8</v>
      </c>
      <c r="G57" s="4">
        <v>164.51</v>
      </c>
      <c r="H57" s="4">
        <v>171.36</v>
      </c>
      <c r="I57" s="4">
        <v>176.31</v>
      </c>
      <c r="J57" s="4">
        <v>177.43</v>
      </c>
      <c r="K57" s="4">
        <v>179.39</v>
      </c>
      <c r="L57" s="4">
        <v>185.44</v>
      </c>
      <c r="M57" s="4">
        <v>190.25</v>
      </c>
      <c r="N57" s="4">
        <v>195.52</v>
      </c>
      <c r="O57" s="4">
        <v>202.3</v>
      </c>
      <c r="P57" s="4">
        <v>207.23</v>
      </c>
      <c r="Q57" s="4">
        <v>211.72</v>
      </c>
      <c r="R57" s="4">
        <v>224.38</v>
      </c>
      <c r="S57" s="4">
        <v>227.97</v>
      </c>
      <c r="T57" s="4">
        <v>231.51</v>
      </c>
      <c r="U57" s="4">
        <v>234.71</v>
      </c>
      <c r="V57" s="4">
        <v>239.64</v>
      </c>
      <c r="W57" s="4">
        <v>235.63</v>
      </c>
      <c r="X57" s="7">
        <v>2.7866406518994639E-2</v>
      </c>
      <c r="Y57" s="8">
        <v>2.56705151968557E-2</v>
      </c>
      <c r="Z57" s="8">
        <v>1.6612778557975941E-2</v>
      </c>
      <c r="AA57" s="8">
        <v>8.2027778075239866E-3</v>
      </c>
    </row>
    <row r="58" spans="2:27">
      <c r="B58" s="12" t="s">
        <v>329</v>
      </c>
      <c r="C58" s="3" t="s">
        <v>391</v>
      </c>
      <c r="D58" s="3" t="s">
        <v>431</v>
      </c>
      <c r="E58" s="3" t="s">
        <v>397</v>
      </c>
      <c r="F58" s="5">
        <v>0.8</v>
      </c>
      <c r="G58" s="3"/>
      <c r="H58" s="3"/>
      <c r="I58" s="3"/>
      <c r="J58" s="3"/>
      <c r="K58" s="3"/>
      <c r="L58" s="3"/>
      <c r="M58" s="3"/>
      <c r="N58" s="3"/>
      <c r="O58" s="3"/>
      <c r="P58" s="4">
        <v>1051</v>
      </c>
      <c r="Q58" s="4">
        <v>1076</v>
      </c>
      <c r="R58" s="4">
        <v>1058</v>
      </c>
      <c r="S58" s="4">
        <v>1058</v>
      </c>
      <c r="T58" s="4">
        <v>1116</v>
      </c>
      <c r="U58" s="4">
        <v>1125</v>
      </c>
      <c r="V58" s="4">
        <v>1091</v>
      </c>
      <c r="W58" s="4">
        <v>1091</v>
      </c>
      <c r="X58" s="7">
        <v>1.531934951685132E-2</v>
      </c>
      <c r="Y58" s="8">
        <v>1.1374187558031551E-2</v>
      </c>
      <c r="Z58" s="8">
        <v>7.5740188202892966E-3</v>
      </c>
      <c r="AA58" s="8">
        <v>7.5170842824601181E-3</v>
      </c>
    </row>
    <row r="59" spans="2:27">
      <c r="B59" s="12" t="s">
        <v>96</v>
      </c>
      <c r="C59" s="3" t="s">
        <v>391</v>
      </c>
      <c r="D59" s="3" t="s">
        <v>418</v>
      </c>
      <c r="E59" s="3" t="s">
        <v>397</v>
      </c>
      <c r="F59" s="5">
        <v>0.6</v>
      </c>
      <c r="G59" s="4">
        <v>1306</v>
      </c>
      <c r="H59" s="4">
        <v>1263</v>
      </c>
      <c r="I59" s="4">
        <v>1377</v>
      </c>
      <c r="J59" s="4">
        <v>1332</v>
      </c>
      <c r="K59" s="4">
        <v>1505</v>
      </c>
      <c r="L59" s="4">
        <v>1409</v>
      </c>
      <c r="M59" s="4">
        <v>1503</v>
      </c>
      <c r="N59" s="4">
        <v>1409</v>
      </c>
      <c r="O59" s="4">
        <v>1586</v>
      </c>
      <c r="P59" s="4">
        <v>1473</v>
      </c>
      <c r="Q59" s="4">
        <v>1595</v>
      </c>
      <c r="R59" s="4">
        <v>1484</v>
      </c>
      <c r="S59" s="4">
        <v>1715</v>
      </c>
      <c r="T59" s="4">
        <v>1534</v>
      </c>
      <c r="U59" s="4">
        <v>1686</v>
      </c>
      <c r="V59" s="4">
        <v>1524</v>
      </c>
      <c r="W59" s="4">
        <v>1753</v>
      </c>
      <c r="X59" s="7">
        <v>9.7335248125098861E-3</v>
      </c>
      <c r="Y59" s="8">
        <v>1.438053097345127E-2</v>
      </c>
      <c r="Z59" s="8">
        <v>6.231500233681242E-3</v>
      </c>
      <c r="AA59" s="8">
        <v>5.8832636631056534E-3</v>
      </c>
    </row>
    <row r="60" spans="2:27">
      <c r="B60" s="12" t="s">
        <v>295</v>
      </c>
      <c r="C60" s="3" t="s">
        <v>391</v>
      </c>
      <c r="D60" s="3" t="s">
        <v>400</v>
      </c>
      <c r="E60" s="3" t="s">
        <v>408</v>
      </c>
      <c r="F60" s="5">
        <v>0.6</v>
      </c>
      <c r="G60" s="4">
        <v>591.79999999999995</v>
      </c>
      <c r="H60" s="4">
        <v>711.9</v>
      </c>
      <c r="I60" s="4">
        <v>747.4</v>
      </c>
      <c r="J60" s="4">
        <v>723.4</v>
      </c>
      <c r="K60" s="4">
        <v>655.9</v>
      </c>
      <c r="L60" s="4">
        <v>650.4</v>
      </c>
      <c r="M60" s="4">
        <v>766</v>
      </c>
      <c r="N60" s="4">
        <v>743.7</v>
      </c>
      <c r="O60" s="4">
        <v>626.70000000000005</v>
      </c>
      <c r="P60" s="4">
        <v>672.9</v>
      </c>
      <c r="Q60" s="4">
        <v>738.8</v>
      </c>
      <c r="R60" s="4">
        <v>728.7</v>
      </c>
      <c r="S60" s="4">
        <v>599.20000000000005</v>
      </c>
      <c r="T60" s="4">
        <v>662.5</v>
      </c>
      <c r="U60" s="4">
        <v>708.3</v>
      </c>
      <c r="V60" s="4">
        <v>702.8</v>
      </c>
      <c r="W60" s="4">
        <v>614.70000000000005</v>
      </c>
      <c r="X60" s="7">
        <v>-3.7961746240326999E-3</v>
      </c>
      <c r="Y60" s="8">
        <v>-1.117543602520887E-2</v>
      </c>
      <c r="Z60" s="8">
        <v>-9.5972134731535652E-3</v>
      </c>
      <c r="AA60" s="8">
        <v>5.7991619275665762E-3</v>
      </c>
    </row>
    <row r="61" spans="2:27">
      <c r="B61" s="12" t="s">
        <v>176</v>
      </c>
      <c r="C61" s="3" t="s">
        <v>391</v>
      </c>
      <c r="D61" s="3" t="s">
        <v>432</v>
      </c>
      <c r="E61" s="3" t="s">
        <v>393</v>
      </c>
      <c r="F61" s="5">
        <v>0.5</v>
      </c>
      <c r="G61" s="4">
        <v>158.82</v>
      </c>
      <c r="H61" s="4">
        <v>2062</v>
      </c>
      <c r="I61" s="4">
        <v>1050</v>
      </c>
      <c r="J61" s="4">
        <v>179.99</v>
      </c>
      <c r="K61" s="4">
        <v>166.41</v>
      </c>
      <c r="L61" s="4">
        <v>2094</v>
      </c>
      <c r="M61" s="4">
        <v>1032</v>
      </c>
      <c r="N61" s="4">
        <v>183.8</v>
      </c>
      <c r="O61" s="4">
        <v>179.08</v>
      </c>
      <c r="P61" s="4">
        <v>2185</v>
      </c>
      <c r="Q61" s="4">
        <v>1063</v>
      </c>
      <c r="R61" s="4">
        <v>193.81</v>
      </c>
      <c r="S61" s="4">
        <v>179.07</v>
      </c>
      <c r="T61" s="4">
        <v>2277</v>
      </c>
      <c r="U61" s="4">
        <v>1111</v>
      </c>
      <c r="V61" s="4">
        <v>203.55</v>
      </c>
      <c r="W61" s="4">
        <v>198.87</v>
      </c>
      <c r="X61" s="7">
        <v>2.540818806477985E-2</v>
      </c>
      <c r="Y61" s="8">
        <v>1.2927969662364539E-2</v>
      </c>
      <c r="Z61" s="8">
        <v>2.5898194039692961E-3</v>
      </c>
      <c r="AA61" s="8">
        <v>5.2511258095486726E-3</v>
      </c>
    </row>
    <row r="62" spans="2:27">
      <c r="B62" s="12" t="s">
        <v>149</v>
      </c>
      <c r="C62" s="3" t="s">
        <v>391</v>
      </c>
      <c r="D62" s="3" t="s">
        <v>433</v>
      </c>
      <c r="E62" s="3" t="s">
        <v>397</v>
      </c>
      <c r="F62" s="5">
        <v>0.5</v>
      </c>
      <c r="G62" s="4">
        <v>806.07</v>
      </c>
      <c r="H62" s="4">
        <v>798.63</v>
      </c>
      <c r="I62" s="4">
        <v>794.51</v>
      </c>
      <c r="J62" s="4">
        <v>809.55</v>
      </c>
      <c r="K62" s="4">
        <v>0</v>
      </c>
      <c r="L62" s="4">
        <v>787.12</v>
      </c>
      <c r="M62" s="4">
        <v>829.55</v>
      </c>
      <c r="N62" s="4">
        <v>881.6</v>
      </c>
      <c r="O62" s="6">
        <v>866.23</v>
      </c>
      <c r="P62" s="4">
        <v>859.65</v>
      </c>
      <c r="Q62" s="4">
        <v>864.07</v>
      </c>
      <c r="R62" s="4">
        <v>895.48</v>
      </c>
      <c r="S62" s="4">
        <v>860.18</v>
      </c>
      <c r="T62" s="4">
        <v>831.18</v>
      </c>
      <c r="U62" s="4">
        <v>863.74</v>
      </c>
      <c r="V62" s="4">
        <v>914.28</v>
      </c>
      <c r="W62" s="4">
        <v>878.01</v>
      </c>
      <c r="X62" s="7">
        <v>-8.1824922831079672E-3</v>
      </c>
      <c r="Y62" s="8">
        <v>-9.5626950572413882E-5</v>
      </c>
      <c r="Z62" s="8">
        <v>5.4483594062448848E-3</v>
      </c>
      <c r="AA62" s="8">
        <v>5.13924678184563E-3</v>
      </c>
    </row>
    <row r="63" spans="2:27">
      <c r="B63" s="12" t="s">
        <v>188</v>
      </c>
      <c r="C63" s="3" t="s">
        <v>391</v>
      </c>
      <c r="D63" s="3" t="s">
        <v>434</v>
      </c>
      <c r="E63" s="3" t="s">
        <v>393</v>
      </c>
      <c r="F63" s="5">
        <v>0.4</v>
      </c>
      <c r="G63" s="4">
        <v>428.43</v>
      </c>
      <c r="H63" s="4">
        <v>403.49</v>
      </c>
      <c r="I63" s="4">
        <v>452.41</v>
      </c>
      <c r="J63" s="4">
        <v>425.54</v>
      </c>
      <c r="K63" s="4">
        <v>477.39</v>
      </c>
      <c r="L63" s="4">
        <v>464.94</v>
      </c>
      <c r="M63" s="4">
        <v>454.66</v>
      </c>
      <c r="N63" s="4">
        <v>461.57</v>
      </c>
      <c r="O63" s="4">
        <v>485.92</v>
      </c>
      <c r="P63" s="4">
        <v>471.45</v>
      </c>
      <c r="Q63" s="4">
        <v>452.83</v>
      </c>
      <c r="R63" s="4">
        <v>466.56</v>
      </c>
      <c r="S63" s="4">
        <v>509.3</v>
      </c>
      <c r="T63" s="4">
        <v>457.84</v>
      </c>
      <c r="U63" s="4">
        <v>475.43</v>
      </c>
      <c r="V63" s="4">
        <v>493.47</v>
      </c>
      <c r="W63" s="4">
        <v>517.95000000000005</v>
      </c>
      <c r="X63" s="7">
        <v>-7.1626301219909214E-3</v>
      </c>
      <c r="Y63" s="8">
        <v>1.1979666371592311E-2</v>
      </c>
      <c r="Z63" s="8">
        <v>1.4095425665093361E-2</v>
      </c>
      <c r="AA63" s="8">
        <v>4.4678828949815674E-3</v>
      </c>
    </row>
    <row r="64" spans="2:27">
      <c r="B64" s="12" t="s">
        <v>180</v>
      </c>
      <c r="C64" s="3" t="s">
        <v>391</v>
      </c>
      <c r="D64" s="3" t="s">
        <v>435</v>
      </c>
      <c r="E64" s="3" t="s">
        <v>401</v>
      </c>
      <c r="F64" s="5">
        <v>0.4</v>
      </c>
      <c r="G64" s="4">
        <v>534.69000000000005</v>
      </c>
      <c r="H64" s="4">
        <v>638.12</v>
      </c>
      <c r="I64" s="4">
        <v>725.88</v>
      </c>
      <c r="J64" s="4">
        <v>806.83</v>
      </c>
      <c r="K64" s="4">
        <v>582.32000000000005</v>
      </c>
      <c r="L64" s="4">
        <v>491.53</v>
      </c>
      <c r="M64" s="4">
        <v>464.77</v>
      </c>
      <c r="N64" s="4">
        <v>464.24</v>
      </c>
      <c r="O64" s="4">
        <v>559.46</v>
      </c>
      <c r="P64" s="4">
        <v>536.36</v>
      </c>
      <c r="Q64" s="4">
        <v>627.78</v>
      </c>
      <c r="R64" s="4">
        <v>616.88</v>
      </c>
      <c r="S64" s="4">
        <v>644.92999999999995</v>
      </c>
      <c r="T64" s="4">
        <v>593.87</v>
      </c>
      <c r="U64" s="4">
        <v>701.32</v>
      </c>
      <c r="V64" s="4">
        <v>684.43</v>
      </c>
      <c r="W64" s="4">
        <v>656.61</v>
      </c>
      <c r="X64" s="7">
        <v>2.370617696160271E-2</v>
      </c>
      <c r="Y64" s="8">
        <v>2.961191241252115E-2</v>
      </c>
      <c r="Z64" s="8">
        <v>2.6417676965193589E-2</v>
      </c>
      <c r="AA64" s="8">
        <v>4.4502867158178194E-3</v>
      </c>
    </row>
    <row r="65" spans="2:27">
      <c r="B65" s="12" t="s">
        <v>199</v>
      </c>
      <c r="C65" s="3" t="s">
        <v>391</v>
      </c>
      <c r="D65" s="3" t="s">
        <v>434</v>
      </c>
      <c r="E65" s="3" t="s">
        <v>408</v>
      </c>
      <c r="F65" s="5">
        <v>0.2</v>
      </c>
      <c r="G65" s="4">
        <v>306.5</v>
      </c>
      <c r="H65" s="4">
        <v>315.2</v>
      </c>
      <c r="I65" s="4">
        <v>370.6</v>
      </c>
      <c r="J65" s="4">
        <v>379.2</v>
      </c>
      <c r="K65" s="4">
        <v>362.7</v>
      </c>
      <c r="L65" s="4">
        <v>385.6</v>
      </c>
      <c r="M65" s="4">
        <v>445.9</v>
      </c>
      <c r="N65" s="4">
        <v>472.6</v>
      </c>
      <c r="O65" s="4">
        <v>430.4</v>
      </c>
      <c r="P65" s="4">
        <v>494.6</v>
      </c>
      <c r="Q65" s="4">
        <v>515.4</v>
      </c>
      <c r="R65" s="4">
        <v>555.79999999999995</v>
      </c>
      <c r="S65" s="4">
        <v>532.9</v>
      </c>
      <c r="T65" s="4">
        <v>588</v>
      </c>
      <c r="U65" s="4">
        <v>547.5</v>
      </c>
      <c r="V65" s="4">
        <v>648.20000000000005</v>
      </c>
      <c r="W65" s="4">
        <v>537.29999999999995</v>
      </c>
      <c r="X65" s="7">
        <v>4.4503740410730457E-2</v>
      </c>
      <c r="Y65" s="8">
        <v>1.4643492541398521E-2</v>
      </c>
      <c r="Z65" s="8">
        <v>4.1543026706231563E-2</v>
      </c>
      <c r="AA65" s="8">
        <v>1.899335232668609E-3</v>
      </c>
    </row>
    <row r="66" spans="2:27">
      <c r="B66" s="12" t="s">
        <v>190</v>
      </c>
      <c r="C66" s="3" t="s">
        <v>391</v>
      </c>
      <c r="D66" s="3" t="s">
        <v>395</v>
      </c>
      <c r="E66" s="3" t="s">
        <v>397</v>
      </c>
      <c r="F66" s="5">
        <v>0.1</v>
      </c>
      <c r="G66" s="4">
        <v>1988</v>
      </c>
      <c r="H66" s="4">
        <v>2245</v>
      </c>
      <c r="I66" s="4">
        <v>2358</v>
      </c>
      <c r="J66" s="4">
        <v>2451</v>
      </c>
      <c r="K66" s="4">
        <v>2386</v>
      </c>
      <c r="L66" s="4">
        <v>2438</v>
      </c>
      <c r="M66" s="4">
        <v>2392</v>
      </c>
      <c r="N66" s="4">
        <v>2349</v>
      </c>
      <c r="O66" s="4">
        <v>2249</v>
      </c>
      <c r="P66" s="4">
        <v>2259</v>
      </c>
      <c r="Q66" s="4">
        <v>2237</v>
      </c>
      <c r="R66" s="4">
        <v>2216</v>
      </c>
      <c r="S66" s="4">
        <v>2095</v>
      </c>
      <c r="T66" s="4">
        <v>2120</v>
      </c>
      <c r="U66" s="4">
        <v>2204</v>
      </c>
      <c r="V66" s="4">
        <v>2190</v>
      </c>
      <c r="W66" s="4">
        <v>2103</v>
      </c>
      <c r="X66" s="7">
        <v>-1.5782899965936181E-2</v>
      </c>
      <c r="Y66" s="8">
        <v>-3.8071065989847548E-3</v>
      </c>
      <c r="Z66" s="8">
        <v>-3.011001737116437E-3</v>
      </c>
      <c r="AA66" s="8">
        <v>9.2926007666394028E-4</v>
      </c>
    </row>
    <row r="67" spans="2:27">
      <c r="B67" s="12" t="s">
        <v>132</v>
      </c>
      <c r="C67" s="3" t="s">
        <v>391</v>
      </c>
      <c r="D67" s="3" t="s">
        <v>429</v>
      </c>
      <c r="E67" s="3" t="s">
        <v>397</v>
      </c>
      <c r="F67" s="5">
        <v>0.1</v>
      </c>
      <c r="G67" s="4">
        <v>765.4</v>
      </c>
      <c r="H67" s="4">
        <v>834.1</v>
      </c>
      <c r="I67" s="4">
        <v>959.5</v>
      </c>
      <c r="J67" s="4">
        <v>1032</v>
      </c>
      <c r="K67" s="4">
        <v>1010</v>
      </c>
      <c r="L67" s="4">
        <v>1038</v>
      </c>
      <c r="M67" s="4">
        <v>1046</v>
      </c>
      <c r="N67" s="4">
        <v>1026</v>
      </c>
      <c r="O67" s="4">
        <v>1064</v>
      </c>
      <c r="P67" s="4">
        <v>1043</v>
      </c>
      <c r="Q67" s="4">
        <v>1095</v>
      </c>
      <c r="R67" s="4">
        <v>1051</v>
      </c>
      <c r="S67" s="4">
        <v>1173</v>
      </c>
      <c r="T67" s="4">
        <v>1144</v>
      </c>
      <c r="U67" s="4">
        <v>1140</v>
      </c>
      <c r="V67" s="4">
        <v>1126</v>
      </c>
      <c r="W67" s="4">
        <v>1177</v>
      </c>
      <c r="X67" s="7">
        <v>2.3154516276937102E-2</v>
      </c>
      <c r="Y67" s="8">
        <v>1.008290387631638E-2</v>
      </c>
      <c r="Z67" s="8">
        <v>1.6637089618455999E-2</v>
      </c>
      <c r="AA67" s="8">
        <v>8.7279074841806192E-4</v>
      </c>
    </row>
    <row r="68" spans="2:27">
      <c r="B68" s="12" t="s">
        <v>43</v>
      </c>
      <c r="C68" s="3" t="s">
        <v>391</v>
      </c>
      <c r="D68" s="3" t="s">
        <v>436</v>
      </c>
      <c r="E68" s="3" t="s">
        <v>397</v>
      </c>
      <c r="F68" s="5">
        <v>-0.1</v>
      </c>
      <c r="G68" s="4">
        <v>35438</v>
      </c>
      <c r="H68" s="4">
        <v>38260</v>
      </c>
      <c r="I68" s="4">
        <v>54052</v>
      </c>
      <c r="J68" s="4">
        <v>46006</v>
      </c>
      <c r="K68" s="4">
        <v>0</v>
      </c>
      <c r="L68" s="4">
        <v>34941</v>
      </c>
      <c r="M68" s="4">
        <v>36612</v>
      </c>
      <c r="N68" s="4">
        <v>41258</v>
      </c>
      <c r="O68" s="6">
        <v>36537</v>
      </c>
      <c r="P68" s="4">
        <v>32987</v>
      </c>
      <c r="Q68" s="4">
        <v>37990</v>
      </c>
      <c r="R68" s="4">
        <v>35156</v>
      </c>
      <c r="S68" s="4">
        <v>33203</v>
      </c>
      <c r="T68" s="4">
        <v>31620</v>
      </c>
      <c r="U68" s="4">
        <v>33883</v>
      </c>
      <c r="V68" s="4">
        <v>34875</v>
      </c>
      <c r="W68" s="4">
        <v>33049</v>
      </c>
      <c r="X68" s="7">
        <v>-9.8108170178561327E-3</v>
      </c>
      <c r="Y68" s="8">
        <v>-2.976755648007889E-2</v>
      </c>
      <c r="Z68" s="8">
        <v>-2.0991767641301839E-3</v>
      </c>
      <c r="AA68" s="8">
        <v>-1.152858565215076E-3</v>
      </c>
    </row>
    <row r="69" spans="2:27">
      <c r="B69" s="12" t="s">
        <v>108</v>
      </c>
      <c r="C69" s="3" t="s">
        <v>391</v>
      </c>
      <c r="D69" s="3" t="s">
        <v>437</v>
      </c>
      <c r="E69" s="3" t="s">
        <v>393</v>
      </c>
      <c r="F69" s="5">
        <v>-0.2</v>
      </c>
      <c r="G69" s="4">
        <v>1691</v>
      </c>
      <c r="H69" s="4">
        <v>1809</v>
      </c>
      <c r="I69" s="4">
        <v>1801</v>
      </c>
      <c r="J69" s="4">
        <v>1740</v>
      </c>
      <c r="K69" s="4">
        <v>1715</v>
      </c>
      <c r="L69" s="4">
        <v>1915</v>
      </c>
      <c r="M69" s="4">
        <v>2019</v>
      </c>
      <c r="N69" s="4">
        <v>1386</v>
      </c>
      <c r="O69" s="4">
        <v>1990</v>
      </c>
      <c r="P69" s="4">
        <v>1814</v>
      </c>
      <c r="Q69" s="4">
        <v>1903</v>
      </c>
      <c r="R69" s="4">
        <v>1762</v>
      </c>
      <c r="S69" s="4">
        <v>1686</v>
      </c>
      <c r="T69" s="4">
        <v>1668</v>
      </c>
      <c r="U69" s="4">
        <v>1988</v>
      </c>
      <c r="V69" s="4">
        <v>1429</v>
      </c>
      <c r="W69" s="4">
        <v>1673</v>
      </c>
      <c r="X69" s="7">
        <v>-2.0376831821353861E-2</v>
      </c>
      <c r="Y69" s="8">
        <v>1.2109987177660649E-2</v>
      </c>
      <c r="Z69" s="8">
        <v>-4.6875E-2</v>
      </c>
      <c r="AA69" s="8">
        <v>-1.9199527396248639E-3</v>
      </c>
    </row>
    <row r="70" spans="2:27">
      <c r="B70" s="12" t="s">
        <v>246</v>
      </c>
      <c r="C70" s="3" t="s">
        <v>391</v>
      </c>
      <c r="D70" s="3" t="s">
        <v>416</v>
      </c>
      <c r="E70" s="3" t="s">
        <v>408</v>
      </c>
      <c r="F70" s="5">
        <v>-0.2</v>
      </c>
      <c r="G70" s="4">
        <v>840.8</v>
      </c>
      <c r="H70" s="4">
        <v>982.57</v>
      </c>
      <c r="I70" s="4">
        <v>1062</v>
      </c>
      <c r="J70" s="4">
        <v>1029</v>
      </c>
      <c r="K70" s="4">
        <v>833.82</v>
      </c>
      <c r="L70" s="4">
        <v>895.93</v>
      </c>
      <c r="M70" s="4">
        <v>919.12</v>
      </c>
      <c r="N70" s="4">
        <v>869.89</v>
      </c>
      <c r="O70" s="4">
        <v>798.48</v>
      </c>
      <c r="P70" s="4">
        <v>792.91</v>
      </c>
      <c r="Q70" s="4">
        <v>822.36</v>
      </c>
      <c r="R70" s="4">
        <v>788.3</v>
      </c>
      <c r="S70" s="4">
        <v>661.6</v>
      </c>
      <c r="T70" s="4">
        <v>701.73</v>
      </c>
      <c r="U70" s="4">
        <v>735.05</v>
      </c>
      <c r="V70" s="4">
        <v>752.01</v>
      </c>
      <c r="W70" s="4">
        <v>655.55</v>
      </c>
      <c r="X70" s="7">
        <v>-2.9747126586779919E-2</v>
      </c>
      <c r="Y70" s="8">
        <v>-2.9357866031829331E-2</v>
      </c>
      <c r="Z70" s="8">
        <v>-1.257153546634893E-2</v>
      </c>
      <c r="AA70" s="8">
        <v>-2.1225165679081841E-3</v>
      </c>
    </row>
    <row r="71" spans="2:27">
      <c r="B71" s="12" t="s">
        <v>124</v>
      </c>
      <c r="C71" s="3" t="s">
        <v>391</v>
      </c>
      <c r="D71" s="3" t="s">
        <v>424</v>
      </c>
      <c r="E71" s="3" t="s">
        <v>397</v>
      </c>
      <c r="F71" s="5">
        <v>-0.2</v>
      </c>
      <c r="G71" s="4">
        <v>1718</v>
      </c>
      <c r="H71" s="4">
        <v>1549</v>
      </c>
      <c r="I71" s="4">
        <v>1492</v>
      </c>
      <c r="J71" s="4">
        <v>1922</v>
      </c>
      <c r="K71" s="4">
        <v>1847</v>
      </c>
      <c r="L71" s="4">
        <v>1645</v>
      </c>
      <c r="M71" s="4">
        <v>1749</v>
      </c>
      <c r="N71" s="4">
        <v>2070</v>
      </c>
      <c r="O71" s="4">
        <v>1988</v>
      </c>
      <c r="P71" s="4">
        <v>1814</v>
      </c>
      <c r="Q71" s="4">
        <v>1824</v>
      </c>
      <c r="R71" s="4">
        <v>2290</v>
      </c>
      <c r="S71" s="4">
        <v>2082</v>
      </c>
      <c r="T71" s="4">
        <v>1788</v>
      </c>
      <c r="U71" s="4">
        <v>1869</v>
      </c>
      <c r="V71" s="4">
        <v>2272</v>
      </c>
      <c r="W71" s="4">
        <v>2063</v>
      </c>
      <c r="X71" s="7">
        <v>-3.2459425717852319E-3</v>
      </c>
      <c r="Y71" s="8">
        <v>5.6362725450902476E-3</v>
      </c>
      <c r="Z71" s="8">
        <v>-2.241873209615108E-3</v>
      </c>
      <c r="AA71" s="8">
        <v>-2.3717388590688282E-3</v>
      </c>
    </row>
    <row r="72" spans="2:27">
      <c r="B72" s="12" t="s">
        <v>18</v>
      </c>
      <c r="C72" s="3" t="s">
        <v>391</v>
      </c>
      <c r="D72" s="3" t="s">
        <v>421</v>
      </c>
      <c r="E72" s="3" t="s">
        <v>397</v>
      </c>
      <c r="F72" s="5">
        <v>-0.3</v>
      </c>
      <c r="G72" s="4">
        <v>23838</v>
      </c>
      <c r="H72" s="4">
        <v>25661</v>
      </c>
      <c r="I72" s="4">
        <v>27742</v>
      </c>
      <c r="J72" s="4">
        <v>22638</v>
      </c>
      <c r="K72" s="4">
        <v>24290</v>
      </c>
      <c r="L72" s="4">
        <v>18485</v>
      </c>
      <c r="M72" s="4">
        <v>13007</v>
      </c>
      <c r="N72" s="4">
        <v>13492</v>
      </c>
      <c r="O72" s="4">
        <v>14569</v>
      </c>
      <c r="P72" s="4">
        <v>14878</v>
      </c>
      <c r="Q72" s="4">
        <v>13283</v>
      </c>
      <c r="R72" s="4">
        <v>17702</v>
      </c>
      <c r="S72" s="4">
        <v>17764</v>
      </c>
      <c r="T72" s="4">
        <v>13715</v>
      </c>
      <c r="U72" s="4">
        <v>14653</v>
      </c>
      <c r="V72" s="4">
        <v>16654</v>
      </c>
      <c r="W72" s="4">
        <v>17557</v>
      </c>
      <c r="X72" s="7">
        <v>-1.8278403822276749E-2</v>
      </c>
      <c r="Y72" s="8">
        <v>2.1932633196721341E-2</v>
      </c>
      <c r="Z72" s="8">
        <v>-1.6417583106181691E-2</v>
      </c>
      <c r="AA72" s="8">
        <v>-3.2969133246265598E-3</v>
      </c>
    </row>
    <row r="73" spans="2:27">
      <c r="B73" s="12" t="s">
        <v>267</v>
      </c>
      <c r="C73" s="3" t="s">
        <v>391</v>
      </c>
      <c r="D73" s="3" t="s">
        <v>438</v>
      </c>
      <c r="E73" s="3" t="s">
        <v>408</v>
      </c>
      <c r="F73" s="5">
        <v>-0.4</v>
      </c>
      <c r="G73" s="4">
        <v>664.48</v>
      </c>
      <c r="H73" s="4">
        <v>399.78</v>
      </c>
      <c r="I73" s="4">
        <v>371.78</v>
      </c>
      <c r="J73" s="4">
        <v>316.29000000000002</v>
      </c>
      <c r="K73" s="4">
        <v>672.58</v>
      </c>
      <c r="L73" s="4">
        <v>304.17</v>
      </c>
      <c r="M73" s="4">
        <v>373.36</v>
      </c>
      <c r="N73" s="4">
        <v>305.14999999999998</v>
      </c>
      <c r="O73" s="4">
        <v>612.87</v>
      </c>
      <c r="P73" s="4">
        <v>252.66</v>
      </c>
      <c r="Q73" s="4">
        <v>397.15</v>
      </c>
      <c r="R73" s="4">
        <v>255.38</v>
      </c>
      <c r="S73" s="4">
        <v>550.86</v>
      </c>
      <c r="T73" s="4">
        <v>259.76</v>
      </c>
      <c r="U73" s="4">
        <v>344.76</v>
      </c>
      <c r="V73" s="4">
        <v>287.89999999999998</v>
      </c>
      <c r="W73" s="4">
        <v>545.66</v>
      </c>
      <c r="X73" s="7">
        <v>4.8762061742386731E-3</v>
      </c>
      <c r="Y73" s="8">
        <v>-3.5806308307419037E-2</v>
      </c>
      <c r="Z73" s="8">
        <v>2.305140491649893E-2</v>
      </c>
      <c r="AA73" s="8">
        <v>-3.6029044953163059E-3</v>
      </c>
    </row>
    <row r="74" spans="2:27">
      <c r="B74" s="12" t="s">
        <v>55</v>
      </c>
      <c r="C74" s="3" t="s">
        <v>391</v>
      </c>
      <c r="D74" s="3" t="s">
        <v>439</v>
      </c>
      <c r="E74" s="3" t="s">
        <v>397</v>
      </c>
      <c r="F74" s="5">
        <v>-0.4</v>
      </c>
      <c r="G74" s="4">
        <v>3479</v>
      </c>
      <c r="H74" s="4">
        <v>4601</v>
      </c>
      <c r="I74" s="4">
        <v>6252</v>
      </c>
      <c r="J74" s="4">
        <v>2777</v>
      </c>
      <c r="K74" s="4">
        <v>0</v>
      </c>
      <c r="L74" s="4">
        <v>4884</v>
      </c>
      <c r="M74" s="4">
        <v>6045</v>
      </c>
      <c r="N74" s="4">
        <v>2590</v>
      </c>
      <c r="O74" s="6">
        <v>3707</v>
      </c>
      <c r="P74" s="4">
        <v>4492</v>
      </c>
      <c r="Q74" s="4">
        <v>6112</v>
      </c>
      <c r="R74" s="4">
        <v>2326</v>
      </c>
      <c r="S74" s="4">
        <v>3978</v>
      </c>
      <c r="T74" s="4">
        <v>4417</v>
      </c>
      <c r="U74" s="4">
        <v>6456</v>
      </c>
      <c r="V74" s="4">
        <v>2618</v>
      </c>
      <c r="W74" s="4">
        <v>3910</v>
      </c>
      <c r="X74" s="7">
        <v>-4.435770049680654E-3</v>
      </c>
      <c r="Y74" s="8">
        <v>2.043604823857903E-2</v>
      </c>
      <c r="Z74" s="8">
        <v>1.6999476043546569E-2</v>
      </c>
      <c r="AA74" s="8">
        <v>-3.892609765871025E-3</v>
      </c>
    </row>
    <row r="75" spans="2:27">
      <c r="B75" s="12" t="s">
        <v>303</v>
      </c>
      <c r="C75" s="3" t="s">
        <v>391</v>
      </c>
      <c r="D75" s="3" t="s">
        <v>440</v>
      </c>
      <c r="E75" s="3" t="s">
        <v>397</v>
      </c>
      <c r="F75" s="5">
        <v>-0.5</v>
      </c>
      <c r="G75" s="4">
        <v>100.92</v>
      </c>
      <c r="H75" s="4">
        <v>100.66</v>
      </c>
      <c r="I75" s="4">
        <v>103.23</v>
      </c>
      <c r="J75" s="4">
        <v>109.79</v>
      </c>
      <c r="K75" s="4">
        <v>104.88</v>
      </c>
      <c r="L75" s="4">
        <v>106.78</v>
      </c>
      <c r="M75" s="4">
        <v>108.71</v>
      </c>
      <c r="N75" s="4">
        <v>110.05</v>
      </c>
      <c r="O75" s="4">
        <v>111.24</v>
      </c>
      <c r="P75" s="4">
        <v>109.66</v>
      </c>
      <c r="Q75" s="4">
        <v>109.85</v>
      </c>
      <c r="R75" s="4">
        <v>121.65</v>
      </c>
      <c r="S75" s="4">
        <v>112.18</v>
      </c>
      <c r="T75" s="4">
        <v>107.6</v>
      </c>
      <c r="U75" s="4">
        <v>106.88</v>
      </c>
      <c r="V75" s="4">
        <v>108.5</v>
      </c>
      <c r="W75" s="4">
        <v>110.09</v>
      </c>
      <c r="X75" s="7">
        <v>-4.5440508227821974E-3</v>
      </c>
      <c r="Y75" s="8">
        <v>-6.5812799149086443E-3</v>
      </c>
      <c r="Z75" s="8">
        <v>-2.9332381610938981E-2</v>
      </c>
      <c r="AA75" s="8">
        <v>-4.8028311425681869E-3</v>
      </c>
    </row>
    <row r="76" spans="2:27">
      <c r="B76" s="12" t="s">
        <v>160</v>
      </c>
      <c r="C76" s="3" t="s">
        <v>391</v>
      </c>
      <c r="D76" s="3" t="s">
        <v>434</v>
      </c>
      <c r="E76" s="3" t="s">
        <v>397</v>
      </c>
      <c r="F76" s="5">
        <v>-0.6</v>
      </c>
      <c r="G76" s="4">
        <v>1755</v>
      </c>
      <c r="H76" s="4">
        <v>1892</v>
      </c>
      <c r="I76" s="4">
        <v>2044</v>
      </c>
      <c r="J76" s="4">
        <v>2023</v>
      </c>
      <c r="K76" s="4">
        <v>1987</v>
      </c>
      <c r="L76" s="4">
        <v>2137</v>
      </c>
      <c r="M76" s="4">
        <v>2069</v>
      </c>
      <c r="N76" s="4">
        <v>2033</v>
      </c>
      <c r="O76" s="4">
        <v>1921</v>
      </c>
      <c r="P76" s="4">
        <v>1882</v>
      </c>
      <c r="Q76" s="4">
        <v>1878</v>
      </c>
      <c r="R76" s="4">
        <v>1870</v>
      </c>
      <c r="S76" s="4">
        <v>1800</v>
      </c>
      <c r="T76" s="4">
        <v>1813</v>
      </c>
      <c r="U76" s="4">
        <v>1833</v>
      </c>
      <c r="V76" s="4">
        <v>1816</v>
      </c>
      <c r="W76" s="4">
        <v>1757</v>
      </c>
      <c r="X76" s="7">
        <v>-9.2866756393000793E-3</v>
      </c>
      <c r="Y76" s="8">
        <v>-6.113299823393592E-3</v>
      </c>
      <c r="Z76" s="8">
        <v>-7.3810825587752324E-3</v>
      </c>
      <c r="AA76" s="8">
        <v>-5.9212338198842973E-3</v>
      </c>
    </row>
    <row r="77" spans="2:27">
      <c r="B77" s="12" t="s">
        <v>34</v>
      </c>
      <c r="C77" s="3" t="s">
        <v>391</v>
      </c>
      <c r="D77" s="3" t="s">
        <v>413</v>
      </c>
      <c r="E77" s="3" t="s">
        <v>397</v>
      </c>
      <c r="F77" s="5">
        <v>-0.8</v>
      </c>
      <c r="G77" s="4">
        <v>11370</v>
      </c>
      <c r="H77" s="4">
        <v>13008</v>
      </c>
      <c r="I77" s="4">
        <v>16060</v>
      </c>
      <c r="J77" s="4">
        <v>15468</v>
      </c>
      <c r="K77" s="4">
        <v>13650</v>
      </c>
      <c r="L77" s="4">
        <v>12444</v>
      </c>
      <c r="M77" s="4">
        <v>10651</v>
      </c>
      <c r="N77" s="4">
        <v>11998</v>
      </c>
      <c r="O77" s="4">
        <v>14622</v>
      </c>
      <c r="P77" s="4">
        <v>14760</v>
      </c>
      <c r="Q77" s="4">
        <v>13483</v>
      </c>
      <c r="R77" s="4">
        <v>13775</v>
      </c>
      <c r="S77" s="4">
        <v>14201</v>
      </c>
      <c r="T77" s="4">
        <v>15417</v>
      </c>
      <c r="U77" s="4">
        <v>11363</v>
      </c>
      <c r="V77" s="4">
        <v>12023</v>
      </c>
      <c r="W77" s="4">
        <v>13793</v>
      </c>
      <c r="X77" s="7">
        <v>1.1686440527223899E-2</v>
      </c>
      <c r="Y77" s="8">
        <v>-3.7274069906463203E-2</v>
      </c>
      <c r="Z77" s="8">
        <v>-3.1996493534955039E-2</v>
      </c>
      <c r="AA77" s="8">
        <v>-7.6975322617161002E-3</v>
      </c>
    </row>
    <row r="78" spans="2:27">
      <c r="B78" s="12" t="s">
        <v>229</v>
      </c>
      <c r="C78" s="3" t="s">
        <v>391</v>
      </c>
      <c r="D78" s="3" t="s">
        <v>441</v>
      </c>
      <c r="E78" s="3" t="s">
        <v>397</v>
      </c>
      <c r="F78" s="5">
        <v>-0.8</v>
      </c>
      <c r="G78" s="4">
        <v>1130</v>
      </c>
      <c r="H78" s="4">
        <v>761.51</v>
      </c>
      <c r="I78" s="4">
        <v>578.05999999999995</v>
      </c>
      <c r="J78" s="4">
        <v>955.06</v>
      </c>
      <c r="K78" s="4">
        <v>1170</v>
      </c>
      <c r="L78" s="4">
        <v>820.59</v>
      </c>
      <c r="M78" s="4">
        <v>620.92999999999995</v>
      </c>
      <c r="N78" s="4">
        <v>985.68</v>
      </c>
      <c r="O78" s="4">
        <v>1060</v>
      </c>
      <c r="P78" s="4">
        <v>769.98</v>
      </c>
      <c r="Q78" s="4">
        <v>570.24</v>
      </c>
      <c r="R78" s="4">
        <v>931.77</v>
      </c>
      <c r="S78" s="4">
        <v>1097</v>
      </c>
      <c r="T78" s="4">
        <v>778.45</v>
      </c>
      <c r="U78" s="4">
        <v>605.25</v>
      </c>
      <c r="V78" s="4">
        <v>943.43</v>
      </c>
      <c r="W78" s="4">
        <v>1070</v>
      </c>
      <c r="X78" s="7">
        <v>2.514106601681831E-3</v>
      </c>
      <c r="Y78" s="8">
        <v>1.0365777833046151E-2</v>
      </c>
      <c r="Z78" s="8">
        <v>3.4168798553539941E-3</v>
      </c>
      <c r="AA78" s="8">
        <v>-7.8852146384629229E-3</v>
      </c>
    </row>
    <row r="79" spans="2:27">
      <c r="B79" s="12" t="s">
        <v>68</v>
      </c>
      <c r="C79" s="3" t="s">
        <v>391</v>
      </c>
      <c r="D79" s="3" t="s">
        <v>430</v>
      </c>
      <c r="E79" s="3" t="s">
        <v>397</v>
      </c>
      <c r="F79" s="5">
        <v>-1</v>
      </c>
      <c r="G79" s="4">
        <v>0</v>
      </c>
      <c r="H79" s="4">
        <v>2160</v>
      </c>
      <c r="I79" s="4">
        <v>2031</v>
      </c>
      <c r="J79" s="4">
        <v>1953</v>
      </c>
      <c r="K79" s="6">
        <v>2722</v>
      </c>
      <c r="L79" s="4">
        <v>2244</v>
      </c>
      <c r="M79" s="4">
        <v>2159</v>
      </c>
      <c r="N79" s="4">
        <v>2166</v>
      </c>
      <c r="O79" s="4">
        <v>2914</v>
      </c>
      <c r="P79" s="4">
        <v>2341</v>
      </c>
      <c r="Q79" s="4">
        <v>2265</v>
      </c>
      <c r="R79" s="4">
        <v>2289</v>
      </c>
      <c r="S79" s="4">
        <v>3035</v>
      </c>
      <c r="T79" s="4">
        <v>2223</v>
      </c>
      <c r="U79" s="4">
        <v>2261</v>
      </c>
      <c r="V79" s="4">
        <v>2288</v>
      </c>
      <c r="W79" s="4">
        <v>2936</v>
      </c>
      <c r="X79" s="7">
        <v>-1.1883182275931549E-2</v>
      </c>
      <c r="Y79" s="8">
        <v>-4.0766408479409039E-4</v>
      </c>
      <c r="Z79" s="8">
        <v>-1.019575856443522E-4</v>
      </c>
      <c r="AA79" s="8">
        <v>-1.009483022330993E-2</v>
      </c>
    </row>
    <row r="80" spans="2:27">
      <c r="B80" s="12" t="s">
        <v>186</v>
      </c>
      <c r="C80" s="3" t="s">
        <v>391</v>
      </c>
      <c r="D80" s="3" t="s">
        <v>399</v>
      </c>
      <c r="E80" s="3" t="s">
        <v>397</v>
      </c>
      <c r="F80" s="5">
        <v>-1</v>
      </c>
      <c r="G80" s="4">
        <v>965</v>
      </c>
      <c r="H80" s="4">
        <v>938</v>
      </c>
      <c r="I80" s="4">
        <v>1064</v>
      </c>
      <c r="J80" s="4">
        <v>1120</v>
      </c>
      <c r="K80" s="4">
        <v>1209</v>
      </c>
      <c r="L80" s="4">
        <v>1186</v>
      </c>
      <c r="M80" s="4">
        <v>1274</v>
      </c>
      <c r="N80" s="4">
        <v>1313</v>
      </c>
      <c r="O80" s="4">
        <v>1362</v>
      </c>
      <c r="P80" s="4">
        <v>1358</v>
      </c>
      <c r="Q80" s="4">
        <v>1405</v>
      </c>
      <c r="R80" s="4">
        <v>1409</v>
      </c>
      <c r="S80" s="4">
        <v>1341</v>
      </c>
      <c r="T80" s="4">
        <v>1193</v>
      </c>
      <c r="U80" s="4">
        <v>1204</v>
      </c>
      <c r="V80" s="4">
        <v>1232</v>
      </c>
      <c r="W80" s="4">
        <v>1289</v>
      </c>
      <c r="X80" s="7">
        <v>-2.9929258117177619E-2</v>
      </c>
      <c r="Y80" s="8">
        <v>-3.7584143605086003E-2</v>
      </c>
      <c r="Z80" s="8">
        <v>-3.4388964445307917E-2</v>
      </c>
      <c r="AA80" s="8">
        <v>-1.046277665995976E-2</v>
      </c>
    </row>
    <row r="81" spans="2:27">
      <c r="B81" s="12" t="s">
        <v>262</v>
      </c>
      <c r="C81" s="3" t="s">
        <v>391</v>
      </c>
      <c r="D81" s="3" t="s">
        <v>434</v>
      </c>
      <c r="E81" s="3" t="s">
        <v>408</v>
      </c>
      <c r="F81" s="5">
        <v>-1.2</v>
      </c>
      <c r="G81" s="4">
        <v>318.49</v>
      </c>
      <c r="H81" s="4">
        <v>281.51</v>
      </c>
      <c r="I81" s="4">
        <v>380.23</v>
      </c>
      <c r="J81" s="4">
        <v>400.43</v>
      </c>
      <c r="K81" s="4">
        <v>351.34</v>
      </c>
      <c r="L81" s="4">
        <v>337.85</v>
      </c>
      <c r="M81" s="4">
        <v>425.77</v>
      </c>
      <c r="N81" s="4">
        <v>443.86</v>
      </c>
      <c r="O81" s="4">
        <v>348.31</v>
      </c>
      <c r="P81" s="4">
        <v>359.73</v>
      </c>
      <c r="Q81" s="4">
        <v>439.96</v>
      </c>
      <c r="R81" s="4">
        <v>426.76</v>
      </c>
      <c r="S81" s="4">
        <v>362.6</v>
      </c>
      <c r="T81" s="4">
        <v>356.1</v>
      </c>
      <c r="U81" s="4">
        <v>454.29</v>
      </c>
      <c r="V81" s="4">
        <v>410.24</v>
      </c>
      <c r="W81" s="4">
        <v>343.78</v>
      </c>
      <c r="X81" s="7">
        <v>-2.2843837512979141E-3</v>
      </c>
      <c r="Y81" s="8">
        <v>9.0386143734781932E-3</v>
      </c>
      <c r="Z81" s="8">
        <v>-1.032661353336461E-2</v>
      </c>
      <c r="AA81" s="8">
        <v>-1.188709157860823E-2</v>
      </c>
    </row>
    <row r="82" spans="2:27">
      <c r="B82" s="12" t="s">
        <v>51</v>
      </c>
      <c r="C82" s="3" t="s">
        <v>391</v>
      </c>
      <c r="D82" s="3" t="s">
        <v>403</v>
      </c>
      <c r="E82" s="3" t="s">
        <v>393</v>
      </c>
      <c r="F82" s="5">
        <v>-2.5</v>
      </c>
      <c r="G82" s="4">
        <v>1826</v>
      </c>
      <c r="H82" s="4">
        <v>1789</v>
      </c>
      <c r="I82" s="4">
        <v>1825</v>
      </c>
      <c r="J82" s="4">
        <v>1767</v>
      </c>
      <c r="K82" s="4">
        <v>1904</v>
      </c>
      <c r="L82" s="4">
        <v>1881</v>
      </c>
      <c r="M82" s="4">
        <v>1874</v>
      </c>
      <c r="N82" s="4">
        <v>1924</v>
      </c>
      <c r="O82" s="4">
        <v>1914</v>
      </c>
      <c r="P82" s="4">
        <v>1945</v>
      </c>
      <c r="Q82" s="4">
        <v>1779</v>
      </c>
      <c r="R82" s="4">
        <v>1660</v>
      </c>
      <c r="S82" s="4">
        <v>2025</v>
      </c>
      <c r="T82" s="4">
        <v>1883</v>
      </c>
      <c r="U82" s="4">
        <v>1895</v>
      </c>
      <c r="V82" s="4">
        <v>1671</v>
      </c>
      <c r="W82" s="4">
        <v>1839</v>
      </c>
      <c r="X82" s="7">
        <v>-8.3682008368201055E-3</v>
      </c>
      <c r="Y82" s="8">
        <v>1.5788757315911232E-2</v>
      </c>
      <c r="Z82" s="8">
        <v>1.473938094600058E-3</v>
      </c>
      <c r="AA82" s="8">
        <v>-2.488627241102492E-2</v>
      </c>
    </row>
    <row r="83" spans="2:27">
      <c r="B83" s="12" t="s">
        <v>184</v>
      </c>
      <c r="C83" s="3" t="s">
        <v>391</v>
      </c>
      <c r="D83" s="3" t="s">
        <v>442</v>
      </c>
      <c r="E83" s="3" t="s">
        <v>397</v>
      </c>
      <c r="F83" s="5">
        <v>-2.6</v>
      </c>
      <c r="G83" s="4">
        <v>412.72</v>
      </c>
      <c r="H83" s="4">
        <v>441.29</v>
      </c>
      <c r="I83" s="4">
        <v>530.20000000000005</v>
      </c>
      <c r="J83" s="4">
        <v>634.71</v>
      </c>
      <c r="K83" s="6">
        <v>724.65</v>
      </c>
      <c r="L83" s="6">
        <v>726.02</v>
      </c>
      <c r="M83" s="4">
        <v>711.12</v>
      </c>
      <c r="N83" s="4">
        <v>551.08000000000004</v>
      </c>
      <c r="O83" s="4">
        <v>302.57</v>
      </c>
      <c r="P83" s="4">
        <v>263.33999999999997</v>
      </c>
      <c r="Q83" s="4">
        <v>303.45999999999998</v>
      </c>
      <c r="R83" s="4">
        <v>380.87</v>
      </c>
      <c r="S83" s="4">
        <v>382.71</v>
      </c>
      <c r="T83" s="4">
        <v>356.08</v>
      </c>
      <c r="U83" s="4">
        <v>363.15</v>
      </c>
      <c r="V83" s="4">
        <v>410.43</v>
      </c>
      <c r="W83" s="4">
        <v>343.32</v>
      </c>
      <c r="X83" s="7">
        <v>6.9709406335032087E-2</v>
      </c>
      <c r="Y83" s="8">
        <v>4.194305469672277E-2</v>
      </c>
      <c r="Z83" s="8">
        <v>1.993512317828983E-2</v>
      </c>
      <c r="AA83" s="8">
        <v>-2.604521380350033E-2</v>
      </c>
    </row>
    <row r="84" spans="2:27">
      <c r="B84" s="12" t="s">
        <v>214</v>
      </c>
      <c r="C84" s="3" t="s">
        <v>391</v>
      </c>
      <c r="D84" s="3" t="s">
        <v>443</v>
      </c>
      <c r="E84" s="3" t="s">
        <v>408</v>
      </c>
      <c r="F84" s="5">
        <v>-2.9</v>
      </c>
      <c r="G84" s="4">
        <v>968</v>
      </c>
      <c r="H84" s="4">
        <v>1092</v>
      </c>
      <c r="I84" s="4">
        <v>1149</v>
      </c>
      <c r="J84" s="4">
        <v>1112</v>
      </c>
      <c r="K84" s="4">
        <v>965</v>
      </c>
      <c r="L84" s="4">
        <v>1033</v>
      </c>
      <c r="M84" s="4">
        <v>968</v>
      </c>
      <c r="N84" s="4">
        <v>965</v>
      </c>
      <c r="O84" s="4">
        <v>958</v>
      </c>
      <c r="P84" s="4">
        <v>1019</v>
      </c>
      <c r="Q84" s="4">
        <v>1016</v>
      </c>
      <c r="R84" s="4">
        <v>1001</v>
      </c>
      <c r="S84" s="4">
        <v>955</v>
      </c>
      <c r="T84" s="4">
        <v>936</v>
      </c>
      <c r="U84" s="4">
        <v>923</v>
      </c>
      <c r="V84" s="4">
        <v>899</v>
      </c>
      <c r="W84" s="4">
        <v>849</v>
      </c>
      <c r="X84" s="7">
        <v>-2.0796792783763451E-2</v>
      </c>
      <c r="Y84" s="8">
        <v>-2.379733879222112E-2</v>
      </c>
      <c r="Z84" s="8">
        <v>-2.6736566186107421E-2</v>
      </c>
      <c r="AA84" s="8">
        <v>-2.8548343657419869E-2</v>
      </c>
    </row>
    <row r="85" spans="2:27">
      <c r="B85" s="12" t="s">
        <v>70</v>
      </c>
      <c r="C85" s="3" t="s">
        <v>391</v>
      </c>
      <c r="D85" s="3" t="s">
        <v>444</v>
      </c>
      <c r="E85" s="3" t="s">
        <v>397</v>
      </c>
      <c r="F85" s="5">
        <v>-3.5</v>
      </c>
      <c r="G85" s="4">
        <v>23090</v>
      </c>
      <c r="H85" s="4">
        <v>23650</v>
      </c>
      <c r="I85" s="4">
        <v>27284</v>
      </c>
      <c r="J85" s="4">
        <v>24683</v>
      </c>
      <c r="K85" s="4">
        <v>25939</v>
      </c>
      <c r="L85" s="4">
        <v>24072</v>
      </c>
      <c r="M85" s="4">
        <v>25190</v>
      </c>
      <c r="N85" s="4">
        <v>21695</v>
      </c>
      <c r="O85" s="4">
        <v>22978</v>
      </c>
      <c r="P85" s="4">
        <v>21847</v>
      </c>
      <c r="Q85" s="4">
        <v>22248</v>
      </c>
      <c r="R85" s="4">
        <v>19937</v>
      </c>
      <c r="S85" s="4">
        <v>21498</v>
      </c>
      <c r="T85" s="4">
        <v>20175</v>
      </c>
      <c r="U85" s="4">
        <v>21166</v>
      </c>
      <c r="V85" s="4">
        <v>20372</v>
      </c>
      <c r="W85" s="4">
        <v>18556</v>
      </c>
      <c r="X85" s="7">
        <v>-1.9548696363848931E-2</v>
      </c>
      <c r="Y85" s="8">
        <v>-1.290276419661807E-2</v>
      </c>
      <c r="Z85" s="8">
        <v>5.2551464192520658E-3</v>
      </c>
      <c r="AA85" s="8">
        <v>-3.5355902464818352E-2</v>
      </c>
    </row>
    <row r="86" spans="2:27">
      <c r="B86" s="12" t="s">
        <v>252</v>
      </c>
      <c r="C86" s="3" t="s">
        <v>391</v>
      </c>
      <c r="D86" s="3" t="s">
        <v>406</v>
      </c>
      <c r="E86" s="3" t="s">
        <v>397</v>
      </c>
      <c r="F86" s="5">
        <v>-5.9</v>
      </c>
      <c r="G86" s="4">
        <v>46.21</v>
      </c>
      <c r="H86" s="4">
        <v>54.99</v>
      </c>
      <c r="I86" s="4">
        <v>55.62</v>
      </c>
      <c r="J86" s="4">
        <v>56.99</v>
      </c>
      <c r="K86" s="6">
        <v>91.28</v>
      </c>
      <c r="L86" s="4">
        <v>73.75</v>
      </c>
      <c r="M86" s="4">
        <v>78.59</v>
      </c>
      <c r="N86" s="4">
        <v>63.54</v>
      </c>
      <c r="O86" s="4">
        <v>111.74</v>
      </c>
      <c r="P86" s="4">
        <v>63.91</v>
      </c>
      <c r="Q86" s="4">
        <v>75</v>
      </c>
      <c r="R86" s="4">
        <v>78.06</v>
      </c>
      <c r="S86" s="6">
        <v>157.24</v>
      </c>
      <c r="T86" s="4">
        <v>79.569999999999993</v>
      </c>
      <c r="U86" s="4">
        <v>82.52</v>
      </c>
      <c r="V86" s="4">
        <v>86.46</v>
      </c>
      <c r="W86" s="4">
        <v>133.1</v>
      </c>
      <c r="X86" s="7">
        <v>4.1848160123994393E-2</v>
      </c>
      <c r="Y86" s="8">
        <v>1.928848077564305E-2</v>
      </c>
      <c r="Z86" s="8">
        <v>2.1137924960366261E-2</v>
      </c>
      <c r="AA86" s="8">
        <v>-5.9488898198575613E-2</v>
      </c>
    </row>
    <row r="87" spans="2:27">
      <c r="B87" s="12" t="s">
        <v>240</v>
      </c>
      <c r="C87" s="3" t="s">
        <v>391</v>
      </c>
      <c r="D87" s="3" t="s">
        <v>445</v>
      </c>
      <c r="E87" s="3" t="s">
        <v>401</v>
      </c>
      <c r="F87" s="5">
        <v>-6</v>
      </c>
      <c r="G87" s="4">
        <v>1609</v>
      </c>
      <c r="H87" s="4">
        <v>1492</v>
      </c>
      <c r="I87" s="4">
        <v>1360</v>
      </c>
      <c r="J87" s="4">
        <v>1412</v>
      </c>
      <c r="K87" s="4">
        <v>1512</v>
      </c>
      <c r="L87" s="4">
        <v>1335</v>
      </c>
      <c r="M87" s="4">
        <v>1229</v>
      </c>
      <c r="N87" s="4">
        <v>1291</v>
      </c>
      <c r="O87" s="4">
        <v>1427</v>
      </c>
      <c r="P87" s="4">
        <v>1223</v>
      </c>
      <c r="Q87" s="4">
        <v>848</v>
      </c>
      <c r="R87" s="4">
        <v>878</v>
      </c>
      <c r="S87" s="4">
        <v>1261</v>
      </c>
      <c r="T87" s="4">
        <v>1035</v>
      </c>
      <c r="U87" s="4">
        <v>797</v>
      </c>
      <c r="V87" s="4">
        <v>856</v>
      </c>
      <c r="W87" s="4">
        <v>1025</v>
      </c>
      <c r="X87" s="7">
        <v>-4.4655581947743439E-2</v>
      </c>
      <c r="Y87" s="8">
        <v>-1.268025857782196E-2</v>
      </c>
      <c r="Z87" s="8">
        <v>-5.5401662049860967E-3</v>
      </c>
      <c r="AA87" s="8">
        <v>-5.9761965054444199E-2</v>
      </c>
    </row>
    <row r="88" spans="2:27">
      <c r="B88" s="12" t="s">
        <v>331</v>
      </c>
      <c r="C88" s="3" t="s">
        <v>391</v>
      </c>
      <c r="D88" s="3" t="s">
        <v>446</v>
      </c>
      <c r="E88" s="3" t="s">
        <v>397</v>
      </c>
      <c r="F88" s="5">
        <v>-7.3</v>
      </c>
      <c r="G88" s="4">
        <v>148.13999999999999</v>
      </c>
      <c r="H88" s="4">
        <v>151.28</v>
      </c>
      <c r="I88" s="4">
        <v>187.82</v>
      </c>
      <c r="J88" s="4">
        <v>273.98</v>
      </c>
      <c r="K88" s="6">
        <v>354.92</v>
      </c>
      <c r="L88" s="6">
        <v>330.92</v>
      </c>
      <c r="M88" s="6">
        <v>306.17</v>
      </c>
      <c r="N88" s="4">
        <v>295.02999999999997</v>
      </c>
      <c r="O88" s="4">
        <v>275.35000000000002</v>
      </c>
      <c r="P88" s="4">
        <v>270.32</v>
      </c>
      <c r="Q88" s="4">
        <v>274.75</v>
      </c>
      <c r="R88" s="4">
        <v>259.86</v>
      </c>
      <c r="S88" s="4">
        <v>242.58</v>
      </c>
      <c r="T88" s="4">
        <v>219.42</v>
      </c>
      <c r="U88" s="4">
        <v>210.39</v>
      </c>
      <c r="V88" s="4">
        <v>196.55</v>
      </c>
      <c r="W88" s="4">
        <v>179.36</v>
      </c>
      <c r="X88" s="7">
        <v>-4.8591421561608013E-2</v>
      </c>
      <c r="Y88" s="8">
        <v>-6.4578922547435802E-2</v>
      </c>
      <c r="Z88" s="8">
        <v>-6.7910968087959156E-2</v>
      </c>
      <c r="AA88" s="8">
        <v>-7.2755311068658401E-2</v>
      </c>
    </row>
    <row r="89" spans="2:27">
      <c r="B89" s="12" t="s">
        <v>333</v>
      </c>
      <c r="C89" s="3" t="s">
        <v>391</v>
      </c>
      <c r="D89" s="3" t="s">
        <v>447</v>
      </c>
      <c r="E89" s="3" t="s">
        <v>408</v>
      </c>
      <c r="F89" s="5">
        <v>-7.8</v>
      </c>
      <c r="G89" s="4">
        <v>438.58</v>
      </c>
      <c r="H89" s="4">
        <v>444.98</v>
      </c>
      <c r="I89" s="4">
        <v>421.72</v>
      </c>
      <c r="J89" s="4">
        <v>457.13</v>
      </c>
      <c r="K89" s="4">
        <v>449.24</v>
      </c>
      <c r="L89" s="4">
        <v>479.58</v>
      </c>
      <c r="M89" s="4">
        <v>471.91</v>
      </c>
      <c r="N89" s="4">
        <v>480.17</v>
      </c>
      <c r="O89" s="4">
        <v>449.99</v>
      </c>
      <c r="P89" s="4">
        <v>471.22</v>
      </c>
      <c r="Q89" s="4">
        <v>427.83</v>
      </c>
      <c r="R89" s="4">
        <v>446.7</v>
      </c>
      <c r="S89" s="4">
        <v>401.84</v>
      </c>
      <c r="T89" s="4">
        <v>427.63</v>
      </c>
      <c r="U89" s="4">
        <v>349.38</v>
      </c>
      <c r="V89" s="4">
        <v>318.83999999999997</v>
      </c>
      <c r="W89" s="4">
        <v>284.76</v>
      </c>
      <c r="X89" s="7">
        <v>-2.4942921394606191E-2</v>
      </c>
      <c r="Y89" s="8">
        <v>-4.6038732394366177E-2</v>
      </c>
      <c r="Z89" s="8">
        <v>-7.865645473839622E-2</v>
      </c>
      <c r="AA89" s="8">
        <v>-7.8173720863463192E-2</v>
      </c>
    </row>
    <row r="90" spans="2:27">
      <c r="B90" s="12" t="s">
        <v>172</v>
      </c>
      <c r="C90" s="3" t="s">
        <v>391</v>
      </c>
      <c r="D90" s="3" t="s">
        <v>448</v>
      </c>
      <c r="E90" s="3" t="s">
        <v>397</v>
      </c>
      <c r="F90" s="5">
        <v>-8.5</v>
      </c>
      <c r="G90" s="4">
        <v>58.41</v>
      </c>
      <c r="H90" s="4">
        <v>1752</v>
      </c>
      <c r="I90" s="4">
        <v>1227</v>
      </c>
      <c r="J90" s="4">
        <v>795.37</v>
      </c>
      <c r="K90" s="6">
        <v>674.94</v>
      </c>
      <c r="L90" s="4">
        <v>517.07000000000005</v>
      </c>
      <c r="M90" s="4">
        <v>972.27</v>
      </c>
      <c r="N90" s="4">
        <v>789.61</v>
      </c>
      <c r="O90" s="4">
        <v>541.04999999999995</v>
      </c>
      <c r="P90" s="6">
        <v>891.42</v>
      </c>
      <c r="Q90" s="4">
        <v>921.31</v>
      </c>
      <c r="R90" s="4">
        <v>646.59</v>
      </c>
      <c r="S90" s="6">
        <v>1293</v>
      </c>
      <c r="T90" s="4">
        <v>693.28</v>
      </c>
      <c r="U90" s="4">
        <v>997.58</v>
      </c>
      <c r="V90" s="4">
        <v>943</v>
      </c>
      <c r="W90" s="4">
        <v>957.61</v>
      </c>
      <c r="X90" s="7">
        <v>-5.2804664847347693E-2</v>
      </c>
      <c r="Y90" s="8">
        <v>2.14592395432982E-2</v>
      </c>
      <c r="Z90" s="8">
        <v>8.1645526036717264E-2</v>
      </c>
      <c r="AA90" s="8">
        <v>-8.5409207356513805E-2</v>
      </c>
    </row>
    <row r="91" spans="2:27">
      <c r="B91" s="12" t="s">
        <v>226</v>
      </c>
      <c r="C91" s="3" t="s">
        <v>391</v>
      </c>
      <c r="D91" s="3" t="s">
        <v>433</v>
      </c>
      <c r="E91" s="3" t="s">
        <v>397</v>
      </c>
      <c r="F91" s="5">
        <v>-12.5</v>
      </c>
      <c r="G91" s="4">
        <v>1159</v>
      </c>
      <c r="H91" s="4">
        <v>1325</v>
      </c>
      <c r="I91" s="4">
        <v>1363</v>
      </c>
      <c r="J91" s="4">
        <v>1301</v>
      </c>
      <c r="K91" s="4">
        <v>0</v>
      </c>
      <c r="L91" s="4">
        <v>1084</v>
      </c>
      <c r="M91" s="4">
        <v>1112</v>
      </c>
      <c r="N91" s="4">
        <v>1111</v>
      </c>
      <c r="O91" s="6">
        <v>1058</v>
      </c>
      <c r="P91" s="4">
        <v>624.29</v>
      </c>
      <c r="Q91" s="4">
        <v>634.39</v>
      </c>
      <c r="R91" s="4">
        <v>642</v>
      </c>
      <c r="S91" s="4">
        <v>989.31</v>
      </c>
      <c r="T91" s="4">
        <v>570.49</v>
      </c>
      <c r="U91" s="4">
        <v>586.92999999999995</v>
      </c>
      <c r="V91" s="4">
        <v>589.79</v>
      </c>
      <c r="W91" s="4">
        <v>645.98</v>
      </c>
      <c r="X91" s="7">
        <v>-1.8615981370177611E-2</v>
      </c>
      <c r="Y91" s="8">
        <v>-1.673371671150381E-2</v>
      </c>
      <c r="Z91" s="8">
        <v>-1.8721783751026511E-2</v>
      </c>
      <c r="AA91" s="8">
        <v>-0.12546226594360721</v>
      </c>
    </row>
    <row r="92" spans="2:27">
      <c r="B92" s="12" t="s">
        <v>301</v>
      </c>
      <c r="C92" s="3" t="s">
        <v>391</v>
      </c>
      <c r="D92" s="3" t="s">
        <v>413</v>
      </c>
      <c r="E92" s="3" t="s">
        <v>401</v>
      </c>
      <c r="F92" s="5">
        <v>-42.7</v>
      </c>
      <c r="G92" s="4">
        <v>2172</v>
      </c>
      <c r="H92" s="4">
        <v>2533</v>
      </c>
      <c r="I92" s="4">
        <v>2497</v>
      </c>
      <c r="J92" s="4">
        <v>2009</v>
      </c>
      <c r="K92" s="4">
        <v>2139</v>
      </c>
      <c r="L92" s="4">
        <v>2049</v>
      </c>
      <c r="M92" s="4">
        <v>1616</v>
      </c>
      <c r="N92" s="4">
        <v>1841</v>
      </c>
      <c r="O92" s="4">
        <v>1870</v>
      </c>
      <c r="P92" s="4">
        <v>0</v>
      </c>
      <c r="Q92" s="4">
        <v>759.23</v>
      </c>
      <c r="R92" s="4">
        <v>756.47</v>
      </c>
      <c r="S92" s="4">
        <v>1549</v>
      </c>
      <c r="T92" s="6">
        <v>971.07</v>
      </c>
      <c r="U92" s="4">
        <v>622.16</v>
      </c>
      <c r="V92" s="4">
        <v>-129.16</v>
      </c>
      <c r="W92" s="4">
        <v>263.74</v>
      </c>
      <c r="X92" s="10">
        <v>0.31685646229647291</v>
      </c>
      <c r="Y92" s="8">
        <v>-3.3963778907123099E-2</v>
      </c>
      <c r="Z92" s="8">
        <v>-0.2271603354964474</v>
      </c>
      <c r="AA92" s="8">
        <v>-0.42656161323832509</v>
      </c>
    </row>
    <row r="93" spans="2:27">
      <c r="B93" s="12" t="s">
        <v>351</v>
      </c>
      <c r="C93" s="3" t="s">
        <v>391</v>
      </c>
      <c r="D93" s="3" t="s">
        <v>448</v>
      </c>
      <c r="E93" s="3" t="s">
        <v>397</v>
      </c>
      <c r="F93" s="5">
        <v>-74.5</v>
      </c>
      <c r="G93" s="4">
        <v>47.81</v>
      </c>
      <c r="H93" s="4">
        <v>48.42</v>
      </c>
      <c r="I93" s="4">
        <v>38.18</v>
      </c>
      <c r="J93" s="4">
        <v>-29.44</v>
      </c>
      <c r="K93" s="4">
        <v>34.24</v>
      </c>
      <c r="L93" s="4">
        <v>-9.3000000000000007</v>
      </c>
      <c r="M93" s="4">
        <v>-5.41</v>
      </c>
      <c r="N93" s="4">
        <v>41.24</v>
      </c>
      <c r="O93" s="4">
        <v>1.17</v>
      </c>
      <c r="P93" s="6">
        <v>13.49</v>
      </c>
      <c r="Q93" s="6">
        <v>43.11</v>
      </c>
      <c r="R93" s="4">
        <v>8.82</v>
      </c>
      <c r="S93" s="6">
        <v>35.200000000000003</v>
      </c>
      <c r="T93" s="4">
        <v>10.35</v>
      </c>
      <c r="U93" s="4">
        <v>-13.98</v>
      </c>
      <c r="V93" s="6">
        <v>30.44</v>
      </c>
      <c r="W93" s="4">
        <v>-10.97</v>
      </c>
      <c r="X93" s="7">
        <v>-3.1206519578612649E-2</v>
      </c>
      <c r="Y93" s="8">
        <v>-0.58565859663520725</v>
      </c>
      <c r="Z93" s="9">
        <v>0.53528101015102769</v>
      </c>
      <c r="AA93" s="8">
        <v>-0.74455732946298991</v>
      </c>
    </row>
    <row r="94" spans="2:27">
      <c r="B94" s="29">
        <v>7974</v>
      </c>
      <c r="C94" s="30" t="s">
        <v>449</v>
      </c>
      <c r="D94" s="30" t="str">
        <f>VLOOKUP(B94,기업리스트!B:G,2,FALSE)</f>
        <v>Nintendo Co., Ltd.</v>
      </c>
      <c r="E94" s="3" t="s">
        <v>393</v>
      </c>
      <c r="F94" s="33">
        <v>16.8</v>
      </c>
      <c r="G94" s="34">
        <v>301625</v>
      </c>
      <c r="H94" s="34">
        <v>695947</v>
      </c>
      <c r="I94" s="34">
        <v>375125</v>
      </c>
      <c r="J94" s="34">
        <v>307460</v>
      </c>
      <c r="K94" s="34">
        <v>349514</v>
      </c>
      <c r="L94" s="34">
        <v>638204</v>
      </c>
      <c r="M94" s="34">
        <v>306499</v>
      </c>
      <c r="N94" s="34">
        <v>461341</v>
      </c>
      <c r="O94" s="34">
        <v>334896</v>
      </c>
      <c r="P94" s="34">
        <v>598559</v>
      </c>
      <c r="Q94" s="34">
        <v>277069</v>
      </c>
      <c r="R94" s="34">
        <v>246638</v>
      </c>
      <c r="S94" s="34">
        <v>276661</v>
      </c>
      <c r="T94" s="34">
        <v>432919</v>
      </c>
      <c r="U94" s="34">
        <v>208704</v>
      </c>
      <c r="V94" s="35">
        <v>572363</v>
      </c>
      <c r="W94" s="35">
        <v>527202</v>
      </c>
      <c r="X94" s="36">
        <v>-0.11840503471589291</v>
      </c>
      <c r="Y94" s="37">
        <v>-5.5433163570199007E-2</v>
      </c>
      <c r="Z94" s="38">
        <v>0.27961099541428541</v>
      </c>
      <c r="AA94" s="38">
        <v>0.16807533909772049</v>
      </c>
    </row>
    <row r="95" spans="2:27">
      <c r="B95" s="31">
        <v>8386</v>
      </c>
      <c r="C95" s="32" t="s">
        <v>449</v>
      </c>
      <c r="D95" s="32" t="str">
        <f>VLOOKUP(B95,기업리스트!B:G,2,FALSE)</f>
        <v>The Hyakujushi Bank, Ltd.</v>
      </c>
      <c r="E95" s="3" t="s">
        <v>393</v>
      </c>
      <c r="F95" s="39">
        <v>6</v>
      </c>
      <c r="G95" s="40">
        <v>17037</v>
      </c>
      <c r="H95" s="40">
        <v>18567</v>
      </c>
      <c r="I95" s="40">
        <v>15023</v>
      </c>
      <c r="J95" s="40">
        <v>21178</v>
      </c>
      <c r="K95" s="40">
        <v>20437</v>
      </c>
      <c r="L95" s="40">
        <v>19040</v>
      </c>
      <c r="M95" s="40">
        <v>14645</v>
      </c>
      <c r="N95" s="40">
        <v>16940</v>
      </c>
      <c r="O95" s="40">
        <v>14494</v>
      </c>
      <c r="P95" s="40">
        <v>17039</v>
      </c>
      <c r="Q95" s="40">
        <v>17520</v>
      </c>
      <c r="R95" s="40">
        <v>17247</v>
      </c>
      <c r="S95" s="40">
        <v>14292</v>
      </c>
      <c r="T95" s="40">
        <v>19913</v>
      </c>
      <c r="U95" s="40">
        <v>18479</v>
      </c>
      <c r="V95" s="40">
        <v>20602</v>
      </c>
      <c r="W95" s="40">
        <v>18703</v>
      </c>
      <c r="X95" s="7">
        <v>4.3480892008835433E-2</v>
      </c>
      <c r="Y95" s="23">
        <v>1.390419300585743E-2</v>
      </c>
      <c r="Z95" s="23">
        <v>4.7975861921036422E-2</v>
      </c>
      <c r="AA95" s="23">
        <v>6.018884916628009E-2</v>
      </c>
    </row>
    <row r="96" spans="2:27">
      <c r="B96" s="12">
        <v>6471</v>
      </c>
      <c r="C96" s="3" t="s">
        <v>449</v>
      </c>
      <c r="D96" s="3" t="str">
        <f>VLOOKUP(B96,기업리스트!B:G,2,FALSE)</f>
        <v>NSK Ltd.</v>
      </c>
      <c r="E96" s="3" t="s">
        <v>401</v>
      </c>
      <c r="F96" s="5">
        <v>5.8</v>
      </c>
      <c r="G96" s="4">
        <v>215015</v>
      </c>
      <c r="H96" s="4">
        <v>232386</v>
      </c>
      <c r="I96" s="4">
        <v>219387</v>
      </c>
      <c r="J96" s="4">
        <v>244436</v>
      </c>
      <c r="K96" s="4">
        <v>236356</v>
      </c>
      <c r="L96" s="4">
        <v>237918</v>
      </c>
      <c r="M96" s="4">
        <v>188247</v>
      </c>
      <c r="N96" s="4">
        <v>198443</v>
      </c>
      <c r="O96" s="4">
        <v>201368</v>
      </c>
      <c r="P96" s="4">
        <v>200808</v>
      </c>
      <c r="Q96" s="4">
        <v>200495</v>
      </c>
      <c r="R96" s="4">
        <v>197148</v>
      </c>
      <c r="S96" s="4">
        <v>199278</v>
      </c>
      <c r="T96" s="4">
        <v>199746</v>
      </c>
      <c r="U96" s="4">
        <v>195760</v>
      </c>
      <c r="V96" s="4">
        <v>216490</v>
      </c>
      <c r="W96" s="4">
        <v>246214</v>
      </c>
      <c r="X96" s="7">
        <v>-1.331279168740207E-3</v>
      </c>
      <c r="Y96" s="8">
        <v>-5.9435121575263086E-3</v>
      </c>
      <c r="Z96" s="8">
        <v>2.4423814165862812E-2</v>
      </c>
      <c r="AA96" s="8">
        <v>5.7854682881492543E-2</v>
      </c>
    </row>
    <row r="97" spans="2:27">
      <c r="B97" s="12">
        <v>8368</v>
      </c>
      <c r="C97" s="3" t="s">
        <v>449</v>
      </c>
      <c r="D97" s="3" t="str">
        <f>VLOOKUP(B97,기업리스트!B:G,2,FALSE)</f>
        <v>The Hyakugo Bank, Ltd.</v>
      </c>
      <c r="E97" s="3" t="s">
        <v>393</v>
      </c>
      <c r="F97" s="5">
        <v>5.5</v>
      </c>
      <c r="G97" s="4">
        <v>20648</v>
      </c>
      <c r="H97" s="4">
        <v>21899</v>
      </c>
      <c r="I97" s="4">
        <v>28457</v>
      </c>
      <c r="J97" s="4">
        <v>22575</v>
      </c>
      <c r="K97" s="4">
        <v>22660</v>
      </c>
      <c r="L97" s="4">
        <v>21777</v>
      </c>
      <c r="M97" s="4">
        <v>24863</v>
      </c>
      <c r="N97" s="4">
        <v>27538</v>
      </c>
      <c r="O97" s="4">
        <v>24911</v>
      </c>
      <c r="P97" s="4">
        <v>24195</v>
      </c>
      <c r="Q97" s="4">
        <v>26499</v>
      </c>
      <c r="R97" s="4">
        <v>25578</v>
      </c>
      <c r="S97" s="4">
        <v>25223</v>
      </c>
      <c r="T97" s="4">
        <v>27680</v>
      </c>
      <c r="U97" s="4">
        <v>26419</v>
      </c>
      <c r="V97" s="4">
        <v>28942</v>
      </c>
      <c r="W97" s="4">
        <v>31175</v>
      </c>
      <c r="X97" s="7">
        <v>3.4336666830878437E-2</v>
      </c>
      <c r="Y97" s="8">
        <v>-7.6204991426942481E-4</v>
      </c>
      <c r="Z97" s="8">
        <v>3.2068636796949379E-2</v>
      </c>
      <c r="AA97" s="8">
        <v>5.4976723564619911E-2</v>
      </c>
    </row>
    <row r="98" spans="2:27">
      <c r="B98" s="12">
        <v>3064</v>
      </c>
      <c r="C98" s="3" t="s">
        <v>449</v>
      </c>
      <c r="D98" s="3" t="str">
        <f>VLOOKUP(B98,기업리스트!B:G,2,FALSE)</f>
        <v>MonotaRO Co., Ltd.</v>
      </c>
      <c r="E98" s="3" t="s">
        <v>397</v>
      </c>
      <c r="F98" s="5">
        <v>5</v>
      </c>
      <c r="G98" s="4">
        <v>51281</v>
      </c>
      <c r="H98" s="4">
        <v>54610</v>
      </c>
      <c r="I98" s="4">
        <v>55253</v>
      </c>
      <c r="J98" s="4">
        <v>56130</v>
      </c>
      <c r="K98" s="4">
        <v>59977</v>
      </c>
      <c r="L98" s="4">
        <v>62014</v>
      </c>
      <c r="M98" s="4">
        <v>62386</v>
      </c>
      <c r="N98" s="4">
        <v>62823</v>
      </c>
      <c r="O98" s="4">
        <v>67063</v>
      </c>
      <c r="P98" s="4">
        <v>69139</v>
      </c>
      <c r="Q98" s="4">
        <v>70258</v>
      </c>
      <c r="R98" s="4">
        <v>72112</v>
      </c>
      <c r="S98" s="4">
        <v>76610</v>
      </c>
      <c r="T98" s="4">
        <v>79106</v>
      </c>
      <c r="U98" s="4">
        <v>81126</v>
      </c>
      <c r="V98" s="4">
        <v>81168</v>
      </c>
      <c r="W98" s="4">
        <v>92480</v>
      </c>
      <c r="X98" s="7">
        <v>3.4593345110874418E-2</v>
      </c>
      <c r="Y98" s="8">
        <v>3.6459276852988783E-2</v>
      </c>
      <c r="Z98" s="8">
        <v>2.9311806935660378E-2</v>
      </c>
      <c r="AA98" s="8">
        <v>4.9904091066318657E-2</v>
      </c>
    </row>
    <row r="99" spans="2:27">
      <c r="B99" s="12">
        <v>4062</v>
      </c>
      <c r="C99" s="3" t="s">
        <v>449</v>
      </c>
      <c r="D99" s="3" t="str">
        <f>VLOOKUP(B99,기업리스트!B:G,2,FALSE)</f>
        <v>Ibiden Co.,Ltd.</v>
      </c>
      <c r="E99" s="3" t="s">
        <v>401</v>
      </c>
      <c r="F99" s="5">
        <v>3.8</v>
      </c>
      <c r="G99" s="4">
        <v>103402</v>
      </c>
      <c r="H99" s="4">
        <v>101904</v>
      </c>
      <c r="I99" s="4">
        <v>98318</v>
      </c>
      <c r="J99" s="4">
        <v>115261</v>
      </c>
      <c r="K99" s="4">
        <v>103102</v>
      </c>
      <c r="L99" s="4">
        <v>100868</v>
      </c>
      <c r="M99" s="4">
        <v>94601</v>
      </c>
      <c r="N99" s="4">
        <v>93039</v>
      </c>
      <c r="O99" s="4">
        <v>92527</v>
      </c>
      <c r="P99" s="4">
        <v>90344</v>
      </c>
      <c r="Q99" s="4">
        <v>88220</v>
      </c>
      <c r="R99" s="4">
        <v>93365</v>
      </c>
      <c r="S99" s="4">
        <v>88752</v>
      </c>
      <c r="T99" s="4">
        <v>99099</v>
      </c>
      <c r="U99" s="4">
        <v>97464</v>
      </c>
      <c r="V99" s="4">
        <v>98021</v>
      </c>
      <c r="W99" s="4">
        <v>103136</v>
      </c>
      <c r="X99" s="7">
        <v>2.4273527022493638E-2</v>
      </c>
      <c r="Y99" s="8">
        <v>2.5021925313180041E-2</v>
      </c>
      <c r="Z99" s="8">
        <v>1.2295341713320029E-2</v>
      </c>
      <c r="AA99" s="8">
        <v>3.7523217229793238E-2</v>
      </c>
    </row>
    <row r="100" spans="2:27">
      <c r="B100" s="12">
        <v>8015</v>
      </c>
      <c r="C100" s="3" t="s">
        <v>449</v>
      </c>
      <c r="D100" s="3" t="str">
        <f>VLOOKUP(B100,기업리스트!B:G,2,FALSE)</f>
        <v>Toyota Tsusho Corporation</v>
      </c>
      <c r="E100" s="3" t="s">
        <v>393</v>
      </c>
      <c r="F100" s="5">
        <v>2.9</v>
      </c>
      <c r="G100" s="4">
        <v>1872539</v>
      </c>
      <c r="H100" s="4">
        <v>2032046</v>
      </c>
      <c r="I100" s="4">
        <v>2251287</v>
      </c>
      <c r="J100" s="4">
        <v>2375630</v>
      </c>
      <c r="K100" s="4">
        <v>2532117</v>
      </c>
      <c r="L100" s="4">
        <v>2459654</v>
      </c>
      <c r="M100" s="4">
        <v>2481158</v>
      </c>
      <c r="N100" s="4">
        <v>2540752</v>
      </c>
      <c r="O100" s="4">
        <v>2594483</v>
      </c>
      <c r="P100" s="4">
        <v>2574946</v>
      </c>
      <c r="Q100" s="4">
        <v>2478798</v>
      </c>
      <c r="R100" s="4">
        <v>2541473</v>
      </c>
      <c r="S100" s="4">
        <v>2524447</v>
      </c>
      <c r="T100" s="4">
        <v>2581851</v>
      </c>
      <c r="U100" s="4">
        <v>2661779</v>
      </c>
      <c r="V100" s="4">
        <v>2593820</v>
      </c>
      <c r="W100" s="4">
        <v>2820564</v>
      </c>
      <c r="X100" s="7">
        <v>6.8233490756219872E-4</v>
      </c>
      <c r="Y100" s="8">
        <v>1.806939744349734E-2</v>
      </c>
      <c r="Z100" s="8">
        <v>5.0775252072108312E-3</v>
      </c>
      <c r="AA100" s="8">
        <v>2.8577489237733289E-2</v>
      </c>
    </row>
    <row r="101" spans="2:27">
      <c r="B101" s="12">
        <v>2331</v>
      </c>
      <c r="C101" s="3" t="s">
        <v>449</v>
      </c>
      <c r="D101" s="3" t="str">
        <f>VLOOKUP(B101,기업리스트!B:G,2,FALSE)</f>
        <v>Alsok Co.,Ltd.</v>
      </c>
      <c r="E101" s="3" t="s">
        <v>393</v>
      </c>
      <c r="F101" s="5">
        <v>2.8</v>
      </c>
      <c r="G101" s="4">
        <v>128278</v>
      </c>
      <c r="H101" s="4">
        <v>118493</v>
      </c>
      <c r="I101" s="4">
        <v>125309</v>
      </c>
      <c r="J101" s="4">
        <v>114008</v>
      </c>
      <c r="K101" s="4">
        <v>122045</v>
      </c>
      <c r="L101" s="4">
        <v>121764</v>
      </c>
      <c r="M101" s="4">
        <v>134409</v>
      </c>
      <c r="N101" s="4">
        <v>121593</v>
      </c>
      <c r="O101" s="4">
        <v>124786</v>
      </c>
      <c r="P101" s="4">
        <v>132611</v>
      </c>
      <c r="Q101" s="4">
        <v>142410</v>
      </c>
      <c r="R101" s="4">
        <v>129011</v>
      </c>
      <c r="S101" s="4">
        <v>134269</v>
      </c>
      <c r="T101" s="4">
        <v>137221</v>
      </c>
      <c r="U101" s="4">
        <v>151380</v>
      </c>
      <c r="V101" s="4">
        <v>141154</v>
      </c>
      <c r="W101" s="4">
        <v>150183</v>
      </c>
      <c r="X101" s="7">
        <v>8.5639818614493546E-3</v>
      </c>
      <c r="Y101" s="8">
        <v>1.65220450497412E-2</v>
      </c>
      <c r="Z101" s="8">
        <v>2.200293179145496E-2</v>
      </c>
      <c r="AA101" s="8">
        <v>2.8215111413698809E-2</v>
      </c>
    </row>
    <row r="102" spans="2:27">
      <c r="B102" s="12">
        <v>5802</v>
      </c>
      <c r="C102" s="3" t="s">
        <v>449</v>
      </c>
      <c r="D102" s="3" t="str">
        <f>VLOOKUP(B102,기업리스트!B:G,2,FALSE)</f>
        <v>Sumitomo Electric Industries, Ltd.</v>
      </c>
      <c r="E102" s="3" t="s">
        <v>401</v>
      </c>
      <c r="F102" s="5">
        <v>2.5</v>
      </c>
      <c r="G102" s="4">
        <v>868697</v>
      </c>
      <c r="H102" s="4">
        <v>928753</v>
      </c>
      <c r="I102" s="4">
        <v>877121</v>
      </c>
      <c r="J102" s="4">
        <v>1013955</v>
      </c>
      <c r="K102" s="4">
        <v>1020897</v>
      </c>
      <c r="L102" s="4">
        <v>1093588</v>
      </c>
      <c r="M102" s="4">
        <v>994123</v>
      </c>
      <c r="N102" s="4">
        <v>1077980</v>
      </c>
      <c r="O102" s="4">
        <v>1149823</v>
      </c>
      <c r="P102" s="4">
        <v>1180888</v>
      </c>
      <c r="Q102" s="4">
        <v>1115547</v>
      </c>
      <c r="R102" s="4">
        <v>1132231</v>
      </c>
      <c r="S102" s="4">
        <v>1193461</v>
      </c>
      <c r="T102" s="4">
        <v>1238550</v>
      </c>
      <c r="U102" s="4">
        <v>1148436</v>
      </c>
      <c r="V102" s="4">
        <v>1225025</v>
      </c>
      <c r="W102" s="4">
        <v>1313436</v>
      </c>
      <c r="X102" s="7">
        <v>1.2475208924376259E-2</v>
      </c>
      <c r="Y102" s="8">
        <v>7.0278809578807611E-3</v>
      </c>
      <c r="Z102" s="8">
        <v>1.9690290743394678E-2</v>
      </c>
      <c r="AA102" s="8">
        <v>2.4966330050409269E-2</v>
      </c>
    </row>
    <row r="103" spans="2:27">
      <c r="B103" s="12">
        <v>6806</v>
      </c>
      <c r="C103" s="3" t="s">
        <v>449</v>
      </c>
      <c r="D103" s="3" t="str">
        <f>VLOOKUP(B103,기업리스트!B:G,2,FALSE)</f>
        <v>Hirose Electric Co.,Ltd.</v>
      </c>
      <c r="E103" s="3" t="s">
        <v>401</v>
      </c>
      <c r="F103" s="5">
        <v>2.2999999999999998</v>
      </c>
      <c r="G103" s="4">
        <v>42817</v>
      </c>
      <c r="H103" s="4">
        <v>41667</v>
      </c>
      <c r="I103" s="4">
        <v>46574</v>
      </c>
      <c r="J103" s="4">
        <v>48130</v>
      </c>
      <c r="K103" s="4">
        <v>47461</v>
      </c>
      <c r="L103" s="4">
        <v>41059</v>
      </c>
      <c r="M103" s="4">
        <v>40455</v>
      </c>
      <c r="N103" s="4">
        <v>42455</v>
      </c>
      <c r="O103" s="4">
        <v>42252</v>
      </c>
      <c r="P103" s="4">
        <v>40347</v>
      </c>
      <c r="Q103" s="4">
        <v>44871</v>
      </c>
      <c r="R103" s="4">
        <v>49648</v>
      </c>
      <c r="S103" s="4">
        <v>49903</v>
      </c>
      <c r="T103" s="4">
        <v>44998</v>
      </c>
      <c r="U103" s="4">
        <v>48972</v>
      </c>
      <c r="V103" s="4">
        <v>53053</v>
      </c>
      <c r="W103" s="4">
        <v>54524</v>
      </c>
      <c r="X103" s="7">
        <v>2.517197148872374E-2</v>
      </c>
      <c r="Y103" s="8">
        <v>2.1650300918593549E-2</v>
      </c>
      <c r="Z103" s="8">
        <v>1.759498969104123E-2</v>
      </c>
      <c r="AA103" s="8">
        <v>2.3465667306501011E-2</v>
      </c>
    </row>
    <row r="104" spans="2:27">
      <c r="B104" s="12">
        <v>6724</v>
      </c>
      <c r="C104" s="3" t="s">
        <v>449</v>
      </c>
      <c r="D104" s="3" t="str">
        <f>VLOOKUP(B104,기업리스트!B:G,2,FALSE)</f>
        <v>Seiko Epson Corporation</v>
      </c>
      <c r="E104" s="3" t="s">
        <v>401</v>
      </c>
      <c r="F104" s="5">
        <v>2</v>
      </c>
      <c r="G104" s="4">
        <v>296145</v>
      </c>
      <c r="H104" s="4">
        <v>282171</v>
      </c>
      <c r="I104" s="4">
        <v>297874</v>
      </c>
      <c r="J104" s="4">
        <v>335253</v>
      </c>
      <c r="K104" s="4">
        <v>361276</v>
      </c>
      <c r="L104" s="4">
        <v>335927</v>
      </c>
      <c r="M104" s="4">
        <v>314840</v>
      </c>
      <c r="N104" s="4">
        <v>323693</v>
      </c>
      <c r="O104" s="4">
        <v>353568</v>
      </c>
      <c r="P104" s="4">
        <v>321897</v>
      </c>
      <c r="Q104" s="4">
        <v>336614</v>
      </c>
      <c r="R104" s="4">
        <v>337584</v>
      </c>
      <c r="S104" s="4">
        <v>349620</v>
      </c>
      <c r="T104" s="4">
        <v>339125</v>
      </c>
      <c r="U104" s="4">
        <v>320879</v>
      </c>
      <c r="V104" s="4">
        <v>346473</v>
      </c>
      <c r="W104" s="4">
        <v>376473</v>
      </c>
      <c r="X104" s="7">
        <v>1.280211634707196E-2</v>
      </c>
      <c r="Y104" s="8">
        <v>-1.1544870181658401E-2</v>
      </c>
      <c r="Z104" s="8">
        <v>6.5980902726230362E-3</v>
      </c>
      <c r="AA104" s="8">
        <v>1.9801680853213321E-2</v>
      </c>
    </row>
    <row r="105" spans="2:27">
      <c r="B105" s="12">
        <v>9021</v>
      </c>
      <c r="C105" s="3" t="s">
        <v>449</v>
      </c>
      <c r="D105" s="3" t="str">
        <f>VLOOKUP(B105,기업리스트!B:G,2,FALSE)</f>
        <v>West Japan Railway Company</v>
      </c>
      <c r="E105" s="3" t="s">
        <v>401</v>
      </c>
      <c r="F105" s="5">
        <v>1.9</v>
      </c>
      <c r="G105" s="4">
        <v>293156</v>
      </c>
      <c r="H105" s="4">
        <v>301113</v>
      </c>
      <c r="I105" s="4">
        <v>297144</v>
      </c>
      <c r="J105" s="4">
        <v>319561</v>
      </c>
      <c r="K105" s="4">
        <v>358140</v>
      </c>
      <c r="L105" s="4">
        <v>420686</v>
      </c>
      <c r="M105" s="4">
        <v>369270</v>
      </c>
      <c r="N105" s="4">
        <v>400632</v>
      </c>
      <c r="O105" s="4">
        <v>424420</v>
      </c>
      <c r="P105" s="4">
        <v>440701</v>
      </c>
      <c r="Q105" s="4">
        <v>402780</v>
      </c>
      <c r="R105" s="4">
        <v>408606</v>
      </c>
      <c r="S105" s="4">
        <v>434291</v>
      </c>
      <c r="T105" s="4">
        <v>462267</v>
      </c>
      <c r="U105" s="4">
        <v>427059</v>
      </c>
      <c r="V105" s="4">
        <v>444770</v>
      </c>
      <c r="W105" s="4">
        <v>467641</v>
      </c>
      <c r="X105" s="7">
        <v>1.278835468679018E-2</v>
      </c>
      <c r="Y105" s="8">
        <v>1.421533727101121E-2</v>
      </c>
      <c r="Z105" s="8">
        <v>2.087721961895217E-2</v>
      </c>
      <c r="AA105" s="8">
        <v>1.8858994100273248E-2</v>
      </c>
    </row>
    <row r="106" spans="2:27">
      <c r="B106" s="12">
        <v>6841</v>
      </c>
      <c r="C106" s="3" t="s">
        <v>449</v>
      </c>
      <c r="D106" s="3" t="str">
        <f>VLOOKUP(B106,기업리스트!B:G,2,FALSE)</f>
        <v>Yokogawa Electric Corporation</v>
      </c>
      <c r="E106" s="3" t="s">
        <v>401</v>
      </c>
      <c r="F106" s="5">
        <v>1.7</v>
      </c>
      <c r="G106" s="4">
        <v>96383</v>
      </c>
      <c r="H106" s="4">
        <v>109099</v>
      </c>
      <c r="I106" s="4">
        <v>93999</v>
      </c>
      <c r="J106" s="4">
        <v>111919</v>
      </c>
      <c r="K106" s="4">
        <v>111565</v>
      </c>
      <c r="L106" s="4">
        <v>138996</v>
      </c>
      <c r="M106" s="4">
        <v>118646</v>
      </c>
      <c r="N106" s="4">
        <v>135852</v>
      </c>
      <c r="O106" s="4">
        <v>138591</v>
      </c>
      <c r="P106" s="4">
        <v>147063</v>
      </c>
      <c r="Q106" s="4">
        <v>128924</v>
      </c>
      <c r="R106" s="4">
        <v>137656</v>
      </c>
      <c r="S106" s="4">
        <v>142307</v>
      </c>
      <c r="T106" s="4">
        <v>153517</v>
      </c>
      <c r="U106" s="4">
        <v>130211</v>
      </c>
      <c r="V106" s="4">
        <v>151785</v>
      </c>
      <c r="W106" s="4">
        <v>152319</v>
      </c>
      <c r="X106" s="7">
        <v>1.160895764007552E-2</v>
      </c>
      <c r="Y106" s="8">
        <v>2.2883905519874852E-3</v>
      </c>
      <c r="Z106" s="8">
        <v>2.5065150942626291E-2</v>
      </c>
      <c r="AA106" s="8">
        <v>1.7327195320341989E-2</v>
      </c>
    </row>
    <row r="107" spans="2:27">
      <c r="B107" s="12">
        <v>5384</v>
      </c>
      <c r="C107" s="3" t="s">
        <v>449</v>
      </c>
      <c r="D107" s="3" t="str">
        <f>VLOOKUP(B107,기업리스트!B:G,2,FALSE)</f>
        <v>Fujimi Incorporated</v>
      </c>
      <c r="E107" s="3" t="s">
        <v>393</v>
      </c>
      <c r="F107" s="5">
        <v>1.7</v>
      </c>
      <c r="G107" s="4">
        <v>12904</v>
      </c>
      <c r="H107" s="4">
        <v>13363</v>
      </c>
      <c r="I107" s="4">
        <v>13077</v>
      </c>
      <c r="J107" s="4">
        <v>15136</v>
      </c>
      <c r="K107" s="4">
        <v>15961</v>
      </c>
      <c r="L107" s="4">
        <v>14119</v>
      </c>
      <c r="M107" s="4">
        <v>13178</v>
      </c>
      <c r="N107" s="4">
        <v>13225</v>
      </c>
      <c r="O107" s="4">
        <v>12127</v>
      </c>
      <c r="P107" s="4">
        <v>12426</v>
      </c>
      <c r="Q107" s="4">
        <v>13645</v>
      </c>
      <c r="R107" s="4">
        <v>14738</v>
      </c>
      <c r="S107" s="4">
        <v>16008</v>
      </c>
      <c r="T107" s="4">
        <v>16046</v>
      </c>
      <c r="U107" s="4">
        <v>15711</v>
      </c>
      <c r="V107" s="4">
        <v>16394</v>
      </c>
      <c r="W107" s="4">
        <v>17102</v>
      </c>
      <c r="X107" s="7">
        <v>6.3713325237164886E-2</v>
      </c>
      <c r="Y107" s="8">
        <v>3.4184357264589682E-2</v>
      </c>
      <c r="Z107" s="8">
        <v>2.649472825304389E-2</v>
      </c>
      <c r="AA107" s="8">
        <v>1.7051387958041841E-2</v>
      </c>
    </row>
    <row r="108" spans="2:27">
      <c r="B108" s="12">
        <v>3116</v>
      </c>
      <c r="C108" s="3" t="s">
        <v>449</v>
      </c>
      <c r="D108" s="3" t="str">
        <f>VLOOKUP(B108,기업리스트!B:G,2,FALSE)</f>
        <v>Toyota Boshoku Corporation</v>
      </c>
      <c r="E108" s="3" t="s">
        <v>393</v>
      </c>
      <c r="F108" s="5">
        <v>1.7</v>
      </c>
      <c r="G108" s="4">
        <v>297813</v>
      </c>
      <c r="H108" s="4">
        <v>382865</v>
      </c>
      <c r="I108" s="4">
        <v>386505</v>
      </c>
      <c r="J108" s="4">
        <v>350346</v>
      </c>
      <c r="K108" s="4">
        <v>411456</v>
      </c>
      <c r="L108" s="4">
        <v>407366</v>
      </c>
      <c r="M108" s="4">
        <v>434866</v>
      </c>
      <c r="N108" s="4">
        <v>475499</v>
      </c>
      <c r="O108" s="4">
        <v>488559</v>
      </c>
      <c r="P108" s="4">
        <v>507120</v>
      </c>
      <c r="Q108" s="4">
        <v>482446</v>
      </c>
      <c r="R108" s="4">
        <v>488000</v>
      </c>
      <c r="S108" s="4">
        <v>460165</v>
      </c>
      <c r="T108" s="4">
        <v>498534</v>
      </c>
      <c r="U108" s="4">
        <v>507519</v>
      </c>
      <c r="V108" s="4">
        <v>479693</v>
      </c>
      <c r="W108" s="4">
        <v>492586</v>
      </c>
      <c r="X108" s="7">
        <v>-4.43095558671458E-3</v>
      </c>
      <c r="Y108" s="8">
        <v>1.299694942578178E-2</v>
      </c>
      <c r="Z108" s="8">
        <v>-4.2508051814076353E-3</v>
      </c>
      <c r="AA108" s="8">
        <v>1.666109087209033E-2</v>
      </c>
    </row>
    <row r="109" spans="2:27">
      <c r="B109" s="12">
        <v>4617</v>
      </c>
      <c r="C109" s="3" t="s">
        <v>449</v>
      </c>
      <c r="D109" s="3" t="str">
        <f>VLOOKUP(B109,기업리스트!B:G,2,FALSE)</f>
        <v>Chugoku Marine Paints, Ltd.</v>
      </c>
      <c r="E109" s="3" t="s">
        <v>393</v>
      </c>
      <c r="F109" s="5">
        <v>1.5</v>
      </c>
      <c r="G109" s="4">
        <v>21463</v>
      </c>
      <c r="H109" s="4">
        <v>21174</v>
      </c>
      <c r="I109" s="4">
        <v>22152</v>
      </c>
      <c r="J109" s="4">
        <v>21245</v>
      </c>
      <c r="K109" s="4">
        <v>23223</v>
      </c>
      <c r="L109" s="4">
        <v>26513</v>
      </c>
      <c r="M109" s="4">
        <v>28500</v>
      </c>
      <c r="N109" s="4">
        <v>26489</v>
      </c>
      <c r="O109" s="4">
        <v>28889</v>
      </c>
      <c r="P109" s="4">
        <v>30762</v>
      </c>
      <c r="Q109" s="4">
        <v>30034</v>
      </c>
      <c r="R109" s="4">
        <v>29080</v>
      </c>
      <c r="S109" s="4">
        <v>33855</v>
      </c>
      <c r="T109" s="4">
        <v>33120</v>
      </c>
      <c r="U109" s="4">
        <v>35097</v>
      </c>
      <c r="V109" s="4">
        <v>32589</v>
      </c>
      <c r="W109" s="4">
        <v>35918</v>
      </c>
      <c r="X109" s="7">
        <v>1.9057471450162119E-2</v>
      </c>
      <c r="Y109" s="8">
        <v>4.0154176811617148E-2</v>
      </c>
      <c r="Z109" s="8">
        <v>2.6755215322679101E-2</v>
      </c>
      <c r="AA109" s="8">
        <v>1.5319951582120961E-2</v>
      </c>
    </row>
    <row r="110" spans="2:27">
      <c r="B110" s="12">
        <v>6622</v>
      </c>
      <c r="C110" s="3" t="s">
        <v>449</v>
      </c>
      <c r="D110" s="3" t="str">
        <f>VLOOKUP(B110,기업리스트!B:G,2,FALSE)</f>
        <v>DAIHEN Corporation</v>
      </c>
      <c r="E110" s="3" t="s">
        <v>393</v>
      </c>
      <c r="F110" s="5">
        <v>1.5</v>
      </c>
      <c r="G110" s="4">
        <v>37365</v>
      </c>
      <c r="H110" s="4">
        <v>39039</v>
      </c>
      <c r="I110" s="4">
        <v>49687</v>
      </c>
      <c r="J110" s="4">
        <v>36666</v>
      </c>
      <c r="K110" s="4">
        <v>46520</v>
      </c>
      <c r="L110" s="4">
        <v>44060</v>
      </c>
      <c r="M110" s="4">
        <v>58042</v>
      </c>
      <c r="N110" s="4">
        <v>35290</v>
      </c>
      <c r="O110" s="4">
        <v>43645</v>
      </c>
      <c r="P110" s="4">
        <v>48300</v>
      </c>
      <c r="Q110" s="4">
        <v>61336</v>
      </c>
      <c r="R110" s="4">
        <v>43306</v>
      </c>
      <c r="S110" s="4">
        <v>52782</v>
      </c>
      <c r="T110" s="4">
        <v>59737</v>
      </c>
      <c r="U110" s="4">
        <v>70550</v>
      </c>
      <c r="V110" s="4">
        <v>49063</v>
      </c>
      <c r="W110" s="4">
        <v>56190</v>
      </c>
      <c r="X110" s="7">
        <v>5.5593902510159277E-2</v>
      </c>
      <c r="Y110" s="8">
        <v>4.2429349653022357E-2</v>
      </c>
      <c r="Z110" s="8">
        <v>2.543125345113206E-2</v>
      </c>
      <c r="AA110" s="8">
        <v>1.4681302017817369E-2</v>
      </c>
    </row>
    <row r="111" spans="2:27">
      <c r="B111" s="12">
        <v>9010</v>
      </c>
      <c r="C111" s="3" t="s">
        <v>449</v>
      </c>
      <c r="D111" s="3" t="str">
        <f>VLOOKUP(B111,기업리스트!B:G,2,FALSE)</f>
        <v>Fuji Kyuko Co., Ltd.</v>
      </c>
      <c r="E111" s="3" t="s">
        <v>393</v>
      </c>
      <c r="F111" s="5">
        <v>1.3</v>
      </c>
      <c r="G111" s="4">
        <v>9518</v>
      </c>
      <c r="H111" s="4">
        <v>9864</v>
      </c>
      <c r="I111" s="4">
        <v>8271</v>
      </c>
      <c r="J111" s="4">
        <v>9098</v>
      </c>
      <c r="K111" s="4">
        <v>11512</v>
      </c>
      <c r="L111" s="4">
        <v>11265</v>
      </c>
      <c r="M111" s="4">
        <v>11049</v>
      </c>
      <c r="N111" s="4">
        <v>11278</v>
      </c>
      <c r="O111" s="4">
        <v>14639</v>
      </c>
      <c r="P111" s="4">
        <v>13110</v>
      </c>
      <c r="Q111" s="4">
        <v>11674</v>
      </c>
      <c r="R111" s="4">
        <v>12233</v>
      </c>
      <c r="S111" s="4">
        <v>13578</v>
      </c>
      <c r="T111" s="4">
        <v>13622</v>
      </c>
      <c r="U111" s="4">
        <v>12796</v>
      </c>
      <c r="V111" s="4">
        <v>12342</v>
      </c>
      <c r="W111" s="4">
        <v>14262</v>
      </c>
      <c r="X111" s="7">
        <v>1.011957703330379E-2</v>
      </c>
      <c r="Y111" s="8">
        <v>2.1953939773416531E-2</v>
      </c>
      <c r="Z111" s="8">
        <v>2.0869631813742462E-3</v>
      </c>
      <c r="AA111" s="8">
        <v>1.3068898314799959E-2</v>
      </c>
    </row>
    <row r="112" spans="2:27">
      <c r="B112" s="12">
        <v>6503</v>
      </c>
      <c r="C112" s="3" t="s">
        <v>449</v>
      </c>
      <c r="D112" s="3" t="str">
        <f>VLOOKUP(B112,기업리스트!B:G,2,FALSE)</f>
        <v>Mitsubishi Electric Corporation</v>
      </c>
      <c r="E112" s="3" t="s">
        <v>393</v>
      </c>
      <c r="F112" s="5">
        <v>1.1000000000000001</v>
      </c>
      <c r="G112" s="4">
        <v>1071935</v>
      </c>
      <c r="H112" s="4">
        <v>1042886</v>
      </c>
      <c r="I112" s="4">
        <v>1295495</v>
      </c>
      <c r="J112" s="4">
        <v>1067723</v>
      </c>
      <c r="K112" s="4">
        <v>1271844</v>
      </c>
      <c r="L112" s="4">
        <v>1225670</v>
      </c>
      <c r="M112" s="4">
        <v>1438457</v>
      </c>
      <c r="N112" s="4">
        <v>1220300</v>
      </c>
      <c r="O112" s="4">
        <v>1318171</v>
      </c>
      <c r="P112" s="4">
        <v>1243935</v>
      </c>
      <c r="Q112" s="4">
        <v>1475508</v>
      </c>
      <c r="R112" s="4">
        <v>1286484</v>
      </c>
      <c r="S112" s="4">
        <v>1357113</v>
      </c>
      <c r="T112" s="4">
        <v>1356754</v>
      </c>
      <c r="U112" s="4">
        <v>1521360</v>
      </c>
      <c r="V112" s="4">
        <v>1312896</v>
      </c>
      <c r="W112" s="4">
        <v>1419608</v>
      </c>
      <c r="X112" s="7">
        <v>2.1036389808765099E-2</v>
      </c>
      <c r="Y112" s="8">
        <v>8.3734807634747721E-3</v>
      </c>
      <c r="Z112" s="8">
        <v>4.7832999590162739E-3</v>
      </c>
      <c r="AA112" s="8">
        <v>1.126416988231882E-2</v>
      </c>
    </row>
    <row r="113" spans="2:27">
      <c r="B113" s="12">
        <v>6486</v>
      </c>
      <c r="C113" s="3" t="s">
        <v>449</v>
      </c>
      <c r="D113" s="3" t="str">
        <f>VLOOKUP(B113,기업리스트!B:G,2,FALSE)</f>
        <v>Eagle Industry Co.,Ltd.</v>
      </c>
      <c r="E113" s="3" t="s">
        <v>393</v>
      </c>
      <c r="F113" s="5">
        <v>1.1000000000000001</v>
      </c>
      <c r="G113" s="4">
        <v>32663</v>
      </c>
      <c r="H113" s="4">
        <v>34176</v>
      </c>
      <c r="I113" s="4">
        <v>38033</v>
      </c>
      <c r="J113" s="4">
        <v>36614</v>
      </c>
      <c r="K113" s="4">
        <v>39662</v>
      </c>
      <c r="L113" s="4">
        <v>40628</v>
      </c>
      <c r="M113" s="4">
        <v>40476</v>
      </c>
      <c r="N113" s="4">
        <v>40008</v>
      </c>
      <c r="O113" s="4">
        <v>42109</v>
      </c>
      <c r="P113" s="4">
        <v>42975</v>
      </c>
      <c r="Q113" s="4">
        <v>41950</v>
      </c>
      <c r="R113" s="4">
        <v>41819</v>
      </c>
      <c r="S113" s="4">
        <v>41132</v>
      </c>
      <c r="T113" s="4">
        <v>42415</v>
      </c>
      <c r="U113" s="4">
        <v>42806</v>
      </c>
      <c r="V113" s="4">
        <v>42489</v>
      </c>
      <c r="W113" s="4">
        <v>43021</v>
      </c>
      <c r="X113" s="7">
        <v>-3.3357954680836022E-3</v>
      </c>
      <c r="Y113" s="8">
        <v>5.1160677998518533E-3</v>
      </c>
      <c r="Z113" s="8">
        <v>3.9840163641986504E-3</v>
      </c>
      <c r="AA113" s="8">
        <v>1.1187974556093881E-2</v>
      </c>
    </row>
    <row r="114" spans="2:27">
      <c r="B114" s="12">
        <v>4966</v>
      </c>
      <c r="C114" s="3" t="s">
        <v>449</v>
      </c>
      <c r="D114" s="3" t="str">
        <f>VLOOKUP(B114,기업리스트!B:G,2,FALSE)</f>
        <v>Parade Technologies, Ltd.</v>
      </c>
      <c r="E114" s="3" t="s">
        <v>393</v>
      </c>
      <c r="F114" s="5">
        <v>1</v>
      </c>
      <c r="G114" s="4">
        <v>17267</v>
      </c>
      <c r="H114" s="4">
        <v>18614</v>
      </c>
      <c r="I114" s="4">
        <v>20662</v>
      </c>
      <c r="J114" s="4">
        <v>20187</v>
      </c>
      <c r="K114" s="4">
        <v>21918</v>
      </c>
      <c r="L114" s="4">
        <v>22833</v>
      </c>
      <c r="M114" s="4">
        <v>20811</v>
      </c>
      <c r="N114" s="4">
        <v>17514</v>
      </c>
      <c r="O114" s="4">
        <v>19706</v>
      </c>
      <c r="P114" s="4">
        <v>20657</v>
      </c>
      <c r="Q114" s="4">
        <v>22379</v>
      </c>
      <c r="R114" s="4">
        <v>19980</v>
      </c>
      <c r="S114" s="4">
        <v>20781</v>
      </c>
      <c r="T114" s="4">
        <v>22561</v>
      </c>
      <c r="U114" s="4">
        <v>20523</v>
      </c>
      <c r="V114" s="4">
        <v>20112</v>
      </c>
      <c r="W114" s="4">
        <v>21589</v>
      </c>
      <c r="X114" s="7">
        <v>2.272157714476641E-2</v>
      </c>
      <c r="Y114" s="8">
        <v>-2.1656690120302021E-2</v>
      </c>
      <c r="Z114" s="8">
        <v>1.574333591746635E-3</v>
      </c>
      <c r="AA114" s="8">
        <v>9.6216821272492314E-3</v>
      </c>
    </row>
    <row r="115" spans="2:27">
      <c r="B115" s="12">
        <v>6413</v>
      </c>
      <c r="C115" s="3" t="s">
        <v>449</v>
      </c>
      <c r="D115" s="3" t="str">
        <f>VLOOKUP(B115,기업리스트!B:G,2,FALSE)</f>
        <v>Riso Kagaku Corporation</v>
      </c>
      <c r="E115" s="3" t="s">
        <v>393</v>
      </c>
      <c r="F115" s="5">
        <v>0.8</v>
      </c>
      <c r="G115" s="4">
        <v>15647</v>
      </c>
      <c r="H115" s="4">
        <v>16618</v>
      </c>
      <c r="I115" s="4">
        <v>20393</v>
      </c>
      <c r="J115" s="4">
        <v>17258</v>
      </c>
      <c r="K115" s="4">
        <v>17789</v>
      </c>
      <c r="L115" s="4">
        <v>17895</v>
      </c>
      <c r="M115" s="4">
        <v>21713</v>
      </c>
      <c r="N115" s="4">
        <v>16787</v>
      </c>
      <c r="O115" s="4">
        <v>18050</v>
      </c>
      <c r="P115" s="4">
        <v>18118</v>
      </c>
      <c r="Q115" s="4">
        <v>21647</v>
      </c>
      <c r="R115" s="4">
        <v>19444</v>
      </c>
      <c r="S115" s="4">
        <v>18723</v>
      </c>
      <c r="T115" s="4">
        <v>18920</v>
      </c>
      <c r="U115" s="4">
        <v>21636</v>
      </c>
      <c r="V115" s="4">
        <v>18282</v>
      </c>
      <c r="W115" s="4">
        <v>19338</v>
      </c>
      <c r="X115" s="7">
        <v>1.02910229430786E-2</v>
      </c>
      <c r="Y115" s="8">
        <v>-1.397109253943318E-4</v>
      </c>
      <c r="Z115" s="8">
        <v>-1.476061633830017E-2</v>
      </c>
      <c r="AA115" s="8">
        <v>7.9292427895463202E-3</v>
      </c>
    </row>
    <row r="116" spans="2:27">
      <c r="B116" s="12">
        <v>5482</v>
      </c>
      <c r="C116" s="3" t="s">
        <v>449</v>
      </c>
      <c r="D116" s="3" t="str">
        <f>VLOOKUP(B116,기업리스트!B:G,2,FALSE)</f>
        <v>Aichi Steel Corporation</v>
      </c>
      <c r="E116" s="3" t="s">
        <v>393</v>
      </c>
      <c r="F116" s="5">
        <v>0.6</v>
      </c>
      <c r="G116" s="4">
        <v>61439</v>
      </c>
      <c r="H116" s="4">
        <v>67560</v>
      </c>
      <c r="I116" s="4">
        <v>69552</v>
      </c>
      <c r="J116" s="4">
        <v>66857</v>
      </c>
      <c r="K116" s="4">
        <v>72952</v>
      </c>
      <c r="L116" s="4">
        <v>69876</v>
      </c>
      <c r="M116" s="4">
        <v>75455</v>
      </c>
      <c r="N116" s="4">
        <v>73813</v>
      </c>
      <c r="O116" s="4">
        <v>75500</v>
      </c>
      <c r="P116" s="4">
        <v>77654</v>
      </c>
      <c r="Q116" s="4">
        <v>69548</v>
      </c>
      <c r="R116" s="4">
        <v>71933</v>
      </c>
      <c r="S116" s="4">
        <v>73030</v>
      </c>
      <c r="T116" s="4">
        <v>76909</v>
      </c>
      <c r="U116" s="4">
        <v>77415</v>
      </c>
      <c r="V116" s="4">
        <v>75086</v>
      </c>
      <c r="W116" s="4">
        <v>74722</v>
      </c>
      <c r="X116" s="7">
        <v>-2.549928978488158E-3</v>
      </c>
      <c r="Y116" s="8">
        <v>2.699540182554383E-2</v>
      </c>
      <c r="Z116" s="8">
        <v>1.053503827429858E-2</v>
      </c>
      <c r="AA116" s="8">
        <v>5.5944980822641988E-3</v>
      </c>
    </row>
    <row r="117" spans="2:27">
      <c r="B117" s="12">
        <v>8367</v>
      </c>
      <c r="C117" s="3" t="s">
        <v>449</v>
      </c>
      <c r="D117" s="3" t="str">
        <f>VLOOKUP(B117,기업리스트!B:G,2,FALSE)</f>
        <v>The Nanto Bank, Ltd.</v>
      </c>
      <c r="E117" s="3" t="s">
        <v>393</v>
      </c>
      <c r="F117" s="5">
        <v>0.5</v>
      </c>
      <c r="G117" s="4">
        <v>17143</v>
      </c>
      <c r="H117" s="4">
        <v>18872</v>
      </c>
      <c r="I117" s="4">
        <v>15476</v>
      </c>
      <c r="J117" s="4">
        <v>19673</v>
      </c>
      <c r="K117" s="4">
        <v>18704</v>
      </c>
      <c r="L117" s="4">
        <v>18888</v>
      </c>
      <c r="M117" s="4">
        <v>4006</v>
      </c>
      <c r="N117" s="4">
        <v>18458</v>
      </c>
      <c r="O117" s="4">
        <v>18590</v>
      </c>
      <c r="P117" s="4">
        <v>19804</v>
      </c>
      <c r="Q117" s="6">
        <v>19034</v>
      </c>
      <c r="R117" s="4">
        <v>22420</v>
      </c>
      <c r="S117" s="4">
        <v>21537</v>
      </c>
      <c r="T117" s="4">
        <v>23654</v>
      </c>
      <c r="U117" s="4">
        <v>17683</v>
      </c>
      <c r="V117" s="4">
        <v>23902</v>
      </c>
      <c r="W117" s="4">
        <v>21930</v>
      </c>
      <c r="X117" s="7">
        <v>4.6500392535781199E-2</v>
      </c>
      <c r="Y117" s="8">
        <v>-1.5592359628368579E-2</v>
      </c>
      <c r="Z117" s="8">
        <v>1.7375196379581181E-2</v>
      </c>
      <c r="AA117" s="8">
        <v>4.5289020005532246E-3</v>
      </c>
    </row>
    <row r="118" spans="2:27">
      <c r="B118" s="12">
        <v>8174</v>
      </c>
      <c r="C118" s="3" t="s">
        <v>449</v>
      </c>
      <c r="D118" s="3" t="str">
        <f>VLOOKUP(B118,기업리스트!B:G,2,FALSE)</f>
        <v>Nippon Gas Co., Ltd.</v>
      </c>
      <c r="E118" s="3" t="s">
        <v>393</v>
      </c>
      <c r="F118" s="5">
        <v>0.4</v>
      </c>
      <c r="G118" s="4">
        <v>30713</v>
      </c>
      <c r="H118" s="4">
        <v>41724</v>
      </c>
      <c r="I118" s="4">
        <v>55418</v>
      </c>
      <c r="J118" s="4">
        <v>44789</v>
      </c>
      <c r="K118" s="4">
        <v>40326</v>
      </c>
      <c r="L118" s="4">
        <v>55307</v>
      </c>
      <c r="M118" s="4">
        <v>67468</v>
      </c>
      <c r="N118" s="4">
        <v>47131</v>
      </c>
      <c r="O118" s="4">
        <v>39690</v>
      </c>
      <c r="P118" s="4">
        <v>47852</v>
      </c>
      <c r="Q118" s="4">
        <v>59691</v>
      </c>
      <c r="R118" s="4">
        <v>44601</v>
      </c>
      <c r="S118" s="4">
        <v>41448</v>
      </c>
      <c r="T118" s="4">
        <v>51870</v>
      </c>
      <c r="U118" s="4">
        <v>62138</v>
      </c>
      <c r="V118" s="4">
        <v>45859</v>
      </c>
      <c r="W118" s="4">
        <v>42336</v>
      </c>
      <c r="X118" s="7">
        <v>2.0754989875614749E-2</v>
      </c>
      <c r="Y118" s="8">
        <v>1.2382976570011641E-2</v>
      </c>
      <c r="Z118" s="8">
        <v>6.2882078607597869E-3</v>
      </c>
      <c r="AA118" s="8">
        <v>4.4109976901869352E-3</v>
      </c>
    </row>
    <row r="119" spans="2:27">
      <c r="B119" s="12">
        <v>6473</v>
      </c>
      <c r="C119" s="3" t="s">
        <v>449</v>
      </c>
      <c r="D119" s="3" t="str">
        <f>VLOOKUP(B119,기업리스트!B:G,2,FALSE)</f>
        <v>JTEKT Corporation</v>
      </c>
      <c r="E119" s="3" t="s">
        <v>401</v>
      </c>
      <c r="F119" s="5">
        <v>0.3</v>
      </c>
      <c r="G119" s="4">
        <v>357840</v>
      </c>
      <c r="H119" s="4">
        <v>406445</v>
      </c>
      <c r="I119" s="4">
        <v>371686</v>
      </c>
      <c r="J119" s="4">
        <v>432890</v>
      </c>
      <c r="K119" s="4">
        <v>420332</v>
      </c>
      <c r="L119" s="4">
        <v>453237</v>
      </c>
      <c r="M119" s="4">
        <v>445681</v>
      </c>
      <c r="N119" s="4">
        <v>476550</v>
      </c>
      <c r="O119" s="4">
        <v>489595</v>
      </c>
      <c r="P119" s="4">
        <v>479677</v>
      </c>
      <c r="Q119" s="4">
        <v>464057</v>
      </c>
      <c r="R119" s="4">
        <v>454422</v>
      </c>
      <c r="S119" s="4">
        <v>466587</v>
      </c>
      <c r="T119" s="4">
        <v>499331</v>
      </c>
      <c r="U119" s="4">
        <v>454794</v>
      </c>
      <c r="V119" s="4">
        <v>475381</v>
      </c>
      <c r="W119" s="4">
        <v>473149</v>
      </c>
      <c r="X119" s="7">
        <v>1.053979020165241E-2</v>
      </c>
      <c r="Y119" s="8">
        <v>-4.915630835752749E-3</v>
      </c>
      <c r="Z119" s="8">
        <v>1.1177334526492499E-2</v>
      </c>
      <c r="AA119" s="8">
        <v>3.46080070966992E-3</v>
      </c>
    </row>
    <row r="120" spans="2:27">
      <c r="B120" s="12">
        <v>2871</v>
      </c>
      <c r="C120" s="3" t="s">
        <v>449</v>
      </c>
      <c r="D120" s="3" t="str">
        <f>VLOOKUP(B120,기업리스트!B:G,2,FALSE)</f>
        <v>Nichirei Corporation</v>
      </c>
      <c r="E120" s="3" t="s">
        <v>401</v>
      </c>
      <c r="F120" s="5">
        <v>0.3</v>
      </c>
      <c r="G120" s="4">
        <v>159196</v>
      </c>
      <c r="H120" s="4">
        <v>148922</v>
      </c>
      <c r="I120" s="4">
        <v>156057</v>
      </c>
      <c r="J120" s="4">
        <v>165779</v>
      </c>
      <c r="K120" s="4">
        <v>179271</v>
      </c>
      <c r="L120" s="4">
        <v>161097</v>
      </c>
      <c r="M120" s="4">
        <v>163965</v>
      </c>
      <c r="N120" s="4">
        <v>168246</v>
      </c>
      <c r="O120" s="4">
        <v>182198</v>
      </c>
      <c r="P120" s="4">
        <v>165682</v>
      </c>
      <c r="Q120" s="4">
        <v>171157</v>
      </c>
      <c r="R120" s="4">
        <v>176051</v>
      </c>
      <c r="S120" s="4">
        <v>187633</v>
      </c>
      <c r="T120" s="4">
        <v>167239</v>
      </c>
      <c r="U120" s="4">
        <v>170765</v>
      </c>
      <c r="V120" s="4">
        <v>176943</v>
      </c>
      <c r="W120" s="4">
        <v>189958</v>
      </c>
      <c r="X120" s="7">
        <v>2.222625095821273E-3</v>
      </c>
      <c r="Y120" s="8">
        <v>-5.5834092980855399E-4</v>
      </c>
      <c r="Z120" s="8">
        <v>1.2712202574363121E-3</v>
      </c>
      <c r="AA120" s="8">
        <v>3.3092316889180569E-3</v>
      </c>
    </row>
    <row r="121" spans="2:27">
      <c r="B121" s="12">
        <v>6632</v>
      </c>
      <c r="C121" s="3" t="s">
        <v>449</v>
      </c>
      <c r="D121" s="3" t="str">
        <f>VLOOKUP(B121,기업리스트!B:G,2,FALSE)</f>
        <v>JVCKENWOOD Corporation</v>
      </c>
      <c r="E121" s="3" t="s">
        <v>393</v>
      </c>
      <c r="F121" s="5">
        <v>0.1</v>
      </c>
      <c r="G121" s="4">
        <v>59923</v>
      </c>
      <c r="H121" s="4">
        <v>70193</v>
      </c>
      <c r="I121" s="4">
        <v>87462</v>
      </c>
      <c r="J121" s="4">
        <v>72000</v>
      </c>
      <c r="K121" s="4">
        <v>86108</v>
      </c>
      <c r="L121" s="4">
        <v>89389</v>
      </c>
      <c r="M121" s="4">
        <v>89413</v>
      </c>
      <c r="N121" s="4">
        <v>85598</v>
      </c>
      <c r="O121" s="4">
        <v>89105</v>
      </c>
      <c r="P121" s="4">
        <v>92553</v>
      </c>
      <c r="Q121" s="4">
        <v>92201</v>
      </c>
      <c r="R121" s="4">
        <v>87769</v>
      </c>
      <c r="S121" s="4">
        <v>88805</v>
      </c>
      <c r="T121" s="4">
        <v>93900</v>
      </c>
      <c r="U121" s="4">
        <v>99834</v>
      </c>
      <c r="V121" s="4">
        <v>80197</v>
      </c>
      <c r="W121" s="4">
        <v>89124</v>
      </c>
      <c r="X121" s="7">
        <v>3.727914803170584E-3</v>
      </c>
      <c r="Y121" s="8">
        <v>2.10463913972565E-2</v>
      </c>
      <c r="Z121" s="8">
        <v>-2.0447843416831368E-2</v>
      </c>
      <c r="AA121" s="8">
        <v>8.7942746239688674E-4</v>
      </c>
    </row>
    <row r="122" spans="2:27">
      <c r="B122" s="12">
        <v>6472</v>
      </c>
      <c r="C122" s="3" t="s">
        <v>449</v>
      </c>
      <c r="D122" s="3" t="str">
        <f>VLOOKUP(B122,기업리스트!B:G,2,FALSE)</f>
        <v>NTN Corporation</v>
      </c>
      <c r="E122" s="3" t="s">
        <v>401</v>
      </c>
      <c r="F122" s="5">
        <v>-0.1</v>
      </c>
      <c r="G122" s="4">
        <v>162330</v>
      </c>
      <c r="H122" s="4">
        <v>173897</v>
      </c>
      <c r="I122" s="4">
        <v>172614</v>
      </c>
      <c r="J122" s="4">
        <v>199088</v>
      </c>
      <c r="K122" s="4">
        <v>197720</v>
      </c>
      <c r="L122" s="4">
        <v>204538</v>
      </c>
      <c r="M122" s="4">
        <v>200768</v>
      </c>
      <c r="N122" s="4">
        <v>208879</v>
      </c>
      <c r="O122" s="4">
        <v>210898</v>
      </c>
      <c r="P122" s="4">
        <v>215740</v>
      </c>
      <c r="Q122" s="4">
        <v>210809</v>
      </c>
      <c r="R122" s="4">
        <v>203138</v>
      </c>
      <c r="S122" s="4">
        <v>201571</v>
      </c>
      <c r="T122" s="4">
        <v>210069</v>
      </c>
      <c r="U122" s="4">
        <v>199039</v>
      </c>
      <c r="V122" s="4">
        <v>203217</v>
      </c>
      <c r="W122" s="4">
        <v>201083</v>
      </c>
      <c r="X122" s="7">
        <v>-6.8221899819309586E-3</v>
      </c>
      <c r="Y122" s="8">
        <v>-1.4256522934590791E-2</v>
      </c>
      <c r="Z122" s="8">
        <v>9.707342068310254E-5</v>
      </c>
      <c r="AA122" s="8">
        <v>-5.995852049893724E-4</v>
      </c>
    </row>
    <row r="123" spans="2:27">
      <c r="B123" s="12">
        <v>7224</v>
      </c>
      <c r="C123" s="3" t="s">
        <v>449</v>
      </c>
      <c r="D123" s="3" t="str">
        <f>VLOOKUP(B123,기업리스트!B:G,2,FALSE)</f>
        <v>ShinMaywa Industries, Ltd.</v>
      </c>
      <c r="E123" s="3" t="s">
        <v>393</v>
      </c>
      <c r="F123" s="5">
        <v>-0.5</v>
      </c>
      <c r="G123" s="4">
        <v>53777</v>
      </c>
      <c r="H123" s="4">
        <v>54314</v>
      </c>
      <c r="I123" s="4">
        <v>62245</v>
      </c>
      <c r="J123" s="4">
        <v>47262</v>
      </c>
      <c r="K123" s="4">
        <v>56739</v>
      </c>
      <c r="L123" s="4">
        <v>56545</v>
      </c>
      <c r="M123" s="4">
        <v>64629</v>
      </c>
      <c r="N123" s="4">
        <v>52399</v>
      </c>
      <c r="O123" s="4">
        <v>64065</v>
      </c>
      <c r="P123" s="4">
        <v>61163</v>
      </c>
      <c r="Q123" s="4">
        <v>79433</v>
      </c>
      <c r="R123" s="4">
        <v>57423</v>
      </c>
      <c r="S123" s="4">
        <v>66642</v>
      </c>
      <c r="T123" s="4">
        <v>63177</v>
      </c>
      <c r="U123" s="4">
        <v>79199</v>
      </c>
      <c r="V123" s="4">
        <v>57665</v>
      </c>
      <c r="W123" s="4">
        <v>65298</v>
      </c>
      <c r="X123" s="7">
        <v>7.6097347172421337E-3</v>
      </c>
      <c r="Y123" s="8">
        <v>-8.7747257898185271E-4</v>
      </c>
      <c r="Z123" s="8">
        <v>9.0826862232162853E-4</v>
      </c>
      <c r="AA123" s="8">
        <v>-5.0396913189066916E-3</v>
      </c>
    </row>
    <row r="124" spans="2:27">
      <c r="B124" s="12">
        <v>4206</v>
      </c>
      <c r="C124" s="3" t="s">
        <v>449</v>
      </c>
      <c r="D124" s="3" t="str">
        <f>VLOOKUP(B124,기업리스트!B:G,2,FALSE)</f>
        <v>Aica Kogyo Company, Limited</v>
      </c>
      <c r="E124" s="3" t="s">
        <v>393</v>
      </c>
      <c r="F124" s="5">
        <v>-0.7</v>
      </c>
      <c r="G124" s="4">
        <v>53163</v>
      </c>
      <c r="H124" s="4">
        <v>54121</v>
      </c>
      <c r="I124" s="4">
        <v>61743</v>
      </c>
      <c r="J124" s="4">
        <v>55620</v>
      </c>
      <c r="K124" s="4">
        <v>62084</v>
      </c>
      <c r="L124" s="4">
        <v>63114</v>
      </c>
      <c r="M124" s="4">
        <v>61237</v>
      </c>
      <c r="N124" s="4">
        <v>54497</v>
      </c>
      <c r="O124" s="4">
        <v>58810</v>
      </c>
      <c r="P124" s="4">
        <v>61568</v>
      </c>
      <c r="Q124" s="4">
        <v>61750</v>
      </c>
      <c r="R124" s="4">
        <v>56842</v>
      </c>
      <c r="S124" s="4">
        <v>63298</v>
      </c>
      <c r="T124" s="4">
        <v>64645</v>
      </c>
      <c r="U124" s="4">
        <v>63911</v>
      </c>
      <c r="V124" s="4">
        <v>59765</v>
      </c>
      <c r="W124" s="4">
        <v>61586</v>
      </c>
      <c r="X124" s="7">
        <v>1.263873029434226E-2</v>
      </c>
      <c r="Y124" s="8">
        <v>8.7654896870625887E-3</v>
      </c>
      <c r="Z124" s="8">
        <v>1.1753305240132629E-2</v>
      </c>
      <c r="AA124" s="8">
        <v>-6.8039376994583067E-3</v>
      </c>
    </row>
    <row r="125" spans="2:27">
      <c r="B125" s="12">
        <v>2810</v>
      </c>
      <c r="C125" s="3" t="s">
        <v>449</v>
      </c>
      <c r="D125" s="3" t="str">
        <f>VLOOKUP(B125,기업리스트!B:G,2,FALSE)</f>
        <v>House Foods Group Inc.</v>
      </c>
      <c r="E125" s="3" t="s">
        <v>393</v>
      </c>
      <c r="F125" s="5">
        <v>-0.7</v>
      </c>
      <c r="G125" s="4">
        <v>62491</v>
      </c>
      <c r="H125" s="4">
        <v>67794</v>
      </c>
      <c r="I125" s="4">
        <v>61465</v>
      </c>
      <c r="J125" s="4">
        <v>66324</v>
      </c>
      <c r="K125" s="4">
        <v>67507</v>
      </c>
      <c r="L125" s="4">
        <v>71988</v>
      </c>
      <c r="M125" s="4">
        <v>69241</v>
      </c>
      <c r="N125" s="4">
        <v>70453</v>
      </c>
      <c r="O125" s="4">
        <v>72371</v>
      </c>
      <c r="P125" s="4">
        <v>82873</v>
      </c>
      <c r="Q125" s="4">
        <v>73903</v>
      </c>
      <c r="R125" s="4">
        <v>74733</v>
      </c>
      <c r="S125" s="4">
        <v>80231</v>
      </c>
      <c r="T125" s="4">
        <v>84393</v>
      </c>
      <c r="U125" s="4">
        <v>76061</v>
      </c>
      <c r="V125" s="4">
        <v>75699</v>
      </c>
      <c r="W125" s="4">
        <v>77903</v>
      </c>
      <c r="X125" s="7">
        <v>4.8758580868673018E-3</v>
      </c>
      <c r="Y125" s="8">
        <v>6.8888463257357202E-3</v>
      </c>
      <c r="Z125" s="8">
        <v>3.062602641574097E-3</v>
      </c>
      <c r="AA125" s="8">
        <v>-7.3581470617982703E-3</v>
      </c>
    </row>
    <row r="126" spans="2:27">
      <c r="B126" s="12">
        <v>4676</v>
      </c>
      <c r="C126" s="3" t="s">
        <v>449</v>
      </c>
      <c r="D126" s="3" t="str">
        <f>VLOOKUP(B126,기업리스트!B:G,2,FALSE)</f>
        <v>Fuji Media Holdings, Inc.</v>
      </c>
      <c r="E126" s="3" t="s">
        <v>393</v>
      </c>
      <c r="F126" s="5">
        <v>-1.1000000000000001</v>
      </c>
      <c r="G126" s="4">
        <v>130102</v>
      </c>
      <c r="H126" s="4">
        <v>153768</v>
      </c>
      <c r="I126" s="4">
        <v>129816</v>
      </c>
      <c r="J126" s="4">
        <v>126633</v>
      </c>
      <c r="K126" s="4">
        <v>122479</v>
      </c>
      <c r="L126" s="4">
        <v>136449</v>
      </c>
      <c r="M126" s="4">
        <v>150080</v>
      </c>
      <c r="N126" s="4">
        <v>132279</v>
      </c>
      <c r="O126" s="4">
        <v>135266</v>
      </c>
      <c r="P126" s="4">
        <v>142506</v>
      </c>
      <c r="Q126" s="4">
        <v>156392</v>
      </c>
      <c r="R126" s="4">
        <v>129609</v>
      </c>
      <c r="S126" s="4">
        <v>138502</v>
      </c>
      <c r="T126" s="4">
        <v>145177</v>
      </c>
      <c r="U126" s="4">
        <v>137473</v>
      </c>
      <c r="V126" s="4">
        <v>116140</v>
      </c>
      <c r="W126" s="4">
        <v>132559</v>
      </c>
      <c r="X126" s="7">
        <v>4.7106836046693079E-3</v>
      </c>
      <c r="Y126" s="8">
        <v>-3.3209872208959428E-2</v>
      </c>
      <c r="Z126" s="8">
        <v>-2.4455253730747081E-2</v>
      </c>
      <c r="AA126" s="8">
        <v>-1.106102454531244E-2</v>
      </c>
    </row>
    <row r="127" spans="2:27">
      <c r="B127" s="12">
        <v>9107</v>
      </c>
      <c r="C127" s="3" t="s">
        <v>449</v>
      </c>
      <c r="D127" s="3" t="str">
        <f>VLOOKUP(B127,기업리스트!B:G,2,FALSE)</f>
        <v>Kawasaki Kisen Kaisha, Ltd.</v>
      </c>
      <c r="E127" s="3" t="s">
        <v>393</v>
      </c>
      <c r="F127" s="5">
        <v>-1.4</v>
      </c>
      <c r="G127" s="4">
        <v>182813</v>
      </c>
      <c r="H127" s="4">
        <v>198939</v>
      </c>
      <c r="I127" s="4">
        <v>200488</v>
      </c>
      <c r="J127" s="4">
        <v>228498</v>
      </c>
      <c r="K127" s="4">
        <v>254399</v>
      </c>
      <c r="L127" s="4">
        <v>245894</v>
      </c>
      <c r="M127" s="4">
        <v>213815</v>
      </c>
      <c r="N127" s="4">
        <v>222205</v>
      </c>
      <c r="O127" s="4">
        <v>236768</v>
      </c>
      <c r="P127" s="4">
        <v>256385</v>
      </c>
      <c r="Q127" s="4">
        <v>246942</v>
      </c>
      <c r="R127" s="4">
        <v>267609</v>
      </c>
      <c r="S127" s="4">
        <v>270406</v>
      </c>
      <c r="T127" s="4">
        <v>266944</v>
      </c>
      <c r="U127" s="4">
        <v>242985</v>
      </c>
      <c r="V127" s="4">
        <v>244918</v>
      </c>
      <c r="W127" s="4">
        <v>255647</v>
      </c>
      <c r="X127" s="7">
        <v>1.0139800372980229E-2</v>
      </c>
      <c r="Y127" s="8">
        <v>-3.761760850118034E-3</v>
      </c>
      <c r="Z127" s="8">
        <v>-2.165287458108445E-2</v>
      </c>
      <c r="AA127" s="8">
        <v>-1.4395471166629091E-2</v>
      </c>
    </row>
    <row r="128" spans="2:27">
      <c r="B128" s="12">
        <v>5857</v>
      </c>
      <c r="C128" s="3" t="s">
        <v>449</v>
      </c>
      <c r="D128" s="3" t="str">
        <f>VLOOKUP(B128,기업리스트!B:G,2,FALSE)</f>
        <v>ARE Holdings, Inc.</v>
      </c>
      <c r="E128" s="3" t="s">
        <v>393</v>
      </c>
      <c r="F128" s="5">
        <v>-8.5</v>
      </c>
      <c r="G128" s="4">
        <v>46436</v>
      </c>
      <c r="H128" s="4">
        <v>47626</v>
      </c>
      <c r="I128" s="4">
        <v>47955</v>
      </c>
      <c r="J128" s="4">
        <v>59749</v>
      </c>
      <c r="K128" s="6">
        <v>72903</v>
      </c>
      <c r="L128" s="6">
        <v>73173</v>
      </c>
      <c r="M128" s="6">
        <v>86622</v>
      </c>
      <c r="N128" s="4">
        <v>66523</v>
      </c>
      <c r="O128" s="4">
        <v>85372</v>
      </c>
      <c r="P128" s="4">
        <v>83236</v>
      </c>
      <c r="Q128" s="4">
        <v>0</v>
      </c>
      <c r="R128" s="6">
        <v>92300</v>
      </c>
      <c r="S128" s="6">
        <v>148057</v>
      </c>
      <c r="T128" s="6">
        <v>132612</v>
      </c>
      <c r="U128" s="6">
        <v>133242</v>
      </c>
      <c r="V128" s="4">
        <v>137120</v>
      </c>
      <c r="W128" s="4">
        <v>101119</v>
      </c>
      <c r="X128" s="10">
        <v>0.15258673704313749</v>
      </c>
      <c r="Y128" s="9">
        <v>0.35724684893382558</v>
      </c>
      <c r="Z128" s="8">
        <v>8.8540154204472143E-2</v>
      </c>
      <c r="AA128" s="8">
        <v>-8.5182140387745853E-2</v>
      </c>
    </row>
    <row r="129" spans="2:27">
      <c r="B129" s="29" t="s">
        <v>299</v>
      </c>
      <c r="C129" s="30" t="s">
        <v>451</v>
      </c>
      <c r="D129" s="30" t="str">
        <f>VLOOKUP(B129,기업리스트!B:G,2,FALSE)</f>
        <v>Nazara Technologies Limited</v>
      </c>
      <c r="E129" s="3" t="s">
        <v>393</v>
      </c>
      <c r="F129" s="33">
        <v>11.1</v>
      </c>
      <c r="G129" s="34">
        <v>1296</v>
      </c>
      <c r="H129" s="34">
        <v>1858</v>
      </c>
      <c r="I129" s="34">
        <v>1775</v>
      </c>
      <c r="J129" s="34">
        <v>2231</v>
      </c>
      <c r="K129" s="35">
        <v>2638</v>
      </c>
      <c r="L129" s="35">
        <v>3148</v>
      </c>
      <c r="M129" s="35">
        <v>2894</v>
      </c>
      <c r="N129" s="34">
        <v>2544</v>
      </c>
      <c r="O129" s="34">
        <v>2972</v>
      </c>
      <c r="P129" s="34">
        <v>3204</v>
      </c>
      <c r="Q129" s="34">
        <v>2662</v>
      </c>
      <c r="R129" s="34">
        <v>2501</v>
      </c>
      <c r="S129" s="34">
        <v>3189</v>
      </c>
      <c r="T129" s="35">
        <v>5347</v>
      </c>
      <c r="U129" s="35">
        <v>5204</v>
      </c>
      <c r="V129" s="35">
        <v>4988</v>
      </c>
      <c r="W129" s="35">
        <v>5265</v>
      </c>
      <c r="X129" s="41">
        <v>0.1854447905849774</v>
      </c>
      <c r="Y129" s="38">
        <v>0.18556098985327399</v>
      </c>
      <c r="Z129" s="38">
        <v>0.15313096484206651</v>
      </c>
      <c r="AA129" s="38">
        <v>0.1108500640751815</v>
      </c>
    </row>
    <row r="130" spans="2:27">
      <c r="B130" s="12" t="s">
        <v>39</v>
      </c>
      <c r="C130" s="3" t="s">
        <v>451</v>
      </c>
      <c r="D130" s="3" t="str">
        <f>VLOOKUP(B130,기업리스트!B:G,2,FALSE)</f>
        <v>Bajaj Finance Limited</v>
      </c>
      <c r="E130" s="3" t="s">
        <v>401</v>
      </c>
      <c r="F130" s="24">
        <v>10.4</v>
      </c>
      <c r="G130" s="4">
        <v>49494</v>
      </c>
      <c r="H130" s="4">
        <v>53691</v>
      </c>
      <c r="I130" s="4">
        <v>58829</v>
      </c>
      <c r="J130" s="4">
        <v>62671</v>
      </c>
      <c r="K130" s="4">
        <v>65934</v>
      </c>
      <c r="L130" s="4">
        <v>69240</v>
      </c>
      <c r="M130" s="4">
        <v>74028</v>
      </c>
      <c r="N130" s="4">
        <v>77699</v>
      </c>
      <c r="O130" s="4">
        <v>80506</v>
      </c>
      <c r="P130" s="4">
        <v>84870</v>
      </c>
      <c r="Q130" s="4">
        <v>87338</v>
      </c>
      <c r="R130" s="4">
        <v>90370</v>
      </c>
      <c r="S130" s="4">
        <v>96294</v>
      </c>
      <c r="T130" s="4">
        <v>96194</v>
      </c>
      <c r="U130" s="4">
        <v>104899</v>
      </c>
      <c r="V130" s="4">
        <v>109007</v>
      </c>
      <c r="W130" s="6">
        <v>138759</v>
      </c>
      <c r="X130" s="7">
        <v>3.155442609063952E-2</v>
      </c>
      <c r="Y130" s="8">
        <v>4.7437033355303582E-2</v>
      </c>
      <c r="Z130" s="8">
        <v>4.8063606846555862E-2</v>
      </c>
      <c r="AA130" s="9">
        <v>0.1044921923059887</v>
      </c>
    </row>
    <row r="131" spans="2:27">
      <c r="B131" s="12" t="s">
        <v>145</v>
      </c>
      <c r="C131" s="3" t="s">
        <v>451</v>
      </c>
      <c r="D131" s="3" t="str">
        <f>VLOOKUP(B131,기업리스트!B:G,2,FALSE)</f>
        <v>Aditya Birla Capital Limited</v>
      </c>
      <c r="E131" s="3" t="s">
        <v>401</v>
      </c>
      <c r="F131" s="5">
        <v>6.9</v>
      </c>
      <c r="G131" s="4">
        <v>48367</v>
      </c>
      <c r="H131" s="4">
        <v>50157</v>
      </c>
      <c r="I131" s="4">
        <v>45186</v>
      </c>
      <c r="J131" s="4">
        <v>55593</v>
      </c>
      <c r="K131" s="6">
        <v>80767</v>
      </c>
      <c r="L131" s="4">
        <v>63486</v>
      </c>
      <c r="M131" s="4">
        <v>50712</v>
      </c>
      <c r="N131" s="4">
        <v>55548</v>
      </c>
      <c r="O131" s="4">
        <v>62544</v>
      </c>
      <c r="P131" s="4">
        <v>83338</v>
      </c>
      <c r="Q131" s="4">
        <v>60984</v>
      </c>
      <c r="R131" s="4">
        <v>76361</v>
      </c>
      <c r="S131" s="4">
        <v>65194</v>
      </c>
      <c r="T131" s="4">
        <v>92775</v>
      </c>
      <c r="U131" s="4">
        <v>63665</v>
      </c>
      <c r="V131" s="4">
        <v>73982</v>
      </c>
      <c r="W131" s="4">
        <v>85689</v>
      </c>
      <c r="X131" s="7">
        <v>3.3010700406118643E-2</v>
      </c>
      <c r="Y131" s="8">
        <v>9.0784724056427457E-3</v>
      </c>
      <c r="Z131" s="8">
        <v>-7.9833554254266081E-3</v>
      </c>
      <c r="AA131" s="8">
        <v>6.9329806235115754E-2</v>
      </c>
    </row>
    <row r="132" spans="2:27">
      <c r="B132" s="12" t="s">
        <v>114</v>
      </c>
      <c r="C132" s="3" t="s">
        <v>451</v>
      </c>
      <c r="D132" s="3" t="str">
        <f>VLOOKUP(B132,기업리스트!B:G,2,FALSE)</f>
        <v>Solar Industries India Limited</v>
      </c>
      <c r="E132" s="3" t="s">
        <v>401</v>
      </c>
      <c r="F132" s="5">
        <v>6.9</v>
      </c>
      <c r="G132" s="4">
        <v>10179</v>
      </c>
      <c r="H132" s="4">
        <v>13169</v>
      </c>
      <c r="I132" s="4">
        <v>16156</v>
      </c>
      <c r="J132" s="4">
        <v>15666</v>
      </c>
      <c r="K132" s="6">
        <v>18118</v>
      </c>
      <c r="L132" s="4">
        <v>19285</v>
      </c>
      <c r="M132" s="4">
        <v>16822</v>
      </c>
      <c r="N132" s="4">
        <v>13475</v>
      </c>
      <c r="O132" s="4">
        <v>14291</v>
      </c>
      <c r="P132" s="4">
        <v>16107</v>
      </c>
      <c r="Q132" s="4">
        <v>16948</v>
      </c>
      <c r="R132" s="4">
        <v>17158</v>
      </c>
      <c r="S132" s="4">
        <v>19731</v>
      </c>
      <c r="T132" s="4">
        <v>21666</v>
      </c>
      <c r="U132" s="4">
        <v>21545</v>
      </c>
      <c r="V132" s="4">
        <v>20822</v>
      </c>
      <c r="W132" s="4">
        <v>25483</v>
      </c>
      <c r="X132" s="7">
        <v>7.947786800869272E-2</v>
      </c>
      <c r="Y132" s="8">
        <v>6.0884997947101338E-2</v>
      </c>
      <c r="Z132" s="8">
        <v>4.5742821473158557E-2</v>
      </c>
      <c r="AA132" s="8">
        <v>6.8669117998185314E-2</v>
      </c>
    </row>
    <row r="133" spans="2:27">
      <c r="B133" s="12" t="s">
        <v>62</v>
      </c>
      <c r="C133" s="3" t="s">
        <v>451</v>
      </c>
      <c r="D133" s="3" t="str">
        <f>VLOOKUP(B133,기업리스트!B:G,2,FALSE)</f>
        <v>Adani Ports and Special Economic Zone Limited</v>
      </c>
      <c r="E133" s="3" t="s">
        <v>401</v>
      </c>
      <c r="F133" s="5">
        <v>5</v>
      </c>
      <c r="G133" s="4">
        <v>37971</v>
      </c>
      <c r="H133" s="4">
        <v>50298</v>
      </c>
      <c r="I133" s="4">
        <v>46380</v>
      </c>
      <c r="J133" s="4">
        <v>52108</v>
      </c>
      <c r="K133" s="4">
        <v>47862</v>
      </c>
      <c r="L133" s="4">
        <v>57969</v>
      </c>
      <c r="M133" s="4">
        <v>62476</v>
      </c>
      <c r="N133" s="4">
        <v>66464</v>
      </c>
      <c r="O133" s="4">
        <v>69201</v>
      </c>
      <c r="P133" s="4">
        <v>68965</v>
      </c>
      <c r="Q133" s="4">
        <v>69563</v>
      </c>
      <c r="R133" s="4">
        <v>70670</v>
      </c>
      <c r="S133" s="4">
        <v>79636</v>
      </c>
      <c r="T133" s="4">
        <v>84884</v>
      </c>
      <c r="U133" s="4">
        <v>91261</v>
      </c>
      <c r="V133" s="4">
        <v>91675</v>
      </c>
      <c r="W133" s="4">
        <v>97046</v>
      </c>
      <c r="X133" s="7">
        <v>5.5114702562717673E-2</v>
      </c>
      <c r="Y133" s="8">
        <v>7.1198642835345272E-2</v>
      </c>
      <c r="Z133" s="8">
        <v>6.4343500249654628E-2</v>
      </c>
      <c r="AA133" s="8">
        <v>5.0107063916006611E-2</v>
      </c>
    </row>
    <row r="134" spans="2:27">
      <c r="B134" s="12" t="s">
        <v>337</v>
      </c>
      <c r="C134" s="3" t="s">
        <v>451</v>
      </c>
      <c r="D134" s="3" t="str">
        <f>VLOOKUP(B134,기업리스트!B:G,2,FALSE)</f>
        <v>Mrs. Bectors Food Specialities Limited</v>
      </c>
      <c r="E134" s="3" t="s">
        <v>393</v>
      </c>
      <c r="F134" s="5">
        <v>2.9</v>
      </c>
      <c r="G134" s="4">
        <v>2463</v>
      </c>
      <c r="H134" s="4">
        <v>2632</v>
      </c>
      <c r="I134" s="4">
        <v>2523</v>
      </c>
      <c r="J134" s="4">
        <v>3008</v>
      </c>
      <c r="K134" s="4">
        <v>3474</v>
      </c>
      <c r="L134" s="4">
        <v>3679</v>
      </c>
      <c r="M134" s="4">
        <v>3461</v>
      </c>
      <c r="N134" s="4">
        <v>3742</v>
      </c>
      <c r="O134" s="4">
        <v>4145</v>
      </c>
      <c r="P134" s="4">
        <v>4289</v>
      </c>
      <c r="Q134" s="4">
        <v>4064</v>
      </c>
      <c r="R134" s="4">
        <v>4394</v>
      </c>
      <c r="S134" s="4">
        <v>4963</v>
      </c>
      <c r="T134" s="4">
        <v>4921</v>
      </c>
      <c r="U134" s="4">
        <v>4461</v>
      </c>
      <c r="V134" s="4">
        <v>4730</v>
      </c>
      <c r="W134" s="4">
        <v>5514</v>
      </c>
      <c r="X134" s="7">
        <v>3.5686053077357498E-2</v>
      </c>
      <c r="Y134" s="8">
        <v>2.1644313597208639E-2</v>
      </c>
      <c r="Z134" s="8">
        <v>1.7930519237952861E-2</v>
      </c>
      <c r="AA134" s="8">
        <v>2.8885976408912221E-2</v>
      </c>
    </row>
    <row r="135" spans="2:27">
      <c r="B135" s="12" t="s">
        <v>346</v>
      </c>
      <c r="C135" s="3" t="s">
        <v>451</v>
      </c>
      <c r="D135" s="3" t="str">
        <f>VLOOKUP(B135,기업리스트!B:G,2,FALSE)</f>
        <v>Pilani Investment and Industries Corporation Limited</v>
      </c>
      <c r="E135" s="3" t="s">
        <v>393</v>
      </c>
      <c r="F135" s="5">
        <v>2.4</v>
      </c>
      <c r="G135" s="4">
        <v>979.7</v>
      </c>
      <c r="H135" s="4">
        <v>516.30999999999995</v>
      </c>
      <c r="I135" s="4">
        <v>482.56</v>
      </c>
      <c r="J135" s="4">
        <v>597.49</v>
      </c>
      <c r="K135" s="4">
        <v>1124</v>
      </c>
      <c r="L135" s="4">
        <v>524.54999999999995</v>
      </c>
      <c r="M135" s="4">
        <v>527.86</v>
      </c>
      <c r="N135" s="4">
        <v>542.74</v>
      </c>
      <c r="O135" s="4">
        <v>1062</v>
      </c>
      <c r="P135" s="4">
        <v>611.97</v>
      </c>
      <c r="Q135" s="4">
        <v>646.59</v>
      </c>
      <c r="R135" s="4">
        <v>612.53</v>
      </c>
      <c r="S135" s="4">
        <v>1224</v>
      </c>
      <c r="T135" s="4">
        <v>609.36</v>
      </c>
      <c r="U135" s="4">
        <v>596.62</v>
      </c>
      <c r="V135" s="4">
        <v>495.8</v>
      </c>
      <c r="W135" s="4">
        <v>1295</v>
      </c>
      <c r="X135" s="7">
        <v>-8.4327111651039122E-4</v>
      </c>
      <c r="Y135" s="8">
        <v>-1.6158552359271439E-2</v>
      </c>
      <c r="Z135" s="8">
        <v>-3.836634883697998E-2</v>
      </c>
      <c r="AA135" s="8">
        <v>2.426703306468703E-2</v>
      </c>
    </row>
    <row r="136" spans="2:27">
      <c r="B136" s="12" t="s">
        <v>100</v>
      </c>
      <c r="C136" s="3" t="s">
        <v>451</v>
      </c>
      <c r="D136" s="3" t="str">
        <f>VLOOKUP(B136,기업리스트!B:G,2,FALSE)</f>
        <v>Pidilite Industries Limited</v>
      </c>
      <c r="E136" s="3" t="s">
        <v>393</v>
      </c>
      <c r="F136" s="5">
        <v>2.4</v>
      </c>
      <c r="G136" s="4">
        <v>26264</v>
      </c>
      <c r="H136" s="4">
        <v>28507</v>
      </c>
      <c r="I136" s="4">
        <v>25071</v>
      </c>
      <c r="J136" s="4">
        <v>31011</v>
      </c>
      <c r="K136" s="4">
        <v>30112</v>
      </c>
      <c r="L136" s="4">
        <v>29976</v>
      </c>
      <c r="M136" s="4">
        <v>26893</v>
      </c>
      <c r="N136" s="4">
        <v>32751</v>
      </c>
      <c r="O136" s="4">
        <v>30760</v>
      </c>
      <c r="P136" s="4">
        <v>31300</v>
      </c>
      <c r="Q136" s="4">
        <v>29019</v>
      </c>
      <c r="R136" s="4">
        <v>33954</v>
      </c>
      <c r="S136" s="4">
        <v>32349</v>
      </c>
      <c r="T136" s="4">
        <v>33689</v>
      </c>
      <c r="U136" s="4">
        <v>31411</v>
      </c>
      <c r="V136" s="4">
        <v>37531</v>
      </c>
      <c r="W136" s="4">
        <v>35544</v>
      </c>
      <c r="X136" s="7">
        <v>1.8867179479079569E-2</v>
      </c>
      <c r="Y136" s="8">
        <v>1.854105463875166E-2</v>
      </c>
      <c r="Z136" s="8">
        <v>2.7221600724488759E-2</v>
      </c>
      <c r="AA136" s="8">
        <v>2.3670173359016111E-2</v>
      </c>
    </row>
    <row r="137" spans="2:27">
      <c r="B137" s="12" t="s">
        <v>291</v>
      </c>
      <c r="C137" s="3" t="s">
        <v>451</v>
      </c>
      <c r="D137" s="3" t="str">
        <f>VLOOKUP(B137,기업리스트!B:G,2,FALSE)</f>
        <v>Reliance Power Limited</v>
      </c>
      <c r="E137" s="3" t="s">
        <v>401</v>
      </c>
      <c r="F137" s="5">
        <v>0.3</v>
      </c>
      <c r="G137" s="4">
        <v>17959</v>
      </c>
      <c r="H137" s="4">
        <v>18461</v>
      </c>
      <c r="I137" s="4">
        <v>20630</v>
      </c>
      <c r="J137" s="4">
        <v>18638</v>
      </c>
      <c r="K137" s="4">
        <v>18861</v>
      </c>
      <c r="L137" s="4">
        <v>17011</v>
      </c>
      <c r="M137" s="4">
        <v>19218</v>
      </c>
      <c r="N137" s="4">
        <v>20523</v>
      </c>
      <c r="O137" s="4">
        <v>19466</v>
      </c>
      <c r="P137" s="4">
        <v>19719</v>
      </c>
      <c r="Q137" s="4">
        <v>19922</v>
      </c>
      <c r="R137" s="4">
        <v>17598</v>
      </c>
      <c r="S137" s="4">
        <v>18528</v>
      </c>
      <c r="T137" s="4">
        <v>19780</v>
      </c>
      <c r="U137" s="4">
        <v>18856</v>
      </c>
      <c r="V137" s="4">
        <v>19740</v>
      </c>
      <c r="W137" s="4">
        <v>18728</v>
      </c>
      <c r="X137" s="7">
        <v>8.0509984557930458E-4</v>
      </c>
      <c r="Y137" s="8">
        <v>-1.405813156090097E-2</v>
      </c>
      <c r="Z137" s="8">
        <v>2.8650918916026891E-2</v>
      </c>
      <c r="AA137" s="8">
        <v>2.6006449599500492E-3</v>
      </c>
    </row>
    <row r="138" spans="2:27">
      <c r="B138" s="12" t="s">
        <v>353</v>
      </c>
      <c r="C138" s="3" t="s">
        <v>451</v>
      </c>
      <c r="D138" s="3" t="str">
        <f>VLOOKUP(B138,기업리스트!B:G,2,FALSE)</f>
        <v>CMS Info Systems Limited</v>
      </c>
      <c r="E138" s="3" t="s">
        <v>393</v>
      </c>
      <c r="F138" s="5">
        <v>-0.6</v>
      </c>
      <c r="G138" s="4">
        <v>3721</v>
      </c>
      <c r="H138" s="4">
        <v>4037</v>
      </c>
      <c r="I138" s="4">
        <v>4441</v>
      </c>
      <c r="J138" s="4">
        <v>4533</v>
      </c>
      <c r="K138" s="4">
        <v>4717</v>
      </c>
      <c r="L138" s="4">
        <v>4883</v>
      </c>
      <c r="M138" s="4">
        <v>5014</v>
      </c>
      <c r="N138" s="4">
        <v>5116</v>
      </c>
      <c r="O138" s="4">
        <v>5437</v>
      </c>
      <c r="P138" s="4">
        <v>5823</v>
      </c>
      <c r="Q138" s="4">
        <v>6271</v>
      </c>
      <c r="R138" s="4">
        <v>5994</v>
      </c>
      <c r="S138" s="4">
        <v>6245</v>
      </c>
      <c r="T138" s="4">
        <v>5815</v>
      </c>
      <c r="U138" s="4">
        <v>6191</v>
      </c>
      <c r="V138" s="4">
        <v>6274</v>
      </c>
      <c r="W138" s="4">
        <v>6086</v>
      </c>
      <c r="X138" s="7">
        <v>-3.2877162700861717E-4</v>
      </c>
      <c r="Y138" s="8">
        <v>-3.2887975334018331E-3</v>
      </c>
      <c r="Z138" s="8">
        <v>1.154877294287493E-2</v>
      </c>
      <c r="AA138" s="8">
        <v>-6.4831804281345606E-3</v>
      </c>
    </row>
    <row r="139" spans="2:27">
      <c r="B139" s="12" t="s">
        <v>355</v>
      </c>
      <c r="C139" s="3" t="s">
        <v>451</v>
      </c>
      <c r="D139" s="3" t="s">
        <v>450</v>
      </c>
      <c r="E139" s="3" t="s">
        <v>393</v>
      </c>
      <c r="F139" s="5">
        <v>-13.1</v>
      </c>
      <c r="G139" s="4">
        <v>11059</v>
      </c>
      <c r="H139" s="4">
        <v>7957</v>
      </c>
      <c r="I139" s="4">
        <v>11850</v>
      </c>
      <c r="J139" s="4">
        <v>15354</v>
      </c>
      <c r="K139" s="4">
        <v>13512</v>
      </c>
      <c r="L139" s="4">
        <v>9545</v>
      </c>
      <c r="M139" s="4">
        <v>13645</v>
      </c>
      <c r="N139" s="4">
        <v>0</v>
      </c>
      <c r="O139" s="4">
        <v>0</v>
      </c>
      <c r="P139" s="4">
        <v>0</v>
      </c>
      <c r="Q139" s="4">
        <v>0</v>
      </c>
      <c r="R139" s="4">
        <v>9024</v>
      </c>
      <c r="S139" s="6">
        <v>12648</v>
      </c>
      <c r="T139" s="4">
        <v>0</v>
      </c>
      <c r="U139" s="4">
        <v>0</v>
      </c>
      <c r="V139" s="6">
        <v>14822</v>
      </c>
      <c r="W139" s="4">
        <v>9045</v>
      </c>
      <c r="X139" s="23">
        <v>0</v>
      </c>
      <c r="Y139" s="8">
        <v>0</v>
      </c>
      <c r="Z139" s="9">
        <v>0.2675341454411222</v>
      </c>
      <c r="AA139" s="8">
        <v>-0.13116126683654891</v>
      </c>
    </row>
    <row r="140" spans="2:27" hidden="1">
      <c r="B140" s="3" t="s">
        <v>265</v>
      </c>
      <c r="C140" s="3" t="s">
        <v>391</v>
      </c>
      <c r="D140" s="3" t="s">
        <v>424</v>
      </c>
      <c r="E140" s="3" t="s">
        <v>453</v>
      </c>
      <c r="F140" s="5">
        <v>1.6</v>
      </c>
      <c r="G140" s="4">
        <v>329.6</v>
      </c>
      <c r="H140" s="4">
        <v>331.4</v>
      </c>
      <c r="I140" s="4">
        <v>346.7</v>
      </c>
      <c r="J140" s="4">
        <v>345.9</v>
      </c>
      <c r="K140" s="4">
        <v>342.6</v>
      </c>
      <c r="L140" s="4">
        <v>346.4</v>
      </c>
      <c r="M140" s="4">
        <v>353.9</v>
      </c>
      <c r="N140" s="4">
        <v>356.4</v>
      </c>
      <c r="O140" s="4">
        <v>378.7</v>
      </c>
      <c r="P140" s="4">
        <v>402.9</v>
      </c>
      <c r="Q140" s="4">
        <v>386</v>
      </c>
      <c r="R140" s="4">
        <v>388.1</v>
      </c>
      <c r="S140" s="4">
        <v>412.1</v>
      </c>
      <c r="T140" s="4">
        <v>409</v>
      </c>
      <c r="U140" s="4">
        <v>416.4</v>
      </c>
      <c r="V140" s="4">
        <v>411.7</v>
      </c>
      <c r="W140" s="4">
        <v>438.5</v>
      </c>
      <c r="X140" s="7">
        <v>3.8386508086338811E-3</v>
      </c>
      <c r="Y140" s="8">
        <v>1.9057171514543558E-2</v>
      </c>
      <c r="Z140" s="8">
        <v>1.4517716535433101E-2</v>
      </c>
      <c r="AA140" s="8">
        <v>1.6007761338830969E-2</v>
      </c>
    </row>
    <row r="141" spans="2:27" hidden="1">
      <c r="B141" s="3" t="s">
        <v>244</v>
      </c>
      <c r="C141" s="3" t="s">
        <v>391</v>
      </c>
      <c r="D141" s="3" t="s">
        <v>406</v>
      </c>
      <c r="E141" s="3" t="s">
        <v>454</v>
      </c>
      <c r="F141" s="5">
        <v>1.1000000000000001</v>
      </c>
      <c r="G141" s="4">
        <v>2.21</v>
      </c>
      <c r="H141" s="4">
        <v>2.0699999999999998</v>
      </c>
      <c r="I141" s="4">
        <v>2.0699999999999998</v>
      </c>
      <c r="J141" s="4">
        <v>1.85</v>
      </c>
      <c r="K141" s="4">
        <v>1.85</v>
      </c>
      <c r="L141" s="4">
        <v>1.87</v>
      </c>
      <c r="M141" s="4">
        <v>1.87</v>
      </c>
      <c r="N141" s="4">
        <v>1.83</v>
      </c>
      <c r="O141" s="4">
        <v>1.83</v>
      </c>
      <c r="P141" s="4">
        <v>1.81</v>
      </c>
      <c r="Q141" s="4">
        <v>1.81</v>
      </c>
      <c r="R141" s="4">
        <v>1.76</v>
      </c>
      <c r="S141" s="4">
        <v>1.76</v>
      </c>
      <c r="T141" s="4">
        <v>1.79</v>
      </c>
      <c r="U141" s="4">
        <v>1.79</v>
      </c>
      <c r="V141" s="4">
        <v>1.84</v>
      </c>
      <c r="W141" s="4">
        <v>1.84</v>
      </c>
      <c r="X141" s="7">
        <v>-2.8011204481793732E-3</v>
      </c>
      <c r="Y141" s="8">
        <v>-2.8089887640450062E-3</v>
      </c>
      <c r="Z141" s="8">
        <v>1.12676056338028E-2</v>
      </c>
      <c r="AA141" s="8">
        <v>1.1142061281337099E-2</v>
      </c>
    </row>
    <row r="142" spans="2:27" hidden="1">
      <c r="B142" s="3" t="s">
        <v>110</v>
      </c>
      <c r="C142" s="3" t="s">
        <v>391</v>
      </c>
      <c r="D142" s="3" t="s">
        <v>455</v>
      </c>
      <c r="E142" s="3" t="s">
        <v>453</v>
      </c>
      <c r="F142" s="5">
        <v>1</v>
      </c>
      <c r="G142" s="4">
        <v>3435</v>
      </c>
      <c r="H142" s="4">
        <v>3856</v>
      </c>
      <c r="I142" s="4">
        <v>3410</v>
      </c>
      <c r="J142" s="4">
        <v>3567</v>
      </c>
      <c r="K142" s="4">
        <v>3443</v>
      </c>
      <c r="L142" s="4">
        <v>3868</v>
      </c>
      <c r="M142" s="4">
        <v>3443</v>
      </c>
      <c r="N142" s="4">
        <v>3610</v>
      </c>
      <c r="O142" s="4">
        <v>3578</v>
      </c>
      <c r="P142" s="4">
        <v>4061</v>
      </c>
      <c r="Q142" s="4">
        <v>3631</v>
      </c>
      <c r="R142" s="4">
        <v>3854</v>
      </c>
      <c r="S142" s="4">
        <v>3883</v>
      </c>
      <c r="T142" s="4">
        <v>4322</v>
      </c>
      <c r="U142" s="4">
        <v>3690</v>
      </c>
      <c r="V142" s="4">
        <v>4016</v>
      </c>
      <c r="W142" s="4">
        <v>4037</v>
      </c>
      <c r="X142" s="7">
        <v>1.6916196772311931E-2</v>
      </c>
      <c r="Y142" s="8">
        <v>3.7603569152326881E-3</v>
      </c>
      <c r="Z142" s="8">
        <v>1.028636738840571E-2</v>
      </c>
      <c r="AA142" s="8">
        <v>9.6788385393753451E-3</v>
      </c>
    </row>
    <row r="143" spans="2:27" hidden="1">
      <c r="B143" s="3" t="s">
        <v>325</v>
      </c>
      <c r="C143" s="3" t="s">
        <v>391</v>
      </c>
      <c r="D143" s="3" t="s">
        <v>456</v>
      </c>
      <c r="E143" s="3" t="s">
        <v>453</v>
      </c>
      <c r="F143" s="5">
        <v>0.6</v>
      </c>
      <c r="G143" s="4">
        <v>173.66</v>
      </c>
      <c r="H143" s="4">
        <v>172.55</v>
      </c>
      <c r="I143" s="4">
        <v>226.53</v>
      </c>
      <c r="J143" s="4">
        <v>219.07</v>
      </c>
      <c r="K143" s="4">
        <v>221.7</v>
      </c>
      <c r="L143" s="4">
        <v>227.15</v>
      </c>
      <c r="M143" s="4">
        <v>294.12</v>
      </c>
      <c r="N143" s="4">
        <v>261.08999999999997</v>
      </c>
      <c r="O143" s="4">
        <v>248.88</v>
      </c>
      <c r="P143" s="4">
        <v>245.54</v>
      </c>
      <c r="Q143" s="4">
        <v>311.48</v>
      </c>
      <c r="R143" s="4">
        <v>254.38</v>
      </c>
      <c r="S143" s="4">
        <v>249.47</v>
      </c>
      <c r="T143" s="4">
        <v>260.41000000000003</v>
      </c>
      <c r="U143" s="4">
        <v>326.64999999999998</v>
      </c>
      <c r="V143" s="4">
        <v>263.62</v>
      </c>
      <c r="W143" s="4">
        <v>255.54</v>
      </c>
      <c r="X143" s="7">
        <v>1.401679753409946E-2</v>
      </c>
      <c r="Y143" s="8">
        <v>1.410192053842008E-2</v>
      </c>
      <c r="Z143" s="8">
        <v>8.4699929416724995E-3</v>
      </c>
      <c r="AA143" s="8">
        <v>5.5174294414397362E-3</v>
      </c>
    </row>
    <row r="144" spans="2:27" hidden="1">
      <c r="B144" s="3" t="s">
        <v>116</v>
      </c>
      <c r="C144" s="3" t="s">
        <v>391</v>
      </c>
      <c r="D144" s="3" t="s">
        <v>457</v>
      </c>
      <c r="E144" s="3" t="s">
        <v>453</v>
      </c>
      <c r="F144" s="5">
        <v>0.3</v>
      </c>
      <c r="G144" s="4">
        <v>1316</v>
      </c>
      <c r="H144" s="4">
        <v>1376</v>
      </c>
      <c r="I144" s="4">
        <v>1425</v>
      </c>
      <c r="J144" s="4">
        <v>0</v>
      </c>
      <c r="K144" s="4">
        <v>1497</v>
      </c>
      <c r="L144" s="4">
        <v>1150</v>
      </c>
      <c r="M144" s="4">
        <v>892.6</v>
      </c>
      <c r="N144" s="6">
        <v>1307</v>
      </c>
      <c r="O144" s="4">
        <v>1260</v>
      </c>
      <c r="P144" s="4">
        <v>1128</v>
      </c>
      <c r="Q144" s="4">
        <v>1097</v>
      </c>
      <c r="R144" s="4">
        <v>1451</v>
      </c>
      <c r="S144" s="4">
        <v>1334</v>
      </c>
      <c r="T144" s="4">
        <v>1123</v>
      </c>
      <c r="U144" s="4">
        <v>1096</v>
      </c>
      <c r="V144" s="4">
        <v>1450</v>
      </c>
      <c r="W144" s="4">
        <v>1347</v>
      </c>
      <c r="X144" s="7">
        <v>-9.9800399201599443E-4</v>
      </c>
      <c r="Y144" s="8">
        <v>-1.998001998001486E-4</v>
      </c>
      <c r="Z144" s="8">
        <v>-1.998401278976436E-4</v>
      </c>
      <c r="AA144" s="8">
        <v>2.5984409354387061E-3</v>
      </c>
    </row>
    <row r="145" spans="2:27" hidden="1">
      <c r="B145" s="3" t="s">
        <v>178</v>
      </c>
      <c r="C145" s="3" t="s">
        <v>391</v>
      </c>
      <c r="D145" s="3" t="s">
        <v>458</v>
      </c>
      <c r="E145" s="3" t="s">
        <v>453</v>
      </c>
      <c r="F145" s="5">
        <v>0.2</v>
      </c>
      <c r="G145" s="4">
        <v>280.31</v>
      </c>
      <c r="H145" s="4">
        <v>272.83999999999997</v>
      </c>
      <c r="I145" s="4">
        <v>269.58999999999997</v>
      </c>
      <c r="J145" s="4">
        <v>273.54000000000002</v>
      </c>
      <c r="K145" s="4">
        <v>275.08</v>
      </c>
      <c r="L145" s="4">
        <v>276.83999999999997</v>
      </c>
      <c r="M145" s="4">
        <v>280.94</v>
      </c>
      <c r="N145" s="4">
        <v>277.52</v>
      </c>
      <c r="O145" s="4">
        <v>299.04000000000002</v>
      </c>
      <c r="P145" s="4">
        <v>296.19</v>
      </c>
      <c r="Q145" s="4">
        <v>291.58</v>
      </c>
      <c r="R145" s="4">
        <v>298.83</v>
      </c>
      <c r="S145" s="4">
        <v>309.58999999999997</v>
      </c>
      <c r="T145" s="4">
        <v>301.77999999999997</v>
      </c>
      <c r="U145" s="4">
        <v>306.77999999999997</v>
      </c>
      <c r="V145" s="4">
        <v>304.89</v>
      </c>
      <c r="W145" s="4">
        <v>311.45999999999998</v>
      </c>
      <c r="X145" s="7">
        <v>4.6731706501474957E-3</v>
      </c>
      <c r="Y145" s="8">
        <v>1.26479056066835E-2</v>
      </c>
      <c r="Z145" s="8">
        <v>4.9795395158507283E-3</v>
      </c>
      <c r="AA145" s="8">
        <v>1.5289769754054381E-3</v>
      </c>
    </row>
    <row r="146" spans="2:27" hidden="1">
      <c r="B146" s="3" t="s">
        <v>344</v>
      </c>
      <c r="C146" s="3" t="s">
        <v>391</v>
      </c>
      <c r="D146" s="3" t="s">
        <v>459</v>
      </c>
      <c r="E146" s="3" t="s">
        <v>453</v>
      </c>
      <c r="F146" s="5">
        <v>-0.5</v>
      </c>
      <c r="G146" s="4">
        <v>9.26</v>
      </c>
      <c r="H146" s="4">
        <v>9.01</v>
      </c>
      <c r="I146" s="4">
        <v>6.79</v>
      </c>
      <c r="J146" s="4">
        <v>9.1199999999999992</v>
      </c>
      <c r="K146" s="4">
        <v>9.74</v>
      </c>
      <c r="L146" s="4">
        <v>9.91</v>
      </c>
      <c r="M146" s="4">
        <v>6.45</v>
      </c>
      <c r="N146" s="4">
        <v>8.44</v>
      </c>
      <c r="O146" s="4">
        <v>8.9700000000000006</v>
      </c>
      <c r="P146" s="4">
        <v>8.94</v>
      </c>
      <c r="Q146" s="4">
        <v>7.51</v>
      </c>
      <c r="R146" s="4">
        <v>8.31</v>
      </c>
      <c r="S146" s="4">
        <v>9.6999999999999993</v>
      </c>
      <c r="T146" s="4">
        <v>10.24</v>
      </c>
      <c r="U146" s="4">
        <v>8.4499999999999993</v>
      </c>
      <c r="V146" s="4">
        <v>9.65</v>
      </c>
      <c r="W146" s="4">
        <v>9.5</v>
      </c>
      <c r="X146" s="7">
        <v>3.772489843296567E-2</v>
      </c>
      <c r="Y146" s="8">
        <v>2.62863534675617E-2</v>
      </c>
      <c r="Z146" s="8">
        <v>3.6512261580381462E-2</v>
      </c>
      <c r="AA146" s="8">
        <v>-5.2576235541533789E-3</v>
      </c>
    </row>
    <row r="147" spans="2:27" hidden="1">
      <c r="B147" s="3" t="s">
        <v>37</v>
      </c>
      <c r="C147" s="3" t="s">
        <v>391</v>
      </c>
      <c r="D147" s="3" t="s">
        <v>460</v>
      </c>
      <c r="E147" s="3" t="s">
        <v>453</v>
      </c>
      <c r="F147" s="5">
        <v>-0.7</v>
      </c>
      <c r="G147" s="4">
        <v>10145</v>
      </c>
      <c r="H147" s="4">
        <v>11149</v>
      </c>
      <c r="I147" s="4">
        <v>13337</v>
      </c>
      <c r="J147" s="4">
        <v>16135</v>
      </c>
      <c r="K147" s="4">
        <v>14944</v>
      </c>
      <c r="L147" s="4">
        <v>13920</v>
      </c>
      <c r="M147" s="4">
        <v>11914</v>
      </c>
      <c r="N147" s="4">
        <v>11719</v>
      </c>
      <c r="O147" s="4">
        <v>12649</v>
      </c>
      <c r="P147" s="4">
        <v>12810</v>
      </c>
      <c r="Q147" s="4">
        <v>12381</v>
      </c>
      <c r="R147" s="4">
        <v>12889</v>
      </c>
      <c r="S147" s="4">
        <v>12888</v>
      </c>
      <c r="T147" s="4">
        <v>12531</v>
      </c>
      <c r="U147" s="4">
        <v>12323</v>
      </c>
      <c r="V147" s="4">
        <v>11991</v>
      </c>
      <c r="W147" s="4">
        <v>12552</v>
      </c>
      <c r="X147" s="7">
        <v>-5.4740229163396936E-3</v>
      </c>
      <c r="Y147" s="8">
        <v>-1.144232476474216E-3</v>
      </c>
      <c r="Z147" s="8">
        <v>-1.7736169540400141E-2</v>
      </c>
      <c r="AA147" s="8">
        <v>-6.7560774536021828E-3</v>
      </c>
    </row>
    <row r="148" spans="2:27" hidden="1">
      <c r="B148" s="3" t="s">
        <v>126</v>
      </c>
      <c r="C148" s="3" t="s">
        <v>391</v>
      </c>
      <c r="D148" s="3" t="s">
        <v>461</v>
      </c>
      <c r="E148" s="3" t="s">
        <v>453</v>
      </c>
      <c r="F148" s="5">
        <v>-5.9</v>
      </c>
      <c r="G148" s="4">
        <v>1549</v>
      </c>
      <c r="H148" s="4">
        <v>1413</v>
      </c>
      <c r="I148" s="4">
        <v>891.9</v>
      </c>
      <c r="J148" s="4">
        <v>917.79</v>
      </c>
      <c r="K148" s="4">
        <v>1288</v>
      </c>
      <c r="L148" s="6">
        <v>2020</v>
      </c>
      <c r="M148" s="6">
        <v>2220</v>
      </c>
      <c r="N148" s="6">
        <v>1867</v>
      </c>
      <c r="O148" s="4">
        <v>1862</v>
      </c>
      <c r="P148" s="6">
        <v>3228</v>
      </c>
      <c r="Q148" s="4">
        <v>2635</v>
      </c>
      <c r="R148" s="6">
        <v>2837</v>
      </c>
      <c r="S148" s="6">
        <v>3957</v>
      </c>
      <c r="T148" s="4">
        <v>2342</v>
      </c>
      <c r="U148" s="4">
        <v>3478</v>
      </c>
      <c r="V148" s="4">
        <v>3198</v>
      </c>
      <c r="W148" s="4">
        <v>3197</v>
      </c>
      <c r="X148" s="7">
        <v>-7.0000790076637398E-2</v>
      </c>
      <c r="Y148" s="8">
        <v>7.161668507348562E-2</v>
      </c>
      <c r="Z148" s="8">
        <v>2.861899476771845E-2</v>
      </c>
      <c r="AA148" s="8">
        <v>-5.8574181117533763E-2</v>
      </c>
    </row>
    <row r="149" spans="2:27" hidden="1">
      <c r="B149" s="3" t="s">
        <v>316</v>
      </c>
      <c r="C149" s="3" t="s">
        <v>452</v>
      </c>
      <c r="D149" s="3" t="s">
        <v>462</v>
      </c>
      <c r="E149" s="3" t="s">
        <v>453</v>
      </c>
      <c r="F149" s="5">
        <v>30.5</v>
      </c>
      <c r="G149" s="3"/>
      <c r="H149" s="3"/>
      <c r="I149" s="4">
        <v>0</v>
      </c>
      <c r="J149" s="4">
        <v>0</v>
      </c>
      <c r="K149" s="4">
        <v>0.53</v>
      </c>
      <c r="L149" s="4">
        <v>1.46</v>
      </c>
      <c r="M149" s="6">
        <v>1.51</v>
      </c>
      <c r="N149" s="6">
        <v>0.75</v>
      </c>
      <c r="O149" s="6">
        <v>2.19</v>
      </c>
      <c r="P149" s="4">
        <v>1.43</v>
      </c>
      <c r="Q149" s="6">
        <v>3.64</v>
      </c>
      <c r="R149" s="6">
        <v>4.51</v>
      </c>
      <c r="S149" s="6">
        <v>4.3899999999999997</v>
      </c>
      <c r="T149" s="6">
        <v>8.1199999999999992</v>
      </c>
      <c r="U149" s="4">
        <v>5.12</v>
      </c>
      <c r="V149" s="6">
        <v>10</v>
      </c>
      <c r="W149" s="6">
        <v>12.83</v>
      </c>
      <c r="X149" s="10">
        <v>0.4788833214030066</v>
      </c>
      <c r="Y149" s="8">
        <v>7.1636011616650563E-2</v>
      </c>
      <c r="Z149" s="9">
        <v>0.2479674796747966</v>
      </c>
      <c r="AA149" s="9">
        <v>0.30546507419471602</v>
      </c>
    </row>
    <row r="150" spans="2:27" hidden="1">
      <c r="B150" s="3" t="s">
        <v>120</v>
      </c>
      <c r="C150" s="3" t="s">
        <v>463</v>
      </c>
      <c r="D150" s="3" t="s">
        <v>450</v>
      </c>
      <c r="E150" s="3" t="s">
        <v>464</v>
      </c>
      <c r="F150" s="5">
        <v>4.5</v>
      </c>
      <c r="G150" s="3"/>
      <c r="H150" s="3"/>
      <c r="I150" s="3"/>
      <c r="J150" s="3"/>
      <c r="K150" s="3"/>
      <c r="L150" s="3"/>
      <c r="M150" s="3"/>
      <c r="N150" s="4">
        <v>627.15</v>
      </c>
      <c r="O150" s="4">
        <v>502.82</v>
      </c>
      <c r="P150" s="4">
        <v>1024</v>
      </c>
      <c r="Q150" s="4">
        <v>443.28</v>
      </c>
      <c r="R150" s="4">
        <v>603.61</v>
      </c>
      <c r="S150" s="4">
        <v>322.27</v>
      </c>
      <c r="T150" s="4">
        <v>269.62</v>
      </c>
      <c r="U150" s="4">
        <v>333.6</v>
      </c>
      <c r="V150" s="4">
        <v>236.47</v>
      </c>
      <c r="W150" s="4">
        <v>374.83</v>
      </c>
      <c r="X150" s="7">
        <v>-0.31522338665195798</v>
      </c>
      <c r="Y150" s="8">
        <v>-6.6927836561344489E-2</v>
      </c>
      <c r="Z150" s="8">
        <v>-0.24010202079654699</v>
      </c>
      <c r="AA150" s="8">
        <v>4.5233915108953797E-2</v>
      </c>
    </row>
    <row r="151" spans="2:27" hidden="1">
      <c r="B151" s="3" t="s">
        <v>82</v>
      </c>
      <c r="C151" s="3" t="s">
        <v>465</v>
      </c>
      <c r="D151" s="3" t="s">
        <v>450</v>
      </c>
      <c r="E151" s="3" t="s">
        <v>464</v>
      </c>
      <c r="F151" s="5">
        <v>4.5</v>
      </c>
      <c r="G151" s="3"/>
      <c r="H151" s="3"/>
      <c r="I151" s="3"/>
      <c r="J151" s="3"/>
      <c r="K151" s="3"/>
      <c r="L151" s="3"/>
      <c r="M151" s="3"/>
      <c r="N151" s="4">
        <v>5510</v>
      </c>
      <c r="O151" s="4">
        <v>5493</v>
      </c>
      <c r="P151" s="4">
        <v>6245</v>
      </c>
      <c r="Q151" s="4">
        <v>6547</v>
      </c>
      <c r="R151" s="4">
        <v>7649</v>
      </c>
      <c r="S151" s="4">
        <v>7105</v>
      </c>
      <c r="T151" s="4">
        <v>7697</v>
      </c>
      <c r="U151" s="4">
        <v>7650</v>
      </c>
      <c r="V151" s="4">
        <v>8380</v>
      </c>
      <c r="W151" s="4">
        <v>8483</v>
      </c>
      <c r="X151" s="7">
        <v>5.2711827488564511E-2</v>
      </c>
      <c r="Y151" s="8">
        <v>3.8037106007310813E-2</v>
      </c>
      <c r="Z151" s="8">
        <v>2.4284907478156811E-2</v>
      </c>
      <c r="AA151" s="8">
        <v>4.4693824597820342E-2</v>
      </c>
    </row>
    <row r="152" spans="2:27" hidden="1">
      <c r="B152" s="3" t="s">
        <v>271</v>
      </c>
      <c r="C152" s="3" t="s">
        <v>465</v>
      </c>
      <c r="D152" s="3" t="s">
        <v>450</v>
      </c>
      <c r="E152" s="3" t="s">
        <v>464</v>
      </c>
      <c r="F152" s="5">
        <v>2.4</v>
      </c>
      <c r="G152" s="3"/>
      <c r="H152" s="3"/>
      <c r="I152" s="3"/>
      <c r="J152" s="3"/>
      <c r="K152" s="3"/>
      <c r="L152" s="3"/>
      <c r="M152" s="3"/>
      <c r="N152" s="4">
        <v>293.42</v>
      </c>
      <c r="O152" s="4">
        <v>315.5</v>
      </c>
      <c r="P152" s="4">
        <v>295.49</v>
      </c>
      <c r="Q152" s="4">
        <v>362.05</v>
      </c>
      <c r="R152" s="4">
        <v>262.45999999999998</v>
      </c>
      <c r="S152" s="4">
        <v>313.60000000000002</v>
      </c>
      <c r="T152" s="4">
        <v>258.33</v>
      </c>
      <c r="U152" s="4">
        <v>314.8</v>
      </c>
      <c r="V152" s="4">
        <v>248.82</v>
      </c>
      <c r="W152" s="4">
        <v>340.45</v>
      </c>
      <c r="X152" s="7">
        <v>-3.012321660181572E-2</v>
      </c>
      <c r="Y152" s="8">
        <v>-3.9492160074888871E-2</v>
      </c>
      <c r="Z152" s="8">
        <v>-1.1869229631305661E-2</v>
      </c>
      <c r="AA152" s="8">
        <v>2.3644929769715221E-2</v>
      </c>
    </row>
    <row r="153" spans="2:27" hidden="1">
      <c r="B153" s="3" t="s">
        <v>320</v>
      </c>
      <c r="C153" s="3" t="s">
        <v>466</v>
      </c>
      <c r="D153" s="3" t="s">
        <v>450</v>
      </c>
      <c r="E153" s="3" t="s">
        <v>453</v>
      </c>
      <c r="F153" s="5">
        <v>-0.5</v>
      </c>
      <c r="G153" s="4">
        <v>1897</v>
      </c>
      <c r="H153" s="4">
        <v>2175</v>
      </c>
      <c r="I153" s="4">
        <v>2073</v>
      </c>
      <c r="J153" s="4">
        <v>2475</v>
      </c>
      <c r="K153" s="4">
        <v>2386</v>
      </c>
      <c r="L153" s="4">
        <v>2613</v>
      </c>
      <c r="M153" s="4">
        <v>2095</v>
      </c>
      <c r="N153" s="4">
        <v>2263</v>
      </c>
      <c r="O153" s="4">
        <v>2339</v>
      </c>
      <c r="P153" s="4">
        <v>2273</v>
      </c>
      <c r="Q153" s="4">
        <v>1811</v>
      </c>
      <c r="R153" s="4">
        <v>2331</v>
      </c>
      <c r="S153" s="4">
        <v>2273</v>
      </c>
      <c r="T153" s="4">
        <v>2423</v>
      </c>
      <c r="U153" s="4">
        <v>1999</v>
      </c>
      <c r="V153" s="4">
        <v>2339</v>
      </c>
      <c r="W153" s="4">
        <v>2224</v>
      </c>
      <c r="X153" s="7">
        <v>1.726519337016574E-2</v>
      </c>
      <c r="Y153" s="8">
        <v>2.1271780945915308E-2</v>
      </c>
      <c r="Z153" s="8">
        <v>8.8632838466651265E-4</v>
      </c>
      <c r="AA153" s="8">
        <v>-5.4239539517378921E-3</v>
      </c>
    </row>
  </sheetData>
  <autoFilter ref="B2:AA153" xr:uid="{00000000-0009-0000-0000-000001000000}">
    <filterColumn colId="3">
      <filters>
        <filter val="Dec'25"/>
        <filter val="Jun'26"/>
        <filter val="Mar'26"/>
        <filter val="Sep'26"/>
      </filters>
    </filterColumn>
    <sortState xmlns:xlrd2="http://schemas.microsoft.com/office/spreadsheetml/2017/richdata2" ref="B3:AA139">
      <sortCondition descending="1" ref="C2:C153"/>
    </sortState>
  </autoFilter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B2:AA153"/>
  <sheetViews>
    <sheetView workbookViewId="0">
      <selection activeCell="F18" sqref="F18"/>
    </sheetView>
  </sheetViews>
  <sheetFormatPr defaultRowHeight="16.5"/>
  <cols>
    <col min="1" max="1" width="9.875" customWidth="1"/>
    <col min="2" max="2" width="12" style="28" customWidth="1"/>
    <col min="3" max="3" width="14" customWidth="1"/>
    <col min="4" max="4" width="42" bestFit="1" customWidth="1"/>
    <col min="5" max="5" width="12" hidden="1" customWidth="1"/>
    <col min="6" max="6" width="15.375" bestFit="1" customWidth="1"/>
    <col min="7" max="11" width="9" hidden="1" customWidth="1"/>
    <col min="12" max="23" width="9" customWidth="1"/>
    <col min="24" max="27" width="10" customWidth="1"/>
  </cols>
  <sheetData>
    <row r="2" spans="2:27">
      <c r="B2" s="42" t="s">
        <v>1</v>
      </c>
      <c r="C2" s="42" t="s">
        <v>370</v>
      </c>
      <c r="D2" s="42" t="s">
        <v>371</v>
      </c>
      <c r="E2" s="2" t="s">
        <v>372</v>
      </c>
      <c r="F2" s="42" t="s">
        <v>373</v>
      </c>
      <c r="G2" s="42" t="s">
        <v>374</v>
      </c>
      <c r="H2" s="42" t="s">
        <v>375</v>
      </c>
      <c r="I2" s="42" t="s">
        <v>376</v>
      </c>
      <c r="J2" s="42" t="s">
        <v>377</v>
      </c>
      <c r="K2" s="42" t="s">
        <v>378</v>
      </c>
      <c r="L2" s="42" t="s">
        <v>379</v>
      </c>
      <c r="M2" s="42" t="s">
        <v>380</v>
      </c>
      <c r="N2" s="42" t="s">
        <v>381</v>
      </c>
      <c r="O2" s="42" t="s">
        <v>382</v>
      </c>
      <c r="P2" s="42" t="s">
        <v>383</v>
      </c>
      <c r="Q2" s="42" t="s">
        <v>384</v>
      </c>
      <c r="R2" s="42" t="s">
        <v>385</v>
      </c>
      <c r="S2" s="42" t="s">
        <v>386</v>
      </c>
      <c r="T2" s="42" t="s">
        <v>387</v>
      </c>
      <c r="U2" s="42" t="s">
        <v>388</v>
      </c>
      <c r="V2" s="42" t="s">
        <v>389</v>
      </c>
      <c r="W2" s="42" t="s">
        <v>390</v>
      </c>
      <c r="X2" s="43" t="s">
        <v>387</v>
      </c>
      <c r="Y2" s="42" t="s">
        <v>482</v>
      </c>
      <c r="Z2" s="42" t="s">
        <v>389</v>
      </c>
      <c r="AA2" s="42" t="s">
        <v>390</v>
      </c>
    </row>
    <row r="3" spans="2:27">
      <c r="B3" s="12" t="s">
        <v>351</v>
      </c>
      <c r="C3" s="3" t="s">
        <v>391</v>
      </c>
      <c r="D3" s="3" t="s">
        <v>448</v>
      </c>
      <c r="E3" s="3" t="s">
        <v>397</v>
      </c>
      <c r="F3" s="24">
        <v>1180.3</v>
      </c>
      <c r="G3" s="25">
        <v>35.67</v>
      </c>
      <c r="H3" s="25">
        <v>35.409999999999997</v>
      </c>
      <c r="I3" s="25">
        <v>25</v>
      </c>
      <c r="J3" s="25">
        <v>-42.92</v>
      </c>
      <c r="K3" s="25">
        <v>18.86</v>
      </c>
      <c r="L3" s="25">
        <v>-25.09</v>
      </c>
      <c r="M3" s="26">
        <v>-19.95</v>
      </c>
      <c r="N3" s="25">
        <v>27</v>
      </c>
      <c r="O3" s="25">
        <v>-12.91</v>
      </c>
      <c r="P3" s="25">
        <v>-3.39</v>
      </c>
      <c r="Q3" s="25">
        <v>25.6</v>
      </c>
      <c r="R3" s="25">
        <v>-7.24</v>
      </c>
      <c r="S3" s="26">
        <v>19.600000000000001</v>
      </c>
      <c r="T3" s="25">
        <v>-5.75</v>
      </c>
      <c r="U3" s="25">
        <v>-30.57</v>
      </c>
      <c r="V3" s="25">
        <v>12.77</v>
      </c>
      <c r="W3" s="26">
        <v>-27.02</v>
      </c>
      <c r="X3" s="7">
        <v>-6.8267283772056708E-2</v>
      </c>
      <c r="Y3" s="8">
        <v>-1.743868363862155</v>
      </c>
      <c r="Z3" s="8">
        <v>-0.83514190317195336</v>
      </c>
      <c r="AA3" s="9">
        <v>11.802531645569619</v>
      </c>
    </row>
    <row r="4" spans="2:27">
      <c r="B4" s="12" t="s">
        <v>341</v>
      </c>
      <c r="C4" s="3" t="s">
        <v>391</v>
      </c>
      <c r="D4" s="3" t="s">
        <v>410</v>
      </c>
      <c r="E4" s="3" t="s">
        <v>393</v>
      </c>
      <c r="F4" s="24">
        <v>239.2</v>
      </c>
      <c r="G4" s="25">
        <v>2.95</v>
      </c>
      <c r="H4" s="25">
        <v>-6.27</v>
      </c>
      <c r="I4" s="25">
        <v>-12.35</v>
      </c>
      <c r="J4" s="25">
        <v>-16.600000000000001</v>
      </c>
      <c r="K4" s="26">
        <v>-13.68</v>
      </c>
      <c r="L4" s="25">
        <v>-8.17</v>
      </c>
      <c r="M4" s="25">
        <v>-10.94</v>
      </c>
      <c r="N4" s="25">
        <v>-10.72</v>
      </c>
      <c r="O4" s="25">
        <v>-1.79</v>
      </c>
      <c r="P4" s="25">
        <v>-5.79</v>
      </c>
      <c r="Q4" s="25">
        <v>-4.88</v>
      </c>
      <c r="R4" s="25">
        <v>-4.9000000000000004</v>
      </c>
      <c r="S4" s="26">
        <v>-4.0599999999999996</v>
      </c>
      <c r="T4" s="26">
        <v>-10.16</v>
      </c>
      <c r="U4" s="25">
        <v>13.07</v>
      </c>
      <c r="V4" s="25">
        <v>8.39</v>
      </c>
      <c r="W4" s="26">
        <v>13.26</v>
      </c>
      <c r="X4" s="10">
        <v>0.22261844116148749</v>
      </c>
      <c r="Y4" s="8">
        <v>-0.74791666666666667</v>
      </c>
      <c r="Z4" s="8">
        <v>-2.1966942148760329</v>
      </c>
      <c r="AA4" s="9">
        <v>2.3922651933701662</v>
      </c>
    </row>
    <row r="5" spans="2:27">
      <c r="B5" s="12" t="s">
        <v>226</v>
      </c>
      <c r="C5" s="3" t="s">
        <v>391</v>
      </c>
      <c r="D5" s="3" t="s">
        <v>433</v>
      </c>
      <c r="E5" s="3" t="s">
        <v>397</v>
      </c>
      <c r="F5" s="24">
        <v>63.8</v>
      </c>
      <c r="G5" s="25">
        <v>-4.5199999999999996</v>
      </c>
      <c r="H5" s="25">
        <v>-117.74</v>
      </c>
      <c r="I5" s="25">
        <v>-106.37</v>
      </c>
      <c r="J5" s="25">
        <v>-97.26</v>
      </c>
      <c r="K5" s="25">
        <v>0</v>
      </c>
      <c r="L5" s="25">
        <v>-65.5</v>
      </c>
      <c r="M5" s="25">
        <v>-51.8</v>
      </c>
      <c r="N5" s="25">
        <v>-15.39</v>
      </c>
      <c r="O5" s="26">
        <v>-105.06</v>
      </c>
      <c r="P5" s="25">
        <v>-63.37</v>
      </c>
      <c r="Q5" s="25">
        <v>-21.54</v>
      </c>
      <c r="R5" s="25">
        <v>8.15</v>
      </c>
      <c r="S5" s="25">
        <v>51.24</v>
      </c>
      <c r="T5" s="25">
        <v>35.67</v>
      </c>
      <c r="U5" s="26">
        <v>0.68</v>
      </c>
      <c r="V5" s="25">
        <v>-20.399999999999999</v>
      </c>
      <c r="W5" s="26">
        <v>94.08</v>
      </c>
      <c r="X5" s="7">
        <v>-3.880877742946709</v>
      </c>
      <c r="Y5" s="9">
        <v>0.30223068552774751</v>
      </c>
      <c r="Z5" s="8">
        <v>-0.29820346772508882</v>
      </c>
      <c r="AA5" s="9">
        <v>0.63759488019050425</v>
      </c>
    </row>
    <row r="6" spans="2:27">
      <c r="B6" s="12" t="s">
        <v>288</v>
      </c>
      <c r="C6" s="3" t="s">
        <v>391</v>
      </c>
      <c r="D6" s="3" t="s">
        <v>404</v>
      </c>
      <c r="E6" s="3" t="s">
        <v>393</v>
      </c>
      <c r="F6" s="24">
        <v>60.8</v>
      </c>
      <c r="G6" s="25">
        <v>43.65</v>
      </c>
      <c r="H6" s="25">
        <v>53.69</v>
      </c>
      <c r="I6" s="25">
        <v>66.61</v>
      </c>
      <c r="J6" s="25">
        <v>67.150000000000006</v>
      </c>
      <c r="K6" s="25">
        <v>58.72</v>
      </c>
      <c r="L6" s="25">
        <v>67.17</v>
      </c>
      <c r="M6" s="25">
        <v>69.13</v>
      </c>
      <c r="N6" s="25">
        <v>79.150000000000006</v>
      </c>
      <c r="O6" s="25">
        <v>84.22</v>
      </c>
      <c r="P6" s="25">
        <v>96.46</v>
      </c>
      <c r="Q6" s="25">
        <v>88.05</v>
      </c>
      <c r="R6" s="25">
        <v>69.89</v>
      </c>
      <c r="S6" s="25">
        <v>40.94</v>
      </c>
      <c r="T6" s="25">
        <v>39.54</v>
      </c>
      <c r="U6" s="25">
        <v>-84.45</v>
      </c>
      <c r="V6" s="25">
        <v>60.58</v>
      </c>
      <c r="W6" s="26">
        <v>75.34</v>
      </c>
      <c r="X6" s="7">
        <v>-0.19272702647795761</v>
      </c>
      <c r="Y6" s="8">
        <v>-0.72351312809328072</v>
      </c>
      <c r="Z6" s="8">
        <v>-0.1412317961165048</v>
      </c>
      <c r="AA6" s="9">
        <v>0.60766649001943129</v>
      </c>
    </row>
    <row r="7" spans="2:27">
      <c r="B7" s="12" t="s">
        <v>331</v>
      </c>
      <c r="C7" s="3" t="s">
        <v>391</v>
      </c>
      <c r="D7" s="3" t="s">
        <v>446</v>
      </c>
      <c r="E7" s="3" t="s">
        <v>397</v>
      </c>
      <c r="F7" s="24">
        <v>59.2</v>
      </c>
      <c r="G7" s="25">
        <v>16.41</v>
      </c>
      <c r="H7" s="25">
        <v>18.14</v>
      </c>
      <c r="I7" s="25">
        <v>23.34</v>
      </c>
      <c r="J7" s="25">
        <v>27.91</v>
      </c>
      <c r="K7" s="25">
        <v>22.07</v>
      </c>
      <c r="L7" s="25">
        <v>16.100000000000001</v>
      </c>
      <c r="M7" s="25">
        <v>8.2100000000000009</v>
      </c>
      <c r="N7" s="25">
        <v>-8.51</v>
      </c>
      <c r="O7" s="25">
        <v>-14.51</v>
      </c>
      <c r="P7" s="25">
        <v>-14.29</v>
      </c>
      <c r="Q7" s="26">
        <v>-0.86</v>
      </c>
      <c r="R7" s="25">
        <v>-7.62</v>
      </c>
      <c r="S7" s="25">
        <v>-4.9800000000000004</v>
      </c>
      <c r="T7" s="25">
        <v>-16.68</v>
      </c>
      <c r="U7" s="26">
        <v>-15.2</v>
      </c>
      <c r="V7" s="26">
        <v>-13.94</v>
      </c>
      <c r="W7" s="26">
        <v>-35.04</v>
      </c>
      <c r="X7" s="7">
        <v>8.6126126126126135E-2</v>
      </c>
      <c r="Y7" s="9">
        <v>0.4757796947577968</v>
      </c>
      <c r="Z7" s="9">
        <v>0.1420863309352518</v>
      </c>
      <c r="AA7" s="9">
        <v>0.59173228346456708</v>
      </c>
    </row>
    <row r="8" spans="2:27">
      <c r="B8" s="12" t="s">
        <v>60</v>
      </c>
      <c r="C8" s="3" t="s">
        <v>391</v>
      </c>
      <c r="D8" s="3" t="s">
        <v>415</v>
      </c>
      <c r="E8" s="3" t="s">
        <v>397</v>
      </c>
      <c r="F8" s="24">
        <v>57.7</v>
      </c>
      <c r="G8" s="25">
        <v>2448</v>
      </c>
      <c r="H8" s="25">
        <v>-657</v>
      </c>
      <c r="I8" s="25">
        <v>-1061</v>
      </c>
      <c r="J8" s="25">
        <v>-126</v>
      </c>
      <c r="K8" s="25">
        <v>-1435</v>
      </c>
      <c r="L8" s="25">
        <v>1847</v>
      </c>
      <c r="M8" s="25">
        <v>621</v>
      </c>
      <c r="N8" s="25">
        <v>-1058</v>
      </c>
      <c r="O8" s="25">
        <v>2069</v>
      </c>
      <c r="P8" s="25">
        <v>1390</v>
      </c>
      <c r="Q8" s="26">
        <v>1415</v>
      </c>
      <c r="R8" s="26">
        <v>553</v>
      </c>
      <c r="S8" s="25">
        <v>-148</v>
      </c>
      <c r="T8" s="25">
        <v>920</v>
      </c>
      <c r="U8" s="25">
        <v>740</v>
      </c>
      <c r="V8" s="26">
        <v>1773</v>
      </c>
      <c r="W8" s="26">
        <v>1747</v>
      </c>
      <c r="X8" s="7">
        <v>-0.14641744548286609</v>
      </c>
      <c r="Y8" s="8">
        <v>-0.2463503649635036</v>
      </c>
      <c r="Z8" s="9">
        <v>0.59079903147699753</v>
      </c>
      <c r="AA8" s="9">
        <v>0.57686453576864527</v>
      </c>
    </row>
    <row r="9" spans="2:27">
      <c r="B9" s="12" t="s">
        <v>43</v>
      </c>
      <c r="C9" s="3" t="s">
        <v>391</v>
      </c>
      <c r="D9" s="3" t="s">
        <v>436</v>
      </c>
      <c r="E9" s="3" t="s">
        <v>397</v>
      </c>
      <c r="F9" s="24">
        <v>28.4</v>
      </c>
      <c r="G9" s="25">
        <v>1610</v>
      </c>
      <c r="H9" s="25">
        <v>1613</v>
      </c>
      <c r="I9" s="25">
        <v>8110</v>
      </c>
      <c r="J9" s="25">
        <v>5462</v>
      </c>
      <c r="K9" s="25">
        <v>0</v>
      </c>
      <c r="L9" s="26">
        <v>3948</v>
      </c>
      <c r="M9" s="25">
        <v>3118</v>
      </c>
      <c r="N9" s="25">
        <v>4448</v>
      </c>
      <c r="O9" s="26">
        <v>2130</v>
      </c>
      <c r="P9" s="25">
        <v>1571</v>
      </c>
      <c r="Q9" s="25">
        <v>2161</v>
      </c>
      <c r="R9" s="25">
        <v>1140</v>
      </c>
      <c r="S9" s="25">
        <v>886</v>
      </c>
      <c r="T9" s="25">
        <v>452</v>
      </c>
      <c r="U9" s="25">
        <v>1973</v>
      </c>
      <c r="V9" s="26">
        <v>1733</v>
      </c>
      <c r="W9" s="26">
        <v>2321</v>
      </c>
      <c r="X9" s="7">
        <v>-0.194338311913859</v>
      </c>
      <c r="Y9" s="8">
        <v>-4.0525975425738332E-2</v>
      </c>
      <c r="Z9" s="9">
        <v>0.13322848798022921</v>
      </c>
      <c r="AA9" s="9">
        <v>0.284496431403648</v>
      </c>
    </row>
    <row r="10" spans="2:27">
      <c r="B10" s="12" t="s">
        <v>7</v>
      </c>
      <c r="C10" s="3" t="s">
        <v>391</v>
      </c>
      <c r="D10" s="3" t="s">
        <v>398</v>
      </c>
      <c r="E10" s="3" t="s">
        <v>479</v>
      </c>
      <c r="F10" s="24">
        <v>22.8995057660626</v>
      </c>
      <c r="G10" s="25">
        <v>1174</v>
      </c>
      <c r="H10" s="25">
        <v>951</v>
      </c>
      <c r="I10" s="25">
        <v>526</v>
      </c>
      <c r="J10" s="25">
        <v>-64</v>
      </c>
      <c r="K10" s="25">
        <v>-149</v>
      </c>
      <c r="L10" s="25">
        <v>-145</v>
      </c>
      <c r="M10" s="25">
        <v>-20</v>
      </c>
      <c r="N10" s="25">
        <v>224</v>
      </c>
      <c r="O10" s="25">
        <v>342</v>
      </c>
      <c r="P10" s="26">
        <v>36</v>
      </c>
      <c r="Q10" s="26">
        <v>269</v>
      </c>
      <c r="R10" s="26">
        <v>724</v>
      </c>
      <c r="S10" s="26">
        <v>1057</v>
      </c>
      <c r="T10" s="26">
        <v>806</v>
      </c>
      <c r="U10" s="25">
        <v>-98</v>
      </c>
      <c r="V10" s="26">
        <v>1270</v>
      </c>
      <c r="W10" s="27">
        <v>1752</v>
      </c>
      <c r="X10" s="10">
        <v>0.36912751677852351</v>
      </c>
      <c r="Y10" s="8">
        <v>-0.1285014005602241</v>
      </c>
      <c r="Z10" s="9">
        <v>0.2193652069104057</v>
      </c>
      <c r="AA10" s="22">
        <v>0.22899505766062611</v>
      </c>
    </row>
    <row r="11" spans="2:27">
      <c r="B11" s="12" t="s">
        <v>248</v>
      </c>
      <c r="C11" s="3" t="s">
        <v>391</v>
      </c>
      <c r="D11" s="3" t="s">
        <v>402</v>
      </c>
      <c r="E11" s="3" t="s">
        <v>393</v>
      </c>
      <c r="F11" s="24">
        <v>19.8</v>
      </c>
      <c r="G11" s="25">
        <v>59.98</v>
      </c>
      <c r="H11" s="25">
        <v>21.19</v>
      </c>
      <c r="I11" s="25">
        <v>-5.27</v>
      </c>
      <c r="J11" s="25">
        <v>-11.31</v>
      </c>
      <c r="K11" s="26">
        <v>116.62</v>
      </c>
      <c r="L11" s="25">
        <v>27.42</v>
      </c>
      <c r="M11" s="25">
        <v>-25.42</v>
      </c>
      <c r="N11" s="25">
        <v>-20.48</v>
      </c>
      <c r="O11" s="26">
        <v>137.25</v>
      </c>
      <c r="P11" s="25">
        <v>18.309999999999999</v>
      </c>
      <c r="Q11" s="26">
        <v>-6.9</v>
      </c>
      <c r="R11" s="25">
        <v>-19.38</v>
      </c>
      <c r="S11" s="25">
        <v>138.11000000000001</v>
      </c>
      <c r="T11" s="26">
        <v>36.25</v>
      </c>
      <c r="U11" s="25">
        <v>-23.19</v>
      </c>
      <c r="V11" s="25">
        <v>-15.41</v>
      </c>
      <c r="W11" s="26">
        <v>164.94</v>
      </c>
      <c r="X11" s="10">
        <v>0.13785154449054859</v>
      </c>
      <c r="Y11" s="8">
        <v>-0.11000810372771461</v>
      </c>
      <c r="Z11" s="8">
        <v>3.012368161468992E-2</v>
      </c>
      <c r="AA11" s="9">
        <v>0.1976281673541542</v>
      </c>
    </row>
    <row r="12" spans="2:27">
      <c r="B12" s="12" t="s">
        <v>223</v>
      </c>
      <c r="C12" s="3" t="s">
        <v>391</v>
      </c>
      <c r="D12" s="3" t="s">
        <v>398</v>
      </c>
      <c r="E12" s="3" t="s">
        <v>397</v>
      </c>
      <c r="F12" s="24">
        <v>17.7</v>
      </c>
      <c r="G12" s="25">
        <v>68.87</v>
      </c>
      <c r="H12" s="25">
        <v>66.459999999999994</v>
      </c>
      <c r="I12" s="25">
        <v>67.849999999999994</v>
      </c>
      <c r="J12" s="25">
        <v>55.07</v>
      </c>
      <c r="K12" s="25">
        <v>24.93</v>
      </c>
      <c r="L12" s="25">
        <v>5.52</v>
      </c>
      <c r="M12" s="25">
        <v>5.04</v>
      </c>
      <c r="N12" s="25">
        <v>15.69</v>
      </c>
      <c r="O12" s="25">
        <v>14.94</v>
      </c>
      <c r="P12" s="26">
        <v>17.95</v>
      </c>
      <c r="Q12" s="26">
        <v>32.04</v>
      </c>
      <c r="R12" s="26">
        <v>24.46</v>
      </c>
      <c r="S12" s="25">
        <v>17.690000000000001</v>
      </c>
      <c r="T12" s="25">
        <v>9.77</v>
      </c>
      <c r="U12" s="25">
        <v>22.33</v>
      </c>
      <c r="V12" s="25">
        <v>29.23</v>
      </c>
      <c r="W12" s="26">
        <v>31.71</v>
      </c>
      <c r="X12" s="7">
        <v>-8.8777946602995317E-2</v>
      </c>
      <c r="Y12" s="8">
        <v>-0.1156503096712721</v>
      </c>
      <c r="Z12" s="8">
        <v>6.4242424242424212E-2</v>
      </c>
      <c r="AA12" s="9">
        <v>0.17742343710453051</v>
      </c>
    </row>
    <row r="13" spans="2:27">
      <c r="B13" s="12" t="s">
        <v>240</v>
      </c>
      <c r="C13" s="3" t="s">
        <v>391</v>
      </c>
      <c r="D13" s="3" t="s">
        <v>445</v>
      </c>
      <c r="E13" s="3" t="s">
        <v>401</v>
      </c>
      <c r="F13" s="24">
        <v>17.2</v>
      </c>
      <c r="G13" s="25">
        <v>343</v>
      </c>
      <c r="H13" s="25">
        <v>172</v>
      </c>
      <c r="I13" s="25">
        <v>233</v>
      </c>
      <c r="J13" s="25">
        <v>263</v>
      </c>
      <c r="K13" s="25">
        <v>237</v>
      </c>
      <c r="L13" s="25">
        <v>89</v>
      </c>
      <c r="M13" s="25">
        <v>78</v>
      </c>
      <c r="N13" s="25">
        <v>124</v>
      </c>
      <c r="O13" s="25">
        <v>141</v>
      </c>
      <c r="P13" s="25">
        <v>41</v>
      </c>
      <c r="Q13" s="25">
        <v>17</v>
      </c>
      <c r="R13" s="25">
        <v>25</v>
      </c>
      <c r="S13" s="25">
        <v>69</v>
      </c>
      <c r="T13" s="25">
        <v>-39</v>
      </c>
      <c r="U13" s="25">
        <v>17</v>
      </c>
      <c r="V13" s="25">
        <v>11</v>
      </c>
      <c r="W13" s="26">
        <v>79</v>
      </c>
      <c r="X13" s="7">
        <v>-0.52631578947368429</v>
      </c>
      <c r="Y13" s="8">
        <v>0</v>
      </c>
      <c r="Z13" s="8">
        <v>-0.19444444444444439</v>
      </c>
      <c r="AA13" s="9">
        <v>0.1724137931034482</v>
      </c>
    </row>
    <row r="14" spans="2:27">
      <c r="B14" s="12" t="s">
        <v>207</v>
      </c>
      <c r="C14" s="3" t="s">
        <v>391</v>
      </c>
      <c r="D14" s="3" t="s">
        <v>417</v>
      </c>
      <c r="E14" s="3" t="s">
        <v>397</v>
      </c>
      <c r="F14" s="24">
        <v>15.3</v>
      </c>
      <c r="G14" s="25">
        <v>-17.829999999999998</v>
      </c>
      <c r="H14" s="25">
        <v>-48.09</v>
      </c>
      <c r="I14" s="25">
        <v>-37.57</v>
      </c>
      <c r="J14" s="25">
        <v>-25.58</v>
      </c>
      <c r="K14" s="25">
        <v>-9.99</v>
      </c>
      <c r="L14" s="25">
        <v>-43.12</v>
      </c>
      <c r="M14" s="25">
        <v>-39.72</v>
      </c>
      <c r="N14" s="25">
        <v>-29.15</v>
      </c>
      <c r="O14" s="25">
        <v>-5.24</v>
      </c>
      <c r="P14" s="25">
        <v>-47.63</v>
      </c>
      <c r="Q14" s="25">
        <v>-28.83</v>
      </c>
      <c r="R14" s="25">
        <v>-23.64</v>
      </c>
      <c r="S14" s="25">
        <v>-10.9</v>
      </c>
      <c r="T14" s="25">
        <v>-43.16</v>
      </c>
      <c r="U14" s="25">
        <v>-36.549999999999997</v>
      </c>
      <c r="V14" s="26">
        <v>-35.93</v>
      </c>
      <c r="W14" s="26">
        <v>-30.26</v>
      </c>
      <c r="X14" s="7">
        <v>-4.0270270270270303E-2</v>
      </c>
      <c r="Y14" s="8">
        <v>7.2467849432084952E-2</v>
      </c>
      <c r="Z14" s="9">
        <v>0.1075711159737418</v>
      </c>
      <c r="AA14" s="9">
        <v>0.15299510036352151</v>
      </c>
    </row>
    <row r="15" spans="2:27">
      <c r="B15" s="12" t="s">
        <v>90</v>
      </c>
      <c r="C15" s="3" t="s">
        <v>391</v>
      </c>
      <c r="D15" s="3" t="s">
        <v>395</v>
      </c>
      <c r="E15" s="3" t="s">
        <v>393</v>
      </c>
      <c r="F15" s="24">
        <v>11.4</v>
      </c>
      <c r="G15" s="25">
        <v>355</v>
      </c>
      <c r="H15" s="25">
        <v>404</v>
      </c>
      <c r="I15" s="25">
        <v>386</v>
      </c>
      <c r="J15" s="25">
        <v>360</v>
      </c>
      <c r="K15" s="25">
        <v>336</v>
      </c>
      <c r="L15" s="25">
        <v>335</v>
      </c>
      <c r="M15" s="25">
        <v>355</v>
      </c>
      <c r="N15" s="25">
        <v>299</v>
      </c>
      <c r="O15" s="25">
        <v>268</v>
      </c>
      <c r="P15" s="25">
        <v>338</v>
      </c>
      <c r="Q15" s="25">
        <v>369</v>
      </c>
      <c r="R15" s="25">
        <v>319</v>
      </c>
      <c r="S15" s="25">
        <v>276</v>
      </c>
      <c r="T15" s="25">
        <v>359</v>
      </c>
      <c r="U15" s="25">
        <v>319</v>
      </c>
      <c r="V15" s="26">
        <v>558</v>
      </c>
      <c r="W15" s="26">
        <v>449</v>
      </c>
      <c r="X15" s="7">
        <v>1.6129032258064498E-2</v>
      </c>
      <c r="Y15" s="8">
        <v>-3.7792894935752108E-2</v>
      </c>
      <c r="Z15" s="9">
        <v>0.18774548311076189</v>
      </c>
      <c r="AA15" s="9">
        <v>0.11441798941798929</v>
      </c>
    </row>
    <row r="16" spans="2:27">
      <c r="B16" s="12" t="s">
        <v>88</v>
      </c>
      <c r="C16" s="3" t="s">
        <v>391</v>
      </c>
      <c r="D16" s="3" t="s">
        <v>392</v>
      </c>
      <c r="E16" s="3" t="s">
        <v>393</v>
      </c>
      <c r="F16" s="24">
        <v>11.4</v>
      </c>
      <c r="G16" s="25">
        <v>51.05</v>
      </c>
      <c r="H16" s="25">
        <v>89.78</v>
      </c>
      <c r="I16" s="25">
        <v>165.21</v>
      </c>
      <c r="J16" s="25">
        <v>220.12</v>
      </c>
      <c r="K16" s="26">
        <v>215.18</v>
      </c>
      <c r="L16" s="25">
        <v>99.08</v>
      </c>
      <c r="M16" s="25">
        <v>226.76</v>
      </c>
      <c r="N16" s="25">
        <v>172.51</v>
      </c>
      <c r="O16" s="26">
        <v>371.46</v>
      </c>
      <c r="P16" s="26">
        <v>378.31</v>
      </c>
      <c r="Q16" s="25">
        <v>288.49</v>
      </c>
      <c r="R16" s="26">
        <v>509.2</v>
      </c>
      <c r="S16" s="25">
        <v>368.62</v>
      </c>
      <c r="T16" s="25">
        <v>146.78</v>
      </c>
      <c r="U16" s="25">
        <v>228.39</v>
      </c>
      <c r="V16" s="25">
        <v>182.26</v>
      </c>
      <c r="W16" s="26">
        <v>474.3</v>
      </c>
      <c r="X16" s="7">
        <v>-0.14989447242687531</v>
      </c>
      <c r="Y16" s="8">
        <v>-4.576990152997884E-2</v>
      </c>
      <c r="Z16" s="8">
        <v>-0.26092786055754641</v>
      </c>
      <c r="AA16" s="9">
        <v>0.1141191080395227</v>
      </c>
    </row>
    <row r="17" spans="2:27">
      <c r="B17" s="12" t="s">
        <v>365</v>
      </c>
      <c r="C17" s="3" t="s">
        <v>391</v>
      </c>
      <c r="D17" s="3" t="s">
        <v>405</v>
      </c>
      <c r="E17" s="3" t="s">
        <v>397</v>
      </c>
      <c r="F17" s="24">
        <v>10</v>
      </c>
      <c r="G17" s="25">
        <v>20.72</v>
      </c>
      <c r="H17" s="25">
        <v>17.79</v>
      </c>
      <c r="I17" s="25">
        <v>27.29</v>
      </c>
      <c r="J17" s="25">
        <v>27.75</v>
      </c>
      <c r="K17" s="25">
        <v>29.51</v>
      </c>
      <c r="L17" s="25">
        <v>24.95</v>
      </c>
      <c r="M17" s="25">
        <v>18.11</v>
      </c>
      <c r="N17" s="25">
        <v>12.6</v>
      </c>
      <c r="O17" s="25">
        <v>11.62</v>
      </c>
      <c r="P17" s="25">
        <v>12.41</v>
      </c>
      <c r="Q17" s="25">
        <v>9.56</v>
      </c>
      <c r="R17" s="25">
        <v>10.75</v>
      </c>
      <c r="S17" s="25">
        <v>12.24</v>
      </c>
      <c r="T17" s="25">
        <v>10.45</v>
      </c>
      <c r="U17" s="25">
        <v>11.26</v>
      </c>
      <c r="V17" s="25">
        <v>13.61</v>
      </c>
      <c r="W17" s="25">
        <v>16.989999999999998</v>
      </c>
      <c r="X17" s="7">
        <v>-4.3594306049822062E-2</v>
      </c>
      <c r="Y17" s="8">
        <v>3.9534883720930392E-2</v>
      </c>
      <c r="Z17" s="8">
        <v>6.3982102908277438E-2</v>
      </c>
      <c r="AA17" s="8">
        <v>9.9873843566021803E-2</v>
      </c>
    </row>
    <row r="18" spans="2:27">
      <c r="B18" s="12" t="s">
        <v>301</v>
      </c>
      <c r="C18" s="3" t="s">
        <v>391</v>
      </c>
      <c r="D18" s="3" t="s">
        <v>413</v>
      </c>
      <c r="E18" s="3" t="s">
        <v>401</v>
      </c>
      <c r="F18" s="5">
        <v>8.8000000000000007</v>
      </c>
      <c r="G18" s="25">
        <v>61.34</v>
      </c>
      <c r="H18" s="25">
        <v>32.75</v>
      </c>
      <c r="I18" s="25">
        <v>87.1</v>
      </c>
      <c r="J18" s="25">
        <v>76.42</v>
      </c>
      <c r="K18" s="26">
        <v>110.98</v>
      </c>
      <c r="L18" s="26">
        <v>111.22</v>
      </c>
      <c r="M18" s="25">
        <v>70.819999999999993</v>
      </c>
      <c r="N18" s="25">
        <v>102.24</v>
      </c>
      <c r="O18" s="25">
        <v>101</v>
      </c>
      <c r="P18" s="25">
        <v>0</v>
      </c>
      <c r="Q18" s="25">
        <v>71.41</v>
      </c>
      <c r="R18" s="25">
        <v>83</v>
      </c>
      <c r="S18" s="25">
        <v>82.48</v>
      </c>
      <c r="T18" s="26">
        <v>108.04</v>
      </c>
      <c r="U18" s="25">
        <v>88.25</v>
      </c>
      <c r="V18" s="25">
        <v>100.85</v>
      </c>
      <c r="W18" s="25">
        <v>115.8</v>
      </c>
      <c r="X18" s="10">
        <v>0.45607666005318942</v>
      </c>
      <c r="Y18" s="8">
        <v>4.8821500014495589E-2</v>
      </c>
      <c r="Z18" s="8">
        <v>4.9340741355004658E-2</v>
      </c>
      <c r="AA18" s="8">
        <v>8.7771982508824564E-2</v>
      </c>
    </row>
    <row r="19" spans="2:27">
      <c r="B19" s="12" t="s">
        <v>124</v>
      </c>
      <c r="C19" s="3" t="s">
        <v>391</v>
      </c>
      <c r="D19" s="3" t="s">
        <v>424</v>
      </c>
      <c r="E19" s="3" t="s">
        <v>397</v>
      </c>
      <c r="F19" s="5">
        <v>8.6999999999999993</v>
      </c>
      <c r="G19" s="25">
        <v>504</v>
      </c>
      <c r="H19" s="25">
        <v>384</v>
      </c>
      <c r="I19" s="25">
        <v>229</v>
      </c>
      <c r="J19" s="25">
        <v>229</v>
      </c>
      <c r="K19" s="25">
        <v>392</v>
      </c>
      <c r="L19" s="25">
        <v>283</v>
      </c>
      <c r="M19" s="25">
        <v>286</v>
      </c>
      <c r="N19" s="25">
        <v>249</v>
      </c>
      <c r="O19" s="25">
        <v>375</v>
      </c>
      <c r="P19" s="25">
        <v>323</v>
      </c>
      <c r="Q19" s="25">
        <v>304</v>
      </c>
      <c r="R19" s="25">
        <v>254</v>
      </c>
      <c r="S19" s="25">
        <v>357</v>
      </c>
      <c r="T19" s="25">
        <v>216</v>
      </c>
      <c r="U19" s="25">
        <v>253</v>
      </c>
      <c r="V19" s="25">
        <v>289</v>
      </c>
      <c r="W19" s="25">
        <v>454</v>
      </c>
      <c r="X19" s="7">
        <v>-8.6429725363489474E-2</v>
      </c>
      <c r="Y19" s="8">
        <v>-4.5092838196286511E-2</v>
      </c>
      <c r="Z19" s="8">
        <v>3.240740740740744E-2</v>
      </c>
      <c r="AA19" s="8">
        <v>8.6995515695067249E-2</v>
      </c>
    </row>
    <row r="20" spans="2:27">
      <c r="B20" s="12" t="s">
        <v>22</v>
      </c>
      <c r="C20" s="3" t="s">
        <v>391</v>
      </c>
      <c r="D20" s="3" t="s">
        <v>424</v>
      </c>
      <c r="E20" s="3" t="s">
        <v>397</v>
      </c>
      <c r="F20" s="5">
        <v>8.1999999999999993</v>
      </c>
      <c r="G20" s="25">
        <v>2048</v>
      </c>
      <c r="H20" s="25">
        <v>2001</v>
      </c>
      <c r="I20" s="25">
        <v>1420</v>
      </c>
      <c r="J20" s="25">
        <v>1137</v>
      </c>
      <c r="K20" s="25">
        <v>2147</v>
      </c>
      <c r="L20" s="25">
        <v>1987</v>
      </c>
      <c r="M20" s="26">
        <v>2431</v>
      </c>
      <c r="N20" s="26">
        <v>2442</v>
      </c>
      <c r="O20" s="25">
        <v>2588</v>
      </c>
      <c r="P20" s="25">
        <v>2768</v>
      </c>
      <c r="Q20" s="25">
        <v>2774</v>
      </c>
      <c r="R20" s="25">
        <v>2908</v>
      </c>
      <c r="S20" s="25">
        <v>3041</v>
      </c>
      <c r="T20" s="25">
        <v>1828</v>
      </c>
      <c r="U20" s="25">
        <v>3331</v>
      </c>
      <c r="V20" s="26">
        <v>4167</v>
      </c>
      <c r="W20" s="25">
        <v>4051</v>
      </c>
      <c r="X20" s="7">
        <v>-8.1803150291532511E-2</v>
      </c>
      <c r="Y20" s="8">
        <v>5.2791204625153958E-2</v>
      </c>
      <c r="Z20" s="9">
        <v>0.113341735685992</v>
      </c>
      <c r="AA20" s="8">
        <v>8.1668957710034684E-2</v>
      </c>
    </row>
    <row r="21" spans="2:27">
      <c r="B21" s="12" t="s">
        <v>14</v>
      </c>
      <c r="C21" s="3" t="s">
        <v>391</v>
      </c>
      <c r="D21" s="3" t="s">
        <v>423</v>
      </c>
      <c r="E21" s="3" t="s">
        <v>397</v>
      </c>
      <c r="F21" s="5">
        <v>7.9</v>
      </c>
      <c r="G21" s="25">
        <v>2839</v>
      </c>
      <c r="H21" s="25">
        <v>2905</v>
      </c>
      <c r="I21" s="25">
        <v>3571</v>
      </c>
      <c r="J21" s="25">
        <v>3560</v>
      </c>
      <c r="K21" s="25">
        <v>2451</v>
      </c>
      <c r="L21" s="25">
        <v>2910</v>
      </c>
      <c r="M21" s="25">
        <v>3852</v>
      </c>
      <c r="N21" s="25">
        <v>4122</v>
      </c>
      <c r="O21" s="25">
        <v>3027</v>
      </c>
      <c r="P21" s="25">
        <v>2915</v>
      </c>
      <c r="Q21" s="25">
        <v>4155</v>
      </c>
      <c r="R21" s="25">
        <v>4143</v>
      </c>
      <c r="S21" s="25">
        <v>1521</v>
      </c>
      <c r="T21" s="25">
        <v>2834</v>
      </c>
      <c r="U21" s="25">
        <v>3975</v>
      </c>
      <c r="V21" s="25">
        <v>4046</v>
      </c>
      <c r="W21" s="25">
        <v>2503</v>
      </c>
      <c r="X21" s="7">
        <v>-6.3609235118580187E-3</v>
      </c>
      <c r="Y21" s="8">
        <v>-1.422587528649333E-2</v>
      </c>
      <c r="Z21" s="8">
        <v>-7.7767978834282214E-3</v>
      </c>
      <c r="AA21" s="8">
        <v>7.9347123464770464E-2</v>
      </c>
    </row>
    <row r="22" spans="2:27">
      <c r="B22" s="12" t="s">
        <v>339</v>
      </c>
      <c r="C22" s="3" t="s">
        <v>391</v>
      </c>
      <c r="D22" s="3" t="s">
        <v>405</v>
      </c>
      <c r="E22" s="3" t="s">
        <v>397</v>
      </c>
      <c r="F22" s="5">
        <v>6.9</v>
      </c>
      <c r="G22" s="25">
        <v>8.58</v>
      </c>
      <c r="H22" s="25">
        <v>26.76</v>
      </c>
      <c r="I22" s="25">
        <v>19.32</v>
      </c>
      <c r="J22" s="25">
        <v>22.69</v>
      </c>
      <c r="K22" s="26">
        <v>19</v>
      </c>
      <c r="L22" s="25">
        <v>19.59</v>
      </c>
      <c r="M22" s="25">
        <v>19.489999999999998</v>
      </c>
      <c r="N22" s="25">
        <v>19.309999999999999</v>
      </c>
      <c r="O22" s="25">
        <v>14.1</v>
      </c>
      <c r="P22" s="25">
        <v>13.13</v>
      </c>
      <c r="Q22" s="25">
        <v>13.58</v>
      </c>
      <c r="R22" s="25">
        <v>10.43</v>
      </c>
      <c r="S22" s="26">
        <v>20.010000000000002</v>
      </c>
      <c r="T22" s="26">
        <v>23.78</v>
      </c>
      <c r="U22" s="26">
        <v>22.83</v>
      </c>
      <c r="V22" s="26">
        <v>25.75</v>
      </c>
      <c r="W22" s="25">
        <v>26.36</v>
      </c>
      <c r="X22" s="10">
        <v>0.1863517060367452</v>
      </c>
      <c r="Y22" s="9">
        <v>0.1364306784660767</v>
      </c>
      <c r="Z22" s="9">
        <v>0.19883192731992219</v>
      </c>
      <c r="AA22" s="8">
        <v>6.8745263613727348E-2</v>
      </c>
    </row>
    <row r="23" spans="2:27">
      <c r="B23" s="12" t="s">
        <v>41</v>
      </c>
      <c r="C23" s="3" t="s">
        <v>391</v>
      </c>
      <c r="D23" s="3" t="s">
        <v>413</v>
      </c>
      <c r="E23" s="3" t="s">
        <v>397</v>
      </c>
      <c r="F23" s="5">
        <v>6.8</v>
      </c>
      <c r="G23" s="25">
        <v>963</v>
      </c>
      <c r="H23" s="25">
        <v>961</v>
      </c>
      <c r="I23" s="25">
        <v>1006</v>
      </c>
      <c r="J23" s="25">
        <v>1549</v>
      </c>
      <c r="K23" s="25">
        <v>919</v>
      </c>
      <c r="L23" s="25">
        <v>1062</v>
      </c>
      <c r="M23" s="25">
        <v>1030</v>
      </c>
      <c r="N23" s="25">
        <v>995</v>
      </c>
      <c r="O23" s="25">
        <v>1213</v>
      </c>
      <c r="P23" s="25">
        <v>1094</v>
      </c>
      <c r="Q23" s="25">
        <v>1074</v>
      </c>
      <c r="R23" s="25">
        <v>1126</v>
      </c>
      <c r="S23" s="25">
        <v>1172</v>
      </c>
      <c r="T23" s="25">
        <v>1180</v>
      </c>
      <c r="U23" s="25">
        <v>1123</v>
      </c>
      <c r="V23" s="25">
        <v>1131</v>
      </c>
      <c r="W23" s="25">
        <v>1483</v>
      </c>
      <c r="X23" s="7">
        <v>1.9256605463501941E-2</v>
      </c>
      <c r="Y23" s="8">
        <v>1.076449912126543E-2</v>
      </c>
      <c r="Z23" s="8">
        <v>1.0867202782003369E-3</v>
      </c>
      <c r="AA23" s="8">
        <v>6.7520625271385137E-2</v>
      </c>
    </row>
    <row r="24" spans="2:27">
      <c r="B24" s="12" t="s">
        <v>168</v>
      </c>
      <c r="C24" s="3" t="s">
        <v>391</v>
      </c>
      <c r="D24" s="3" t="s">
        <v>424</v>
      </c>
      <c r="E24" s="3" t="s">
        <v>397</v>
      </c>
      <c r="F24" s="5">
        <v>6.3</v>
      </c>
      <c r="G24" s="25">
        <v>213.3</v>
      </c>
      <c r="H24" s="25">
        <v>138.5</v>
      </c>
      <c r="I24" s="25">
        <v>36.700000000000003</v>
      </c>
      <c r="J24" s="25">
        <v>9</v>
      </c>
      <c r="K24" s="25">
        <v>-6.1</v>
      </c>
      <c r="L24" s="25">
        <v>-9</v>
      </c>
      <c r="M24" s="25">
        <v>-82.1</v>
      </c>
      <c r="N24" s="25">
        <v>7.6</v>
      </c>
      <c r="O24" s="25">
        <v>158.69999999999999</v>
      </c>
      <c r="P24" s="26">
        <v>153.80000000000001</v>
      </c>
      <c r="Q24" s="26">
        <v>59.9</v>
      </c>
      <c r="R24" s="26">
        <v>138.19999999999999</v>
      </c>
      <c r="S24" s="26">
        <v>220</v>
      </c>
      <c r="T24" s="25">
        <v>168.6</v>
      </c>
      <c r="U24" s="26">
        <v>207.4</v>
      </c>
      <c r="V24" s="26">
        <v>238.7</v>
      </c>
      <c r="W24" s="25">
        <v>272.3</v>
      </c>
      <c r="X24" s="7">
        <v>2.5878650113656091E-2</v>
      </c>
      <c r="Y24" s="9">
        <v>0.25140617010397159</v>
      </c>
      <c r="Z24" s="9">
        <v>0.13688368292018521</v>
      </c>
      <c r="AA24" s="8">
        <v>6.2657242122918344E-2</v>
      </c>
    </row>
    <row r="25" spans="2:27">
      <c r="B25" s="12" t="s">
        <v>203</v>
      </c>
      <c r="C25" s="3" t="s">
        <v>391</v>
      </c>
      <c r="D25" s="3" t="s">
        <v>411</v>
      </c>
      <c r="E25" s="3" t="s">
        <v>397</v>
      </c>
      <c r="F25" s="5">
        <v>6</v>
      </c>
      <c r="G25" s="25">
        <v>75.44</v>
      </c>
      <c r="H25" s="25">
        <v>50.05</v>
      </c>
      <c r="I25" s="25">
        <v>43.69</v>
      </c>
      <c r="J25" s="25">
        <v>47.64</v>
      </c>
      <c r="K25" s="25">
        <v>57.99</v>
      </c>
      <c r="L25" s="25">
        <v>31.89</v>
      </c>
      <c r="M25" s="25">
        <v>54.17</v>
      </c>
      <c r="N25" s="25">
        <v>42.55</v>
      </c>
      <c r="O25" s="25">
        <v>51.79</v>
      </c>
      <c r="P25" s="26">
        <v>53.9</v>
      </c>
      <c r="Q25" s="25">
        <v>64.400000000000006</v>
      </c>
      <c r="R25" s="25">
        <v>49.39</v>
      </c>
      <c r="S25" s="26">
        <v>103.58</v>
      </c>
      <c r="T25" s="25">
        <v>52.58</v>
      </c>
      <c r="U25" s="25">
        <v>76.48</v>
      </c>
      <c r="V25" s="26">
        <v>90.95</v>
      </c>
      <c r="W25" s="25">
        <v>122.91</v>
      </c>
      <c r="X25" s="7">
        <v>-4.8660006635454778E-3</v>
      </c>
      <c r="Y25" s="8">
        <v>4.4749027597703162E-2</v>
      </c>
      <c r="Z25" s="9">
        <v>0.1473602099067477</v>
      </c>
      <c r="AA25" s="8">
        <v>5.9736085787570607E-2</v>
      </c>
    </row>
    <row r="26" spans="2:27">
      <c r="B26" s="12" t="s">
        <v>136</v>
      </c>
      <c r="C26" s="3" t="s">
        <v>391</v>
      </c>
      <c r="D26" s="3" t="s">
        <v>418</v>
      </c>
      <c r="E26" s="3" t="s">
        <v>408</v>
      </c>
      <c r="F26" s="5">
        <v>5.8</v>
      </c>
      <c r="G26" s="25">
        <v>133.6</v>
      </c>
      <c r="H26" s="25">
        <v>125.66</v>
      </c>
      <c r="I26" s="25">
        <v>111.59</v>
      </c>
      <c r="J26" s="25">
        <v>103.77</v>
      </c>
      <c r="K26" s="25">
        <v>140.72</v>
      </c>
      <c r="L26" s="25">
        <v>107.38</v>
      </c>
      <c r="M26" s="25">
        <v>108.39</v>
      </c>
      <c r="N26" s="25">
        <v>124.2</v>
      </c>
      <c r="O26" s="25">
        <v>132.69999999999999</v>
      </c>
      <c r="P26" s="25">
        <v>118.97</v>
      </c>
      <c r="Q26" s="25">
        <v>112.1</v>
      </c>
      <c r="R26" s="25">
        <v>142.07</v>
      </c>
      <c r="S26" s="25">
        <v>151.28</v>
      </c>
      <c r="T26" s="25">
        <v>123</v>
      </c>
      <c r="U26" s="25">
        <v>138.74</v>
      </c>
      <c r="V26" s="25">
        <v>155.69999999999999</v>
      </c>
      <c r="W26" s="25">
        <v>184.07</v>
      </c>
      <c r="X26" s="7">
        <v>7.684680218145834E-3</v>
      </c>
      <c r="Y26" s="8">
        <v>5.041158103888721E-2</v>
      </c>
      <c r="Z26" s="8">
        <v>2.4554576735304149E-2</v>
      </c>
      <c r="AA26" s="8">
        <v>5.7655788437192212E-2</v>
      </c>
    </row>
    <row r="27" spans="2:27" hidden="1">
      <c r="B27" s="3" t="s">
        <v>265</v>
      </c>
      <c r="C27" s="3" t="s">
        <v>391</v>
      </c>
      <c r="D27" s="3" t="s">
        <v>424</v>
      </c>
      <c r="E27" s="3" t="s">
        <v>453</v>
      </c>
      <c r="F27" s="24">
        <v>13.8</v>
      </c>
      <c r="G27" s="4">
        <v>22.4</v>
      </c>
      <c r="H27" s="4">
        <v>53.1</v>
      </c>
      <c r="I27" s="4">
        <v>28.9</v>
      </c>
      <c r="J27" s="4">
        <v>-1.7</v>
      </c>
      <c r="K27" s="4">
        <v>28.7</v>
      </c>
      <c r="L27" s="4">
        <v>-15.2</v>
      </c>
      <c r="M27" s="4">
        <v>14.8</v>
      </c>
      <c r="N27" s="4">
        <v>-8.6999999999999993</v>
      </c>
      <c r="O27" s="4">
        <v>21.1</v>
      </c>
      <c r="P27" s="6">
        <v>55.8</v>
      </c>
      <c r="Q27" s="6">
        <v>41.7</v>
      </c>
      <c r="R27" s="6">
        <v>13.3</v>
      </c>
      <c r="S27" s="6">
        <v>51.4</v>
      </c>
      <c r="T27" s="4">
        <v>56.8</v>
      </c>
      <c r="U27" s="4">
        <v>56.4</v>
      </c>
      <c r="V27" s="6">
        <v>45.1</v>
      </c>
      <c r="W27" s="6">
        <v>80.400000000000006</v>
      </c>
      <c r="X27" s="7">
        <v>6.1652281134401132E-3</v>
      </c>
      <c r="Y27" s="8">
        <v>9.0073529411764719E-2</v>
      </c>
      <c r="Z27" s="9">
        <v>0.17875210792580101</v>
      </c>
      <c r="AA27" s="9">
        <v>0.1382927992370053</v>
      </c>
    </row>
    <row r="28" spans="2:27" hidden="1">
      <c r="B28" s="3" t="s">
        <v>110</v>
      </c>
      <c r="C28" s="3" t="s">
        <v>391</v>
      </c>
      <c r="D28" s="3" t="s">
        <v>455</v>
      </c>
      <c r="E28" s="3" t="s">
        <v>453</v>
      </c>
      <c r="F28" s="5">
        <v>1.3</v>
      </c>
      <c r="G28" s="4">
        <v>541.6</v>
      </c>
      <c r="H28" s="4">
        <v>587.20000000000005</v>
      </c>
      <c r="I28" s="4">
        <v>466.4</v>
      </c>
      <c r="J28" s="4">
        <v>541.6</v>
      </c>
      <c r="K28" s="4">
        <v>546</v>
      </c>
      <c r="L28" s="4">
        <v>606.9</v>
      </c>
      <c r="M28" s="4">
        <v>346.5</v>
      </c>
      <c r="N28" s="4">
        <v>544.20000000000005</v>
      </c>
      <c r="O28" s="4">
        <v>560.79999999999995</v>
      </c>
      <c r="P28" s="4">
        <v>538.4</v>
      </c>
      <c r="Q28" s="4">
        <v>478.9</v>
      </c>
      <c r="R28" s="4">
        <v>568.1</v>
      </c>
      <c r="S28" s="4">
        <v>600.1</v>
      </c>
      <c r="T28" s="4">
        <v>649.6</v>
      </c>
      <c r="U28" s="4">
        <v>486.4</v>
      </c>
      <c r="V28" s="4">
        <v>594</v>
      </c>
      <c r="W28" s="4">
        <v>629.5</v>
      </c>
      <c r="X28" s="7">
        <v>5.0880805307709893E-2</v>
      </c>
      <c r="Y28" s="8">
        <v>3.2655549266338291E-3</v>
      </c>
      <c r="Z28" s="8">
        <v>1.1240343720163141E-2</v>
      </c>
      <c r="AA28" s="8">
        <v>1.261748422814479E-2</v>
      </c>
    </row>
    <row r="29" spans="2:27" hidden="1">
      <c r="B29" s="3" t="s">
        <v>116</v>
      </c>
      <c r="C29" s="3" t="s">
        <v>391</v>
      </c>
      <c r="D29" s="3" t="s">
        <v>457</v>
      </c>
      <c r="E29" s="3" t="s">
        <v>453</v>
      </c>
      <c r="F29" s="5">
        <v>-2.1</v>
      </c>
      <c r="G29" s="4">
        <v>169.8</v>
      </c>
      <c r="H29" s="4">
        <v>196.6</v>
      </c>
      <c r="I29" s="4">
        <v>274.89999999999998</v>
      </c>
      <c r="J29" s="4">
        <v>0</v>
      </c>
      <c r="K29" s="6">
        <v>348.7</v>
      </c>
      <c r="L29" s="4">
        <v>212.3</v>
      </c>
      <c r="M29" s="4">
        <v>124.7</v>
      </c>
      <c r="N29" s="6">
        <v>308.8</v>
      </c>
      <c r="O29" s="4">
        <v>300</v>
      </c>
      <c r="P29" s="4">
        <v>255</v>
      </c>
      <c r="Q29" s="6">
        <v>225.2</v>
      </c>
      <c r="R29" s="4">
        <v>382</v>
      </c>
      <c r="S29" s="4">
        <v>316.39999999999998</v>
      </c>
      <c r="T29" s="4">
        <v>205.6</v>
      </c>
      <c r="U29" s="4">
        <v>188.9</v>
      </c>
      <c r="V29" s="4">
        <v>336.3</v>
      </c>
      <c r="W29" s="4">
        <v>293.89999999999998</v>
      </c>
      <c r="X29" s="7">
        <v>-4.1914135414898968E-2</v>
      </c>
      <c r="Y29" s="8">
        <v>-3.2146652497343157E-2</v>
      </c>
      <c r="Z29" s="8">
        <v>-4.1815353646262321E-2</v>
      </c>
      <c r="AA29" s="8">
        <v>-2.1485867074102379E-2</v>
      </c>
    </row>
    <row r="30" spans="2:27" hidden="1">
      <c r="B30" s="3" t="s">
        <v>178</v>
      </c>
      <c r="C30" s="3" t="s">
        <v>391</v>
      </c>
      <c r="D30" s="3" t="s">
        <v>458</v>
      </c>
      <c r="E30" s="3" t="s">
        <v>453</v>
      </c>
      <c r="F30" s="5">
        <v>-2.2000000000000002</v>
      </c>
      <c r="G30" s="4">
        <v>187.7</v>
      </c>
      <c r="H30" s="4">
        <v>207.73</v>
      </c>
      <c r="I30" s="4">
        <v>222.68</v>
      </c>
      <c r="J30" s="4">
        <v>273.77999999999997</v>
      </c>
      <c r="K30" s="4">
        <v>257.37</v>
      </c>
      <c r="L30" s="4">
        <v>199.33</v>
      </c>
      <c r="M30" s="4">
        <v>237.58</v>
      </c>
      <c r="N30" s="4">
        <v>227.1</v>
      </c>
      <c r="O30" s="4">
        <v>226.05</v>
      </c>
      <c r="P30" s="4">
        <v>213.1</v>
      </c>
      <c r="Q30" s="4">
        <v>218.88</v>
      </c>
      <c r="R30" s="4">
        <v>262.83999999999997</v>
      </c>
      <c r="S30" s="4">
        <v>242.6</v>
      </c>
      <c r="T30" s="4">
        <v>220.53</v>
      </c>
      <c r="U30" s="4">
        <v>223.71</v>
      </c>
      <c r="V30" s="4">
        <v>226.77</v>
      </c>
      <c r="W30" s="4">
        <v>222.92</v>
      </c>
      <c r="X30" s="7">
        <v>7.9260096861597518E-3</v>
      </c>
      <c r="Y30" s="8">
        <v>5.1119225273852384E-3</v>
      </c>
      <c r="Z30" s="8">
        <v>-3.7981214724959973E-2</v>
      </c>
      <c r="AA30" s="8">
        <v>-2.1540920086251188E-2</v>
      </c>
    </row>
    <row r="31" spans="2:27" hidden="1">
      <c r="B31" s="3" t="s">
        <v>325</v>
      </c>
      <c r="C31" s="3" t="s">
        <v>391</v>
      </c>
      <c r="D31" s="3" t="s">
        <v>456</v>
      </c>
      <c r="E31" s="3" t="s">
        <v>453</v>
      </c>
      <c r="F31" s="5">
        <v>-2.2000000000000002</v>
      </c>
      <c r="G31" s="4">
        <v>21.26</v>
      </c>
      <c r="H31" s="4">
        <v>10.24</v>
      </c>
      <c r="I31" s="4">
        <v>21.83</v>
      </c>
      <c r="J31" s="4">
        <v>3.37</v>
      </c>
      <c r="K31" s="4">
        <v>15.39</v>
      </c>
      <c r="L31" s="4">
        <v>15.12</v>
      </c>
      <c r="M31" s="6">
        <v>55.78</v>
      </c>
      <c r="N31" s="6">
        <v>35.590000000000003</v>
      </c>
      <c r="O31" s="4">
        <v>19.010000000000002</v>
      </c>
      <c r="P31" s="4">
        <v>17.13</v>
      </c>
      <c r="Q31" s="4">
        <v>55.18</v>
      </c>
      <c r="R31" s="4">
        <v>12.37</v>
      </c>
      <c r="S31" s="4">
        <v>12.38</v>
      </c>
      <c r="T31" s="4">
        <v>26.06</v>
      </c>
      <c r="U31" s="4">
        <v>58.05</v>
      </c>
      <c r="V31" s="4">
        <v>16.309999999999999</v>
      </c>
      <c r="W31" s="4">
        <v>9.93</v>
      </c>
      <c r="X31" s="7">
        <v>9.2004945394601245E-2</v>
      </c>
      <c r="Y31" s="8">
        <v>2.7078026228889659E-2</v>
      </c>
      <c r="Z31" s="8">
        <v>3.6193275767040227E-2</v>
      </c>
      <c r="AA31" s="8">
        <v>-2.171985815602839E-2</v>
      </c>
    </row>
    <row r="32" spans="2:27" hidden="1">
      <c r="B32" s="3" t="s">
        <v>37</v>
      </c>
      <c r="C32" s="3" t="s">
        <v>391</v>
      </c>
      <c r="D32" s="3" t="s">
        <v>460</v>
      </c>
      <c r="E32" s="3" t="s">
        <v>453</v>
      </c>
      <c r="F32" s="5">
        <v>-2.9</v>
      </c>
      <c r="G32" s="4">
        <v>1596</v>
      </c>
      <c r="H32" s="4">
        <v>1955</v>
      </c>
      <c r="I32" s="4">
        <v>3911</v>
      </c>
      <c r="J32" s="4">
        <v>5275</v>
      </c>
      <c r="K32" s="6">
        <v>3708</v>
      </c>
      <c r="L32" s="6">
        <v>4360</v>
      </c>
      <c r="M32" s="4">
        <v>2612</v>
      </c>
      <c r="N32" s="4">
        <v>2009</v>
      </c>
      <c r="O32" s="4">
        <v>2691</v>
      </c>
      <c r="P32" s="4">
        <v>2190</v>
      </c>
      <c r="Q32" s="4">
        <v>2391</v>
      </c>
      <c r="R32" s="4">
        <v>2366</v>
      </c>
      <c r="S32" s="4">
        <v>2663</v>
      </c>
      <c r="T32" s="4">
        <v>1827</v>
      </c>
      <c r="U32" s="4">
        <v>2420</v>
      </c>
      <c r="V32" s="4">
        <v>1277</v>
      </c>
      <c r="W32" s="4">
        <v>2429</v>
      </c>
      <c r="X32" s="7">
        <v>-3.777315296566075E-2</v>
      </c>
      <c r="Y32" s="8">
        <v>3.1361522655997121E-3</v>
      </c>
      <c r="Z32" s="8">
        <v>-0.11739974126778779</v>
      </c>
      <c r="AA32" s="8">
        <v>-2.8581898131183611E-2</v>
      </c>
    </row>
    <row r="33" spans="2:27" hidden="1">
      <c r="B33" s="3" t="s">
        <v>320</v>
      </c>
      <c r="C33" s="3" t="s">
        <v>466</v>
      </c>
      <c r="D33" s="3" t="s">
        <v>450</v>
      </c>
      <c r="E33" s="3" t="s">
        <v>453</v>
      </c>
      <c r="F33" s="5">
        <v>-5.2</v>
      </c>
      <c r="G33" s="4">
        <v>269.5</v>
      </c>
      <c r="H33" s="4">
        <v>241.5</v>
      </c>
      <c r="I33" s="4">
        <v>170.5</v>
      </c>
      <c r="J33" s="4">
        <v>286.10000000000002</v>
      </c>
      <c r="K33" s="4">
        <v>292.10000000000002</v>
      </c>
      <c r="L33" s="4">
        <v>321</v>
      </c>
      <c r="M33" s="4">
        <v>160.80000000000001</v>
      </c>
      <c r="N33" s="4">
        <v>255.3</v>
      </c>
      <c r="O33" s="4">
        <v>289.2</v>
      </c>
      <c r="P33" s="4">
        <v>290.5</v>
      </c>
      <c r="Q33" s="4">
        <v>74.5</v>
      </c>
      <c r="R33" s="4">
        <v>228.4</v>
      </c>
      <c r="S33" s="4">
        <v>288.10000000000002</v>
      </c>
      <c r="T33" s="4">
        <v>300.5</v>
      </c>
      <c r="U33" s="4">
        <v>92.3</v>
      </c>
      <c r="V33" s="4">
        <v>236.9</v>
      </c>
      <c r="W33" s="4">
        <v>240.7</v>
      </c>
      <c r="X33" s="7">
        <v>1.134429948950655E-2</v>
      </c>
      <c r="Y33" s="8">
        <v>1.9966348850252391E-2</v>
      </c>
      <c r="Z33" s="8">
        <v>9.3478499945012228E-3</v>
      </c>
      <c r="AA33" s="8">
        <v>-5.1645238614077223E-2</v>
      </c>
    </row>
    <row r="34" spans="2:27" hidden="1">
      <c r="B34" s="3" t="s">
        <v>126</v>
      </c>
      <c r="C34" s="3" t="s">
        <v>391</v>
      </c>
      <c r="D34" s="3" t="s">
        <v>461</v>
      </c>
      <c r="E34" s="3" t="s">
        <v>453</v>
      </c>
      <c r="F34" s="5">
        <v>-7.7</v>
      </c>
      <c r="G34" s="4">
        <v>-645.83000000000004</v>
      </c>
      <c r="H34" s="4">
        <v>337.76</v>
      </c>
      <c r="I34" s="4">
        <v>-406.75</v>
      </c>
      <c r="J34" s="4">
        <v>-234.56</v>
      </c>
      <c r="K34" s="6">
        <v>-1173</v>
      </c>
      <c r="L34" s="4">
        <v>700.34</v>
      </c>
      <c r="M34" s="4">
        <v>895.83</v>
      </c>
      <c r="N34" s="6">
        <v>420.4</v>
      </c>
      <c r="O34" s="6">
        <v>478.06</v>
      </c>
      <c r="P34" s="6">
        <v>1507</v>
      </c>
      <c r="Q34" s="4">
        <v>712.93</v>
      </c>
      <c r="R34" s="6">
        <v>757.5</v>
      </c>
      <c r="S34" s="6">
        <v>1742</v>
      </c>
      <c r="T34" s="4">
        <v>-57.4</v>
      </c>
      <c r="U34" s="4">
        <v>-34.97</v>
      </c>
      <c r="V34" s="6">
        <v>1366</v>
      </c>
      <c r="W34" s="4">
        <v>1510</v>
      </c>
      <c r="X34" s="7">
        <v>-0.33148070847538802</v>
      </c>
      <c r="Y34" s="8">
        <v>-0.2370500438981562</v>
      </c>
      <c r="Z34" s="9">
        <v>0.25279066772463482</v>
      </c>
      <c r="AA34" s="8">
        <v>-7.6932514930545204E-2</v>
      </c>
    </row>
    <row r="35" spans="2:27" hidden="1">
      <c r="B35" s="3" t="s">
        <v>316</v>
      </c>
      <c r="C35" s="3" t="s">
        <v>391</v>
      </c>
      <c r="D35" s="3" t="s">
        <v>462</v>
      </c>
      <c r="E35" s="3" t="s">
        <v>453</v>
      </c>
      <c r="F35" s="5">
        <v>-12.5</v>
      </c>
      <c r="G35" s="3"/>
      <c r="H35" s="3"/>
      <c r="I35" s="4">
        <v>-0.94</v>
      </c>
      <c r="J35" s="4">
        <v>-0.71</v>
      </c>
      <c r="K35" s="4">
        <v>-0.43</v>
      </c>
      <c r="L35" s="4">
        <v>-4.53</v>
      </c>
      <c r="M35" s="4">
        <v>-0.91</v>
      </c>
      <c r="N35" s="6">
        <v>-5.36</v>
      </c>
      <c r="O35" s="6">
        <v>-1.85</v>
      </c>
      <c r="P35" s="6">
        <v>-12.16</v>
      </c>
      <c r="Q35" s="6">
        <v>-9.83</v>
      </c>
      <c r="R35" s="4">
        <v>-4.0999999999999996</v>
      </c>
      <c r="S35" s="4">
        <v>-3.2</v>
      </c>
      <c r="T35" s="4">
        <v>-1.84</v>
      </c>
      <c r="U35" s="4">
        <v>-5.92</v>
      </c>
      <c r="V35" s="4">
        <v>0.1</v>
      </c>
      <c r="W35" s="4">
        <v>-1.84</v>
      </c>
      <c r="X35" s="7">
        <v>-0.35233868214407649</v>
      </c>
      <c r="Y35" s="8">
        <v>-0.20611491829204001</v>
      </c>
      <c r="Z35" s="8">
        <v>-0.27888446215139451</v>
      </c>
      <c r="AA35" s="8">
        <v>-0.12523020257826881</v>
      </c>
    </row>
    <row r="36" spans="2:27" hidden="1">
      <c r="B36" s="3" t="s">
        <v>344</v>
      </c>
      <c r="C36" s="3" t="s">
        <v>391</v>
      </c>
      <c r="D36" s="3" t="s">
        <v>459</v>
      </c>
      <c r="E36" s="3" t="s">
        <v>453</v>
      </c>
      <c r="F36" s="5">
        <v>-12.6</v>
      </c>
      <c r="G36" s="4">
        <v>0.78</v>
      </c>
      <c r="H36" s="4">
        <v>-1.24</v>
      </c>
      <c r="I36" s="4">
        <v>-0.67</v>
      </c>
      <c r="J36" s="4">
        <v>0.11</v>
      </c>
      <c r="K36" s="4">
        <v>1.1299999999999999</v>
      </c>
      <c r="L36" s="4">
        <v>0.92</v>
      </c>
      <c r="M36" s="4">
        <v>-1.73</v>
      </c>
      <c r="N36" s="4">
        <v>0.08</v>
      </c>
      <c r="O36" s="4">
        <v>0.12</v>
      </c>
      <c r="P36" s="6">
        <v>0.26</v>
      </c>
      <c r="Q36" s="4">
        <v>-7.0000000000000007E-2</v>
      </c>
      <c r="R36" s="6">
        <v>0.67</v>
      </c>
      <c r="S36" s="6">
        <v>1.82</v>
      </c>
      <c r="T36" s="6">
        <v>1.47</v>
      </c>
      <c r="U36" s="6">
        <v>1.05</v>
      </c>
      <c r="V36" s="4">
        <v>0.97</v>
      </c>
      <c r="W36" s="4">
        <v>1.1499999999999999</v>
      </c>
      <c r="X36" s="10">
        <v>0.45149253731343292</v>
      </c>
      <c r="Y36" s="9">
        <v>0.28791773778920299</v>
      </c>
      <c r="Z36" s="8">
        <v>5.9880239520958327E-2</v>
      </c>
      <c r="AA36" s="8">
        <v>-0.1261770244821093</v>
      </c>
    </row>
    <row r="37" spans="2:27">
      <c r="B37" s="12" t="s">
        <v>231</v>
      </c>
      <c r="C37" s="3" t="s">
        <v>391</v>
      </c>
      <c r="D37" s="3" t="s">
        <v>406</v>
      </c>
      <c r="E37" s="3" t="s">
        <v>397</v>
      </c>
      <c r="F37" s="5">
        <v>5.6</v>
      </c>
      <c r="G37" s="25">
        <v>137.82</v>
      </c>
      <c r="H37" s="25">
        <v>106.99</v>
      </c>
      <c r="I37" s="25">
        <v>88.41</v>
      </c>
      <c r="J37" s="25">
        <v>78.73</v>
      </c>
      <c r="K37" s="25">
        <v>71.39</v>
      </c>
      <c r="L37" s="25">
        <v>68.31</v>
      </c>
      <c r="M37" s="25">
        <v>76.7</v>
      </c>
      <c r="N37" s="25">
        <v>82.16</v>
      </c>
      <c r="O37" s="25">
        <v>76.430000000000007</v>
      </c>
      <c r="P37" s="25">
        <v>77.64</v>
      </c>
      <c r="Q37" s="25">
        <v>86.65</v>
      </c>
      <c r="R37" s="25">
        <v>93.18</v>
      </c>
      <c r="S37" s="26">
        <v>110.14</v>
      </c>
      <c r="T37" s="25">
        <v>86.54</v>
      </c>
      <c r="U37" s="25">
        <v>79.77</v>
      </c>
      <c r="V37" s="25">
        <v>101.82</v>
      </c>
      <c r="W37" s="25">
        <v>131.5</v>
      </c>
      <c r="X37" s="7">
        <v>2.4210440412393511E-2</v>
      </c>
      <c r="Y37" s="8">
        <v>-1.82730870362009E-2</v>
      </c>
      <c r="Z37" s="8">
        <v>2.337472607742885E-2</v>
      </c>
      <c r="AA37" s="8">
        <v>5.6467602506146353E-2</v>
      </c>
    </row>
    <row r="38" spans="2:27">
      <c r="B38" s="12" t="s">
        <v>269</v>
      </c>
      <c r="C38" s="3" t="s">
        <v>391</v>
      </c>
      <c r="D38" s="3" t="s">
        <v>422</v>
      </c>
      <c r="E38" s="3" t="s">
        <v>397</v>
      </c>
      <c r="F38" s="5">
        <v>4.9000000000000004</v>
      </c>
      <c r="G38" s="25">
        <v>22.73</v>
      </c>
      <c r="H38" s="25">
        <v>19.7</v>
      </c>
      <c r="I38" s="25">
        <v>21.32</v>
      </c>
      <c r="J38" s="25">
        <v>26.62</v>
      </c>
      <c r="K38" s="25">
        <v>31</v>
      </c>
      <c r="L38" s="25">
        <v>24.17</v>
      </c>
      <c r="M38" s="25">
        <v>27.77</v>
      </c>
      <c r="N38" s="25">
        <v>31.98</v>
      </c>
      <c r="O38" s="25">
        <v>34.15</v>
      </c>
      <c r="P38" s="25">
        <v>28.87</v>
      </c>
      <c r="Q38" s="25">
        <v>28.72</v>
      </c>
      <c r="R38" s="25">
        <v>28.9</v>
      </c>
      <c r="S38" s="25">
        <v>29.25</v>
      </c>
      <c r="T38" s="25">
        <v>23.18</v>
      </c>
      <c r="U38" s="25">
        <v>23</v>
      </c>
      <c r="V38" s="25">
        <v>25.22</v>
      </c>
      <c r="W38" s="25">
        <v>34.200000000000003</v>
      </c>
      <c r="X38" s="7">
        <v>-4.9161914636253627E-2</v>
      </c>
      <c r="Y38" s="8">
        <v>-5.1976374375283907E-2</v>
      </c>
      <c r="Z38" s="8">
        <v>-3.527269241828801E-2</v>
      </c>
      <c r="AA38" s="8">
        <v>4.9180327868852292E-2</v>
      </c>
    </row>
    <row r="39" spans="2:27">
      <c r="B39" s="12" t="s">
        <v>18</v>
      </c>
      <c r="C39" s="3" t="s">
        <v>391</v>
      </c>
      <c r="D39" s="3" t="s">
        <v>421</v>
      </c>
      <c r="E39" s="3" t="s">
        <v>397</v>
      </c>
      <c r="F39" s="5">
        <v>4.9000000000000004</v>
      </c>
      <c r="G39" s="25">
        <v>6745</v>
      </c>
      <c r="H39" s="25">
        <v>10349</v>
      </c>
      <c r="I39" s="25">
        <v>12286</v>
      </c>
      <c r="J39" s="25">
        <v>10148</v>
      </c>
      <c r="K39" s="25">
        <v>6216</v>
      </c>
      <c r="L39" s="25">
        <v>6865</v>
      </c>
      <c r="M39" s="25">
        <v>2788</v>
      </c>
      <c r="N39" s="25">
        <v>-2386</v>
      </c>
      <c r="O39" s="25">
        <v>5234</v>
      </c>
      <c r="P39" s="25">
        <v>4706</v>
      </c>
      <c r="Q39" s="25">
        <v>2973</v>
      </c>
      <c r="R39" s="26">
        <v>5838</v>
      </c>
      <c r="S39" s="25">
        <v>2825</v>
      </c>
      <c r="T39" s="25">
        <v>4823</v>
      </c>
      <c r="U39" s="25">
        <v>4203</v>
      </c>
      <c r="V39" s="25">
        <v>5875</v>
      </c>
      <c r="W39" s="25">
        <v>3688</v>
      </c>
      <c r="X39" s="7">
        <v>7.1594664055807389E-3</v>
      </c>
      <c r="Y39" s="8">
        <v>7.4731150130627588E-2</v>
      </c>
      <c r="Z39" s="8">
        <v>2.0916954039233988E-3</v>
      </c>
      <c r="AA39" s="8">
        <v>4.8685546654631651E-2</v>
      </c>
    </row>
    <row r="40" spans="2:27">
      <c r="B40" s="12" t="s">
        <v>77</v>
      </c>
      <c r="C40" s="3" t="s">
        <v>391</v>
      </c>
      <c r="D40" s="3" t="s">
        <v>418</v>
      </c>
      <c r="E40" s="3" t="s">
        <v>408</v>
      </c>
      <c r="F40" s="5">
        <v>4.5999999999999996</v>
      </c>
      <c r="G40" s="25">
        <v>103.3</v>
      </c>
      <c r="H40" s="25">
        <v>68.900000000000006</v>
      </c>
      <c r="I40" s="25">
        <v>246</v>
      </c>
      <c r="J40" s="25">
        <v>341.7</v>
      </c>
      <c r="K40" s="25">
        <v>87.6</v>
      </c>
      <c r="L40" s="25">
        <v>107.9</v>
      </c>
      <c r="M40" s="25">
        <v>286.8</v>
      </c>
      <c r="N40" s="26">
        <v>454.2</v>
      </c>
      <c r="O40" s="25">
        <v>148.5</v>
      </c>
      <c r="P40" s="25">
        <v>124.4</v>
      </c>
      <c r="Q40" s="25">
        <v>303</v>
      </c>
      <c r="R40" s="25">
        <v>441.4</v>
      </c>
      <c r="S40" s="25">
        <v>134.5</v>
      </c>
      <c r="T40" s="25">
        <v>210.6</v>
      </c>
      <c r="U40" s="25">
        <v>344.9</v>
      </c>
      <c r="V40" s="25">
        <v>498.7</v>
      </c>
      <c r="W40" s="25">
        <v>188.7</v>
      </c>
      <c r="X40" s="7">
        <v>8.5916475630419598E-2</v>
      </c>
      <c r="Y40" s="8">
        <v>3.8458008260669807E-2</v>
      </c>
      <c r="Z40" s="8">
        <v>5.064521831359392E-2</v>
      </c>
      <c r="AA40" s="8">
        <v>4.5596029275679177E-2</v>
      </c>
    </row>
    <row r="41" spans="2:27">
      <c r="B41" s="12" t="s">
        <v>75</v>
      </c>
      <c r="C41" s="3" t="s">
        <v>391</v>
      </c>
      <c r="D41" s="3" t="s">
        <v>416</v>
      </c>
      <c r="E41" s="3" t="s">
        <v>397</v>
      </c>
      <c r="F41" s="5">
        <v>4.4000000000000004</v>
      </c>
      <c r="G41" s="25">
        <v>135.69999999999999</v>
      </c>
      <c r="H41" s="25">
        <v>143.69999999999999</v>
      </c>
      <c r="I41" s="25">
        <v>187.8</v>
      </c>
      <c r="J41" s="25">
        <v>208.6</v>
      </c>
      <c r="K41" s="25">
        <v>171.5</v>
      </c>
      <c r="L41" s="26">
        <v>244.8</v>
      </c>
      <c r="M41" s="26">
        <v>289.60000000000002</v>
      </c>
      <c r="N41" s="25">
        <v>277.39999999999998</v>
      </c>
      <c r="O41" s="25">
        <v>227.6</v>
      </c>
      <c r="P41" s="25">
        <v>223</v>
      </c>
      <c r="Q41" s="25">
        <v>309.3</v>
      </c>
      <c r="R41" s="25">
        <v>316.89999999999998</v>
      </c>
      <c r="S41" s="25">
        <v>259.89999999999998</v>
      </c>
      <c r="T41" s="25">
        <v>227.5</v>
      </c>
      <c r="U41" s="25">
        <v>335.2</v>
      </c>
      <c r="V41" s="25">
        <v>339.4</v>
      </c>
      <c r="W41" s="25">
        <v>311.3</v>
      </c>
      <c r="X41" s="7">
        <v>4.0573437922639677E-3</v>
      </c>
      <c r="Y41" s="8">
        <v>2.3257902298850611E-2</v>
      </c>
      <c r="Z41" s="8">
        <v>1.9745502413339281E-2</v>
      </c>
      <c r="AA41" s="8">
        <v>4.4234079173838259E-2</v>
      </c>
    </row>
    <row r="42" spans="2:27">
      <c r="B42" s="12" t="s">
        <v>149</v>
      </c>
      <c r="C42" s="3" t="s">
        <v>391</v>
      </c>
      <c r="D42" s="3" t="s">
        <v>433</v>
      </c>
      <c r="E42" s="3" t="s">
        <v>397</v>
      </c>
      <c r="F42" s="5">
        <v>4.3</v>
      </c>
      <c r="G42" s="25">
        <v>231.92</v>
      </c>
      <c r="H42" s="25">
        <v>207.82</v>
      </c>
      <c r="I42" s="25">
        <v>207.32</v>
      </c>
      <c r="J42" s="25">
        <v>210.64</v>
      </c>
      <c r="K42" s="25">
        <v>0</v>
      </c>
      <c r="L42" s="25">
        <v>198.29</v>
      </c>
      <c r="M42" s="25">
        <v>214.8</v>
      </c>
      <c r="N42" s="25">
        <v>243.56</v>
      </c>
      <c r="O42" s="26">
        <v>260.25</v>
      </c>
      <c r="P42" s="25">
        <v>184.74</v>
      </c>
      <c r="Q42" s="25">
        <v>204.53</v>
      </c>
      <c r="R42" s="25">
        <v>241.26</v>
      </c>
      <c r="S42" s="25">
        <v>253.99</v>
      </c>
      <c r="T42" s="25">
        <v>172.59</v>
      </c>
      <c r="U42" s="25">
        <v>208.22</v>
      </c>
      <c r="V42" s="25">
        <v>281.83</v>
      </c>
      <c r="W42" s="25">
        <v>293.33</v>
      </c>
      <c r="X42" s="7">
        <v>-1.3736263736263689E-2</v>
      </c>
      <c r="Y42" s="8">
        <v>4.2298565975444902E-3</v>
      </c>
      <c r="Z42" s="8">
        <v>4.6309613496792412E-2</v>
      </c>
      <c r="AA42" s="8">
        <v>4.2918080359578108E-2</v>
      </c>
    </row>
    <row r="43" spans="2:27">
      <c r="B43" s="12" t="s">
        <v>182</v>
      </c>
      <c r="C43" s="3" t="s">
        <v>391</v>
      </c>
      <c r="D43" s="3" t="s">
        <v>407</v>
      </c>
      <c r="E43" s="3" t="s">
        <v>408</v>
      </c>
      <c r="F43" s="5">
        <v>3.9</v>
      </c>
      <c r="G43" s="25">
        <v>98.8</v>
      </c>
      <c r="H43" s="25">
        <v>248.9</v>
      </c>
      <c r="I43" s="25">
        <v>41.7</v>
      </c>
      <c r="J43" s="25">
        <v>33.200000000000003</v>
      </c>
      <c r="K43" s="26">
        <v>152.4</v>
      </c>
      <c r="L43" s="25">
        <v>262.5</v>
      </c>
      <c r="M43" s="25">
        <v>14.2</v>
      </c>
      <c r="N43" s="25">
        <v>-2.2000000000000002</v>
      </c>
      <c r="O43" s="25">
        <v>141</v>
      </c>
      <c r="P43" s="25">
        <v>300.5</v>
      </c>
      <c r="Q43" s="25">
        <v>32.700000000000003</v>
      </c>
      <c r="R43" s="25">
        <v>22.9</v>
      </c>
      <c r="S43" s="25">
        <v>152.69999999999999</v>
      </c>
      <c r="T43" s="25">
        <v>310.5</v>
      </c>
      <c r="U43" s="25">
        <v>73.2</v>
      </c>
      <c r="V43" s="25">
        <v>3.1</v>
      </c>
      <c r="W43" s="25">
        <v>173.5</v>
      </c>
      <c r="X43" s="7">
        <v>1.965408805031443E-2</v>
      </c>
      <c r="Y43" s="8">
        <v>7.8064764841943024E-2</v>
      </c>
      <c r="Z43" s="8">
        <v>-3.5401394600393273E-2</v>
      </c>
      <c r="AA43" s="8">
        <v>3.8554216867469737E-2</v>
      </c>
    </row>
    <row r="44" spans="2:27">
      <c r="B44" s="12" t="s">
        <v>12</v>
      </c>
      <c r="C44" s="3" t="s">
        <v>391</v>
      </c>
      <c r="D44" s="3" t="s">
        <v>421</v>
      </c>
      <c r="E44" s="3" t="s">
        <v>397</v>
      </c>
      <c r="F44" s="5">
        <v>3.6</v>
      </c>
      <c r="G44" s="25">
        <v>3600</v>
      </c>
      <c r="H44" s="25">
        <v>5817</v>
      </c>
      <c r="I44" s="25">
        <v>5210</v>
      </c>
      <c r="J44" s="25">
        <v>5134</v>
      </c>
      <c r="K44" s="25">
        <v>4329</v>
      </c>
      <c r="L44" s="25">
        <v>5143</v>
      </c>
      <c r="M44" s="25">
        <v>5882</v>
      </c>
      <c r="N44" s="25">
        <v>6083</v>
      </c>
      <c r="O44" s="25">
        <v>-654</v>
      </c>
      <c r="P44" s="25">
        <v>6699</v>
      </c>
      <c r="Q44" s="25">
        <v>6384</v>
      </c>
      <c r="R44" s="25">
        <v>4364</v>
      </c>
      <c r="S44" s="26">
        <v>5341</v>
      </c>
      <c r="T44" s="25">
        <v>6221</v>
      </c>
      <c r="U44" s="25">
        <v>5923</v>
      </c>
      <c r="V44" s="26">
        <v>7049</v>
      </c>
      <c r="W44" s="25">
        <v>6236</v>
      </c>
      <c r="X44" s="7">
        <v>-2.0975952255573142E-2</v>
      </c>
      <c r="Y44" s="8">
        <v>-2.0663379650381009E-2</v>
      </c>
      <c r="Z44" s="9">
        <v>0.12288891940134559</v>
      </c>
      <c r="AA44" s="8">
        <v>3.6479986956876147E-2</v>
      </c>
    </row>
    <row r="45" spans="2:27">
      <c r="B45" s="12" t="s">
        <v>197</v>
      </c>
      <c r="C45" s="3" t="s">
        <v>391</v>
      </c>
      <c r="D45" s="3" t="s">
        <v>416</v>
      </c>
      <c r="E45" s="3" t="s">
        <v>408</v>
      </c>
      <c r="F45" s="5">
        <v>3.3</v>
      </c>
      <c r="G45" s="25">
        <v>-4.29</v>
      </c>
      <c r="H45" s="25">
        <v>0.3</v>
      </c>
      <c r="I45" s="25">
        <v>0.85</v>
      </c>
      <c r="J45" s="25">
        <v>10.36</v>
      </c>
      <c r="K45" s="26">
        <v>1.0900000000000001</v>
      </c>
      <c r="L45" s="26">
        <v>10.07</v>
      </c>
      <c r="M45" s="26">
        <v>21.55</v>
      </c>
      <c r="N45" s="26">
        <v>29.8</v>
      </c>
      <c r="O45" s="26">
        <v>25.88</v>
      </c>
      <c r="P45" s="26">
        <v>39.49</v>
      </c>
      <c r="Q45" s="26">
        <v>57.29</v>
      </c>
      <c r="R45" s="26">
        <v>56.12</v>
      </c>
      <c r="S45" s="25">
        <v>35.57</v>
      </c>
      <c r="T45" s="26">
        <v>58.92</v>
      </c>
      <c r="U45" s="25">
        <v>60.12</v>
      </c>
      <c r="V45" s="25">
        <v>63.25</v>
      </c>
      <c r="W45" s="25">
        <v>42.77</v>
      </c>
      <c r="X45" s="10">
        <v>0.1030933305035284</v>
      </c>
      <c r="Y45" s="8">
        <v>1.361231361231363E-2</v>
      </c>
      <c r="Z45" s="8">
        <v>3.3834764864993261E-2</v>
      </c>
      <c r="AA45" s="8">
        <v>3.3048746901680033E-2</v>
      </c>
    </row>
    <row r="46" spans="2:27">
      <c r="B46" s="12" t="s">
        <v>170</v>
      </c>
      <c r="C46" s="3" t="s">
        <v>391</v>
      </c>
      <c r="D46" s="3" t="s">
        <v>406</v>
      </c>
      <c r="E46" s="3" t="s">
        <v>401</v>
      </c>
      <c r="F46" s="5">
        <v>3.3</v>
      </c>
      <c r="G46" s="25">
        <v>41.05</v>
      </c>
      <c r="H46" s="25">
        <v>46.27</v>
      </c>
      <c r="I46" s="25">
        <v>62.53</v>
      </c>
      <c r="J46" s="25">
        <v>69.83</v>
      </c>
      <c r="K46" s="25">
        <v>58.37</v>
      </c>
      <c r="L46" s="25">
        <v>49.32</v>
      </c>
      <c r="M46" s="25">
        <v>54.94</v>
      </c>
      <c r="N46" s="25">
        <v>55.6</v>
      </c>
      <c r="O46" s="25">
        <v>51.39</v>
      </c>
      <c r="P46" s="26">
        <v>83.89</v>
      </c>
      <c r="Q46" s="26">
        <v>89.61</v>
      </c>
      <c r="R46" s="25">
        <v>67.19</v>
      </c>
      <c r="S46" s="25">
        <v>75.72</v>
      </c>
      <c r="T46" s="25">
        <v>84.03</v>
      </c>
      <c r="U46" s="25">
        <v>76.98</v>
      </c>
      <c r="V46" s="25">
        <v>79.72</v>
      </c>
      <c r="W46" s="25">
        <v>86.01</v>
      </c>
      <c r="X46" s="7">
        <v>4.4246389178614898E-4</v>
      </c>
      <c r="Y46" s="8">
        <v>-3.9898910124782749E-2</v>
      </c>
      <c r="Z46" s="8">
        <v>4.1227954724927462E-2</v>
      </c>
      <c r="AA46" s="8">
        <v>3.2516985305735657E-2</v>
      </c>
    </row>
    <row r="47" spans="2:27">
      <c r="B47" s="12" t="s">
        <v>20</v>
      </c>
      <c r="C47" s="3" t="s">
        <v>391</v>
      </c>
      <c r="D47" s="3" t="s">
        <v>404</v>
      </c>
      <c r="E47" s="3" t="s">
        <v>397</v>
      </c>
      <c r="F47" s="5">
        <v>3.2</v>
      </c>
      <c r="G47" s="25">
        <v>685</v>
      </c>
      <c r="H47" s="25">
        <v>651</v>
      </c>
      <c r="I47" s="25">
        <v>719</v>
      </c>
      <c r="J47" s="25">
        <v>792</v>
      </c>
      <c r="K47" s="25">
        <v>880</v>
      </c>
      <c r="L47" s="25">
        <v>811</v>
      </c>
      <c r="M47" s="25">
        <v>955</v>
      </c>
      <c r="N47" s="25">
        <v>1070</v>
      </c>
      <c r="O47" s="25">
        <v>1097</v>
      </c>
      <c r="P47" s="25">
        <v>1016</v>
      </c>
      <c r="Q47" s="25">
        <v>1201</v>
      </c>
      <c r="R47" s="25">
        <v>1221</v>
      </c>
      <c r="S47" s="25">
        <v>1238</v>
      </c>
      <c r="T47" s="25">
        <v>1207</v>
      </c>
      <c r="U47" s="25">
        <v>1305</v>
      </c>
      <c r="V47" s="25">
        <v>1383</v>
      </c>
      <c r="W47" s="25">
        <v>1402</v>
      </c>
      <c r="X47" s="7">
        <v>4.0846877673224917E-2</v>
      </c>
      <c r="Y47" s="8">
        <v>2.136839942469693E-2</v>
      </c>
      <c r="Z47" s="8">
        <v>3.2589016294508173E-2</v>
      </c>
      <c r="AA47" s="8">
        <v>3.1950126631599352E-2</v>
      </c>
    </row>
    <row r="48" spans="2:27">
      <c r="B48" s="12" t="s">
        <v>73</v>
      </c>
      <c r="C48" s="3" t="s">
        <v>391</v>
      </c>
      <c r="D48" s="3" t="s">
        <v>407</v>
      </c>
      <c r="E48" s="3" t="s">
        <v>408</v>
      </c>
      <c r="F48" s="5">
        <v>3</v>
      </c>
      <c r="G48" s="25">
        <v>280.23</v>
      </c>
      <c r="H48" s="25">
        <v>389.5</v>
      </c>
      <c r="I48" s="25">
        <v>158.94999999999999</v>
      </c>
      <c r="J48" s="25">
        <v>100.65</v>
      </c>
      <c r="K48" s="25">
        <v>325.48</v>
      </c>
      <c r="L48" s="25">
        <v>426.93</v>
      </c>
      <c r="M48" s="25">
        <v>173.59</v>
      </c>
      <c r="N48" s="25">
        <v>132.19</v>
      </c>
      <c r="O48" s="25">
        <v>404.29</v>
      </c>
      <c r="P48" s="26">
        <v>556.26</v>
      </c>
      <c r="Q48" s="25">
        <v>225.54</v>
      </c>
      <c r="R48" s="25">
        <v>190.28</v>
      </c>
      <c r="S48" s="25">
        <v>466.37</v>
      </c>
      <c r="T48" s="25">
        <v>635.83000000000004</v>
      </c>
      <c r="U48" s="25">
        <v>258.95999999999998</v>
      </c>
      <c r="V48" s="25">
        <v>226.37</v>
      </c>
      <c r="W48" s="25">
        <v>514.76</v>
      </c>
      <c r="X48" s="7">
        <v>5.5316486495880828E-2</v>
      </c>
      <c r="Y48" s="8">
        <v>2.2015520217125051E-2</v>
      </c>
      <c r="Z48" s="8">
        <v>2.326225957819816E-2</v>
      </c>
      <c r="AA48" s="8">
        <v>3.048131373895302E-2</v>
      </c>
    </row>
    <row r="49" spans="2:27">
      <c r="B49" s="12" t="s">
        <v>152</v>
      </c>
      <c r="C49" s="3" t="s">
        <v>391</v>
      </c>
      <c r="D49" s="3" t="s">
        <v>420</v>
      </c>
      <c r="E49" s="3" t="s">
        <v>397</v>
      </c>
      <c r="F49" s="5">
        <v>2.7</v>
      </c>
      <c r="G49" s="25">
        <v>16.899999999999999</v>
      </c>
      <c r="H49" s="25">
        <v>45.2</v>
      </c>
      <c r="I49" s="25">
        <v>54</v>
      </c>
      <c r="J49" s="25">
        <v>1.8</v>
      </c>
      <c r="K49" s="26">
        <v>57.7</v>
      </c>
      <c r="L49" s="25">
        <v>44.3</v>
      </c>
      <c r="M49" s="25">
        <v>61.3</v>
      </c>
      <c r="N49" s="26">
        <v>61</v>
      </c>
      <c r="O49" s="25">
        <v>48.3</v>
      </c>
      <c r="P49" s="25">
        <v>58.5</v>
      </c>
      <c r="Q49" s="25">
        <v>71.5</v>
      </c>
      <c r="R49" s="25">
        <v>71.900000000000006</v>
      </c>
      <c r="S49" s="25">
        <v>53.5</v>
      </c>
      <c r="T49" s="25">
        <v>64.5</v>
      </c>
      <c r="U49" s="25">
        <v>78.8</v>
      </c>
      <c r="V49" s="25">
        <v>78.400000000000006</v>
      </c>
      <c r="W49" s="25">
        <v>60.9</v>
      </c>
      <c r="X49" s="7">
        <v>2.3492560689114979E-2</v>
      </c>
      <c r="Y49" s="8">
        <v>2.792654934965566E-2</v>
      </c>
      <c r="Z49" s="8">
        <v>2.4190547078526189E-2</v>
      </c>
      <c r="AA49" s="8">
        <v>2.688953488372103E-2</v>
      </c>
    </row>
    <row r="50" spans="2:27" hidden="1">
      <c r="B50" s="12" t="s">
        <v>244</v>
      </c>
      <c r="C50" s="3" t="s">
        <v>391</v>
      </c>
      <c r="D50" s="3" t="s">
        <v>406</v>
      </c>
      <c r="E50" s="3" t="s">
        <v>454</v>
      </c>
      <c r="F50" s="5">
        <v>2.4</v>
      </c>
      <c r="G50" s="25">
        <v>1.8</v>
      </c>
      <c r="H50" s="25">
        <v>1.64</v>
      </c>
      <c r="I50" s="25">
        <v>1.64</v>
      </c>
      <c r="J50" s="25">
        <v>1.44</v>
      </c>
      <c r="K50" s="25">
        <v>1.44</v>
      </c>
      <c r="L50" s="25">
        <v>1.43</v>
      </c>
      <c r="M50" s="25">
        <v>1.43</v>
      </c>
      <c r="N50" s="25">
        <v>1.45</v>
      </c>
      <c r="O50" s="25">
        <v>1.45</v>
      </c>
      <c r="P50" s="25">
        <v>1.48</v>
      </c>
      <c r="Q50" s="25">
        <v>1.48</v>
      </c>
      <c r="R50" s="25">
        <v>1.41</v>
      </c>
      <c r="S50" s="25">
        <v>1.41</v>
      </c>
      <c r="T50" s="25">
        <v>1.46</v>
      </c>
      <c r="U50" s="25">
        <v>1.46</v>
      </c>
      <c r="V50" s="25">
        <v>1.55</v>
      </c>
      <c r="W50" s="25">
        <v>1.55</v>
      </c>
      <c r="X50" s="7">
        <v>-3.460207612456689E-3</v>
      </c>
      <c r="Y50" s="8">
        <v>-3.4722222222220989E-3</v>
      </c>
      <c r="Z50" s="8">
        <v>2.439024390243905E-2</v>
      </c>
      <c r="AA50" s="8">
        <v>2.3809523809523721E-2</v>
      </c>
    </row>
    <row r="51" spans="2:27">
      <c r="B51" s="12" t="s">
        <v>53</v>
      </c>
      <c r="C51" s="3" t="s">
        <v>391</v>
      </c>
      <c r="D51" s="3" t="s">
        <v>428</v>
      </c>
      <c r="E51" s="3" t="s">
        <v>397</v>
      </c>
      <c r="F51" s="5">
        <v>2.2000000000000002</v>
      </c>
      <c r="G51" s="25">
        <v>1050</v>
      </c>
      <c r="H51" s="25">
        <v>747</v>
      </c>
      <c r="I51" s="25">
        <v>854</v>
      </c>
      <c r="J51" s="25">
        <v>1170</v>
      </c>
      <c r="K51" s="25">
        <v>1268</v>
      </c>
      <c r="L51" s="26">
        <v>1163</v>
      </c>
      <c r="M51" s="25">
        <v>1123</v>
      </c>
      <c r="N51" s="25">
        <v>1189</v>
      </c>
      <c r="O51" s="25">
        <v>1379</v>
      </c>
      <c r="P51" s="25">
        <v>1343</v>
      </c>
      <c r="Q51" s="25">
        <v>1408</v>
      </c>
      <c r="R51" s="25">
        <v>1427</v>
      </c>
      <c r="S51" s="25">
        <v>1454</v>
      </c>
      <c r="T51" s="25">
        <v>1569</v>
      </c>
      <c r="U51" s="25">
        <v>1599</v>
      </c>
      <c r="V51" s="25">
        <v>1616</v>
      </c>
      <c r="W51" s="25">
        <v>1591</v>
      </c>
      <c r="X51" s="7">
        <v>4.0127840909090828E-2</v>
      </c>
      <c r="Y51" s="8">
        <v>3.2604984636394718E-2</v>
      </c>
      <c r="Z51" s="8">
        <v>3.1244833856835848E-2</v>
      </c>
      <c r="AA51" s="8">
        <v>2.1962167361333721E-2</v>
      </c>
    </row>
    <row r="52" spans="2:27">
      <c r="B52" s="12" t="s">
        <v>118</v>
      </c>
      <c r="C52" s="3" t="s">
        <v>391</v>
      </c>
      <c r="D52" s="3" t="s">
        <v>395</v>
      </c>
      <c r="E52" s="3" t="s">
        <v>397</v>
      </c>
      <c r="F52" s="5">
        <v>2.1</v>
      </c>
      <c r="G52" s="25">
        <v>386</v>
      </c>
      <c r="H52" s="25">
        <v>329</v>
      </c>
      <c r="I52" s="25">
        <v>360</v>
      </c>
      <c r="J52" s="25">
        <v>360</v>
      </c>
      <c r="K52" s="25">
        <v>236</v>
      </c>
      <c r="L52" s="25">
        <v>287</v>
      </c>
      <c r="M52" s="25">
        <v>254</v>
      </c>
      <c r="N52" s="25">
        <v>314</v>
      </c>
      <c r="O52" s="25">
        <v>320</v>
      </c>
      <c r="P52" s="25">
        <v>196</v>
      </c>
      <c r="Q52" s="25">
        <v>311</v>
      </c>
      <c r="R52" s="25">
        <v>365</v>
      </c>
      <c r="S52" s="25">
        <v>311</v>
      </c>
      <c r="T52" s="25">
        <v>305</v>
      </c>
      <c r="U52" s="25">
        <v>356</v>
      </c>
      <c r="V52" s="25">
        <v>390</v>
      </c>
      <c r="W52" s="25">
        <v>339</v>
      </c>
      <c r="X52" s="7">
        <v>9.2138630600169025E-2</v>
      </c>
      <c r="Y52" s="8">
        <v>3.482972136222906E-2</v>
      </c>
      <c r="Z52" s="8">
        <v>1.8698578908002968E-2</v>
      </c>
      <c r="AA52" s="8">
        <v>2.05580029368575E-2</v>
      </c>
    </row>
    <row r="53" spans="2:27">
      <c r="B53" s="12" t="s">
        <v>45</v>
      </c>
      <c r="C53" s="3" t="s">
        <v>391</v>
      </c>
      <c r="D53" s="3" t="s">
        <v>404</v>
      </c>
      <c r="E53" s="3" t="s">
        <v>397</v>
      </c>
      <c r="F53" s="5">
        <v>2</v>
      </c>
      <c r="G53" s="25">
        <v>379.22</v>
      </c>
      <c r="H53" s="25">
        <v>345.64</v>
      </c>
      <c r="I53" s="25">
        <v>360.83</v>
      </c>
      <c r="J53" s="25">
        <v>381.07</v>
      </c>
      <c r="K53" s="25">
        <v>413.16</v>
      </c>
      <c r="L53" s="25">
        <v>392.13</v>
      </c>
      <c r="M53" s="25">
        <v>408.94</v>
      </c>
      <c r="N53" s="25">
        <v>428.88</v>
      </c>
      <c r="O53" s="25">
        <v>477.51</v>
      </c>
      <c r="P53" s="25">
        <v>434.44</v>
      </c>
      <c r="Q53" s="25">
        <v>438.55</v>
      </c>
      <c r="R53" s="25">
        <v>438.12</v>
      </c>
      <c r="S53" s="25">
        <v>468.98</v>
      </c>
      <c r="T53" s="25">
        <v>444.42</v>
      </c>
      <c r="U53" s="25">
        <v>453.1</v>
      </c>
      <c r="V53" s="25">
        <v>488.06</v>
      </c>
      <c r="W53" s="25">
        <v>505.48</v>
      </c>
      <c r="X53" s="7">
        <v>5.6064581004331426E-3</v>
      </c>
      <c r="Y53" s="8">
        <v>8.1281737585681135E-3</v>
      </c>
      <c r="Z53" s="8">
        <v>2.7673416010018711E-2</v>
      </c>
      <c r="AA53" s="8">
        <v>1.9681218186524019E-2</v>
      </c>
    </row>
    <row r="54" spans="2:27">
      <c r="B54" s="12" t="s">
        <v>174</v>
      </c>
      <c r="C54" s="3" t="s">
        <v>391</v>
      </c>
      <c r="D54" s="3" t="s">
        <v>398</v>
      </c>
      <c r="E54" s="3" t="s">
        <v>401</v>
      </c>
      <c r="F54" s="5">
        <v>1.6</v>
      </c>
      <c r="G54" s="25">
        <v>144.16999999999999</v>
      </c>
      <c r="H54" s="25">
        <v>107.87</v>
      </c>
      <c r="I54" s="25">
        <v>54.28</v>
      </c>
      <c r="J54" s="25">
        <v>116.22</v>
      </c>
      <c r="K54" s="25">
        <v>141.38</v>
      </c>
      <c r="L54" s="25">
        <v>33.549999999999997</v>
      </c>
      <c r="M54" s="25">
        <v>17.79</v>
      </c>
      <c r="N54" s="25">
        <v>108.07</v>
      </c>
      <c r="O54" s="25">
        <v>167.19</v>
      </c>
      <c r="P54" s="25">
        <v>52.38</v>
      </c>
      <c r="Q54" s="25">
        <v>46.79</v>
      </c>
      <c r="R54" s="25">
        <v>131.85</v>
      </c>
      <c r="S54" s="25">
        <v>145.77000000000001</v>
      </c>
      <c r="T54" s="25">
        <v>85.95</v>
      </c>
      <c r="U54" s="25">
        <v>72.39</v>
      </c>
      <c r="V54" s="25">
        <v>144.76</v>
      </c>
      <c r="W54" s="25">
        <v>152.93</v>
      </c>
      <c r="X54" s="7">
        <v>8.9094721197483961E-2</v>
      </c>
      <c r="Y54" s="8">
        <v>6.2384247977385732E-2</v>
      </c>
      <c r="Z54" s="8">
        <v>2.9612808514542621E-2</v>
      </c>
      <c r="AA54" s="8">
        <v>1.59511662619467E-2</v>
      </c>
    </row>
    <row r="55" spans="2:27">
      <c r="B55" s="12" t="s">
        <v>55</v>
      </c>
      <c r="C55" s="3" t="s">
        <v>391</v>
      </c>
      <c r="D55" s="3" t="s">
        <v>439</v>
      </c>
      <c r="E55" s="3" t="s">
        <v>397</v>
      </c>
      <c r="F55" s="5">
        <v>1.6</v>
      </c>
      <c r="G55" s="25">
        <v>285</v>
      </c>
      <c r="H55" s="25">
        <v>770</v>
      </c>
      <c r="I55" s="25">
        <v>1510</v>
      </c>
      <c r="J55" s="25">
        <v>-227</v>
      </c>
      <c r="K55" s="25">
        <v>0</v>
      </c>
      <c r="L55" s="25">
        <v>891</v>
      </c>
      <c r="M55" s="25">
        <v>1364</v>
      </c>
      <c r="N55" s="25">
        <v>-262</v>
      </c>
      <c r="O55" s="25">
        <v>5</v>
      </c>
      <c r="P55" s="25">
        <v>661</v>
      </c>
      <c r="Q55" s="26">
        <v>1573</v>
      </c>
      <c r="R55" s="25">
        <v>-465</v>
      </c>
      <c r="S55" s="26">
        <v>183</v>
      </c>
      <c r="T55" s="25">
        <v>821</v>
      </c>
      <c r="U55" s="26">
        <v>1826</v>
      </c>
      <c r="V55" s="25">
        <v>-270</v>
      </c>
      <c r="W55" s="25">
        <v>224</v>
      </c>
      <c r="X55" s="7">
        <v>8.1967213114754189E-2</v>
      </c>
      <c r="Y55" s="9">
        <v>0.1197916666666667</v>
      </c>
      <c r="Z55" s="8">
        <v>8.2452431289640638E-2</v>
      </c>
      <c r="AA55" s="8">
        <v>1.6015625000000089E-2</v>
      </c>
    </row>
    <row r="56" spans="2:27">
      <c r="B56" s="12" t="s">
        <v>24</v>
      </c>
      <c r="C56" s="3" t="s">
        <v>391</v>
      </c>
      <c r="D56" s="3" t="s">
        <v>404</v>
      </c>
      <c r="E56" s="3" t="s">
        <v>408</v>
      </c>
      <c r="F56" s="5">
        <v>1.5</v>
      </c>
      <c r="G56" s="25">
        <v>530</v>
      </c>
      <c r="H56" s="25">
        <v>556</v>
      </c>
      <c r="I56" s="25">
        <v>628</v>
      </c>
      <c r="J56" s="25">
        <v>738</v>
      </c>
      <c r="K56" s="25">
        <v>521</v>
      </c>
      <c r="L56" s="25">
        <v>712</v>
      </c>
      <c r="M56" s="26">
        <v>929</v>
      </c>
      <c r="N56" s="25">
        <v>745</v>
      </c>
      <c r="O56" s="25">
        <v>656</v>
      </c>
      <c r="P56" s="25">
        <v>749</v>
      </c>
      <c r="Q56" s="25">
        <v>839</v>
      </c>
      <c r="R56" s="25">
        <v>813</v>
      </c>
      <c r="S56" s="25">
        <v>810</v>
      </c>
      <c r="T56" s="25">
        <v>876</v>
      </c>
      <c r="U56" s="25">
        <v>922</v>
      </c>
      <c r="V56" s="25">
        <v>1006</v>
      </c>
      <c r="W56" s="25">
        <v>865</v>
      </c>
      <c r="X56" s="7">
        <v>3.9551541575833182E-2</v>
      </c>
      <c r="Y56" s="8">
        <v>2.486518873576982E-2</v>
      </c>
      <c r="Z56" s="8">
        <v>5.6416252557731639E-2</v>
      </c>
      <c r="AA56" s="8">
        <v>1.5218594355284941E-2</v>
      </c>
    </row>
    <row r="57" spans="2:27">
      <c r="B57" s="12" t="s">
        <v>143</v>
      </c>
      <c r="C57" s="3" t="s">
        <v>391</v>
      </c>
      <c r="D57" s="3" t="s">
        <v>417</v>
      </c>
      <c r="E57" s="3" t="s">
        <v>408</v>
      </c>
      <c r="F57" s="5">
        <v>1.5</v>
      </c>
      <c r="G57" s="25">
        <v>160.15</v>
      </c>
      <c r="H57" s="25">
        <v>163.65</v>
      </c>
      <c r="I57" s="25">
        <v>169.31</v>
      </c>
      <c r="J57" s="25">
        <v>171.69</v>
      </c>
      <c r="K57" s="25">
        <v>174.61</v>
      </c>
      <c r="L57" s="25">
        <v>182.28</v>
      </c>
      <c r="M57" s="25">
        <v>182.71</v>
      </c>
      <c r="N57" s="25">
        <v>185.29</v>
      </c>
      <c r="O57" s="25">
        <v>184.33</v>
      </c>
      <c r="P57" s="25">
        <v>188.89</v>
      </c>
      <c r="Q57" s="25">
        <v>190.58</v>
      </c>
      <c r="R57" s="25">
        <v>195.89</v>
      </c>
      <c r="S57" s="25">
        <v>205.62</v>
      </c>
      <c r="T57" s="25">
        <v>197.74</v>
      </c>
      <c r="U57" s="25">
        <v>202.47</v>
      </c>
      <c r="V57" s="25">
        <v>206.38</v>
      </c>
      <c r="W57" s="25">
        <v>217.98</v>
      </c>
      <c r="X57" s="7">
        <v>1.133191631027697E-2</v>
      </c>
      <c r="Y57" s="8">
        <v>1.50538723522784E-2</v>
      </c>
      <c r="Z57" s="8">
        <v>1.308436860749396E-2</v>
      </c>
      <c r="AA57" s="8">
        <v>1.521773925462622E-2</v>
      </c>
    </row>
    <row r="58" spans="2:27">
      <c r="B58" s="12" t="s">
        <v>26</v>
      </c>
      <c r="C58" s="3" t="s">
        <v>391</v>
      </c>
      <c r="D58" s="3" t="s">
        <v>412</v>
      </c>
      <c r="E58" s="3" t="s">
        <v>408</v>
      </c>
      <c r="F58" s="5">
        <v>1.4</v>
      </c>
      <c r="G58" s="25">
        <v>459</v>
      </c>
      <c r="H58" s="25">
        <v>523</v>
      </c>
      <c r="I58" s="25">
        <v>582</v>
      </c>
      <c r="J58" s="25">
        <v>641</v>
      </c>
      <c r="K58" s="25">
        <v>592</v>
      </c>
      <c r="L58" s="25">
        <v>698</v>
      </c>
      <c r="M58" s="25">
        <v>798</v>
      </c>
      <c r="N58" s="25">
        <v>849</v>
      </c>
      <c r="O58" s="25">
        <v>790</v>
      </c>
      <c r="P58" s="25">
        <v>880</v>
      </c>
      <c r="Q58" s="25">
        <v>960</v>
      </c>
      <c r="R58" s="25">
        <v>967</v>
      </c>
      <c r="S58" s="25">
        <v>985</v>
      </c>
      <c r="T58" s="25">
        <v>997</v>
      </c>
      <c r="U58" s="25">
        <v>1047</v>
      </c>
      <c r="V58" s="25">
        <v>1164</v>
      </c>
      <c r="W58" s="25">
        <v>1042</v>
      </c>
      <c r="X58" s="7">
        <v>3.0854430379746889E-2</v>
      </c>
      <c r="Y58" s="8">
        <v>2.2256331542594099E-2</v>
      </c>
      <c r="Z58" s="8">
        <v>4.9299299299299333E-2</v>
      </c>
      <c r="AA58" s="8">
        <v>1.359408538039597E-2</v>
      </c>
    </row>
    <row r="59" spans="2:27">
      <c r="B59" s="12" t="s">
        <v>34</v>
      </c>
      <c r="C59" s="3" t="s">
        <v>391</v>
      </c>
      <c r="D59" s="3" t="s">
        <v>413</v>
      </c>
      <c r="E59" s="3" t="s">
        <v>397</v>
      </c>
      <c r="F59" s="5">
        <v>1.1000000000000001</v>
      </c>
      <c r="G59" s="25">
        <v>1372</v>
      </c>
      <c r="H59" s="25">
        <v>1563</v>
      </c>
      <c r="I59" s="25">
        <v>1662</v>
      </c>
      <c r="J59" s="25">
        <v>1630</v>
      </c>
      <c r="K59" s="25">
        <v>1629</v>
      </c>
      <c r="L59" s="25">
        <v>1643</v>
      </c>
      <c r="M59" s="25">
        <v>1461</v>
      </c>
      <c r="N59" s="25">
        <v>1584</v>
      </c>
      <c r="O59" s="25">
        <v>1799</v>
      </c>
      <c r="P59" s="25">
        <v>1740</v>
      </c>
      <c r="Q59" s="25">
        <v>1668</v>
      </c>
      <c r="R59" s="25">
        <v>1708</v>
      </c>
      <c r="S59" s="25">
        <v>1864</v>
      </c>
      <c r="T59" s="25">
        <v>1677</v>
      </c>
      <c r="U59" s="25">
        <v>1714</v>
      </c>
      <c r="V59" s="25">
        <v>1613</v>
      </c>
      <c r="W59" s="25">
        <v>1939</v>
      </c>
      <c r="X59" s="7">
        <v>-9.0257879656160389E-3</v>
      </c>
      <c r="Y59" s="8">
        <v>6.650281914124534E-3</v>
      </c>
      <c r="Z59" s="8">
        <v>-1.3643544449231659E-2</v>
      </c>
      <c r="AA59" s="8">
        <v>1.0920209668025651E-2</v>
      </c>
    </row>
    <row r="60" spans="2:27">
      <c r="B60" s="12" t="s">
        <v>186</v>
      </c>
      <c r="C60" s="3" t="s">
        <v>391</v>
      </c>
      <c r="D60" s="3" t="s">
        <v>399</v>
      </c>
      <c r="E60" s="3" t="s">
        <v>397</v>
      </c>
      <c r="F60" s="5">
        <v>1.1000000000000001</v>
      </c>
      <c r="G60" s="25">
        <v>55</v>
      </c>
      <c r="H60" s="25">
        <v>38</v>
      </c>
      <c r="I60" s="25">
        <v>104</v>
      </c>
      <c r="J60" s="25">
        <v>121</v>
      </c>
      <c r="K60" s="26">
        <v>169</v>
      </c>
      <c r="L60" s="26">
        <v>185</v>
      </c>
      <c r="M60" s="26">
        <v>201</v>
      </c>
      <c r="N60" s="26">
        <v>218</v>
      </c>
      <c r="O60" s="25">
        <v>216</v>
      </c>
      <c r="P60" s="25">
        <v>236</v>
      </c>
      <c r="Q60" s="25">
        <v>269</v>
      </c>
      <c r="R60" s="25">
        <v>243</v>
      </c>
      <c r="S60" s="25">
        <v>198</v>
      </c>
      <c r="T60" s="25">
        <v>171</v>
      </c>
      <c r="U60" s="25">
        <v>178</v>
      </c>
      <c r="V60" s="25">
        <v>189</v>
      </c>
      <c r="W60" s="25">
        <v>206</v>
      </c>
      <c r="X60" s="7">
        <v>-6.8710359408033828E-2</v>
      </c>
      <c r="Y60" s="8">
        <v>-0.1032917139614075</v>
      </c>
      <c r="Z60" s="8">
        <v>-6.8354430379746867E-2</v>
      </c>
      <c r="AA60" s="8">
        <v>1.0869565217391349E-2</v>
      </c>
    </row>
    <row r="61" spans="2:27">
      <c r="B61" s="12" t="s">
        <v>216</v>
      </c>
      <c r="C61" s="3" t="s">
        <v>391</v>
      </c>
      <c r="D61" s="3" t="s">
        <v>430</v>
      </c>
      <c r="E61" s="3" t="s">
        <v>401</v>
      </c>
      <c r="F61" s="5">
        <v>1.1000000000000001</v>
      </c>
      <c r="G61" s="25">
        <v>17.68</v>
      </c>
      <c r="H61" s="25">
        <v>26.26</v>
      </c>
      <c r="I61" s="25">
        <v>21.2</v>
      </c>
      <c r="J61" s="25">
        <v>18.55</v>
      </c>
      <c r="K61" s="25">
        <v>22.22</v>
      </c>
      <c r="L61" s="25">
        <v>22.59</v>
      </c>
      <c r="M61" s="25">
        <v>25.43</v>
      </c>
      <c r="N61" s="25">
        <v>24.71</v>
      </c>
      <c r="O61" s="25">
        <v>22.36</v>
      </c>
      <c r="P61" s="25">
        <v>22.6</v>
      </c>
      <c r="Q61" s="25">
        <v>28.04</v>
      </c>
      <c r="R61" s="25">
        <v>28.67</v>
      </c>
      <c r="S61" s="25">
        <v>30.8</v>
      </c>
      <c r="T61" s="25">
        <v>33.32</v>
      </c>
      <c r="U61" s="25">
        <v>35.28</v>
      </c>
      <c r="V61" s="25">
        <v>35.9</v>
      </c>
      <c r="W61" s="25">
        <v>32.229999999999997</v>
      </c>
      <c r="X61" s="7">
        <v>9.7357188266279149E-2</v>
      </c>
      <c r="Y61" s="8">
        <v>5.9918894314325843E-2</v>
      </c>
      <c r="Z61" s="8">
        <v>5.6453501991098783E-2</v>
      </c>
      <c r="AA61" s="8">
        <v>1.0569105691056849E-2</v>
      </c>
    </row>
    <row r="62" spans="2:27">
      <c r="B62" s="12" t="s">
        <v>96</v>
      </c>
      <c r="C62" s="3" t="s">
        <v>391</v>
      </c>
      <c r="D62" s="3" t="s">
        <v>418</v>
      </c>
      <c r="E62" s="3" t="s">
        <v>397</v>
      </c>
      <c r="F62" s="5">
        <v>0.8</v>
      </c>
      <c r="G62" s="25">
        <v>236.17</v>
      </c>
      <c r="H62" s="25">
        <v>243.33</v>
      </c>
      <c r="I62" s="25">
        <v>311.01</v>
      </c>
      <c r="J62" s="25">
        <v>256.75</v>
      </c>
      <c r="K62" s="26">
        <v>350.98</v>
      </c>
      <c r="L62" s="25">
        <v>278.7</v>
      </c>
      <c r="M62" s="25">
        <v>298.95</v>
      </c>
      <c r="N62" s="25">
        <v>249.15</v>
      </c>
      <c r="O62" s="25">
        <v>304.02999999999997</v>
      </c>
      <c r="P62" s="25">
        <v>274.82</v>
      </c>
      <c r="Q62" s="25">
        <v>319.08999999999997</v>
      </c>
      <c r="R62" s="25">
        <v>248.33</v>
      </c>
      <c r="S62" s="25">
        <v>324.33</v>
      </c>
      <c r="T62" s="25">
        <v>277.98</v>
      </c>
      <c r="U62" s="25">
        <v>327.05</v>
      </c>
      <c r="V62" s="25">
        <v>240.39</v>
      </c>
      <c r="W62" s="25">
        <v>334.2</v>
      </c>
      <c r="X62" s="7">
        <v>2.7087958716580651E-3</v>
      </c>
      <c r="Y62" s="8">
        <v>6.8049891855386244E-3</v>
      </c>
      <c r="Z62" s="8">
        <v>-6.7420119046608376E-3</v>
      </c>
      <c r="AA62" s="8">
        <v>8.4377003633253622E-3</v>
      </c>
    </row>
    <row r="63" spans="2:27">
      <c r="B63" s="12" t="s">
        <v>134</v>
      </c>
      <c r="C63" s="3" t="s">
        <v>391</v>
      </c>
      <c r="D63" s="3" t="s">
        <v>429</v>
      </c>
      <c r="E63" s="3" t="s">
        <v>397</v>
      </c>
      <c r="F63" s="5">
        <v>0.7</v>
      </c>
      <c r="G63" s="25">
        <v>170.48</v>
      </c>
      <c r="H63" s="25">
        <v>207.6</v>
      </c>
      <c r="I63" s="25">
        <v>270.99</v>
      </c>
      <c r="J63" s="25">
        <v>205.45</v>
      </c>
      <c r="K63" s="25">
        <v>189.91</v>
      </c>
      <c r="L63" s="25">
        <v>229.32</v>
      </c>
      <c r="M63" s="25">
        <v>191.45</v>
      </c>
      <c r="N63" s="25">
        <v>183.03</v>
      </c>
      <c r="O63" s="25">
        <v>135.66999999999999</v>
      </c>
      <c r="P63" s="25">
        <v>183.38</v>
      </c>
      <c r="Q63" s="25">
        <v>209.97</v>
      </c>
      <c r="R63" s="25">
        <v>203.99</v>
      </c>
      <c r="S63" s="25">
        <v>168.26</v>
      </c>
      <c r="T63" s="25">
        <v>191.64</v>
      </c>
      <c r="U63" s="25">
        <v>270.39</v>
      </c>
      <c r="V63" s="25">
        <v>262.55</v>
      </c>
      <c r="W63" s="25">
        <v>174.49</v>
      </c>
      <c r="X63" s="7">
        <v>1.0788923719958101E-2</v>
      </c>
      <c r="Y63" s="8">
        <v>7.8076137802703283E-2</v>
      </c>
      <c r="Z63" s="8">
        <v>7.0192261590832805E-2</v>
      </c>
      <c r="AA63" s="8">
        <v>6.9777339724923504E-3</v>
      </c>
    </row>
    <row r="64" spans="2:27">
      <c r="B64" s="12" t="s">
        <v>108</v>
      </c>
      <c r="C64" s="3" t="s">
        <v>391</v>
      </c>
      <c r="D64" s="3" t="s">
        <v>437</v>
      </c>
      <c r="E64" s="3" t="s">
        <v>393</v>
      </c>
      <c r="F64" s="5">
        <v>0.6</v>
      </c>
      <c r="G64" s="25">
        <v>116</v>
      </c>
      <c r="H64" s="25">
        <v>221</v>
      </c>
      <c r="I64" s="25">
        <v>165</v>
      </c>
      <c r="J64" s="25">
        <v>157</v>
      </c>
      <c r="K64" s="25">
        <v>154</v>
      </c>
      <c r="L64" s="25">
        <v>244</v>
      </c>
      <c r="M64" s="26">
        <v>258</v>
      </c>
      <c r="N64" s="25">
        <v>74</v>
      </c>
      <c r="O64" s="26">
        <v>340</v>
      </c>
      <c r="P64" s="25">
        <v>226</v>
      </c>
      <c r="Q64" s="25">
        <v>282</v>
      </c>
      <c r="R64" s="26">
        <v>293</v>
      </c>
      <c r="S64" s="25">
        <v>234</v>
      </c>
      <c r="T64" s="25">
        <v>241</v>
      </c>
      <c r="U64" s="26">
        <v>417</v>
      </c>
      <c r="V64" s="25">
        <v>119</v>
      </c>
      <c r="W64" s="25">
        <v>240</v>
      </c>
      <c r="X64" s="7">
        <v>1.449275362318847E-2</v>
      </c>
      <c r="Y64" s="9">
        <v>0.12857142857142859</v>
      </c>
      <c r="Z64" s="8">
        <v>-0.14683544303797469</v>
      </c>
      <c r="AA64" s="8">
        <v>5.9347181008901906E-3</v>
      </c>
    </row>
    <row r="65" spans="2:27">
      <c r="B65" s="12" t="s">
        <v>29</v>
      </c>
      <c r="C65" s="3" t="s">
        <v>391</v>
      </c>
      <c r="D65" s="3" t="s">
        <v>404</v>
      </c>
      <c r="E65" s="3" t="s">
        <v>397</v>
      </c>
      <c r="F65" s="5">
        <v>0.5</v>
      </c>
      <c r="G65" s="25">
        <v>839</v>
      </c>
      <c r="H65" s="25">
        <v>906</v>
      </c>
      <c r="I65" s="25">
        <v>937</v>
      </c>
      <c r="J65" s="25">
        <v>992</v>
      </c>
      <c r="K65" s="25">
        <v>996</v>
      </c>
      <c r="L65" s="25">
        <v>980</v>
      </c>
      <c r="M65" s="25">
        <v>1019</v>
      </c>
      <c r="N65" s="25">
        <v>1079</v>
      </c>
      <c r="O65" s="25">
        <v>995</v>
      </c>
      <c r="P65" s="25">
        <v>1135</v>
      </c>
      <c r="Q65" s="25">
        <v>1062</v>
      </c>
      <c r="R65" s="25">
        <v>1061</v>
      </c>
      <c r="S65" s="25">
        <v>1034</v>
      </c>
      <c r="T65" s="25">
        <v>962</v>
      </c>
      <c r="U65" s="25">
        <v>1078</v>
      </c>
      <c r="V65" s="25">
        <v>1123</v>
      </c>
      <c r="W65" s="25">
        <v>1053</v>
      </c>
      <c r="X65" s="7">
        <v>-4.0307548928238623E-2</v>
      </c>
      <c r="Y65" s="8">
        <v>3.8844379703810721E-3</v>
      </c>
      <c r="Z65" s="8">
        <v>1.4993954050785961E-2</v>
      </c>
      <c r="AA65" s="8">
        <v>4.5270431260424626E-3</v>
      </c>
    </row>
    <row r="66" spans="2:27">
      <c r="B66" s="12" t="s">
        <v>92</v>
      </c>
      <c r="C66" s="3" t="s">
        <v>391</v>
      </c>
      <c r="D66" s="3" t="s">
        <v>414</v>
      </c>
      <c r="E66" s="3" t="s">
        <v>408</v>
      </c>
      <c r="F66" s="5">
        <v>0.5</v>
      </c>
      <c r="G66" s="25">
        <v>256.02</v>
      </c>
      <c r="H66" s="25">
        <v>266.2</v>
      </c>
      <c r="I66" s="25">
        <v>245.75</v>
      </c>
      <c r="J66" s="25">
        <v>252.13</v>
      </c>
      <c r="K66" s="25">
        <v>264.45999999999998</v>
      </c>
      <c r="L66" s="25">
        <v>299.52</v>
      </c>
      <c r="M66" s="25">
        <v>299.89999999999998</v>
      </c>
      <c r="N66" s="25">
        <v>-184.71</v>
      </c>
      <c r="O66" s="25">
        <v>182.92</v>
      </c>
      <c r="P66" s="25">
        <v>149.36000000000001</v>
      </c>
      <c r="Q66" s="25">
        <v>219.4</v>
      </c>
      <c r="R66" s="26">
        <v>0</v>
      </c>
      <c r="S66" s="25">
        <v>227.9</v>
      </c>
      <c r="T66" s="25">
        <v>194.86</v>
      </c>
      <c r="U66" s="25">
        <v>264.61</v>
      </c>
      <c r="V66" s="26">
        <v>331.76</v>
      </c>
      <c r="W66" s="25">
        <v>232.56</v>
      </c>
      <c r="X66" s="7">
        <v>7.6257835283075837E-2</v>
      </c>
      <c r="Y66" s="8">
        <v>7.0403014824965693E-2</v>
      </c>
      <c r="Z66" s="9">
        <v>0.48265126496646632</v>
      </c>
      <c r="AA66" s="8">
        <v>4.572527548006633E-3</v>
      </c>
    </row>
    <row r="67" spans="2:27">
      <c r="B67" s="12" t="s">
        <v>79</v>
      </c>
      <c r="C67" s="3" t="s">
        <v>391</v>
      </c>
      <c r="D67" s="3" t="s">
        <v>420</v>
      </c>
      <c r="E67" s="3" t="s">
        <v>397</v>
      </c>
      <c r="F67" s="5">
        <v>0.4</v>
      </c>
      <c r="G67" s="25"/>
      <c r="H67" s="25">
        <v>231</v>
      </c>
      <c r="I67" s="25">
        <v>311</v>
      </c>
      <c r="J67" s="25">
        <v>285</v>
      </c>
      <c r="K67" s="25">
        <v>295</v>
      </c>
      <c r="L67" s="25">
        <v>292</v>
      </c>
      <c r="M67" s="25">
        <v>295</v>
      </c>
      <c r="N67" s="25">
        <v>273</v>
      </c>
      <c r="O67" s="25">
        <v>299</v>
      </c>
      <c r="P67" s="25">
        <v>293</v>
      </c>
      <c r="Q67" s="25">
        <v>299</v>
      </c>
      <c r="R67" s="25">
        <v>308</v>
      </c>
      <c r="S67" s="25">
        <v>311</v>
      </c>
      <c r="T67" s="25">
        <v>322</v>
      </c>
      <c r="U67" s="25">
        <v>313</v>
      </c>
      <c r="V67" s="25">
        <v>326</v>
      </c>
      <c r="W67" s="25">
        <v>316</v>
      </c>
      <c r="X67" s="7">
        <v>2.394715111478107E-2</v>
      </c>
      <c r="Y67" s="8">
        <v>1.129032258064511E-2</v>
      </c>
      <c r="Z67" s="8">
        <v>1.43540669856459E-2</v>
      </c>
      <c r="AA67" s="8">
        <v>3.9308176100629746E-3</v>
      </c>
    </row>
    <row r="68" spans="2:27">
      <c r="B68" s="12" t="s">
        <v>262</v>
      </c>
      <c r="C68" s="3" t="s">
        <v>391</v>
      </c>
      <c r="D68" s="3" t="s">
        <v>434</v>
      </c>
      <c r="E68" s="3" t="s">
        <v>408</v>
      </c>
      <c r="F68" s="5">
        <v>0.2</v>
      </c>
      <c r="G68" s="25">
        <v>14.85</v>
      </c>
      <c r="H68" s="25">
        <v>4.09</v>
      </c>
      <c r="I68" s="25">
        <v>21.26</v>
      </c>
      <c r="J68" s="25">
        <v>25.72</v>
      </c>
      <c r="K68" s="25">
        <v>9.33</v>
      </c>
      <c r="L68" s="26">
        <v>10.19</v>
      </c>
      <c r="M68" s="26">
        <v>48.29</v>
      </c>
      <c r="N68" s="26">
        <v>43.38</v>
      </c>
      <c r="O68" s="25">
        <v>11.88</v>
      </c>
      <c r="P68" s="25">
        <v>17.899999999999999</v>
      </c>
      <c r="Q68" s="25">
        <v>50.12</v>
      </c>
      <c r="R68" s="25">
        <v>44.84</v>
      </c>
      <c r="S68" s="25">
        <v>5.74</v>
      </c>
      <c r="T68" s="25">
        <v>5.72</v>
      </c>
      <c r="U68" s="25">
        <v>51.48</v>
      </c>
      <c r="V68" s="25">
        <v>33.700000000000003</v>
      </c>
      <c r="W68" s="25">
        <v>5.95</v>
      </c>
      <c r="X68" s="7">
        <v>-0.1026981450252951</v>
      </c>
      <c r="Y68" s="8">
        <v>1.27795527156549E-2</v>
      </c>
      <c r="Z68" s="8">
        <v>-0.1033586936351828</v>
      </c>
      <c r="AA68" s="8">
        <v>2.1730132450330508E-3</v>
      </c>
    </row>
    <row r="69" spans="2:27">
      <c r="B69" s="12" t="s">
        <v>47</v>
      </c>
      <c r="C69" s="3" t="s">
        <v>391</v>
      </c>
      <c r="D69" s="3" t="s">
        <v>426</v>
      </c>
      <c r="E69" s="3" t="s">
        <v>397</v>
      </c>
      <c r="F69" s="5">
        <v>0.1</v>
      </c>
      <c r="G69" s="25">
        <v>163</v>
      </c>
      <c r="H69" s="25">
        <v>194.53</v>
      </c>
      <c r="I69" s="25">
        <v>342.28</v>
      </c>
      <c r="J69" s="25">
        <v>342.62</v>
      </c>
      <c r="K69" s="26">
        <v>302.12</v>
      </c>
      <c r="L69" s="26">
        <v>375.97</v>
      </c>
      <c r="M69" s="25">
        <v>448.05</v>
      </c>
      <c r="N69" s="25">
        <v>402.19</v>
      </c>
      <c r="O69" s="25">
        <v>369.98</v>
      </c>
      <c r="P69" s="25">
        <v>446.77</v>
      </c>
      <c r="Q69" s="25">
        <v>591.82000000000005</v>
      </c>
      <c r="R69" s="25">
        <v>488.43</v>
      </c>
      <c r="S69" s="25">
        <v>426.36</v>
      </c>
      <c r="T69" s="25">
        <v>497.3</v>
      </c>
      <c r="U69" s="25">
        <v>564.52</v>
      </c>
      <c r="V69" s="25">
        <v>484.58</v>
      </c>
      <c r="W69" s="25">
        <v>428.78</v>
      </c>
      <c r="X69" s="7">
        <v>2.5867982676181841E-2</v>
      </c>
      <c r="Y69" s="8">
        <v>-1.362336631884664E-2</v>
      </c>
      <c r="Z69" s="8">
        <v>-1.9477792786640751E-3</v>
      </c>
      <c r="AA69" s="8">
        <v>1.226707759686807E-3</v>
      </c>
    </row>
    <row r="70" spans="2:27">
      <c r="B70" s="12" t="s">
        <v>94</v>
      </c>
      <c r="C70" s="3" t="s">
        <v>391</v>
      </c>
      <c r="D70" s="3" t="s">
        <v>404</v>
      </c>
      <c r="E70" s="3" t="s">
        <v>397</v>
      </c>
      <c r="F70" s="5">
        <v>0</v>
      </c>
      <c r="G70" s="25">
        <v>158.6</v>
      </c>
      <c r="H70" s="25">
        <v>153.19999999999999</v>
      </c>
      <c r="I70" s="25">
        <v>196</v>
      </c>
      <c r="J70" s="25">
        <v>175.5</v>
      </c>
      <c r="K70" s="25">
        <v>197.8</v>
      </c>
      <c r="L70" s="25">
        <v>195.2</v>
      </c>
      <c r="M70" s="25">
        <v>215.3</v>
      </c>
      <c r="N70" s="25">
        <v>182.1</v>
      </c>
      <c r="O70" s="25">
        <v>171.6</v>
      </c>
      <c r="P70" s="25">
        <v>203.2</v>
      </c>
      <c r="Q70" s="25">
        <v>265.10000000000002</v>
      </c>
      <c r="R70" s="25">
        <v>229.3</v>
      </c>
      <c r="S70" s="25">
        <v>204.8</v>
      </c>
      <c r="T70" s="25">
        <v>227.1</v>
      </c>
      <c r="U70" s="25">
        <v>286.89999999999998</v>
      </c>
      <c r="V70" s="25">
        <v>245.1</v>
      </c>
      <c r="W70" s="25">
        <v>205</v>
      </c>
      <c r="X70" s="7">
        <v>2.6484929078014249E-2</v>
      </c>
      <c r="Y70" s="8">
        <v>2.353449206520564E-2</v>
      </c>
      <c r="Z70" s="8">
        <v>1.6664908764898231E-2</v>
      </c>
      <c r="AA70" s="8">
        <v>2.0749040356871079E-4</v>
      </c>
    </row>
    <row r="71" spans="2:27">
      <c r="B71" s="12" t="s">
        <v>162</v>
      </c>
      <c r="C71" s="3" t="s">
        <v>391</v>
      </c>
      <c r="D71" s="3" t="s">
        <v>425</v>
      </c>
      <c r="E71" s="3" t="s">
        <v>397</v>
      </c>
      <c r="F71" s="5">
        <v>-0.1</v>
      </c>
      <c r="G71" s="25">
        <v>20</v>
      </c>
      <c r="H71" s="25">
        <v>171</v>
      </c>
      <c r="I71" s="25">
        <v>198</v>
      </c>
      <c r="J71" s="25">
        <v>114</v>
      </c>
      <c r="K71" s="26">
        <v>232</v>
      </c>
      <c r="L71" s="25">
        <v>191</v>
      </c>
      <c r="M71" s="26">
        <v>369</v>
      </c>
      <c r="N71" s="26">
        <v>248</v>
      </c>
      <c r="O71" s="25">
        <v>252</v>
      </c>
      <c r="P71" s="26">
        <v>344</v>
      </c>
      <c r="Q71" s="25">
        <v>374</v>
      </c>
      <c r="R71" s="25">
        <v>185</v>
      </c>
      <c r="S71" s="25">
        <v>198</v>
      </c>
      <c r="T71" s="25">
        <v>240</v>
      </c>
      <c r="U71" s="25">
        <v>251</v>
      </c>
      <c r="V71" s="26">
        <v>367</v>
      </c>
      <c r="W71" s="25">
        <v>197</v>
      </c>
      <c r="X71" s="7">
        <v>-9.4459582198001768E-2</v>
      </c>
      <c r="Y71" s="8">
        <v>-0.123370110330993</v>
      </c>
      <c r="Z71" s="9">
        <v>0.20823798627002299</v>
      </c>
      <c r="AA71" s="8">
        <v>-9.4696969696972388E-4</v>
      </c>
    </row>
    <row r="72" spans="2:27">
      <c r="B72" s="12" t="s">
        <v>188</v>
      </c>
      <c r="C72" s="3" t="s">
        <v>391</v>
      </c>
      <c r="D72" s="3" t="s">
        <v>434</v>
      </c>
      <c r="E72" s="3" t="s">
        <v>393</v>
      </c>
      <c r="F72" s="5">
        <v>-0.3</v>
      </c>
      <c r="G72" s="25">
        <v>45.06</v>
      </c>
      <c r="H72" s="25">
        <v>13.81</v>
      </c>
      <c r="I72" s="25">
        <v>44.24</v>
      </c>
      <c r="J72" s="25">
        <v>49.3</v>
      </c>
      <c r="K72" s="25">
        <v>51.33</v>
      </c>
      <c r="L72" s="25">
        <v>29.41</v>
      </c>
      <c r="M72" s="25">
        <v>36.44</v>
      </c>
      <c r="N72" s="25">
        <v>56.78</v>
      </c>
      <c r="O72" s="25">
        <v>65.94</v>
      </c>
      <c r="P72" s="26">
        <v>50.07</v>
      </c>
      <c r="Q72" s="25">
        <v>43.87</v>
      </c>
      <c r="R72" s="25">
        <v>55.86</v>
      </c>
      <c r="S72" s="25">
        <v>77.47</v>
      </c>
      <c r="T72" s="25">
        <v>51.59</v>
      </c>
      <c r="U72" s="25">
        <v>44.09</v>
      </c>
      <c r="V72" s="25">
        <v>60.4</v>
      </c>
      <c r="W72" s="25">
        <v>76.849999999999994</v>
      </c>
      <c r="X72" s="7">
        <v>6.6880802569631026E-3</v>
      </c>
      <c r="Y72" s="8">
        <v>9.6158048865779833E-4</v>
      </c>
      <c r="Z72" s="8">
        <v>1.9824461813894741E-2</v>
      </c>
      <c r="AA72" s="8">
        <v>-2.6546777991864889E-3</v>
      </c>
    </row>
    <row r="73" spans="2:27">
      <c r="B73" s="12" t="s">
        <v>68</v>
      </c>
      <c r="C73" s="3" t="s">
        <v>391</v>
      </c>
      <c r="D73" s="3" t="s">
        <v>430</v>
      </c>
      <c r="E73" s="3" t="s">
        <v>397</v>
      </c>
      <c r="F73" s="5">
        <v>-0.5</v>
      </c>
      <c r="G73" s="25">
        <v>0</v>
      </c>
      <c r="H73" s="25">
        <v>276</v>
      </c>
      <c r="I73" s="25">
        <v>300</v>
      </c>
      <c r="J73" s="25">
        <v>277</v>
      </c>
      <c r="K73" s="26">
        <v>958</v>
      </c>
      <c r="L73" s="25">
        <v>375</v>
      </c>
      <c r="M73" s="25">
        <v>270</v>
      </c>
      <c r="N73" s="25">
        <v>318</v>
      </c>
      <c r="O73" s="25">
        <v>965</v>
      </c>
      <c r="P73" s="25">
        <v>445</v>
      </c>
      <c r="Q73" s="25">
        <v>333</v>
      </c>
      <c r="R73" s="25">
        <v>380</v>
      </c>
      <c r="S73" s="25">
        <v>1045</v>
      </c>
      <c r="T73" s="25">
        <v>357</v>
      </c>
      <c r="U73" s="25">
        <v>383</v>
      </c>
      <c r="V73" s="25">
        <v>432</v>
      </c>
      <c r="W73" s="25">
        <v>1035</v>
      </c>
      <c r="X73" s="7">
        <v>-3.9945528824330452E-2</v>
      </c>
      <c r="Y73" s="8">
        <v>2.364066193853431E-2</v>
      </c>
      <c r="Z73" s="8">
        <v>2.4018475750577469E-2</v>
      </c>
      <c r="AA73" s="8">
        <v>-4.5105999097879712E-3</v>
      </c>
    </row>
    <row r="74" spans="2:27">
      <c r="B74" s="12" t="s">
        <v>176</v>
      </c>
      <c r="C74" s="3" t="s">
        <v>391</v>
      </c>
      <c r="D74" s="3" t="s">
        <v>432</v>
      </c>
      <c r="E74" s="3" t="s">
        <v>393</v>
      </c>
      <c r="F74" s="5">
        <v>-0.7</v>
      </c>
      <c r="G74" s="25">
        <v>-277.3</v>
      </c>
      <c r="H74" s="25">
        <v>885.37</v>
      </c>
      <c r="I74" s="25">
        <v>311.60000000000002</v>
      </c>
      <c r="J74" s="25">
        <v>-209.11</v>
      </c>
      <c r="K74" s="25">
        <v>-283.2</v>
      </c>
      <c r="L74" s="25">
        <v>864.5</v>
      </c>
      <c r="M74" s="25">
        <v>376.51</v>
      </c>
      <c r="N74" s="25">
        <v>-206.33</v>
      </c>
      <c r="O74" s="25">
        <v>-267.43</v>
      </c>
      <c r="P74" s="25">
        <v>928.2</v>
      </c>
      <c r="Q74" s="25">
        <v>350.83</v>
      </c>
      <c r="R74" s="25">
        <v>-228.33</v>
      </c>
      <c r="S74" s="25">
        <v>-293.29000000000002</v>
      </c>
      <c r="T74" s="25">
        <v>978.31</v>
      </c>
      <c r="U74" s="25">
        <v>371.28</v>
      </c>
      <c r="V74" s="25">
        <v>-207.03</v>
      </c>
      <c r="W74" s="25">
        <v>-298.88</v>
      </c>
      <c r="X74" s="7">
        <v>6.615967573705106E-2</v>
      </c>
      <c r="Y74" s="8">
        <v>2.532445016841689E-2</v>
      </c>
      <c r="Z74" s="8">
        <v>2.5725569767020451E-2</v>
      </c>
      <c r="AA74" s="8">
        <v>-6.5821234707453824E-3</v>
      </c>
    </row>
    <row r="75" spans="2:27">
      <c r="B75" s="12" t="s">
        <v>132</v>
      </c>
      <c r="C75" s="3" t="s">
        <v>391</v>
      </c>
      <c r="D75" s="3" t="s">
        <v>429</v>
      </c>
      <c r="E75" s="3" t="s">
        <v>397</v>
      </c>
      <c r="F75" s="5">
        <v>-1</v>
      </c>
      <c r="G75" s="25">
        <v>58.1</v>
      </c>
      <c r="H75" s="25">
        <v>88.4</v>
      </c>
      <c r="I75" s="25">
        <v>96.4</v>
      </c>
      <c r="J75" s="25">
        <v>104.1</v>
      </c>
      <c r="K75" s="26">
        <v>266.2</v>
      </c>
      <c r="L75" s="25">
        <v>110.2</v>
      </c>
      <c r="M75" s="25">
        <v>121.2</v>
      </c>
      <c r="N75" s="25">
        <v>122.4</v>
      </c>
      <c r="O75" s="25">
        <v>62.7</v>
      </c>
      <c r="P75" s="25">
        <v>114.6</v>
      </c>
      <c r="Q75" s="25">
        <v>142.1</v>
      </c>
      <c r="R75" s="25">
        <v>140.80000000000001</v>
      </c>
      <c r="S75" s="26">
        <v>154.6</v>
      </c>
      <c r="T75" s="25">
        <v>150.9</v>
      </c>
      <c r="U75" s="25">
        <v>164.3</v>
      </c>
      <c r="V75" s="25">
        <v>170.1</v>
      </c>
      <c r="W75" s="25">
        <v>148</v>
      </c>
      <c r="X75" s="7">
        <v>6.5748958522006795E-2</v>
      </c>
      <c r="Y75" s="8">
        <v>3.7729435757987817E-2</v>
      </c>
      <c r="Z75" s="8">
        <v>4.7985587946282271E-2</v>
      </c>
      <c r="AA75" s="8">
        <v>-1.031411157993445E-2</v>
      </c>
    </row>
    <row r="76" spans="2:27">
      <c r="B76" s="12" t="s">
        <v>49</v>
      </c>
      <c r="C76" s="3" t="s">
        <v>391</v>
      </c>
      <c r="D76" s="3" t="s">
        <v>427</v>
      </c>
      <c r="E76" s="3" t="s">
        <v>397</v>
      </c>
      <c r="F76" s="5">
        <v>-1.2</v>
      </c>
      <c r="G76" s="25">
        <v>588</v>
      </c>
      <c r="H76" s="25">
        <v>534</v>
      </c>
      <c r="I76" s="25">
        <v>534</v>
      </c>
      <c r="J76" s="25">
        <v>603</v>
      </c>
      <c r="K76" s="25">
        <v>546</v>
      </c>
      <c r="L76" s="25">
        <v>680</v>
      </c>
      <c r="M76" s="25">
        <v>661</v>
      </c>
      <c r="N76" s="25">
        <v>667</v>
      </c>
      <c r="O76" s="25">
        <v>601</v>
      </c>
      <c r="P76" s="25">
        <v>669</v>
      </c>
      <c r="Q76" s="25">
        <v>649</v>
      </c>
      <c r="R76" s="25">
        <v>686</v>
      </c>
      <c r="S76" s="25">
        <v>668</v>
      </c>
      <c r="T76" s="25">
        <v>672</v>
      </c>
      <c r="U76" s="25">
        <v>678</v>
      </c>
      <c r="V76" s="25">
        <v>707</v>
      </c>
      <c r="W76" s="25">
        <v>634</v>
      </c>
      <c r="X76" s="7">
        <v>1.1227544910179521E-3</v>
      </c>
      <c r="Y76" s="8">
        <v>1.0841121495327011E-2</v>
      </c>
      <c r="Z76" s="8">
        <v>7.7662721893492206E-3</v>
      </c>
      <c r="AA76" s="8">
        <v>-1.247706422018346E-2</v>
      </c>
    </row>
    <row r="77" spans="2:27">
      <c r="B77" s="12" t="s">
        <v>70</v>
      </c>
      <c r="C77" s="3" t="s">
        <v>391</v>
      </c>
      <c r="D77" s="3" t="s">
        <v>444</v>
      </c>
      <c r="E77" s="3" t="s">
        <v>397</v>
      </c>
      <c r="F77" s="5">
        <v>-1.4</v>
      </c>
      <c r="G77" s="25">
        <v>880</v>
      </c>
      <c r="H77" s="25">
        <v>1074</v>
      </c>
      <c r="I77" s="25">
        <v>1292</v>
      </c>
      <c r="J77" s="25">
        <v>1000</v>
      </c>
      <c r="K77" s="25">
        <v>805</v>
      </c>
      <c r="L77" s="25">
        <v>1203</v>
      </c>
      <c r="M77" s="25">
        <v>1047</v>
      </c>
      <c r="N77" s="25">
        <v>999</v>
      </c>
      <c r="O77" s="25">
        <v>751</v>
      </c>
      <c r="P77" s="25">
        <v>708</v>
      </c>
      <c r="Q77" s="25">
        <v>489</v>
      </c>
      <c r="R77" s="25">
        <v>460</v>
      </c>
      <c r="S77" s="25">
        <v>340</v>
      </c>
      <c r="T77" s="25">
        <v>248</v>
      </c>
      <c r="U77" s="25">
        <v>459</v>
      </c>
      <c r="V77" s="25">
        <v>397</v>
      </c>
      <c r="W77" s="25">
        <v>320</v>
      </c>
      <c r="X77" s="7">
        <v>-0.23034551827741609</v>
      </c>
      <c r="Y77" s="8">
        <v>-1.9518542615484691E-2</v>
      </c>
      <c r="Z77" s="8">
        <v>-4.1804910418049117E-2</v>
      </c>
      <c r="AA77" s="8">
        <v>-1.3850415512465349E-2</v>
      </c>
    </row>
    <row r="78" spans="2:27">
      <c r="B78" s="12" t="s">
        <v>329</v>
      </c>
      <c r="C78" s="3" t="s">
        <v>391</v>
      </c>
      <c r="D78" s="3" t="s">
        <v>431</v>
      </c>
      <c r="E78" s="3" t="s">
        <v>397</v>
      </c>
      <c r="F78" s="5">
        <v>-1.5</v>
      </c>
      <c r="G78" s="25"/>
      <c r="H78" s="25"/>
      <c r="I78" s="25"/>
      <c r="J78" s="25"/>
      <c r="K78" s="25"/>
      <c r="L78" s="25"/>
      <c r="M78" s="25"/>
      <c r="N78" s="25"/>
      <c r="O78" s="25"/>
      <c r="P78" s="25">
        <v>-38.78</v>
      </c>
      <c r="Q78" s="25">
        <v>-43.98</v>
      </c>
      <c r="R78" s="25">
        <v>-40.75</v>
      </c>
      <c r="S78" s="25">
        <v>-40.75</v>
      </c>
      <c r="T78" s="25">
        <v>-39.75</v>
      </c>
      <c r="U78" s="25">
        <v>-40.909999999999997</v>
      </c>
      <c r="V78" s="25">
        <v>-38.39</v>
      </c>
      <c r="W78" s="25">
        <v>-38.39</v>
      </c>
      <c r="X78" s="7">
        <v>5.9052721295507196E-3</v>
      </c>
      <c r="Y78" s="8">
        <v>-1.8580160987714089E-2</v>
      </c>
      <c r="Z78" s="8">
        <v>-1.4553527380364971E-2</v>
      </c>
      <c r="AA78" s="8">
        <v>-1.476846057571979E-2</v>
      </c>
    </row>
    <row r="79" spans="2:27">
      <c r="B79" s="12" t="s">
        <v>160</v>
      </c>
      <c r="C79" s="3" t="s">
        <v>391</v>
      </c>
      <c r="D79" s="3" t="s">
        <v>434</v>
      </c>
      <c r="E79" s="3" t="s">
        <v>397</v>
      </c>
      <c r="F79" s="5">
        <v>-1.9</v>
      </c>
      <c r="G79" s="25">
        <v>113</v>
      </c>
      <c r="H79" s="25">
        <v>213</v>
      </c>
      <c r="I79" s="25">
        <v>215</v>
      </c>
      <c r="J79" s="25">
        <v>186</v>
      </c>
      <c r="K79" s="25">
        <v>150</v>
      </c>
      <c r="L79" s="26">
        <v>291</v>
      </c>
      <c r="M79" s="25">
        <v>249</v>
      </c>
      <c r="N79" s="25">
        <v>222</v>
      </c>
      <c r="O79" s="25">
        <v>200</v>
      </c>
      <c r="P79" s="25">
        <v>216</v>
      </c>
      <c r="Q79" s="25">
        <v>263</v>
      </c>
      <c r="R79" s="25">
        <v>277</v>
      </c>
      <c r="S79" s="25">
        <v>250</v>
      </c>
      <c r="T79" s="25">
        <v>283</v>
      </c>
      <c r="U79" s="25">
        <v>274</v>
      </c>
      <c r="V79" s="25">
        <v>251</v>
      </c>
      <c r="W79" s="25">
        <v>230</v>
      </c>
      <c r="X79" s="7">
        <v>6.6600397614314133E-2</v>
      </c>
      <c r="Y79" s="8">
        <v>1.025163094128612E-2</v>
      </c>
      <c r="Z79" s="8">
        <v>-2.3985239852398529E-2</v>
      </c>
      <c r="AA79" s="8">
        <v>-1.8903591682419622E-2</v>
      </c>
    </row>
    <row r="80" spans="2:27">
      <c r="B80" s="12" t="s">
        <v>180</v>
      </c>
      <c r="C80" s="3" t="s">
        <v>391</v>
      </c>
      <c r="D80" s="3" t="s">
        <v>435</v>
      </c>
      <c r="E80" s="3" t="s">
        <v>401</v>
      </c>
      <c r="F80" s="5">
        <v>-3.8</v>
      </c>
      <c r="G80" s="25">
        <v>91.41</v>
      </c>
      <c r="H80" s="25">
        <v>116</v>
      </c>
      <c r="I80" s="25">
        <v>157.05000000000001</v>
      </c>
      <c r="J80" s="25">
        <v>190.19</v>
      </c>
      <c r="K80" s="25">
        <v>102.27</v>
      </c>
      <c r="L80" s="25">
        <v>68.77</v>
      </c>
      <c r="M80" s="25">
        <v>59.23</v>
      </c>
      <c r="N80" s="25">
        <v>52.04</v>
      </c>
      <c r="O80" s="25">
        <v>56.18</v>
      </c>
      <c r="P80" s="25">
        <v>7.76</v>
      </c>
      <c r="Q80" s="25">
        <v>63.3</v>
      </c>
      <c r="R80" s="25">
        <v>66.680000000000007</v>
      </c>
      <c r="S80" s="25">
        <v>72.81</v>
      </c>
      <c r="T80" s="26">
        <v>42.87</v>
      </c>
      <c r="U80" s="25">
        <v>81.42</v>
      </c>
      <c r="V80" s="25">
        <v>74.819999999999993</v>
      </c>
      <c r="W80" s="25">
        <v>62.47</v>
      </c>
      <c r="X80" s="10">
        <v>0.16675374020422701</v>
      </c>
      <c r="Y80" s="8">
        <v>7.3760481966946401E-2</v>
      </c>
      <c r="Z80" s="8">
        <v>3.0859049207673021E-2</v>
      </c>
      <c r="AA80" s="8">
        <v>-3.8025889967637672E-2</v>
      </c>
    </row>
    <row r="81" spans="2:27">
      <c r="B81" s="12" t="s">
        <v>295</v>
      </c>
      <c r="C81" s="3" t="s">
        <v>391</v>
      </c>
      <c r="D81" s="3" t="s">
        <v>400</v>
      </c>
      <c r="E81" s="3" t="s">
        <v>408</v>
      </c>
      <c r="F81" s="5">
        <v>-4</v>
      </c>
      <c r="G81" s="25">
        <v>-3.6</v>
      </c>
      <c r="H81" s="25">
        <v>17.3</v>
      </c>
      <c r="I81" s="25">
        <v>48.2</v>
      </c>
      <c r="J81" s="25">
        <v>46.1</v>
      </c>
      <c r="K81" s="25">
        <v>-1.9</v>
      </c>
      <c r="L81" s="25">
        <v>-2.6</v>
      </c>
      <c r="M81" s="25">
        <v>51.2</v>
      </c>
      <c r="N81" s="26">
        <v>78.099999999999994</v>
      </c>
      <c r="O81" s="25">
        <v>-6.2</v>
      </c>
      <c r="P81" s="26">
        <v>18.3</v>
      </c>
      <c r="Q81" s="26">
        <v>66</v>
      </c>
      <c r="R81" s="25">
        <v>62.5</v>
      </c>
      <c r="S81" s="25">
        <v>-0.6</v>
      </c>
      <c r="T81" s="26">
        <v>39.4</v>
      </c>
      <c r="U81" s="25">
        <v>61.8</v>
      </c>
      <c r="V81" s="25">
        <v>60.1</v>
      </c>
      <c r="W81" s="25">
        <v>-7.1</v>
      </c>
      <c r="X81" s="10">
        <v>0.14432284541723669</v>
      </c>
      <c r="Y81" s="8">
        <v>-2.510460251046032E-2</v>
      </c>
      <c r="Z81" s="8">
        <v>-1.4714898835070491E-2</v>
      </c>
      <c r="AA81" s="8">
        <v>-4.0448039825762283E-2</v>
      </c>
    </row>
    <row r="82" spans="2:27">
      <c r="B82" s="12" t="s">
        <v>214</v>
      </c>
      <c r="C82" s="3" t="s">
        <v>391</v>
      </c>
      <c r="D82" s="3" t="s">
        <v>443</v>
      </c>
      <c r="E82" s="3" t="s">
        <v>408</v>
      </c>
      <c r="F82" s="5">
        <v>-4.0999999999999996</v>
      </c>
      <c r="G82" s="25">
        <v>119</v>
      </c>
      <c r="H82" s="25">
        <v>144</v>
      </c>
      <c r="I82" s="25">
        <v>170</v>
      </c>
      <c r="J82" s="25">
        <v>125</v>
      </c>
      <c r="K82" s="25">
        <v>108</v>
      </c>
      <c r="L82" s="25">
        <v>130</v>
      </c>
      <c r="M82" s="25">
        <v>151</v>
      </c>
      <c r="N82" s="25">
        <v>135</v>
      </c>
      <c r="O82" s="25">
        <v>136</v>
      </c>
      <c r="P82" s="25">
        <v>157</v>
      </c>
      <c r="Q82" s="25">
        <v>172</v>
      </c>
      <c r="R82" s="25">
        <v>163</v>
      </c>
      <c r="S82" s="25">
        <v>155</v>
      </c>
      <c r="T82" s="25">
        <v>163</v>
      </c>
      <c r="U82" s="25">
        <v>167</v>
      </c>
      <c r="V82" s="25">
        <v>146</v>
      </c>
      <c r="W82" s="25">
        <v>129</v>
      </c>
      <c r="X82" s="7">
        <v>9.2735703245749868E-3</v>
      </c>
      <c r="Y82" s="8">
        <v>-7.6569678407351072E-3</v>
      </c>
      <c r="Z82" s="8">
        <v>-2.623456790123457E-2</v>
      </c>
      <c r="AA82" s="8">
        <v>-4.1204437400950922E-2</v>
      </c>
    </row>
    <row r="83" spans="2:27">
      <c r="B83" s="12" t="s">
        <v>303</v>
      </c>
      <c r="C83" s="3" t="s">
        <v>391</v>
      </c>
      <c r="D83" s="3" t="s">
        <v>440</v>
      </c>
      <c r="E83" s="3" t="s">
        <v>397</v>
      </c>
      <c r="F83" s="5">
        <v>-6.3</v>
      </c>
      <c r="G83" s="25">
        <v>25.72</v>
      </c>
      <c r="H83" s="25">
        <v>28.34</v>
      </c>
      <c r="I83" s="25">
        <v>28.32</v>
      </c>
      <c r="J83" s="25">
        <v>31</v>
      </c>
      <c r="K83" s="25">
        <v>27.07</v>
      </c>
      <c r="L83" s="25">
        <v>29.72</v>
      </c>
      <c r="M83" s="25">
        <v>31.49</v>
      </c>
      <c r="N83" s="25">
        <v>31.14</v>
      </c>
      <c r="O83" s="25">
        <v>29.4</v>
      </c>
      <c r="P83" s="25">
        <v>30.55</v>
      </c>
      <c r="Q83" s="25">
        <v>30.79</v>
      </c>
      <c r="R83" s="25">
        <v>37.81</v>
      </c>
      <c r="S83" s="25">
        <v>30.05</v>
      </c>
      <c r="T83" s="25">
        <v>27.5</v>
      </c>
      <c r="U83" s="25">
        <v>25.98</v>
      </c>
      <c r="V83" s="25">
        <v>24.77</v>
      </c>
      <c r="W83" s="25">
        <v>23.22</v>
      </c>
      <c r="X83" s="7">
        <v>-2.3606811145510661E-2</v>
      </c>
      <c r="Y83" s="8">
        <v>-3.8129211256440747E-2</v>
      </c>
      <c r="Z83" s="8">
        <v>-0.10746662271303779</v>
      </c>
      <c r="AA83" s="8">
        <v>-6.3065558633425667E-2</v>
      </c>
    </row>
    <row r="84" spans="2:27">
      <c r="B84" s="12" t="s">
        <v>229</v>
      </c>
      <c r="C84" s="3" t="s">
        <v>391</v>
      </c>
      <c r="D84" s="3" t="s">
        <v>441</v>
      </c>
      <c r="E84" s="3" t="s">
        <v>397</v>
      </c>
      <c r="F84" s="5">
        <v>-8</v>
      </c>
      <c r="G84" s="25">
        <v>212.57</v>
      </c>
      <c r="H84" s="25">
        <v>83.67</v>
      </c>
      <c r="I84" s="25">
        <v>8.77</v>
      </c>
      <c r="J84" s="25">
        <v>145.26</v>
      </c>
      <c r="K84" s="25">
        <v>191.8</v>
      </c>
      <c r="L84" s="25">
        <v>56.43</v>
      </c>
      <c r="M84" s="25">
        <v>6.23</v>
      </c>
      <c r="N84" s="25">
        <v>134.55000000000001</v>
      </c>
      <c r="O84" s="25">
        <v>138.07</v>
      </c>
      <c r="P84" s="25">
        <v>44.68</v>
      </c>
      <c r="Q84" s="25">
        <v>-23.8</v>
      </c>
      <c r="R84" s="25">
        <v>112.54</v>
      </c>
      <c r="S84" s="25">
        <v>137.32</v>
      </c>
      <c r="T84" s="25">
        <v>46.51</v>
      </c>
      <c r="U84" s="25">
        <v>-23.59</v>
      </c>
      <c r="V84" s="25">
        <v>96.39</v>
      </c>
      <c r="W84" s="25">
        <v>116.74</v>
      </c>
      <c r="X84" s="7">
        <v>6.759252419295203E-3</v>
      </c>
      <c r="Y84" s="8">
        <v>7.7044428954020638E-4</v>
      </c>
      <c r="Z84" s="8">
        <v>-5.9205220324070613E-2</v>
      </c>
      <c r="AA84" s="8">
        <v>-8.0193274363870248E-2</v>
      </c>
    </row>
    <row r="85" spans="2:27">
      <c r="B85" s="12" t="s">
        <v>219</v>
      </c>
      <c r="C85" s="3" t="s">
        <v>391</v>
      </c>
      <c r="D85" s="3" t="s">
        <v>409</v>
      </c>
      <c r="E85" s="3" t="s">
        <v>393</v>
      </c>
      <c r="F85" s="5">
        <v>-9</v>
      </c>
      <c r="G85" s="25">
        <v>-23.91</v>
      </c>
      <c r="H85" s="25">
        <v>-28.7</v>
      </c>
      <c r="I85" s="25">
        <v>-21.62</v>
      </c>
      <c r="J85" s="25">
        <v>-17.2</v>
      </c>
      <c r="K85" s="25">
        <v>-20.010000000000002</v>
      </c>
      <c r="L85" s="25">
        <v>-18.89</v>
      </c>
      <c r="M85" s="25">
        <v>-11.97</v>
      </c>
      <c r="N85" s="25">
        <v>-15.4</v>
      </c>
      <c r="O85" s="25">
        <v>-11.08</v>
      </c>
      <c r="P85" s="25">
        <v>-7.45</v>
      </c>
      <c r="Q85" s="25">
        <v>0.34</v>
      </c>
      <c r="R85" s="25">
        <v>-8.17</v>
      </c>
      <c r="S85" s="25">
        <v>-10.19</v>
      </c>
      <c r="T85" s="25">
        <v>-5.7</v>
      </c>
      <c r="U85" s="26">
        <v>-3.74</v>
      </c>
      <c r="V85" s="26">
        <v>-13.95</v>
      </c>
      <c r="W85" s="25">
        <v>-7.18</v>
      </c>
      <c r="X85" s="7">
        <v>-6.8708284255987406E-2</v>
      </c>
      <c r="Y85" s="9">
        <v>0.1720067453625633</v>
      </c>
      <c r="Z85" s="9">
        <v>0.20791366906474809</v>
      </c>
      <c r="AA85" s="8">
        <v>-8.9636688505062456E-2</v>
      </c>
    </row>
    <row r="86" spans="2:27">
      <c r="B86" s="12" t="s">
        <v>293</v>
      </c>
      <c r="C86" s="3" t="s">
        <v>391</v>
      </c>
      <c r="D86" s="3" t="s">
        <v>399</v>
      </c>
      <c r="E86" s="3" t="s">
        <v>397</v>
      </c>
      <c r="F86" s="5">
        <v>-9.9</v>
      </c>
      <c r="G86" s="25">
        <v>16.579999999999998</v>
      </c>
      <c r="H86" s="25">
        <v>20.079999999999998</v>
      </c>
      <c r="I86" s="25">
        <v>58.62</v>
      </c>
      <c r="J86" s="25">
        <v>90.63</v>
      </c>
      <c r="K86" s="26">
        <v>112.73</v>
      </c>
      <c r="L86" s="26">
        <v>105.1</v>
      </c>
      <c r="M86" s="25">
        <v>80.27</v>
      </c>
      <c r="N86" s="25">
        <v>20.93</v>
      </c>
      <c r="O86" s="25">
        <v>47.6</v>
      </c>
      <c r="P86" s="25">
        <v>31.14</v>
      </c>
      <c r="Q86" s="25">
        <v>32.130000000000003</v>
      </c>
      <c r="R86" s="25">
        <v>17.41</v>
      </c>
      <c r="S86" s="25">
        <v>8.66</v>
      </c>
      <c r="T86" s="25">
        <v>10.86</v>
      </c>
      <c r="U86" s="25">
        <v>19.89</v>
      </c>
      <c r="V86" s="26">
        <v>23.7</v>
      </c>
      <c r="W86" s="25">
        <v>2.4</v>
      </c>
      <c r="X86" s="7">
        <v>-0.2269979852249833</v>
      </c>
      <c r="Y86" s="8">
        <v>-0.17723718505647271</v>
      </c>
      <c r="Z86" s="9">
        <v>0.1107004575853572</v>
      </c>
      <c r="AA86" s="8">
        <v>-9.919188718111227E-2</v>
      </c>
    </row>
    <row r="87" spans="2:27">
      <c r="B87" s="12" t="s">
        <v>199</v>
      </c>
      <c r="C87" s="3" t="s">
        <v>391</v>
      </c>
      <c r="D87" s="3" t="s">
        <v>434</v>
      </c>
      <c r="E87" s="3" t="s">
        <v>408</v>
      </c>
      <c r="F87" s="5">
        <v>-10.3</v>
      </c>
      <c r="G87" s="25">
        <v>52.6</v>
      </c>
      <c r="H87" s="25">
        <v>43.5</v>
      </c>
      <c r="I87" s="25">
        <v>68.400000000000006</v>
      </c>
      <c r="J87" s="25">
        <v>62.4</v>
      </c>
      <c r="K87" s="25">
        <v>75.2</v>
      </c>
      <c r="L87" s="25">
        <v>58</v>
      </c>
      <c r="M87" s="25">
        <v>76</v>
      </c>
      <c r="N87" s="25">
        <v>85.2</v>
      </c>
      <c r="O87" s="25">
        <v>90.4</v>
      </c>
      <c r="P87" s="26">
        <v>91</v>
      </c>
      <c r="Q87" s="26">
        <v>111.6</v>
      </c>
      <c r="R87" s="25">
        <v>112.1</v>
      </c>
      <c r="S87" s="25">
        <v>115.3</v>
      </c>
      <c r="T87" s="25">
        <v>95.1</v>
      </c>
      <c r="U87" s="25">
        <v>44.8</v>
      </c>
      <c r="V87" s="25">
        <v>102.2</v>
      </c>
      <c r="W87" s="25">
        <v>78.5</v>
      </c>
      <c r="X87" s="7">
        <v>9.5348837209301429E-3</v>
      </c>
      <c r="Y87" s="8">
        <v>-0.15388159410274141</v>
      </c>
      <c r="Z87" s="8">
        <v>-2.6953444051184269E-2</v>
      </c>
      <c r="AA87" s="8">
        <v>-0.1029658645775041</v>
      </c>
    </row>
    <row r="88" spans="2:27">
      <c r="B88" s="12" t="s">
        <v>130</v>
      </c>
      <c r="C88" s="3" t="s">
        <v>391</v>
      </c>
      <c r="D88" s="3" t="s">
        <v>398</v>
      </c>
      <c r="E88" s="3" t="s">
        <v>397</v>
      </c>
      <c r="F88" s="5">
        <v>-13.4</v>
      </c>
      <c r="G88" s="25">
        <v>376.6</v>
      </c>
      <c r="H88" s="25">
        <v>448.3</v>
      </c>
      <c r="I88" s="25">
        <v>372</v>
      </c>
      <c r="J88" s="25">
        <v>327.9</v>
      </c>
      <c r="K88" s="25">
        <v>409.5</v>
      </c>
      <c r="L88" s="25">
        <v>367.4</v>
      </c>
      <c r="M88" s="25">
        <v>296.39999999999998</v>
      </c>
      <c r="N88" s="25">
        <v>235.1</v>
      </c>
      <c r="O88" s="25">
        <v>254.3</v>
      </c>
      <c r="P88" s="25">
        <v>274.5</v>
      </c>
      <c r="Q88" s="25">
        <v>188.9</v>
      </c>
      <c r="R88" s="25">
        <v>132</v>
      </c>
      <c r="S88" s="25">
        <v>191.9</v>
      </c>
      <c r="T88" s="25">
        <v>182.7</v>
      </c>
      <c r="U88" s="25">
        <v>104.4</v>
      </c>
      <c r="V88" s="25">
        <v>112.1</v>
      </c>
      <c r="W88" s="25">
        <v>112.6</v>
      </c>
      <c r="X88" s="7">
        <v>-0.11660104153435789</v>
      </c>
      <c r="Y88" s="8">
        <v>-0.12149532710280379</v>
      </c>
      <c r="Z88" s="8">
        <v>-3.2569558101473002E-2</v>
      </c>
      <c r="AA88" s="8">
        <v>-0.13415665708002039</v>
      </c>
    </row>
    <row r="89" spans="2:27">
      <c r="B89" s="12" t="s">
        <v>32</v>
      </c>
      <c r="C89" s="3" t="s">
        <v>391</v>
      </c>
      <c r="D89" s="3" t="s">
        <v>419</v>
      </c>
      <c r="E89" s="3" t="s">
        <v>397</v>
      </c>
      <c r="F89" s="5">
        <v>-14.2</v>
      </c>
      <c r="G89" s="25">
        <v>1111</v>
      </c>
      <c r="H89" s="25">
        <v>1344</v>
      </c>
      <c r="I89" s="25">
        <v>1003</v>
      </c>
      <c r="J89" s="25">
        <v>1037</v>
      </c>
      <c r="K89" s="25">
        <v>1219</v>
      </c>
      <c r="L89" s="25">
        <v>1619</v>
      </c>
      <c r="M89" s="26">
        <v>1492</v>
      </c>
      <c r="N89" s="25">
        <v>1521</v>
      </c>
      <c r="O89" s="25">
        <v>1339</v>
      </c>
      <c r="P89" s="26">
        <v>2838</v>
      </c>
      <c r="Q89" s="25">
        <v>930</v>
      </c>
      <c r="R89" s="25">
        <v>1026</v>
      </c>
      <c r="S89" s="25">
        <v>1651</v>
      </c>
      <c r="T89" s="25">
        <v>723</v>
      </c>
      <c r="U89" s="25">
        <v>1168</v>
      </c>
      <c r="V89" s="25">
        <v>1056</v>
      </c>
      <c r="W89" s="25">
        <v>1000</v>
      </c>
      <c r="X89" s="7">
        <v>-0.32816136539953461</v>
      </c>
      <c r="Y89" s="8">
        <v>5.4965357967667439E-2</v>
      </c>
      <c r="Z89" s="8">
        <v>6.5674255691767769E-3</v>
      </c>
      <c r="AA89" s="8">
        <v>-0.1415832970856894</v>
      </c>
    </row>
    <row r="90" spans="2:27">
      <c r="B90" s="12" t="s">
        <v>16</v>
      </c>
      <c r="C90" s="3" t="s">
        <v>391</v>
      </c>
      <c r="D90" s="3" t="s">
        <v>421</v>
      </c>
      <c r="E90" s="3" t="s">
        <v>397</v>
      </c>
      <c r="F90" s="5">
        <v>-14.9</v>
      </c>
      <c r="G90" s="25">
        <v>2355</v>
      </c>
      <c r="H90" s="25">
        <v>2490</v>
      </c>
      <c r="I90" s="25">
        <v>2176</v>
      </c>
      <c r="J90" s="25">
        <v>2654</v>
      </c>
      <c r="K90" s="25">
        <v>2138</v>
      </c>
      <c r="L90" s="25">
        <v>2069</v>
      </c>
      <c r="M90" s="25">
        <v>2661</v>
      </c>
      <c r="N90" s="25">
        <v>1874</v>
      </c>
      <c r="O90" s="26">
        <v>3197</v>
      </c>
      <c r="P90" s="25">
        <v>1752</v>
      </c>
      <c r="Q90" s="25">
        <v>2707</v>
      </c>
      <c r="R90" s="25">
        <v>2708</v>
      </c>
      <c r="S90" s="26">
        <v>4707</v>
      </c>
      <c r="T90" s="25">
        <v>2341</v>
      </c>
      <c r="U90" s="25">
        <v>3004</v>
      </c>
      <c r="V90" s="25">
        <v>3264</v>
      </c>
      <c r="W90" s="25">
        <v>2720</v>
      </c>
      <c r="X90" s="7">
        <v>4.9604177193868892E-2</v>
      </c>
      <c r="Y90" s="8">
        <v>2.383053839364524E-2</v>
      </c>
      <c r="Z90" s="8">
        <v>4.3573667711598763E-2</v>
      </c>
      <c r="AA90" s="8">
        <v>-0.1492189846800841</v>
      </c>
    </row>
    <row r="91" spans="2:27">
      <c r="B91" s="12" t="s">
        <v>51</v>
      </c>
      <c r="C91" s="3" t="s">
        <v>391</v>
      </c>
      <c r="D91" s="3" t="s">
        <v>403</v>
      </c>
      <c r="E91" s="3" t="s">
        <v>393</v>
      </c>
      <c r="F91" s="5">
        <v>-15.8</v>
      </c>
      <c r="G91" s="25">
        <v>340</v>
      </c>
      <c r="H91" s="25">
        <v>116</v>
      </c>
      <c r="I91" s="25">
        <v>384</v>
      </c>
      <c r="J91" s="25">
        <v>441</v>
      </c>
      <c r="K91" s="25">
        <v>445</v>
      </c>
      <c r="L91" s="26">
        <v>311</v>
      </c>
      <c r="M91" s="25">
        <v>330</v>
      </c>
      <c r="N91" s="25">
        <v>543</v>
      </c>
      <c r="O91" s="25">
        <v>379</v>
      </c>
      <c r="P91" s="25">
        <v>365</v>
      </c>
      <c r="Q91" s="25">
        <v>363</v>
      </c>
      <c r="R91" s="25">
        <v>366</v>
      </c>
      <c r="S91" s="25">
        <v>435</v>
      </c>
      <c r="T91" s="25">
        <v>378</v>
      </c>
      <c r="U91" s="25">
        <v>399</v>
      </c>
      <c r="V91" s="25">
        <v>271</v>
      </c>
      <c r="W91" s="25">
        <v>200</v>
      </c>
      <c r="X91" s="7">
        <v>8.5022890778285731E-3</v>
      </c>
      <c r="Y91" s="8">
        <v>2.3346303501945439E-2</v>
      </c>
      <c r="Z91" s="8">
        <v>-6.0202788339670521E-2</v>
      </c>
      <c r="AA91" s="8">
        <v>-0.1584625758597438</v>
      </c>
    </row>
    <row r="92" spans="2:27">
      <c r="B92" s="12" t="s">
        <v>359</v>
      </c>
      <c r="C92" s="3" t="s">
        <v>391</v>
      </c>
      <c r="D92" s="3" t="s">
        <v>400</v>
      </c>
      <c r="E92" s="3" t="s">
        <v>401</v>
      </c>
      <c r="F92" s="5">
        <v>-16.600000000000001</v>
      </c>
      <c r="G92" s="25">
        <v>2.65</v>
      </c>
      <c r="H92" s="25">
        <v>4.54</v>
      </c>
      <c r="I92" s="25">
        <v>3.6</v>
      </c>
      <c r="J92" s="25">
        <v>3.63</v>
      </c>
      <c r="K92" s="25">
        <v>3.42</v>
      </c>
      <c r="L92" s="25">
        <v>5.25</v>
      </c>
      <c r="M92" s="25">
        <v>4.6399999999999997</v>
      </c>
      <c r="N92" s="25">
        <v>4.4400000000000004</v>
      </c>
      <c r="O92" s="25">
        <v>4.46</v>
      </c>
      <c r="P92" s="25">
        <v>6.71</v>
      </c>
      <c r="Q92" s="25">
        <v>5.5</v>
      </c>
      <c r="R92" s="25">
        <v>3.74</v>
      </c>
      <c r="S92" s="25">
        <v>2.88</v>
      </c>
      <c r="T92" s="25">
        <v>4.9400000000000004</v>
      </c>
      <c r="U92" s="25">
        <v>5.44</v>
      </c>
      <c r="V92" s="25">
        <v>3.51</v>
      </c>
      <c r="W92" s="25">
        <v>0.09</v>
      </c>
      <c r="X92" s="7">
        <v>-9.3998937865108712E-2</v>
      </c>
      <c r="Y92" s="8">
        <v>-3.516998827667206E-3</v>
      </c>
      <c r="Z92" s="8">
        <v>-1.3529411764705899E-2</v>
      </c>
      <c r="AA92" s="8">
        <v>-0.16636851520572449</v>
      </c>
    </row>
    <row r="93" spans="2:27">
      <c r="B93" s="12" t="s">
        <v>252</v>
      </c>
      <c r="C93" s="3" t="s">
        <v>391</v>
      </c>
      <c r="D93" s="3" t="s">
        <v>406</v>
      </c>
      <c r="E93" s="3" t="s">
        <v>397</v>
      </c>
      <c r="F93" s="5">
        <v>-17.7</v>
      </c>
      <c r="G93" s="25">
        <v>27.05</v>
      </c>
      <c r="H93" s="25">
        <v>20.100000000000001</v>
      </c>
      <c r="I93" s="25">
        <v>19.579999999999998</v>
      </c>
      <c r="J93" s="25">
        <v>22.78</v>
      </c>
      <c r="K93" s="26">
        <v>44.31</v>
      </c>
      <c r="L93" s="25">
        <v>30.56</v>
      </c>
      <c r="M93" s="26">
        <v>32.54</v>
      </c>
      <c r="N93" s="25">
        <v>24.45</v>
      </c>
      <c r="O93" s="25">
        <v>53.79</v>
      </c>
      <c r="P93" s="25">
        <v>28.36</v>
      </c>
      <c r="Q93" s="25">
        <v>25.02</v>
      </c>
      <c r="R93" s="25">
        <v>25.88</v>
      </c>
      <c r="S93" s="26">
        <v>77.53</v>
      </c>
      <c r="T93" s="25">
        <v>28.92</v>
      </c>
      <c r="U93" s="25">
        <v>29.73</v>
      </c>
      <c r="V93" s="25">
        <v>30.3</v>
      </c>
      <c r="W93" s="25">
        <v>48</v>
      </c>
      <c r="X93" s="7">
        <v>3.571656355634945E-3</v>
      </c>
      <c r="Y93" s="8">
        <v>2.993326978074351E-2</v>
      </c>
      <c r="Z93" s="8">
        <v>2.727384919165754E-2</v>
      </c>
      <c r="AA93" s="8">
        <v>-0.17737866410379641</v>
      </c>
    </row>
    <row r="94" spans="2:27">
      <c r="B94" s="12" t="s">
        <v>190</v>
      </c>
      <c r="C94" s="3" t="s">
        <v>391</v>
      </c>
      <c r="D94" s="3" t="s">
        <v>395</v>
      </c>
      <c r="E94" s="3" t="s">
        <v>397</v>
      </c>
      <c r="F94" s="5">
        <v>-18.5</v>
      </c>
      <c r="G94" s="25">
        <v>152</v>
      </c>
      <c r="H94" s="25">
        <v>212</v>
      </c>
      <c r="I94" s="25">
        <v>251</v>
      </c>
      <c r="J94" s="25">
        <v>295</v>
      </c>
      <c r="K94" s="26">
        <v>296</v>
      </c>
      <c r="L94" s="26">
        <v>343</v>
      </c>
      <c r="M94" s="25">
        <v>315</v>
      </c>
      <c r="N94" s="25">
        <v>315</v>
      </c>
      <c r="O94" s="25">
        <v>320</v>
      </c>
      <c r="P94" s="25">
        <v>301</v>
      </c>
      <c r="Q94" s="25">
        <v>270</v>
      </c>
      <c r="R94" s="25">
        <v>302</v>
      </c>
      <c r="S94" s="25">
        <v>273</v>
      </c>
      <c r="T94" s="25">
        <v>239</v>
      </c>
      <c r="U94" s="25">
        <v>216</v>
      </c>
      <c r="V94" s="25">
        <v>256</v>
      </c>
      <c r="W94" s="25">
        <v>91</v>
      </c>
      <c r="X94" s="7">
        <v>-5.4101221640488688E-2</v>
      </c>
      <c r="Y94" s="8">
        <v>-4.9815498154981541E-2</v>
      </c>
      <c r="Z94" s="8">
        <v>-4.4660194174757313E-2</v>
      </c>
      <c r="AA94" s="8">
        <v>-0.18495934959349589</v>
      </c>
    </row>
    <row r="95" spans="2:27">
      <c r="B95" s="12" t="s">
        <v>246</v>
      </c>
      <c r="C95" s="3" t="s">
        <v>391</v>
      </c>
      <c r="D95" s="3" t="s">
        <v>416</v>
      </c>
      <c r="E95" s="3" t="s">
        <v>408</v>
      </c>
      <c r="F95" s="5">
        <v>-20.100000000000001</v>
      </c>
      <c r="G95" s="25">
        <v>268.88</v>
      </c>
      <c r="H95" s="25">
        <v>319.25</v>
      </c>
      <c r="I95" s="25">
        <v>350.2</v>
      </c>
      <c r="J95" s="25">
        <v>300.70999999999998</v>
      </c>
      <c r="K95" s="25">
        <v>231.38</v>
      </c>
      <c r="L95" s="25">
        <v>239.69</v>
      </c>
      <c r="M95" s="25">
        <v>232.5</v>
      </c>
      <c r="N95" s="25">
        <v>189.35</v>
      </c>
      <c r="O95" s="25">
        <v>175.18</v>
      </c>
      <c r="P95" s="25">
        <v>178.54</v>
      </c>
      <c r="Q95" s="25">
        <v>168.18</v>
      </c>
      <c r="R95" s="25">
        <v>101.93</v>
      </c>
      <c r="S95" s="25">
        <v>67.89</v>
      </c>
      <c r="T95" s="25">
        <v>75.87</v>
      </c>
      <c r="U95" s="25">
        <v>63.77</v>
      </c>
      <c r="V95" s="25">
        <v>30.14</v>
      </c>
      <c r="W95" s="25">
        <v>20.12</v>
      </c>
      <c r="X95" s="7">
        <v>-0.1987648584814341</v>
      </c>
      <c r="Y95" s="8">
        <v>-0.25227728513784509</v>
      </c>
      <c r="Z95" s="8">
        <v>-0.2319847476248951</v>
      </c>
      <c r="AA95" s="8">
        <v>-0.20099297345058281</v>
      </c>
    </row>
    <row r="96" spans="2:27" hidden="1">
      <c r="B96" s="3" t="s">
        <v>271</v>
      </c>
      <c r="C96" s="3" t="s">
        <v>465</v>
      </c>
      <c r="D96" s="3" t="s">
        <v>450</v>
      </c>
      <c r="E96" s="3" t="s">
        <v>464</v>
      </c>
      <c r="F96" s="5">
        <v>4.9000000000000004</v>
      </c>
      <c r="G96" s="3"/>
      <c r="H96" s="3"/>
      <c r="I96" s="3"/>
      <c r="J96" s="3"/>
      <c r="K96" s="3"/>
      <c r="L96" s="3"/>
      <c r="M96" s="3"/>
      <c r="N96" s="4">
        <v>136.21</v>
      </c>
      <c r="O96" s="4">
        <v>145.68</v>
      </c>
      <c r="P96" s="4">
        <v>136.96</v>
      </c>
      <c r="Q96" s="4">
        <v>178.95</v>
      </c>
      <c r="R96" s="4">
        <v>91.59</v>
      </c>
      <c r="S96" s="4">
        <v>124.91</v>
      </c>
      <c r="T96" s="4">
        <v>84.68</v>
      </c>
      <c r="U96" s="4">
        <v>125.4</v>
      </c>
      <c r="V96" s="4">
        <v>74.17</v>
      </c>
      <c r="W96" s="4">
        <v>144.82</v>
      </c>
      <c r="X96" s="7">
        <v>-9.8195000093912577E-2</v>
      </c>
      <c r="Y96" s="8">
        <v>-0.11153229333722101</v>
      </c>
      <c r="Z96" s="8">
        <v>-4.0836419897791743E-2</v>
      </c>
      <c r="AA96" s="8">
        <v>4.8660670642291397E-2</v>
      </c>
    </row>
    <row r="97" spans="2:27" hidden="1">
      <c r="B97" s="3" t="s">
        <v>82</v>
      </c>
      <c r="C97" s="3" t="s">
        <v>465</v>
      </c>
      <c r="D97" s="3" t="s">
        <v>450</v>
      </c>
      <c r="E97" s="3" t="s">
        <v>464</v>
      </c>
      <c r="F97" s="5">
        <v>4.5</v>
      </c>
      <c r="G97" s="3"/>
      <c r="H97" s="3"/>
      <c r="I97" s="3"/>
      <c r="J97" s="3"/>
      <c r="K97" s="3"/>
      <c r="L97" s="3"/>
      <c r="M97" s="3"/>
      <c r="N97" s="4">
        <v>848</v>
      </c>
      <c r="O97" s="4">
        <v>699</v>
      </c>
      <c r="P97" s="4">
        <v>938</v>
      </c>
      <c r="Q97" s="4">
        <v>908</v>
      </c>
      <c r="R97" s="4">
        <v>1153</v>
      </c>
      <c r="S97" s="4">
        <v>991</v>
      </c>
      <c r="T97" s="4">
        <v>1215</v>
      </c>
      <c r="U97" s="4">
        <v>1078</v>
      </c>
      <c r="V97" s="4">
        <v>1348</v>
      </c>
      <c r="W97" s="4">
        <v>1199</v>
      </c>
      <c r="X97" s="7">
        <v>6.9423558897243165E-2</v>
      </c>
      <c r="Y97" s="8">
        <v>3.9840637450199168E-2</v>
      </c>
      <c r="Z97" s="8">
        <v>4.3948613928330049E-2</v>
      </c>
      <c r="AA97" s="8">
        <v>4.4905008635578669E-2</v>
      </c>
    </row>
    <row r="98" spans="2:27" hidden="1">
      <c r="B98" s="3" t="s">
        <v>120</v>
      </c>
      <c r="C98" s="3" t="s">
        <v>463</v>
      </c>
      <c r="D98" s="3" t="s">
        <v>450</v>
      </c>
      <c r="E98" s="3" t="s">
        <v>464</v>
      </c>
      <c r="F98" s="5">
        <v>-25</v>
      </c>
      <c r="G98" s="3"/>
      <c r="H98" s="3"/>
      <c r="I98" s="3"/>
      <c r="J98" s="3"/>
      <c r="K98" s="3"/>
      <c r="L98" s="3"/>
      <c r="M98" s="3"/>
      <c r="N98" s="4">
        <v>-92.53</v>
      </c>
      <c r="O98" s="4">
        <v>-56.77</v>
      </c>
      <c r="P98" s="4">
        <v>-33</v>
      </c>
      <c r="Q98" s="4">
        <v>-44.04</v>
      </c>
      <c r="R98" s="4">
        <v>-18.329999999999998</v>
      </c>
      <c r="S98" s="4">
        <v>-49.03</v>
      </c>
      <c r="T98" s="4">
        <v>-40.76</v>
      </c>
      <c r="U98" s="4">
        <v>-21.5</v>
      </c>
      <c r="V98" s="4">
        <v>-29.36</v>
      </c>
      <c r="W98" s="4">
        <v>-13.92</v>
      </c>
      <c r="X98" s="7">
        <v>5.3739612188365538E-2</v>
      </c>
      <c r="Y98" s="8">
        <v>-0.14813354363827549</v>
      </c>
      <c r="Z98" s="8">
        <v>8.5094892763462493E-2</v>
      </c>
      <c r="AA98" s="8">
        <v>-0.24962673302524011</v>
      </c>
    </row>
    <row r="99" spans="2:27">
      <c r="B99" s="12" t="s">
        <v>184</v>
      </c>
      <c r="C99" s="3" t="s">
        <v>391</v>
      </c>
      <c r="D99" s="3" t="s">
        <v>442</v>
      </c>
      <c r="E99" s="3" t="s">
        <v>397</v>
      </c>
      <c r="F99" s="5">
        <v>-20.5</v>
      </c>
      <c r="G99" s="25">
        <v>62.6</v>
      </c>
      <c r="H99" s="25">
        <v>61.82</v>
      </c>
      <c r="I99" s="25">
        <v>94.04</v>
      </c>
      <c r="J99" s="25">
        <v>136.04</v>
      </c>
      <c r="K99" s="26">
        <v>161.35</v>
      </c>
      <c r="L99" s="26">
        <v>168.36</v>
      </c>
      <c r="M99" s="26">
        <v>170.5</v>
      </c>
      <c r="N99" s="25">
        <v>117.99</v>
      </c>
      <c r="O99" s="25">
        <v>4.58</v>
      </c>
      <c r="P99" s="25">
        <v>-27.19</v>
      </c>
      <c r="Q99" s="25">
        <v>2.97</v>
      </c>
      <c r="R99" s="25">
        <v>50.47</v>
      </c>
      <c r="S99" s="26">
        <v>64.2</v>
      </c>
      <c r="T99" s="26">
        <v>35.08</v>
      </c>
      <c r="U99" s="26">
        <v>40.33</v>
      </c>
      <c r="V99" s="25">
        <v>67.45</v>
      </c>
      <c r="W99" s="25">
        <v>21.8</v>
      </c>
      <c r="X99" s="10">
        <v>0.68844665561083462</v>
      </c>
      <c r="Y99" s="9">
        <v>0.2446306966998428</v>
      </c>
      <c r="Z99" s="8">
        <v>8.9330808080808177E-2</v>
      </c>
      <c r="AA99" s="8">
        <v>-0.20477156379793299</v>
      </c>
    </row>
    <row r="100" spans="2:27">
      <c r="B100" s="12" t="s">
        <v>172</v>
      </c>
      <c r="C100" s="3" t="s">
        <v>391</v>
      </c>
      <c r="D100" s="3" t="s">
        <v>448</v>
      </c>
      <c r="E100" s="3" t="s">
        <v>397</v>
      </c>
      <c r="F100" s="5">
        <v>-27.4</v>
      </c>
      <c r="G100" s="25">
        <v>200.24</v>
      </c>
      <c r="H100" s="25">
        <v>892.41</v>
      </c>
      <c r="I100" s="25">
        <v>471.18</v>
      </c>
      <c r="J100" s="25">
        <v>161.15</v>
      </c>
      <c r="K100" s="25">
        <v>138.07</v>
      </c>
      <c r="L100" s="25">
        <v>73.14</v>
      </c>
      <c r="M100" s="25">
        <v>443.22</v>
      </c>
      <c r="N100" s="26">
        <v>273.77999999999997</v>
      </c>
      <c r="O100" s="25">
        <v>-4.4000000000000004</v>
      </c>
      <c r="P100" s="26">
        <v>352.7</v>
      </c>
      <c r="Q100" s="25">
        <v>290.17</v>
      </c>
      <c r="R100" s="25">
        <v>45.15</v>
      </c>
      <c r="S100" s="26">
        <v>511.18</v>
      </c>
      <c r="T100" s="25">
        <v>56.78</v>
      </c>
      <c r="U100" s="25">
        <v>306.41000000000003</v>
      </c>
      <c r="V100" s="26">
        <v>236.87</v>
      </c>
      <c r="W100" s="25">
        <v>206.33</v>
      </c>
      <c r="X100" s="7">
        <v>-0.2467645096731155</v>
      </c>
      <c r="Y100" s="8">
        <v>1.7978921264724109E-2</v>
      </c>
      <c r="Z100" s="9">
        <v>0.208500087001914</v>
      </c>
      <c r="AA100" s="8">
        <v>-0.27433317735142709</v>
      </c>
    </row>
    <row r="101" spans="2:27">
      <c r="B101" s="12" t="s">
        <v>57</v>
      </c>
      <c r="C101" s="3" t="s">
        <v>391</v>
      </c>
      <c r="D101" s="3" t="s">
        <v>403</v>
      </c>
      <c r="E101" s="3" t="s">
        <v>401</v>
      </c>
      <c r="F101" s="5">
        <v>-44.5</v>
      </c>
      <c r="G101" s="25">
        <v>154.69999999999999</v>
      </c>
      <c r="H101" s="25">
        <v>133.80000000000001</v>
      </c>
      <c r="I101" s="25">
        <v>-17.5</v>
      </c>
      <c r="J101" s="25">
        <v>-246.1</v>
      </c>
      <c r="K101" s="25">
        <v>-171.2</v>
      </c>
      <c r="L101" s="26">
        <v>-111.9</v>
      </c>
      <c r="M101" s="26">
        <v>-178.9</v>
      </c>
      <c r="N101" s="25">
        <v>-151.69999999999999</v>
      </c>
      <c r="O101" s="25">
        <v>-75.400000000000006</v>
      </c>
      <c r="P101" s="25">
        <v>-50.6</v>
      </c>
      <c r="Q101" s="25">
        <v>-135.4</v>
      </c>
      <c r="R101" s="26">
        <v>-280.39999999999998</v>
      </c>
      <c r="S101" s="25">
        <v>-107.3</v>
      </c>
      <c r="T101" s="25">
        <v>31.9</v>
      </c>
      <c r="U101" s="25">
        <v>17.399999999999999</v>
      </c>
      <c r="V101" s="25">
        <v>-97.5</v>
      </c>
      <c r="W101" s="25">
        <v>-38.1</v>
      </c>
      <c r="X101" s="7">
        <v>-0.1438033815583056</v>
      </c>
      <c r="Y101" s="8">
        <v>-0.31107491856677533</v>
      </c>
      <c r="Z101" s="8">
        <v>-0.54048463356973997</v>
      </c>
      <c r="AA101" s="8">
        <v>-0.44501607717041791</v>
      </c>
    </row>
    <row r="102" spans="2:27">
      <c r="B102" s="12" t="s">
        <v>333</v>
      </c>
      <c r="C102" s="3" t="s">
        <v>391</v>
      </c>
      <c r="D102" s="3" t="s">
        <v>447</v>
      </c>
      <c r="E102" s="3" t="s">
        <v>408</v>
      </c>
      <c r="F102" s="5">
        <v>-58</v>
      </c>
      <c r="G102" s="25">
        <v>21.53</v>
      </c>
      <c r="H102" s="25">
        <v>17.61</v>
      </c>
      <c r="I102" s="25">
        <v>10.72</v>
      </c>
      <c r="J102" s="25">
        <v>13.96</v>
      </c>
      <c r="K102" s="25">
        <v>17.97</v>
      </c>
      <c r="L102" s="25">
        <v>22.97</v>
      </c>
      <c r="M102" s="26">
        <v>21.44</v>
      </c>
      <c r="N102" s="26">
        <v>45.9</v>
      </c>
      <c r="O102" s="25">
        <v>13.22</v>
      </c>
      <c r="P102" s="25">
        <v>22.15</v>
      </c>
      <c r="Q102" s="25">
        <v>7.97</v>
      </c>
      <c r="R102" s="25">
        <v>53.07</v>
      </c>
      <c r="S102" s="25">
        <v>6.64</v>
      </c>
      <c r="T102" s="25">
        <v>3.48</v>
      </c>
      <c r="U102" s="26">
        <v>20.66</v>
      </c>
      <c r="V102" s="25">
        <v>7.75</v>
      </c>
      <c r="W102" s="25">
        <v>-15.69</v>
      </c>
      <c r="X102" s="7">
        <v>-0.20783702549259719</v>
      </c>
      <c r="Y102" s="9">
        <v>0.17833052276559869</v>
      </c>
      <c r="Z102" s="8">
        <v>-0.54048896839594507</v>
      </c>
      <c r="AA102" s="8">
        <v>-0.57954840384116268</v>
      </c>
    </row>
    <row r="103" spans="2:27">
      <c r="B103" s="12" t="s">
        <v>128</v>
      </c>
      <c r="C103" s="3" t="s">
        <v>391</v>
      </c>
      <c r="D103" s="3" t="s">
        <v>394</v>
      </c>
      <c r="E103" s="3" t="s">
        <v>393</v>
      </c>
      <c r="F103" s="5">
        <v>-112.8</v>
      </c>
      <c r="G103" s="25">
        <v>85.4</v>
      </c>
      <c r="H103" s="25">
        <v>46.7</v>
      </c>
      <c r="I103" s="25">
        <v>70.099999999999994</v>
      </c>
      <c r="J103" s="25">
        <v>22.8</v>
      </c>
      <c r="K103" s="25">
        <v>9.4</v>
      </c>
      <c r="L103" s="25">
        <v>-38.299999999999997</v>
      </c>
      <c r="M103" s="25">
        <v>-17.600000000000001</v>
      </c>
      <c r="N103" s="26">
        <v>-67.400000000000006</v>
      </c>
      <c r="O103" s="26">
        <v>-87</v>
      </c>
      <c r="P103" s="26">
        <v>-90.5</v>
      </c>
      <c r="Q103" s="26">
        <v>-96.6</v>
      </c>
      <c r="R103" s="25">
        <v>-72.7</v>
      </c>
      <c r="S103" s="25">
        <v>-50.9</v>
      </c>
      <c r="T103" s="25">
        <v>-65.400000000000006</v>
      </c>
      <c r="U103" s="25">
        <v>-0.5</v>
      </c>
      <c r="V103" s="25">
        <v>15</v>
      </c>
      <c r="W103" s="25">
        <v>63.9</v>
      </c>
      <c r="X103" s="7">
        <v>-8.0785323463147596E-2</v>
      </c>
      <c r="Y103" s="8">
        <v>-0.33648459383753498</v>
      </c>
      <c r="Z103" s="8">
        <v>-0.462796833773087</v>
      </c>
      <c r="AA103" s="8">
        <v>-1.12770137524558</v>
      </c>
    </row>
    <row r="104" spans="2:27">
      <c r="B104" s="12" t="s">
        <v>357</v>
      </c>
      <c r="C104" s="3" t="s">
        <v>391</v>
      </c>
      <c r="D104" s="3" t="s">
        <v>409</v>
      </c>
      <c r="E104" s="3" t="s">
        <v>401</v>
      </c>
      <c r="F104" s="5">
        <v>-173.6</v>
      </c>
      <c r="G104" s="25">
        <v>35.270000000000003</v>
      </c>
      <c r="H104" s="25">
        <v>29.92</v>
      </c>
      <c r="I104" s="25">
        <v>25.68</v>
      </c>
      <c r="J104" s="25">
        <v>22.37</v>
      </c>
      <c r="K104" s="25">
        <v>12.15</v>
      </c>
      <c r="L104" s="25">
        <v>-7.22</v>
      </c>
      <c r="M104" s="25">
        <v>-4.2300000000000004</v>
      </c>
      <c r="N104" s="25">
        <v>-2.02</v>
      </c>
      <c r="O104" s="26">
        <v>-3.55</v>
      </c>
      <c r="P104" s="26">
        <v>-15.77</v>
      </c>
      <c r="Q104" s="26">
        <v>-14.46</v>
      </c>
      <c r="R104" s="26">
        <v>-13.04</v>
      </c>
      <c r="S104" s="26">
        <v>-9.66</v>
      </c>
      <c r="T104" s="25">
        <v>-10.79</v>
      </c>
      <c r="U104" s="25">
        <v>-4.47</v>
      </c>
      <c r="V104" s="25">
        <v>6.88</v>
      </c>
      <c r="W104" s="25">
        <v>21.65</v>
      </c>
      <c r="X104" s="7">
        <v>-9.4086529378424322E-2</v>
      </c>
      <c r="Y104" s="8">
        <v>-0.20834202294056309</v>
      </c>
      <c r="Z104" s="8">
        <v>-0.52476290832455219</v>
      </c>
      <c r="AA104" s="8">
        <v>-1.735587583148559</v>
      </c>
    </row>
    <row r="105" spans="2:27">
      <c r="B105" s="12" t="s">
        <v>267</v>
      </c>
      <c r="C105" s="3" t="s">
        <v>391</v>
      </c>
      <c r="D105" s="3" t="s">
        <v>438</v>
      </c>
      <c r="E105" s="3" t="s">
        <v>408</v>
      </c>
      <c r="F105" s="5">
        <v>-308.5</v>
      </c>
      <c r="G105" s="25">
        <v>132.59</v>
      </c>
      <c r="H105" s="25">
        <v>10.039999999999999</v>
      </c>
      <c r="I105" s="25">
        <v>6.96</v>
      </c>
      <c r="J105" s="25">
        <v>-60.06</v>
      </c>
      <c r="K105" s="25">
        <v>86.3</v>
      </c>
      <c r="L105" s="25">
        <v>-52.38</v>
      </c>
      <c r="M105" s="26">
        <v>-10.93</v>
      </c>
      <c r="N105" s="25">
        <v>-27.89</v>
      </c>
      <c r="O105" s="26">
        <v>80.260000000000005</v>
      </c>
      <c r="P105" s="26">
        <v>-70.95</v>
      </c>
      <c r="Q105" s="25">
        <v>13.88</v>
      </c>
      <c r="R105" s="26">
        <v>-59.38</v>
      </c>
      <c r="S105" s="26">
        <v>48.03</v>
      </c>
      <c r="T105" s="25">
        <v>-37.520000000000003</v>
      </c>
      <c r="U105" s="26">
        <v>-0.95</v>
      </c>
      <c r="V105" s="25">
        <v>-26.54</v>
      </c>
      <c r="W105" s="25">
        <v>100.42</v>
      </c>
      <c r="X105" s="7">
        <v>-0.48859982461268642</v>
      </c>
      <c r="Y105" s="9">
        <v>0.42383538153758238</v>
      </c>
      <c r="Z105" s="8">
        <v>-0.65917302288237667</v>
      </c>
      <c r="AA105" s="8">
        <v>-3.0853945818610131</v>
      </c>
    </row>
    <row r="106" spans="2:27">
      <c r="B106" s="12" t="s">
        <v>361</v>
      </c>
      <c r="C106" s="3" t="s">
        <v>391</v>
      </c>
      <c r="D106" s="3" t="s">
        <v>396</v>
      </c>
      <c r="E106" s="3" t="s">
        <v>397</v>
      </c>
      <c r="F106" s="5">
        <v>-507.7</v>
      </c>
      <c r="G106" s="25">
        <v>19.16</v>
      </c>
      <c r="H106" s="25">
        <v>18.79</v>
      </c>
      <c r="I106" s="25">
        <v>19.68</v>
      </c>
      <c r="J106" s="25">
        <v>19.29</v>
      </c>
      <c r="K106" s="25">
        <v>16.95</v>
      </c>
      <c r="L106" s="25">
        <v>17.190000000000001</v>
      </c>
      <c r="M106" s="25">
        <v>15.9</v>
      </c>
      <c r="N106" s="25">
        <v>15.81</v>
      </c>
      <c r="O106" s="25">
        <v>-24.56</v>
      </c>
      <c r="P106" s="25">
        <v>9.11</v>
      </c>
      <c r="Q106" s="25">
        <v>11.83</v>
      </c>
      <c r="R106" s="25">
        <v>-97.09</v>
      </c>
      <c r="S106" s="25">
        <v>-24.64</v>
      </c>
      <c r="T106" s="25">
        <v>1.8</v>
      </c>
      <c r="U106" s="25">
        <v>6.89</v>
      </c>
      <c r="V106" s="25">
        <v>6.88</v>
      </c>
      <c r="W106" s="25">
        <v>21.41</v>
      </c>
      <c r="X106" s="7">
        <v>7.2527036412342483E-2</v>
      </c>
      <c r="Y106" s="8">
        <v>4.5698427382053541E-2</v>
      </c>
      <c r="Z106" s="8">
        <v>-0.91976291578202407</v>
      </c>
      <c r="AA106" s="8">
        <v>-5.0771775082690187</v>
      </c>
    </row>
    <row r="107" spans="2:27">
      <c r="B107" s="12" t="s">
        <v>201</v>
      </c>
      <c r="C107" s="3" t="s">
        <v>391</v>
      </c>
      <c r="D107" s="3" t="s">
        <v>412</v>
      </c>
      <c r="E107" s="3" t="s">
        <v>393</v>
      </c>
      <c r="F107" s="5">
        <v>-826.5</v>
      </c>
      <c r="G107" s="25">
        <v>6.08</v>
      </c>
      <c r="H107" s="25">
        <v>19.03</v>
      </c>
      <c r="I107" s="25">
        <v>36.54</v>
      </c>
      <c r="J107" s="25">
        <v>-3.19</v>
      </c>
      <c r="K107" s="25">
        <v>-4.54</v>
      </c>
      <c r="L107" s="25">
        <v>6.34</v>
      </c>
      <c r="M107" s="25">
        <v>-4.87</v>
      </c>
      <c r="N107" s="26">
        <v>-29.69</v>
      </c>
      <c r="O107" s="26">
        <v>-53.7</v>
      </c>
      <c r="P107" s="26">
        <v>-35.61</v>
      </c>
      <c r="Q107" s="25">
        <v>-0.88</v>
      </c>
      <c r="R107" s="25">
        <v>-10.98</v>
      </c>
      <c r="S107" s="25">
        <v>-12.2</v>
      </c>
      <c r="T107" s="25">
        <v>-12.1</v>
      </c>
      <c r="U107" s="25">
        <v>24.87</v>
      </c>
      <c r="V107" s="25">
        <v>-1.25</v>
      </c>
      <c r="W107" s="25">
        <v>-6.58</v>
      </c>
      <c r="X107" s="7">
        <v>-0.39400033517680588</v>
      </c>
      <c r="Y107" s="8">
        <v>-0.71211283185840712</v>
      </c>
      <c r="Z107" s="8">
        <v>-0.9346781940441885</v>
      </c>
      <c r="AA107" s="8">
        <v>-8.2647058823529651</v>
      </c>
    </row>
    <row r="108" spans="2:27">
      <c r="B108" s="29">
        <v>4676</v>
      </c>
      <c r="C108" s="30" t="s">
        <v>449</v>
      </c>
      <c r="D108" s="30" t="str">
        <f>VLOOKUP(B108,기업리스트!B:G,2,FALSE)</f>
        <v>Fuji Media Holdings, Inc.</v>
      </c>
      <c r="E108" s="3" t="s">
        <v>393</v>
      </c>
      <c r="F108" s="33">
        <v>725.3</v>
      </c>
      <c r="G108" s="44">
        <v>6932</v>
      </c>
      <c r="H108" s="44">
        <v>14758</v>
      </c>
      <c r="I108" s="44">
        <v>7005</v>
      </c>
      <c r="J108" s="44">
        <v>7852</v>
      </c>
      <c r="K108" s="44">
        <v>4306</v>
      </c>
      <c r="L108" s="44">
        <v>10282</v>
      </c>
      <c r="M108" s="44">
        <v>8962</v>
      </c>
      <c r="N108" s="44">
        <v>5600</v>
      </c>
      <c r="O108" s="45">
        <v>7421</v>
      </c>
      <c r="P108" s="44">
        <v>10581</v>
      </c>
      <c r="Q108" s="44">
        <v>9919</v>
      </c>
      <c r="R108" s="44">
        <v>6555</v>
      </c>
      <c r="S108" s="44">
        <v>7325</v>
      </c>
      <c r="T108" s="44">
        <v>13291</v>
      </c>
      <c r="U108" s="44">
        <v>-8877</v>
      </c>
      <c r="V108" s="44">
        <v>-12778</v>
      </c>
      <c r="W108" s="45">
        <v>-211</v>
      </c>
      <c r="X108" s="36">
        <v>7.882489819662597E-2</v>
      </c>
      <c r="Y108" s="37">
        <v>-0.50676732272849823</v>
      </c>
      <c r="Z108" s="37">
        <v>-1.0567945774570899</v>
      </c>
      <c r="AA108" s="38">
        <v>7.2531280076997113</v>
      </c>
    </row>
    <row r="109" spans="2:27">
      <c r="B109" s="31">
        <v>5857</v>
      </c>
      <c r="C109" s="32" t="s">
        <v>449</v>
      </c>
      <c r="D109" s="32" t="str">
        <f>VLOOKUP(B109,기업리스트!B:G,2,FALSE)</f>
        <v>ARE Holdings, Inc.</v>
      </c>
      <c r="E109" s="3" t="s">
        <v>393</v>
      </c>
      <c r="F109" s="46">
        <v>20.6</v>
      </c>
      <c r="G109" s="47">
        <v>6715</v>
      </c>
      <c r="H109" s="47">
        <v>5508</v>
      </c>
      <c r="I109" s="47">
        <v>7706</v>
      </c>
      <c r="J109" s="47">
        <v>5665</v>
      </c>
      <c r="K109" s="47">
        <v>6473</v>
      </c>
      <c r="L109" s="47">
        <v>5987</v>
      </c>
      <c r="M109" s="47">
        <v>3236</v>
      </c>
      <c r="N109" s="47">
        <v>3051</v>
      </c>
      <c r="O109" s="47">
        <v>3931</v>
      </c>
      <c r="P109" s="47">
        <v>3061</v>
      </c>
      <c r="Q109" s="47">
        <v>0</v>
      </c>
      <c r="R109" s="47">
        <v>3146</v>
      </c>
      <c r="S109" s="47">
        <v>4201</v>
      </c>
      <c r="T109" s="48">
        <v>5837</v>
      </c>
      <c r="U109" s="48">
        <v>7279</v>
      </c>
      <c r="V109" s="48">
        <v>5543</v>
      </c>
      <c r="W109" s="48">
        <v>8913</v>
      </c>
      <c r="X109" s="10">
        <v>0.26671790930053813</v>
      </c>
      <c r="Y109" s="49">
        <v>0.55210861650485432</v>
      </c>
      <c r="Z109" s="49">
        <v>0.11713824952353021</v>
      </c>
      <c r="AA109" s="49">
        <v>0.20612423447069109</v>
      </c>
    </row>
    <row r="110" spans="2:27">
      <c r="B110" s="12">
        <v>6471</v>
      </c>
      <c r="C110" s="3" t="s">
        <v>449</v>
      </c>
      <c r="D110" s="3" t="str">
        <f>VLOOKUP(B110,기업리스트!B:G,2,FALSE)</f>
        <v>NSK Ltd.</v>
      </c>
      <c r="E110" s="3" t="s">
        <v>401</v>
      </c>
      <c r="F110" s="24">
        <v>19.399999999999999</v>
      </c>
      <c r="G110" s="25">
        <v>4784</v>
      </c>
      <c r="H110" s="25">
        <v>6222</v>
      </c>
      <c r="I110" s="25">
        <v>3899</v>
      </c>
      <c r="J110" s="25">
        <v>8194</v>
      </c>
      <c r="K110" s="26">
        <v>8195</v>
      </c>
      <c r="L110" s="26">
        <v>12474</v>
      </c>
      <c r="M110" s="25">
        <v>3410</v>
      </c>
      <c r="N110" s="25">
        <v>6363</v>
      </c>
      <c r="O110" s="25">
        <v>7898</v>
      </c>
      <c r="P110" s="25">
        <v>7002</v>
      </c>
      <c r="Q110" s="25">
        <v>5642</v>
      </c>
      <c r="R110" s="25">
        <v>4220</v>
      </c>
      <c r="S110" s="25">
        <v>3841</v>
      </c>
      <c r="T110" s="26">
        <v>12789</v>
      </c>
      <c r="U110" s="25">
        <v>3729</v>
      </c>
      <c r="V110" s="26">
        <v>11038</v>
      </c>
      <c r="W110" s="26">
        <v>9945</v>
      </c>
      <c r="X110" s="10">
        <v>0.27949770586814782</v>
      </c>
      <c r="Y110" s="8">
        <v>-7.2210478635059694E-2</v>
      </c>
      <c r="Z110" s="9">
        <v>0.27739126896944549</v>
      </c>
      <c r="AA110" s="9">
        <v>0.1944134789948084</v>
      </c>
    </row>
    <row r="111" spans="2:27">
      <c r="B111" s="12">
        <v>5482</v>
      </c>
      <c r="C111" s="3" t="s">
        <v>449</v>
      </c>
      <c r="D111" s="3" t="str">
        <f>VLOOKUP(B111,기업리스트!B:G,2,FALSE)</f>
        <v>Aichi Steel Corporation</v>
      </c>
      <c r="E111" s="3" t="s">
        <v>393</v>
      </c>
      <c r="F111" s="24">
        <v>15.5</v>
      </c>
      <c r="G111" s="25">
        <v>257</v>
      </c>
      <c r="H111" s="25">
        <v>-97</v>
      </c>
      <c r="I111" s="25">
        <v>629</v>
      </c>
      <c r="J111" s="25">
        <v>-1186</v>
      </c>
      <c r="K111" s="25">
        <v>1479</v>
      </c>
      <c r="L111" s="26">
        <v>314</v>
      </c>
      <c r="M111" s="26">
        <v>3436</v>
      </c>
      <c r="N111" s="26">
        <v>3068</v>
      </c>
      <c r="O111" s="25">
        <v>1655</v>
      </c>
      <c r="P111" s="26">
        <v>4382</v>
      </c>
      <c r="Q111" s="25">
        <v>3373</v>
      </c>
      <c r="R111" s="25">
        <v>1487</v>
      </c>
      <c r="S111" s="25">
        <v>1811</v>
      </c>
      <c r="T111" s="25">
        <v>4411</v>
      </c>
      <c r="U111" s="26">
        <v>4999</v>
      </c>
      <c r="V111" s="26">
        <v>4529</v>
      </c>
      <c r="W111" s="26">
        <v>4255</v>
      </c>
      <c r="X111" s="7">
        <v>2.623722066407375E-3</v>
      </c>
      <c r="Y111" s="9">
        <v>0.14672441797509481</v>
      </c>
      <c r="Z111" s="9">
        <v>0.23937677053824369</v>
      </c>
      <c r="AA111" s="9">
        <v>0.1551746031746031</v>
      </c>
    </row>
    <row r="112" spans="2:27">
      <c r="B112" s="12">
        <v>8386</v>
      </c>
      <c r="C112" s="3" t="s">
        <v>449</v>
      </c>
      <c r="D112" s="3" t="str">
        <f>VLOOKUP(B112,기업리스트!B:G,2,FALSE)</f>
        <v>The Hyakujushi Bank, Ltd.</v>
      </c>
      <c r="E112" s="3" t="s">
        <v>393</v>
      </c>
      <c r="F112" s="24">
        <v>15.4</v>
      </c>
      <c r="G112" s="25">
        <v>4702</v>
      </c>
      <c r="H112" s="25">
        <v>4792</v>
      </c>
      <c r="I112" s="25">
        <v>479</v>
      </c>
      <c r="J112" s="25">
        <v>5110</v>
      </c>
      <c r="K112" s="25">
        <v>3616</v>
      </c>
      <c r="L112" s="25">
        <v>2197</v>
      </c>
      <c r="M112" s="26">
        <v>2285</v>
      </c>
      <c r="N112" s="25">
        <v>5688</v>
      </c>
      <c r="O112" s="25">
        <v>1616</v>
      </c>
      <c r="P112" s="26">
        <v>3488</v>
      </c>
      <c r="Q112" s="25">
        <v>3489</v>
      </c>
      <c r="R112" s="25">
        <v>4955</v>
      </c>
      <c r="S112" s="26">
        <v>3016</v>
      </c>
      <c r="T112" s="26">
        <v>5576</v>
      </c>
      <c r="U112" s="25">
        <v>4050</v>
      </c>
      <c r="V112" s="25">
        <v>6603</v>
      </c>
      <c r="W112" s="26">
        <v>5971</v>
      </c>
      <c r="X112" s="10">
        <v>0.13968423869413971</v>
      </c>
      <c r="Y112" s="8">
        <v>3.2930265320497698E-2</v>
      </c>
      <c r="Z112" s="8">
        <v>9.3652327101210409E-2</v>
      </c>
      <c r="AA112" s="9">
        <v>0.15354637568199531</v>
      </c>
    </row>
    <row r="113" spans="2:27">
      <c r="B113" s="12">
        <v>8368</v>
      </c>
      <c r="C113" s="3" t="s">
        <v>449</v>
      </c>
      <c r="D113" s="3" t="str">
        <f>VLOOKUP(B113,기업리스트!B:G,2,FALSE)</f>
        <v>The Hyakugo Bank, Ltd.</v>
      </c>
      <c r="E113" s="3" t="s">
        <v>393</v>
      </c>
      <c r="F113" s="24">
        <v>14.7</v>
      </c>
      <c r="G113" s="25">
        <v>5261</v>
      </c>
      <c r="H113" s="25">
        <v>5427</v>
      </c>
      <c r="I113" s="25">
        <v>3834</v>
      </c>
      <c r="J113" s="25">
        <v>5210</v>
      </c>
      <c r="K113" s="25">
        <v>5240</v>
      </c>
      <c r="L113" s="25">
        <v>4225</v>
      </c>
      <c r="M113" s="26">
        <v>5782</v>
      </c>
      <c r="N113" s="25">
        <v>6980</v>
      </c>
      <c r="O113" s="25">
        <v>4605</v>
      </c>
      <c r="P113" s="25">
        <v>4937</v>
      </c>
      <c r="Q113" s="25">
        <v>3359</v>
      </c>
      <c r="R113" s="25">
        <v>7262</v>
      </c>
      <c r="S113" s="25">
        <v>5493</v>
      </c>
      <c r="T113" s="26">
        <v>7444</v>
      </c>
      <c r="U113" s="25">
        <v>5244</v>
      </c>
      <c r="V113" s="25">
        <v>5097</v>
      </c>
      <c r="W113" s="26">
        <v>8924</v>
      </c>
      <c r="X113" s="10">
        <v>0.11909172960904479</v>
      </c>
      <c r="Y113" s="8">
        <v>8.0015281433058805E-2</v>
      </c>
      <c r="Z113" s="8">
        <v>-8.5092166804229041E-2</v>
      </c>
      <c r="AA113" s="9">
        <v>0.1473923876621703</v>
      </c>
    </row>
    <row r="114" spans="2:27">
      <c r="B114" s="12">
        <v>8367</v>
      </c>
      <c r="C114" s="3" t="s">
        <v>449</v>
      </c>
      <c r="D114" s="3" t="str">
        <f>VLOOKUP(B114,기업리스트!B:G,2,FALSE)</f>
        <v>The Nanto Bank, Ltd.</v>
      </c>
      <c r="E114" s="3" t="s">
        <v>393</v>
      </c>
      <c r="F114" s="24">
        <v>11.9</v>
      </c>
      <c r="G114" s="25">
        <v>3887</v>
      </c>
      <c r="H114" s="25">
        <v>5671</v>
      </c>
      <c r="I114" s="25">
        <v>3207</v>
      </c>
      <c r="J114" s="25">
        <v>4012</v>
      </c>
      <c r="K114" s="25">
        <v>5188</v>
      </c>
      <c r="L114" s="25">
        <v>3948</v>
      </c>
      <c r="M114" s="25">
        <v>-6833</v>
      </c>
      <c r="N114" s="25">
        <v>4137</v>
      </c>
      <c r="O114" s="25">
        <v>4132</v>
      </c>
      <c r="P114" s="25">
        <v>4163</v>
      </c>
      <c r="Q114" s="26">
        <v>4192</v>
      </c>
      <c r="R114" s="26">
        <v>6660</v>
      </c>
      <c r="S114" s="25">
        <v>3394</v>
      </c>
      <c r="T114" s="26">
        <v>6461</v>
      </c>
      <c r="U114" s="25">
        <v>2967</v>
      </c>
      <c r="V114" s="25">
        <v>5674</v>
      </c>
      <c r="W114" s="26">
        <v>5591</v>
      </c>
      <c r="X114" s="10">
        <v>0.12483024607528929</v>
      </c>
      <c r="Y114" s="8">
        <v>-5.9158738590814663E-2</v>
      </c>
      <c r="Z114" s="8">
        <v>-5.0610820244328059E-2</v>
      </c>
      <c r="AA114" s="9">
        <v>0.11878243944636679</v>
      </c>
    </row>
    <row r="115" spans="2:27">
      <c r="B115" s="12">
        <v>4062</v>
      </c>
      <c r="C115" s="3" t="s">
        <v>449</v>
      </c>
      <c r="D115" s="3" t="str">
        <f>VLOOKUP(B115,기업리스트!B:G,2,FALSE)</f>
        <v>Ibiden Co.,Ltd.</v>
      </c>
      <c r="E115" s="3" t="s">
        <v>401</v>
      </c>
      <c r="F115" s="24">
        <v>11.1</v>
      </c>
      <c r="G115" s="25">
        <v>20071</v>
      </c>
      <c r="H115" s="25">
        <v>16391</v>
      </c>
      <c r="I115" s="25">
        <v>18090</v>
      </c>
      <c r="J115" s="25">
        <v>23316</v>
      </c>
      <c r="K115" s="25">
        <v>19769</v>
      </c>
      <c r="L115" s="25">
        <v>11189</v>
      </c>
      <c r="M115" s="25">
        <v>8182</v>
      </c>
      <c r="N115" s="25">
        <v>15892</v>
      </c>
      <c r="O115" s="25">
        <v>12874</v>
      </c>
      <c r="P115" s="25">
        <v>10621</v>
      </c>
      <c r="Q115" s="25">
        <v>11295</v>
      </c>
      <c r="R115" s="25">
        <v>17217</v>
      </c>
      <c r="S115" s="25">
        <v>5656</v>
      </c>
      <c r="T115" s="25">
        <v>11711</v>
      </c>
      <c r="U115" s="26">
        <v>16670</v>
      </c>
      <c r="V115" s="25">
        <v>13968</v>
      </c>
      <c r="W115" s="26">
        <v>10986</v>
      </c>
      <c r="X115" s="7">
        <v>2.4336332581660569E-2</v>
      </c>
      <c r="Y115" s="9">
        <v>0.1171559972972385</v>
      </c>
      <c r="Z115" s="8">
        <v>-6.3390174425410728E-2</v>
      </c>
      <c r="AA115" s="9">
        <v>0.1110301010311425</v>
      </c>
    </row>
    <row r="116" spans="2:27">
      <c r="B116" s="12">
        <v>6486</v>
      </c>
      <c r="C116" s="3" t="s">
        <v>449</v>
      </c>
      <c r="D116" s="3" t="str">
        <f>VLOOKUP(B116,기업리스트!B:G,2,FALSE)</f>
        <v>Eagle Industry Co.,Ltd.</v>
      </c>
      <c r="E116" s="3" t="s">
        <v>393</v>
      </c>
      <c r="F116" s="24">
        <v>10.3</v>
      </c>
      <c r="G116" s="25">
        <v>1411</v>
      </c>
      <c r="H116" s="25">
        <v>1319</v>
      </c>
      <c r="I116" s="25">
        <v>2320</v>
      </c>
      <c r="J116" s="25">
        <v>1946</v>
      </c>
      <c r="K116" s="25">
        <v>1817</v>
      </c>
      <c r="L116" s="26">
        <v>3750</v>
      </c>
      <c r="M116" s="25">
        <v>1752</v>
      </c>
      <c r="N116" s="25">
        <v>1497</v>
      </c>
      <c r="O116" s="25">
        <v>1588</v>
      </c>
      <c r="P116" s="25">
        <v>2867</v>
      </c>
      <c r="Q116" s="25">
        <v>2156</v>
      </c>
      <c r="R116" s="26">
        <v>2625</v>
      </c>
      <c r="S116" s="25">
        <v>1640</v>
      </c>
      <c r="T116" s="25">
        <v>2065</v>
      </c>
      <c r="U116" s="25">
        <v>2164</v>
      </c>
      <c r="V116" s="25">
        <v>2999</v>
      </c>
      <c r="W116" s="26">
        <v>2549</v>
      </c>
      <c r="X116" s="7">
        <v>-8.6347975882859584E-2</v>
      </c>
      <c r="Y116" s="8">
        <v>9.4272920103710689E-4</v>
      </c>
      <c r="Z116" s="8">
        <v>4.4031080762891417E-2</v>
      </c>
      <c r="AA116" s="9">
        <v>0.1025033829499324</v>
      </c>
    </row>
    <row r="117" spans="2:27">
      <c r="B117" s="12">
        <v>2331</v>
      </c>
      <c r="C117" s="3" t="s">
        <v>449</v>
      </c>
      <c r="D117" s="3" t="str">
        <f>VLOOKUP(B117,기업리스트!B:G,2,FALSE)</f>
        <v>Alsok Co.,Ltd.</v>
      </c>
      <c r="E117" s="3" t="s">
        <v>393</v>
      </c>
      <c r="F117" s="5">
        <v>9</v>
      </c>
      <c r="G117" s="25">
        <v>15072</v>
      </c>
      <c r="H117" s="25">
        <v>9851</v>
      </c>
      <c r="I117" s="25">
        <v>7131</v>
      </c>
      <c r="J117" s="25">
        <v>6924</v>
      </c>
      <c r="K117" s="25">
        <v>7779</v>
      </c>
      <c r="L117" s="25">
        <v>9213</v>
      </c>
      <c r="M117" s="26">
        <v>12046</v>
      </c>
      <c r="N117" s="25">
        <v>8449</v>
      </c>
      <c r="O117" s="25">
        <v>8875</v>
      </c>
      <c r="P117" s="25">
        <v>8911</v>
      </c>
      <c r="Q117" s="25">
        <v>11845</v>
      </c>
      <c r="R117" s="25">
        <v>7095</v>
      </c>
      <c r="S117" s="25">
        <v>8163</v>
      </c>
      <c r="T117" s="25">
        <v>11331</v>
      </c>
      <c r="U117" s="25">
        <v>13614</v>
      </c>
      <c r="V117" s="25">
        <v>10438</v>
      </c>
      <c r="W117" s="25">
        <v>12083</v>
      </c>
      <c r="X117" s="7">
        <v>6.7196090409285203E-2</v>
      </c>
      <c r="Y117" s="8">
        <v>4.6026955299994787E-2</v>
      </c>
      <c r="Z117" s="8">
        <v>8.3152998532447731E-2</v>
      </c>
      <c r="AA117" s="8">
        <v>9.0019749230698665E-2</v>
      </c>
    </row>
    <row r="118" spans="2:27">
      <c r="B118" s="12">
        <v>5802</v>
      </c>
      <c r="C118" s="3" t="s">
        <v>449</v>
      </c>
      <c r="D118" s="3" t="str">
        <f>VLOOKUP(B118,기업리스트!B:G,2,FALSE)</f>
        <v>Sumitomo Electric Industries, Ltd.</v>
      </c>
      <c r="E118" s="3" t="s">
        <v>401</v>
      </c>
      <c r="F118" s="5">
        <v>8.6</v>
      </c>
      <c r="G118" s="25">
        <v>30372</v>
      </c>
      <c r="H118" s="25">
        <v>45698</v>
      </c>
      <c r="I118" s="25">
        <v>19001</v>
      </c>
      <c r="J118" s="25">
        <v>30738</v>
      </c>
      <c r="K118" s="26">
        <v>45086</v>
      </c>
      <c r="L118" s="26">
        <v>82618</v>
      </c>
      <c r="M118" s="25">
        <v>18936</v>
      </c>
      <c r="N118" s="25">
        <v>48393</v>
      </c>
      <c r="O118" s="26">
        <v>81003</v>
      </c>
      <c r="P118" s="25">
        <v>78286</v>
      </c>
      <c r="Q118" s="26">
        <v>53285</v>
      </c>
      <c r="R118" s="25">
        <v>66030</v>
      </c>
      <c r="S118" s="25">
        <v>87524</v>
      </c>
      <c r="T118" s="26">
        <v>113824</v>
      </c>
      <c r="U118" s="25">
        <v>60301</v>
      </c>
      <c r="V118" s="25">
        <v>92720</v>
      </c>
      <c r="W118" s="25">
        <v>118024</v>
      </c>
      <c r="X118" s="10">
        <v>0.1246400701446735</v>
      </c>
      <c r="Y118" s="8">
        <v>2.1879668062732449E-2</v>
      </c>
      <c r="Z118" s="8">
        <v>8.1451664586378758E-2</v>
      </c>
      <c r="AA118" s="8">
        <v>8.6068476644401759E-2</v>
      </c>
    </row>
    <row r="119" spans="2:27">
      <c r="B119" s="12">
        <v>6472</v>
      </c>
      <c r="C119" s="3" t="s">
        <v>449</v>
      </c>
      <c r="D119" s="3" t="str">
        <f>VLOOKUP(B119,기업리스트!B:G,2,FALSE)</f>
        <v>NTN Corporation</v>
      </c>
      <c r="E119" s="3" t="s">
        <v>401</v>
      </c>
      <c r="F119" s="5">
        <v>8.4</v>
      </c>
      <c r="G119" s="25">
        <v>934</v>
      </c>
      <c r="H119" s="25">
        <v>4338</v>
      </c>
      <c r="I119" s="25">
        <v>-784</v>
      </c>
      <c r="J119" s="25">
        <v>4645</v>
      </c>
      <c r="K119" s="26">
        <v>6031</v>
      </c>
      <c r="L119" s="26">
        <v>7255</v>
      </c>
      <c r="M119" s="26">
        <v>1490</v>
      </c>
      <c r="N119" s="25">
        <v>5275</v>
      </c>
      <c r="O119" s="26">
        <v>8629</v>
      </c>
      <c r="P119" s="26">
        <v>12755</v>
      </c>
      <c r="Q119" s="26">
        <v>4533</v>
      </c>
      <c r="R119" s="25">
        <v>5417</v>
      </c>
      <c r="S119" s="25">
        <v>4264</v>
      </c>
      <c r="T119" s="25">
        <v>8746</v>
      </c>
      <c r="U119" s="26">
        <v>6978</v>
      </c>
      <c r="V119" s="25">
        <v>5889</v>
      </c>
      <c r="W119" s="25">
        <v>6435</v>
      </c>
      <c r="X119" s="7">
        <v>-0.14865215617931701</v>
      </c>
      <c r="Y119" s="9">
        <v>0.10648954703832759</v>
      </c>
      <c r="Z119" s="8">
        <v>1.8579019877976721E-2</v>
      </c>
      <c r="AA119" s="8">
        <v>8.3896896858213887E-2</v>
      </c>
    </row>
    <row r="120" spans="2:27">
      <c r="B120" s="12">
        <v>7974</v>
      </c>
      <c r="C120" s="3" t="s">
        <v>449</v>
      </c>
      <c r="D120" s="3" t="str">
        <f>VLOOKUP(B120,기업리스트!B:G,2,FALSE)</f>
        <v>Nintendo Co., Ltd.</v>
      </c>
      <c r="E120" s="3" t="s">
        <v>393</v>
      </c>
      <c r="F120" s="5">
        <v>7.5</v>
      </c>
      <c r="G120" s="25">
        <v>100208</v>
      </c>
      <c r="H120" s="25">
        <v>252592</v>
      </c>
      <c r="I120" s="25">
        <v>120210</v>
      </c>
      <c r="J120" s="25">
        <v>101649</v>
      </c>
      <c r="K120" s="25">
        <v>118740</v>
      </c>
      <c r="L120" s="25">
        <v>190153</v>
      </c>
      <c r="M120" s="25">
        <v>93833</v>
      </c>
      <c r="N120" s="26">
        <v>185443</v>
      </c>
      <c r="O120" s="25">
        <v>94467</v>
      </c>
      <c r="P120" s="25">
        <v>184501</v>
      </c>
      <c r="Q120" s="25">
        <v>64531</v>
      </c>
      <c r="R120" s="25">
        <v>54510</v>
      </c>
      <c r="S120" s="25">
        <v>67005</v>
      </c>
      <c r="T120" s="25">
        <v>126084</v>
      </c>
      <c r="U120" s="25">
        <v>34955</v>
      </c>
      <c r="V120" s="25">
        <v>56929</v>
      </c>
      <c r="W120" s="25">
        <v>88253</v>
      </c>
      <c r="X120" s="7">
        <v>-0.15765071637336159</v>
      </c>
      <c r="Y120" s="8">
        <v>-9.475539038221259E-2</v>
      </c>
      <c r="Z120" s="8">
        <v>8.5611953821216336E-3</v>
      </c>
      <c r="AA120" s="8">
        <v>7.4561449681197933E-2</v>
      </c>
    </row>
    <row r="121" spans="2:27">
      <c r="B121" s="12">
        <v>3064</v>
      </c>
      <c r="C121" s="3" t="s">
        <v>449</v>
      </c>
      <c r="D121" s="3" t="str">
        <f>VLOOKUP(B121,기업리스트!B:G,2,FALSE)</f>
        <v>MonotaRO Co., Ltd.</v>
      </c>
      <c r="E121" s="3" t="s">
        <v>397</v>
      </c>
      <c r="F121" s="5">
        <v>6.7</v>
      </c>
      <c r="G121" s="25">
        <v>6588</v>
      </c>
      <c r="H121" s="25">
        <v>6664</v>
      </c>
      <c r="I121" s="25">
        <v>6473</v>
      </c>
      <c r="J121" s="25">
        <v>6187</v>
      </c>
      <c r="K121" s="25">
        <v>6890</v>
      </c>
      <c r="L121" s="25">
        <v>8031</v>
      </c>
      <c r="M121" s="25">
        <v>7347</v>
      </c>
      <c r="N121" s="25">
        <v>7542</v>
      </c>
      <c r="O121" s="25">
        <v>8391</v>
      </c>
      <c r="P121" s="25">
        <v>8902</v>
      </c>
      <c r="Q121" s="25">
        <v>8828</v>
      </c>
      <c r="R121" s="25">
        <v>9312</v>
      </c>
      <c r="S121" s="25">
        <v>10025</v>
      </c>
      <c r="T121" s="25">
        <v>10741</v>
      </c>
      <c r="U121" s="25">
        <v>11144</v>
      </c>
      <c r="V121" s="25">
        <v>11390</v>
      </c>
      <c r="W121" s="25">
        <v>12919</v>
      </c>
      <c r="X121" s="7">
        <v>4.9612863193676297E-2</v>
      </c>
      <c r="Y121" s="8">
        <v>5.9528093353210298E-2</v>
      </c>
      <c r="Z121" s="8">
        <v>5.0409975255931272E-2</v>
      </c>
      <c r="AA121" s="8">
        <v>6.6836027713625956E-2</v>
      </c>
    </row>
    <row r="122" spans="2:27">
      <c r="B122" s="12">
        <v>9010</v>
      </c>
      <c r="C122" s="3" t="s">
        <v>449</v>
      </c>
      <c r="D122" s="3" t="str">
        <f>VLOOKUP(B122,기업리스트!B:G,2,FALSE)</f>
        <v>Fuji Kyuko Co., Ltd.</v>
      </c>
      <c r="E122" s="3" t="s">
        <v>393</v>
      </c>
      <c r="F122" s="5">
        <v>6.6</v>
      </c>
      <c r="G122" s="25">
        <v>1045</v>
      </c>
      <c r="H122" s="25">
        <v>704</v>
      </c>
      <c r="I122" s="25">
        <v>-316</v>
      </c>
      <c r="J122" s="25">
        <v>30</v>
      </c>
      <c r="K122" s="26">
        <v>1914</v>
      </c>
      <c r="L122" s="26">
        <v>1270</v>
      </c>
      <c r="M122" s="26">
        <v>1029</v>
      </c>
      <c r="N122" s="26">
        <v>1293</v>
      </c>
      <c r="O122" s="26">
        <v>3600</v>
      </c>
      <c r="P122" s="26">
        <v>2310</v>
      </c>
      <c r="Q122" s="25">
        <v>949</v>
      </c>
      <c r="R122" s="25">
        <v>1907</v>
      </c>
      <c r="S122" s="25">
        <v>2232</v>
      </c>
      <c r="T122" s="25">
        <v>2543</v>
      </c>
      <c r="U122" s="25">
        <v>1631</v>
      </c>
      <c r="V122" s="25">
        <v>1677</v>
      </c>
      <c r="W122" s="25">
        <v>2768</v>
      </c>
      <c r="X122" s="7">
        <v>3.1494998648283312E-2</v>
      </c>
      <c r="Y122" s="8">
        <v>8.9372297208753837E-2</v>
      </c>
      <c r="Z122" s="8">
        <v>-2.766750872127988E-2</v>
      </c>
      <c r="AA122" s="8">
        <v>6.6312012866510006E-2</v>
      </c>
    </row>
    <row r="123" spans="2:27">
      <c r="B123" s="12">
        <v>8174</v>
      </c>
      <c r="C123" s="3" t="s">
        <v>449</v>
      </c>
      <c r="D123" s="3" t="str">
        <f>VLOOKUP(B123,기업리스트!B:G,2,FALSE)</f>
        <v>Nippon Gas Co., Ltd.</v>
      </c>
      <c r="E123" s="3" t="s">
        <v>393</v>
      </c>
      <c r="F123" s="5">
        <v>5.6</v>
      </c>
      <c r="G123" s="25">
        <v>-244</v>
      </c>
      <c r="H123" s="25">
        <v>3969</v>
      </c>
      <c r="I123" s="25">
        <v>6495</v>
      </c>
      <c r="J123" s="25">
        <v>3806</v>
      </c>
      <c r="K123" s="25">
        <v>-1068</v>
      </c>
      <c r="L123" s="25">
        <v>3307</v>
      </c>
      <c r="M123" s="26">
        <v>9171</v>
      </c>
      <c r="N123" s="25">
        <v>4034</v>
      </c>
      <c r="O123" s="26">
        <v>950</v>
      </c>
      <c r="P123" s="25">
        <v>4270</v>
      </c>
      <c r="Q123" s="25">
        <v>8189</v>
      </c>
      <c r="R123" s="25">
        <v>2089</v>
      </c>
      <c r="S123" s="25">
        <v>218</v>
      </c>
      <c r="T123" s="26">
        <v>6140</v>
      </c>
      <c r="U123" s="26">
        <v>10100</v>
      </c>
      <c r="V123" s="25">
        <v>3656</v>
      </c>
      <c r="W123" s="25">
        <v>1342</v>
      </c>
      <c r="X123" s="10">
        <v>0.12664228633346891</v>
      </c>
      <c r="Y123" s="9">
        <v>0.1148713633084877</v>
      </c>
      <c r="Z123" s="8">
        <v>8.4488057367768432E-2</v>
      </c>
      <c r="AA123" s="8">
        <v>5.5881475589141923E-2</v>
      </c>
    </row>
    <row r="124" spans="2:27">
      <c r="B124" s="12">
        <v>4617</v>
      </c>
      <c r="C124" s="3" t="s">
        <v>449</v>
      </c>
      <c r="D124" s="3" t="str">
        <f>VLOOKUP(B124,기업리스트!B:G,2,FALSE)</f>
        <v>Chugoku Marine Paints, Ltd.</v>
      </c>
      <c r="E124" s="3" t="s">
        <v>393</v>
      </c>
      <c r="F124" s="5">
        <v>3.6</v>
      </c>
      <c r="G124" s="25">
        <v>274</v>
      </c>
      <c r="H124" s="25">
        <v>-229</v>
      </c>
      <c r="I124" s="25">
        <v>-175</v>
      </c>
      <c r="J124" s="25">
        <v>-450</v>
      </c>
      <c r="K124" s="25">
        <v>685</v>
      </c>
      <c r="L124" s="25">
        <v>1444</v>
      </c>
      <c r="M124" s="26">
        <v>2209</v>
      </c>
      <c r="N124" s="26">
        <v>2075</v>
      </c>
      <c r="O124" s="26">
        <v>3056</v>
      </c>
      <c r="P124" s="26">
        <v>3921</v>
      </c>
      <c r="Q124" s="25">
        <v>3134</v>
      </c>
      <c r="R124" s="26">
        <v>3368</v>
      </c>
      <c r="S124" s="26">
        <v>4562</v>
      </c>
      <c r="T124" s="25">
        <v>3714</v>
      </c>
      <c r="U124" s="25">
        <v>3738</v>
      </c>
      <c r="V124" s="25">
        <v>3922</v>
      </c>
      <c r="W124" s="25">
        <v>5130</v>
      </c>
      <c r="X124" s="7">
        <v>-1.3813813813813859E-2</v>
      </c>
      <c r="Y124" s="8">
        <v>4.0871565841115183E-2</v>
      </c>
      <c r="Z124" s="8">
        <v>3.6016122740865963E-2</v>
      </c>
      <c r="AA124" s="8">
        <v>3.5642570281124497E-2</v>
      </c>
    </row>
    <row r="125" spans="2:27">
      <c r="B125" s="12">
        <v>6473</v>
      </c>
      <c r="C125" s="3" t="s">
        <v>449</v>
      </c>
      <c r="D125" s="3" t="str">
        <f>VLOOKUP(B125,기업리스트!B:G,2,FALSE)</f>
        <v>JTEKT Corporation</v>
      </c>
      <c r="E125" s="3" t="s">
        <v>401</v>
      </c>
      <c r="F125" s="5">
        <v>3.4</v>
      </c>
      <c r="G125" s="25">
        <v>7982</v>
      </c>
      <c r="H125" s="25">
        <v>17670</v>
      </c>
      <c r="I125" s="25">
        <v>2875</v>
      </c>
      <c r="J125" s="25">
        <v>15947</v>
      </c>
      <c r="K125" s="26">
        <v>14295</v>
      </c>
      <c r="L125" s="25">
        <v>19114</v>
      </c>
      <c r="M125" s="26">
        <v>18856</v>
      </c>
      <c r="N125" s="25">
        <v>15769</v>
      </c>
      <c r="O125" s="26">
        <v>22737</v>
      </c>
      <c r="P125" s="25">
        <v>18170</v>
      </c>
      <c r="Q125" s="25">
        <v>11146</v>
      </c>
      <c r="R125" s="25">
        <v>14395</v>
      </c>
      <c r="S125" s="25">
        <v>9466</v>
      </c>
      <c r="T125" s="26">
        <v>31839</v>
      </c>
      <c r="U125" s="25">
        <v>13526</v>
      </c>
      <c r="V125" s="25">
        <v>12528</v>
      </c>
      <c r="W125" s="25">
        <v>11750</v>
      </c>
      <c r="X125" s="10">
        <v>0.25704721966263611</v>
      </c>
      <c r="Y125" s="8">
        <v>3.5604224635729993E-2</v>
      </c>
      <c r="Z125" s="8">
        <v>-2.696963568601396E-2</v>
      </c>
      <c r="AA125" s="8">
        <v>3.3907866803248199E-2</v>
      </c>
    </row>
    <row r="126" spans="2:27">
      <c r="B126" s="12">
        <v>6413</v>
      </c>
      <c r="C126" s="3" t="s">
        <v>449</v>
      </c>
      <c r="D126" s="3" t="str">
        <f>VLOOKUP(B126,기업리스트!B:G,2,FALSE)</f>
        <v>Riso Kagaku Corporation</v>
      </c>
      <c r="E126" s="3" t="s">
        <v>393</v>
      </c>
      <c r="F126" s="5">
        <v>3.2</v>
      </c>
      <c r="G126" s="25">
        <v>369</v>
      </c>
      <c r="H126" s="25">
        <v>948</v>
      </c>
      <c r="I126" s="25">
        <v>1821</v>
      </c>
      <c r="J126" s="25">
        <v>1357</v>
      </c>
      <c r="K126" s="26">
        <v>1037</v>
      </c>
      <c r="L126" s="25">
        <v>1233</v>
      </c>
      <c r="M126" s="25">
        <v>2329</v>
      </c>
      <c r="N126" s="25">
        <v>903</v>
      </c>
      <c r="O126" s="25">
        <v>938</v>
      </c>
      <c r="P126" s="25">
        <v>1357</v>
      </c>
      <c r="Q126" s="25">
        <v>2059</v>
      </c>
      <c r="R126" s="26">
        <v>1920</v>
      </c>
      <c r="S126" s="25">
        <v>884</v>
      </c>
      <c r="T126" s="25">
        <v>1472</v>
      </c>
      <c r="U126" s="25">
        <v>1908</v>
      </c>
      <c r="V126" s="25">
        <v>1477</v>
      </c>
      <c r="W126" s="25">
        <v>1065</v>
      </c>
      <c r="X126" s="7">
        <v>1.8488745980707488E-2</v>
      </c>
      <c r="Y126" s="8">
        <v>-2.3835832675611731E-2</v>
      </c>
      <c r="Z126" s="8">
        <v>-7.1636481241914574E-2</v>
      </c>
      <c r="AA126" s="8">
        <v>3.1527608430587113E-2</v>
      </c>
    </row>
    <row r="127" spans="2:27">
      <c r="B127" s="12">
        <v>4966</v>
      </c>
      <c r="C127" s="3" t="s">
        <v>449</v>
      </c>
      <c r="D127" s="3" t="str">
        <f>VLOOKUP(B127,기업리스트!B:G,2,FALSE)</f>
        <v>Parade Technologies, Ltd.</v>
      </c>
      <c r="E127" s="3" t="s">
        <v>393</v>
      </c>
      <c r="F127" s="5">
        <v>2.4</v>
      </c>
      <c r="G127" s="25">
        <v>3422</v>
      </c>
      <c r="H127" s="25">
        <v>3928</v>
      </c>
      <c r="I127" s="25">
        <v>3792</v>
      </c>
      <c r="J127" s="25">
        <v>3867</v>
      </c>
      <c r="K127" s="25">
        <v>3682</v>
      </c>
      <c r="L127" s="25">
        <v>4159</v>
      </c>
      <c r="M127" s="25">
        <v>3338</v>
      </c>
      <c r="N127" s="25">
        <v>2430</v>
      </c>
      <c r="O127" s="25">
        <v>3374</v>
      </c>
      <c r="P127" s="25">
        <v>4257</v>
      </c>
      <c r="Q127" s="26">
        <v>4934</v>
      </c>
      <c r="R127" s="26">
        <v>4507</v>
      </c>
      <c r="S127" s="25">
        <v>4621</v>
      </c>
      <c r="T127" s="25">
        <v>5395</v>
      </c>
      <c r="U127" s="25">
        <v>4306</v>
      </c>
      <c r="V127" s="25">
        <v>4510</v>
      </c>
      <c r="W127" s="25">
        <v>5066</v>
      </c>
      <c r="X127" s="7">
        <v>6.2121294830503881E-2</v>
      </c>
      <c r="Y127" s="8">
        <v>-3.227630158811734E-2</v>
      </c>
      <c r="Z127" s="8">
        <v>1.5932869509804881E-4</v>
      </c>
      <c r="AA127" s="8">
        <v>2.3629991503823389E-2</v>
      </c>
    </row>
    <row r="128" spans="2:27">
      <c r="B128" s="12">
        <v>9021</v>
      </c>
      <c r="C128" s="3" t="s">
        <v>449</v>
      </c>
      <c r="D128" s="3" t="str">
        <f>VLOOKUP(B128,기업리스트!B:G,2,FALSE)</f>
        <v>West Japan Railway Company</v>
      </c>
      <c r="E128" s="3" t="s">
        <v>401</v>
      </c>
      <c r="F128" s="5">
        <v>1.8</v>
      </c>
      <c r="G128" s="25">
        <v>6636</v>
      </c>
      <c r="H128" s="25">
        <v>-39628</v>
      </c>
      <c r="I128" s="25">
        <v>19536</v>
      </c>
      <c r="J128" s="25">
        <v>14318</v>
      </c>
      <c r="K128" s="26">
        <v>36142</v>
      </c>
      <c r="L128" s="26">
        <v>15683</v>
      </c>
      <c r="M128" s="26">
        <v>52211</v>
      </c>
      <c r="N128" s="26">
        <v>54082</v>
      </c>
      <c r="O128" s="26">
        <v>66153</v>
      </c>
      <c r="P128" s="25">
        <v>8301</v>
      </c>
      <c r="Q128" s="25">
        <v>58229</v>
      </c>
      <c r="R128" s="25">
        <v>46562</v>
      </c>
      <c r="S128" s="25">
        <v>70555</v>
      </c>
      <c r="T128" s="25">
        <v>4816</v>
      </c>
      <c r="U128" s="25">
        <v>63387</v>
      </c>
      <c r="V128" s="25">
        <v>59544</v>
      </c>
      <c r="W128" s="25">
        <v>74204</v>
      </c>
      <c r="X128" s="7">
        <v>-1.8976623631205562E-2</v>
      </c>
      <c r="Y128" s="8">
        <v>2.862978874568434E-2</v>
      </c>
      <c r="Z128" s="8">
        <v>7.0051802287934395E-2</v>
      </c>
      <c r="AA128" s="8">
        <v>1.8401226412239961E-2</v>
      </c>
    </row>
    <row r="129" spans="2:27">
      <c r="B129" s="12">
        <v>3116</v>
      </c>
      <c r="C129" s="3" t="s">
        <v>449</v>
      </c>
      <c r="D129" s="3" t="str">
        <f>VLOOKUP(B129,기업리스트!B:G,2,FALSE)</f>
        <v>Toyota Boshoku Corporation</v>
      </c>
      <c r="E129" s="3" t="s">
        <v>393</v>
      </c>
      <c r="F129" s="5">
        <v>1.6</v>
      </c>
      <c r="G129" s="25">
        <v>6464</v>
      </c>
      <c r="H129" s="25">
        <v>18203</v>
      </c>
      <c r="I129" s="25">
        <v>18473</v>
      </c>
      <c r="J129" s="25">
        <v>3405</v>
      </c>
      <c r="K129" s="25">
        <v>9465</v>
      </c>
      <c r="L129" s="25">
        <v>15762</v>
      </c>
      <c r="M129" s="25">
        <v>15958</v>
      </c>
      <c r="N129" s="26">
        <v>22167</v>
      </c>
      <c r="O129" s="26">
        <v>27432</v>
      </c>
      <c r="P129" s="26">
        <v>27125</v>
      </c>
      <c r="Q129" s="25">
        <v>1626</v>
      </c>
      <c r="R129" s="25">
        <v>16699</v>
      </c>
      <c r="S129" s="25">
        <v>17139</v>
      </c>
      <c r="T129" s="25">
        <v>18183</v>
      </c>
      <c r="U129" s="26">
        <v>19815</v>
      </c>
      <c r="V129" s="25">
        <v>18705</v>
      </c>
      <c r="W129" s="25">
        <v>18337</v>
      </c>
      <c r="X129" s="7">
        <v>-0.14286855517742739</v>
      </c>
      <c r="Y129" s="9">
        <v>0.33904971387030042</v>
      </c>
      <c r="Z129" s="8">
        <v>2.792471741188263E-2</v>
      </c>
      <c r="AA129" s="8">
        <v>1.622382925706245E-2</v>
      </c>
    </row>
    <row r="130" spans="2:27">
      <c r="B130" s="12">
        <v>8015</v>
      </c>
      <c r="C130" s="3" t="s">
        <v>449</v>
      </c>
      <c r="D130" s="3" t="str">
        <f>VLOOKUP(B130,기업리스트!B:G,2,FALSE)</f>
        <v>Toyota Tsusho Corporation</v>
      </c>
      <c r="E130" s="3" t="s">
        <v>393</v>
      </c>
      <c r="F130" s="5">
        <v>1.2</v>
      </c>
      <c r="G130" s="25">
        <v>73442</v>
      </c>
      <c r="H130" s="25">
        <v>80545</v>
      </c>
      <c r="I130" s="25">
        <v>69869</v>
      </c>
      <c r="J130" s="25">
        <v>102092</v>
      </c>
      <c r="K130" s="25">
        <v>105506</v>
      </c>
      <c r="L130" s="25">
        <v>109762</v>
      </c>
      <c r="M130" s="25">
        <v>86652</v>
      </c>
      <c r="N130" s="25">
        <v>113225</v>
      </c>
      <c r="O130" s="25">
        <v>119085</v>
      </c>
      <c r="P130" s="25">
        <v>120697</v>
      </c>
      <c r="Q130" s="25">
        <v>94927</v>
      </c>
      <c r="R130" s="25">
        <v>119094</v>
      </c>
      <c r="S130" s="25">
        <v>128980</v>
      </c>
      <c r="T130" s="25">
        <v>120946</v>
      </c>
      <c r="U130" s="25">
        <v>130952</v>
      </c>
      <c r="V130" s="25">
        <v>126283</v>
      </c>
      <c r="W130" s="25">
        <v>134877</v>
      </c>
      <c r="X130" s="7">
        <v>5.3698743578789454E-4</v>
      </c>
      <c r="Y130" s="8">
        <v>7.7648955591910207E-2</v>
      </c>
      <c r="Z130" s="8">
        <v>1.437880521309198E-2</v>
      </c>
      <c r="AA130" s="8">
        <v>1.162747135525022E-2</v>
      </c>
    </row>
    <row r="131" spans="2:27">
      <c r="B131" s="12">
        <v>5384</v>
      </c>
      <c r="C131" s="3" t="s">
        <v>449</v>
      </c>
      <c r="D131" s="3" t="str">
        <f>VLOOKUP(B131,기업리스트!B:G,2,FALSE)</f>
        <v>Fujimi Incorporated</v>
      </c>
      <c r="E131" s="3" t="s">
        <v>393</v>
      </c>
      <c r="F131" s="5">
        <v>1.1000000000000001</v>
      </c>
      <c r="G131" s="25">
        <v>3159</v>
      </c>
      <c r="H131" s="25">
        <v>3315</v>
      </c>
      <c r="I131" s="25">
        <v>2586</v>
      </c>
      <c r="J131" s="25">
        <v>4152</v>
      </c>
      <c r="K131" s="25">
        <v>3668</v>
      </c>
      <c r="L131" s="25">
        <v>3427</v>
      </c>
      <c r="M131" s="25">
        <v>1997</v>
      </c>
      <c r="N131" s="25">
        <v>2352</v>
      </c>
      <c r="O131" s="25">
        <v>1597</v>
      </c>
      <c r="P131" s="25">
        <v>2162</v>
      </c>
      <c r="Q131" s="25">
        <v>2139</v>
      </c>
      <c r="R131" s="25">
        <v>2625</v>
      </c>
      <c r="S131" s="26">
        <v>3079</v>
      </c>
      <c r="T131" s="26">
        <v>3357</v>
      </c>
      <c r="U131" s="25">
        <v>2720</v>
      </c>
      <c r="V131" s="25">
        <v>3258</v>
      </c>
      <c r="W131" s="25">
        <v>3212</v>
      </c>
      <c r="X131" s="10">
        <v>0.11944027986007</v>
      </c>
      <c r="Y131" s="8">
        <v>5.1874999999999893E-2</v>
      </c>
      <c r="Z131" s="8">
        <v>5.3730583142347799E-2</v>
      </c>
      <c r="AA131" s="8">
        <v>1.0713710327050039E-2</v>
      </c>
    </row>
    <row r="132" spans="2:27">
      <c r="B132" s="12">
        <v>2871</v>
      </c>
      <c r="C132" s="3" t="s">
        <v>449</v>
      </c>
      <c r="D132" s="3" t="str">
        <f>VLOOKUP(B132,기업리스트!B:G,2,FALSE)</f>
        <v>Nichirei Corporation</v>
      </c>
      <c r="E132" s="3" t="s">
        <v>401</v>
      </c>
      <c r="F132" s="5">
        <v>0.4</v>
      </c>
      <c r="G132" s="25">
        <v>9724</v>
      </c>
      <c r="H132" s="25">
        <v>5665</v>
      </c>
      <c r="I132" s="25">
        <v>6677</v>
      </c>
      <c r="J132" s="25">
        <v>8033</v>
      </c>
      <c r="K132" s="25">
        <v>10580</v>
      </c>
      <c r="L132" s="25">
        <v>7645</v>
      </c>
      <c r="M132" s="25">
        <v>7926</v>
      </c>
      <c r="N132" s="25">
        <v>9473</v>
      </c>
      <c r="O132" s="25">
        <v>12388</v>
      </c>
      <c r="P132" s="25">
        <v>7125</v>
      </c>
      <c r="Q132" s="25">
        <v>9542</v>
      </c>
      <c r="R132" s="25">
        <v>10143</v>
      </c>
      <c r="S132" s="25">
        <v>12071</v>
      </c>
      <c r="T132" s="25">
        <v>6559</v>
      </c>
      <c r="U132" s="25">
        <v>8695</v>
      </c>
      <c r="V132" s="25">
        <v>9614</v>
      </c>
      <c r="W132" s="25">
        <v>12223</v>
      </c>
      <c r="X132" s="7">
        <v>-1.4557238754147271E-2</v>
      </c>
      <c r="Y132" s="8">
        <v>-2.2106224716168629E-2</v>
      </c>
      <c r="Z132" s="8">
        <v>-1.4118714636489839E-2</v>
      </c>
      <c r="AA132" s="8">
        <v>4.1148921194400501E-3</v>
      </c>
    </row>
    <row r="133" spans="2:27">
      <c r="B133" s="12">
        <v>6806</v>
      </c>
      <c r="C133" s="3" t="s">
        <v>449</v>
      </c>
      <c r="D133" s="3" t="str">
        <f>VLOOKUP(B133,기업리스트!B:G,2,FALSE)</f>
        <v>Hirose Electric Co.,Ltd.</v>
      </c>
      <c r="E133" s="3" t="s">
        <v>401</v>
      </c>
      <c r="F133" s="5">
        <v>0.1</v>
      </c>
      <c r="G133" s="25">
        <v>11226</v>
      </c>
      <c r="H133" s="25">
        <v>10026</v>
      </c>
      <c r="I133" s="25">
        <v>12971</v>
      </c>
      <c r="J133" s="25">
        <v>14198</v>
      </c>
      <c r="K133" s="25">
        <v>12498</v>
      </c>
      <c r="L133" s="25">
        <v>8028</v>
      </c>
      <c r="M133" s="25">
        <v>9057</v>
      </c>
      <c r="N133" s="25">
        <v>8133</v>
      </c>
      <c r="O133" s="25">
        <v>10040</v>
      </c>
      <c r="P133" s="25">
        <v>8234</v>
      </c>
      <c r="Q133" s="25">
        <v>10261</v>
      </c>
      <c r="R133" s="26">
        <v>11955</v>
      </c>
      <c r="S133" s="25">
        <v>11999</v>
      </c>
      <c r="T133" s="25">
        <v>9024</v>
      </c>
      <c r="U133" s="25">
        <v>9833</v>
      </c>
      <c r="V133" s="25">
        <v>10628</v>
      </c>
      <c r="W133" s="25">
        <v>12042</v>
      </c>
      <c r="X133" s="7">
        <v>1.86105679756885E-2</v>
      </c>
      <c r="Y133" s="8">
        <v>-9.8984712874951031E-3</v>
      </c>
      <c r="Z133" s="8">
        <v>-3.09967064539487E-2</v>
      </c>
      <c r="AA133" s="8">
        <v>1.036544209815915E-3</v>
      </c>
    </row>
    <row r="134" spans="2:27">
      <c r="B134" s="12">
        <v>4206</v>
      </c>
      <c r="C134" s="3" t="s">
        <v>449</v>
      </c>
      <c r="D134" s="3" t="str">
        <f>VLOOKUP(B134,기업리스트!B:G,2,FALSE)</f>
        <v>Aica Kogyo Company, Limited</v>
      </c>
      <c r="E134" s="3" t="s">
        <v>393</v>
      </c>
      <c r="F134" s="5">
        <v>-0.2</v>
      </c>
      <c r="G134" s="25">
        <v>5304</v>
      </c>
      <c r="H134" s="25">
        <v>4788</v>
      </c>
      <c r="I134" s="25">
        <v>6135</v>
      </c>
      <c r="J134" s="25">
        <v>4164</v>
      </c>
      <c r="K134" s="25">
        <v>5274</v>
      </c>
      <c r="L134" s="25">
        <v>5359</v>
      </c>
      <c r="M134" s="25">
        <v>5760</v>
      </c>
      <c r="N134" s="25">
        <v>5231</v>
      </c>
      <c r="O134" s="25">
        <v>6175</v>
      </c>
      <c r="P134" s="26">
        <v>8098</v>
      </c>
      <c r="Q134" s="25">
        <v>5783</v>
      </c>
      <c r="R134" s="25">
        <v>6061</v>
      </c>
      <c r="S134" s="25">
        <v>7087</v>
      </c>
      <c r="T134" s="25">
        <v>8051</v>
      </c>
      <c r="U134" s="25">
        <v>6210</v>
      </c>
      <c r="V134" s="25">
        <v>6325</v>
      </c>
      <c r="W134" s="25">
        <v>7024</v>
      </c>
      <c r="X134" s="7">
        <v>-1.738873062266499E-3</v>
      </c>
      <c r="Y134" s="8">
        <v>1.5825365058186991E-2</v>
      </c>
      <c r="Z134" s="8">
        <v>9.6318727425297457E-3</v>
      </c>
      <c r="AA134" s="8">
        <v>-2.2765872872474451E-3</v>
      </c>
    </row>
    <row r="135" spans="2:27">
      <c r="B135" s="12">
        <v>6841</v>
      </c>
      <c r="C135" s="3" t="s">
        <v>449</v>
      </c>
      <c r="D135" s="3" t="str">
        <f>VLOOKUP(B135,기업리스트!B:G,2,FALSE)</f>
        <v>Yokogawa Electric Corporation</v>
      </c>
      <c r="E135" s="3" t="s">
        <v>401</v>
      </c>
      <c r="F135" s="5">
        <v>-0.8</v>
      </c>
      <c r="G135" s="25">
        <v>7979</v>
      </c>
      <c r="H135" s="25">
        <v>8245</v>
      </c>
      <c r="I135" s="25">
        <v>1052</v>
      </c>
      <c r="J135" s="25">
        <v>12169</v>
      </c>
      <c r="K135" s="26">
        <v>11523</v>
      </c>
      <c r="L135" s="26">
        <v>19645</v>
      </c>
      <c r="M135" s="26">
        <v>13039</v>
      </c>
      <c r="N135" s="26">
        <v>20631</v>
      </c>
      <c r="O135" s="26">
        <v>24712</v>
      </c>
      <c r="P135" s="25">
        <v>20365</v>
      </c>
      <c r="Q135" s="25">
        <v>14827</v>
      </c>
      <c r="R135" s="25">
        <v>21488</v>
      </c>
      <c r="S135" s="25">
        <v>22102</v>
      </c>
      <c r="T135" s="25">
        <v>25107</v>
      </c>
      <c r="U135" s="25">
        <v>16202</v>
      </c>
      <c r="V135" s="25">
        <v>22787</v>
      </c>
      <c r="W135" s="25">
        <v>21435</v>
      </c>
      <c r="X135" s="7">
        <v>6.0191414282450229E-2</v>
      </c>
      <c r="Y135" s="8">
        <v>1.6462334179397461E-2</v>
      </c>
      <c r="Z135" s="8">
        <v>1.5300533575189229E-2</v>
      </c>
      <c r="AA135" s="8">
        <v>-7.7379985614515201E-3</v>
      </c>
    </row>
    <row r="136" spans="2:27">
      <c r="B136" s="12">
        <v>6724</v>
      </c>
      <c r="C136" s="3" t="s">
        <v>449</v>
      </c>
      <c r="D136" s="3" t="str">
        <f>VLOOKUP(B136,기업리스트!B:G,2,FALSE)</f>
        <v>Seiko Epson Corporation</v>
      </c>
      <c r="E136" s="3" t="s">
        <v>401</v>
      </c>
      <c r="F136" s="5">
        <v>-0.8</v>
      </c>
      <c r="G136" s="25">
        <v>30343</v>
      </c>
      <c r="H136" s="25">
        <v>13574</v>
      </c>
      <c r="I136" s="25">
        <v>31216</v>
      </c>
      <c r="J136" s="25">
        <v>27938</v>
      </c>
      <c r="K136" s="25">
        <v>23391</v>
      </c>
      <c r="L136" s="25">
        <v>12540</v>
      </c>
      <c r="M136" s="25">
        <v>19714</v>
      </c>
      <c r="N136" s="25">
        <v>8221</v>
      </c>
      <c r="O136" s="25">
        <v>23765</v>
      </c>
      <c r="P136" s="25">
        <v>11193</v>
      </c>
      <c r="Q136" s="25">
        <v>22470</v>
      </c>
      <c r="R136" s="25">
        <v>12469</v>
      </c>
      <c r="S136" s="25">
        <v>27927</v>
      </c>
      <c r="T136" s="26">
        <v>24459</v>
      </c>
      <c r="U136" s="25">
        <v>14137</v>
      </c>
      <c r="V136" s="25">
        <v>17010</v>
      </c>
      <c r="W136" s="25">
        <v>27240</v>
      </c>
      <c r="X136" s="10">
        <v>0.17912745243657091</v>
      </c>
      <c r="Y136" s="8">
        <v>-9.5425135986258236E-2</v>
      </c>
      <c r="Z136" s="8">
        <v>5.7486834109783169E-2</v>
      </c>
      <c r="AA136" s="8">
        <v>-8.2242945901619402E-3</v>
      </c>
    </row>
    <row r="137" spans="2:27">
      <c r="B137" s="12">
        <v>6503</v>
      </c>
      <c r="C137" s="3" t="s">
        <v>449</v>
      </c>
      <c r="D137" s="3" t="str">
        <f>VLOOKUP(B137,기업리스트!B:G,2,FALSE)</f>
        <v>Mitsubishi Electric Corporation</v>
      </c>
      <c r="E137" s="3" t="s">
        <v>393</v>
      </c>
      <c r="F137" s="5">
        <v>-1.3</v>
      </c>
      <c r="G137" s="25">
        <v>55062</v>
      </c>
      <c r="H137" s="25">
        <v>52359</v>
      </c>
      <c r="I137" s="25">
        <v>61862</v>
      </c>
      <c r="J137" s="25">
        <v>33965</v>
      </c>
      <c r="K137" s="25">
        <v>46538</v>
      </c>
      <c r="L137" s="26">
        <v>82722</v>
      </c>
      <c r="M137" s="26">
        <v>99127</v>
      </c>
      <c r="N137" s="26">
        <v>61005</v>
      </c>
      <c r="O137" s="25">
        <v>74834</v>
      </c>
      <c r="P137" s="25">
        <v>86494</v>
      </c>
      <c r="Q137" s="25">
        <v>106192</v>
      </c>
      <c r="R137" s="25">
        <v>58659</v>
      </c>
      <c r="S137" s="26">
        <v>118023</v>
      </c>
      <c r="T137" s="26">
        <v>126873</v>
      </c>
      <c r="U137" s="25">
        <v>73537</v>
      </c>
      <c r="V137" s="26">
        <v>111972</v>
      </c>
      <c r="W137" s="25">
        <v>112394</v>
      </c>
      <c r="X137" s="10">
        <v>0.1093191613783544</v>
      </c>
      <c r="Y137" s="8">
        <v>-7.9695519430282635E-2</v>
      </c>
      <c r="Z137" s="9">
        <v>0.1413792920560499</v>
      </c>
      <c r="AA137" s="8">
        <v>-1.307837966566372E-2</v>
      </c>
    </row>
    <row r="138" spans="2:27">
      <c r="B138" s="12">
        <v>6622</v>
      </c>
      <c r="C138" s="3" t="s">
        <v>449</v>
      </c>
      <c r="D138" s="3" t="str">
        <f>VLOOKUP(B138,기업리스트!B:G,2,FALSE)</f>
        <v>DAIHEN Corporation</v>
      </c>
      <c r="E138" s="3" t="s">
        <v>393</v>
      </c>
      <c r="F138" s="5">
        <v>-2.2000000000000002</v>
      </c>
      <c r="G138" s="25">
        <v>3272</v>
      </c>
      <c r="H138" s="25">
        <v>3674</v>
      </c>
      <c r="I138" s="25">
        <v>4272</v>
      </c>
      <c r="J138" s="25">
        <v>1820</v>
      </c>
      <c r="K138" s="26">
        <v>5535</v>
      </c>
      <c r="L138" s="25">
        <v>3847</v>
      </c>
      <c r="M138" s="25">
        <v>5366</v>
      </c>
      <c r="N138" s="25">
        <v>772</v>
      </c>
      <c r="O138" s="25">
        <v>4300</v>
      </c>
      <c r="P138" s="25">
        <v>2747</v>
      </c>
      <c r="Q138" s="26">
        <v>7327</v>
      </c>
      <c r="R138" s="25">
        <v>899</v>
      </c>
      <c r="S138" s="25">
        <v>4166</v>
      </c>
      <c r="T138" s="26">
        <v>5192</v>
      </c>
      <c r="U138" s="25">
        <v>5917</v>
      </c>
      <c r="V138" s="26">
        <v>3164</v>
      </c>
      <c r="W138" s="25">
        <v>3769</v>
      </c>
      <c r="X138" s="10">
        <v>0.16150340180989489</v>
      </c>
      <c r="Y138" s="8">
        <v>-8.0186533212010969E-2</v>
      </c>
      <c r="Z138" s="9">
        <v>0.14003956967973299</v>
      </c>
      <c r="AA138" s="8">
        <v>-2.1530451759856791E-2</v>
      </c>
    </row>
    <row r="139" spans="2:27">
      <c r="B139" s="12">
        <v>7224</v>
      </c>
      <c r="C139" s="3" t="s">
        <v>449</v>
      </c>
      <c r="D139" s="3" t="str">
        <f>VLOOKUP(B139,기업리스트!B:G,2,FALSE)</f>
        <v>ShinMaywa Industries, Ltd.</v>
      </c>
      <c r="E139" s="3" t="s">
        <v>393</v>
      </c>
      <c r="F139" s="5">
        <v>-5.4</v>
      </c>
      <c r="G139" s="25">
        <v>3039</v>
      </c>
      <c r="H139" s="25">
        <v>2687</v>
      </c>
      <c r="I139" s="25">
        <v>3443</v>
      </c>
      <c r="J139" s="25">
        <v>793</v>
      </c>
      <c r="K139" s="25">
        <v>2413</v>
      </c>
      <c r="L139" s="25">
        <v>2799</v>
      </c>
      <c r="M139" s="25">
        <v>3290</v>
      </c>
      <c r="N139" s="25">
        <v>638</v>
      </c>
      <c r="O139" s="26">
        <v>3794</v>
      </c>
      <c r="P139" s="25">
        <v>1869</v>
      </c>
      <c r="Q139" s="26">
        <v>5464</v>
      </c>
      <c r="R139" s="26">
        <v>1843</v>
      </c>
      <c r="S139" s="25">
        <v>3880</v>
      </c>
      <c r="T139" s="25">
        <v>2596</v>
      </c>
      <c r="U139" s="25">
        <v>5651</v>
      </c>
      <c r="V139" s="25">
        <v>1427</v>
      </c>
      <c r="W139" s="25">
        <v>3151</v>
      </c>
      <c r="X139" s="23">
        <v>5.5683210784313708E-2</v>
      </c>
      <c r="Y139" s="8">
        <v>1.356743814844363E-2</v>
      </c>
      <c r="Z139" s="8">
        <v>-2.9778095919828159E-2</v>
      </c>
      <c r="AA139" s="8">
        <v>-5.3784860557768877E-2</v>
      </c>
    </row>
    <row r="140" spans="2:27">
      <c r="B140" s="12">
        <v>2810</v>
      </c>
      <c r="C140" s="3" t="s">
        <v>449</v>
      </c>
      <c r="D140" s="3" t="str">
        <f>VLOOKUP(B140,기업리스트!B:G,2,FALSE)</f>
        <v>House Foods Group Inc.</v>
      </c>
      <c r="E140" s="3" t="s">
        <v>393</v>
      </c>
      <c r="F140" s="5">
        <v>-6.8</v>
      </c>
      <c r="G140" s="25">
        <v>3341</v>
      </c>
      <c r="H140" s="25">
        <v>7855</v>
      </c>
      <c r="I140" s="25">
        <v>2341</v>
      </c>
      <c r="J140" s="25">
        <v>4971</v>
      </c>
      <c r="K140" s="25">
        <v>2661</v>
      </c>
      <c r="L140" s="25">
        <v>6692</v>
      </c>
      <c r="M140" s="25">
        <v>2306</v>
      </c>
      <c r="N140" s="25">
        <v>4913</v>
      </c>
      <c r="O140" s="25">
        <v>3154</v>
      </c>
      <c r="P140" s="26">
        <v>8603</v>
      </c>
      <c r="Q140" s="25">
        <v>2800</v>
      </c>
      <c r="R140" s="25">
        <v>5408</v>
      </c>
      <c r="S140" s="25">
        <v>3862</v>
      </c>
      <c r="T140" s="25">
        <v>8265</v>
      </c>
      <c r="U140" s="25">
        <v>2809</v>
      </c>
      <c r="V140" s="25">
        <v>3250</v>
      </c>
      <c r="W140" s="25">
        <v>2618</v>
      </c>
      <c r="X140" s="7">
        <v>-1.6349828278430789E-2</v>
      </c>
      <c r="Y140" s="8">
        <v>4.4258667322361061E-4</v>
      </c>
      <c r="Z140" s="8">
        <v>-0.10607550137632719</v>
      </c>
      <c r="AA140" s="8">
        <v>-6.8404267018585707E-2</v>
      </c>
    </row>
    <row r="141" spans="2:27">
      <c r="B141" s="12">
        <v>6632</v>
      </c>
      <c r="C141" s="3" t="s">
        <v>449</v>
      </c>
      <c r="D141" s="3" t="str">
        <f>VLOOKUP(B141,기업리스트!B:G,2,FALSE)</f>
        <v>JVCKENWOOD Corporation</v>
      </c>
      <c r="E141" s="3" t="s">
        <v>393</v>
      </c>
      <c r="F141" s="5">
        <v>-7.8</v>
      </c>
      <c r="G141" s="25">
        <v>-598</v>
      </c>
      <c r="H141" s="25">
        <v>1608</v>
      </c>
      <c r="I141" s="25">
        <v>3444</v>
      </c>
      <c r="J141" s="25">
        <v>852</v>
      </c>
      <c r="K141" s="26">
        <v>5377</v>
      </c>
      <c r="L141" s="26">
        <v>13908</v>
      </c>
      <c r="M141" s="25">
        <v>-4141</v>
      </c>
      <c r="N141" s="26">
        <v>5059</v>
      </c>
      <c r="O141" s="25">
        <v>4878</v>
      </c>
      <c r="P141" s="25">
        <v>5106</v>
      </c>
      <c r="Q141" s="26">
        <v>4747</v>
      </c>
      <c r="R141" s="25">
        <v>6121</v>
      </c>
      <c r="S141" s="26">
        <v>7184</v>
      </c>
      <c r="T141" s="25">
        <v>3531</v>
      </c>
      <c r="U141" s="26">
        <v>7548</v>
      </c>
      <c r="V141" s="25">
        <v>4283</v>
      </c>
      <c r="W141" s="25">
        <v>5419</v>
      </c>
      <c r="X141" s="7">
        <v>-6.8011054495206835E-2</v>
      </c>
      <c r="Y141" s="9">
        <v>0.12977806607051859</v>
      </c>
      <c r="Z141" s="8">
        <v>-7.5377296587926468E-2</v>
      </c>
      <c r="AA141" s="8">
        <v>-7.8284396345249752E-2</v>
      </c>
    </row>
    <row r="142" spans="2:27">
      <c r="B142" s="12">
        <v>9107</v>
      </c>
      <c r="C142" s="3" t="s">
        <v>449</v>
      </c>
      <c r="D142" s="3" t="str">
        <f>VLOOKUP(B142,기업리스트!B:G,2,FALSE)</f>
        <v>Kawasaki Kisen Kaisha, Ltd.</v>
      </c>
      <c r="E142" s="3" t="s">
        <v>393</v>
      </c>
      <c r="F142" s="5">
        <v>-7.9</v>
      </c>
      <c r="G142" s="25">
        <v>7781</v>
      </c>
      <c r="H142" s="25">
        <v>13122</v>
      </c>
      <c r="I142" s="25">
        <v>-5640</v>
      </c>
      <c r="J142" s="25">
        <v>18879</v>
      </c>
      <c r="K142" s="26">
        <v>34120</v>
      </c>
      <c r="L142" s="26">
        <v>27595</v>
      </c>
      <c r="M142" s="25">
        <v>-1735</v>
      </c>
      <c r="N142" s="25">
        <v>19638</v>
      </c>
      <c r="O142" s="25">
        <v>25019</v>
      </c>
      <c r="P142" s="25">
        <v>25497</v>
      </c>
      <c r="Q142" s="26">
        <v>14610</v>
      </c>
      <c r="R142" s="26">
        <v>30718</v>
      </c>
      <c r="S142" s="25">
        <v>30423</v>
      </c>
      <c r="T142" s="25">
        <v>31105</v>
      </c>
      <c r="U142" s="25">
        <v>10609</v>
      </c>
      <c r="V142" s="25">
        <v>19843</v>
      </c>
      <c r="W142" s="25">
        <v>23113</v>
      </c>
      <c r="X142" s="7">
        <v>5.5388748419721967E-2</v>
      </c>
      <c r="Y142" s="8">
        <v>-3.7442913827955393E-2</v>
      </c>
      <c r="Z142" s="8">
        <v>-0.1057313694035292</v>
      </c>
      <c r="AA142" s="8">
        <v>-7.9473798651880867E-2</v>
      </c>
    </row>
    <row r="143" spans="2:27">
      <c r="B143" s="29" t="s">
        <v>480</v>
      </c>
      <c r="C143" s="30" t="s">
        <v>451</v>
      </c>
      <c r="D143" s="30" t="str">
        <f>VLOOKUP(B143,기업리스트!B:G,2,FALSE)</f>
        <v>Nazara Technologies Limited</v>
      </c>
      <c r="E143" s="3" t="s">
        <v>393</v>
      </c>
      <c r="F143" s="33">
        <v>45.8</v>
      </c>
      <c r="G143" s="44">
        <v>99</v>
      </c>
      <c r="H143" s="44">
        <v>168</v>
      </c>
      <c r="I143" s="44">
        <v>80</v>
      </c>
      <c r="J143" s="44">
        <v>165</v>
      </c>
      <c r="K143" s="44">
        <v>110</v>
      </c>
      <c r="L143" s="44">
        <v>180</v>
      </c>
      <c r="M143" s="44">
        <v>77.2</v>
      </c>
      <c r="N143" s="44">
        <v>178.8</v>
      </c>
      <c r="O143" s="44">
        <v>128</v>
      </c>
      <c r="P143" s="44">
        <v>225</v>
      </c>
      <c r="Q143" s="44">
        <v>116.8</v>
      </c>
      <c r="R143" s="44">
        <v>97.2</v>
      </c>
      <c r="S143" s="44">
        <v>-5.8</v>
      </c>
      <c r="T143" s="44">
        <v>218.3</v>
      </c>
      <c r="U143" s="44">
        <v>-3.3</v>
      </c>
      <c r="V143" s="44">
        <v>-170.8</v>
      </c>
      <c r="W143" s="45">
        <v>11.8</v>
      </c>
      <c r="X143" s="36">
        <v>-1.546629732225302E-2</v>
      </c>
      <c r="Y143" s="37">
        <v>-0.2815943728018756</v>
      </c>
      <c r="Z143" s="37">
        <v>-0.87467362924281988</v>
      </c>
      <c r="AA143" s="38">
        <v>0.45833333333333348</v>
      </c>
    </row>
    <row r="144" spans="2:27">
      <c r="B144" s="12" t="s">
        <v>481</v>
      </c>
      <c r="C144" s="3" t="s">
        <v>451</v>
      </c>
      <c r="D144" s="3" t="str">
        <f>VLOOKUP(B144,기업리스트!B:G,2,FALSE)</f>
        <v>Solar Industries India Limited</v>
      </c>
      <c r="E144" s="3" t="s">
        <v>401</v>
      </c>
      <c r="F144" s="5">
        <v>8.6999999999999993</v>
      </c>
      <c r="G144" s="25">
        <v>1508</v>
      </c>
      <c r="H144" s="25">
        <v>2839</v>
      </c>
      <c r="I144" s="25">
        <v>2524</v>
      </c>
      <c r="J144" s="25">
        <v>2686</v>
      </c>
      <c r="K144" s="26">
        <v>3175</v>
      </c>
      <c r="L144" s="26">
        <v>4277</v>
      </c>
      <c r="M144" s="25">
        <v>2890</v>
      </c>
      <c r="N144" s="25">
        <v>3025</v>
      </c>
      <c r="O144" s="25">
        <v>3176</v>
      </c>
      <c r="P144" s="25">
        <v>5135</v>
      </c>
      <c r="Q144" s="25">
        <v>4094</v>
      </c>
      <c r="R144" s="25">
        <v>4012</v>
      </c>
      <c r="S144" s="25">
        <v>4791</v>
      </c>
      <c r="T144" s="25">
        <v>4720</v>
      </c>
      <c r="U144" s="25">
        <v>4789</v>
      </c>
      <c r="V144" s="25">
        <v>4922</v>
      </c>
      <c r="W144" s="25">
        <v>6454</v>
      </c>
      <c r="X144" s="7">
        <v>-2.301464063886427E-2</v>
      </c>
      <c r="Y144" s="8">
        <v>3.9450530737356049E-2</v>
      </c>
      <c r="Z144" s="8">
        <v>4.9694189602446537E-2</v>
      </c>
      <c r="AA144" s="8">
        <v>8.6515451045676928E-2</v>
      </c>
    </row>
    <row r="145" spans="2:27">
      <c r="B145" s="12" t="s">
        <v>145</v>
      </c>
      <c r="C145" s="3" t="s">
        <v>451</v>
      </c>
      <c r="D145" s="3" t="str">
        <f>VLOOKUP(B145,기업리스트!B:G,2,FALSE)</f>
        <v>Aditya Birla Capital Limited</v>
      </c>
      <c r="E145" s="3" t="s">
        <v>401</v>
      </c>
      <c r="F145" s="5">
        <v>7.6</v>
      </c>
      <c r="G145" s="25">
        <v>6591</v>
      </c>
      <c r="H145" s="25">
        <v>5287</v>
      </c>
      <c r="I145" s="25">
        <v>5619</v>
      </c>
      <c r="J145" s="25">
        <v>5933</v>
      </c>
      <c r="K145" s="26">
        <v>34391</v>
      </c>
      <c r="L145" s="25">
        <v>7682</v>
      </c>
      <c r="M145" s="25">
        <v>8479</v>
      </c>
      <c r="N145" s="25">
        <v>9568</v>
      </c>
      <c r="O145" s="25">
        <v>9958</v>
      </c>
      <c r="P145" s="26">
        <v>14470</v>
      </c>
      <c r="Q145" s="25">
        <v>9635</v>
      </c>
      <c r="R145" s="25">
        <v>13284</v>
      </c>
      <c r="S145" s="25">
        <v>9675</v>
      </c>
      <c r="T145" s="25">
        <v>11665</v>
      </c>
      <c r="U145" s="25">
        <v>10710</v>
      </c>
      <c r="V145" s="25">
        <v>11344</v>
      </c>
      <c r="W145" s="25">
        <v>12994</v>
      </c>
      <c r="X145" s="7">
        <v>-5.9599694033656281E-2</v>
      </c>
      <c r="Y145" s="8">
        <v>2.4288845206624551E-2</v>
      </c>
      <c r="Z145" s="8">
        <v>-4.2793488331054008E-2</v>
      </c>
      <c r="AA145" s="8">
        <v>7.6485228372586089E-2</v>
      </c>
    </row>
    <row r="146" spans="2:27">
      <c r="B146" s="12" t="s">
        <v>291</v>
      </c>
      <c r="C146" s="3" t="s">
        <v>451</v>
      </c>
      <c r="D146" s="3" t="str">
        <f>VLOOKUP(B146,기업리스트!B:G,2,FALSE)</f>
        <v>Reliance Power Limited</v>
      </c>
      <c r="E146" s="3" t="s">
        <v>401</v>
      </c>
      <c r="F146" s="5">
        <v>6.2</v>
      </c>
      <c r="G146" s="25">
        <v>5594</v>
      </c>
      <c r="H146" s="25">
        <v>-550.9</v>
      </c>
      <c r="I146" s="25">
        <v>5551</v>
      </c>
      <c r="J146" s="25">
        <v>3126</v>
      </c>
      <c r="K146" s="25">
        <v>4093</v>
      </c>
      <c r="L146" s="25">
        <v>-4165</v>
      </c>
      <c r="M146" s="25">
        <v>3594</v>
      </c>
      <c r="N146" s="26">
        <v>4693</v>
      </c>
      <c r="O146" s="25">
        <v>-6258</v>
      </c>
      <c r="P146" s="25">
        <v>-896.8</v>
      </c>
      <c r="Q146" s="26">
        <v>4004</v>
      </c>
      <c r="R146" s="25">
        <v>1324</v>
      </c>
      <c r="S146" s="25">
        <v>2874</v>
      </c>
      <c r="T146" s="26">
        <v>6794</v>
      </c>
      <c r="U146" s="25">
        <v>3584</v>
      </c>
      <c r="V146" s="26">
        <v>4102</v>
      </c>
      <c r="W146" s="25">
        <v>3945</v>
      </c>
      <c r="X146" s="10">
        <v>1.05278431802004</v>
      </c>
      <c r="Y146" s="8">
        <v>-2.8007468658308832E-2</v>
      </c>
      <c r="Z146" s="9">
        <v>0.1905872667398463</v>
      </c>
      <c r="AA146" s="8">
        <v>6.1714878414198537E-2</v>
      </c>
    </row>
    <row r="147" spans="2:27">
      <c r="B147" s="12" t="s">
        <v>62</v>
      </c>
      <c r="C147" s="3" t="s">
        <v>451</v>
      </c>
      <c r="D147" s="3" t="str">
        <f>VLOOKUP(B147,기업리스트!B:G,2,FALSE)</f>
        <v>Adani Ports and Special Economic Zone Limited</v>
      </c>
      <c r="E147" s="3" t="s">
        <v>401</v>
      </c>
      <c r="F147" s="5">
        <v>4.4000000000000004</v>
      </c>
      <c r="G147" s="25">
        <v>17375</v>
      </c>
      <c r="H147" s="25">
        <v>20989</v>
      </c>
      <c r="I147" s="25">
        <v>22817</v>
      </c>
      <c r="J147" s="25">
        <v>24060</v>
      </c>
      <c r="K147" s="25">
        <v>21277</v>
      </c>
      <c r="L147" s="25">
        <v>24814</v>
      </c>
      <c r="M147" s="25">
        <v>28041</v>
      </c>
      <c r="N147" s="25">
        <v>29060</v>
      </c>
      <c r="O147" s="26">
        <v>32006</v>
      </c>
      <c r="P147" s="25">
        <v>31175</v>
      </c>
      <c r="Q147" s="25">
        <v>32326</v>
      </c>
      <c r="R147" s="25">
        <v>32923</v>
      </c>
      <c r="S147" s="25">
        <v>36963</v>
      </c>
      <c r="T147" s="25">
        <v>38227</v>
      </c>
      <c r="U147" s="25">
        <v>42404</v>
      </c>
      <c r="V147" s="25">
        <v>42868</v>
      </c>
      <c r="W147" s="25">
        <v>44017</v>
      </c>
      <c r="X147" s="7">
        <v>5.2868720340063069E-2</v>
      </c>
      <c r="Y147" s="8">
        <v>7.1760693254722785E-2</v>
      </c>
      <c r="Z147" s="8">
        <v>6.6072270906276431E-2</v>
      </c>
      <c r="AA147" s="8">
        <v>4.3960563871820117E-2</v>
      </c>
    </row>
    <row r="148" spans="2:27">
      <c r="B148" s="12" t="s">
        <v>100</v>
      </c>
      <c r="C148" s="3" t="s">
        <v>451</v>
      </c>
      <c r="D148" s="3" t="str">
        <f>VLOOKUP(B148,기업리스트!B:G,2,FALSE)</f>
        <v>Pidilite Industries Limited</v>
      </c>
      <c r="E148" s="3" t="s">
        <v>393</v>
      </c>
      <c r="F148" s="5">
        <v>2.5</v>
      </c>
      <c r="G148" s="25">
        <v>4893</v>
      </c>
      <c r="H148" s="25">
        <v>4886</v>
      </c>
      <c r="I148" s="25">
        <v>3698</v>
      </c>
      <c r="J148" s="25">
        <v>4682</v>
      </c>
      <c r="K148" s="25">
        <v>4362</v>
      </c>
      <c r="L148" s="25">
        <v>4272</v>
      </c>
      <c r="M148" s="25">
        <v>4190</v>
      </c>
      <c r="N148" s="25">
        <v>6335</v>
      </c>
      <c r="O148" s="25">
        <v>6045</v>
      </c>
      <c r="P148" s="26">
        <v>6630</v>
      </c>
      <c r="Q148" s="25">
        <v>4974</v>
      </c>
      <c r="R148" s="25">
        <v>7283</v>
      </c>
      <c r="S148" s="25">
        <v>6809</v>
      </c>
      <c r="T148" s="25">
        <v>7089</v>
      </c>
      <c r="U148" s="25">
        <v>5539</v>
      </c>
      <c r="V148" s="25">
        <v>8443</v>
      </c>
      <c r="W148" s="25">
        <v>7508</v>
      </c>
      <c r="X148" s="7">
        <v>1.7862702366127081E-2</v>
      </c>
      <c r="Y148" s="8">
        <v>2.1601988147581741E-2</v>
      </c>
      <c r="Z148" s="8">
        <v>4.3413173652694592E-2</v>
      </c>
      <c r="AA148" s="8">
        <v>2.507173601147783E-2</v>
      </c>
    </row>
    <row r="149" spans="2:27">
      <c r="B149" s="12" t="s">
        <v>346</v>
      </c>
      <c r="C149" s="3" t="s">
        <v>451</v>
      </c>
      <c r="D149" s="3" t="str">
        <f>VLOOKUP(B149,기업리스트!B:G,2,FALSE)</f>
        <v>Pilani Investment and Industries Corporation Limited</v>
      </c>
      <c r="E149" s="3" t="s">
        <v>393</v>
      </c>
      <c r="F149" s="5">
        <v>0.7</v>
      </c>
      <c r="G149" s="25">
        <v>968.72</v>
      </c>
      <c r="H149" s="25">
        <v>506.35</v>
      </c>
      <c r="I149" s="25">
        <v>493.08</v>
      </c>
      <c r="J149" s="25">
        <v>580.52</v>
      </c>
      <c r="K149" s="25">
        <v>1112</v>
      </c>
      <c r="L149" s="25">
        <v>511</v>
      </c>
      <c r="M149" s="25">
        <v>522.03</v>
      </c>
      <c r="N149" s="25">
        <v>527.46</v>
      </c>
      <c r="O149" s="25">
        <v>1042</v>
      </c>
      <c r="P149" s="25">
        <v>568.23</v>
      </c>
      <c r="Q149" s="25">
        <v>621.28</v>
      </c>
      <c r="R149" s="25">
        <v>599.96</v>
      </c>
      <c r="S149" s="25">
        <v>1224</v>
      </c>
      <c r="T149" s="25">
        <v>570.91999999999996</v>
      </c>
      <c r="U149" s="25">
        <v>533.51</v>
      </c>
      <c r="V149" s="25">
        <v>460.44</v>
      </c>
      <c r="W149" s="25">
        <v>1243</v>
      </c>
      <c r="X149" s="7">
        <v>8.9265862942045082E-4</v>
      </c>
      <c r="Y149" s="8">
        <v>-2.9099915123866119E-2</v>
      </c>
      <c r="Z149" s="8">
        <v>-4.7643927209149013E-2</v>
      </c>
      <c r="AA149" s="8">
        <v>6.8127951464214132E-3</v>
      </c>
    </row>
    <row r="150" spans="2:27">
      <c r="B150" s="12" t="s">
        <v>39</v>
      </c>
      <c r="C150" s="3" t="s">
        <v>451</v>
      </c>
      <c r="D150" s="3" t="str">
        <f>VLOOKUP(B150,기업리스트!B:G,2,FALSE)</f>
        <v>Bajaj Finance Limited</v>
      </c>
      <c r="E150" s="3" t="s">
        <v>401</v>
      </c>
      <c r="F150" s="5">
        <v>-0.3</v>
      </c>
      <c r="G150" s="25">
        <v>28680</v>
      </c>
      <c r="H150" s="25">
        <v>32902</v>
      </c>
      <c r="I150" s="25">
        <v>35028</v>
      </c>
      <c r="J150" s="25">
        <v>37523</v>
      </c>
      <c r="K150" s="25">
        <v>40116</v>
      </c>
      <c r="L150" s="25">
        <v>42595</v>
      </c>
      <c r="M150" s="25">
        <v>45484</v>
      </c>
      <c r="N150" s="25">
        <v>47576</v>
      </c>
      <c r="O150" s="25">
        <v>48939</v>
      </c>
      <c r="P150" s="25">
        <v>51146</v>
      </c>
      <c r="Q150" s="25">
        <v>52628</v>
      </c>
      <c r="R150" s="25">
        <v>53980</v>
      </c>
      <c r="S150" s="25">
        <v>57624</v>
      </c>
      <c r="T150" s="25">
        <v>56481</v>
      </c>
      <c r="U150" s="25">
        <v>63668</v>
      </c>
      <c r="V150" s="25">
        <v>66048</v>
      </c>
      <c r="W150" s="25">
        <v>56941</v>
      </c>
      <c r="X150" s="7">
        <v>2.4770403662398129E-2</v>
      </c>
      <c r="Y150" s="8">
        <v>5.0019708852672817E-2</v>
      </c>
      <c r="Z150" s="8">
        <v>5.2072680828295637E-2</v>
      </c>
      <c r="AA150" s="8">
        <v>-2.8012353324775589E-3</v>
      </c>
    </row>
    <row r="151" spans="2:27">
      <c r="B151" s="12" t="s">
        <v>337</v>
      </c>
      <c r="C151" s="3" t="s">
        <v>451</v>
      </c>
      <c r="D151" s="3" t="str">
        <f>VLOOKUP(B151,기업리스트!B:G,2,FALSE)</f>
        <v>Mrs. Bectors Food Specialities Limited</v>
      </c>
      <c r="E151" s="3" t="s">
        <v>393</v>
      </c>
      <c r="F151" s="5">
        <v>-3.3</v>
      </c>
      <c r="G151" s="25">
        <v>237.7</v>
      </c>
      <c r="H151" s="25">
        <v>212.26</v>
      </c>
      <c r="I151" s="25">
        <v>134.57</v>
      </c>
      <c r="J151" s="25">
        <v>186.97</v>
      </c>
      <c r="K151" s="25">
        <v>309.14</v>
      </c>
      <c r="L151" s="26">
        <v>374.95</v>
      </c>
      <c r="M151" s="26">
        <v>348.21</v>
      </c>
      <c r="N151" s="26">
        <v>440.54</v>
      </c>
      <c r="O151" s="26">
        <v>496.63</v>
      </c>
      <c r="P151" s="25">
        <v>450.4</v>
      </c>
      <c r="Q151" s="25">
        <v>421.78</v>
      </c>
      <c r="R151" s="25">
        <v>466.75</v>
      </c>
      <c r="S151" s="25">
        <v>511.16</v>
      </c>
      <c r="T151" s="25">
        <v>420.15</v>
      </c>
      <c r="U151" s="25">
        <v>357.04</v>
      </c>
      <c r="V151" s="25">
        <v>369.47</v>
      </c>
      <c r="W151" s="25">
        <v>455.93</v>
      </c>
      <c r="X151" s="7">
        <v>-1.6350555918901222E-2</v>
      </c>
      <c r="Y151" s="8">
        <v>-3.5574556004923541E-2</v>
      </c>
      <c r="Z151" s="8">
        <v>-5.5427041194233813E-2</v>
      </c>
      <c r="AA151" s="8">
        <v>-3.3314835144949373E-2</v>
      </c>
    </row>
    <row r="152" spans="2:27">
      <c r="B152" s="12" t="s">
        <v>353</v>
      </c>
      <c r="C152" s="3" t="s">
        <v>451</v>
      </c>
      <c r="D152" s="3" t="str">
        <f>VLOOKUP(B152,기업리스트!B:G,2,FALSE)</f>
        <v>CMS Info Systems Limited</v>
      </c>
      <c r="E152" s="3" t="s">
        <v>393</v>
      </c>
      <c r="F152" s="5">
        <v>-5.3</v>
      </c>
      <c r="G152" s="25">
        <v>716.82</v>
      </c>
      <c r="H152" s="25">
        <v>826.72</v>
      </c>
      <c r="I152" s="25">
        <v>885.74</v>
      </c>
      <c r="J152" s="25">
        <v>942.13</v>
      </c>
      <c r="K152" s="25">
        <v>1000</v>
      </c>
      <c r="L152" s="25">
        <v>1031</v>
      </c>
      <c r="M152" s="25">
        <v>1099</v>
      </c>
      <c r="N152" s="25">
        <v>1112</v>
      </c>
      <c r="O152" s="25">
        <v>1093</v>
      </c>
      <c r="P152" s="25">
        <v>1131</v>
      </c>
      <c r="Q152" s="25">
        <v>1157</v>
      </c>
      <c r="R152" s="25">
        <v>1135</v>
      </c>
      <c r="S152" s="25">
        <v>1140</v>
      </c>
      <c r="T152" s="25">
        <v>1184</v>
      </c>
      <c r="U152" s="25">
        <v>1194</v>
      </c>
      <c r="V152" s="25">
        <v>1134</v>
      </c>
      <c r="W152" s="25">
        <v>892.3</v>
      </c>
      <c r="X152" s="7">
        <v>1.161516546131924E-2</v>
      </c>
      <c r="Y152" s="8">
        <v>8.0155979202773953E-3</v>
      </c>
      <c r="Z152" s="8">
        <v>-2.1491510853210991E-4</v>
      </c>
      <c r="AA152" s="8">
        <v>-5.3245915735167682E-2</v>
      </c>
    </row>
    <row r="153" spans="2:27">
      <c r="B153" s="12" t="s">
        <v>355</v>
      </c>
      <c r="C153" s="3" t="s">
        <v>451</v>
      </c>
      <c r="D153" s="3" t="str">
        <f>VLOOKUP(B153,기업리스트!B:G,2,FALSE)</f>
        <v>H.G. Infra Engineering Limited</v>
      </c>
      <c r="E153" s="3" t="s">
        <v>393</v>
      </c>
      <c r="F153" s="5">
        <v>-9.4</v>
      </c>
      <c r="G153" s="25">
        <v>1789</v>
      </c>
      <c r="H153" s="25">
        <v>1370</v>
      </c>
      <c r="I153" s="25">
        <v>2123</v>
      </c>
      <c r="J153" s="25">
        <v>2746</v>
      </c>
      <c r="K153" s="25">
        <v>2497</v>
      </c>
      <c r="L153" s="25">
        <v>1848</v>
      </c>
      <c r="M153" s="25">
        <v>1916</v>
      </c>
      <c r="N153" s="25">
        <v>3000</v>
      </c>
      <c r="O153" s="25">
        <v>3000</v>
      </c>
      <c r="P153" s="25">
        <v>2775</v>
      </c>
      <c r="Q153" s="25">
        <v>2775</v>
      </c>
      <c r="R153" s="25">
        <v>1836</v>
      </c>
      <c r="S153" s="25">
        <v>2507</v>
      </c>
      <c r="T153" s="25">
        <v>2044</v>
      </c>
      <c r="U153" s="25">
        <v>2044</v>
      </c>
      <c r="V153" s="25">
        <v>2350</v>
      </c>
      <c r="W153" s="25">
        <v>1662</v>
      </c>
      <c r="X153" s="7">
        <v>-7.389062973819871E-2</v>
      </c>
      <c r="Y153" s="8">
        <v>-7.9786072909844963E-2</v>
      </c>
      <c r="Z153" s="8">
        <v>6.0965484521409152E-2</v>
      </c>
      <c r="AA153" s="8">
        <v>-9.4466182224706485E-2</v>
      </c>
    </row>
  </sheetData>
  <autoFilter ref="B2:AA153" xr:uid="{00000000-0009-0000-0000-000002000000}">
    <filterColumn colId="3">
      <filters>
        <filter val="Dec'25"/>
        <filter val="Jun'26"/>
        <filter val="Mar'26"/>
        <filter val="Sep'26"/>
      </filters>
    </filterColumn>
    <sortState xmlns:xlrd2="http://schemas.microsoft.com/office/spreadsheetml/2017/richdata2" ref="B3:AA153">
      <sortCondition descending="1" ref="C2:C153"/>
    </sortState>
  </autoFilter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A18"/>
  <sheetViews>
    <sheetView tabSelected="1" workbookViewId="0">
      <selection activeCell="M23" sqref="M23"/>
    </sheetView>
  </sheetViews>
  <sheetFormatPr defaultRowHeight="16.5"/>
  <cols>
    <col min="1" max="1" width="3" customWidth="1"/>
    <col min="2" max="2" width="18" customWidth="1"/>
    <col min="3" max="7" width="8.5" hidden="1" customWidth="1"/>
    <col min="8" max="9" width="8.5" customWidth="1"/>
    <col min="10" max="10" width="9" customWidth="1"/>
    <col min="11" max="11" width="8.75" customWidth="1"/>
    <col min="12" max="19" width="8.5" customWidth="1"/>
  </cols>
  <sheetData>
    <row r="2" spans="2:27">
      <c r="B2" s="50" t="s">
        <v>483</v>
      </c>
      <c r="Y2" s="54"/>
      <c r="Z2" s="54"/>
      <c r="AA2" s="54"/>
    </row>
    <row r="3" spans="2:27">
      <c r="Y3" s="31"/>
      <c r="Z3" s="31"/>
      <c r="AA3" s="31"/>
    </row>
    <row r="4" spans="2:27">
      <c r="B4" s="12" t="s">
        <v>480</v>
      </c>
      <c r="C4" s="11">
        <v>6</v>
      </c>
      <c r="D4" s="11">
        <v>7</v>
      </c>
      <c r="E4" s="11">
        <v>8</v>
      </c>
      <c r="F4" s="11">
        <v>9</v>
      </c>
      <c r="G4" s="11">
        <v>10</v>
      </c>
      <c r="H4" s="11">
        <v>11</v>
      </c>
      <c r="I4" s="11">
        <v>12</v>
      </c>
      <c r="J4" s="11">
        <v>13</v>
      </c>
      <c r="K4" s="11">
        <v>14</v>
      </c>
      <c r="L4" s="11">
        <v>15</v>
      </c>
      <c r="M4" s="11">
        <v>16</v>
      </c>
      <c r="N4" s="11">
        <v>17</v>
      </c>
      <c r="O4" s="11">
        <v>18</v>
      </c>
      <c r="P4" s="11">
        <v>19</v>
      </c>
      <c r="Q4" s="11">
        <v>20</v>
      </c>
      <c r="R4" s="11">
        <v>21</v>
      </c>
      <c r="S4" s="11">
        <v>22</v>
      </c>
      <c r="Y4" s="31"/>
      <c r="Z4" s="31"/>
      <c r="AA4" s="55"/>
    </row>
    <row r="5" spans="2:27" s="14" customFormat="1" ht="18" customHeight="1">
      <c r="Y5" s="31"/>
      <c r="Z5" s="31"/>
      <c r="AA5" s="54"/>
    </row>
    <row r="6" spans="2:27" ht="18" customHeight="1">
      <c r="B6" s="18"/>
      <c r="C6" s="15" t="s">
        <v>374</v>
      </c>
      <c r="D6" s="15" t="s">
        <v>375</v>
      </c>
      <c r="E6" s="15" t="s">
        <v>376</v>
      </c>
      <c r="F6" s="15" t="s">
        <v>377</v>
      </c>
      <c r="G6" s="15" t="s">
        <v>378</v>
      </c>
      <c r="H6" s="15" t="s">
        <v>379</v>
      </c>
      <c r="I6" s="15" t="s">
        <v>380</v>
      </c>
      <c r="J6" s="15" t="s">
        <v>381</v>
      </c>
      <c r="K6" s="15" t="s">
        <v>382</v>
      </c>
      <c r="L6" s="15" t="s">
        <v>383</v>
      </c>
      <c r="M6" s="15" t="s">
        <v>384</v>
      </c>
      <c r="N6" s="15" t="s">
        <v>385</v>
      </c>
      <c r="O6" s="15" t="s">
        <v>386</v>
      </c>
      <c r="P6" s="15" t="s">
        <v>387</v>
      </c>
      <c r="Q6" s="15" t="s">
        <v>388</v>
      </c>
      <c r="R6" s="15" t="s">
        <v>389</v>
      </c>
      <c r="S6" s="16" t="s">
        <v>390</v>
      </c>
      <c r="T6" s="15" t="s">
        <v>475</v>
      </c>
      <c r="U6" s="15" t="s">
        <v>476</v>
      </c>
      <c r="V6" s="15" t="s">
        <v>477</v>
      </c>
      <c r="W6" s="15" t="s">
        <v>478</v>
      </c>
      <c r="Y6" s="31"/>
      <c r="Z6" s="31"/>
      <c r="AA6" s="54"/>
    </row>
    <row r="7" spans="2:27">
      <c r="B7" s="19" t="s">
        <v>467</v>
      </c>
      <c r="C7" s="51">
        <f>IFERROR(VLOOKUP($B$4,Revenue!$B$2:$X$500,C$4,FALSE),"-")</f>
        <v>1296</v>
      </c>
      <c r="D7" s="51">
        <f>IFERROR(VLOOKUP($B$4,Revenue!$B$2:$X$500,D$4,FALSE),"-")</f>
        <v>1858</v>
      </c>
      <c r="E7" s="51">
        <f>IFERROR(VLOOKUP($B$4,Revenue!$B$2:$X$500,E$4,FALSE),"-")</f>
        <v>1775</v>
      </c>
      <c r="F7" s="51">
        <f>IFERROR(VLOOKUP($B$4,Revenue!$B$2:$X$500,F$4,FALSE),"-")</f>
        <v>2231</v>
      </c>
      <c r="G7" s="51">
        <f>IFERROR(VLOOKUP($B$4,Revenue!$B$2:$X$500,G$4,FALSE),"-")</f>
        <v>2638</v>
      </c>
      <c r="H7" s="51">
        <f>IFERROR(VLOOKUP($B$4,Revenue!$B$2:$X$500,H$4,FALSE),"-")</f>
        <v>3148</v>
      </c>
      <c r="I7" s="51">
        <f>IFERROR(VLOOKUP($B$4,Revenue!$B$2:$X$500,I$4,FALSE),"-")</f>
        <v>2894</v>
      </c>
      <c r="J7" s="51">
        <f>IFERROR(VLOOKUP($B$4,Revenue!$B$2:$X$500,J$4,FALSE),"-")</f>
        <v>2544</v>
      </c>
      <c r="K7" s="51">
        <f>IFERROR(VLOOKUP($B$4,Revenue!$B$2:$X$500,K$4,FALSE),"-")</f>
        <v>2972</v>
      </c>
      <c r="L7" s="51">
        <f>IFERROR(VLOOKUP($B$4,Revenue!$B$2:$X$500,L$4,FALSE),"-")</f>
        <v>3204</v>
      </c>
      <c r="M7" s="51">
        <f>IFERROR(VLOOKUP($B$4,Revenue!$B$2:$X$500,M$4,FALSE),"-")</f>
        <v>2662</v>
      </c>
      <c r="N7" s="51">
        <f>IFERROR(VLOOKUP($B$4,Revenue!$B$2:$X$500,N$4,FALSE),"-")</f>
        <v>2501</v>
      </c>
      <c r="O7" s="51">
        <f>IFERROR(VLOOKUP($B$4,Revenue!$B$2:$X$500,O$4,FALSE),"-")</f>
        <v>3189</v>
      </c>
      <c r="P7" s="51">
        <f>IFERROR(VLOOKUP($B$4,Revenue!$B$2:$X$500,P$4,FALSE),"-")</f>
        <v>5347</v>
      </c>
      <c r="Q7" s="51">
        <f>IFERROR(VLOOKUP($B$4,Revenue!$B$2:$X$500,Q$4,FALSE),"-")</f>
        <v>5204</v>
      </c>
      <c r="R7" s="51">
        <f>IFERROR(VLOOKUP($B$4,Revenue!$B$2:$X$500,R$4,FALSE),"-")</f>
        <v>4988</v>
      </c>
      <c r="S7" s="52">
        <f>IFERROR(VLOOKUP($B$4,Revenue!$B$2:$X$500,S$4,FALSE),"-")</f>
        <v>5265</v>
      </c>
      <c r="T7" s="53"/>
      <c r="Y7" s="31"/>
      <c r="Z7" s="31"/>
      <c r="AA7" s="54"/>
    </row>
    <row r="8" spans="2:27">
      <c r="B8" s="19" t="s">
        <v>468</v>
      </c>
      <c r="C8" s="51">
        <f>IFERROR(VLOOKUP($B$4,'Operating Income'!$B$2:$X$500,C$4,FALSE),"-")</f>
        <v>99</v>
      </c>
      <c r="D8" s="51">
        <f>IFERROR(VLOOKUP($B$4,'Operating Income'!$B$2:$X$500,D$4,FALSE),"-")</f>
        <v>168</v>
      </c>
      <c r="E8" s="51">
        <f>IFERROR(VLOOKUP($B$4,'Operating Income'!$B$2:$X$500,E$4,FALSE),"-")</f>
        <v>80</v>
      </c>
      <c r="F8" s="51">
        <f>IFERROR(VLOOKUP($B$4,'Operating Income'!$B$2:$X$500,F$4,FALSE),"-")</f>
        <v>165</v>
      </c>
      <c r="G8" s="51">
        <f>IFERROR(VLOOKUP($B$4,'Operating Income'!$B$2:$X$500,G$4,FALSE),"-")</f>
        <v>110</v>
      </c>
      <c r="H8" s="51">
        <f>IFERROR(VLOOKUP($B$4,'Operating Income'!$B$2:$X$500,H$4,FALSE),"-")</f>
        <v>180</v>
      </c>
      <c r="I8" s="51">
        <f>IFERROR(VLOOKUP($B$4,'Operating Income'!$B$2:$X$500,I$4,FALSE),"-")</f>
        <v>77.2</v>
      </c>
      <c r="J8" s="51">
        <f>IFERROR(VLOOKUP($B$4,'Operating Income'!$B$2:$X$500,J$4,FALSE),"-")</f>
        <v>178.8</v>
      </c>
      <c r="K8" s="51">
        <f>IFERROR(VLOOKUP($B$4,'Operating Income'!$B$2:$X$500,K$4,FALSE),"-")</f>
        <v>128</v>
      </c>
      <c r="L8" s="51">
        <f>IFERROR(VLOOKUP($B$4,'Operating Income'!$B$2:$X$500,L$4,FALSE),"-")</f>
        <v>225</v>
      </c>
      <c r="M8" s="51">
        <f>IFERROR(VLOOKUP($B$4,'Operating Income'!$B$2:$X$500,M$4,FALSE),"-")</f>
        <v>116.8</v>
      </c>
      <c r="N8" s="51">
        <f>IFERROR(VLOOKUP($B$4,'Operating Income'!$B$2:$X$500,N$4,FALSE),"-")</f>
        <v>97.2</v>
      </c>
      <c r="O8" s="51">
        <f>IFERROR(VLOOKUP($B$4,'Operating Income'!$B$2:$X$500,O$4,FALSE),"-")</f>
        <v>-5.8</v>
      </c>
      <c r="P8" s="51">
        <f>IFERROR(VLOOKUP($B$4,'Operating Income'!$B$2:$X$500,P$4,FALSE),"-")</f>
        <v>218.3</v>
      </c>
      <c r="Q8" s="51">
        <f>IFERROR(VLOOKUP($B$4,'Operating Income'!$B$2:$X$500,Q$4,FALSE),"-")</f>
        <v>-3.3</v>
      </c>
      <c r="R8" s="51">
        <f>IFERROR(VLOOKUP($B$4,'Operating Income'!$B$2:$X$500,R$4,FALSE),"-")</f>
        <v>-170.8</v>
      </c>
      <c r="S8" s="52">
        <f>IFERROR(VLOOKUP($B$4,'Operating Income'!$B$2:$X$500,S$4,FALSE),"-")</f>
        <v>11.8</v>
      </c>
      <c r="T8" s="53"/>
      <c r="Y8" s="31"/>
      <c r="Z8" s="31"/>
      <c r="AA8" s="54"/>
    </row>
    <row r="9" spans="2:27">
      <c r="B9" s="19" t="s">
        <v>469</v>
      </c>
      <c r="C9" s="51">
        <f>IFERROR(AVERAGE(C8:C8),"-")</f>
        <v>99</v>
      </c>
      <c r="D9" s="51">
        <f>IFERROR(AVERAGE(C8:D8),"-")</f>
        <v>133.5</v>
      </c>
      <c r="E9" s="51">
        <f>IFERROR(AVERAGE(C8:E8),"-")</f>
        <v>115.66666666666667</v>
      </c>
      <c r="F9" s="51">
        <f t="shared" ref="F9:S9" si="0">IFERROR(AVERAGE(C8:F8),"-")</f>
        <v>128</v>
      </c>
      <c r="G9" s="51">
        <f t="shared" si="0"/>
        <v>130.75</v>
      </c>
      <c r="H9" s="51">
        <f t="shared" si="0"/>
        <v>133.75</v>
      </c>
      <c r="I9" s="51">
        <f t="shared" si="0"/>
        <v>133.05000000000001</v>
      </c>
      <c r="J9" s="51">
        <f t="shared" si="0"/>
        <v>136.5</v>
      </c>
      <c r="K9" s="51">
        <f t="shared" si="0"/>
        <v>141</v>
      </c>
      <c r="L9" s="51">
        <f t="shared" si="0"/>
        <v>152.25</v>
      </c>
      <c r="M9" s="51">
        <f t="shared" si="0"/>
        <v>162.14999999999998</v>
      </c>
      <c r="N9" s="51">
        <f t="shared" si="0"/>
        <v>141.75</v>
      </c>
      <c r="O9" s="51">
        <f t="shared" si="0"/>
        <v>108.3</v>
      </c>
      <c r="P9" s="51">
        <f t="shared" si="0"/>
        <v>106.625</v>
      </c>
      <c r="Q9" s="51">
        <f t="shared" si="0"/>
        <v>76.600000000000009</v>
      </c>
      <c r="R9" s="51">
        <f>IFERROR(AVERAGE(O8:R8),"-")</f>
        <v>9.5999999999999943</v>
      </c>
      <c r="S9" s="52">
        <f>IFERROR(AVERAGE(P8:S8),"-")</f>
        <v>13.999999999999996</v>
      </c>
      <c r="T9" s="53"/>
      <c r="Y9" s="31"/>
      <c r="Z9" s="31"/>
      <c r="AA9" s="54"/>
    </row>
    <row r="10" spans="2:27">
      <c r="B10" s="19" t="s">
        <v>470</v>
      </c>
      <c r="C10" s="51">
        <f>IFERROR(SUM(C8:C8),"-")</f>
        <v>99</v>
      </c>
      <c r="D10" s="51">
        <f>IFERROR(SUM(C8:D8),"-")</f>
        <v>267</v>
      </c>
      <c r="E10" s="51">
        <f>IFERROR(SUM(C8:E8),"-")</f>
        <v>347</v>
      </c>
      <c r="F10" s="51">
        <f t="shared" ref="F10:S10" si="1">IFERROR(SUM(C8:F8),"-")</f>
        <v>512</v>
      </c>
      <c r="G10" s="51">
        <f t="shared" si="1"/>
        <v>523</v>
      </c>
      <c r="H10" s="51">
        <f t="shared" si="1"/>
        <v>535</v>
      </c>
      <c r="I10" s="51">
        <f t="shared" si="1"/>
        <v>532.20000000000005</v>
      </c>
      <c r="J10" s="51">
        <f t="shared" si="1"/>
        <v>546</v>
      </c>
      <c r="K10" s="51">
        <f t="shared" si="1"/>
        <v>564</v>
      </c>
      <c r="L10" s="51">
        <f t="shared" si="1"/>
        <v>609</v>
      </c>
      <c r="M10" s="51">
        <f t="shared" si="1"/>
        <v>648.59999999999991</v>
      </c>
      <c r="N10" s="51">
        <f t="shared" si="1"/>
        <v>567</v>
      </c>
      <c r="O10" s="51">
        <f t="shared" si="1"/>
        <v>433.2</v>
      </c>
      <c r="P10" s="51">
        <f t="shared" si="1"/>
        <v>426.5</v>
      </c>
      <c r="Q10" s="51">
        <f t="shared" si="1"/>
        <v>306.40000000000003</v>
      </c>
      <c r="R10" s="51">
        <f t="shared" si="1"/>
        <v>38.399999999999977</v>
      </c>
      <c r="S10" s="52">
        <f t="shared" si="1"/>
        <v>55.999999999999986</v>
      </c>
      <c r="T10" s="53"/>
      <c r="Y10" s="31"/>
      <c r="Z10" s="31"/>
      <c r="AA10" s="54"/>
    </row>
    <row r="11" spans="2:27">
      <c r="B11" s="19" t="s">
        <v>471</v>
      </c>
      <c r="C11" s="20"/>
      <c r="D11" s="21">
        <f t="shared" ref="D11:S11" si="2">IFERROR(D9/C9-1,"-")</f>
        <v>0.3484848484848484</v>
      </c>
      <c r="E11" s="21">
        <f t="shared" si="2"/>
        <v>-0.13358302122347065</v>
      </c>
      <c r="F11" s="21">
        <f t="shared" si="2"/>
        <v>0.10662824207492783</v>
      </c>
      <c r="G11" s="21">
        <f t="shared" si="2"/>
        <v>2.1484375E-2</v>
      </c>
      <c r="H11" s="21">
        <f t="shared" si="2"/>
        <v>2.2944550669216079E-2</v>
      </c>
      <c r="I11" s="21">
        <f t="shared" si="2"/>
        <v>-5.2336448598130358E-3</v>
      </c>
      <c r="J11" s="21">
        <f t="shared" si="2"/>
        <v>2.5930101465614364E-2</v>
      </c>
      <c r="K11" s="21">
        <f t="shared" si="2"/>
        <v>3.2967032967033072E-2</v>
      </c>
      <c r="L11" s="21">
        <f t="shared" si="2"/>
        <v>7.9787234042553168E-2</v>
      </c>
      <c r="M11" s="21">
        <f t="shared" si="2"/>
        <v>6.5024630541871797E-2</v>
      </c>
      <c r="N11" s="21">
        <f t="shared" si="2"/>
        <v>-0.125809435707678</v>
      </c>
      <c r="O11" s="21">
        <f t="shared" si="2"/>
        <v>-0.23597883597883595</v>
      </c>
      <c r="P11" s="21">
        <f t="shared" si="2"/>
        <v>-1.546629732225302E-2</v>
      </c>
      <c r="Q11" s="21">
        <f t="shared" si="2"/>
        <v>-0.2815943728018756</v>
      </c>
      <c r="R11" s="21">
        <f t="shared" si="2"/>
        <v>-0.87467362924281988</v>
      </c>
      <c r="S11" s="21">
        <f>IFERROR(S9/R9-1,"-")</f>
        <v>0.45833333333333393</v>
      </c>
      <c r="Y11" s="31"/>
      <c r="Z11" s="31"/>
      <c r="AA11" s="54"/>
    </row>
    <row r="12" spans="2:27">
      <c r="B12" s="19" t="s">
        <v>472</v>
      </c>
      <c r="C12" s="13">
        <f t="shared" ref="C12:S12" si="3">IFERROR(C8/C7,"-")</f>
        <v>7.6388888888888895E-2</v>
      </c>
      <c r="D12" s="13">
        <f t="shared" si="3"/>
        <v>9.0419806243272338E-2</v>
      </c>
      <c r="E12" s="13">
        <f t="shared" si="3"/>
        <v>4.507042253521127E-2</v>
      </c>
      <c r="F12" s="13">
        <f t="shared" si="3"/>
        <v>7.395786642761093E-2</v>
      </c>
      <c r="G12" s="13">
        <f t="shared" si="3"/>
        <v>4.1698256254738442E-2</v>
      </c>
      <c r="H12" s="13">
        <f t="shared" si="3"/>
        <v>5.7179161372299871E-2</v>
      </c>
      <c r="I12" s="13">
        <f t="shared" si="3"/>
        <v>2.6675881133379407E-2</v>
      </c>
      <c r="J12" s="13">
        <f t="shared" si="3"/>
        <v>7.0283018867924527E-2</v>
      </c>
      <c r="K12" s="13">
        <f t="shared" si="3"/>
        <v>4.306864064602961E-2</v>
      </c>
      <c r="L12" s="13">
        <f t="shared" si="3"/>
        <v>7.02247191011236E-2</v>
      </c>
      <c r="M12" s="13">
        <f t="shared" si="3"/>
        <v>4.387678437265214E-2</v>
      </c>
      <c r="N12" s="13">
        <f t="shared" si="3"/>
        <v>3.8864454218312673E-2</v>
      </c>
      <c r="O12" s="13">
        <f t="shared" si="3"/>
        <v>-1.8187519598620258E-3</v>
      </c>
      <c r="P12" s="13">
        <f t="shared" si="3"/>
        <v>4.0826631756124929E-2</v>
      </c>
      <c r="Q12" s="13">
        <f t="shared" si="3"/>
        <v>-6.3412759415833967E-4</v>
      </c>
      <c r="R12" s="13">
        <f t="shared" si="3"/>
        <v>-3.4242181234963913E-2</v>
      </c>
      <c r="S12" s="17">
        <f t="shared" si="3"/>
        <v>2.241215574548908E-3</v>
      </c>
      <c r="Y12" s="31"/>
      <c r="Z12" s="54"/>
      <c r="AA12" s="54"/>
    </row>
    <row r="13" spans="2:27">
      <c r="B13" s="19" t="s">
        <v>473</v>
      </c>
      <c r="G13" s="13">
        <f t="shared" ref="G13:S13" si="4">IFERROR(G8/C8-1,"-")</f>
        <v>0.11111111111111116</v>
      </c>
      <c r="H13" s="13">
        <f t="shared" si="4"/>
        <v>7.1428571428571397E-2</v>
      </c>
      <c r="I13" s="13">
        <f t="shared" si="4"/>
        <v>-3.499999999999992E-2</v>
      </c>
      <c r="J13" s="13">
        <f t="shared" si="4"/>
        <v>8.3636363636363731E-2</v>
      </c>
      <c r="K13" s="13">
        <f t="shared" si="4"/>
        <v>0.16363636363636358</v>
      </c>
      <c r="L13" s="13">
        <f t="shared" si="4"/>
        <v>0.25</v>
      </c>
      <c r="M13" s="13">
        <f t="shared" si="4"/>
        <v>0.51295336787564749</v>
      </c>
      <c r="N13" s="13">
        <f t="shared" si="4"/>
        <v>-0.4563758389261745</v>
      </c>
      <c r="O13" s="13">
        <f t="shared" si="4"/>
        <v>-1.0453125000000001</v>
      </c>
      <c r="P13" s="13">
        <f t="shared" si="4"/>
        <v>-2.9777777777777681E-2</v>
      </c>
      <c r="Q13" s="13">
        <f t="shared" si="4"/>
        <v>-1.0282534246575343</v>
      </c>
      <c r="R13" s="13">
        <f t="shared" si="4"/>
        <v>-2.7572016460905351</v>
      </c>
      <c r="S13" s="17">
        <f t="shared" si="4"/>
        <v>-3.0344827586206899</v>
      </c>
      <c r="Y13" s="31"/>
      <c r="Z13" s="54"/>
      <c r="AA13" s="54"/>
    </row>
    <row r="14" spans="2:27">
      <c r="B14" s="19" t="s">
        <v>474</v>
      </c>
      <c r="G14" s="13">
        <f t="shared" ref="G14:S14" si="5">IFERROR(G7/C7-1,"-")</f>
        <v>1.0354938271604937</v>
      </c>
      <c r="H14" s="13">
        <f t="shared" si="5"/>
        <v>0.69429494079655552</v>
      </c>
      <c r="I14" s="13">
        <f t="shared" si="5"/>
        <v>0.63042253521126757</v>
      </c>
      <c r="J14" s="13">
        <f t="shared" si="5"/>
        <v>0.14029583146571034</v>
      </c>
      <c r="K14" s="13">
        <f t="shared" si="5"/>
        <v>0.12661106899166041</v>
      </c>
      <c r="L14" s="13">
        <f t="shared" si="5"/>
        <v>1.7789072426937835E-2</v>
      </c>
      <c r="M14" s="13">
        <f t="shared" si="5"/>
        <v>-8.0165860400829292E-2</v>
      </c>
      <c r="N14" s="13">
        <f t="shared" si="5"/>
        <v>-1.6902515723270395E-2</v>
      </c>
      <c r="O14" s="13">
        <f t="shared" si="5"/>
        <v>7.3014804845222159E-2</v>
      </c>
      <c r="P14" s="13">
        <f t="shared" si="5"/>
        <v>0.66885143570536831</v>
      </c>
      <c r="Q14" s="13">
        <f t="shared" si="5"/>
        <v>0.95492111194590534</v>
      </c>
      <c r="R14" s="13">
        <f t="shared" si="5"/>
        <v>0.99440223910435832</v>
      </c>
      <c r="S14" s="17">
        <f t="shared" si="5"/>
        <v>0.65098777046095946</v>
      </c>
      <c r="Y14" s="31"/>
      <c r="Z14" s="54"/>
      <c r="AA14" s="54"/>
    </row>
    <row r="15" spans="2:27">
      <c r="Y15" s="31"/>
      <c r="Z15" s="54"/>
      <c r="AA15" s="54"/>
    </row>
    <row r="16" spans="2:27">
      <c r="Y16" s="31"/>
      <c r="Z16" s="54"/>
      <c r="AA16" s="54"/>
    </row>
    <row r="17" spans="25:27">
      <c r="Y17" s="31"/>
      <c r="Z17" s="54"/>
      <c r="AA17" s="54"/>
    </row>
    <row r="18" spans="25:27">
      <c r="Y18" s="54"/>
      <c r="Z18" s="54"/>
      <c r="AA18" s="54"/>
    </row>
  </sheetData>
  <phoneticPr fontId="6" type="noConversion"/>
  <conditionalFormatting sqref="D11:S11">
    <cfRule type="cellIs" dxfId="5" priority="8" operator="greaterThan">
      <formula>0.1</formula>
    </cfRule>
    <cfRule type="cellIs" dxfId="4" priority="9" operator="greaterThanOrEqual">
      <formula>0.1</formula>
    </cfRule>
  </conditionalFormatting>
  <conditionalFormatting sqref="C12:S12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E13:S13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G14:S14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C8:S8">
    <cfRule type="top10" dxfId="3" priority="4" percent="1" rank="10"/>
  </conditionalFormatting>
  <conditionalFormatting sqref="C7:S7">
    <cfRule type="top10" dxfId="2" priority="3" percent="1" rank="10"/>
  </conditionalFormatting>
  <conditionalFormatting sqref="C9:S9">
    <cfRule type="top10" dxfId="1" priority="2" percent="1" rank="10"/>
  </conditionalFormatting>
  <conditionalFormatting sqref="S11">
    <cfRule type="cellIs" dxfId="0" priority="1" operator="greaterThan">
      <formula>0.1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기업리스트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임지후[ 학부재학 / 수학과 ]</cp:lastModifiedBy>
  <dcterms:created xsi:type="dcterms:W3CDTF">2026-02-04T07:09:08Z</dcterms:created>
  <dcterms:modified xsi:type="dcterms:W3CDTF">2026-02-04T09:13:58Z</dcterms:modified>
</cp:coreProperties>
</file>