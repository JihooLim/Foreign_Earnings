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217F0000-9368-4A34-9828-E0E024D124F7}" xr6:coauthVersionLast="47" xr6:coauthVersionMax="47" xr10:uidLastSave="{00000000-0000-0000-0000-000000000000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Income'!$B$2:$AA$231</definedName>
    <definedName name="_xlnm._FilterDatabase" localSheetId="1" hidden="1">Revenue!$B$2:$AA$229</definedName>
    <definedName name="_xlnm._FilterDatabase" localSheetId="0" hidden="1">기업리스트!$B$3:$G$347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3" l="1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155" i="3"/>
  <c r="D211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153" i="2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C8" i="4"/>
  <c r="C9" i="4" s="1"/>
  <c r="C7" i="4"/>
  <c r="D7" i="4"/>
  <c r="E7" i="4"/>
  <c r="F7" i="4"/>
  <c r="G7" i="4"/>
  <c r="H7" i="4"/>
  <c r="H14" i="4" s="1"/>
  <c r="I7" i="4"/>
  <c r="J7" i="4"/>
  <c r="K7" i="4"/>
  <c r="K14" i="4" s="1"/>
  <c r="L7" i="4"/>
  <c r="M7" i="4"/>
  <c r="N7" i="4"/>
  <c r="O7" i="4"/>
  <c r="P7" i="4"/>
  <c r="Q7" i="4"/>
  <c r="R7" i="4"/>
  <c r="S7" i="4"/>
  <c r="J14" i="4" l="1"/>
  <c r="I14" i="4"/>
  <c r="S14" i="4"/>
  <c r="G14" i="4"/>
  <c r="P14" i="4"/>
  <c r="N14" i="4"/>
  <c r="Q14" i="4"/>
  <c r="R14" i="4"/>
  <c r="O14" i="4"/>
  <c r="S13" i="4"/>
  <c r="M14" i="4"/>
  <c r="L14" i="4"/>
  <c r="H12" i="4"/>
  <c r="Q13" i="4"/>
  <c r="I10" i="4"/>
  <c r="S10" i="4"/>
  <c r="M12" i="4"/>
  <c r="R13" i="4"/>
  <c r="H10" i="4"/>
  <c r="G10" i="4"/>
  <c r="J10" i="4"/>
  <c r="R10" i="4"/>
  <c r="M9" i="4"/>
  <c r="N9" i="4"/>
  <c r="O9" i="4"/>
  <c r="I9" i="4"/>
  <c r="H13" i="4"/>
  <c r="D9" i="4"/>
  <c r="D11" i="4" s="1"/>
  <c r="E9" i="4"/>
  <c r="S12" i="4"/>
  <c r="N13" i="4"/>
  <c r="L10" i="4"/>
  <c r="C12" i="4"/>
  <c r="F9" i="4"/>
  <c r="R9" i="4"/>
  <c r="M10" i="4"/>
  <c r="D12" i="4"/>
  <c r="P12" i="4"/>
  <c r="K13" i="4"/>
  <c r="O12" i="4"/>
  <c r="G9" i="4"/>
  <c r="S9" i="4"/>
  <c r="N10" i="4"/>
  <c r="E12" i="4"/>
  <c r="Q12" i="4"/>
  <c r="L13" i="4"/>
  <c r="Q9" i="4"/>
  <c r="J13" i="4"/>
  <c r="H9" i="4"/>
  <c r="C10" i="4"/>
  <c r="O10" i="4"/>
  <c r="F12" i="4"/>
  <c r="R12" i="4"/>
  <c r="M13" i="4"/>
  <c r="K10" i="4"/>
  <c r="N12" i="4"/>
  <c r="J9" i="4"/>
  <c r="E10" i="4"/>
  <c r="Q10" i="4"/>
  <c r="O13" i="4"/>
  <c r="P9" i="4"/>
  <c r="I13" i="4"/>
  <c r="K9" i="4"/>
  <c r="F10" i="4"/>
  <c r="I12" i="4"/>
  <c r="P13" i="4"/>
  <c r="P10" i="4"/>
  <c r="L9" i="4"/>
  <c r="J12" i="4"/>
  <c r="K12" i="4"/>
  <c r="D10" i="4"/>
  <c r="G12" i="4"/>
  <c r="L12" i="4"/>
  <c r="G13" i="4"/>
  <c r="H11" i="4" l="1"/>
  <c r="N11" i="4"/>
  <c r="O11" i="4"/>
  <c r="I11" i="4"/>
  <c r="E11" i="4"/>
  <c r="F11" i="4"/>
  <c r="K11" i="4"/>
  <c r="S11" i="4"/>
  <c r="P11" i="4"/>
  <c r="L11" i="4"/>
  <c r="M11" i="4"/>
  <c r="J11" i="4"/>
  <c r="G11" i="4"/>
  <c r="Q11" i="4"/>
  <c r="R11" i="4"/>
</calcChain>
</file>

<file path=xl/sharedStrings.xml><?xml version="1.0" encoding="utf-8"?>
<sst xmlns="http://schemas.openxmlformats.org/spreadsheetml/2006/main" count="3097" uniqueCount="755">
  <si>
    <t>실적 기업 정보</t>
  </si>
  <si>
    <t>Ticker</t>
  </si>
  <si>
    <t>Company</t>
  </si>
  <si>
    <t>Date</t>
  </si>
  <si>
    <t>Time</t>
  </si>
  <si>
    <t>Quarter Ending</t>
  </si>
  <si>
    <t>Market Cap (mil$)</t>
  </si>
  <si>
    <t>AMZN</t>
  </si>
  <si>
    <t>Amazon.com, Inc.</t>
  </si>
  <si>
    <t>05-Feb-26</t>
  </si>
  <si>
    <t>After Hours</t>
  </si>
  <si>
    <t>Dec-25</t>
  </si>
  <si>
    <t>SHEL</t>
  </si>
  <si>
    <t>Shell plc</t>
  </si>
  <si>
    <t>LIN</t>
  </si>
  <si>
    <t>Linde plc</t>
  </si>
  <si>
    <t>Pre Market</t>
  </si>
  <si>
    <t>BBVA</t>
  </si>
  <si>
    <t>Banco Bilbao Vizcaya Argentaria, S.A.</t>
  </si>
  <si>
    <t>Sony Group Corporation</t>
  </si>
  <si>
    <t>COP</t>
  </si>
  <si>
    <t>ConocoPhillips</t>
  </si>
  <si>
    <t>BNP</t>
  </si>
  <si>
    <t>BNP Paribas SA</t>
  </si>
  <si>
    <t>BMY</t>
  </si>
  <si>
    <t>Bristol-Myers Squibb Company</t>
  </si>
  <si>
    <t>KKR</t>
  </si>
  <si>
    <t>KKR &amp; Co. Inc.</t>
  </si>
  <si>
    <t>ICE</t>
  </si>
  <si>
    <t>Intercontinental Exchange, Inc.</t>
  </si>
  <si>
    <t>Mitsubishi Corporation</t>
  </si>
  <si>
    <t>ITOCHU Corporation</t>
  </si>
  <si>
    <t>DG</t>
  </si>
  <si>
    <t>Vinci SA</t>
  </si>
  <si>
    <t>CMI</t>
  </si>
  <si>
    <t>Cummins Inc.</t>
  </si>
  <si>
    <t>ABX</t>
  </si>
  <si>
    <t>Barrick Mining Corporation</t>
  </si>
  <si>
    <t>CI</t>
  </si>
  <si>
    <t>The Cigna Group</t>
  </si>
  <si>
    <t>FTNT</t>
  </si>
  <si>
    <t>Fortinet, Inc.</t>
  </si>
  <si>
    <t>DLR</t>
  </si>
  <si>
    <t>Digital Realty Trust, Inc.</t>
  </si>
  <si>
    <t>LICI</t>
  </si>
  <si>
    <t>Life Insurance Corporation of India</t>
  </si>
  <si>
    <t>SHL</t>
  </si>
  <si>
    <t>Siemens Healthineers AG</t>
  </si>
  <si>
    <t>MPWR</t>
  </si>
  <si>
    <t>Monolithic Power Systems, Inc.</t>
  </si>
  <si>
    <t>CAH</t>
  </si>
  <si>
    <t>Cardinal Health, Inc.</t>
  </si>
  <si>
    <t>CARR</t>
  </si>
  <si>
    <t>Carrier Global Corporation</t>
  </si>
  <si>
    <t>TRI</t>
  </si>
  <si>
    <t>Thomson Reuters Corporation</t>
  </si>
  <si>
    <t>MSTR</t>
  </si>
  <si>
    <t>Strategy Inc</t>
  </si>
  <si>
    <t>ROK</t>
  </si>
  <si>
    <t>Rockwell Automation, Inc.</t>
  </si>
  <si>
    <t>RBLX</t>
  </si>
  <si>
    <t>Roblox Corporation</t>
  </si>
  <si>
    <t>ASSA B</t>
  </si>
  <si>
    <t>ASSA ABLOY AB (publ)</t>
  </si>
  <si>
    <t>XEL</t>
  </si>
  <si>
    <t>Xcel Energy Inc.</t>
  </si>
  <si>
    <t>RDDT</t>
  </si>
  <si>
    <t>Reddit, Inc.</t>
  </si>
  <si>
    <t>ASE Technology Holding Co., Ltd.</t>
  </si>
  <si>
    <t>EL</t>
  </si>
  <si>
    <t>The Estée Lauder Companies Inc.</t>
  </si>
  <si>
    <t>SAAB B</t>
  </si>
  <si>
    <t>Saab AB (publ)</t>
  </si>
  <si>
    <t>DANSKE</t>
  </si>
  <si>
    <t>Danske Bank A/S</t>
  </si>
  <si>
    <t>IQV</t>
  </si>
  <si>
    <t>IQVIA Holdings Inc.</t>
  </si>
  <si>
    <t>MCHP</t>
  </si>
  <si>
    <t>Microchip Technology Incorporated</t>
  </si>
  <si>
    <t>HSY</t>
  </si>
  <si>
    <t>The Hershey Company</t>
  </si>
  <si>
    <t>ARES</t>
  </si>
  <si>
    <t>Ares Management Corporation</t>
  </si>
  <si>
    <t>MT</t>
  </si>
  <si>
    <t>ArcelorMittal S.A.</t>
  </si>
  <si>
    <t>VTR</t>
  </si>
  <si>
    <t>Ventas, Inc.</t>
  </si>
  <si>
    <t>BE</t>
  </si>
  <si>
    <t>Bloom Energy Corporation</t>
  </si>
  <si>
    <t>WEC</t>
  </si>
  <si>
    <t>WEC Energy Group, Inc.</t>
  </si>
  <si>
    <t>BBDC4</t>
  </si>
  <si>
    <t>Banco Bradesco S.A.</t>
  </si>
  <si>
    <t>MAERSK B</t>
  </si>
  <si>
    <t>A.P. Møller - Mærsk A/S</t>
  </si>
  <si>
    <t>TEAM</t>
  </si>
  <si>
    <t>Atlassian Corporation</t>
  </si>
  <si>
    <t>SAMPO</t>
  </si>
  <si>
    <t>Sampo Oyj</t>
  </si>
  <si>
    <t>MTD</t>
  </si>
  <si>
    <t>Mettler-Toledo International Inc.</t>
  </si>
  <si>
    <t>Suzuki Motor Corporation</t>
  </si>
  <si>
    <t>BMRI</t>
  </si>
  <si>
    <t>PT Bank Mandiri (Persero) Tbk</t>
  </si>
  <si>
    <t>TPR</t>
  </si>
  <si>
    <t>Tapestry, Inc.</t>
  </si>
  <si>
    <t>Renesas Electronics Corporation</t>
  </si>
  <si>
    <t>FUJIFILM Holdings Corporation</t>
  </si>
  <si>
    <t>A055550</t>
  </si>
  <si>
    <t>Shinhan Financial Group Co., Ltd.</t>
  </si>
  <si>
    <t>AFRM</t>
  </si>
  <si>
    <t>Affirm Holdings, Inc.</t>
  </si>
  <si>
    <t>IOC</t>
  </si>
  <si>
    <t>Indian Oil Corporation Limited</t>
  </si>
  <si>
    <t>EQR</t>
  </si>
  <si>
    <t>Equity Residential</t>
  </si>
  <si>
    <t>VRSN</t>
  </si>
  <si>
    <t>VeriSign, Inc.</t>
  </si>
  <si>
    <t>TW</t>
  </si>
  <si>
    <t>Tradeweb Markets Inc.</t>
  </si>
  <si>
    <t>BCE</t>
  </si>
  <si>
    <t>BCE Inc.</t>
  </si>
  <si>
    <t>BAMI</t>
  </si>
  <si>
    <t>Banco BPM S.p.A.</t>
  </si>
  <si>
    <t>Nippon Steel Corporation</t>
  </si>
  <si>
    <t>CMS</t>
  </si>
  <si>
    <t>CMS Energy Corporation</t>
  </si>
  <si>
    <t>Ajinomoto Co., Inc.</t>
  </si>
  <si>
    <t>SSNC</t>
  </si>
  <si>
    <t>SS&amp;C Technologies Holdings, Inc.</t>
  </si>
  <si>
    <t>VWS</t>
  </si>
  <si>
    <t>Vestas Wind Systems A/S</t>
  </si>
  <si>
    <t>RL</t>
  </si>
  <si>
    <t>Ralph Lauren Corporation</t>
  </si>
  <si>
    <t>SNA</t>
  </si>
  <si>
    <t>Snap-on Incorporated</t>
  </si>
  <si>
    <t>Kao Corporation</t>
  </si>
  <si>
    <t>WMG</t>
  </si>
  <si>
    <t>Warner Music Group Corp.</t>
  </si>
  <si>
    <t>GEN</t>
  </si>
  <si>
    <t>Gen Digital Inc.</t>
  </si>
  <si>
    <t>Tata Motors Passenger Vehicles Limited</t>
  </si>
  <si>
    <t>EVO</t>
  </si>
  <si>
    <t>Evolution AB (publ)</t>
  </si>
  <si>
    <t>ILMN</t>
  </si>
  <si>
    <t>Illumina, Inc.</t>
  </si>
  <si>
    <t>NWSA</t>
  </si>
  <si>
    <t>News Corporation</t>
  </si>
  <si>
    <t>PFC</t>
  </si>
  <si>
    <t>Power Finance Corporation Limited</t>
  </si>
  <si>
    <t>XPO</t>
  </si>
  <si>
    <t>XPO, Inc.</t>
  </si>
  <si>
    <t>NESTE</t>
  </si>
  <si>
    <t>Neste Oyj</t>
  </si>
  <si>
    <t>ITT</t>
  </si>
  <si>
    <t>ITT Inc.</t>
  </si>
  <si>
    <t>RBC</t>
  </si>
  <si>
    <t>RBC Bearings Incorporated</t>
  </si>
  <si>
    <t>IREN</t>
  </si>
  <si>
    <t>IREN Limited</t>
  </si>
  <si>
    <t>DOCS</t>
  </si>
  <si>
    <t>Doximity, Inc.</t>
  </si>
  <si>
    <t>UNM</t>
  </si>
  <si>
    <t>Unum Group</t>
  </si>
  <si>
    <t>CEMEX CPO</t>
  </si>
  <si>
    <t>CEMEX, S.A.B. de C.V.</t>
  </si>
  <si>
    <t>MAZDOCK</t>
  </si>
  <si>
    <t>Mazagon Dock Shipbuilders Limited</t>
  </si>
  <si>
    <t>RGA</t>
  </si>
  <si>
    <t>Reinsurance Group of America, Incorporated</t>
  </si>
  <si>
    <t>REG</t>
  </si>
  <si>
    <t>Regency Centers Corporation</t>
  </si>
  <si>
    <t>EHC</t>
  </si>
  <si>
    <t>Encompass Health Corporation</t>
  </si>
  <si>
    <t>Max Healthcare Institute Limited</t>
  </si>
  <si>
    <t>SOBI</t>
  </si>
  <si>
    <t>Swedish Orphan Biovitrum AB (publ)</t>
  </si>
  <si>
    <t>HII</t>
  </si>
  <si>
    <t>Huntington Ingalls Industries, Inc.</t>
  </si>
  <si>
    <t>CPT</t>
  </si>
  <si>
    <t>Camden Property Trust</t>
  </si>
  <si>
    <t>SPSN</t>
  </si>
  <si>
    <t>Swiss Prime Site AG</t>
  </si>
  <si>
    <t>WMS</t>
  </si>
  <si>
    <t>Advanced Drainage Systems, Inc.</t>
  </si>
  <si>
    <t>ARX</t>
  </si>
  <si>
    <t>ARC Resources Ltd.</t>
  </si>
  <si>
    <t>VOLCAR B</t>
  </si>
  <si>
    <t>Volvo Car AB (publ.)</t>
  </si>
  <si>
    <t>MOH</t>
  </si>
  <si>
    <t>Molina Healthcare, Inc.</t>
  </si>
  <si>
    <t>SAP</t>
  </si>
  <si>
    <t>Saputo Inc.</t>
  </si>
  <si>
    <t>OWL</t>
  </si>
  <si>
    <t>Blue Owl Capital Inc.</t>
  </si>
  <si>
    <t>A17U</t>
  </si>
  <si>
    <t>CapitaLand Ascendas REIT</t>
  </si>
  <si>
    <t>A033780</t>
  </si>
  <si>
    <t>KT&amp;G Corporation</t>
  </si>
  <si>
    <t>BZU</t>
  </si>
  <si>
    <t>Buzzi S.p.A.</t>
  </si>
  <si>
    <t>MTSI</t>
  </si>
  <si>
    <t>MACOM Technology Solutions Holdings, Inc.</t>
  </si>
  <si>
    <t>BLSH</t>
  </si>
  <si>
    <t>Bullish</t>
  </si>
  <si>
    <t>OTEX</t>
  </si>
  <si>
    <t>Open Text Corporation</t>
  </si>
  <si>
    <t>FLS</t>
  </si>
  <si>
    <t>Flowserve Corporation</t>
  </si>
  <si>
    <t>ATR</t>
  </si>
  <si>
    <t>AptarGroup, Inc.</t>
  </si>
  <si>
    <t>IDCC</t>
  </si>
  <si>
    <t>InterDigital, Inc.</t>
  </si>
  <si>
    <t>Yokohama Financial Group, Inc.</t>
  </si>
  <si>
    <t>ARWR</t>
  </si>
  <si>
    <t>Arrowhead Pharmaceuticals, Inc.</t>
  </si>
  <si>
    <t>TPG</t>
  </si>
  <si>
    <t>TPG Inc.</t>
  </si>
  <si>
    <t>PCTY</t>
  </si>
  <si>
    <t>Paylocity Holding Corporation</t>
  </si>
  <si>
    <t>Uno Minda Limited</t>
  </si>
  <si>
    <t>KESKOB</t>
  </si>
  <si>
    <t>Kesko Oyj</t>
  </si>
  <si>
    <t>SUZLON</t>
  </si>
  <si>
    <t>Suzlon Energy Limited</t>
  </si>
  <si>
    <t>A047810</t>
  </si>
  <si>
    <t>Korea Aerospace Industries, Ltd.</t>
  </si>
  <si>
    <t>ADDT B</t>
  </si>
  <si>
    <t>Addtech AB (publ.)</t>
  </si>
  <si>
    <t>A006800</t>
  </si>
  <si>
    <t>Mirae Asset Securities Co., Ltd.</t>
  </si>
  <si>
    <t>NYKAA</t>
  </si>
  <si>
    <t>FSN E-Commerce Ventures Limited</t>
  </si>
  <si>
    <t>OMF</t>
  </si>
  <si>
    <t>OneMain Holdings, Inc.</t>
  </si>
  <si>
    <t>Shimadzu Corporation</t>
  </si>
  <si>
    <t>MINEBEA MITSUMI Inc.</t>
  </si>
  <si>
    <t>AGCO</t>
  </si>
  <si>
    <t>AGCO Corporation</t>
  </si>
  <si>
    <t>Kikkoman Corporation</t>
  </si>
  <si>
    <t>LG Corp.</t>
  </si>
  <si>
    <t>G</t>
  </si>
  <si>
    <t>Genpact Limited</t>
  </si>
  <si>
    <t>SIRI</t>
  </si>
  <si>
    <t>Sirius XM Holdings Inc.</t>
  </si>
  <si>
    <t>CENCOSUD</t>
  </si>
  <si>
    <t>Cencosud S.A.</t>
  </si>
  <si>
    <t>UNAC</t>
  </si>
  <si>
    <t>Public Joint Stock Company United Aircraft Corporation</t>
  </si>
  <si>
    <t>JFE Holdings, Inc.</t>
  </si>
  <si>
    <t>KCR</t>
  </si>
  <si>
    <t>Konecranes Plc</t>
  </si>
  <si>
    <t>A272210</t>
  </si>
  <si>
    <t>Hanwha Systems Co., Ltd.</t>
  </si>
  <si>
    <t>YKBNK</t>
  </si>
  <si>
    <t>Yapi ve Kredi Bankasi A.S.</t>
  </si>
  <si>
    <t>GODREJPROP</t>
  </si>
  <si>
    <t>Godrej Properties Limited</t>
  </si>
  <si>
    <t>AMG</t>
  </si>
  <si>
    <t>Affiliated Managers Group, Inc.</t>
  </si>
  <si>
    <t>Berger Paints India Limited</t>
  </si>
  <si>
    <t>FCFS</t>
  </si>
  <si>
    <t>FirstCash Holdings, Inc.</t>
  </si>
  <si>
    <t>BYD</t>
  </si>
  <si>
    <t>Boyd Gaming Corporation</t>
  </si>
  <si>
    <t>NDA</t>
  </si>
  <si>
    <t>Aurubis AG</t>
  </si>
  <si>
    <t>ROAD</t>
  </si>
  <si>
    <t>Construction Partners, Inc.</t>
  </si>
  <si>
    <t>CE</t>
  </si>
  <si>
    <t>Credito Emiliano S.p.A.</t>
  </si>
  <si>
    <t>Airtac International Group</t>
  </si>
  <si>
    <t>VEND</t>
  </si>
  <si>
    <t>Vend Marketplaces ASA</t>
  </si>
  <si>
    <t>Nippon Television Holdings, Inc.</t>
  </si>
  <si>
    <t>BVA</t>
  </si>
  <si>
    <t>Banco de Valencia SA</t>
  </si>
  <si>
    <t>ARW</t>
  </si>
  <si>
    <t>Arrow Electronics, Inc.</t>
  </si>
  <si>
    <t>TBS Holdings,Inc.</t>
  </si>
  <si>
    <t>PSSA3</t>
  </si>
  <si>
    <t>Porto Seguro S.A.</t>
  </si>
  <si>
    <t>LUKN</t>
  </si>
  <si>
    <t>Luzerner Kantonalbank AG</t>
  </si>
  <si>
    <t>MSGS</t>
  </si>
  <si>
    <t>Madison Square Garden Sports Corp.</t>
  </si>
  <si>
    <t>STEP</t>
  </si>
  <si>
    <t>StepStone Group Inc.</t>
  </si>
  <si>
    <t>ESE</t>
  </si>
  <si>
    <t>ESCO Technologies Inc.</t>
  </si>
  <si>
    <t>BILL</t>
  </si>
  <si>
    <t>BILL Holdings, Inc.</t>
  </si>
  <si>
    <t>OMRON Corporation</t>
  </si>
  <si>
    <t>PAGEIND</t>
  </si>
  <si>
    <t>Page Industries Limited</t>
  </si>
  <si>
    <t>Ricoh Company, Ltd.</t>
  </si>
  <si>
    <t>VSAT</t>
  </si>
  <si>
    <t>Viasat, Inc.</t>
  </si>
  <si>
    <t>POST</t>
  </si>
  <si>
    <t>Post Holdings, Inc.</t>
  </si>
  <si>
    <t>CUZ</t>
  </si>
  <si>
    <t>Cousins Properties Incorporated</t>
  </si>
  <si>
    <t>ANTHEM</t>
  </si>
  <si>
    <t>Anthem Biosciences Limited</t>
  </si>
  <si>
    <t>QLYS</t>
  </si>
  <si>
    <t>Qualys, Inc.</t>
  </si>
  <si>
    <t>Kurita Water Industries Ltd.</t>
  </si>
  <si>
    <t>PI</t>
  </si>
  <si>
    <t>Impinj, Inc.</t>
  </si>
  <si>
    <t>MMS</t>
  </si>
  <si>
    <t>Maximus, Inc.</t>
  </si>
  <si>
    <t>MYCR</t>
  </si>
  <si>
    <t>Mycronic AB (publ)</t>
  </si>
  <si>
    <t>LOG</t>
  </si>
  <si>
    <t>Logista Integral, S.A.</t>
  </si>
  <si>
    <t>CLSK</t>
  </si>
  <si>
    <t>CleanSpark, Inc.</t>
  </si>
  <si>
    <t>ABG</t>
  </si>
  <si>
    <t>Asbury Automotive Group, Inc.</t>
  </si>
  <si>
    <t>MGY</t>
  </si>
  <si>
    <t>Magnolia Oil &amp; Gas Corporation</t>
  </si>
  <si>
    <t>PECO</t>
  </si>
  <si>
    <t>Phillips Edison &amp; Company, Inc.</t>
  </si>
  <si>
    <t>3M India Limited</t>
  </si>
  <si>
    <t>ASTRAL</t>
  </si>
  <si>
    <t>Astral Limited</t>
  </si>
  <si>
    <t>MDU</t>
  </si>
  <si>
    <t>MDU Resources Group, Inc.</t>
  </si>
  <si>
    <t>PNDX B</t>
  </si>
  <si>
    <t>Pandox AB (publ)</t>
  </si>
  <si>
    <t>HAE</t>
  </si>
  <si>
    <t>Haemonetics Corporation</t>
  </si>
  <si>
    <t>CNO</t>
  </si>
  <si>
    <t>CNO Financial Group, Inc.</t>
  </si>
  <si>
    <t>A029780</t>
  </si>
  <si>
    <t>Samsung Card Co., Ltd.</t>
  </si>
  <si>
    <t>Hindustan Copper Limited</t>
  </si>
  <si>
    <t>Nikon Corporation</t>
  </si>
  <si>
    <t>GLO</t>
  </si>
  <si>
    <t>Globe Telecom, Inc.</t>
  </si>
  <si>
    <t>PATK</t>
  </si>
  <si>
    <t>Patrick Industries, Inc.</t>
  </si>
  <si>
    <t>Sam Chun Dang Pharm. Co., Ltd</t>
  </si>
  <si>
    <t>AB</t>
  </si>
  <si>
    <t>AllianceBernstein Holding L.P.</t>
  </si>
  <si>
    <t>A128940</t>
  </si>
  <si>
    <t>Hanmi Pharm. Co., Ltd.</t>
  </si>
  <si>
    <t>NVST</t>
  </si>
  <si>
    <t>Envista Holdings Corporation</t>
  </si>
  <si>
    <t>A130960</t>
  </si>
  <si>
    <t>CJ E&amp;M Corporation</t>
  </si>
  <si>
    <t>X</t>
  </si>
  <si>
    <t>TMX Group Inc.</t>
  </si>
  <si>
    <t>EXPO</t>
  </si>
  <si>
    <t>Exponent, Inc.</t>
  </si>
  <si>
    <t>GFF</t>
  </si>
  <si>
    <t>Griffon Corporation</t>
  </si>
  <si>
    <t>Hamamatsu Photonics K.K.</t>
  </si>
  <si>
    <t>BTU</t>
  </si>
  <si>
    <t>Peabody Energy Corporation</t>
  </si>
  <si>
    <t>CDP</t>
  </si>
  <si>
    <t>COPT Defense Properties</t>
  </si>
  <si>
    <t>Santen Pharmaceutical Co., Ltd.</t>
  </si>
  <si>
    <t>A009830</t>
  </si>
  <si>
    <t>Hanwha Solutions Corporation</t>
  </si>
  <si>
    <t>Mitsubishi Motors Corporation</t>
  </si>
  <si>
    <t>SYNA</t>
  </si>
  <si>
    <t>Synaptics Incorporated</t>
  </si>
  <si>
    <t>PBH</t>
  </si>
  <si>
    <t>Prestige Consumer Healthcare Inc.</t>
  </si>
  <si>
    <t>WALL B</t>
  </si>
  <si>
    <t>Wallenstam AB (publ)</t>
  </si>
  <si>
    <t>COTY</t>
  </si>
  <si>
    <t>Coty Inc.</t>
  </si>
  <si>
    <t>A175330</t>
  </si>
  <si>
    <t>JB Financial Group Co., Ltd.</t>
  </si>
  <si>
    <t>NOK Corporation</t>
  </si>
  <si>
    <t>ADPT</t>
  </si>
  <si>
    <t>Adaptive Biotechnologies Corporation</t>
  </si>
  <si>
    <t>Saudi Industrial Investment Group</t>
  </si>
  <si>
    <t>VATN</t>
  </si>
  <si>
    <t>Valiant Holding AG</t>
  </si>
  <si>
    <t>A251270</t>
  </si>
  <si>
    <t>Netmarble Corporation</t>
  </si>
  <si>
    <t>PTON</t>
  </si>
  <si>
    <t>Peloton Interactive, Inc.</t>
  </si>
  <si>
    <t>BPAN4</t>
  </si>
  <si>
    <t>Banco Pan S.A.</t>
  </si>
  <si>
    <t>Nitto Boseki Co., Ltd.</t>
  </si>
  <si>
    <t>ROKO B</t>
  </si>
  <si>
    <t>Röko AB (publ)</t>
  </si>
  <si>
    <t>FABG</t>
  </si>
  <si>
    <t>Fabege AB (publ)</t>
  </si>
  <si>
    <t>ZENKOKU HOSHO Co.,Ltd.</t>
  </si>
  <si>
    <t>MULT3</t>
  </si>
  <si>
    <t>Multiplan Empreendimentos Imobiliários S.A.</t>
  </si>
  <si>
    <t>NSIT</t>
  </si>
  <si>
    <t>Insight Enterprises, Inc.</t>
  </si>
  <si>
    <t>NOD</t>
  </si>
  <si>
    <t>Nordic Semiconductor ASA</t>
  </si>
  <si>
    <t>GN</t>
  </si>
  <si>
    <t>GN Store Nord A/S</t>
  </si>
  <si>
    <t>USAR</t>
  </si>
  <si>
    <t>USA Rare Earth, Inc.</t>
  </si>
  <si>
    <t>Goldwin Inc.</t>
  </si>
  <si>
    <t>WOCKPHARMA</t>
  </si>
  <si>
    <t>Wockhardt Limited</t>
  </si>
  <si>
    <t>A002380</t>
  </si>
  <si>
    <t>KCC Corporation</t>
  </si>
  <si>
    <t>Shibaura Mechatronics Corporation</t>
  </si>
  <si>
    <t>Mizuho Leasing Company, Limited</t>
  </si>
  <si>
    <t>ALIF B</t>
  </si>
  <si>
    <t>AddLife AB (publ)</t>
  </si>
  <si>
    <t>HUBG</t>
  </si>
  <si>
    <t>Hub Group, Inc.</t>
  </si>
  <si>
    <t>OMCL</t>
  </si>
  <si>
    <t>Omnicell, Inc.</t>
  </si>
  <si>
    <t>NCC B</t>
  </si>
  <si>
    <t>NCC AB (publ)</t>
  </si>
  <si>
    <t>BUFAB</t>
  </si>
  <si>
    <t>Bufab AB (publ)</t>
  </si>
  <si>
    <t>LION</t>
  </si>
  <si>
    <t>Lionsgate Entertainment Corp.</t>
  </si>
  <si>
    <t>Yamada Holdings Co., Ltd.</t>
  </si>
  <si>
    <t>AAMI</t>
  </si>
  <si>
    <t>Acadian Asset Management Inc.</t>
  </si>
  <si>
    <t>NTCT</t>
  </si>
  <si>
    <t>NetScout Systems, Inc.</t>
  </si>
  <si>
    <t>AFRY</t>
  </si>
  <si>
    <t>Afry AB</t>
  </si>
  <si>
    <t>Nihon Kohden Corporation</t>
  </si>
  <si>
    <t>Kanematsu Corporation</t>
  </si>
  <si>
    <t>WERN</t>
  </si>
  <si>
    <t>Werner Enterprises, Inc.</t>
  </si>
  <si>
    <t>RAMP</t>
  </si>
  <si>
    <t>LiveRamp Holdings, Inc.</t>
  </si>
  <si>
    <t>POWI</t>
  </si>
  <si>
    <t>Power Integrations, Inc.</t>
  </si>
  <si>
    <t>NS8U</t>
  </si>
  <si>
    <t>Hutchison Port Holdings Trust</t>
  </si>
  <si>
    <t>KN</t>
  </si>
  <si>
    <t>Knowles Corporation</t>
  </si>
  <si>
    <t>DeNA Co., Ltd.</t>
  </si>
  <si>
    <t>Nava Limited</t>
  </si>
  <si>
    <t>LSPD</t>
  </si>
  <si>
    <t>Lightspeed Commerce Inc.</t>
  </si>
  <si>
    <t>NOLA B</t>
  </si>
  <si>
    <t>Nolato AB (publ)</t>
  </si>
  <si>
    <t>Sotetsu Holdings, Inc.</t>
  </si>
  <si>
    <t>NEWA B</t>
  </si>
  <si>
    <t>New Wave Group AB (publ)</t>
  </si>
  <si>
    <t>BETS B</t>
  </si>
  <si>
    <t>Betsson AB (publ)</t>
  </si>
  <si>
    <t>DNO</t>
  </si>
  <si>
    <t>DNO ASA</t>
  </si>
  <si>
    <t>JMDC Inc.</t>
  </si>
  <si>
    <t>A139130</t>
  </si>
  <si>
    <t>iM Financial Group Co., Ltd.</t>
  </si>
  <si>
    <t>LADR</t>
  </si>
  <si>
    <t>Ladder Capital Corp</t>
  </si>
  <si>
    <t>SPB</t>
  </si>
  <si>
    <t>Spectrum Brands Holdings, Inc.</t>
  </si>
  <si>
    <t>A336260</t>
  </si>
  <si>
    <t>Doosan Fuel Cell Co., Ltd.</t>
  </si>
  <si>
    <t>Caplin Point Laboratories Limited</t>
  </si>
  <si>
    <t>MINDACORP</t>
  </si>
  <si>
    <t>Minda Corporation Limited</t>
  </si>
  <si>
    <t>ENR</t>
  </si>
  <si>
    <t>Energizer Holdings, Inc.</t>
  </si>
  <si>
    <t>AAVAS</t>
  </si>
  <si>
    <t>Aavas Financiers Limited</t>
  </si>
  <si>
    <t>DATAPATTNS</t>
  </si>
  <si>
    <t>Data Patterns (India) Limited</t>
  </si>
  <si>
    <t>THR</t>
  </si>
  <si>
    <t>Thermon Group Holdings, Inc.</t>
  </si>
  <si>
    <t>IMKT.A</t>
  </si>
  <si>
    <t>Ingles Markets, Incorporated</t>
  </si>
  <si>
    <t>METSB</t>
  </si>
  <si>
    <t>Metsä Board Oyj</t>
  </si>
  <si>
    <t>BILI A</t>
  </si>
  <si>
    <t>Bilia AB (publ)</t>
  </si>
  <si>
    <t>ATT</t>
  </si>
  <si>
    <t>Attendo AB (publ)</t>
  </si>
  <si>
    <t>ALMA</t>
  </si>
  <si>
    <t>Alma Media Oyj</t>
  </si>
  <si>
    <t>Nippn Corporation</t>
  </si>
  <si>
    <t>SPH</t>
  </si>
  <si>
    <t>Suburban Propane Partners, L.P.</t>
  </si>
  <si>
    <t>CCEC</t>
  </si>
  <si>
    <t>Capital Clean Energy Carriers Corp.</t>
  </si>
  <si>
    <t>GOOS</t>
  </si>
  <si>
    <t>Canada Goose Holdings Inc.</t>
  </si>
  <si>
    <t>EmbedWay Technologies (Shanghai) Corporation</t>
  </si>
  <si>
    <t>Systena Corporation</t>
  </si>
  <si>
    <t>VIL</t>
  </si>
  <si>
    <t>VIEL &amp; Cie, société anonyme</t>
  </si>
  <si>
    <t>Pacific Industrial Co., Ltd.</t>
  </si>
  <si>
    <t>COUR</t>
  </si>
  <si>
    <t>Coursera, Inc.</t>
  </si>
  <si>
    <t>JACCS Co., Ltd.</t>
  </si>
  <si>
    <t>FSKRS</t>
  </si>
  <si>
    <t>Fiskars Oyj Abp</t>
  </si>
  <si>
    <t>SCI</t>
  </si>
  <si>
    <t>The Shipping Corporation of India Limited</t>
  </si>
  <si>
    <t>PVRINOX</t>
  </si>
  <si>
    <t>PVR INOX Limited</t>
  </si>
  <si>
    <t>DYVOX</t>
  </si>
  <si>
    <t>Dynavox Group AB (publ)</t>
  </si>
  <si>
    <t>SLP B</t>
  </si>
  <si>
    <t>Swedish Logistic Property AB</t>
  </si>
  <si>
    <t>NCC Limited</t>
  </si>
  <si>
    <t>Future Corporation</t>
  </si>
  <si>
    <t>AKTIA</t>
  </si>
  <si>
    <t>Aktia Pankki Oyj</t>
  </si>
  <si>
    <t>GOLD</t>
  </si>
  <si>
    <t>Gold.com, Inc.</t>
  </si>
  <si>
    <t>ABFRL</t>
  </si>
  <si>
    <t>Aditya Birla Fashion and Retail Limited</t>
  </si>
  <si>
    <t>Kanadevia Corporation</t>
  </si>
  <si>
    <t>TROAX</t>
  </si>
  <si>
    <t>Troax Group AB (publ)</t>
  </si>
  <si>
    <t>Raito Kogyo Co., Ltd.</t>
  </si>
  <si>
    <t>Noevir Holdings Co., Ltd.</t>
  </si>
  <si>
    <t>BALRAMCHIN</t>
  </si>
  <si>
    <t>Balrampur Chini Mills Limited</t>
  </si>
  <si>
    <t>BWE</t>
  </si>
  <si>
    <t>BW Energy Limited</t>
  </si>
  <si>
    <t>LQDT</t>
  </si>
  <si>
    <t>Liquidity Services, Inc.</t>
  </si>
  <si>
    <t>Nippon Seiki Co., Ltd.</t>
  </si>
  <si>
    <t>TOKAI Holdings Corporation</t>
  </si>
  <si>
    <t>Astra Microwave Products Limited</t>
  </si>
  <si>
    <t>Eagle Industry Co.,Ltd.</t>
  </si>
  <si>
    <t>JCU Corporation</t>
  </si>
  <si>
    <t>SCSC</t>
  </si>
  <si>
    <t>ScanSource, Inc.</t>
  </si>
  <si>
    <t>AZ-COM MARUWA Holdings Inc.</t>
  </si>
  <si>
    <t>FESTI</t>
  </si>
  <si>
    <t>Festi hf.</t>
  </si>
  <si>
    <t>Mochida Pharmaceutical Co., Ltd.</t>
  </si>
  <si>
    <t>MOFG</t>
  </si>
  <si>
    <t>MidWestOne Financial Group, Inc.</t>
  </si>
  <si>
    <t>A285130</t>
  </si>
  <si>
    <t>SK Chemicals Co.,Ltd</t>
  </si>
  <si>
    <t>XFAB</t>
  </si>
  <si>
    <t>X-FAB Silicon Foundries SE</t>
  </si>
  <si>
    <t>QNST</t>
  </si>
  <si>
    <t>QuinStreet, Inc.</t>
  </si>
  <si>
    <t>KMAZ</t>
  </si>
  <si>
    <t>KAMAZ Publicly Traded Company</t>
  </si>
  <si>
    <t>SENE.A</t>
  </si>
  <si>
    <t>Seneca Foods Corporation</t>
  </si>
  <si>
    <t>CTLP</t>
  </si>
  <si>
    <t>Cantaloupe, Inc.</t>
  </si>
  <si>
    <t>Sun Frontier Fudousan Co., Ltd.</t>
  </si>
  <si>
    <t>SCST</t>
  </si>
  <si>
    <t>Scandi Standard AB (publ)</t>
  </si>
  <si>
    <t>Mitsuboshi Belting Ltd.</t>
  </si>
  <si>
    <t>UDMY</t>
  </si>
  <si>
    <t>Udemy, Inc.</t>
  </si>
  <si>
    <t>FOI B</t>
  </si>
  <si>
    <t>Fenix Outdoor International AG</t>
  </si>
  <si>
    <t>WABAG</t>
  </si>
  <si>
    <t>VA Tech Wabag Limited</t>
  </si>
  <si>
    <t>MILDEF</t>
  </si>
  <si>
    <t>MilDef Group AB (publ)</t>
  </si>
  <si>
    <t>HDD</t>
  </si>
  <si>
    <t>Heidelberger Druckmaschinen Aktiengesellschaft</t>
  </si>
  <si>
    <t>Indian Metals and Ferro Alloys Limited</t>
  </si>
  <si>
    <t>EMBC</t>
  </si>
  <si>
    <t>Embecta Corp.</t>
  </si>
  <si>
    <t>Shinagawa Refra Co., Ltd.</t>
  </si>
  <si>
    <t>NUAG</t>
  </si>
  <si>
    <t>New Pacific Metals Corp.</t>
  </si>
  <si>
    <t>Kovai Medical Center and Hospital Limited</t>
  </si>
  <si>
    <t>MBUU</t>
  </si>
  <si>
    <t>Malibu Boats, Inc.</t>
  </si>
  <si>
    <t>AOSL</t>
  </si>
  <si>
    <t>Alpha and Omega Semiconductor Limited</t>
  </si>
  <si>
    <t>IIIV</t>
  </si>
  <si>
    <t>i3 Verticals, Inc.</t>
  </si>
  <si>
    <t>LBRX</t>
  </si>
  <si>
    <t>LB Pharmaceuticals Inc</t>
  </si>
  <si>
    <t>NGVC</t>
  </si>
  <si>
    <t>Natural Grocers by Vitamin Cottage, Inc.</t>
  </si>
  <si>
    <t>XANO B</t>
  </si>
  <si>
    <t>XANO Industri AB (publ)</t>
  </si>
  <si>
    <t>Hindustan Foods Limited</t>
  </si>
  <si>
    <t>Dynamatic Technologies Limited</t>
  </si>
  <si>
    <t>RSI</t>
  </si>
  <si>
    <t>Rogers Sugar Inc.</t>
  </si>
  <si>
    <t>MATAS</t>
  </si>
  <si>
    <t>Matas A/S</t>
  </si>
  <si>
    <t>Forum Engineering Inc.</t>
  </si>
  <si>
    <t>A095610</t>
  </si>
  <si>
    <t>TES Co., Ltd</t>
  </si>
  <si>
    <t>V.S.T. Tillers Tractors Limited</t>
  </si>
  <si>
    <t>Qol Holdings Co., Ltd.</t>
  </si>
  <si>
    <t>SOAG</t>
  </si>
  <si>
    <t>SpareBank 1 Østfold Akershus</t>
  </si>
  <si>
    <t>SLIGR</t>
  </si>
  <si>
    <t>Sligro Food Group N.V.</t>
  </si>
  <si>
    <t>EAST</t>
  </si>
  <si>
    <t>Eastnine AB (publ)</t>
  </si>
  <si>
    <t>ZACROS Corporation</t>
  </si>
  <si>
    <t>MAGN</t>
  </si>
  <si>
    <t>Magnera Corporation</t>
  </si>
  <si>
    <t>RBBN</t>
  </si>
  <si>
    <t>Ribbon Communications Inc.</t>
  </si>
  <si>
    <t>Osaka Steel Co., Ltd.</t>
  </si>
  <si>
    <t>IBEX</t>
  </si>
  <si>
    <t>IBEX Limited</t>
  </si>
  <si>
    <t>Mitsubishi Research Institute, Inc.</t>
  </si>
  <si>
    <t>A052400</t>
  </si>
  <si>
    <t>Kona I Co.,Ltd.</t>
  </si>
  <si>
    <t>A348210</t>
  </si>
  <si>
    <t>NEXTIN, Inc.</t>
  </si>
  <si>
    <t>HTRO</t>
  </si>
  <si>
    <t>Hexatronic Group AB (publ)</t>
  </si>
  <si>
    <t>SVI</t>
  </si>
  <si>
    <t>SVI Public Company Limited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</si>
  <si>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</si>
  <si>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</si>
  <si>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</si>
  <si>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</si>
  <si>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</si>
  <si>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</si>
  <si>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</si>
  <si>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</si>
  <si>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</si>
  <si>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</si>
  <si>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</si>
  <si>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</si>
  <si>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</si>
  <si>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</si>
  <si>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</si>
  <si>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</si>
  <si>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</si>
  <si>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</si>
  <si>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</si>
  <si>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</si>
  <si>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</si>
  <si>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</si>
  <si>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Biotechnology</t>
  </si>
  <si>
    <t>Mar'26</t>
  </si>
  <si>
    <t>Capital Markets</t>
  </si>
  <si>
    <t>Jun'26</t>
  </si>
  <si>
    <t>Software - Infrastructure</t>
  </si>
  <si>
    <t>Dec'25</t>
  </si>
  <si>
    <t>Asset Management</t>
  </si>
  <si>
    <t>Sep'26</t>
  </si>
  <si>
    <t>Internet Content &amp; Information</t>
  </si>
  <si>
    <t>Electrical Equipment &amp; Parts</t>
  </si>
  <si>
    <t>Electronic Gaming &amp; Multimedia</t>
  </si>
  <si>
    <t>Engineering &amp; Construction</t>
  </si>
  <si>
    <t>Credit Services</t>
  </si>
  <si>
    <t>Apparel Manufacturing</t>
  </si>
  <si>
    <t>Insurance - Reinsurance</t>
  </si>
  <si>
    <t>Semiconductors</t>
  </si>
  <si>
    <t>Software - Application</t>
  </si>
  <si>
    <t>REIT - Healthcare Facilities</t>
  </si>
  <si>
    <t>Electronics &amp; Computer Distribution</t>
  </si>
  <si>
    <t>Scientific &amp; Technical Instruments</t>
  </si>
  <si>
    <t>Entertainment</t>
  </si>
  <si>
    <t>Medical Distribution</t>
  </si>
  <si>
    <t>Luxury Goods</t>
  </si>
  <si>
    <t>Information Technology Services</t>
  </si>
  <si>
    <t>REIT - Specialty</t>
  </si>
  <si>
    <t>Aerospace &amp; Defense</t>
  </si>
  <si>
    <t>Tools &amp; Accessories</t>
  </si>
  <si>
    <t>Medical Instruments &amp; Supplies</t>
  </si>
  <si>
    <t>Internet Retail</t>
  </si>
  <si>
    <t>REIT - Office</t>
  </si>
  <si>
    <t>Specialty Industrial Machinery</t>
  </si>
  <si>
    <t>Utilities - Regulated Electric</t>
  </si>
  <si>
    <t>Healthcare Plans</t>
  </si>
  <si>
    <t>Household &amp; Personal Products</t>
  </si>
  <si>
    <t>Health Information Services</t>
  </si>
  <si>
    <t>Diagnostics &amp; Research</t>
  </si>
  <si>
    <t>Packaged Foods</t>
  </si>
  <si>
    <t>Medical Care Facilities</t>
  </si>
  <si>
    <t>Education &amp; Training Services</t>
  </si>
  <si>
    <t>REIT - Retail</t>
  </si>
  <si>
    <t>Financial Data &amp; Stock Exchanges</t>
  </si>
  <si>
    <t>Confectioners</t>
  </si>
  <si>
    <t>Specialty Chemicals</t>
  </si>
  <si>
    <t>Specialty Business Services</t>
  </si>
  <si>
    <t>Discount Stores</t>
  </si>
  <si>
    <t>Trucking</t>
  </si>
  <si>
    <t>Insurance - Life</t>
  </si>
  <si>
    <t>Auto &amp; Truck Dealerships</t>
  </si>
  <si>
    <t>Communication Equipment</t>
  </si>
  <si>
    <t>REIT - Residential</t>
  </si>
  <si>
    <t>Building Products &amp; Equipment</t>
  </si>
  <si>
    <t>Resorts &amp; Casinos</t>
  </si>
  <si>
    <t>Advertising Agencies</t>
  </si>
  <si>
    <t>Steel</t>
  </si>
  <si>
    <t>Grocery Stores</t>
  </si>
  <si>
    <t>Drug Manufacturers - General</t>
  </si>
  <si>
    <t>Farm &amp; Heavy Construction Machinery</t>
  </si>
  <si>
    <t>Oil &amp; Gas Integrated</t>
  </si>
  <si>
    <t>Telecom Services</t>
  </si>
  <si>
    <t>Utilities - Regulated Gas</t>
  </si>
  <si>
    <t>Banks - Diversified</t>
  </si>
  <si>
    <t>Drug Manufacturers - Specialty &amp; Generic</t>
  </si>
  <si>
    <t>Oil &amp; Gas E&amp;P</t>
  </si>
  <si>
    <t>Leisure</t>
  </si>
  <si>
    <t>Medical Devices</t>
  </si>
  <si>
    <t>Recreational Vehicles</t>
  </si>
  <si>
    <t>Thermal Coal</t>
  </si>
  <si>
    <t>REIT - Mortgage</t>
  </si>
  <si>
    <t>N/A</t>
  </si>
  <si>
    <t>Japan</t>
  </si>
  <si>
    <t>India</t>
  </si>
  <si>
    <t>Sweden</t>
  </si>
  <si>
    <t>France</t>
  </si>
  <si>
    <t>Banks - Regional</t>
  </si>
  <si>
    <t>Sep'25</t>
  </si>
  <si>
    <t>Insurance Brokers</t>
  </si>
  <si>
    <t>Electronic Components</t>
  </si>
  <si>
    <t>Personal Services</t>
  </si>
  <si>
    <t>Marine Shipping</t>
  </si>
  <si>
    <t>Integrated Freight &amp; Logistics</t>
  </si>
  <si>
    <t>Chemicals</t>
  </si>
  <si>
    <t>Mar'25</t>
  </si>
  <si>
    <t>Other Industrial Metals &amp; Mining</t>
  </si>
  <si>
    <t>opm</t>
  </si>
  <si>
    <t>(단위: mil $)</t>
    <phoneticPr fontId="6" type="noConversion"/>
  </si>
  <si>
    <t>4Q21</t>
    <phoneticPr fontId="11" type="noConversion"/>
  </si>
  <si>
    <t>1Q22</t>
    <phoneticPr fontId="11" type="noConversion"/>
  </si>
  <si>
    <t>2Q22</t>
    <phoneticPr fontId="11" type="noConversion"/>
  </si>
  <si>
    <t>3Q22</t>
    <phoneticPr fontId="11" type="noConversion"/>
  </si>
  <si>
    <t>4Q22</t>
    <phoneticPr fontId="11" type="noConversion"/>
  </si>
  <si>
    <t>2Q23</t>
    <phoneticPr fontId="11" type="noConversion"/>
  </si>
  <si>
    <t>3Q23</t>
    <phoneticPr fontId="11" type="noConversion"/>
  </si>
  <si>
    <t>4Q23</t>
    <phoneticPr fontId="11" type="noConversion"/>
  </si>
  <si>
    <t>1Q26</t>
    <phoneticPr fontId="11" type="noConversion"/>
  </si>
  <si>
    <t>2Q26</t>
    <phoneticPr fontId="11" type="noConversion"/>
  </si>
  <si>
    <t>3Q26</t>
    <phoneticPr fontId="11" type="noConversion"/>
  </si>
  <si>
    <t>4Q26</t>
    <phoneticPr fontId="11" type="noConversion"/>
  </si>
  <si>
    <t>Revenue</t>
    <phoneticPr fontId="11" type="noConversion"/>
  </si>
  <si>
    <t>OP</t>
    <phoneticPr fontId="11" type="noConversion"/>
  </si>
  <si>
    <t>Trailing 4Q OP avg.</t>
    <phoneticPr fontId="11" type="noConversion"/>
  </si>
  <si>
    <t>Trailing 4Q OP sum.</t>
    <phoneticPr fontId="11" type="noConversion"/>
  </si>
  <si>
    <t>Trailing OP Delta</t>
    <phoneticPr fontId="11" type="noConversion"/>
  </si>
  <si>
    <t>op yoy</t>
    <phoneticPr fontId="11" type="noConversion"/>
  </si>
  <si>
    <t>rv yoy</t>
    <phoneticPr fontId="6" type="noConversion"/>
  </si>
  <si>
    <t>GODREJPROP</t>
    <phoneticPr fontId="6" type="noConversion"/>
  </si>
  <si>
    <t>NYKAA</t>
    <phoneticPr fontId="6" type="noConversion"/>
  </si>
  <si>
    <t>SUZLON</t>
    <phoneticPr fontId="6" type="noConversion"/>
  </si>
  <si>
    <t>BALRAMCHIN</t>
    <phoneticPr fontId="6" type="noConversion"/>
  </si>
  <si>
    <t>DATAPATTNS</t>
    <phoneticPr fontId="6" type="noConversion"/>
  </si>
  <si>
    <t>A000250</t>
    <phoneticPr fontId="6" type="noConversion"/>
  </si>
  <si>
    <t>A003550</t>
    <phoneticPr fontId="6" type="noConversion"/>
  </si>
  <si>
    <t>Capital Markets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</si>
</sst>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3" borderId="1" xfId="0" applyNumberFormat="1" applyFont="1" applyFill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0" borderId="1" xfId="0" applyNumberFormat="1" applyFont="1" applyBorder="1"/>
    <xf numFmtId="0" fontId="3" fillId="0" borderId="1" xfId="0" applyFont="1" applyBorder="1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quotePrefix="1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9" fillId="4" borderId="2" xfId="0" applyFont="1" applyFill="1" applyBorder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10" fillId="4" borderId="2" xfId="0" applyFont="1" applyFill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178" fontId="7" fillId="0" borderId="0" xfId="0" applyNumberFormat="1" applyFont="1" applyAlignment="1">
      <alignment vertical="center"/>
    </xf>
    <xf numFmtId="178" fontId="7" fillId="0" borderId="2" xfId="0" applyNumberFormat="1" applyFont="1" applyBorder="1" applyAlignment="1">
      <alignment vertical="center"/>
    </xf>
    <xf numFmtId="177" fontId="7" fillId="0" borderId="0" xfId="1" applyNumberFormat="1" applyFont="1" applyFill="1">
      <alignment vertical="center"/>
    </xf>
    <xf numFmtId="177" fontId="7" fillId="0" borderId="0" xfId="1" applyNumberFormat="1" applyFont="1" applyFill="1" applyBorder="1">
      <alignment vertical="center"/>
    </xf>
    <xf numFmtId="177" fontId="7" fillId="0" borderId="2" xfId="1" applyNumberFormat="1" applyFont="1" applyFill="1" applyBorder="1">
      <alignment vertical="center"/>
    </xf>
    <xf numFmtId="9" fontId="7" fillId="0" borderId="0" xfId="1" applyFont="1" applyFill="1">
      <alignment vertical="center"/>
    </xf>
    <xf numFmtId="9" fontId="7" fillId="0" borderId="0" xfId="1" applyFont="1" applyAlignment="1">
      <alignment horizontal="right" vertical="center"/>
    </xf>
    <xf numFmtId="9" fontId="7" fillId="0" borderId="2" xfId="1" applyFont="1" applyBorder="1" applyAlignment="1">
      <alignment horizontal="right" vertical="center"/>
    </xf>
    <xf numFmtId="9" fontId="7" fillId="0" borderId="0" xfId="1" applyFont="1">
      <alignment vertical="center"/>
    </xf>
    <xf numFmtId="9" fontId="7" fillId="0" borderId="0" xfId="1" applyFont="1" applyBorder="1">
      <alignment vertical="center"/>
    </xf>
    <xf numFmtId="9" fontId="7" fillId="0" borderId="2" xfId="1" applyFont="1" applyBorder="1">
      <alignment vertical="center"/>
    </xf>
    <xf numFmtId="176" fontId="2" fillId="5" borderId="0" xfId="0" applyNumberFormat="1" applyFont="1" applyFill="1"/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176" fontId="3" fillId="0" borderId="4" xfId="0" applyNumberFormat="1" applyFont="1" applyBorder="1"/>
    <xf numFmtId="3" fontId="3" fillId="0" borderId="4" xfId="0" applyNumberFormat="1" applyFont="1" applyBorder="1"/>
    <xf numFmtId="3" fontId="3" fillId="3" borderId="4" xfId="0" applyNumberFormat="1" applyFont="1" applyFill="1" applyBorder="1"/>
    <xf numFmtId="177" fontId="3" fillId="0" borderId="5" xfId="0" applyNumberFormat="1" applyFont="1" applyBorder="1"/>
    <xf numFmtId="177" fontId="3" fillId="0" borderId="4" xfId="0" applyNumberFormat="1" applyFont="1" applyBorder="1"/>
    <xf numFmtId="177" fontId="3" fillId="3" borderId="5" xfId="0" applyNumberFormat="1" applyFont="1" applyFill="1" applyBorder="1"/>
    <xf numFmtId="177" fontId="3" fillId="3" borderId="4" xfId="0" applyNumberFormat="1" applyFont="1" applyFill="1" applyBorder="1"/>
    <xf numFmtId="0" fontId="2" fillId="0" borderId="4" xfId="0" applyFont="1" applyBorder="1"/>
    <xf numFmtId="0" fontId="12" fillId="0" borderId="0" xfId="0" applyFont="1"/>
    <xf numFmtId="178" fontId="3" fillId="3" borderId="0" xfId="0" applyNumberFormat="1" applyFont="1" applyFill="1"/>
    <xf numFmtId="178" fontId="3" fillId="0" borderId="0" xfId="0" applyNumberFormat="1" applyFont="1"/>
    <xf numFmtId="178" fontId="3" fillId="0" borderId="4" xfId="0" applyNumberFormat="1" applyFont="1" applyBorder="1"/>
    <xf numFmtId="178" fontId="3" fillId="3" borderId="4" xfId="0" applyNumberFormat="1" applyFont="1" applyFill="1" applyBorder="1"/>
    <xf numFmtId="178" fontId="0" fillId="0" borderId="0" xfId="0" applyNumberFormat="1"/>
  </cellXfs>
  <cellStyles count="2">
    <cellStyle name="백분율" xfId="1" builtinId="5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47"/>
  <sheetViews>
    <sheetView workbookViewId="0">
      <selection activeCell="H18" sqref="H18"/>
    </sheetView>
  </sheetViews>
  <sheetFormatPr defaultRowHeight="16.5" x14ac:dyDescent="0.3"/>
  <cols>
    <col min="1" max="1" width="3" customWidth="1"/>
    <col min="2" max="2" width="12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>
        <v>2558170</v>
      </c>
    </row>
    <row r="5" spans="2:7" x14ac:dyDescent="0.3">
      <c r="B5" s="3" t="s">
        <v>12</v>
      </c>
      <c r="C5" s="3" t="s">
        <v>13</v>
      </c>
      <c r="D5" s="3" t="s">
        <v>9</v>
      </c>
      <c r="E5" s="3"/>
      <c r="F5" s="3" t="s">
        <v>11</v>
      </c>
      <c r="G5" s="4">
        <v>218501</v>
      </c>
    </row>
    <row r="6" spans="2:7" x14ac:dyDescent="0.3">
      <c r="B6" s="3" t="s">
        <v>14</v>
      </c>
      <c r="C6" s="3" t="s">
        <v>15</v>
      </c>
      <c r="D6" s="3" t="s">
        <v>9</v>
      </c>
      <c r="E6" s="3" t="s">
        <v>16</v>
      </c>
      <c r="F6" s="3" t="s">
        <v>11</v>
      </c>
      <c r="G6" s="4">
        <v>213382</v>
      </c>
    </row>
    <row r="7" spans="2:7" x14ac:dyDescent="0.3">
      <c r="B7" s="3" t="s">
        <v>17</v>
      </c>
      <c r="C7" s="3" t="s">
        <v>18</v>
      </c>
      <c r="D7" s="3" t="s">
        <v>9</v>
      </c>
      <c r="E7" s="3"/>
      <c r="F7" s="3" t="s">
        <v>11</v>
      </c>
      <c r="G7" s="4">
        <v>145037</v>
      </c>
    </row>
    <row r="8" spans="2:7" x14ac:dyDescent="0.3">
      <c r="B8" s="3">
        <v>6758</v>
      </c>
      <c r="C8" s="3" t="s">
        <v>19</v>
      </c>
      <c r="D8" s="3" t="s">
        <v>9</v>
      </c>
      <c r="E8" s="3" t="s">
        <v>16</v>
      </c>
      <c r="F8" s="3" t="s">
        <v>11</v>
      </c>
      <c r="G8" s="4">
        <v>133941</v>
      </c>
    </row>
    <row r="9" spans="2:7" x14ac:dyDescent="0.3">
      <c r="B9" s="3" t="s">
        <v>20</v>
      </c>
      <c r="C9" s="3" t="s">
        <v>21</v>
      </c>
      <c r="D9" s="3" t="s">
        <v>9</v>
      </c>
      <c r="E9" s="3" t="s">
        <v>16</v>
      </c>
      <c r="F9" s="3" t="s">
        <v>11</v>
      </c>
      <c r="G9" s="4">
        <v>128799</v>
      </c>
    </row>
    <row r="10" spans="2:7" x14ac:dyDescent="0.3">
      <c r="B10" s="3" t="s">
        <v>22</v>
      </c>
      <c r="C10" s="3" t="s">
        <v>23</v>
      </c>
      <c r="D10" s="3" t="s">
        <v>9</v>
      </c>
      <c r="E10" s="3"/>
      <c r="F10" s="3" t="s">
        <v>11</v>
      </c>
      <c r="G10" s="4">
        <v>119716</v>
      </c>
    </row>
    <row r="11" spans="2:7" x14ac:dyDescent="0.3">
      <c r="B11" s="3" t="s">
        <v>24</v>
      </c>
      <c r="C11" s="3" t="s">
        <v>25</v>
      </c>
      <c r="D11" s="3" t="s">
        <v>9</v>
      </c>
      <c r="E11" s="3" t="s">
        <v>16</v>
      </c>
      <c r="F11" s="3" t="s">
        <v>11</v>
      </c>
      <c r="G11" s="4">
        <v>112068</v>
      </c>
    </row>
    <row r="12" spans="2:7" x14ac:dyDescent="0.3">
      <c r="B12" s="3" t="s">
        <v>26</v>
      </c>
      <c r="C12" s="3" t="s">
        <v>27</v>
      </c>
      <c r="D12" s="3" t="s">
        <v>9</v>
      </c>
      <c r="E12" s="3" t="s">
        <v>16</v>
      </c>
      <c r="F12" s="3" t="s">
        <v>11</v>
      </c>
      <c r="G12" s="4">
        <v>101846</v>
      </c>
    </row>
    <row r="13" spans="2:7" x14ac:dyDescent="0.3">
      <c r="B13" s="3" t="s">
        <v>28</v>
      </c>
      <c r="C13" s="3" t="s">
        <v>29</v>
      </c>
      <c r="D13" s="3" t="s">
        <v>9</v>
      </c>
      <c r="E13" s="3"/>
      <c r="F13" s="3" t="s">
        <v>11</v>
      </c>
      <c r="G13" s="4">
        <v>99085.63</v>
      </c>
    </row>
    <row r="14" spans="2:7" x14ac:dyDescent="0.3">
      <c r="B14" s="3">
        <v>8058</v>
      </c>
      <c r="C14" s="3" t="s">
        <v>30</v>
      </c>
      <c r="D14" s="3" t="s">
        <v>9</v>
      </c>
      <c r="E14" s="3"/>
      <c r="F14" s="3" t="s">
        <v>11</v>
      </c>
      <c r="G14" s="4">
        <v>98651.89</v>
      </c>
    </row>
    <row r="15" spans="2:7" x14ac:dyDescent="0.3">
      <c r="B15" s="3">
        <v>8001</v>
      </c>
      <c r="C15" s="3" t="s">
        <v>31</v>
      </c>
      <c r="D15" s="3" t="s">
        <v>9</v>
      </c>
      <c r="E15" s="3"/>
      <c r="F15" s="3" t="s">
        <v>11</v>
      </c>
      <c r="G15" s="4">
        <v>89964.99</v>
      </c>
    </row>
    <row r="16" spans="2:7" x14ac:dyDescent="0.3">
      <c r="B16" s="3" t="s">
        <v>32</v>
      </c>
      <c r="C16" s="3" t="s">
        <v>33</v>
      </c>
      <c r="D16" s="3" t="s">
        <v>9</v>
      </c>
      <c r="E16" s="3"/>
      <c r="F16" s="3" t="s">
        <v>11</v>
      </c>
      <c r="G16" s="4">
        <v>80084.42</v>
      </c>
    </row>
    <row r="17" spans="2:7" x14ac:dyDescent="0.3">
      <c r="B17" s="3" t="s">
        <v>34</v>
      </c>
      <c r="C17" s="3" t="s">
        <v>35</v>
      </c>
      <c r="D17" s="3" t="s">
        <v>9</v>
      </c>
      <c r="E17" s="3" t="s">
        <v>16</v>
      </c>
      <c r="F17" s="3" t="s">
        <v>11</v>
      </c>
      <c r="G17" s="4">
        <v>79898.14</v>
      </c>
    </row>
    <row r="18" spans="2:7" x14ac:dyDescent="0.3">
      <c r="B18" s="3" t="s">
        <v>36</v>
      </c>
      <c r="C18" s="3" t="s">
        <v>37</v>
      </c>
      <c r="D18" s="3" t="s">
        <v>9</v>
      </c>
      <c r="E18" s="3" t="s">
        <v>16</v>
      </c>
      <c r="F18" s="3" t="s">
        <v>11</v>
      </c>
      <c r="G18" s="4">
        <v>77132.47</v>
      </c>
    </row>
    <row r="19" spans="2:7" x14ac:dyDescent="0.3">
      <c r="B19" s="3" t="s">
        <v>38</v>
      </c>
      <c r="C19" s="3" t="s">
        <v>39</v>
      </c>
      <c r="D19" s="3" t="s">
        <v>9</v>
      </c>
      <c r="E19" s="3" t="s">
        <v>16</v>
      </c>
      <c r="F19" s="3" t="s">
        <v>11</v>
      </c>
      <c r="G19" s="4">
        <v>73221.86</v>
      </c>
    </row>
    <row r="20" spans="2:7" x14ac:dyDescent="0.3">
      <c r="B20" s="3" t="s">
        <v>40</v>
      </c>
      <c r="C20" s="3" t="s">
        <v>41</v>
      </c>
      <c r="D20" s="3" t="s">
        <v>9</v>
      </c>
      <c r="E20" s="3" t="s">
        <v>10</v>
      </c>
      <c r="F20" s="3" t="s">
        <v>11</v>
      </c>
      <c r="G20" s="4">
        <v>60428.84</v>
      </c>
    </row>
    <row r="21" spans="2:7" x14ac:dyDescent="0.3">
      <c r="B21" s="3" t="s">
        <v>42</v>
      </c>
      <c r="C21" s="3" t="s">
        <v>43</v>
      </c>
      <c r="D21" s="3" t="s">
        <v>9</v>
      </c>
      <c r="E21" s="3" t="s">
        <v>10</v>
      </c>
      <c r="F21" s="3" t="s">
        <v>11</v>
      </c>
      <c r="G21" s="4">
        <v>57004.08</v>
      </c>
    </row>
    <row r="22" spans="2:7" x14ac:dyDescent="0.3">
      <c r="B22" s="3" t="s">
        <v>44</v>
      </c>
      <c r="C22" s="3" t="s">
        <v>45</v>
      </c>
      <c r="D22" s="3" t="s">
        <v>9</v>
      </c>
      <c r="E22" s="3"/>
      <c r="F22" s="3" t="s">
        <v>11</v>
      </c>
      <c r="G22" s="4">
        <v>56784.9</v>
      </c>
    </row>
    <row r="23" spans="2:7" x14ac:dyDescent="0.3">
      <c r="B23" s="3" t="s">
        <v>46</v>
      </c>
      <c r="C23" s="3" t="s">
        <v>47</v>
      </c>
      <c r="D23" s="3" t="s">
        <v>9</v>
      </c>
      <c r="E23" s="3"/>
      <c r="F23" s="3" t="s">
        <v>11</v>
      </c>
      <c r="G23" s="4">
        <v>56067.39</v>
      </c>
    </row>
    <row r="24" spans="2:7" x14ac:dyDescent="0.3">
      <c r="B24" s="3" t="s">
        <v>48</v>
      </c>
      <c r="C24" s="3" t="s">
        <v>49</v>
      </c>
      <c r="D24" s="3" t="s">
        <v>9</v>
      </c>
      <c r="E24" s="3" t="s">
        <v>10</v>
      </c>
      <c r="F24" s="3" t="s">
        <v>11</v>
      </c>
      <c r="G24" s="4">
        <v>53854.65</v>
      </c>
    </row>
    <row r="25" spans="2:7" x14ac:dyDescent="0.3">
      <c r="B25" s="3" t="s">
        <v>50</v>
      </c>
      <c r="C25" s="3" t="s">
        <v>51</v>
      </c>
      <c r="D25" s="3" t="s">
        <v>9</v>
      </c>
      <c r="E25" s="3" t="s">
        <v>16</v>
      </c>
      <c r="F25" s="3" t="s">
        <v>11</v>
      </c>
      <c r="G25" s="4">
        <v>51054.42</v>
      </c>
    </row>
    <row r="26" spans="2:7" x14ac:dyDescent="0.3">
      <c r="B26" s="3" t="s">
        <v>52</v>
      </c>
      <c r="C26" s="3" t="s">
        <v>53</v>
      </c>
      <c r="D26" s="3" t="s">
        <v>9</v>
      </c>
      <c r="E26" s="3" t="s">
        <v>16</v>
      </c>
      <c r="F26" s="3" t="s">
        <v>11</v>
      </c>
      <c r="G26" s="4">
        <v>50178.86</v>
      </c>
    </row>
    <row r="27" spans="2:7" x14ac:dyDescent="0.3">
      <c r="B27" s="3" t="s">
        <v>54</v>
      </c>
      <c r="C27" s="3" t="s">
        <v>55</v>
      </c>
      <c r="D27" s="3" t="s">
        <v>9</v>
      </c>
      <c r="E27" s="3"/>
      <c r="F27" s="3" t="s">
        <v>11</v>
      </c>
      <c r="G27" s="4">
        <v>49352.43</v>
      </c>
    </row>
    <row r="28" spans="2:7" x14ac:dyDescent="0.3">
      <c r="B28" s="3" t="s">
        <v>56</v>
      </c>
      <c r="C28" s="3" t="s">
        <v>57</v>
      </c>
      <c r="D28" s="3" t="s">
        <v>9</v>
      </c>
      <c r="E28" s="3" t="s">
        <v>10</v>
      </c>
      <c r="F28" s="3" t="s">
        <v>11</v>
      </c>
      <c r="G28" s="4">
        <v>48394.89</v>
      </c>
    </row>
    <row r="29" spans="2:7" x14ac:dyDescent="0.3">
      <c r="B29" s="3" t="s">
        <v>58</v>
      </c>
      <c r="C29" s="3" t="s">
        <v>59</v>
      </c>
      <c r="D29" s="3" t="s">
        <v>9</v>
      </c>
      <c r="E29" s="3" t="s">
        <v>16</v>
      </c>
      <c r="F29" s="3" t="s">
        <v>11</v>
      </c>
      <c r="G29" s="4">
        <v>47407.45</v>
      </c>
    </row>
    <row r="30" spans="2:7" x14ac:dyDescent="0.3">
      <c r="B30" s="3" t="s">
        <v>60</v>
      </c>
      <c r="C30" s="3" t="s">
        <v>61</v>
      </c>
      <c r="D30" s="3" t="s">
        <v>9</v>
      </c>
      <c r="E30" s="3" t="s">
        <v>10</v>
      </c>
      <c r="F30" s="3" t="s">
        <v>11</v>
      </c>
      <c r="G30" s="4">
        <v>46158.62</v>
      </c>
    </row>
    <row r="31" spans="2:7" x14ac:dyDescent="0.3">
      <c r="B31" s="3" t="s">
        <v>62</v>
      </c>
      <c r="C31" s="3" t="s">
        <v>63</v>
      </c>
      <c r="D31" s="3" t="s">
        <v>9</v>
      </c>
      <c r="E31" s="3"/>
      <c r="F31" s="3" t="s">
        <v>11</v>
      </c>
      <c r="G31" s="4">
        <v>45396.5</v>
      </c>
    </row>
    <row r="32" spans="2:7" x14ac:dyDescent="0.3">
      <c r="B32" s="3" t="s">
        <v>64</v>
      </c>
      <c r="C32" s="3" t="s">
        <v>65</v>
      </c>
      <c r="D32" s="3" t="s">
        <v>9</v>
      </c>
      <c r="E32" s="3" t="s">
        <v>16</v>
      </c>
      <c r="F32" s="3" t="s">
        <v>11</v>
      </c>
      <c r="G32" s="4">
        <v>44992.52</v>
      </c>
    </row>
    <row r="33" spans="2:7" x14ac:dyDescent="0.3">
      <c r="B33" s="3" t="s">
        <v>66</v>
      </c>
      <c r="C33" s="3" t="s">
        <v>67</v>
      </c>
      <c r="D33" s="3" t="s">
        <v>9</v>
      </c>
      <c r="E33" s="3" t="s">
        <v>10</v>
      </c>
      <c r="F33" s="3" t="s">
        <v>11</v>
      </c>
      <c r="G33" s="4">
        <v>43775.42</v>
      </c>
    </row>
    <row r="34" spans="2:7" x14ac:dyDescent="0.3">
      <c r="B34" s="3">
        <v>3711</v>
      </c>
      <c r="C34" s="3" t="s">
        <v>68</v>
      </c>
      <c r="D34" s="3" t="s">
        <v>9</v>
      </c>
      <c r="E34" s="3" t="s">
        <v>16</v>
      </c>
      <c r="F34" s="3" t="s">
        <v>11</v>
      </c>
      <c r="G34" s="4">
        <v>41944.43</v>
      </c>
    </row>
    <row r="35" spans="2:7" x14ac:dyDescent="0.3">
      <c r="B35" s="3" t="s">
        <v>69</v>
      </c>
      <c r="C35" s="3" t="s">
        <v>70</v>
      </c>
      <c r="D35" s="3" t="s">
        <v>9</v>
      </c>
      <c r="E35" s="3"/>
      <c r="F35" s="3" t="s">
        <v>11</v>
      </c>
      <c r="G35" s="4">
        <v>41459.449999999997</v>
      </c>
    </row>
    <row r="36" spans="2:7" x14ac:dyDescent="0.3">
      <c r="B36" s="3" t="s">
        <v>71</v>
      </c>
      <c r="C36" s="3" t="s">
        <v>72</v>
      </c>
      <c r="D36" s="3" t="s">
        <v>9</v>
      </c>
      <c r="E36" s="3"/>
      <c r="F36" s="3" t="s">
        <v>11</v>
      </c>
      <c r="G36" s="4">
        <v>41191.599999999999</v>
      </c>
    </row>
    <row r="37" spans="2:7" x14ac:dyDescent="0.3">
      <c r="B37" s="3" t="s">
        <v>73</v>
      </c>
      <c r="C37" s="3" t="s">
        <v>74</v>
      </c>
      <c r="D37" s="3" t="s">
        <v>9</v>
      </c>
      <c r="E37" s="3"/>
      <c r="F37" s="3" t="s">
        <v>11</v>
      </c>
      <c r="G37" s="4">
        <v>41185.25</v>
      </c>
    </row>
    <row r="38" spans="2:7" x14ac:dyDescent="0.3">
      <c r="B38" s="3" t="s">
        <v>75</v>
      </c>
      <c r="C38" s="3" t="s">
        <v>76</v>
      </c>
      <c r="D38" s="3" t="s">
        <v>9</v>
      </c>
      <c r="E38" s="3"/>
      <c r="F38" s="3" t="s">
        <v>11</v>
      </c>
      <c r="G38" s="4">
        <v>40476.9</v>
      </c>
    </row>
    <row r="39" spans="2:7" x14ac:dyDescent="0.3">
      <c r="B39" s="3" t="s">
        <v>77</v>
      </c>
      <c r="C39" s="3" t="s">
        <v>78</v>
      </c>
      <c r="D39" s="3" t="s">
        <v>9</v>
      </c>
      <c r="E39" s="3" t="s">
        <v>10</v>
      </c>
      <c r="F39" s="3" t="s">
        <v>11</v>
      </c>
      <c r="G39" s="4">
        <v>40371.379999999997</v>
      </c>
    </row>
    <row r="40" spans="2:7" x14ac:dyDescent="0.3">
      <c r="B40" s="3" t="s">
        <v>79</v>
      </c>
      <c r="C40" s="3" t="s">
        <v>80</v>
      </c>
      <c r="D40" s="3" t="s">
        <v>9</v>
      </c>
      <c r="E40" s="3"/>
      <c r="F40" s="3" t="s">
        <v>11</v>
      </c>
      <c r="G40" s="4">
        <v>40102.79</v>
      </c>
    </row>
    <row r="41" spans="2:7" x14ac:dyDescent="0.3">
      <c r="B41" s="3" t="s">
        <v>81</v>
      </c>
      <c r="C41" s="3" t="s">
        <v>82</v>
      </c>
      <c r="D41" s="3" t="s">
        <v>9</v>
      </c>
      <c r="E41" s="3" t="s">
        <v>16</v>
      </c>
      <c r="F41" s="3" t="s">
        <v>11</v>
      </c>
      <c r="G41" s="4">
        <v>37389.879999999997</v>
      </c>
    </row>
    <row r="42" spans="2:7" x14ac:dyDescent="0.3">
      <c r="B42" s="3" t="s">
        <v>83</v>
      </c>
      <c r="C42" s="3" t="s">
        <v>84</v>
      </c>
      <c r="D42" s="3" t="s">
        <v>9</v>
      </c>
      <c r="E42" s="3"/>
      <c r="F42" s="3" t="s">
        <v>11</v>
      </c>
      <c r="G42" s="4">
        <v>37137.72</v>
      </c>
    </row>
    <row r="43" spans="2:7" x14ac:dyDescent="0.3">
      <c r="B43" s="3" t="s">
        <v>85</v>
      </c>
      <c r="C43" s="3" t="s">
        <v>86</v>
      </c>
      <c r="D43" s="3" t="s">
        <v>9</v>
      </c>
      <c r="E43" s="3" t="s">
        <v>10</v>
      </c>
      <c r="F43" s="3" t="s">
        <v>11</v>
      </c>
      <c r="G43" s="4">
        <v>36850.54</v>
      </c>
    </row>
    <row r="44" spans="2:7" x14ac:dyDescent="0.3">
      <c r="B44" s="3" t="s">
        <v>87</v>
      </c>
      <c r="C44" s="3" t="s">
        <v>88</v>
      </c>
      <c r="D44" s="3" t="s">
        <v>9</v>
      </c>
      <c r="E44" s="3" t="s">
        <v>10</v>
      </c>
      <c r="F44" s="3" t="s">
        <v>11</v>
      </c>
      <c r="G44" s="4">
        <v>35358.36</v>
      </c>
    </row>
    <row r="45" spans="2:7" x14ac:dyDescent="0.3">
      <c r="B45" s="3" t="s">
        <v>89</v>
      </c>
      <c r="C45" s="3" t="s">
        <v>90</v>
      </c>
      <c r="D45" s="3" t="s">
        <v>9</v>
      </c>
      <c r="E45" s="3" t="s">
        <v>16</v>
      </c>
      <c r="F45" s="3" t="s">
        <v>11</v>
      </c>
      <c r="G45" s="4">
        <v>35323.699999999997</v>
      </c>
    </row>
    <row r="46" spans="2:7" x14ac:dyDescent="0.3">
      <c r="B46" s="3" t="s">
        <v>91</v>
      </c>
      <c r="C46" s="3" t="s">
        <v>92</v>
      </c>
      <c r="D46" s="3" t="s">
        <v>9</v>
      </c>
      <c r="E46" s="3"/>
      <c r="F46" s="3" t="s">
        <v>11</v>
      </c>
      <c r="G46" s="4">
        <v>34533.339999999997</v>
      </c>
    </row>
    <row r="47" spans="2:7" x14ac:dyDescent="0.3">
      <c r="B47" s="3" t="s">
        <v>93</v>
      </c>
      <c r="C47" s="3" t="s">
        <v>94</v>
      </c>
      <c r="D47" s="3" t="s">
        <v>9</v>
      </c>
      <c r="E47" s="3"/>
      <c r="F47" s="3" t="s">
        <v>11</v>
      </c>
      <c r="G47" s="4">
        <v>33851.660000000003</v>
      </c>
    </row>
    <row r="48" spans="2:7" x14ac:dyDescent="0.3">
      <c r="B48" s="3" t="s">
        <v>95</v>
      </c>
      <c r="C48" s="3" t="s">
        <v>96</v>
      </c>
      <c r="D48" s="3" t="s">
        <v>9</v>
      </c>
      <c r="E48" s="3"/>
      <c r="F48" s="3" t="s">
        <v>11</v>
      </c>
      <c r="G48" s="4">
        <v>31191.82</v>
      </c>
    </row>
    <row r="49" spans="2:7" x14ac:dyDescent="0.3">
      <c r="B49" s="3" t="s">
        <v>97</v>
      </c>
      <c r="C49" s="3" t="s">
        <v>98</v>
      </c>
      <c r="D49" s="3" t="s">
        <v>9</v>
      </c>
      <c r="E49" s="3"/>
      <c r="F49" s="3" t="s">
        <v>11</v>
      </c>
      <c r="G49" s="4">
        <v>30855.68</v>
      </c>
    </row>
    <row r="50" spans="2:7" x14ac:dyDescent="0.3">
      <c r="B50" s="3" t="s">
        <v>99</v>
      </c>
      <c r="C50" s="3" t="s">
        <v>100</v>
      </c>
      <c r="D50" s="3" t="s">
        <v>9</v>
      </c>
      <c r="E50" s="3"/>
      <c r="F50" s="3" t="s">
        <v>11</v>
      </c>
      <c r="G50" s="4">
        <v>29838.400000000001</v>
      </c>
    </row>
    <row r="51" spans="2:7" x14ac:dyDescent="0.3">
      <c r="B51" s="3">
        <v>7269</v>
      </c>
      <c r="C51" s="3" t="s">
        <v>101</v>
      </c>
      <c r="D51" s="3" t="s">
        <v>9</v>
      </c>
      <c r="E51" s="3"/>
      <c r="F51" s="3" t="s">
        <v>11</v>
      </c>
      <c r="G51" s="4">
        <v>28802.43</v>
      </c>
    </row>
    <row r="52" spans="2:7" x14ac:dyDescent="0.3">
      <c r="B52" s="3" t="s">
        <v>102</v>
      </c>
      <c r="C52" s="3" t="s">
        <v>103</v>
      </c>
      <c r="D52" s="3" t="s">
        <v>9</v>
      </c>
      <c r="E52" s="3"/>
      <c r="F52" s="3" t="s">
        <v>11</v>
      </c>
      <c r="G52" s="4">
        <v>27574.5</v>
      </c>
    </row>
    <row r="53" spans="2:7" x14ac:dyDescent="0.3">
      <c r="B53" s="3" t="s">
        <v>104</v>
      </c>
      <c r="C53" s="3" t="s">
        <v>105</v>
      </c>
      <c r="D53" s="3" t="s">
        <v>9</v>
      </c>
      <c r="E53" s="3" t="s">
        <v>16</v>
      </c>
      <c r="F53" s="3" t="s">
        <v>11</v>
      </c>
      <c r="G53" s="4">
        <v>26745.68</v>
      </c>
    </row>
    <row r="54" spans="2:7" x14ac:dyDescent="0.3">
      <c r="B54" s="3">
        <v>6723</v>
      </c>
      <c r="C54" s="3" t="s">
        <v>106</v>
      </c>
      <c r="D54" s="3" t="s">
        <v>9</v>
      </c>
      <c r="E54" s="3"/>
      <c r="F54" s="3" t="s">
        <v>11</v>
      </c>
      <c r="G54" s="4">
        <v>26688.6</v>
      </c>
    </row>
    <row r="55" spans="2:7" x14ac:dyDescent="0.3">
      <c r="B55" s="3">
        <v>4901</v>
      </c>
      <c r="C55" s="3" t="s">
        <v>107</v>
      </c>
      <c r="D55" s="3" t="s">
        <v>9</v>
      </c>
      <c r="E55" s="3"/>
      <c r="F55" s="3" t="s">
        <v>11</v>
      </c>
      <c r="G55" s="4">
        <v>26235.85</v>
      </c>
    </row>
    <row r="56" spans="2:7" x14ac:dyDescent="0.3">
      <c r="B56" s="3" t="s">
        <v>108</v>
      </c>
      <c r="C56" s="3" t="s">
        <v>109</v>
      </c>
      <c r="D56" s="3" t="s">
        <v>9</v>
      </c>
      <c r="E56" s="3"/>
      <c r="F56" s="3" t="s">
        <v>11</v>
      </c>
      <c r="G56" s="4">
        <v>25905.919999999998</v>
      </c>
    </row>
    <row r="57" spans="2:7" x14ac:dyDescent="0.3">
      <c r="B57" s="3" t="s">
        <v>110</v>
      </c>
      <c r="C57" s="3" t="s">
        <v>111</v>
      </c>
      <c r="D57" s="3" t="s">
        <v>9</v>
      </c>
      <c r="E57" s="3" t="s">
        <v>10</v>
      </c>
      <c r="F57" s="3" t="s">
        <v>11</v>
      </c>
      <c r="G57" s="4">
        <v>24676.31</v>
      </c>
    </row>
    <row r="58" spans="2:7" x14ac:dyDescent="0.3">
      <c r="B58" s="3" t="s">
        <v>112</v>
      </c>
      <c r="C58" s="3" t="s">
        <v>113</v>
      </c>
      <c r="D58" s="3" t="s">
        <v>9</v>
      </c>
      <c r="E58" s="3"/>
      <c r="F58" s="3" t="s">
        <v>11</v>
      </c>
      <c r="G58" s="4">
        <v>24484.04</v>
      </c>
    </row>
    <row r="59" spans="2:7" x14ac:dyDescent="0.3">
      <c r="B59" s="3" t="s">
        <v>114</v>
      </c>
      <c r="C59" s="3" t="s">
        <v>115</v>
      </c>
      <c r="D59" s="3" t="s">
        <v>9</v>
      </c>
      <c r="E59" s="3" t="s">
        <v>10</v>
      </c>
      <c r="F59" s="3" t="s">
        <v>11</v>
      </c>
      <c r="G59" s="4">
        <v>23604.65</v>
      </c>
    </row>
    <row r="60" spans="2:7" x14ac:dyDescent="0.3">
      <c r="B60" s="3" t="s">
        <v>116</v>
      </c>
      <c r="C60" s="3" t="s">
        <v>117</v>
      </c>
      <c r="D60" s="3" t="s">
        <v>9</v>
      </c>
      <c r="E60" s="3" t="s">
        <v>10</v>
      </c>
      <c r="F60" s="3" t="s">
        <v>11</v>
      </c>
      <c r="G60" s="4">
        <v>23125.87</v>
      </c>
    </row>
    <row r="61" spans="2:7" x14ac:dyDescent="0.3">
      <c r="B61" s="3" t="s">
        <v>118</v>
      </c>
      <c r="C61" s="3" t="s">
        <v>119</v>
      </c>
      <c r="D61" s="3" t="s">
        <v>9</v>
      </c>
      <c r="E61" s="3" t="s">
        <v>16</v>
      </c>
      <c r="F61" s="3" t="s">
        <v>11</v>
      </c>
      <c r="G61" s="4">
        <v>22678.13</v>
      </c>
    </row>
    <row r="62" spans="2:7" x14ac:dyDescent="0.3">
      <c r="B62" s="3" t="s">
        <v>120</v>
      </c>
      <c r="C62" s="3" t="s">
        <v>121</v>
      </c>
      <c r="D62" s="3" t="s">
        <v>9</v>
      </c>
      <c r="E62" s="3"/>
      <c r="F62" s="3" t="s">
        <v>11</v>
      </c>
      <c r="G62" s="4">
        <v>22549.040000000001</v>
      </c>
    </row>
    <row r="63" spans="2:7" x14ac:dyDescent="0.3">
      <c r="B63" s="3" t="s">
        <v>122</v>
      </c>
      <c r="C63" s="3" t="s">
        <v>123</v>
      </c>
      <c r="D63" s="3" t="s">
        <v>9</v>
      </c>
      <c r="E63" s="3"/>
      <c r="F63" s="3" t="s">
        <v>11</v>
      </c>
      <c r="G63" s="4">
        <v>22230.52</v>
      </c>
    </row>
    <row r="64" spans="2:7" x14ac:dyDescent="0.3">
      <c r="B64" s="3">
        <v>5401</v>
      </c>
      <c r="C64" s="3" t="s">
        <v>124</v>
      </c>
      <c r="D64" s="3" t="s">
        <v>9</v>
      </c>
      <c r="E64" s="3"/>
      <c r="F64" s="3" t="s">
        <v>11</v>
      </c>
      <c r="G64" s="4">
        <v>22022.21</v>
      </c>
    </row>
    <row r="65" spans="2:7" x14ac:dyDescent="0.3">
      <c r="B65" s="3" t="s">
        <v>125</v>
      </c>
      <c r="C65" s="3" t="s">
        <v>126</v>
      </c>
      <c r="D65" s="3" t="s">
        <v>9</v>
      </c>
      <c r="E65" s="3" t="s">
        <v>16</v>
      </c>
      <c r="F65" s="3" t="s">
        <v>11</v>
      </c>
      <c r="G65" s="4">
        <v>21813.64</v>
      </c>
    </row>
    <row r="66" spans="2:7" x14ac:dyDescent="0.3">
      <c r="B66" s="3">
        <v>2802</v>
      </c>
      <c r="C66" s="3" t="s">
        <v>127</v>
      </c>
      <c r="D66" s="3" t="s">
        <v>9</v>
      </c>
      <c r="E66" s="3"/>
      <c r="F66" s="3" t="s">
        <v>11</v>
      </c>
      <c r="G66" s="4">
        <v>21002.87</v>
      </c>
    </row>
    <row r="67" spans="2:7" x14ac:dyDescent="0.3">
      <c r="B67" s="3" t="s">
        <v>128</v>
      </c>
      <c r="C67" s="3" t="s">
        <v>129</v>
      </c>
      <c r="D67" s="3" t="s">
        <v>9</v>
      </c>
      <c r="E67" s="3" t="s">
        <v>10</v>
      </c>
      <c r="F67" s="3" t="s">
        <v>11</v>
      </c>
      <c r="G67" s="4">
        <v>20932.59</v>
      </c>
    </row>
    <row r="68" spans="2:7" x14ac:dyDescent="0.3">
      <c r="B68" s="3" t="s">
        <v>130</v>
      </c>
      <c r="C68" s="3" t="s">
        <v>131</v>
      </c>
      <c r="D68" s="3" t="s">
        <v>9</v>
      </c>
      <c r="E68" s="3"/>
      <c r="F68" s="3" t="s">
        <v>11</v>
      </c>
      <c r="G68" s="4">
        <v>20069.939999999999</v>
      </c>
    </row>
    <row r="69" spans="2:7" x14ac:dyDescent="0.3">
      <c r="B69" s="3" t="s">
        <v>132</v>
      </c>
      <c r="C69" s="3" t="s">
        <v>133</v>
      </c>
      <c r="D69" s="3" t="s">
        <v>9</v>
      </c>
      <c r="E69" s="3" t="s">
        <v>16</v>
      </c>
      <c r="F69" s="3" t="s">
        <v>11</v>
      </c>
      <c r="G69" s="4">
        <v>18735.02</v>
      </c>
    </row>
    <row r="70" spans="2:7" x14ac:dyDescent="0.3">
      <c r="B70" s="3" t="s">
        <v>134</v>
      </c>
      <c r="C70" s="3" t="s">
        <v>135</v>
      </c>
      <c r="D70" s="3" t="s">
        <v>9</v>
      </c>
      <c r="E70" s="3"/>
      <c r="F70" s="3" t="s">
        <v>11</v>
      </c>
      <c r="G70" s="4">
        <v>18122.599999999999</v>
      </c>
    </row>
    <row r="71" spans="2:7" x14ac:dyDescent="0.3">
      <c r="B71" s="3">
        <v>4452</v>
      </c>
      <c r="C71" s="3" t="s">
        <v>136</v>
      </c>
      <c r="D71" s="3" t="s">
        <v>9</v>
      </c>
      <c r="E71" s="3"/>
      <c r="F71" s="3" t="s">
        <v>11</v>
      </c>
      <c r="G71" s="4">
        <v>17760.21</v>
      </c>
    </row>
    <row r="72" spans="2:7" x14ac:dyDescent="0.3">
      <c r="B72" s="3" t="s">
        <v>137</v>
      </c>
      <c r="C72" s="3" t="s">
        <v>138</v>
      </c>
      <c r="D72" s="3" t="s">
        <v>9</v>
      </c>
      <c r="E72" s="3" t="s">
        <v>10</v>
      </c>
      <c r="F72" s="3" t="s">
        <v>11</v>
      </c>
      <c r="G72" s="4">
        <v>17647.490000000002</v>
      </c>
    </row>
    <row r="73" spans="2:7" x14ac:dyDescent="0.3">
      <c r="B73" s="3" t="s">
        <v>139</v>
      </c>
      <c r="C73" s="3" t="s">
        <v>140</v>
      </c>
      <c r="D73" s="3" t="s">
        <v>9</v>
      </c>
      <c r="E73" s="3" t="s">
        <v>10</v>
      </c>
      <c r="F73" s="3" t="s">
        <v>11</v>
      </c>
      <c r="G73" s="4">
        <v>17133.48</v>
      </c>
    </row>
    <row r="74" spans="2:7" x14ac:dyDescent="0.3">
      <c r="B74" s="3">
        <v>500570</v>
      </c>
      <c r="C74" s="3" t="s">
        <v>141</v>
      </c>
      <c r="D74" s="3" t="s">
        <v>9</v>
      </c>
      <c r="E74" s="3"/>
      <c r="F74" s="3" t="s">
        <v>11</v>
      </c>
      <c r="G74" s="4">
        <v>16870.72</v>
      </c>
    </row>
    <row r="75" spans="2:7" x14ac:dyDescent="0.3">
      <c r="B75" s="3" t="s">
        <v>142</v>
      </c>
      <c r="C75" s="3" t="s">
        <v>143</v>
      </c>
      <c r="D75" s="3" t="s">
        <v>9</v>
      </c>
      <c r="E75" s="3"/>
      <c r="F75" s="3" t="s">
        <v>11</v>
      </c>
      <c r="G75" s="4">
        <v>16204.39</v>
      </c>
    </row>
    <row r="76" spans="2:7" x14ac:dyDescent="0.3">
      <c r="B76" s="3" t="s">
        <v>144</v>
      </c>
      <c r="C76" s="3" t="s">
        <v>145</v>
      </c>
      <c r="D76" s="3" t="s">
        <v>9</v>
      </c>
      <c r="E76" s="3" t="s">
        <v>10</v>
      </c>
      <c r="F76" s="3" t="s">
        <v>11</v>
      </c>
      <c r="G76" s="4">
        <v>15702.96</v>
      </c>
    </row>
    <row r="77" spans="2:7" x14ac:dyDescent="0.3">
      <c r="B77" s="3" t="s">
        <v>146</v>
      </c>
      <c r="C77" s="3" t="s">
        <v>147</v>
      </c>
      <c r="D77" s="3" t="s">
        <v>9</v>
      </c>
      <c r="E77" s="3" t="s">
        <v>10</v>
      </c>
      <c r="F77" s="3" t="s">
        <v>11</v>
      </c>
      <c r="G77" s="4">
        <v>15696.54</v>
      </c>
    </row>
    <row r="78" spans="2:7" x14ac:dyDescent="0.3">
      <c r="B78" s="3" t="s">
        <v>148</v>
      </c>
      <c r="C78" s="3" t="s">
        <v>149</v>
      </c>
      <c r="D78" s="3" t="s">
        <v>9</v>
      </c>
      <c r="E78" s="3"/>
      <c r="F78" s="3" t="s">
        <v>11</v>
      </c>
      <c r="G78" s="4">
        <v>15322.29</v>
      </c>
    </row>
    <row r="79" spans="2:7" x14ac:dyDescent="0.3">
      <c r="B79" s="3" t="s">
        <v>150</v>
      </c>
      <c r="C79" s="3" t="s">
        <v>151</v>
      </c>
      <c r="D79" s="3" t="s">
        <v>9</v>
      </c>
      <c r="E79" s="3" t="s">
        <v>16</v>
      </c>
      <c r="F79" s="3" t="s">
        <v>11</v>
      </c>
      <c r="G79" s="4">
        <v>15132.43</v>
      </c>
    </row>
    <row r="80" spans="2:7" x14ac:dyDescent="0.3">
      <c r="B80" s="3" t="s">
        <v>152</v>
      </c>
      <c r="C80" s="3" t="s">
        <v>153</v>
      </c>
      <c r="D80" s="3" t="s">
        <v>9</v>
      </c>
      <c r="E80" s="3"/>
      <c r="F80" s="3" t="s">
        <v>11</v>
      </c>
      <c r="G80" s="4">
        <v>14575.43</v>
      </c>
    </row>
    <row r="81" spans="2:7" x14ac:dyDescent="0.3">
      <c r="B81" s="3" t="s">
        <v>154</v>
      </c>
      <c r="C81" s="3" t="s">
        <v>155</v>
      </c>
      <c r="D81" s="3" t="s">
        <v>9</v>
      </c>
      <c r="E81" s="3" t="s">
        <v>16</v>
      </c>
      <c r="F81" s="3" t="s">
        <v>11</v>
      </c>
      <c r="G81" s="4">
        <v>14130.48</v>
      </c>
    </row>
    <row r="82" spans="2:7" x14ac:dyDescent="0.3">
      <c r="B82" s="3" t="s">
        <v>156</v>
      </c>
      <c r="C82" s="3" t="s">
        <v>157</v>
      </c>
      <c r="D82" s="3" t="s">
        <v>9</v>
      </c>
      <c r="E82" s="3" t="s">
        <v>16</v>
      </c>
      <c r="F82" s="3" t="s">
        <v>11</v>
      </c>
      <c r="G82" s="4">
        <v>14018.69</v>
      </c>
    </row>
    <row r="83" spans="2:7" x14ac:dyDescent="0.3">
      <c r="B83" s="3" t="s">
        <v>158</v>
      </c>
      <c r="C83" s="3" t="s">
        <v>159</v>
      </c>
      <c r="D83" s="3" t="s">
        <v>9</v>
      </c>
      <c r="E83" s="3" t="s">
        <v>10</v>
      </c>
      <c r="F83" s="3" t="s">
        <v>11</v>
      </c>
      <c r="G83" s="4">
        <v>13724.14</v>
      </c>
    </row>
    <row r="84" spans="2:7" x14ac:dyDescent="0.3">
      <c r="B84" s="3" t="s">
        <v>160</v>
      </c>
      <c r="C84" s="3" t="s">
        <v>161</v>
      </c>
      <c r="D84" s="3" t="s">
        <v>9</v>
      </c>
      <c r="E84" s="3" t="s">
        <v>10</v>
      </c>
      <c r="F84" s="3" t="s">
        <v>11</v>
      </c>
      <c r="G84" s="4">
        <v>13721.56</v>
      </c>
    </row>
    <row r="85" spans="2:7" x14ac:dyDescent="0.3">
      <c r="B85" s="3" t="s">
        <v>162</v>
      </c>
      <c r="C85" s="3" t="s">
        <v>163</v>
      </c>
      <c r="D85" s="3" t="s">
        <v>9</v>
      </c>
      <c r="E85" s="3" t="s">
        <v>10</v>
      </c>
      <c r="F85" s="3" t="s">
        <v>11</v>
      </c>
      <c r="G85" s="4">
        <v>13526.28</v>
      </c>
    </row>
    <row r="86" spans="2:7" x14ac:dyDescent="0.3">
      <c r="B86" s="3" t="s">
        <v>164</v>
      </c>
      <c r="C86" s="3" t="s">
        <v>165</v>
      </c>
      <c r="D86" s="3" t="s">
        <v>9</v>
      </c>
      <c r="E86" s="3"/>
      <c r="F86" s="3" t="s">
        <v>11</v>
      </c>
      <c r="G86" s="4">
        <v>13140.7</v>
      </c>
    </row>
    <row r="87" spans="2:7" x14ac:dyDescent="0.3">
      <c r="B87" s="3" t="s">
        <v>166</v>
      </c>
      <c r="C87" s="3" t="s">
        <v>167</v>
      </c>
      <c r="D87" s="3" t="s">
        <v>9</v>
      </c>
      <c r="E87" s="3"/>
      <c r="F87" s="3" t="s">
        <v>11</v>
      </c>
      <c r="G87" s="4">
        <v>13091.55</v>
      </c>
    </row>
    <row r="88" spans="2:7" x14ac:dyDescent="0.3">
      <c r="B88" s="3" t="s">
        <v>168</v>
      </c>
      <c r="C88" s="3" t="s">
        <v>169</v>
      </c>
      <c r="D88" s="3" t="s">
        <v>9</v>
      </c>
      <c r="E88" s="3" t="s">
        <v>10</v>
      </c>
      <c r="F88" s="3" t="s">
        <v>11</v>
      </c>
      <c r="G88" s="4">
        <v>13050.87</v>
      </c>
    </row>
    <row r="89" spans="2:7" x14ac:dyDescent="0.3">
      <c r="B89" s="3" t="s">
        <v>170</v>
      </c>
      <c r="C89" s="3" t="s">
        <v>171</v>
      </c>
      <c r="D89" s="3" t="s">
        <v>9</v>
      </c>
      <c r="E89" s="3" t="s">
        <v>10</v>
      </c>
      <c r="F89" s="3" t="s">
        <v>11</v>
      </c>
      <c r="G89" s="4">
        <v>12978.56</v>
      </c>
    </row>
    <row r="90" spans="2:7" x14ac:dyDescent="0.3">
      <c r="B90" s="3" t="s">
        <v>172</v>
      </c>
      <c r="C90" s="3" t="s">
        <v>173</v>
      </c>
      <c r="D90" s="3" t="s">
        <v>9</v>
      </c>
      <c r="E90" s="3" t="s">
        <v>10</v>
      </c>
      <c r="F90" s="3" t="s">
        <v>11</v>
      </c>
      <c r="G90" s="4">
        <v>12412.2</v>
      </c>
    </row>
    <row r="91" spans="2:7" x14ac:dyDescent="0.3">
      <c r="B91" s="3">
        <v>543220</v>
      </c>
      <c r="C91" s="3" t="s">
        <v>174</v>
      </c>
      <c r="D91" s="3" t="s">
        <v>9</v>
      </c>
      <c r="E91" s="3"/>
      <c r="F91" s="3" t="s">
        <v>11</v>
      </c>
      <c r="G91" s="4">
        <v>11707.34</v>
      </c>
    </row>
    <row r="92" spans="2:7" x14ac:dyDescent="0.3">
      <c r="B92" s="3" t="s">
        <v>175</v>
      </c>
      <c r="C92" s="3" t="s">
        <v>176</v>
      </c>
      <c r="D92" s="3" t="s">
        <v>9</v>
      </c>
      <c r="E92" s="3"/>
      <c r="F92" s="3" t="s">
        <v>11</v>
      </c>
      <c r="G92" s="4">
        <v>11644.75</v>
      </c>
    </row>
    <row r="93" spans="2:7" x14ac:dyDescent="0.3">
      <c r="B93" s="3" t="s">
        <v>177</v>
      </c>
      <c r="C93" s="3" t="s">
        <v>178</v>
      </c>
      <c r="D93" s="3" t="s">
        <v>9</v>
      </c>
      <c r="E93" s="3" t="s">
        <v>16</v>
      </c>
      <c r="F93" s="3" t="s">
        <v>11</v>
      </c>
      <c r="G93" s="4">
        <v>11153.76</v>
      </c>
    </row>
    <row r="94" spans="2:7" x14ac:dyDescent="0.3">
      <c r="B94" s="3" t="s">
        <v>179</v>
      </c>
      <c r="C94" s="3" t="s">
        <v>180</v>
      </c>
      <c r="D94" s="3" t="s">
        <v>9</v>
      </c>
      <c r="E94" s="3" t="s">
        <v>10</v>
      </c>
      <c r="F94" s="3" t="s">
        <v>11</v>
      </c>
      <c r="G94" s="4">
        <v>11134.05</v>
      </c>
    </row>
    <row r="95" spans="2:7" x14ac:dyDescent="0.3">
      <c r="B95" s="3" t="s">
        <v>181</v>
      </c>
      <c r="C95" s="3" t="s">
        <v>182</v>
      </c>
      <c r="D95" s="3" t="s">
        <v>9</v>
      </c>
      <c r="E95" s="3"/>
      <c r="F95" s="3" t="s">
        <v>11</v>
      </c>
      <c r="G95" s="4">
        <v>11120.19</v>
      </c>
    </row>
    <row r="96" spans="2:7" x14ac:dyDescent="0.3">
      <c r="B96" s="3" t="s">
        <v>183</v>
      </c>
      <c r="C96" s="3" t="s">
        <v>184</v>
      </c>
      <c r="D96" s="3" t="s">
        <v>9</v>
      </c>
      <c r="E96" s="3" t="s">
        <v>16</v>
      </c>
      <c r="F96" s="3" t="s">
        <v>11</v>
      </c>
      <c r="G96" s="4">
        <v>11036.98</v>
      </c>
    </row>
    <row r="97" spans="2:7" x14ac:dyDescent="0.3">
      <c r="B97" s="3" t="s">
        <v>185</v>
      </c>
      <c r="C97" s="3" t="s">
        <v>186</v>
      </c>
      <c r="D97" s="3" t="s">
        <v>9</v>
      </c>
      <c r="E97" s="3"/>
      <c r="F97" s="3" t="s">
        <v>11</v>
      </c>
      <c r="G97" s="4">
        <v>11016.36</v>
      </c>
    </row>
    <row r="98" spans="2:7" x14ac:dyDescent="0.3">
      <c r="B98" s="3" t="s">
        <v>187</v>
      </c>
      <c r="C98" s="3" t="s">
        <v>188</v>
      </c>
      <c r="D98" s="3" t="s">
        <v>9</v>
      </c>
      <c r="E98" s="3"/>
      <c r="F98" s="3" t="s">
        <v>11</v>
      </c>
      <c r="G98" s="4">
        <v>11007.05</v>
      </c>
    </row>
    <row r="99" spans="2:7" x14ac:dyDescent="0.3">
      <c r="B99" s="3" t="s">
        <v>189</v>
      </c>
      <c r="C99" s="3" t="s">
        <v>190</v>
      </c>
      <c r="D99" s="3" t="s">
        <v>9</v>
      </c>
      <c r="E99" s="3"/>
      <c r="F99" s="3" t="s">
        <v>11</v>
      </c>
      <c r="G99" s="4">
        <v>10946.77</v>
      </c>
    </row>
    <row r="100" spans="2:7" x14ac:dyDescent="0.3">
      <c r="B100" s="3" t="s">
        <v>191</v>
      </c>
      <c r="C100" s="3" t="s">
        <v>192</v>
      </c>
      <c r="D100" s="3" t="s">
        <v>9</v>
      </c>
      <c r="E100" s="3"/>
      <c r="F100" s="3" t="s">
        <v>11</v>
      </c>
      <c r="G100" s="4">
        <v>10938.66</v>
      </c>
    </row>
    <row r="101" spans="2:7" x14ac:dyDescent="0.3">
      <c r="B101" s="3" t="s">
        <v>193</v>
      </c>
      <c r="C101" s="3" t="s">
        <v>194</v>
      </c>
      <c r="D101" s="3" t="s">
        <v>9</v>
      </c>
      <c r="E101" s="3"/>
      <c r="F101" s="3" t="s">
        <v>11</v>
      </c>
      <c r="G101" s="4">
        <v>10593.27</v>
      </c>
    </row>
    <row r="102" spans="2:7" x14ac:dyDescent="0.3">
      <c r="B102" s="3" t="s">
        <v>195</v>
      </c>
      <c r="C102" s="3" t="s">
        <v>196</v>
      </c>
      <c r="D102" s="3" t="s">
        <v>9</v>
      </c>
      <c r="E102" s="3"/>
      <c r="F102" s="3" t="s">
        <v>11</v>
      </c>
      <c r="G102" s="4">
        <v>10191.629999999999</v>
      </c>
    </row>
    <row r="103" spans="2:7" x14ac:dyDescent="0.3">
      <c r="B103" s="3" t="s">
        <v>197</v>
      </c>
      <c r="C103" s="3" t="s">
        <v>198</v>
      </c>
      <c r="D103" s="3" t="s">
        <v>9</v>
      </c>
      <c r="E103" s="3"/>
      <c r="F103" s="3" t="s">
        <v>11</v>
      </c>
      <c r="G103" s="4">
        <v>10148.75</v>
      </c>
    </row>
    <row r="104" spans="2:7" x14ac:dyDescent="0.3">
      <c r="B104" s="3" t="s">
        <v>199</v>
      </c>
      <c r="C104" s="3" t="s">
        <v>200</v>
      </c>
      <c r="D104" s="3" t="s">
        <v>9</v>
      </c>
      <c r="E104" s="3"/>
      <c r="F104" s="3" t="s">
        <v>11</v>
      </c>
      <c r="G104" s="4">
        <v>9830.41</v>
      </c>
    </row>
    <row r="105" spans="2:7" x14ac:dyDescent="0.3">
      <c r="B105" s="3" t="s">
        <v>201</v>
      </c>
      <c r="C105" s="3" t="s">
        <v>202</v>
      </c>
      <c r="D105" s="3" t="s">
        <v>9</v>
      </c>
      <c r="E105" s="3" t="s">
        <v>16</v>
      </c>
      <c r="F105" s="3" t="s">
        <v>11</v>
      </c>
      <c r="G105" s="4">
        <v>9488.39</v>
      </c>
    </row>
    <row r="106" spans="2:7" x14ac:dyDescent="0.3">
      <c r="B106" s="3" t="s">
        <v>203</v>
      </c>
      <c r="C106" s="3" t="s">
        <v>204</v>
      </c>
      <c r="D106" s="3" t="s">
        <v>9</v>
      </c>
      <c r="E106" s="3"/>
      <c r="F106" s="3" t="s">
        <v>11</v>
      </c>
      <c r="G106" s="4">
        <v>9474.17</v>
      </c>
    </row>
    <row r="107" spans="2:7" x14ac:dyDescent="0.3">
      <c r="B107" s="3" t="s">
        <v>205</v>
      </c>
      <c r="C107" s="3" t="s">
        <v>206</v>
      </c>
      <c r="D107" s="3" t="s">
        <v>9</v>
      </c>
      <c r="E107" s="3" t="s">
        <v>10</v>
      </c>
      <c r="F107" s="3" t="s">
        <v>11</v>
      </c>
      <c r="G107" s="4">
        <v>9472.43</v>
      </c>
    </row>
    <row r="108" spans="2:7" x14ac:dyDescent="0.3">
      <c r="B108" s="3" t="s">
        <v>207</v>
      </c>
      <c r="C108" s="3" t="s">
        <v>208</v>
      </c>
      <c r="D108" s="3" t="s">
        <v>9</v>
      </c>
      <c r="E108" s="3" t="s">
        <v>10</v>
      </c>
      <c r="F108" s="3" t="s">
        <v>11</v>
      </c>
      <c r="G108" s="4">
        <v>8891.73</v>
      </c>
    </row>
    <row r="109" spans="2:7" x14ac:dyDescent="0.3">
      <c r="B109" s="3" t="s">
        <v>209</v>
      </c>
      <c r="C109" s="3" t="s">
        <v>210</v>
      </c>
      <c r="D109" s="3" t="s">
        <v>9</v>
      </c>
      <c r="E109" s="3" t="s">
        <v>10</v>
      </c>
      <c r="F109" s="3" t="s">
        <v>11</v>
      </c>
      <c r="G109" s="4">
        <v>8776.6</v>
      </c>
    </row>
    <row r="110" spans="2:7" x14ac:dyDescent="0.3">
      <c r="B110" s="3" t="s">
        <v>211</v>
      </c>
      <c r="C110" s="3" t="s">
        <v>212</v>
      </c>
      <c r="D110" s="3" t="s">
        <v>9</v>
      </c>
      <c r="E110" s="3" t="s">
        <v>16</v>
      </c>
      <c r="F110" s="3" t="s">
        <v>11</v>
      </c>
      <c r="G110" s="4">
        <v>8749.58</v>
      </c>
    </row>
    <row r="111" spans="2:7" x14ac:dyDescent="0.3">
      <c r="B111" s="3">
        <v>7186</v>
      </c>
      <c r="C111" s="3" t="s">
        <v>213</v>
      </c>
      <c r="D111" s="3" t="s">
        <v>9</v>
      </c>
      <c r="E111" s="3"/>
      <c r="F111" s="3" t="s">
        <v>11</v>
      </c>
      <c r="G111" s="4">
        <v>8721.64</v>
      </c>
    </row>
    <row r="112" spans="2:7" x14ac:dyDescent="0.3">
      <c r="B112" s="3" t="s">
        <v>214</v>
      </c>
      <c r="C112" s="3" t="s">
        <v>215</v>
      </c>
      <c r="D112" s="3" t="s">
        <v>9</v>
      </c>
      <c r="E112" s="3" t="s">
        <v>10</v>
      </c>
      <c r="F112" s="3" t="s">
        <v>11</v>
      </c>
      <c r="G112" s="4">
        <v>8679.99</v>
      </c>
    </row>
    <row r="113" spans="2:7" x14ac:dyDescent="0.3">
      <c r="B113" s="3" t="s">
        <v>216</v>
      </c>
      <c r="C113" s="3" t="s">
        <v>217</v>
      </c>
      <c r="D113" s="3" t="s">
        <v>9</v>
      </c>
      <c r="E113" s="3" t="s">
        <v>16</v>
      </c>
      <c r="F113" s="3" t="s">
        <v>11</v>
      </c>
      <c r="G113" s="4">
        <v>8638.4599999999991</v>
      </c>
    </row>
    <row r="114" spans="2:7" x14ac:dyDescent="0.3">
      <c r="B114" s="3" t="s">
        <v>218</v>
      </c>
      <c r="C114" s="3" t="s">
        <v>219</v>
      </c>
      <c r="D114" s="3" t="s">
        <v>9</v>
      </c>
      <c r="E114" s="3" t="s">
        <v>10</v>
      </c>
      <c r="F114" s="3" t="s">
        <v>11</v>
      </c>
      <c r="G114" s="4">
        <v>8585.91</v>
      </c>
    </row>
    <row r="115" spans="2:7" x14ac:dyDescent="0.3">
      <c r="B115" s="3">
        <v>532539</v>
      </c>
      <c r="C115" s="3" t="s">
        <v>220</v>
      </c>
      <c r="D115" s="3" t="s">
        <v>9</v>
      </c>
      <c r="E115" s="3"/>
      <c r="F115" s="3" t="s">
        <v>11</v>
      </c>
      <c r="G115" s="4">
        <v>8549.69</v>
      </c>
    </row>
    <row r="116" spans="2:7" x14ac:dyDescent="0.3">
      <c r="B116" s="3" t="s">
        <v>221</v>
      </c>
      <c r="C116" s="3" t="s">
        <v>222</v>
      </c>
      <c r="D116" s="3" t="s">
        <v>9</v>
      </c>
      <c r="E116" s="3"/>
      <c r="F116" s="3" t="s">
        <v>11</v>
      </c>
      <c r="G116" s="4">
        <v>8504.6</v>
      </c>
    </row>
    <row r="117" spans="2:7" x14ac:dyDescent="0.3">
      <c r="B117" s="3" t="s">
        <v>223</v>
      </c>
      <c r="C117" s="3" t="s">
        <v>224</v>
      </c>
      <c r="D117" s="3" t="s">
        <v>9</v>
      </c>
      <c r="E117" s="3"/>
      <c r="F117" s="3" t="s">
        <v>11</v>
      </c>
      <c r="G117" s="4">
        <v>8409.26</v>
      </c>
    </row>
    <row r="118" spans="2:7" x14ac:dyDescent="0.3">
      <c r="B118" s="3" t="s">
        <v>225</v>
      </c>
      <c r="C118" s="3" t="s">
        <v>226</v>
      </c>
      <c r="D118" s="3" t="s">
        <v>9</v>
      </c>
      <c r="E118" s="3"/>
      <c r="F118" s="3" t="s">
        <v>11</v>
      </c>
      <c r="G118" s="4">
        <v>8399.36</v>
      </c>
    </row>
    <row r="119" spans="2:7" x14ac:dyDescent="0.3">
      <c r="B119" s="3" t="s">
        <v>227</v>
      </c>
      <c r="C119" s="3" t="s">
        <v>228</v>
      </c>
      <c r="D119" s="3" t="s">
        <v>9</v>
      </c>
      <c r="E119" s="3"/>
      <c r="F119" s="3" t="s">
        <v>11</v>
      </c>
      <c r="G119" s="4">
        <v>8338.81</v>
      </c>
    </row>
    <row r="120" spans="2:7" x14ac:dyDescent="0.3">
      <c r="B120" s="3" t="s">
        <v>229</v>
      </c>
      <c r="C120" s="3" t="s">
        <v>230</v>
      </c>
      <c r="D120" s="3" t="s">
        <v>9</v>
      </c>
      <c r="E120" s="3"/>
      <c r="F120" s="3" t="s">
        <v>11</v>
      </c>
      <c r="G120" s="4">
        <v>8296.35</v>
      </c>
    </row>
    <row r="121" spans="2:7" x14ac:dyDescent="0.3">
      <c r="B121" s="3" t="s">
        <v>231</v>
      </c>
      <c r="C121" s="3" t="s">
        <v>232</v>
      </c>
      <c r="D121" s="3" t="s">
        <v>9</v>
      </c>
      <c r="E121" s="3"/>
      <c r="F121" s="3" t="s">
        <v>11</v>
      </c>
      <c r="G121" s="4">
        <v>8294.7199999999993</v>
      </c>
    </row>
    <row r="122" spans="2:7" x14ac:dyDescent="0.3">
      <c r="B122" s="3" t="s">
        <v>233</v>
      </c>
      <c r="C122" s="3" t="s">
        <v>234</v>
      </c>
      <c r="D122" s="3" t="s">
        <v>9</v>
      </c>
      <c r="E122" s="3" t="s">
        <v>16</v>
      </c>
      <c r="F122" s="3" t="s">
        <v>11</v>
      </c>
      <c r="G122" s="4">
        <v>8258.89</v>
      </c>
    </row>
    <row r="123" spans="2:7" x14ac:dyDescent="0.3">
      <c r="B123" s="3">
        <v>7701</v>
      </c>
      <c r="C123" s="3" t="s">
        <v>235</v>
      </c>
      <c r="D123" s="3" t="s">
        <v>9</v>
      </c>
      <c r="E123" s="3"/>
      <c r="F123" s="3" t="s">
        <v>11</v>
      </c>
      <c r="G123" s="4">
        <v>8207.67</v>
      </c>
    </row>
    <row r="124" spans="2:7" x14ac:dyDescent="0.3">
      <c r="B124" s="3">
        <v>6479</v>
      </c>
      <c r="C124" s="3" t="s">
        <v>236</v>
      </c>
      <c r="D124" s="3" t="s">
        <v>9</v>
      </c>
      <c r="E124" s="3"/>
      <c r="F124" s="3" t="s">
        <v>11</v>
      </c>
      <c r="G124" s="4">
        <v>8164.29</v>
      </c>
    </row>
    <row r="125" spans="2:7" x14ac:dyDescent="0.3">
      <c r="B125" s="3" t="s">
        <v>237</v>
      </c>
      <c r="C125" s="3" t="s">
        <v>238</v>
      </c>
      <c r="D125" s="3" t="s">
        <v>9</v>
      </c>
      <c r="E125" s="3" t="s">
        <v>16</v>
      </c>
      <c r="F125" s="3" t="s">
        <v>11</v>
      </c>
      <c r="G125" s="4">
        <v>8106.74</v>
      </c>
    </row>
    <row r="126" spans="2:7" x14ac:dyDescent="0.3">
      <c r="B126" s="3">
        <v>2801</v>
      </c>
      <c r="C126" s="3" t="s">
        <v>239</v>
      </c>
      <c r="D126" s="3" t="s">
        <v>9</v>
      </c>
      <c r="E126" s="3"/>
      <c r="F126" s="3" t="s">
        <v>11</v>
      </c>
      <c r="G126" s="4">
        <v>7905.38</v>
      </c>
    </row>
    <row r="127" spans="2:7" x14ac:dyDescent="0.3">
      <c r="B127" s="3" t="s">
        <v>753</v>
      </c>
      <c r="C127" s="3" t="s">
        <v>240</v>
      </c>
      <c r="D127" s="3" t="s">
        <v>9</v>
      </c>
      <c r="E127" s="3"/>
      <c r="F127" s="3" t="s">
        <v>11</v>
      </c>
      <c r="G127" s="4">
        <v>7880.42</v>
      </c>
    </row>
    <row r="128" spans="2:7" x14ac:dyDescent="0.3">
      <c r="B128" s="3" t="s">
        <v>241</v>
      </c>
      <c r="C128" s="3" t="s">
        <v>242</v>
      </c>
      <c r="D128" s="3" t="s">
        <v>9</v>
      </c>
      <c r="E128" s="3" t="s">
        <v>10</v>
      </c>
      <c r="F128" s="3" t="s">
        <v>11</v>
      </c>
      <c r="G128" s="4">
        <v>7851.75</v>
      </c>
    </row>
    <row r="129" spans="2:7" x14ac:dyDescent="0.3">
      <c r="B129" s="3" t="s">
        <v>243</v>
      </c>
      <c r="C129" s="3" t="s">
        <v>244</v>
      </c>
      <c r="D129" s="3" t="s">
        <v>9</v>
      </c>
      <c r="E129" s="3"/>
      <c r="F129" s="3" t="s">
        <v>11</v>
      </c>
      <c r="G129" s="4">
        <v>7837.63</v>
      </c>
    </row>
    <row r="130" spans="2:7" x14ac:dyDescent="0.3">
      <c r="B130" s="3" t="s">
        <v>245</v>
      </c>
      <c r="C130" s="3" t="s">
        <v>246</v>
      </c>
      <c r="D130" s="3" t="s">
        <v>9</v>
      </c>
      <c r="E130" s="3"/>
      <c r="F130" s="3" t="s">
        <v>11</v>
      </c>
      <c r="G130" s="4">
        <v>7829.41</v>
      </c>
    </row>
    <row r="131" spans="2:7" x14ac:dyDescent="0.3">
      <c r="B131" s="3" t="s">
        <v>247</v>
      </c>
      <c r="C131" s="3" t="s">
        <v>248</v>
      </c>
      <c r="D131" s="3" t="s">
        <v>9</v>
      </c>
      <c r="E131" s="3"/>
      <c r="F131" s="3" t="s">
        <v>11</v>
      </c>
      <c r="G131" s="4">
        <v>7786.36</v>
      </c>
    </row>
    <row r="132" spans="2:7" x14ac:dyDescent="0.3">
      <c r="B132" s="3">
        <v>5411</v>
      </c>
      <c r="C132" s="3" t="s">
        <v>249</v>
      </c>
      <c r="D132" s="3" t="s">
        <v>9</v>
      </c>
      <c r="E132" s="3"/>
      <c r="F132" s="3" t="s">
        <v>11</v>
      </c>
      <c r="G132" s="4">
        <v>7752.05</v>
      </c>
    </row>
    <row r="133" spans="2:7" x14ac:dyDescent="0.3">
      <c r="B133" s="3" t="s">
        <v>250</v>
      </c>
      <c r="C133" s="3" t="s">
        <v>251</v>
      </c>
      <c r="D133" s="3" t="s">
        <v>9</v>
      </c>
      <c r="E133" s="3"/>
      <c r="F133" s="3" t="s">
        <v>11</v>
      </c>
      <c r="G133" s="4">
        <v>7746.03</v>
      </c>
    </row>
    <row r="134" spans="2:7" x14ac:dyDescent="0.3">
      <c r="B134" s="3" t="s">
        <v>252</v>
      </c>
      <c r="C134" s="3" t="s">
        <v>253</v>
      </c>
      <c r="D134" s="3" t="s">
        <v>9</v>
      </c>
      <c r="E134" s="3"/>
      <c r="F134" s="3" t="s">
        <v>11</v>
      </c>
      <c r="G134" s="4">
        <v>7512.53</v>
      </c>
    </row>
    <row r="135" spans="2:7" x14ac:dyDescent="0.3">
      <c r="B135" s="3" t="s">
        <v>254</v>
      </c>
      <c r="C135" s="3" t="s">
        <v>255</v>
      </c>
      <c r="D135" s="3" t="s">
        <v>9</v>
      </c>
      <c r="E135" s="3"/>
      <c r="F135" s="3" t="s">
        <v>11</v>
      </c>
      <c r="G135" s="4">
        <v>7506.83</v>
      </c>
    </row>
    <row r="136" spans="2:7" x14ac:dyDescent="0.3">
      <c r="B136" s="3" t="s">
        <v>256</v>
      </c>
      <c r="C136" s="3" t="s">
        <v>257</v>
      </c>
      <c r="D136" s="3" t="s">
        <v>9</v>
      </c>
      <c r="E136" s="3"/>
      <c r="F136" s="3" t="s">
        <v>11</v>
      </c>
      <c r="G136" s="4">
        <v>7460.81</v>
      </c>
    </row>
    <row r="137" spans="2:7" x14ac:dyDescent="0.3">
      <c r="B137" s="3" t="s">
        <v>258</v>
      </c>
      <c r="C137" s="3" t="s">
        <v>259</v>
      </c>
      <c r="D137" s="3" t="s">
        <v>9</v>
      </c>
      <c r="E137" s="3"/>
      <c r="F137" s="3" t="s">
        <v>11</v>
      </c>
      <c r="G137" s="4">
        <v>7448.53</v>
      </c>
    </row>
    <row r="138" spans="2:7" x14ac:dyDescent="0.3">
      <c r="B138" s="3">
        <v>509480</v>
      </c>
      <c r="C138" s="3" t="s">
        <v>260</v>
      </c>
      <c r="D138" s="3" t="s">
        <v>9</v>
      </c>
      <c r="E138" s="3"/>
      <c r="F138" s="3" t="s">
        <v>11</v>
      </c>
      <c r="G138" s="4">
        <v>7366.52</v>
      </c>
    </row>
    <row r="139" spans="2:7" x14ac:dyDescent="0.3">
      <c r="B139" s="3" t="s">
        <v>261</v>
      </c>
      <c r="C139" s="3" t="s">
        <v>262</v>
      </c>
      <c r="D139" s="3" t="s">
        <v>9</v>
      </c>
      <c r="E139" s="3" t="s">
        <v>16</v>
      </c>
      <c r="F139" s="3" t="s">
        <v>11</v>
      </c>
      <c r="G139" s="4">
        <v>7194.75</v>
      </c>
    </row>
    <row r="140" spans="2:7" x14ac:dyDescent="0.3">
      <c r="B140" s="3" t="s">
        <v>263</v>
      </c>
      <c r="C140" s="3" t="s">
        <v>264</v>
      </c>
      <c r="D140" s="3" t="s">
        <v>9</v>
      </c>
      <c r="E140" s="3" t="s">
        <v>10</v>
      </c>
      <c r="F140" s="3" t="s">
        <v>11</v>
      </c>
      <c r="G140" s="4">
        <v>6906.02</v>
      </c>
    </row>
    <row r="141" spans="2:7" x14ac:dyDescent="0.3">
      <c r="B141" s="3" t="s">
        <v>265</v>
      </c>
      <c r="C141" s="3" t="s">
        <v>266</v>
      </c>
      <c r="D141" s="3" t="s">
        <v>9</v>
      </c>
      <c r="E141" s="3"/>
      <c r="F141" s="3" t="s">
        <v>11</v>
      </c>
      <c r="G141" s="4">
        <v>6593.72</v>
      </c>
    </row>
    <row r="142" spans="2:7" x14ac:dyDescent="0.3">
      <c r="B142" s="3" t="s">
        <v>267</v>
      </c>
      <c r="C142" s="3" t="s">
        <v>268</v>
      </c>
      <c r="D142" s="3" t="s">
        <v>9</v>
      </c>
      <c r="E142" s="3" t="s">
        <v>16</v>
      </c>
      <c r="F142" s="3" t="s">
        <v>11</v>
      </c>
      <c r="G142" s="4">
        <v>6429.34</v>
      </c>
    </row>
    <row r="143" spans="2:7" x14ac:dyDescent="0.3">
      <c r="B143" s="3" t="s">
        <v>269</v>
      </c>
      <c r="C143" s="3" t="s">
        <v>270</v>
      </c>
      <c r="D143" s="3" t="s">
        <v>9</v>
      </c>
      <c r="E143" s="3"/>
      <c r="F143" s="3" t="s">
        <v>11</v>
      </c>
      <c r="G143" s="4">
        <v>6169.91</v>
      </c>
    </row>
    <row r="144" spans="2:7" x14ac:dyDescent="0.3">
      <c r="B144" s="3">
        <v>1590</v>
      </c>
      <c r="C144" s="3" t="s">
        <v>271</v>
      </c>
      <c r="D144" s="3" t="s">
        <v>9</v>
      </c>
      <c r="E144" s="3"/>
      <c r="F144" s="3" t="s">
        <v>11</v>
      </c>
      <c r="G144" s="4">
        <v>6125.05</v>
      </c>
    </row>
    <row r="145" spans="2:7" x14ac:dyDescent="0.3">
      <c r="B145" s="3" t="s">
        <v>272</v>
      </c>
      <c r="C145" s="3" t="s">
        <v>273</v>
      </c>
      <c r="D145" s="3" t="s">
        <v>9</v>
      </c>
      <c r="E145" s="3"/>
      <c r="F145" s="3" t="s">
        <v>11</v>
      </c>
      <c r="G145" s="4">
        <v>6046.86</v>
      </c>
    </row>
    <row r="146" spans="2:7" x14ac:dyDescent="0.3">
      <c r="B146" s="3">
        <v>9404</v>
      </c>
      <c r="C146" s="3" t="s">
        <v>274</v>
      </c>
      <c r="D146" s="3" t="s">
        <v>9</v>
      </c>
      <c r="E146" s="3"/>
      <c r="F146" s="3" t="s">
        <v>11</v>
      </c>
      <c r="G146" s="4">
        <v>5965.02</v>
      </c>
    </row>
    <row r="147" spans="2:7" x14ac:dyDescent="0.3">
      <c r="B147" s="3" t="s">
        <v>275</v>
      </c>
      <c r="C147" s="3" t="s">
        <v>276</v>
      </c>
      <c r="D147" s="3" t="s">
        <v>9</v>
      </c>
      <c r="E147" s="3"/>
      <c r="F147" s="3" t="s">
        <v>11</v>
      </c>
      <c r="G147" s="4">
        <v>5915.39</v>
      </c>
    </row>
    <row r="148" spans="2:7" x14ac:dyDescent="0.3">
      <c r="B148" s="3" t="s">
        <v>277</v>
      </c>
      <c r="C148" s="3" t="s">
        <v>278</v>
      </c>
      <c r="D148" s="3" t="s">
        <v>9</v>
      </c>
      <c r="E148" s="3" t="s">
        <v>10</v>
      </c>
      <c r="F148" s="3" t="s">
        <v>11</v>
      </c>
      <c r="G148" s="4">
        <v>5819.75</v>
      </c>
    </row>
    <row r="149" spans="2:7" x14ac:dyDescent="0.3">
      <c r="B149" s="3">
        <v>9401</v>
      </c>
      <c r="C149" s="3" t="s">
        <v>279</v>
      </c>
      <c r="D149" s="3" t="s">
        <v>9</v>
      </c>
      <c r="E149" s="3"/>
      <c r="F149" s="3" t="s">
        <v>11</v>
      </c>
      <c r="G149" s="4">
        <v>5818.21</v>
      </c>
    </row>
    <row r="150" spans="2:7" x14ac:dyDescent="0.3">
      <c r="B150" s="3" t="s">
        <v>280</v>
      </c>
      <c r="C150" s="3" t="s">
        <v>281</v>
      </c>
      <c r="D150" s="3" t="s">
        <v>9</v>
      </c>
      <c r="E150" s="3"/>
      <c r="F150" s="3" t="s">
        <v>11</v>
      </c>
      <c r="G150" s="4">
        <v>5722.7</v>
      </c>
    </row>
    <row r="151" spans="2:7" x14ac:dyDescent="0.3">
      <c r="B151" s="3" t="s">
        <v>282</v>
      </c>
      <c r="C151" s="3" t="s">
        <v>283</v>
      </c>
      <c r="D151" s="3" t="s">
        <v>9</v>
      </c>
      <c r="E151" s="3"/>
      <c r="F151" s="3" t="s">
        <v>11</v>
      </c>
      <c r="G151" s="4">
        <v>5362.33</v>
      </c>
    </row>
    <row r="152" spans="2:7" x14ac:dyDescent="0.3">
      <c r="B152" s="3" t="s">
        <v>284</v>
      </c>
      <c r="C152" s="3" t="s">
        <v>285</v>
      </c>
      <c r="D152" s="3" t="s">
        <v>9</v>
      </c>
      <c r="E152" s="3" t="s">
        <v>16</v>
      </c>
      <c r="F152" s="3" t="s">
        <v>11</v>
      </c>
      <c r="G152" s="4">
        <v>5311.11</v>
      </c>
    </row>
    <row r="153" spans="2:7" x14ac:dyDescent="0.3">
      <c r="B153" s="3" t="s">
        <v>286</v>
      </c>
      <c r="C153" s="3" t="s">
        <v>287</v>
      </c>
      <c r="D153" s="3" t="s">
        <v>9</v>
      </c>
      <c r="E153" s="3" t="s">
        <v>10</v>
      </c>
      <c r="F153" s="3" t="s">
        <v>11</v>
      </c>
      <c r="G153" s="4">
        <v>5222.2</v>
      </c>
    </row>
    <row r="154" spans="2:7" x14ac:dyDescent="0.3">
      <c r="B154" s="3" t="s">
        <v>288</v>
      </c>
      <c r="C154" s="3" t="s">
        <v>289</v>
      </c>
      <c r="D154" s="3" t="s">
        <v>9</v>
      </c>
      <c r="E154" s="3" t="s">
        <v>10</v>
      </c>
      <c r="F154" s="3" t="s">
        <v>11</v>
      </c>
      <c r="G154" s="4">
        <v>5215.24</v>
      </c>
    </row>
    <row r="155" spans="2:7" x14ac:dyDescent="0.3">
      <c r="B155" s="3" t="s">
        <v>290</v>
      </c>
      <c r="C155" s="3" t="s">
        <v>291</v>
      </c>
      <c r="D155" s="3" t="s">
        <v>9</v>
      </c>
      <c r="E155" s="3" t="s">
        <v>10</v>
      </c>
      <c r="F155" s="3" t="s">
        <v>11</v>
      </c>
      <c r="G155" s="4">
        <v>5200.13</v>
      </c>
    </row>
    <row r="156" spans="2:7" x14ac:dyDescent="0.3">
      <c r="B156" s="3">
        <v>6645</v>
      </c>
      <c r="C156" s="3" t="s">
        <v>292</v>
      </c>
      <c r="D156" s="3" t="s">
        <v>9</v>
      </c>
      <c r="E156" s="3"/>
      <c r="F156" s="3" t="s">
        <v>11</v>
      </c>
      <c r="G156" s="4">
        <v>5147.01</v>
      </c>
    </row>
    <row r="157" spans="2:7" x14ac:dyDescent="0.3">
      <c r="B157" s="3" t="s">
        <v>293</v>
      </c>
      <c r="C157" s="3" t="s">
        <v>294</v>
      </c>
      <c r="D157" s="3" t="s">
        <v>9</v>
      </c>
      <c r="E157" s="3"/>
      <c r="F157" s="3" t="s">
        <v>11</v>
      </c>
      <c r="G157" s="4">
        <v>5128.13</v>
      </c>
    </row>
    <row r="158" spans="2:7" x14ac:dyDescent="0.3">
      <c r="B158" s="3">
        <v>7752</v>
      </c>
      <c r="C158" s="3" t="s">
        <v>295</v>
      </c>
      <c r="D158" s="3" t="s">
        <v>9</v>
      </c>
      <c r="E158" s="3"/>
      <c r="F158" s="3" t="s">
        <v>11</v>
      </c>
      <c r="G158" s="4">
        <v>5048.42</v>
      </c>
    </row>
    <row r="159" spans="2:7" x14ac:dyDescent="0.3">
      <c r="B159" s="3" t="s">
        <v>296</v>
      </c>
      <c r="C159" s="3" t="s">
        <v>297</v>
      </c>
      <c r="D159" s="3" t="s">
        <v>9</v>
      </c>
      <c r="E159" s="3"/>
      <c r="F159" s="3" t="s">
        <v>11</v>
      </c>
      <c r="G159" s="4">
        <v>5043.99</v>
      </c>
    </row>
    <row r="160" spans="2:7" x14ac:dyDescent="0.3">
      <c r="B160" s="3" t="s">
        <v>298</v>
      </c>
      <c r="C160" s="3" t="s">
        <v>299</v>
      </c>
      <c r="D160" s="3" t="s">
        <v>9</v>
      </c>
      <c r="E160" s="3" t="s">
        <v>10</v>
      </c>
      <c r="F160" s="3" t="s">
        <v>11</v>
      </c>
      <c r="G160" s="4">
        <v>4997.29</v>
      </c>
    </row>
    <row r="161" spans="2:7" x14ac:dyDescent="0.3">
      <c r="B161" s="3" t="s">
        <v>300</v>
      </c>
      <c r="C161" s="3" t="s">
        <v>301</v>
      </c>
      <c r="D161" s="3" t="s">
        <v>9</v>
      </c>
      <c r="E161" s="3" t="s">
        <v>10</v>
      </c>
      <c r="F161" s="3" t="s">
        <v>11</v>
      </c>
      <c r="G161" s="4">
        <v>4834.1099999999997</v>
      </c>
    </row>
    <row r="162" spans="2:7" x14ac:dyDescent="0.3">
      <c r="B162" s="3" t="s">
        <v>302</v>
      </c>
      <c r="C162" s="3" t="s">
        <v>303</v>
      </c>
      <c r="D162" s="3" t="s">
        <v>9</v>
      </c>
      <c r="E162" s="3"/>
      <c r="F162" s="3" t="s">
        <v>11</v>
      </c>
      <c r="G162" s="4">
        <v>4802.95</v>
      </c>
    </row>
    <row r="163" spans="2:7" x14ac:dyDescent="0.3">
      <c r="B163" s="3" t="s">
        <v>304</v>
      </c>
      <c r="C163" s="3" t="s">
        <v>305</v>
      </c>
      <c r="D163" s="3" t="s">
        <v>9</v>
      </c>
      <c r="E163" s="3" t="s">
        <v>10</v>
      </c>
      <c r="F163" s="3" t="s">
        <v>11</v>
      </c>
      <c r="G163" s="4">
        <v>4731.09</v>
      </c>
    </row>
    <row r="164" spans="2:7" x14ac:dyDescent="0.3">
      <c r="B164" s="3">
        <v>6370</v>
      </c>
      <c r="C164" s="3" t="s">
        <v>306</v>
      </c>
      <c r="D164" s="3" t="s">
        <v>9</v>
      </c>
      <c r="E164" s="3"/>
      <c r="F164" s="3" t="s">
        <v>11</v>
      </c>
      <c r="G164" s="4">
        <v>4625.4399999999996</v>
      </c>
    </row>
    <row r="165" spans="2:7" x14ac:dyDescent="0.3">
      <c r="B165" s="3" t="s">
        <v>307</v>
      </c>
      <c r="C165" s="3" t="s">
        <v>308</v>
      </c>
      <c r="D165" s="3" t="s">
        <v>9</v>
      </c>
      <c r="E165" s="3" t="s">
        <v>10</v>
      </c>
      <c r="F165" s="3" t="s">
        <v>11</v>
      </c>
      <c r="G165" s="4">
        <v>4607.8999999999996</v>
      </c>
    </row>
    <row r="166" spans="2:7" x14ac:dyDescent="0.3">
      <c r="B166" s="3" t="s">
        <v>309</v>
      </c>
      <c r="C166" s="3" t="s">
        <v>310</v>
      </c>
      <c r="D166" s="3" t="s">
        <v>9</v>
      </c>
      <c r="E166" s="3" t="s">
        <v>16</v>
      </c>
      <c r="F166" s="3" t="s">
        <v>11</v>
      </c>
      <c r="G166" s="4">
        <v>4569.32</v>
      </c>
    </row>
    <row r="167" spans="2:7" x14ac:dyDescent="0.3">
      <c r="B167" s="3" t="s">
        <v>311</v>
      </c>
      <c r="C167" s="3" t="s">
        <v>312</v>
      </c>
      <c r="D167" s="3" t="s">
        <v>9</v>
      </c>
      <c r="E167" s="3"/>
      <c r="F167" s="3" t="s">
        <v>11</v>
      </c>
      <c r="G167" s="4">
        <v>4519.34</v>
      </c>
    </row>
    <row r="168" spans="2:7" x14ac:dyDescent="0.3">
      <c r="B168" s="3" t="s">
        <v>313</v>
      </c>
      <c r="C168" s="3" t="s">
        <v>314</v>
      </c>
      <c r="D168" s="3" t="s">
        <v>9</v>
      </c>
      <c r="E168" s="3"/>
      <c r="F168" s="3" t="s">
        <v>11</v>
      </c>
      <c r="G168" s="4">
        <v>4496.62</v>
      </c>
    </row>
    <row r="169" spans="2:7" x14ac:dyDescent="0.3">
      <c r="B169" s="3" t="s">
        <v>315</v>
      </c>
      <c r="C169" s="3" t="s">
        <v>316</v>
      </c>
      <c r="D169" s="3" t="s">
        <v>9</v>
      </c>
      <c r="E169" s="3" t="s">
        <v>10</v>
      </c>
      <c r="F169" s="3" t="s">
        <v>11</v>
      </c>
      <c r="G169" s="4">
        <v>4480.47</v>
      </c>
    </row>
    <row r="170" spans="2:7" x14ac:dyDescent="0.3">
      <c r="B170" s="3" t="s">
        <v>317</v>
      </c>
      <c r="C170" s="3" t="s">
        <v>318</v>
      </c>
      <c r="D170" s="3" t="s">
        <v>9</v>
      </c>
      <c r="E170" s="3"/>
      <c r="F170" s="3" t="s">
        <v>11</v>
      </c>
      <c r="G170" s="4">
        <v>4479.6899999999996</v>
      </c>
    </row>
    <row r="171" spans="2:7" x14ac:dyDescent="0.3">
      <c r="B171" s="3" t="s">
        <v>319</v>
      </c>
      <c r="C171" s="3" t="s">
        <v>320</v>
      </c>
      <c r="D171" s="3" t="s">
        <v>9</v>
      </c>
      <c r="E171" s="3" t="s">
        <v>10</v>
      </c>
      <c r="F171" s="3" t="s">
        <v>11</v>
      </c>
      <c r="G171" s="4">
        <v>4380.28</v>
      </c>
    </row>
    <row r="172" spans="2:7" x14ac:dyDescent="0.3">
      <c r="B172" s="3" t="s">
        <v>321</v>
      </c>
      <c r="C172" s="3" t="s">
        <v>322</v>
      </c>
      <c r="D172" s="3" t="s">
        <v>9</v>
      </c>
      <c r="E172" s="3" t="s">
        <v>10</v>
      </c>
      <c r="F172" s="3" t="s">
        <v>11</v>
      </c>
      <c r="G172" s="4">
        <v>4348.3100000000004</v>
      </c>
    </row>
    <row r="173" spans="2:7" x14ac:dyDescent="0.3">
      <c r="B173" s="3">
        <v>523395</v>
      </c>
      <c r="C173" s="3" t="s">
        <v>323</v>
      </c>
      <c r="D173" s="3" t="s">
        <v>9</v>
      </c>
      <c r="E173" s="3"/>
      <c r="F173" s="3" t="s">
        <v>11</v>
      </c>
      <c r="G173" s="4">
        <v>4339.1099999999997</v>
      </c>
    </row>
    <row r="174" spans="2:7" x14ac:dyDescent="0.3">
      <c r="B174" s="3" t="s">
        <v>324</v>
      </c>
      <c r="C174" s="3" t="s">
        <v>325</v>
      </c>
      <c r="D174" s="3" t="s">
        <v>9</v>
      </c>
      <c r="E174" s="3"/>
      <c r="F174" s="3" t="s">
        <v>11</v>
      </c>
      <c r="G174" s="4">
        <v>4186.6000000000004</v>
      </c>
    </row>
    <row r="175" spans="2:7" x14ac:dyDescent="0.3">
      <c r="B175" s="3" t="s">
        <v>326</v>
      </c>
      <c r="C175" s="3" t="s">
        <v>327</v>
      </c>
      <c r="D175" s="3" t="s">
        <v>9</v>
      </c>
      <c r="E175" s="3" t="s">
        <v>16</v>
      </c>
      <c r="F175" s="3" t="s">
        <v>11</v>
      </c>
      <c r="G175" s="4">
        <v>3966.07</v>
      </c>
    </row>
    <row r="176" spans="2:7" x14ac:dyDescent="0.3">
      <c r="B176" s="3" t="s">
        <v>328</v>
      </c>
      <c r="C176" s="3" t="s">
        <v>329</v>
      </c>
      <c r="D176" s="3" t="s">
        <v>9</v>
      </c>
      <c r="E176" s="3"/>
      <c r="F176" s="3" t="s">
        <v>11</v>
      </c>
      <c r="G176" s="4">
        <v>3918.07</v>
      </c>
    </row>
    <row r="177" spans="2:7" x14ac:dyDescent="0.3">
      <c r="B177" s="3" t="s">
        <v>330</v>
      </c>
      <c r="C177" s="3" t="s">
        <v>331</v>
      </c>
      <c r="D177" s="3" t="s">
        <v>9</v>
      </c>
      <c r="E177" s="3" t="s">
        <v>16</v>
      </c>
      <c r="F177" s="3" t="s">
        <v>11</v>
      </c>
      <c r="G177" s="4">
        <v>3908.14</v>
      </c>
    </row>
    <row r="178" spans="2:7" x14ac:dyDescent="0.3">
      <c r="B178" s="3" t="s">
        <v>332</v>
      </c>
      <c r="C178" s="3" t="s">
        <v>333</v>
      </c>
      <c r="D178" s="3" t="s">
        <v>9</v>
      </c>
      <c r="E178" s="3" t="s">
        <v>10</v>
      </c>
      <c r="F178" s="3" t="s">
        <v>11</v>
      </c>
      <c r="G178" s="4">
        <v>3893.28</v>
      </c>
    </row>
    <row r="179" spans="2:7" x14ac:dyDescent="0.3">
      <c r="B179" s="3" t="s">
        <v>334</v>
      </c>
      <c r="C179" s="3" t="s">
        <v>335</v>
      </c>
      <c r="D179" s="3" t="s">
        <v>9</v>
      </c>
      <c r="E179" s="3"/>
      <c r="F179" s="3" t="s">
        <v>11</v>
      </c>
      <c r="G179" s="4">
        <v>3868.8</v>
      </c>
    </row>
    <row r="180" spans="2:7" x14ac:dyDescent="0.3">
      <c r="B180" s="3">
        <v>513599</v>
      </c>
      <c r="C180" s="3" t="s">
        <v>336</v>
      </c>
      <c r="D180" s="3" t="s">
        <v>9</v>
      </c>
      <c r="E180" s="3"/>
      <c r="F180" s="3" t="s">
        <v>11</v>
      </c>
      <c r="G180" s="4">
        <v>3865.44</v>
      </c>
    </row>
    <row r="181" spans="2:7" x14ac:dyDescent="0.3">
      <c r="B181" s="3">
        <v>7731</v>
      </c>
      <c r="C181" s="3" t="s">
        <v>337</v>
      </c>
      <c r="D181" s="3" t="s">
        <v>9</v>
      </c>
      <c r="E181" s="3"/>
      <c r="F181" s="3" t="s">
        <v>11</v>
      </c>
      <c r="G181" s="4">
        <v>3851.23</v>
      </c>
    </row>
    <row r="182" spans="2:7" x14ac:dyDescent="0.3">
      <c r="B182" s="3" t="s">
        <v>338</v>
      </c>
      <c r="C182" s="3" t="s">
        <v>339</v>
      </c>
      <c r="D182" s="3" t="s">
        <v>9</v>
      </c>
      <c r="E182" s="3"/>
      <c r="F182" s="3" t="s">
        <v>11</v>
      </c>
      <c r="G182" s="4">
        <v>3823.38</v>
      </c>
    </row>
    <row r="183" spans="2:7" x14ac:dyDescent="0.3">
      <c r="B183" s="3" t="s">
        <v>340</v>
      </c>
      <c r="C183" s="3" t="s">
        <v>341</v>
      </c>
      <c r="D183" s="3" t="s">
        <v>9</v>
      </c>
      <c r="E183" s="3" t="s">
        <v>16</v>
      </c>
      <c r="F183" s="3" t="s">
        <v>11</v>
      </c>
      <c r="G183" s="4">
        <v>3797.8</v>
      </c>
    </row>
    <row r="184" spans="2:7" x14ac:dyDescent="0.3">
      <c r="B184" s="3" t="s">
        <v>752</v>
      </c>
      <c r="C184" s="3" t="s">
        <v>342</v>
      </c>
      <c r="D184" s="3" t="s">
        <v>9</v>
      </c>
      <c r="E184" s="3"/>
      <c r="F184" s="3" t="s">
        <v>11</v>
      </c>
      <c r="G184" s="4">
        <v>3788.93</v>
      </c>
    </row>
    <row r="185" spans="2:7" x14ac:dyDescent="0.3">
      <c r="B185" s="3" t="s">
        <v>343</v>
      </c>
      <c r="C185" s="3" t="s">
        <v>344</v>
      </c>
      <c r="D185" s="3" t="s">
        <v>9</v>
      </c>
      <c r="E185" s="3" t="s">
        <v>16</v>
      </c>
      <c r="F185" s="3" t="s">
        <v>11</v>
      </c>
      <c r="G185" s="4">
        <v>3740.73</v>
      </c>
    </row>
    <row r="186" spans="2:7" x14ac:dyDescent="0.3">
      <c r="B186" s="3" t="s">
        <v>345</v>
      </c>
      <c r="C186" s="3" t="s">
        <v>346</v>
      </c>
      <c r="D186" s="3" t="s">
        <v>9</v>
      </c>
      <c r="E186" s="3"/>
      <c r="F186" s="3" t="s">
        <v>11</v>
      </c>
      <c r="G186" s="4">
        <v>3739.01</v>
      </c>
    </row>
    <row r="187" spans="2:7" x14ac:dyDescent="0.3">
      <c r="B187" s="3" t="s">
        <v>347</v>
      </c>
      <c r="C187" s="3" t="s">
        <v>348</v>
      </c>
      <c r="D187" s="3" t="s">
        <v>9</v>
      </c>
      <c r="E187" s="3" t="s">
        <v>10</v>
      </c>
      <c r="F187" s="3" t="s">
        <v>11</v>
      </c>
      <c r="G187" s="4">
        <v>3633.82</v>
      </c>
    </row>
    <row r="188" spans="2:7" x14ac:dyDescent="0.3">
      <c r="B188" s="3" t="s">
        <v>349</v>
      </c>
      <c r="C188" s="3" t="s">
        <v>350</v>
      </c>
      <c r="D188" s="3" t="s">
        <v>9</v>
      </c>
      <c r="E188" s="3"/>
      <c r="F188" s="3" t="s">
        <v>11</v>
      </c>
      <c r="G188" s="4">
        <v>3595.66</v>
      </c>
    </row>
    <row r="189" spans="2:7" x14ac:dyDescent="0.3">
      <c r="B189" s="3" t="s">
        <v>351</v>
      </c>
      <c r="C189" s="3" t="s">
        <v>352</v>
      </c>
      <c r="D189" s="3" t="s">
        <v>9</v>
      </c>
      <c r="E189" s="3"/>
      <c r="F189" s="3" t="s">
        <v>11</v>
      </c>
      <c r="G189" s="4">
        <v>3566.52</v>
      </c>
    </row>
    <row r="190" spans="2:7" x14ac:dyDescent="0.3">
      <c r="B190" s="3" t="s">
        <v>353</v>
      </c>
      <c r="C190" s="3" t="s">
        <v>354</v>
      </c>
      <c r="D190" s="3" t="s">
        <v>9</v>
      </c>
      <c r="E190" s="3" t="s">
        <v>10</v>
      </c>
      <c r="F190" s="3" t="s">
        <v>11</v>
      </c>
      <c r="G190" s="4">
        <v>3558.46</v>
      </c>
    </row>
    <row r="191" spans="2:7" x14ac:dyDescent="0.3">
      <c r="B191" s="3" t="s">
        <v>355</v>
      </c>
      <c r="C191" s="3" t="s">
        <v>356</v>
      </c>
      <c r="D191" s="3" t="s">
        <v>9</v>
      </c>
      <c r="E191" s="3" t="s">
        <v>16</v>
      </c>
      <c r="F191" s="3" t="s">
        <v>11</v>
      </c>
      <c r="G191" s="4">
        <v>3488.14</v>
      </c>
    </row>
    <row r="192" spans="2:7" x14ac:dyDescent="0.3">
      <c r="B192" s="3">
        <v>6965</v>
      </c>
      <c r="C192" s="3" t="s">
        <v>357</v>
      </c>
      <c r="D192" s="3" t="s">
        <v>9</v>
      </c>
      <c r="E192" s="3"/>
      <c r="F192" s="3" t="s">
        <v>11</v>
      </c>
      <c r="G192" s="4">
        <v>3442.16</v>
      </c>
    </row>
    <row r="193" spans="2:7" x14ac:dyDescent="0.3">
      <c r="B193" s="3" t="s">
        <v>358</v>
      </c>
      <c r="C193" s="3" t="s">
        <v>359</v>
      </c>
      <c r="D193" s="3" t="s">
        <v>9</v>
      </c>
      <c r="E193" s="3" t="s">
        <v>16</v>
      </c>
      <c r="F193" s="3" t="s">
        <v>11</v>
      </c>
      <c r="G193" s="4">
        <v>3430.34</v>
      </c>
    </row>
    <row r="194" spans="2:7" x14ac:dyDescent="0.3">
      <c r="B194" s="3" t="s">
        <v>360</v>
      </c>
      <c r="C194" s="3" t="s">
        <v>361</v>
      </c>
      <c r="D194" s="3" t="s">
        <v>9</v>
      </c>
      <c r="E194" s="3" t="s">
        <v>10</v>
      </c>
      <c r="F194" s="3" t="s">
        <v>11</v>
      </c>
      <c r="G194" s="4">
        <v>3294.21</v>
      </c>
    </row>
    <row r="195" spans="2:7" x14ac:dyDescent="0.3">
      <c r="B195" s="3">
        <v>4536</v>
      </c>
      <c r="C195" s="3" t="s">
        <v>362</v>
      </c>
      <c r="D195" s="3" t="s">
        <v>9</v>
      </c>
      <c r="E195" s="3"/>
      <c r="F195" s="3" t="s">
        <v>11</v>
      </c>
      <c r="G195" s="4">
        <v>3275.44</v>
      </c>
    </row>
    <row r="196" spans="2:7" x14ac:dyDescent="0.3">
      <c r="B196" s="3" t="s">
        <v>363</v>
      </c>
      <c r="C196" s="3" t="s">
        <v>364</v>
      </c>
      <c r="D196" s="3" t="s">
        <v>9</v>
      </c>
      <c r="E196" s="3"/>
      <c r="F196" s="3" t="s">
        <v>11</v>
      </c>
      <c r="G196" s="4">
        <v>3169.66</v>
      </c>
    </row>
    <row r="197" spans="2:7" x14ac:dyDescent="0.3">
      <c r="B197" s="3">
        <v>7211</v>
      </c>
      <c r="C197" s="3" t="s">
        <v>365</v>
      </c>
      <c r="D197" s="3" t="s">
        <v>9</v>
      </c>
      <c r="E197" s="3"/>
      <c r="F197" s="3" t="s">
        <v>11</v>
      </c>
      <c r="G197" s="4">
        <v>3134.34</v>
      </c>
    </row>
    <row r="198" spans="2:7" x14ac:dyDescent="0.3">
      <c r="B198" s="3" t="s">
        <v>366</v>
      </c>
      <c r="C198" s="3" t="s">
        <v>367</v>
      </c>
      <c r="D198" s="3" t="s">
        <v>9</v>
      </c>
      <c r="E198" s="3" t="s">
        <v>10</v>
      </c>
      <c r="F198" s="3" t="s">
        <v>11</v>
      </c>
      <c r="G198" s="4">
        <v>3019</v>
      </c>
    </row>
    <row r="199" spans="2:7" x14ac:dyDescent="0.3">
      <c r="B199" s="3" t="s">
        <v>368</v>
      </c>
      <c r="C199" s="3" t="s">
        <v>369</v>
      </c>
      <c r="D199" s="3" t="s">
        <v>9</v>
      </c>
      <c r="E199" s="3" t="s">
        <v>16</v>
      </c>
      <c r="F199" s="3" t="s">
        <v>11</v>
      </c>
      <c r="G199" s="4">
        <v>2978.93</v>
      </c>
    </row>
    <row r="200" spans="2:7" x14ac:dyDescent="0.3">
      <c r="B200" s="3" t="s">
        <v>370</v>
      </c>
      <c r="C200" s="3" t="s">
        <v>371</v>
      </c>
      <c r="D200" s="3" t="s">
        <v>9</v>
      </c>
      <c r="E200" s="3"/>
      <c r="F200" s="3" t="s">
        <v>11</v>
      </c>
      <c r="G200" s="4">
        <v>2977.55</v>
      </c>
    </row>
    <row r="201" spans="2:7" x14ac:dyDescent="0.3">
      <c r="B201" s="3" t="s">
        <v>372</v>
      </c>
      <c r="C201" s="3" t="s">
        <v>373</v>
      </c>
      <c r="D201" s="3" t="s">
        <v>9</v>
      </c>
      <c r="E201" s="3" t="s">
        <v>10</v>
      </c>
      <c r="F201" s="3" t="s">
        <v>11</v>
      </c>
      <c r="G201" s="4">
        <v>2947.46</v>
      </c>
    </row>
    <row r="202" spans="2:7" x14ac:dyDescent="0.3">
      <c r="B202" s="3" t="s">
        <v>374</v>
      </c>
      <c r="C202" s="3" t="s">
        <v>375</v>
      </c>
      <c r="D202" s="3" t="s">
        <v>9</v>
      </c>
      <c r="E202" s="3"/>
      <c r="F202" s="3" t="s">
        <v>11</v>
      </c>
      <c r="G202" s="4">
        <v>2931.69</v>
      </c>
    </row>
    <row r="203" spans="2:7" x14ac:dyDescent="0.3">
      <c r="B203" s="3">
        <v>7240</v>
      </c>
      <c r="C203" s="3" t="s">
        <v>376</v>
      </c>
      <c r="D203" s="3" t="s">
        <v>9</v>
      </c>
      <c r="E203" s="3"/>
      <c r="F203" s="3" t="s">
        <v>11</v>
      </c>
      <c r="G203" s="4">
        <v>2867.6</v>
      </c>
    </row>
    <row r="204" spans="2:7" x14ac:dyDescent="0.3">
      <c r="B204" s="3" t="s">
        <v>377</v>
      </c>
      <c r="C204" s="3" t="s">
        <v>378</v>
      </c>
      <c r="D204" s="3" t="s">
        <v>9</v>
      </c>
      <c r="E204" s="3" t="s">
        <v>10</v>
      </c>
      <c r="F204" s="3" t="s">
        <v>11</v>
      </c>
      <c r="G204" s="4">
        <v>2841.1</v>
      </c>
    </row>
    <row r="205" spans="2:7" x14ac:dyDescent="0.3">
      <c r="B205" s="3">
        <v>2250</v>
      </c>
      <c r="C205" s="3" t="s">
        <v>379</v>
      </c>
      <c r="D205" s="3" t="s">
        <v>9</v>
      </c>
      <c r="E205" s="3"/>
      <c r="F205" s="3" t="s">
        <v>11</v>
      </c>
      <c r="G205" s="4">
        <v>2818.96</v>
      </c>
    </row>
    <row r="206" spans="2:7" x14ac:dyDescent="0.3">
      <c r="B206" s="3" t="s">
        <v>380</v>
      </c>
      <c r="C206" s="3" t="s">
        <v>381</v>
      </c>
      <c r="D206" s="3" t="s">
        <v>9</v>
      </c>
      <c r="E206" s="3"/>
      <c r="F206" s="3" t="s">
        <v>11</v>
      </c>
      <c r="G206" s="4">
        <v>2812.06</v>
      </c>
    </row>
    <row r="207" spans="2:7" x14ac:dyDescent="0.3">
      <c r="B207" s="3" t="s">
        <v>382</v>
      </c>
      <c r="C207" s="3" t="s">
        <v>383</v>
      </c>
      <c r="D207" s="3" t="s">
        <v>9</v>
      </c>
      <c r="E207" s="3"/>
      <c r="F207" s="3" t="s">
        <v>11</v>
      </c>
      <c r="G207" s="4">
        <v>2797.77</v>
      </c>
    </row>
    <row r="208" spans="2:7" x14ac:dyDescent="0.3">
      <c r="B208" s="3" t="s">
        <v>384</v>
      </c>
      <c r="C208" s="3" t="s">
        <v>385</v>
      </c>
      <c r="D208" s="3" t="s">
        <v>9</v>
      </c>
      <c r="E208" s="3" t="s">
        <v>16</v>
      </c>
      <c r="F208" s="3" t="s">
        <v>11</v>
      </c>
      <c r="G208" s="4">
        <v>2732.45</v>
      </c>
    </row>
    <row r="209" spans="2:7" x14ac:dyDescent="0.3">
      <c r="B209" s="3" t="s">
        <v>386</v>
      </c>
      <c r="C209" s="3" t="s">
        <v>387</v>
      </c>
      <c r="D209" s="3" t="s">
        <v>9</v>
      </c>
      <c r="E209" s="3"/>
      <c r="F209" s="3" t="s">
        <v>11</v>
      </c>
      <c r="G209" s="4">
        <v>2704.42</v>
      </c>
    </row>
    <row r="210" spans="2:7" x14ac:dyDescent="0.3">
      <c r="B210" s="3">
        <v>3110</v>
      </c>
      <c r="C210" s="3" t="s">
        <v>388</v>
      </c>
      <c r="D210" s="3" t="s">
        <v>9</v>
      </c>
      <c r="E210" s="3"/>
      <c r="F210" s="3" t="s">
        <v>11</v>
      </c>
      <c r="G210" s="4">
        <v>2697.22</v>
      </c>
    </row>
    <row r="211" spans="2:7" x14ac:dyDescent="0.3">
      <c r="B211" s="3" t="s">
        <v>389</v>
      </c>
      <c r="C211" s="3" t="s">
        <v>390</v>
      </c>
      <c r="D211" s="3" t="s">
        <v>9</v>
      </c>
      <c r="E211" s="3"/>
      <c r="F211" s="3" t="s">
        <v>11</v>
      </c>
      <c r="G211" s="4">
        <v>2687.69</v>
      </c>
    </row>
    <row r="212" spans="2:7" x14ac:dyDescent="0.3">
      <c r="B212" s="3" t="s">
        <v>391</v>
      </c>
      <c r="C212" s="3" t="s">
        <v>392</v>
      </c>
      <c r="D212" s="3" t="s">
        <v>9</v>
      </c>
      <c r="E212" s="3"/>
      <c r="F212" s="3" t="s">
        <v>11</v>
      </c>
      <c r="G212" s="4">
        <v>2676.49</v>
      </c>
    </row>
    <row r="213" spans="2:7" x14ac:dyDescent="0.3">
      <c r="B213" s="3">
        <v>7164</v>
      </c>
      <c r="C213" s="3" t="s">
        <v>393</v>
      </c>
      <c r="D213" s="3" t="s">
        <v>9</v>
      </c>
      <c r="E213" s="3"/>
      <c r="F213" s="3" t="s">
        <v>11</v>
      </c>
      <c r="G213" s="4">
        <v>2641.77</v>
      </c>
    </row>
    <row r="214" spans="2:7" x14ac:dyDescent="0.3">
      <c r="B214" s="3" t="s">
        <v>394</v>
      </c>
      <c r="C214" s="3" t="s">
        <v>395</v>
      </c>
      <c r="D214" s="3" t="s">
        <v>9</v>
      </c>
      <c r="E214" s="3"/>
      <c r="F214" s="3" t="s">
        <v>11</v>
      </c>
      <c r="G214" s="4">
        <v>2579.9699999999998</v>
      </c>
    </row>
    <row r="215" spans="2:7" x14ac:dyDescent="0.3">
      <c r="B215" s="3" t="s">
        <v>396</v>
      </c>
      <c r="C215" s="3" t="s">
        <v>397</v>
      </c>
      <c r="D215" s="3" t="s">
        <v>9</v>
      </c>
      <c r="E215" s="3" t="s">
        <v>16</v>
      </c>
      <c r="F215" s="3" t="s">
        <v>11</v>
      </c>
      <c r="G215" s="4">
        <v>2567.9</v>
      </c>
    </row>
    <row r="216" spans="2:7" x14ac:dyDescent="0.3">
      <c r="B216" s="3" t="s">
        <v>398</v>
      </c>
      <c r="C216" s="3" t="s">
        <v>399</v>
      </c>
      <c r="D216" s="3" t="s">
        <v>9</v>
      </c>
      <c r="E216" s="3"/>
      <c r="F216" s="3" t="s">
        <v>11</v>
      </c>
      <c r="G216" s="4">
        <v>2551.79</v>
      </c>
    </row>
    <row r="217" spans="2:7" x14ac:dyDescent="0.3">
      <c r="B217" s="3" t="s">
        <v>400</v>
      </c>
      <c r="C217" s="3" t="s">
        <v>401</v>
      </c>
      <c r="D217" s="3" t="s">
        <v>9</v>
      </c>
      <c r="E217" s="3"/>
      <c r="F217" s="3" t="s">
        <v>11</v>
      </c>
      <c r="G217" s="4">
        <v>2545.25</v>
      </c>
    </row>
    <row r="218" spans="2:7" x14ac:dyDescent="0.3">
      <c r="B218" s="3" t="s">
        <v>402</v>
      </c>
      <c r="C218" s="3" t="s">
        <v>403</v>
      </c>
      <c r="D218" s="3" t="s">
        <v>9</v>
      </c>
      <c r="E218" s="3"/>
      <c r="F218" s="3" t="s">
        <v>11</v>
      </c>
      <c r="G218" s="4">
        <v>2529.21</v>
      </c>
    </row>
    <row r="219" spans="2:7" x14ac:dyDescent="0.3">
      <c r="B219" s="3">
        <v>8111</v>
      </c>
      <c r="C219" s="3" t="s">
        <v>404</v>
      </c>
      <c r="D219" s="3" t="s">
        <v>9</v>
      </c>
      <c r="E219" s="3"/>
      <c r="F219" s="3" t="s">
        <v>11</v>
      </c>
      <c r="G219" s="4">
        <v>2496.56</v>
      </c>
    </row>
    <row r="220" spans="2:7" x14ac:dyDescent="0.3">
      <c r="B220" s="3" t="s">
        <v>405</v>
      </c>
      <c r="C220" s="3" t="s">
        <v>406</v>
      </c>
      <c r="D220" s="3" t="s">
        <v>9</v>
      </c>
      <c r="E220" s="3"/>
      <c r="F220" s="3" t="s">
        <v>11</v>
      </c>
      <c r="G220" s="4">
        <v>2403.6</v>
      </c>
    </row>
    <row r="221" spans="2:7" x14ac:dyDescent="0.3">
      <c r="B221" s="3" t="s">
        <v>407</v>
      </c>
      <c r="C221" s="3" t="s">
        <v>408</v>
      </c>
      <c r="D221" s="3" t="s">
        <v>9</v>
      </c>
      <c r="E221" s="3"/>
      <c r="F221" s="3" t="s">
        <v>11</v>
      </c>
      <c r="G221" s="4">
        <v>2380.91</v>
      </c>
    </row>
    <row r="222" spans="2:7" x14ac:dyDescent="0.3">
      <c r="B222" s="3">
        <v>6590</v>
      </c>
      <c r="C222" s="3" t="s">
        <v>409</v>
      </c>
      <c r="D222" s="3" t="s">
        <v>9</v>
      </c>
      <c r="E222" s="3"/>
      <c r="F222" s="3" t="s">
        <v>11</v>
      </c>
      <c r="G222" s="4">
        <v>2348.06</v>
      </c>
    </row>
    <row r="223" spans="2:7" x14ac:dyDescent="0.3">
      <c r="B223" s="3">
        <v>8425</v>
      </c>
      <c r="C223" s="3" t="s">
        <v>410</v>
      </c>
      <c r="D223" s="3" t="s">
        <v>9</v>
      </c>
      <c r="E223" s="3"/>
      <c r="F223" s="3" t="s">
        <v>11</v>
      </c>
      <c r="G223" s="4">
        <v>2331.6799999999998</v>
      </c>
    </row>
    <row r="224" spans="2:7" x14ac:dyDescent="0.3">
      <c r="B224" s="3" t="s">
        <v>411</v>
      </c>
      <c r="C224" s="3" t="s">
        <v>412</v>
      </c>
      <c r="D224" s="3" t="s">
        <v>9</v>
      </c>
      <c r="E224" s="3"/>
      <c r="F224" s="3" t="s">
        <v>11</v>
      </c>
      <c r="G224" s="4">
        <v>2293.5500000000002</v>
      </c>
    </row>
    <row r="225" spans="2:7" x14ac:dyDescent="0.3">
      <c r="B225" s="3" t="s">
        <v>413</v>
      </c>
      <c r="C225" s="3" t="s">
        <v>414</v>
      </c>
      <c r="D225" s="3" t="s">
        <v>9</v>
      </c>
      <c r="E225" s="3" t="s">
        <v>10</v>
      </c>
      <c r="F225" s="3" t="s">
        <v>11</v>
      </c>
      <c r="G225" s="4">
        <v>2257.79</v>
      </c>
    </row>
    <row r="226" spans="2:7" x14ac:dyDescent="0.3">
      <c r="B226" s="3" t="s">
        <v>415</v>
      </c>
      <c r="C226" s="3" t="s">
        <v>416</v>
      </c>
      <c r="D226" s="3" t="s">
        <v>9</v>
      </c>
      <c r="E226" s="3" t="s">
        <v>16</v>
      </c>
      <c r="F226" s="3" t="s">
        <v>11</v>
      </c>
      <c r="G226" s="4">
        <v>2257.29</v>
      </c>
    </row>
    <row r="227" spans="2:7" x14ac:dyDescent="0.3">
      <c r="B227" s="3" t="s">
        <v>417</v>
      </c>
      <c r="C227" s="3" t="s">
        <v>418</v>
      </c>
      <c r="D227" s="3" t="s">
        <v>9</v>
      </c>
      <c r="E227" s="3"/>
      <c r="F227" s="3" t="s">
        <v>11</v>
      </c>
      <c r="G227" s="4">
        <v>2114.7800000000002</v>
      </c>
    </row>
    <row r="228" spans="2:7" x14ac:dyDescent="0.3">
      <c r="B228" s="3" t="s">
        <v>419</v>
      </c>
      <c r="C228" s="3" t="s">
        <v>420</v>
      </c>
      <c r="D228" s="3" t="s">
        <v>9</v>
      </c>
      <c r="E228" s="3"/>
      <c r="F228" s="3" t="s">
        <v>11</v>
      </c>
      <c r="G228" s="4">
        <v>2074.7199999999998</v>
      </c>
    </row>
    <row r="229" spans="2:7" x14ac:dyDescent="0.3">
      <c r="B229" s="3" t="s">
        <v>421</v>
      </c>
      <c r="C229" s="3" t="s">
        <v>422</v>
      </c>
      <c r="D229" s="3" t="s">
        <v>9</v>
      </c>
      <c r="E229" s="3"/>
      <c r="F229" s="3" t="s">
        <v>11</v>
      </c>
      <c r="G229" s="4">
        <v>2055.41</v>
      </c>
    </row>
    <row r="230" spans="2:7" x14ac:dyDescent="0.3">
      <c r="B230" s="3">
        <v>9831</v>
      </c>
      <c r="C230" s="3" t="s">
        <v>423</v>
      </c>
      <c r="D230" s="3" t="s">
        <v>9</v>
      </c>
      <c r="E230" s="3"/>
      <c r="F230" s="3" t="s">
        <v>11</v>
      </c>
      <c r="G230" s="4">
        <v>1987.61</v>
      </c>
    </row>
    <row r="231" spans="2:7" x14ac:dyDescent="0.3">
      <c r="B231" s="3" t="s">
        <v>424</v>
      </c>
      <c r="C231" s="3" t="s">
        <v>425</v>
      </c>
      <c r="D231" s="3" t="s">
        <v>9</v>
      </c>
      <c r="E231" s="3" t="s">
        <v>16</v>
      </c>
      <c r="F231" s="3" t="s">
        <v>11</v>
      </c>
      <c r="G231" s="4">
        <v>1970.79</v>
      </c>
    </row>
    <row r="232" spans="2:7" x14ac:dyDescent="0.3">
      <c r="B232" s="3" t="s">
        <v>426</v>
      </c>
      <c r="C232" s="3" t="s">
        <v>427</v>
      </c>
      <c r="D232" s="3" t="s">
        <v>9</v>
      </c>
      <c r="E232" s="3" t="s">
        <v>16</v>
      </c>
      <c r="F232" s="3" t="s">
        <v>11</v>
      </c>
      <c r="G232" s="4">
        <v>1969.44</v>
      </c>
    </row>
    <row r="233" spans="2:7" x14ac:dyDescent="0.3">
      <c r="B233" s="3" t="s">
        <v>428</v>
      </c>
      <c r="C233" s="3" t="s">
        <v>429</v>
      </c>
      <c r="D233" s="3" t="s">
        <v>9</v>
      </c>
      <c r="E233" s="3"/>
      <c r="F233" s="3" t="s">
        <v>11</v>
      </c>
      <c r="G233" s="4">
        <v>1926.47</v>
      </c>
    </row>
    <row r="234" spans="2:7" x14ac:dyDescent="0.3">
      <c r="B234" s="3">
        <v>6849</v>
      </c>
      <c r="C234" s="3" t="s">
        <v>430</v>
      </c>
      <c r="D234" s="3" t="s">
        <v>9</v>
      </c>
      <c r="E234" s="3"/>
      <c r="F234" s="3" t="s">
        <v>11</v>
      </c>
      <c r="G234" s="4">
        <v>1894.09</v>
      </c>
    </row>
    <row r="235" spans="2:7" x14ac:dyDescent="0.3">
      <c r="B235" s="3">
        <v>8020</v>
      </c>
      <c r="C235" s="3" t="s">
        <v>431</v>
      </c>
      <c r="D235" s="3" t="s">
        <v>9</v>
      </c>
      <c r="E235" s="3"/>
      <c r="F235" s="3" t="s">
        <v>11</v>
      </c>
      <c r="G235" s="4">
        <v>1873.23</v>
      </c>
    </row>
    <row r="236" spans="2:7" x14ac:dyDescent="0.3">
      <c r="B236" s="3" t="s">
        <v>432</v>
      </c>
      <c r="C236" s="3" t="s">
        <v>433</v>
      </c>
      <c r="D236" s="3" t="s">
        <v>9</v>
      </c>
      <c r="E236" s="3" t="s">
        <v>10</v>
      </c>
      <c r="F236" s="3" t="s">
        <v>11</v>
      </c>
      <c r="G236" s="4">
        <v>1836.79</v>
      </c>
    </row>
    <row r="237" spans="2:7" x14ac:dyDescent="0.3">
      <c r="B237" s="3" t="s">
        <v>434</v>
      </c>
      <c r="C237" s="3" t="s">
        <v>435</v>
      </c>
      <c r="D237" s="3" t="s">
        <v>9</v>
      </c>
      <c r="E237" s="3" t="s">
        <v>10</v>
      </c>
      <c r="F237" s="3" t="s">
        <v>11</v>
      </c>
      <c r="G237" s="4">
        <v>1831.81</v>
      </c>
    </row>
    <row r="238" spans="2:7" x14ac:dyDescent="0.3">
      <c r="B238" s="3" t="s">
        <v>436</v>
      </c>
      <c r="C238" s="3" t="s">
        <v>437</v>
      </c>
      <c r="D238" s="3" t="s">
        <v>9</v>
      </c>
      <c r="E238" s="3" t="s">
        <v>10</v>
      </c>
      <c r="F238" s="3" t="s">
        <v>11</v>
      </c>
      <c r="G238" s="4">
        <v>1829.41</v>
      </c>
    </row>
    <row r="239" spans="2:7" x14ac:dyDescent="0.3">
      <c r="B239" s="3" t="s">
        <v>438</v>
      </c>
      <c r="C239" s="3" t="s">
        <v>439</v>
      </c>
      <c r="D239" s="3" t="s">
        <v>9</v>
      </c>
      <c r="E239" s="3"/>
      <c r="F239" s="3" t="s">
        <v>11</v>
      </c>
      <c r="G239" s="4">
        <v>1829.33</v>
      </c>
    </row>
    <row r="240" spans="2:7" x14ac:dyDescent="0.3">
      <c r="B240" s="3" t="s">
        <v>440</v>
      </c>
      <c r="C240" s="3" t="s">
        <v>441</v>
      </c>
      <c r="D240" s="3" t="s">
        <v>9</v>
      </c>
      <c r="E240" s="3" t="s">
        <v>10</v>
      </c>
      <c r="F240" s="3" t="s">
        <v>11</v>
      </c>
      <c r="G240" s="4">
        <v>1808.36</v>
      </c>
    </row>
    <row r="241" spans="2:7" x14ac:dyDescent="0.3">
      <c r="B241" s="3">
        <v>2432</v>
      </c>
      <c r="C241" s="3" t="s">
        <v>442</v>
      </c>
      <c r="D241" s="3" t="s">
        <v>9</v>
      </c>
      <c r="E241" s="3"/>
      <c r="F241" s="3" t="s">
        <v>11</v>
      </c>
      <c r="G241" s="4">
        <v>1803.99</v>
      </c>
    </row>
    <row r="242" spans="2:7" x14ac:dyDescent="0.3">
      <c r="B242" s="3">
        <v>513023</v>
      </c>
      <c r="C242" s="3" t="s">
        <v>443</v>
      </c>
      <c r="D242" s="3" t="s">
        <v>9</v>
      </c>
      <c r="E242" s="3"/>
      <c r="F242" s="3" t="s">
        <v>11</v>
      </c>
      <c r="G242" s="4">
        <v>1775.31</v>
      </c>
    </row>
    <row r="243" spans="2:7" x14ac:dyDescent="0.3">
      <c r="B243" s="3" t="s">
        <v>444</v>
      </c>
      <c r="C243" s="3" t="s">
        <v>445</v>
      </c>
      <c r="D243" s="3" t="s">
        <v>9</v>
      </c>
      <c r="E243" s="3" t="s">
        <v>16</v>
      </c>
      <c r="F243" s="3" t="s">
        <v>11</v>
      </c>
      <c r="G243" s="4">
        <v>1740.34</v>
      </c>
    </row>
    <row r="244" spans="2:7" x14ac:dyDescent="0.3">
      <c r="B244" s="3" t="s">
        <v>446</v>
      </c>
      <c r="C244" s="3" t="s">
        <v>447</v>
      </c>
      <c r="D244" s="3" t="s">
        <v>9</v>
      </c>
      <c r="E244" s="3"/>
      <c r="F244" s="3" t="s">
        <v>11</v>
      </c>
      <c r="G244" s="4">
        <v>1736.91</v>
      </c>
    </row>
    <row r="245" spans="2:7" x14ac:dyDescent="0.3">
      <c r="B245" s="3">
        <v>9003</v>
      </c>
      <c r="C245" s="3" t="s">
        <v>448</v>
      </c>
      <c r="D245" s="3" t="s">
        <v>9</v>
      </c>
      <c r="E245" s="3"/>
      <c r="F245" s="3" t="s">
        <v>11</v>
      </c>
      <c r="G245" s="4">
        <v>1690.25</v>
      </c>
    </row>
    <row r="246" spans="2:7" x14ac:dyDescent="0.3">
      <c r="B246" s="3" t="s">
        <v>449</v>
      </c>
      <c r="C246" s="3" t="s">
        <v>450</v>
      </c>
      <c r="D246" s="3" t="s">
        <v>9</v>
      </c>
      <c r="E246" s="3"/>
      <c r="F246" s="3" t="s">
        <v>11</v>
      </c>
      <c r="G246" s="4">
        <v>1665.16</v>
      </c>
    </row>
    <row r="247" spans="2:7" x14ac:dyDescent="0.3">
      <c r="B247" s="3" t="s">
        <v>451</v>
      </c>
      <c r="C247" s="3" t="s">
        <v>452</v>
      </c>
      <c r="D247" s="3" t="s">
        <v>9</v>
      </c>
      <c r="E247" s="3"/>
      <c r="F247" s="3" t="s">
        <v>11</v>
      </c>
      <c r="G247" s="4">
        <v>1605.26</v>
      </c>
    </row>
    <row r="248" spans="2:7" x14ac:dyDescent="0.3">
      <c r="B248" s="3" t="s">
        <v>453</v>
      </c>
      <c r="C248" s="3" t="s">
        <v>454</v>
      </c>
      <c r="D248" s="3" t="s">
        <v>9</v>
      </c>
      <c r="E248" s="3"/>
      <c r="F248" s="3" t="s">
        <v>11</v>
      </c>
      <c r="G248" s="4">
        <v>1581.23</v>
      </c>
    </row>
    <row r="249" spans="2:7" x14ac:dyDescent="0.3">
      <c r="B249" s="3">
        <v>4483</v>
      </c>
      <c r="C249" s="3" t="s">
        <v>455</v>
      </c>
      <c r="D249" s="3" t="s">
        <v>9</v>
      </c>
      <c r="E249" s="3"/>
      <c r="F249" s="3" t="s">
        <v>11</v>
      </c>
      <c r="G249" s="4">
        <v>1580.93</v>
      </c>
    </row>
    <row r="250" spans="2:7" x14ac:dyDescent="0.3">
      <c r="B250" s="3" t="s">
        <v>456</v>
      </c>
      <c r="C250" s="3" t="s">
        <v>457</v>
      </c>
      <c r="D250" s="3" t="s">
        <v>9</v>
      </c>
      <c r="E250" s="3"/>
      <c r="F250" s="3" t="s">
        <v>11</v>
      </c>
      <c r="G250" s="4">
        <v>1565.38</v>
      </c>
    </row>
    <row r="251" spans="2:7" x14ac:dyDescent="0.3">
      <c r="B251" s="3" t="s">
        <v>458</v>
      </c>
      <c r="C251" s="3" t="s">
        <v>459</v>
      </c>
      <c r="D251" s="3" t="s">
        <v>9</v>
      </c>
      <c r="E251" s="3" t="s">
        <v>16</v>
      </c>
      <c r="F251" s="3" t="s">
        <v>11</v>
      </c>
      <c r="G251" s="4">
        <v>1447.64</v>
      </c>
    </row>
    <row r="252" spans="2:7" x14ac:dyDescent="0.3">
      <c r="B252" s="3" t="s">
        <v>460</v>
      </c>
      <c r="C252" s="3" t="s">
        <v>461</v>
      </c>
      <c r="D252" s="3" t="s">
        <v>9</v>
      </c>
      <c r="E252" s="3" t="s">
        <v>16</v>
      </c>
      <c r="F252" s="3" t="s">
        <v>11</v>
      </c>
      <c r="G252" s="4">
        <v>1433.61</v>
      </c>
    </row>
    <row r="253" spans="2:7" x14ac:dyDescent="0.3">
      <c r="B253" s="3" t="s">
        <v>462</v>
      </c>
      <c r="C253" s="3" t="s">
        <v>463</v>
      </c>
      <c r="D253" s="3" t="s">
        <v>9</v>
      </c>
      <c r="E253" s="3"/>
      <c r="F253" s="3" t="s">
        <v>11</v>
      </c>
      <c r="G253" s="4">
        <v>1429.86</v>
      </c>
    </row>
    <row r="254" spans="2:7" x14ac:dyDescent="0.3">
      <c r="B254" s="3">
        <v>524742</v>
      </c>
      <c r="C254" s="3" t="s">
        <v>464</v>
      </c>
      <c r="D254" s="3" t="s">
        <v>9</v>
      </c>
      <c r="E254" s="3"/>
      <c r="F254" s="3" t="s">
        <v>11</v>
      </c>
      <c r="G254" s="4">
        <v>1428.11</v>
      </c>
    </row>
    <row r="255" spans="2:7" x14ac:dyDescent="0.3">
      <c r="B255" s="3" t="s">
        <v>465</v>
      </c>
      <c r="C255" s="3" t="s">
        <v>466</v>
      </c>
      <c r="D255" s="3" t="s">
        <v>9</v>
      </c>
      <c r="E255" s="3"/>
      <c r="F255" s="3" t="s">
        <v>11</v>
      </c>
      <c r="G255" s="4">
        <v>1394.29</v>
      </c>
    </row>
    <row r="256" spans="2:7" x14ac:dyDescent="0.3">
      <c r="B256" s="3" t="s">
        <v>467</v>
      </c>
      <c r="C256" s="3" t="s">
        <v>468</v>
      </c>
      <c r="D256" s="3" t="s">
        <v>9</v>
      </c>
      <c r="E256" s="3" t="s">
        <v>16</v>
      </c>
      <c r="F256" s="3" t="s">
        <v>11</v>
      </c>
      <c r="G256" s="4">
        <v>1388.44</v>
      </c>
    </row>
    <row r="257" spans="2:7" x14ac:dyDescent="0.3">
      <c r="B257" s="3" t="s">
        <v>469</v>
      </c>
      <c r="C257" s="3" t="s">
        <v>470</v>
      </c>
      <c r="D257" s="3" t="s">
        <v>9</v>
      </c>
      <c r="E257" s="3"/>
      <c r="F257" s="3" t="s">
        <v>11</v>
      </c>
      <c r="G257" s="4">
        <v>1382.09</v>
      </c>
    </row>
    <row r="258" spans="2:7" x14ac:dyDescent="0.3">
      <c r="B258" s="3" t="s">
        <v>471</v>
      </c>
      <c r="C258" s="3" t="s">
        <v>472</v>
      </c>
      <c r="D258" s="3" t="s">
        <v>9</v>
      </c>
      <c r="E258" s="3"/>
      <c r="F258" s="3" t="s">
        <v>11</v>
      </c>
      <c r="G258" s="4">
        <v>1333.5</v>
      </c>
    </row>
    <row r="259" spans="2:7" x14ac:dyDescent="0.3">
      <c r="B259" s="3" t="s">
        <v>473</v>
      </c>
      <c r="C259" s="3" t="s">
        <v>474</v>
      </c>
      <c r="D259" s="3" t="s">
        <v>9</v>
      </c>
      <c r="E259" s="3" t="s">
        <v>16</v>
      </c>
      <c r="F259" s="3" t="s">
        <v>11</v>
      </c>
      <c r="G259" s="4">
        <v>1321.16</v>
      </c>
    </row>
    <row r="260" spans="2:7" x14ac:dyDescent="0.3">
      <c r="B260" s="3" t="s">
        <v>475</v>
      </c>
      <c r="C260" s="3" t="s">
        <v>476</v>
      </c>
      <c r="D260" s="3" t="s">
        <v>9</v>
      </c>
      <c r="E260" s="3"/>
      <c r="F260" s="3" t="s">
        <v>11</v>
      </c>
      <c r="G260" s="4">
        <v>1316.31</v>
      </c>
    </row>
    <row r="261" spans="2:7" x14ac:dyDescent="0.3">
      <c r="B261" s="3" t="s">
        <v>477</v>
      </c>
      <c r="C261" s="3" t="s">
        <v>478</v>
      </c>
      <c r="D261" s="3" t="s">
        <v>9</v>
      </c>
      <c r="E261" s="3"/>
      <c r="F261" s="3" t="s">
        <v>11</v>
      </c>
      <c r="G261" s="4">
        <v>1269.24</v>
      </c>
    </row>
    <row r="262" spans="2:7" x14ac:dyDescent="0.3">
      <c r="B262" s="3" t="s">
        <v>479</v>
      </c>
      <c r="C262" s="3" t="s">
        <v>480</v>
      </c>
      <c r="D262" s="3" t="s">
        <v>9</v>
      </c>
      <c r="E262" s="3"/>
      <c r="F262" s="3" t="s">
        <v>11</v>
      </c>
      <c r="G262" s="4">
        <v>1254.81</v>
      </c>
    </row>
    <row r="263" spans="2:7" x14ac:dyDescent="0.3">
      <c r="B263" s="3" t="s">
        <v>481</v>
      </c>
      <c r="C263" s="3" t="s">
        <v>482</v>
      </c>
      <c r="D263" s="3" t="s">
        <v>9</v>
      </c>
      <c r="E263" s="3"/>
      <c r="F263" s="3" t="s">
        <v>11</v>
      </c>
      <c r="G263" s="4">
        <v>1252.3900000000001</v>
      </c>
    </row>
    <row r="264" spans="2:7" x14ac:dyDescent="0.3">
      <c r="B264" s="3" t="s">
        <v>483</v>
      </c>
      <c r="C264" s="3" t="s">
        <v>484</v>
      </c>
      <c r="D264" s="3" t="s">
        <v>9</v>
      </c>
      <c r="E264" s="3"/>
      <c r="F264" s="3" t="s">
        <v>11</v>
      </c>
      <c r="G264" s="4">
        <v>1249.47</v>
      </c>
    </row>
    <row r="265" spans="2:7" x14ac:dyDescent="0.3">
      <c r="B265" s="3">
        <v>2001</v>
      </c>
      <c r="C265" s="3" t="s">
        <v>485</v>
      </c>
      <c r="D265" s="3" t="s">
        <v>9</v>
      </c>
      <c r="E265" s="3"/>
      <c r="F265" s="3" t="s">
        <v>11</v>
      </c>
      <c r="G265" s="4">
        <v>1246.26</v>
      </c>
    </row>
    <row r="266" spans="2:7" x14ac:dyDescent="0.3">
      <c r="B266" s="3" t="s">
        <v>486</v>
      </c>
      <c r="C266" s="3" t="s">
        <v>487</v>
      </c>
      <c r="D266" s="3" t="s">
        <v>9</v>
      </c>
      <c r="E266" s="3" t="s">
        <v>16</v>
      </c>
      <c r="F266" s="3" t="s">
        <v>11</v>
      </c>
      <c r="G266" s="4">
        <v>1244.42</v>
      </c>
    </row>
    <row r="267" spans="2:7" x14ac:dyDescent="0.3">
      <c r="B267" s="3" t="s">
        <v>488</v>
      </c>
      <c r="C267" s="3" t="s">
        <v>489</v>
      </c>
      <c r="D267" s="3" t="s">
        <v>9</v>
      </c>
      <c r="E267" s="3"/>
      <c r="F267" s="3" t="s">
        <v>11</v>
      </c>
      <c r="G267" s="4">
        <v>1242.5</v>
      </c>
    </row>
    <row r="268" spans="2:7" x14ac:dyDescent="0.3">
      <c r="B268" s="3" t="s">
        <v>490</v>
      </c>
      <c r="C268" s="3" t="s">
        <v>491</v>
      </c>
      <c r="D268" s="3" t="s">
        <v>9</v>
      </c>
      <c r="E268" s="3" t="s">
        <v>16</v>
      </c>
      <c r="F268" s="3" t="s">
        <v>11</v>
      </c>
      <c r="G268" s="4">
        <v>1236.04</v>
      </c>
    </row>
    <row r="269" spans="2:7" x14ac:dyDescent="0.3">
      <c r="B269" s="3">
        <v>603496</v>
      </c>
      <c r="C269" s="3" t="s">
        <v>492</v>
      </c>
      <c r="D269" s="3" t="s">
        <v>9</v>
      </c>
      <c r="E269" s="3"/>
      <c r="F269" s="3" t="s">
        <v>11</v>
      </c>
      <c r="G269" s="4">
        <v>1231.75</v>
      </c>
    </row>
    <row r="270" spans="2:7" x14ac:dyDescent="0.3">
      <c r="B270" s="3">
        <v>2317</v>
      </c>
      <c r="C270" s="3" t="s">
        <v>493</v>
      </c>
      <c r="D270" s="3" t="s">
        <v>9</v>
      </c>
      <c r="E270" s="3"/>
      <c r="F270" s="3" t="s">
        <v>11</v>
      </c>
      <c r="G270" s="4">
        <v>1227.19</v>
      </c>
    </row>
    <row r="271" spans="2:7" x14ac:dyDescent="0.3">
      <c r="B271" s="3" t="s">
        <v>494</v>
      </c>
      <c r="C271" s="3" t="s">
        <v>495</v>
      </c>
      <c r="D271" s="3" t="s">
        <v>9</v>
      </c>
      <c r="E271" s="3"/>
      <c r="F271" s="3" t="s">
        <v>11</v>
      </c>
      <c r="G271" s="4">
        <v>1217.02</v>
      </c>
    </row>
    <row r="272" spans="2:7" x14ac:dyDescent="0.3">
      <c r="B272" s="3">
        <v>7250</v>
      </c>
      <c r="C272" s="3" t="s">
        <v>496</v>
      </c>
      <c r="D272" s="3" t="s">
        <v>9</v>
      </c>
      <c r="E272" s="3"/>
      <c r="F272" s="3" t="s">
        <v>11</v>
      </c>
      <c r="G272" s="4">
        <v>1197.74</v>
      </c>
    </row>
    <row r="273" spans="2:7" x14ac:dyDescent="0.3">
      <c r="B273" s="3" t="s">
        <v>497</v>
      </c>
      <c r="C273" s="3" t="s">
        <v>498</v>
      </c>
      <c r="D273" s="3" t="s">
        <v>9</v>
      </c>
      <c r="E273" s="3" t="s">
        <v>10</v>
      </c>
      <c r="F273" s="3" t="s">
        <v>11</v>
      </c>
      <c r="G273" s="4">
        <v>1188.79</v>
      </c>
    </row>
    <row r="274" spans="2:7" x14ac:dyDescent="0.3">
      <c r="B274" s="3">
        <v>8584</v>
      </c>
      <c r="C274" s="3" t="s">
        <v>499</v>
      </c>
      <c r="D274" s="3" t="s">
        <v>9</v>
      </c>
      <c r="E274" s="3"/>
      <c r="F274" s="3" t="s">
        <v>11</v>
      </c>
      <c r="G274" s="4">
        <v>1186.79</v>
      </c>
    </row>
    <row r="275" spans="2:7" x14ac:dyDescent="0.3">
      <c r="B275" s="3" t="s">
        <v>500</v>
      </c>
      <c r="C275" s="3" t="s">
        <v>501</v>
      </c>
      <c r="D275" s="3" t="s">
        <v>9</v>
      </c>
      <c r="E275" s="3"/>
      <c r="F275" s="3" t="s">
        <v>11</v>
      </c>
      <c r="G275" s="4">
        <v>1175.6199999999999</v>
      </c>
    </row>
    <row r="276" spans="2:7" x14ac:dyDescent="0.3">
      <c r="B276" s="3" t="s">
        <v>502</v>
      </c>
      <c r="C276" s="3" t="s">
        <v>503</v>
      </c>
      <c r="D276" s="3" t="s">
        <v>9</v>
      </c>
      <c r="E276" s="3"/>
      <c r="F276" s="3" t="s">
        <v>11</v>
      </c>
      <c r="G276" s="4">
        <v>1167.98</v>
      </c>
    </row>
    <row r="277" spans="2:7" x14ac:dyDescent="0.3">
      <c r="B277" s="3" t="s">
        <v>504</v>
      </c>
      <c r="C277" s="3" t="s">
        <v>505</v>
      </c>
      <c r="D277" s="3" t="s">
        <v>9</v>
      </c>
      <c r="E277" s="3"/>
      <c r="F277" s="3" t="s">
        <v>11</v>
      </c>
      <c r="G277" s="4">
        <v>1149.03</v>
      </c>
    </row>
    <row r="278" spans="2:7" x14ac:dyDescent="0.3">
      <c r="B278" s="3" t="s">
        <v>506</v>
      </c>
      <c r="C278" s="3" t="s">
        <v>507</v>
      </c>
      <c r="D278" s="3" t="s">
        <v>9</v>
      </c>
      <c r="E278" s="3"/>
      <c r="F278" s="3" t="s">
        <v>11</v>
      </c>
      <c r="G278" s="4">
        <v>1138.97</v>
      </c>
    </row>
    <row r="279" spans="2:7" x14ac:dyDescent="0.3">
      <c r="B279" s="3" t="s">
        <v>508</v>
      </c>
      <c r="C279" s="3" t="s">
        <v>509</v>
      </c>
      <c r="D279" s="3" t="s">
        <v>9</v>
      </c>
      <c r="E279" s="3"/>
      <c r="F279" s="3" t="s">
        <v>11</v>
      </c>
      <c r="G279" s="4">
        <v>1138.8800000000001</v>
      </c>
    </row>
    <row r="280" spans="2:7" x14ac:dyDescent="0.3">
      <c r="B280" s="3">
        <v>500294</v>
      </c>
      <c r="C280" s="3" t="s">
        <v>510</v>
      </c>
      <c r="D280" s="3" t="s">
        <v>9</v>
      </c>
      <c r="E280" s="3"/>
      <c r="F280" s="3" t="s">
        <v>11</v>
      </c>
      <c r="G280" s="4">
        <v>1122.31</v>
      </c>
    </row>
    <row r="281" spans="2:7" x14ac:dyDescent="0.3">
      <c r="B281" s="3">
        <v>4722</v>
      </c>
      <c r="C281" s="3" t="s">
        <v>511</v>
      </c>
      <c r="D281" s="3" t="s">
        <v>9</v>
      </c>
      <c r="E281" s="3"/>
      <c r="F281" s="3" t="s">
        <v>11</v>
      </c>
      <c r="G281" s="4">
        <v>1106.8399999999999</v>
      </c>
    </row>
    <row r="282" spans="2:7" x14ac:dyDescent="0.3">
      <c r="B282" s="3" t="s">
        <v>512</v>
      </c>
      <c r="C282" s="3" t="s">
        <v>513</v>
      </c>
      <c r="D282" s="3" t="s">
        <v>9</v>
      </c>
      <c r="E282" s="3"/>
      <c r="F282" s="3" t="s">
        <v>11</v>
      </c>
      <c r="G282" s="4">
        <v>1078.1099999999999</v>
      </c>
    </row>
    <row r="283" spans="2:7" x14ac:dyDescent="0.3">
      <c r="B283" s="3" t="s">
        <v>514</v>
      </c>
      <c r="C283" s="3" t="s">
        <v>515</v>
      </c>
      <c r="D283" s="3" t="s">
        <v>9</v>
      </c>
      <c r="E283" s="3" t="s">
        <v>10</v>
      </c>
      <c r="F283" s="3" t="s">
        <v>11</v>
      </c>
      <c r="G283" s="4">
        <v>1062.42</v>
      </c>
    </row>
    <row r="284" spans="2:7" x14ac:dyDescent="0.3">
      <c r="B284" s="3" t="s">
        <v>516</v>
      </c>
      <c r="C284" s="3" t="s">
        <v>517</v>
      </c>
      <c r="D284" s="3" t="s">
        <v>9</v>
      </c>
      <c r="E284" s="3"/>
      <c r="F284" s="3" t="s">
        <v>11</v>
      </c>
      <c r="G284" s="4">
        <v>1050.69</v>
      </c>
    </row>
    <row r="285" spans="2:7" x14ac:dyDescent="0.3">
      <c r="B285" s="3">
        <v>7004</v>
      </c>
      <c r="C285" s="3" t="s">
        <v>518</v>
      </c>
      <c r="D285" s="3" t="s">
        <v>9</v>
      </c>
      <c r="E285" s="3"/>
      <c r="F285" s="3" t="s">
        <v>11</v>
      </c>
      <c r="G285" s="4">
        <v>1045.71</v>
      </c>
    </row>
    <row r="286" spans="2:7" x14ac:dyDescent="0.3">
      <c r="B286" s="3" t="s">
        <v>519</v>
      </c>
      <c r="C286" s="3" t="s">
        <v>520</v>
      </c>
      <c r="D286" s="3" t="s">
        <v>9</v>
      </c>
      <c r="E286" s="3"/>
      <c r="F286" s="3" t="s">
        <v>11</v>
      </c>
      <c r="G286" s="4">
        <v>1013.85</v>
      </c>
    </row>
    <row r="287" spans="2:7" x14ac:dyDescent="0.3">
      <c r="B287" s="3">
        <v>1926</v>
      </c>
      <c r="C287" s="3" t="s">
        <v>521</v>
      </c>
      <c r="D287" s="3" t="s">
        <v>9</v>
      </c>
      <c r="E287" s="3"/>
      <c r="F287" s="3" t="s">
        <v>11</v>
      </c>
      <c r="G287" s="4">
        <v>1002.88</v>
      </c>
    </row>
    <row r="288" spans="2:7" x14ac:dyDescent="0.3">
      <c r="B288" s="3">
        <v>4928</v>
      </c>
      <c r="C288" s="3" t="s">
        <v>522</v>
      </c>
      <c r="D288" s="3" t="s">
        <v>9</v>
      </c>
      <c r="E288" s="3"/>
      <c r="F288" s="3" t="s">
        <v>11</v>
      </c>
      <c r="G288" s="4">
        <v>996.08</v>
      </c>
    </row>
    <row r="289" spans="2:7" x14ac:dyDescent="0.3">
      <c r="B289" s="3" t="s">
        <v>523</v>
      </c>
      <c r="C289" s="3" t="s">
        <v>524</v>
      </c>
      <c r="D289" s="3" t="s">
        <v>9</v>
      </c>
      <c r="E289" s="3"/>
      <c r="F289" s="3" t="s">
        <v>11</v>
      </c>
      <c r="G289" s="4">
        <v>985.28</v>
      </c>
    </row>
    <row r="290" spans="2:7" x14ac:dyDescent="0.3">
      <c r="B290" s="3" t="s">
        <v>525</v>
      </c>
      <c r="C290" s="3" t="s">
        <v>526</v>
      </c>
      <c r="D290" s="3" t="s">
        <v>9</v>
      </c>
      <c r="E290" s="3"/>
      <c r="F290" s="3" t="s">
        <v>11</v>
      </c>
      <c r="G290" s="4">
        <v>981.05</v>
      </c>
    </row>
    <row r="291" spans="2:7" x14ac:dyDescent="0.3">
      <c r="B291" s="3" t="s">
        <v>527</v>
      </c>
      <c r="C291" s="3" t="s">
        <v>528</v>
      </c>
      <c r="D291" s="3" t="s">
        <v>9</v>
      </c>
      <c r="E291" s="3" t="s">
        <v>16</v>
      </c>
      <c r="F291" s="3" t="s">
        <v>11</v>
      </c>
      <c r="G291" s="4">
        <v>979.62</v>
      </c>
    </row>
    <row r="292" spans="2:7" x14ac:dyDescent="0.3">
      <c r="B292" s="3">
        <v>7287</v>
      </c>
      <c r="C292" s="3" t="s">
        <v>529</v>
      </c>
      <c r="D292" s="3" t="s">
        <v>9</v>
      </c>
      <c r="E292" s="3"/>
      <c r="F292" s="3" t="s">
        <v>11</v>
      </c>
      <c r="G292" s="4">
        <v>976.98</v>
      </c>
    </row>
    <row r="293" spans="2:7" x14ac:dyDescent="0.3">
      <c r="B293" s="3">
        <v>3167</v>
      </c>
      <c r="C293" s="3" t="s">
        <v>530</v>
      </c>
      <c r="D293" s="3" t="s">
        <v>9</v>
      </c>
      <c r="E293" s="3"/>
      <c r="F293" s="3" t="s">
        <v>11</v>
      </c>
      <c r="G293" s="4">
        <v>970.93</v>
      </c>
    </row>
    <row r="294" spans="2:7" x14ac:dyDescent="0.3">
      <c r="B294" s="3">
        <v>532493</v>
      </c>
      <c r="C294" s="3" t="s">
        <v>531</v>
      </c>
      <c r="D294" s="3" t="s">
        <v>9</v>
      </c>
      <c r="E294" s="3"/>
      <c r="F294" s="3" t="s">
        <v>11</v>
      </c>
      <c r="G294" s="4">
        <v>960.2</v>
      </c>
    </row>
    <row r="295" spans="2:7" x14ac:dyDescent="0.3">
      <c r="B295" s="3">
        <v>6486</v>
      </c>
      <c r="C295" s="3" t="s">
        <v>532</v>
      </c>
      <c r="D295" s="3" t="s">
        <v>9</v>
      </c>
      <c r="E295" s="3"/>
      <c r="F295" s="3" t="s">
        <v>11</v>
      </c>
      <c r="G295" s="4">
        <v>947.51</v>
      </c>
    </row>
    <row r="296" spans="2:7" x14ac:dyDescent="0.3">
      <c r="B296" s="3">
        <v>4975</v>
      </c>
      <c r="C296" s="3" t="s">
        <v>533</v>
      </c>
      <c r="D296" s="3" t="s">
        <v>9</v>
      </c>
      <c r="E296" s="3"/>
      <c r="F296" s="3" t="s">
        <v>11</v>
      </c>
      <c r="G296" s="4">
        <v>903.51</v>
      </c>
    </row>
    <row r="297" spans="2:7" x14ac:dyDescent="0.3">
      <c r="B297" s="3" t="s">
        <v>534</v>
      </c>
      <c r="C297" s="3" t="s">
        <v>535</v>
      </c>
      <c r="D297" s="3" t="s">
        <v>9</v>
      </c>
      <c r="E297" s="3" t="s">
        <v>16</v>
      </c>
      <c r="F297" s="3" t="s">
        <v>11</v>
      </c>
      <c r="G297" s="4">
        <v>893.28</v>
      </c>
    </row>
    <row r="298" spans="2:7" x14ac:dyDescent="0.3">
      <c r="B298" s="3">
        <v>9090</v>
      </c>
      <c r="C298" s="3" t="s">
        <v>536</v>
      </c>
      <c r="D298" s="3" t="s">
        <v>9</v>
      </c>
      <c r="E298" s="3"/>
      <c r="F298" s="3" t="s">
        <v>11</v>
      </c>
      <c r="G298" s="4">
        <v>875.59</v>
      </c>
    </row>
    <row r="299" spans="2:7" x14ac:dyDescent="0.3">
      <c r="B299" s="3" t="s">
        <v>537</v>
      </c>
      <c r="C299" s="3" t="s">
        <v>538</v>
      </c>
      <c r="D299" s="3" t="s">
        <v>9</v>
      </c>
      <c r="E299" s="3"/>
      <c r="F299" s="3" t="s">
        <v>11</v>
      </c>
      <c r="G299" s="4">
        <v>861.32</v>
      </c>
    </row>
    <row r="300" spans="2:7" x14ac:dyDescent="0.3">
      <c r="B300" s="3">
        <v>4534</v>
      </c>
      <c r="C300" s="3" t="s">
        <v>539</v>
      </c>
      <c r="D300" s="3" t="s">
        <v>9</v>
      </c>
      <c r="E300" s="3"/>
      <c r="F300" s="3" t="s">
        <v>11</v>
      </c>
      <c r="G300" s="4">
        <v>850.88</v>
      </c>
    </row>
    <row r="301" spans="2:7" x14ac:dyDescent="0.3">
      <c r="B301" s="3" t="s">
        <v>540</v>
      </c>
      <c r="C301" s="3" t="s">
        <v>541</v>
      </c>
      <c r="D301" s="3" t="s">
        <v>9</v>
      </c>
      <c r="E301" s="3"/>
      <c r="F301" s="3" t="s">
        <v>11</v>
      </c>
      <c r="G301" s="4">
        <v>848.63</v>
      </c>
    </row>
    <row r="302" spans="2:7" x14ac:dyDescent="0.3">
      <c r="B302" s="3" t="s">
        <v>542</v>
      </c>
      <c r="C302" s="3" t="s">
        <v>543</v>
      </c>
      <c r="D302" s="3" t="s">
        <v>9</v>
      </c>
      <c r="E302" s="3"/>
      <c r="F302" s="3" t="s">
        <v>11</v>
      </c>
      <c r="G302" s="4">
        <v>842.93</v>
      </c>
    </row>
    <row r="303" spans="2:7" x14ac:dyDescent="0.3">
      <c r="B303" s="3" t="s">
        <v>544</v>
      </c>
      <c r="C303" s="3" t="s">
        <v>545</v>
      </c>
      <c r="D303" s="3" t="s">
        <v>9</v>
      </c>
      <c r="E303" s="3"/>
      <c r="F303" s="3" t="s">
        <v>11</v>
      </c>
      <c r="G303" s="4">
        <v>822.34</v>
      </c>
    </row>
    <row r="304" spans="2:7" x14ac:dyDescent="0.3">
      <c r="B304" s="3" t="s">
        <v>546</v>
      </c>
      <c r="C304" s="3" t="s">
        <v>547</v>
      </c>
      <c r="D304" s="3" t="s">
        <v>9</v>
      </c>
      <c r="E304" s="3" t="s">
        <v>10</v>
      </c>
      <c r="F304" s="3" t="s">
        <v>11</v>
      </c>
      <c r="G304" s="4">
        <v>817.79</v>
      </c>
    </row>
    <row r="305" spans="2:7" x14ac:dyDescent="0.3">
      <c r="B305" s="3" t="s">
        <v>548</v>
      </c>
      <c r="C305" s="3" t="s">
        <v>549</v>
      </c>
      <c r="D305" s="3" t="s">
        <v>9</v>
      </c>
      <c r="E305" s="3"/>
      <c r="F305" s="3" t="s">
        <v>11</v>
      </c>
      <c r="G305" s="4">
        <v>816.18</v>
      </c>
    </row>
    <row r="306" spans="2:7" x14ac:dyDescent="0.3">
      <c r="B306" s="3" t="s">
        <v>550</v>
      </c>
      <c r="C306" s="3" t="s">
        <v>551</v>
      </c>
      <c r="D306" s="3" t="s">
        <v>9</v>
      </c>
      <c r="E306" s="3"/>
      <c r="F306" s="3" t="s">
        <v>11</v>
      </c>
      <c r="G306" s="4">
        <v>794.98</v>
      </c>
    </row>
    <row r="307" spans="2:7" x14ac:dyDescent="0.3">
      <c r="B307" s="3" t="s">
        <v>552</v>
      </c>
      <c r="C307" s="3" t="s">
        <v>553</v>
      </c>
      <c r="D307" s="3" t="s">
        <v>9</v>
      </c>
      <c r="E307" s="3"/>
      <c r="F307" s="3" t="s">
        <v>11</v>
      </c>
      <c r="G307" s="4">
        <v>792.98</v>
      </c>
    </row>
    <row r="308" spans="2:7" x14ac:dyDescent="0.3">
      <c r="B308" s="3">
        <v>8934</v>
      </c>
      <c r="C308" s="3" t="s">
        <v>554</v>
      </c>
      <c r="D308" s="3" t="s">
        <v>9</v>
      </c>
      <c r="E308" s="3"/>
      <c r="F308" s="3" t="s">
        <v>11</v>
      </c>
      <c r="G308" s="4">
        <v>782.73</v>
      </c>
    </row>
    <row r="309" spans="2:7" x14ac:dyDescent="0.3">
      <c r="B309" s="3" t="s">
        <v>555</v>
      </c>
      <c r="C309" s="3" t="s">
        <v>556</v>
      </c>
      <c r="D309" s="3" t="s">
        <v>9</v>
      </c>
      <c r="E309" s="3"/>
      <c r="F309" s="3" t="s">
        <v>11</v>
      </c>
      <c r="G309" s="4">
        <v>754.47</v>
      </c>
    </row>
    <row r="310" spans="2:7" x14ac:dyDescent="0.3">
      <c r="B310" s="3">
        <v>5192</v>
      </c>
      <c r="C310" s="3" t="s">
        <v>557</v>
      </c>
      <c r="D310" s="3" t="s">
        <v>9</v>
      </c>
      <c r="E310" s="3"/>
      <c r="F310" s="3" t="s">
        <v>11</v>
      </c>
      <c r="G310" s="4">
        <v>739.23</v>
      </c>
    </row>
    <row r="311" spans="2:7" x14ac:dyDescent="0.3">
      <c r="B311" s="3" t="s">
        <v>558</v>
      </c>
      <c r="C311" s="3" t="s">
        <v>559</v>
      </c>
      <c r="D311" s="3" t="s">
        <v>9</v>
      </c>
      <c r="E311" s="3" t="s">
        <v>10</v>
      </c>
      <c r="F311" s="3" t="s">
        <v>11</v>
      </c>
      <c r="G311" s="4">
        <v>736.67</v>
      </c>
    </row>
    <row r="312" spans="2:7" x14ac:dyDescent="0.3">
      <c r="B312" s="3" t="s">
        <v>560</v>
      </c>
      <c r="C312" s="3" t="s">
        <v>561</v>
      </c>
      <c r="D312" s="3" t="s">
        <v>9</v>
      </c>
      <c r="E312" s="3"/>
      <c r="F312" s="3" t="s">
        <v>11</v>
      </c>
      <c r="G312" s="4">
        <v>726.96</v>
      </c>
    </row>
    <row r="313" spans="2:7" x14ac:dyDescent="0.3">
      <c r="B313" s="3" t="s">
        <v>562</v>
      </c>
      <c r="C313" s="3" t="s">
        <v>563</v>
      </c>
      <c r="D313" s="3" t="s">
        <v>9</v>
      </c>
      <c r="E313" s="3"/>
      <c r="F313" s="3" t="s">
        <v>11</v>
      </c>
      <c r="G313" s="4">
        <v>721.44</v>
      </c>
    </row>
    <row r="314" spans="2:7" x14ac:dyDescent="0.3">
      <c r="B314" s="3" t="s">
        <v>564</v>
      </c>
      <c r="C314" s="3" t="s">
        <v>565</v>
      </c>
      <c r="D314" s="3" t="s">
        <v>9</v>
      </c>
      <c r="E314" s="3"/>
      <c r="F314" s="3" t="s">
        <v>11</v>
      </c>
      <c r="G314" s="4">
        <v>718.38</v>
      </c>
    </row>
    <row r="315" spans="2:7" x14ac:dyDescent="0.3">
      <c r="B315" s="3" t="s">
        <v>566</v>
      </c>
      <c r="C315" s="3" t="s">
        <v>567</v>
      </c>
      <c r="D315" s="3" t="s">
        <v>9</v>
      </c>
      <c r="E315" s="3"/>
      <c r="F315" s="3" t="s">
        <v>11</v>
      </c>
      <c r="G315" s="4">
        <v>685.74</v>
      </c>
    </row>
    <row r="316" spans="2:7" x14ac:dyDescent="0.3">
      <c r="B316" s="3">
        <v>533047</v>
      </c>
      <c r="C316" s="3" t="s">
        <v>568</v>
      </c>
      <c r="D316" s="3" t="s">
        <v>9</v>
      </c>
      <c r="E316" s="3"/>
      <c r="F316" s="3" t="s">
        <v>11</v>
      </c>
      <c r="G316" s="4">
        <v>651.32000000000005</v>
      </c>
    </row>
    <row r="317" spans="2:7" x14ac:dyDescent="0.3">
      <c r="B317" s="3" t="s">
        <v>569</v>
      </c>
      <c r="C317" s="3" t="s">
        <v>570</v>
      </c>
      <c r="D317" s="3" t="s">
        <v>9</v>
      </c>
      <c r="E317" s="3" t="s">
        <v>16</v>
      </c>
      <c r="F317" s="3" t="s">
        <v>11</v>
      </c>
      <c r="G317" s="4">
        <v>647.78</v>
      </c>
    </row>
    <row r="318" spans="2:7" x14ac:dyDescent="0.3">
      <c r="B318" s="3">
        <v>5351</v>
      </c>
      <c r="C318" s="3" t="s">
        <v>571</v>
      </c>
      <c r="D318" s="3" t="s">
        <v>9</v>
      </c>
      <c r="E318" s="3"/>
      <c r="F318" s="3" t="s">
        <v>11</v>
      </c>
      <c r="G318" s="4">
        <v>645.46</v>
      </c>
    </row>
    <row r="319" spans="2:7" x14ac:dyDescent="0.3">
      <c r="B319" s="3" t="s">
        <v>572</v>
      </c>
      <c r="C319" s="3" t="s">
        <v>573</v>
      </c>
      <c r="D319" s="3" t="s">
        <v>9</v>
      </c>
      <c r="E319" s="3"/>
      <c r="F319" s="3" t="s">
        <v>11</v>
      </c>
      <c r="G319" s="4">
        <v>636.62</v>
      </c>
    </row>
    <row r="320" spans="2:7" x14ac:dyDescent="0.3">
      <c r="B320" s="3">
        <v>523323</v>
      </c>
      <c r="C320" s="3" t="s">
        <v>574</v>
      </c>
      <c r="D320" s="3" t="s">
        <v>9</v>
      </c>
      <c r="E320" s="3"/>
      <c r="F320" s="3" t="s">
        <v>11</v>
      </c>
      <c r="G320" s="4">
        <v>635.12</v>
      </c>
    </row>
    <row r="321" spans="2:7" x14ac:dyDescent="0.3">
      <c r="B321" s="3" t="s">
        <v>575</v>
      </c>
      <c r="C321" s="3" t="s">
        <v>576</v>
      </c>
      <c r="D321" s="3" t="s">
        <v>9</v>
      </c>
      <c r="E321" s="3" t="s">
        <v>16</v>
      </c>
      <c r="F321" s="3" t="s">
        <v>11</v>
      </c>
      <c r="G321" s="4">
        <v>630.44000000000005</v>
      </c>
    </row>
    <row r="322" spans="2:7" x14ac:dyDescent="0.3">
      <c r="B322" s="3" t="s">
        <v>577</v>
      </c>
      <c r="C322" s="3" t="s">
        <v>578</v>
      </c>
      <c r="D322" s="3" t="s">
        <v>9</v>
      </c>
      <c r="E322" s="3" t="s">
        <v>10</v>
      </c>
      <c r="F322" s="3" t="s">
        <v>11</v>
      </c>
      <c r="G322" s="4">
        <v>611.75</v>
      </c>
    </row>
    <row r="323" spans="2:7" x14ac:dyDescent="0.3">
      <c r="B323" s="3" t="s">
        <v>579</v>
      </c>
      <c r="C323" s="3" t="s">
        <v>580</v>
      </c>
      <c r="D323" s="3" t="s">
        <v>9</v>
      </c>
      <c r="E323" s="3" t="s">
        <v>10</v>
      </c>
      <c r="F323" s="3" t="s">
        <v>11</v>
      </c>
      <c r="G323" s="4">
        <v>610.09</v>
      </c>
    </row>
    <row r="324" spans="2:7" x14ac:dyDescent="0.3">
      <c r="B324" s="3" t="s">
        <v>581</v>
      </c>
      <c r="C324" s="3" t="s">
        <v>582</v>
      </c>
      <c r="D324" s="3" t="s">
        <v>9</v>
      </c>
      <c r="E324" s="3"/>
      <c r="F324" s="3" t="s">
        <v>11</v>
      </c>
      <c r="G324" s="4">
        <v>604.9</v>
      </c>
    </row>
    <row r="325" spans="2:7" x14ac:dyDescent="0.3">
      <c r="B325" s="3" t="s">
        <v>583</v>
      </c>
      <c r="C325" s="3" t="s">
        <v>584</v>
      </c>
      <c r="D325" s="3" t="s">
        <v>9</v>
      </c>
      <c r="E325" s="3" t="s">
        <v>10</v>
      </c>
      <c r="F325" s="3" t="s">
        <v>11</v>
      </c>
      <c r="G325" s="4">
        <v>597.94000000000005</v>
      </c>
    </row>
    <row r="326" spans="2:7" x14ac:dyDescent="0.3">
      <c r="B326" s="3" t="s">
        <v>585</v>
      </c>
      <c r="C326" s="3" t="s">
        <v>586</v>
      </c>
      <c r="D326" s="3" t="s">
        <v>9</v>
      </c>
      <c r="E326" s="3"/>
      <c r="F326" s="3" t="s">
        <v>11</v>
      </c>
      <c r="G326" s="4">
        <v>591.88</v>
      </c>
    </row>
    <row r="327" spans="2:7" x14ac:dyDescent="0.3">
      <c r="B327" s="3">
        <v>519126</v>
      </c>
      <c r="C327" s="3" t="s">
        <v>587</v>
      </c>
      <c r="D327" s="3" t="s">
        <v>9</v>
      </c>
      <c r="E327" s="3"/>
      <c r="F327" s="3" t="s">
        <v>11</v>
      </c>
      <c r="G327" s="4">
        <v>588.23</v>
      </c>
    </row>
    <row r="328" spans="2:7" x14ac:dyDescent="0.3">
      <c r="B328" s="3">
        <v>505242</v>
      </c>
      <c r="C328" s="3" t="s">
        <v>588</v>
      </c>
      <c r="D328" s="3" t="s">
        <v>9</v>
      </c>
      <c r="E328" s="3"/>
      <c r="F328" s="3" t="s">
        <v>11</v>
      </c>
      <c r="G328" s="4">
        <v>586.05999999999995</v>
      </c>
    </row>
    <row r="329" spans="2:7" x14ac:dyDescent="0.3">
      <c r="B329" s="3" t="s">
        <v>589</v>
      </c>
      <c r="C329" s="3" t="s">
        <v>590</v>
      </c>
      <c r="D329" s="3" t="s">
        <v>9</v>
      </c>
      <c r="E329" s="3"/>
      <c r="F329" s="3" t="s">
        <v>11</v>
      </c>
      <c r="G329" s="4">
        <v>580.21</v>
      </c>
    </row>
    <row r="330" spans="2:7" x14ac:dyDescent="0.3">
      <c r="B330" s="3" t="s">
        <v>591</v>
      </c>
      <c r="C330" s="3" t="s">
        <v>592</v>
      </c>
      <c r="D330" s="3" t="s">
        <v>9</v>
      </c>
      <c r="E330" s="3"/>
      <c r="F330" s="3" t="s">
        <v>11</v>
      </c>
      <c r="G330" s="4">
        <v>577.63</v>
      </c>
    </row>
    <row r="331" spans="2:7" x14ac:dyDescent="0.3">
      <c r="B331" s="3">
        <v>7088</v>
      </c>
      <c r="C331" s="3" t="s">
        <v>593</v>
      </c>
      <c r="D331" s="3" t="s">
        <v>9</v>
      </c>
      <c r="E331" s="3"/>
      <c r="F331" s="3" t="s">
        <v>11</v>
      </c>
      <c r="G331" s="4">
        <v>575.19000000000005</v>
      </c>
    </row>
    <row r="332" spans="2:7" x14ac:dyDescent="0.3">
      <c r="B332" s="3" t="s">
        <v>594</v>
      </c>
      <c r="C332" s="3" t="s">
        <v>595</v>
      </c>
      <c r="D332" s="3" t="s">
        <v>9</v>
      </c>
      <c r="E332" s="3"/>
      <c r="F332" s="3" t="s">
        <v>11</v>
      </c>
      <c r="G332" s="4">
        <v>570.89</v>
      </c>
    </row>
    <row r="333" spans="2:7" x14ac:dyDescent="0.3">
      <c r="B333" s="3">
        <v>531266</v>
      </c>
      <c r="C333" s="3" t="s">
        <v>596</v>
      </c>
      <c r="D333" s="3" t="s">
        <v>9</v>
      </c>
      <c r="E333" s="3"/>
      <c r="F333" s="3" t="s">
        <v>11</v>
      </c>
      <c r="G333" s="4">
        <v>551.77</v>
      </c>
    </row>
    <row r="334" spans="2:7" x14ac:dyDescent="0.3">
      <c r="B334" s="3">
        <v>3034</v>
      </c>
      <c r="C334" s="3" t="s">
        <v>597</v>
      </c>
      <c r="D334" s="3" t="s">
        <v>9</v>
      </c>
      <c r="E334" s="3"/>
      <c r="F334" s="3" t="s">
        <v>11</v>
      </c>
      <c r="G334" s="4">
        <v>548.5</v>
      </c>
    </row>
    <row r="335" spans="2:7" x14ac:dyDescent="0.3">
      <c r="B335" s="3" t="s">
        <v>598</v>
      </c>
      <c r="C335" s="3" t="s">
        <v>599</v>
      </c>
      <c r="D335" s="3" t="s">
        <v>9</v>
      </c>
      <c r="E335" s="3"/>
      <c r="F335" s="3" t="s">
        <v>11</v>
      </c>
      <c r="G335" s="4">
        <v>547.78</v>
      </c>
    </row>
    <row r="336" spans="2:7" x14ac:dyDescent="0.3">
      <c r="B336" s="3" t="s">
        <v>600</v>
      </c>
      <c r="C336" s="3" t="s">
        <v>601</v>
      </c>
      <c r="D336" s="3" t="s">
        <v>9</v>
      </c>
      <c r="E336" s="3"/>
      <c r="F336" s="3" t="s">
        <v>11</v>
      </c>
      <c r="G336" s="4">
        <v>547.54999999999995</v>
      </c>
    </row>
    <row r="337" spans="2:7" x14ac:dyDescent="0.3">
      <c r="B337" s="3" t="s">
        <v>602</v>
      </c>
      <c r="C337" s="3" t="s">
        <v>603</v>
      </c>
      <c r="D337" s="3" t="s">
        <v>9</v>
      </c>
      <c r="E337" s="3"/>
      <c r="F337" s="3" t="s">
        <v>11</v>
      </c>
      <c r="G337" s="4">
        <v>542.49</v>
      </c>
    </row>
    <row r="338" spans="2:7" x14ac:dyDescent="0.3">
      <c r="B338" s="3">
        <v>7917</v>
      </c>
      <c r="C338" s="3" t="s">
        <v>604</v>
      </c>
      <c r="D338" s="3" t="s">
        <v>9</v>
      </c>
      <c r="E338" s="3"/>
      <c r="F338" s="3" t="s">
        <v>11</v>
      </c>
      <c r="G338" s="4">
        <v>531.32000000000005</v>
      </c>
    </row>
    <row r="339" spans="2:7" x14ac:dyDescent="0.3">
      <c r="B339" s="3" t="s">
        <v>605</v>
      </c>
      <c r="C339" s="3" t="s">
        <v>606</v>
      </c>
      <c r="D339" s="3" t="s">
        <v>9</v>
      </c>
      <c r="E339" s="3" t="s">
        <v>16</v>
      </c>
      <c r="F339" s="3" t="s">
        <v>11</v>
      </c>
      <c r="G339" s="4">
        <v>528.29999999999995</v>
      </c>
    </row>
    <row r="340" spans="2:7" x14ac:dyDescent="0.3">
      <c r="B340" s="3" t="s">
        <v>607</v>
      </c>
      <c r="C340" s="3" t="s">
        <v>608</v>
      </c>
      <c r="D340" s="3" t="s">
        <v>9</v>
      </c>
      <c r="E340" s="3"/>
      <c r="F340" s="3" t="s">
        <v>11</v>
      </c>
      <c r="G340" s="4">
        <v>526.41999999999996</v>
      </c>
    </row>
    <row r="341" spans="2:7" x14ac:dyDescent="0.3">
      <c r="B341" s="3">
        <v>5449</v>
      </c>
      <c r="C341" s="3" t="s">
        <v>609</v>
      </c>
      <c r="D341" s="3" t="s">
        <v>9</v>
      </c>
      <c r="E341" s="3"/>
      <c r="F341" s="3" t="s">
        <v>11</v>
      </c>
      <c r="G341" s="4">
        <v>524.84</v>
      </c>
    </row>
    <row r="342" spans="2:7" x14ac:dyDescent="0.3">
      <c r="B342" s="3" t="s">
        <v>610</v>
      </c>
      <c r="C342" s="3" t="s">
        <v>611</v>
      </c>
      <c r="D342" s="3" t="s">
        <v>9</v>
      </c>
      <c r="E342" s="3" t="s">
        <v>10</v>
      </c>
      <c r="F342" s="3" t="s">
        <v>11</v>
      </c>
      <c r="G342" s="4">
        <v>520.1</v>
      </c>
    </row>
    <row r="343" spans="2:7" x14ac:dyDescent="0.3">
      <c r="B343" s="3">
        <v>3636</v>
      </c>
      <c r="C343" s="3" t="s">
        <v>612</v>
      </c>
      <c r="D343" s="3" t="s">
        <v>9</v>
      </c>
      <c r="E343" s="3"/>
      <c r="F343" s="3" t="s">
        <v>11</v>
      </c>
      <c r="G343" s="4">
        <v>515.49</v>
      </c>
    </row>
    <row r="344" spans="2:7" x14ac:dyDescent="0.3">
      <c r="B344" s="3" t="s">
        <v>613</v>
      </c>
      <c r="C344" s="3" t="s">
        <v>614</v>
      </c>
      <c r="D344" s="3" t="s">
        <v>9</v>
      </c>
      <c r="E344" s="3"/>
      <c r="F344" s="3" t="s">
        <v>11</v>
      </c>
      <c r="G344" s="4">
        <v>510.39</v>
      </c>
    </row>
    <row r="345" spans="2:7" x14ac:dyDescent="0.3">
      <c r="B345" s="3" t="s">
        <v>615</v>
      </c>
      <c r="C345" s="3" t="s">
        <v>616</v>
      </c>
      <c r="D345" s="3" t="s">
        <v>9</v>
      </c>
      <c r="E345" s="3"/>
      <c r="F345" s="3" t="s">
        <v>11</v>
      </c>
      <c r="G345" s="4">
        <v>509.94</v>
      </c>
    </row>
    <row r="346" spans="2:7" x14ac:dyDescent="0.3">
      <c r="B346" s="3" t="s">
        <v>617</v>
      </c>
      <c r="C346" s="3" t="s">
        <v>618</v>
      </c>
      <c r="D346" s="3" t="s">
        <v>9</v>
      </c>
      <c r="E346" s="3"/>
      <c r="F346" s="3" t="s">
        <v>11</v>
      </c>
      <c r="G346" s="4">
        <v>508.17</v>
      </c>
    </row>
    <row r="347" spans="2:7" x14ac:dyDescent="0.3">
      <c r="B347" s="3" t="s">
        <v>619</v>
      </c>
      <c r="C347" s="3" t="s">
        <v>620</v>
      </c>
      <c r="D347" s="3" t="s">
        <v>9</v>
      </c>
      <c r="E347" s="3"/>
      <c r="F347" s="3" t="s">
        <v>11</v>
      </c>
      <c r="G347" s="4">
        <v>507.75</v>
      </c>
    </row>
  </sheetData>
  <autoFilter ref="B3:G347" xr:uid="{00000000-0009-0000-0000-000000000000}">
    <sortState xmlns:xlrd2="http://schemas.microsoft.com/office/spreadsheetml/2017/richdata2" ref="B4:G347">
      <sortCondition descending="1" ref="G3:G347"/>
    </sortState>
  </autoFilter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229"/>
  <sheetViews>
    <sheetView zoomScale="85" zoomScaleNormal="85" workbookViewId="0">
      <selection activeCell="D35" sqref="D35"/>
    </sheetView>
  </sheetViews>
  <sheetFormatPr defaultRowHeight="16.5" x14ac:dyDescent="0.3"/>
  <cols>
    <col min="1" max="1" width="3" customWidth="1"/>
    <col min="2" max="2" width="12" style="44" customWidth="1"/>
    <col min="3" max="3" width="14" customWidth="1"/>
    <col min="4" max="4" width="34" bestFit="1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34" t="s">
        <v>1</v>
      </c>
      <c r="C2" s="34" t="s">
        <v>621</v>
      </c>
      <c r="D2" s="34" t="s">
        <v>622</v>
      </c>
      <c r="E2" s="34" t="s">
        <v>623</v>
      </c>
      <c r="F2" s="34" t="s">
        <v>624</v>
      </c>
      <c r="G2" s="34" t="s">
        <v>625</v>
      </c>
      <c r="H2" s="34" t="s">
        <v>626</v>
      </c>
      <c r="I2" s="34" t="s">
        <v>627</v>
      </c>
      <c r="J2" s="34" t="s">
        <v>628</v>
      </c>
      <c r="K2" s="34" t="s">
        <v>629</v>
      </c>
      <c r="L2" s="34" t="s">
        <v>630</v>
      </c>
      <c r="M2" s="34" t="s">
        <v>631</v>
      </c>
      <c r="N2" s="34" t="s">
        <v>632</v>
      </c>
      <c r="O2" s="34" t="s">
        <v>633</v>
      </c>
      <c r="P2" s="34" t="s">
        <v>634</v>
      </c>
      <c r="Q2" s="34" t="s">
        <v>635</v>
      </c>
      <c r="R2" s="34" t="s">
        <v>636</v>
      </c>
      <c r="S2" s="34" t="s">
        <v>637</v>
      </c>
      <c r="T2" s="34" t="s">
        <v>638</v>
      </c>
      <c r="U2" s="34" t="s">
        <v>639</v>
      </c>
      <c r="V2" s="34" t="s">
        <v>640</v>
      </c>
      <c r="W2" s="34" t="s">
        <v>641</v>
      </c>
      <c r="X2" s="34" t="s">
        <v>638</v>
      </c>
      <c r="Y2" s="34" t="s">
        <v>639</v>
      </c>
      <c r="Z2" s="34" t="s">
        <v>640</v>
      </c>
      <c r="AA2" s="34" t="s">
        <v>641</v>
      </c>
    </row>
    <row r="3" spans="2:27" x14ac:dyDescent="0.3">
      <c r="B3" s="12" t="s">
        <v>540</v>
      </c>
      <c r="C3" s="3" t="s">
        <v>642</v>
      </c>
      <c r="D3" s="3" t="s">
        <v>716</v>
      </c>
      <c r="E3" s="3" t="s">
        <v>717</v>
      </c>
      <c r="F3" s="33">
        <v>224.8</v>
      </c>
      <c r="G3" s="4">
        <v>50.6</v>
      </c>
      <c r="H3" s="4">
        <v>49.43</v>
      </c>
      <c r="I3" s="4">
        <v>48.98</v>
      </c>
      <c r="J3" s="4">
        <v>50.05</v>
      </c>
      <c r="K3" s="4">
        <v>57.68</v>
      </c>
      <c r="L3" s="4">
        <v>52.68</v>
      </c>
      <c r="M3" s="4">
        <v>35.1</v>
      </c>
      <c r="N3" s="4">
        <v>44.11</v>
      </c>
      <c r="O3" s="4">
        <v>42.89</v>
      </c>
      <c r="P3" s="4">
        <v>34.65</v>
      </c>
      <c r="Q3" s="4">
        <v>39.79</v>
      </c>
      <c r="R3" s="4">
        <v>56.63</v>
      </c>
      <c r="S3" s="4">
        <v>-94.4</v>
      </c>
      <c r="T3" s="6">
        <v>58.48</v>
      </c>
      <c r="U3" s="6">
        <v>55.89</v>
      </c>
      <c r="V3" s="4">
        <v>48.34</v>
      </c>
      <c r="W3" s="6">
        <v>59.13</v>
      </c>
      <c r="X3" s="7">
        <v>0.64985001363512418</v>
      </c>
      <c r="Y3" s="9">
        <v>0.2661157024793388</v>
      </c>
      <c r="Z3" s="8">
        <v>-0.1082245430809399</v>
      </c>
      <c r="AA3" s="9">
        <v>2.2475479432001171</v>
      </c>
    </row>
    <row r="4" spans="2:27" x14ac:dyDescent="0.3">
      <c r="B4" s="12" t="s">
        <v>214</v>
      </c>
      <c r="C4" s="3" t="s">
        <v>642</v>
      </c>
      <c r="D4" s="3" t="s">
        <v>643</v>
      </c>
      <c r="E4" s="3" t="s">
        <v>644</v>
      </c>
      <c r="F4" s="33">
        <v>31.5</v>
      </c>
      <c r="G4" s="4">
        <v>27.44</v>
      </c>
      <c r="H4" s="4">
        <v>151.81</v>
      </c>
      <c r="I4" s="4">
        <v>32.409999999999997</v>
      </c>
      <c r="J4" s="4">
        <v>31.58</v>
      </c>
      <c r="K4" s="6">
        <v>62.55</v>
      </c>
      <c r="L4" s="4">
        <v>146.27000000000001</v>
      </c>
      <c r="M4" s="4">
        <v>15.83</v>
      </c>
      <c r="N4" s="4">
        <v>16.100000000000001</v>
      </c>
      <c r="O4" s="4">
        <v>3.55</v>
      </c>
      <c r="P4" s="4">
        <v>0</v>
      </c>
      <c r="Q4" s="4">
        <v>0</v>
      </c>
      <c r="R4" s="4">
        <v>0</v>
      </c>
      <c r="S4" s="4">
        <v>2.5</v>
      </c>
      <c r="T4" s="6">
        <v>542.71</v>
      </c>
      <c r="U4" s="4">
        <v>27.77</v>
      </c>
      <c r="V4" s="6">
        <v>256.47000000000003</v>
      </c>
      <c r="W4" s="6">
        <v>264.02999999999997</v>
      </c>
      <c r="X4" s="7">
        <v>217.084</v>
      </c>
      <c r="Y4" s="8">
        <v>5.0934502301865248E-2</v>
      </c>
      <c r="Z4" s="9">
        <v>0.4476072463262244</v>
      </c>
      <c r="AA4" s="9">
        <v>0.31530532280426787</v>
      </c>
    </row>
    <row r="5" spans="2:27" x14ac:dyDescent="0.3">
      <c r="B5" s="12" t="s">
        <v>514</v>
      </c>
      <c r="C5" s="3" t="s">
        <v>642</v>
      </c>
      <c r="D5" s="3" t="s">
        <v>645</v>
      </c>
      <c r="E5" s="3" t="s">
        <v>646</v>
      </c>
      <c r="F5" s="33">
        <v>31.3</v>
      </c>
      <c r="G5" s="4">
        <v>1946</v>
      </c>
      <c r="H5" s="4">
        <v>2109</v>
      </c>
      <c r="I5" s="4">
        <v>2090</v>
      </c>
      <c r="J5" s="4">
        <v>1900</v>
      </c>
      <c r="K5" s="4">
        <v>1950</v>
      </c>
      <c r="L5" s="4">
        <v>2317</v>
      </c>
      <c r="M5" s="6">
        <v>3119</v>
      </c>
      <c r="N5" s="4">
        <v>2485</v>
      </c>
      <c r="O5" s="4">
        <v>2079</v>
      </c>
      <c r="P5" s="4">
        <v>2611</v>
      </c>
      <c r="Q5" s="4">
        <v>2525</v>
      </c>
      <c r="R5" s="4">
        <v>2715</v>
      </c>
      <c r="S5" s="4">
        <v>2742</v>
      </c>
      <c r="T5" s="4">
        <v>3009</v>
      </c>
      <c r="U5" s="4">
        <v>2512</v>
      </c>
      <c r="V5" s="4">
        <v>3681</v>
      </c>
      <c r="W5" s="6">
        <v>6477</v>
      </c>
      <c r="X5" s="10">
        <v>3.7571981497215079E-2</v>
      </c>
      <c r="Y5" s="8">
        <v>-1.1827859157492739E-3</v>
      </c>
      <c r="Z5" s="8">
        <v>8.7994170158498752E-2</v>
      </c>
      <c r="AA5" s="9">
        <v>0.31270931011386471</v>
      </c>
    </row>
    <row r="6" spans="2:27" x14ac:dyDescent="0.3">
      <c r="B6" s="12" t="s">
        <v>36</v>
      </c>
      <c r="C6" s="3" t="s">
        <v>642</v>
      </c>
      <c r="D6" s="3" t="s">
        <v>689</v>
      </c>
      <c r="E6" s="3" t="s">
        <v>717</v>
      </c>
      <c r="F6" s="33">
        <v>21.5</v>
      </c>
      <c r="G6" s="4">
        <v>0.32</v>
      </c>
      <c r="H6" s="4">
        <v>0.2</v>
      </c>
      <c r="I6" s="4">
        <v>9.8800000000000008</v>
      </c>
      <c r="J6" s="4">
        <v>8.4</v>
      </c>
      <c r="K6" s="6">
        <v>11.51</v>
      </c>
      <c r="L6" s="6">
        <v>14.93</v>
      </c>
      <c r="M6" s="4">
        <v>10.27</v>
      </c>
      <c r="N6" s="4">
        <v>11.38</v>
      </c>
      <c r="O6" s="6">
        <v>21.12</v>
      </c>
      <c r="P6" s="6">
        <v>23.7</v>
      </c>
      <c r="Q6" s="6">
        <v>21.49</v>
      </c>
      <c r="R6" s="6">
        <v>29.08</v>
      </c>
      <c r="S6" s="4">
        <v>28.15</v>
      </c>
      <c r="T6" s="4">
        <v>33.21</v>
      </c>
      <c r="U6" s="6">
        <v>44.14</v>
      </c>
      <c r="V6" s="6">
        <v>56.22</v>
      </c>
      <c r="W6" s="6">
        <v>62.98</v>
      </c>
      <c r="X6" s="10">
        <v>9.2852958406561381E-2</v>
      </c>
      <c r="Y6" s="9">
        <v>0.20235861699276339</v>
      </c>
      <c r="Z6" s="9">
        <v>0.2016644375092882</v>
      </c>
      <c r="AA6" s="9">
        <v>0.21537224833044771</v>
      </c>
    </row>
    <row r="7" spans="2:27" x14ac:dyDescent="0.3">
      <c r="B7" s="12" t="s">
        <v>203</v>
      </c>
      <c r="C7" s="3" t="s">
        <v>642</v>
      </c>
      <c r="D7" s="3" t="s">
        <v>647</v>
      </c>
      <c r="E7" s="3" t="s">
        <v>648</v>
      </c>
      <c r="F7" s="33">
        <v>19.3</v>
      </c>
      <c r="G7" s="3"/>
      <c r="H7" s="3"/>
      <c r="I7" s="3"/>
      <c r="J7" s="3"/>
      <c r="K7" s="3"/>
      <c r="L7" s="4">
        <v>0.26</v>
      </c>
      <c r="M7" s="4">
        <v>0.26</v>
      </c>
      <c r="N7" s="4">
        <v>-0.11</v>
      </c>
      <c r="O7" s="4">
        <v>-0.11</v>
      </c>
      <c r="P7" s="6">
        <v>38.369999999999997</v>
      </c>
      <c r="Q7" s="6">
        <v>47.99</v>
      </c>
      <c r="R7" s="6">
        <v>32.86</v>
      </c>
      <c r="S7" s="6">
        <v>39.270000000000003</v>
      </c>
      <c r="T7" s="4">
        <v>46.82</v>
      </c>
      <c r="U7" s="4">
        <v>47.66</v>
      </c>
      <c r="V7" s="6">
        <v>65.05</v>
      </c>
      <c r="W7" s="6">
        <v>77.709999999999994</v>
      </c>
      <c r="X7" s="10">
        <v>5.3315666603571232E-2</v>
      </c>
      <c r="Y7" s="8">
        <v>-1.9767581166885151E-3</v>
      </c>
      <c r="Z7" s="9">
        <v>0.19320568993457779</v>
      </c>
      <c r="AA7" s="9">
        <v>0.1933601609657947</v>
      </c>
    </row>
    <row r="8" spans="2:27" x14ac:dyDescent="0.3">
      <c r="B8" s="12" t="s">
        <v>286</v>
      </c>
      <c r="C8" s="3" t="s">
        <v>642</v>
      </c>
      <c r="D8" s="3" t="s">
        <v>649</v>
      </c>
      <c r="E8" s="3" t="s">
        <v>650</v>
      </c>
      <c r="F8" s="33">
        <v>16.100000000000001</v>
      </c>
      <c r="G8" s="4">
        <v>410.47</v>
      </c>
      <c r="H8" s="4">
        <v>364.69</v>
      </c>
      <c r="I8" s="4">
        <v>-77.22</v>
      </c>
      <c r="J8" s="4">
        <v>-158.5</v>
      </c>
      <c r="K8" s="4">
        <v>-4.24</v>
      </c>
      <c r="L8" s="4">
        <v>172.37</v>
      </c>
      <c r="M8" s="4">
        <v>178.01</v>
      </c>
      <c r="N8" s="6">
        <v>191.42</v>
      </c>
      <c r="O8" s="4">
        <v>-14.61</v>
      </c>
      <c r="P8" s="6">
        <v>356.81</v>
      </c>
      <c r="Q8" s="4">
        <v>186.4</v>
      </c>
      <c r="R8" s="6">
        <v>271.68</v>
      </c>
      <c r="S8" s="6">
        <v>339.02</v>
      </c>
      <c r="T8" s="4">
        <v>377.73</v>
      </c>
      <c r="U8" s="6">
        <v>364.29</v>
      </c>
      <c r="V8" s="6">
        <v>454.23</v>
      </c>
      <c r="W8" s="6">
        <v>586.51</v>
      </c>
      <c r="X8" s="10">
        <v>1.8129663491953218E-2</v>
      </c>
      <c r="Y8" s="9">
        <v>0.15141765191559631</v>
      </c>
      <c r="Z8" s="9">
        <v>0.13495032231356091</v>
      </c>
      <c r="AA8" s="9">
        <v>0.1612029154480972</v>
      </c>
    </row>
    <row r="9" spans="2:27" x14ac:dyDescent="0.3">
      <c r="B9" s="12" t="s">
        <v>66</v>
      </c>
      <c r="C9" s="3" t="s">
        <v>642</v>
      </c>
      <c r="D9" s="3" t="s">
        <v>651</v>
      </c>
      <c r="E9" s="3" t="s">
        <v>648</v>
      </c>
      <c r="F9" s="33">
        <v>15.6</v>
      </c>
      <c r="G9" s="4">
        <v>176.67</v>
      </c>
      <c r="H9" s="4">
        <v>146.18</v>
      </c>
      <c r="I9" s="4">
        <v>148.56</v>
      </c>
      <c r="J9" s="4">
        <v>171.54</v>
      </c>
      <c r="K9" s="4">
        <v>200.43</v>
      </c>
      <c r="L9" s="4">
        <v>163.74</v>
      </c>
      <c r="M9" s="4">
        <v>183.03</v>
      </c>
      <c r="N9" s="4">
        <v>207.51</v>
      </c>
      <c r="O9" s="4">
        <v>249.75</v>
      </c>
      <c r="P9" s="4">
        <v>242.96</v>
      </c>
      <c r="Q9" s="6">
        <v>281.18</v>
      </c>
      <c r="R9" s="6">
        <v>348.35</v>
      </c>
      <c r="S9" s="6">
        <v>427.71</v>
      </c>
      <c r="T9" s="6">
        <v>392.36</v>
      </c>
      <c r="U9" s="6">
        <v>499.63</v>
      </c>
      <c r="V9" s="6">
        <v>584.91</v>
      </c>
      <c r="W9" s="6">
        <v>725.61</v>
      </c>
      <c r="X9" s="7">
        <v>0.1149053991693585</v>
      </c>
      <c r="Y9" s="9">
        <v>0.15069674392935981</v>
      </c>
      <c r="Z9" s="9">
        <v>0.14181829081862049</v>
      </c>
      <c r="AA9" s="9">
        <v>0.1564099736954023</v>
      </c>
    </row>
    <row r="10" spans="2:27" x14ac:dyDescent="0.3">
      <c r="B10" s="12" t="s">
        <v>26</v>
      </c>
      <c r="C10" s="3" t="s">
        <v>642</v>
      </c>
      <c r="D10" s="3" t="s">
        <v>649</v>
      </c>
      <c r="E10" s="3" t="s">
        <v>648</v>
      </c>
      <c r="F10" s="33">
        <v>15.6</v>
      </c>
      <c r="G10" s="4">
        <v>4103</v>
      </c>
      <c r="H10" s="4">
        <v>2592</v>
      </c>
      <c r="I10" s="4">
        <v>-1396</v>
      </c>
      <c r="J10" s="4">
        <v>1844</v>
      </c>
      <c r="K10" s="4">
        <v>2476</v>
      </c>
      <c r="L10" s="6">
        <v>3213</v>
      </c>
      <c r="M10" s="6">
        <v>4517</v>
      </c>
      <c r="N10" s="6">
        <v>5074</v>
      </c>
      <c r="O10" s="6">
        <v>5860</v>
      </c>
      <c r="P10" s="6">
        <v>10613</v>
      </c>
      <c r="Q10" s="4">
        <v>5064</v>
      </c>
      <c r="R10" s="4">
        <v>6279</v>
      </c>
      <c r="S10" s="4">
        <v>4466</v>
      </c>
      <c r="T10" s="4">
        <v>4500</v>
      </c>
      <c r="U10" s="4">
        <v>6175</v>
      </c>
      <c r="V10" s="4">
        <v>7105</v>
      </c>
      <c r="W10" s="6">
        <v>7928</v>
      </c>
      <c r="X10" s="10">
        <v>-0.23136023011127091</v>
      </c>
      <c r="Y10" s="8">
        <v>5.470481067507027E-2</v>
      </c>
      <c r="Z10" s="8">
        <v>3.8562091503268059E-2</v>
      </c>
      <c r="AA10" s="9">
        <v>0.15562348287332561</v>
      </c>
    </row>
    <row r="11" spans="2:27" x14ac:dyDescent="0.3">
      <c r="B11" s="12" t="s">
        <v>185</v>
      </c>
      <c r="C11" s="3" t="s">
        <v>642</v>
      </c>
      <c r="D11" s="3" t="s">
        <v>718</v>
      </c>
      <c r="E11" s="3" t="s">
        <v>717</v>
      </c>
      <c r="F11" s="33">
        <v>11.5</v>
      </c>
      <c r="G11" s="3"/>
      <c r="H11" s="3"/>
      <c r="I11" s="3"/>
      <c r="J11" s="3"/>
      <c r="K11" s="3"/>
      <c r="L11" s="3"/>
      <c r="M11" s="3"/>
      <c r="N11" s="3"/>
      <c r="O11" s="4">
        <v>68.599999999999994</v>
      </c>
      <c r="P11" s="4">
        <v>111</v>
      </c>
      <c r="Q11" s="4">
        <v>119.8</v>
      </c>
      <c r="R11" s="4">
        <v>121.4</v>
      </c>
      <c r="S11" s="6">
        <v>138.6</v>
      </c>
      <c r="T11" s="6">
        <v>181.2</v>
      </c>
      <c r="U11" s="4">
        <v>163.5</v>
      </c>
      <c r="V11" s="6">
        <v>204.7</v>
      </c>
      <c r="W11" s="6">
        <v>217.8</v>
      </c>
      <c r="X11" s="7">
        <v>0.14303178484107579</v>
      </c>
      <c r="Y11" s="8">
        <v>7.7896613190730823E-2</v>
      </c>
      <c r="Z11" s="9">
        <v>0.13775425830990559</v>
      </c>
      <c r="AA11" s="9">
        <v>0.1151162790697675</v>
      </c>
    </row>
    <row r="12" spans="2:27" x14ac:dyDescent="0.3">
      <c r="B12" s="12" t="s">
        <v>87</v>
      </c>
      <c r="C12" s="3" t="s">
        <v>642</v>
      </c>
      <c r="D12" s="3" t="s">
        <v>652</v>
      </c>
      <c r="E12" s="3" t="s">
        <v>648</v>
      </c>
      <c r="F12" s="33">
        <v>11.3</v>
      </c>
      <c r="G12" s="4">
        <v>342.47</v>
      </c>
      <c r="H12" s="4">
        <v>201.04</v>
      </c>
      <c r="I12" s="4">
        <v>243.24</v>
      </c>
      <c r="J12" s="4">
        <v>292.27</v>
      </c>
      <c r="K12" s="6">
        <v>462.58</v>
      </c>
      <c r="L12" s="4">
        <v>275.19</v>
      </c>
      <c r="M12" s="4">
        <v>301.10000000000002</v>
      </c>
      <c r="N12" s="4">
        <v>400.27</v>
      </c>
      <c r="O12" s="4">
        <v>356.92</v>
      </c>
      <c r="P12" s="4">
        <v>235.3</v>
      </c>
      <c r="Q12" s="4">
        <v>335.77</v>
      </c>
      <c r="R12" s="4">
        <v>330.4</v>
      </c>
      <c r="S12" s="6">
        <v>572.39</v>
      </c>
      <c r="T12" s="4">
        <v>326.02</v>
      </c>
      <c r="U12" s="4">
        <v>401.24</v>
      </c>
      <c r="V12" s="6">
        <v>519.04999999999995</v>
      </c>
      <c r="W12" s="6">
        <v>777.68</v>
      </c>
      <c r="X12" s="10">
        <v>6.1552657647266473E-2</v>
      </c>
      <c r="Y12" s="8">
        <v>4.1845095808459742E-2</v>
      </c>
      <c r="Z12" s="9">
        <v>0.1157326462378454</v>
      </c>
      <c r="AA12" s="9">
        <v>0.1128773299609611</v>
      </c>
    </row>
    <row r="13" spans="2:27" x14ac:dyDescent="0.3">
      <c r="B13" s="12" t="s">
        <v>216</v>
      </c>
      <c r="C13" s="3" t="s">
        <v>642</v>
      </c>
      <c r="D13" s="3" t="s">
        <v>649</v>
      </c>
      <c r="E13" s="3" t="s">
        <v>648</v>
      </c>
      <c r="F13" s="5">
        <v>9.8000000000000007</v>
      </c>
      <c r="G13" s="4">
        <v>1079</v>
      </c>
      <c r="H13" s="4">
        <v>1111</v>
      </c>
      <c r="I13" s="4">
        <v>-108.28</v>
      </c>
      <c r="J13" s="4">
        <v>561.12</v>
      </c>
      <c r="K13" s="4">
        <v>439.34</v>
      </c>
      <c r="L13" s="4">
        <v>643.15</v>
      </c>
      <c r="M13" s="6">
        <v>603.27</v>
      </c>
      <c r="N13" s="4">
        <v>160.36000000000001</v>
      </c>
      <c r="O13" s="6">
        <v>983.14</v>
      </c>
      <c r="P13" s="4">
        <v>824.07</v>
      </c>
      <c r="Q13" s="4">
        <v>744.19</v>
      </c>
      <c r="R13" s="6">
        <v>855.4</v>
      </c>
      <c r="S13" s="4">
        <v>1076</v>
      </c>
      <c r="T13" s="4">
        <v>1035</v>
      </c>
      <c r="U13" s="4">
        <v>920.54</v>
      </c>
      <c r="V13" s="4">
        <v>1224</v>
      </c>
      <c r="W13" s="4">
        <v>1491</v>
      </c>
      <c r="X13" s="10">
        <v>6.0271569238154583E-2</v>
      </c>
      <c r="Y13" s="8">
        <v>4.7526134657830621E-2</v>
      </c>
      <c r="Z13" s="8">
        <v>9.4830380710790418E-2</v>
      </c>
      <c r="AA13" s="8">
        <v>9.751993871518061E-2</v>
      </c>
    </row>
    <row r="14" spans="2:27" x14ac:dyDescent="0.3">
      <c r="B14" s="12" t="s">
        <v>158</v>
      </c>
      <c r="C14" s="3" t="s">
        <v>642</v>
      </c>
      <c r="D14" s="3" t="s">
        <v>645</v>
      </c>
      <c r="E14" s="3" t="s">
        <v>646</v>
      </c>
      <c r="F14" s="5">
        <v>9.6999999999999993</v>
      </c>
      <c r="G14" s="4">
        <v>20.149999999999999</v>
      </c>
      <c r="H14" s="4">
        <v>15.18</v>
      </c>
      <c r="I14" s="4">
        <v>16.21</v>
      </c>
      <c r="J14" s="4">
        <v>14.98</v>
      </c>
      <c r="K14" s="4">
        <v>13.76</v>
      </c>
      <c r="L14" s="4">
        <v>11.33</v>
      </c>
      <c r="M14" s="6">
        <v>34.22</v>
      </c>
      <c r="N14" s="6">
        <v>34.4</v>
      </c>
      <c r="O14" s="6">
        <v>42.57</v>
      </c>
      <c r="P14" s="6">
        <v>54.35</v>
      </c>
      <c r="Q14" s="6">
        <v>55.87</v>
      </c>
      <c r="R14" s="4">
        <v>52.76</v>
      </c>
      <c r="S14" s="6">
        <v>117.9</v>
      </c>
      <c r="T14" s="6">
        <v>148.1</v>
      </c>
      <c r="U14" s="6">
        <v>180.64</v>
      </c>
      <c r="V14" s="6">
        <v>240.3</v>
      </c>
      <c r="W14" s="4">
        <v>184.69</v>
      </c>
      <c r="X14" s="7">
        <v>0.33377242950726282</v>
      </c>
      <c r="Y14" s="9">
        <v>0.33304860795985358</v>
      </c>
      <c r="Z14" s="9">
        <v>0.37553063676411708</v>
      </c>
      <c r="AA14" s="8">
        <v>9.722828776894632E-2</v>
      </c>
    </row>
    <row r="15" spans="2:27" x14ac:dyDescent="0.3">
      <c r="B15" s="12" t="s">
        <v>377</v>
      </c>
      <c r="C15" s="3" t="s">
        <v>642</v>
      </c>
      <c r="D15" s="3" t="s">
        <v>643</v>
      </c>
      <c r="E15" s="3" t="s">
        <v>648</v>
      </c>
      <c r="F15" s="5">
        <v>9.6</v>
      </c>
      <c r="G15" s="4">
        <v>37.93</v>
      </c>
      <c r="H15" s="4">
        <v>38.619999999999997</v>
      </c>
      <c r="I15" s="4">
        <v>43.66</v>
      </c>
      <c r="J15" s="4">
        <v>47.83</v>
      </c>
      <c r="K15" s="6">
        <v>55.2</v>
      </c>
      <c r="L15" s="4">
        <v>37.65</v>
      </c>
      <c r="M15" s="4">
        <v>48.93</v>
      </c>
      <c r="N15" s="4">
        <v>37.92</v>
      </c>
      <c r="O15" s="4">
        <v>45.78</v>
      </c>
      <c r="P15" s="4">
        <v>41.87</v>
      </c>
      <c r="Q15" s="4">
        <v>43.19</v>
      </c>
      <c r="R15" s="4">
        <v>46.44</v>
      </c>
      <c r="S15" s="4">
        <v>47.46</v>
      </c>
      <c r="T15" s="4">
        <v>52.44</v>
      </c>
      <c r="U15" s="4">
        <v>58.88</v>
      </c>
      <c r="V15" s="6">
        <v>93.97</v>
      </c>
      <c r="W15" s="4">
        <v>71.680000000000007</v>
      </c>
      <c r="X15" s="10">
        <v>5.9063477872150383E-2</v>
      </c>
      <c r="Y15" s="8">
        <v>8.2783728169682824E-2</v>
      </c>
      <c r="Z15" s="9">
        <v>0.2316051067147451</v>
      </c>
      <c r="AA15" s="8">
        <v>9.5825914935707246E-2</v>
      </c>
    </row>
    <row r="16" spans="2:27" x14ac:dyDescent="0.3">
      <c r="B16" s="12" t="s">
        <v>60</v>
      </c>
      <c r="C16" s="3" t="s">
        <v>642</v>
      </c>
      <c r="D16" s="3" t="s">
        <v>653</v>
      </c>
      <c r="E16" s="3" t="s">
        <v>648</v>
      </c>
      <c r="F16" s="5">
        <v>9.6</v>
      </c>
      <c r="G16" s="4">
        <v>568.77</v>
      </c>
      <c r="H16" s="4">
        <v>537.13</v>
      </c>
      <c r="I16" s="4">
        <v>591.21</v>
      </c>
      <c r="J16" s="4">
        <v>517.71</v>
      </c>
      <c r="K16" s="4">
        <v>579</v>
      </c>
      <c r="L16" s="4">
        <v>655.34</v>
      </c>
      <c r="M16" s="4">
        <v>680.77</v>
      </c>
      <c r="N16" s="4">
        <v>713.23</v>
      </c>
      <c r="O16" s="4">
        <v>749.94</v>
      </c>
      <c r="P16" s="4">
        <v>801.3</v>
      </c>
      <c r="Q16" s="4">
        <v>893.54</v>
      </c>
      <c r="R16" s="4">
        <v>918.95</v>
      </c>
      <c r="S16" s="4">
        <v>988.18</v>
      </c>
      <c r="T16" s="4">
        <v>1035</v>
      </c>
      <c r="U16" s="4">
        <v>1081</v>
      </c>
      <c r="V16" s="6">
        <v>1360</v>
      </c>
      <c r="W16" s="4">
        <v>1415</v>
      </c>
      <c r="X16" s="10">
        <v>6.4881162252878433E-2</v>
      </c>
      <c r="Y16" s="8">
        <v>4.8872817526012469E-2</v>
      </c>
      <c r="Z16" s="9">
        <v>0.1096285727779118</v>
      </c>
      <c r="AA16" s="8">
        <v>9.5609944043474782E-2</v>
      </c>
    </row>
    <row r="17" spans="2:27" x14ac:dyDescent="0.3">
      <c r="B17" s="12" t="s">
        <v>267</v>
      </c>
      <c r="C17" s="3" t="s">
        <v>642</v>
      </c>
      <c r="D17" s="3" t="s">
        <v>654</v>
      </c>
      <c r="E17" s="3" t="s">
        <v>644</v>
      </c>
      <c r="F17" s="5">
        <v>8.8000000000000007</v>
      </c>
      <c r="G17" s="4">
        <v>284.95999999999998</v>
      </c>
      <c r="H17" s="4">
        <v>243.39</v>
      </c>
      <c r="I17" s="4">
        <v>380.27</v>
      </c>
      <c r="J17" s="4">
        <v>393.05</v>
      </c>
      <c r="K17" s="4">
        <v>341.78</v>
      </c>
      <c r="L17" s="4">
        <v>324.85000000000002</v>
      </c>
      <c r="M17" s="4">
        <v>421.89</v>
      </c>
      <c r="N17" s="4">
        <v>475.03</v>
      </c>
      <c r="O17" s="4">
        <v>396.51</v>
      </c>
      <c r="P17" s="4">
        <v>371.43</v>
      </c>
      <c r="Q17" s="4">
        <v>517.79</v>
      </c>
      <c r="R17" s="4">
        <v>538.16</v>
      </c>
      <c r="S17" s="4">
        <v>561.58000000000004</v>
      </c>
      <c r="T17" s="6">
        <v>571.65</v>
      </c>
      <c r="U17" s="6">
        <v>779.28</v>
      </c>
      <c r="V17" s="6">
        <v>899.85</v>
      </c>
      <c r="W17" s="4">
        <v>809.47</v>
      </c>
      <c r="X17" s="7">
        <v>0.1006656745233689</v>
      </c>
      <c r="Y17" s="9">
        <v>0.1194465507632996</v>
      </c>
      <c r="Z17" s="9">
        <v>0.1475882105709867</v>
      </c>
      <c r="AA17" s="8">
        <v>8.8143054232032725E-2</v>
      </c>
    </row>
    <row r="18" spans="2:27" x14ac:dyDescent="0.3">
      <c r="B18" s="12" t="s">
        <v>110</v>
      </c>
      <c r="C18" s="3" t="s">
        <v>642</v>
      </c>
      <c r="D18" s="3" t="s">
        <v>655</v>
      </c>
      <c r="E18" s="3" t="s">
        <v>646</v>
      </c>
      <c r="F18" s="5">
        <v>7.4</v>
      </c>
      <c r="G18" s="4">
        <v>361.01</v>
      </c>
      <c r="H18" s="4">
        <v>354.76</v>
      </c>
      <c r="I18" s="4">
        <v>364.13</v>
      </c>
      <c r="J18" s="4">
        <v>361.62</v>
      </c>
      <c r="K18" s="4">
        <v>399.56</v>
      </c>
      <c r="L18" s="4">
        <v>380.98</v>
      </c>
      <c r="M18" s="4">
        <v>445.83</v>
      </c>
      <c r="N18" s="4">
        <v>496.55</v>
      </c>
      <c r="O18" s="6">
        <v>591.11</v>
      </c>
      <c r="P18" s="6">
        <v>576.16</v>
      </c>
      <c r="Q18" s="6">
        <v>659.19</v>
      </c>
      <c r="R18" s="4">
        <v>698.48</v>
      </c>
      <c r="S18" s="6">
        <v>866.38</v>
      </c>
      <c r="T18" s="4">
        <v>783.14</v>
      </c>
      <c r="U18" s="4">
        <v>876.42</v>
      </c>
      <c r="V18" s="4">
        <v>933.34</v>
      </c>
      <c r="W18" s="4">
        <v>1123</v>
      </c>
      <c r="X18" s="10">
        <v>7.391588488006251E-2</v>
      </c>
      <c r="Y18" s="8">
        <v>7.2236872296063792E-2</v>
      </c>
      <c r="Z18" s="8">
        <v>7.2837905731883534E-2</v>
      </c>
      <c r="AA18" s="8">
        <v>7.41830669966006E-2</v>
      </c>
    </row>
    <row r="19" spans="2:27" x14ac:dyDescent="0.3">
      <c r="B19" s="12" t="s">
        <v>490</v>
      </c>
      <c r="C19" s="3" t="s">
        <v>642</v>
      </c>
      <c r="D19" s="3" t="s">
        <v>656</v>
      </c>
      <c r="E19" s="3" t="s">
        <v>650</v>
      </c>
      <c r="F19" s="5">
        <v>6.3</v>
      </c>
      <c r="G19" s="4">
        <v>586.1</v>
      </c>
      <c r="H19" s="4">
        <v>223.1</v>
      </c>
      <c r="I19" s="4">
        <v>69.900000000000006</v>
      </c>
      <c r="J19" s="4">
        <v>277.2</v>
      </c>
      <c r="K19" s="4">
        <v>576.70000000000005</v>
      </c>
      <c r="L19" s="4">
        <v>293.2</v>
      </c>
      <c r="M19" s="4">
        <v>84.8</v>
      </c>
      <c r="N19" s="4">
        <v>281.10000000000002</v>
      </c>
      <c r="O19" s="4">
        <v>609.9</v>
      </c>
      <c r="P19" s="4">
        <v>358</v>
      </c>
      <c r="Q19" s="4">
        <v>88.1</v>
      </c>
      <c r="R19" s="4">
        <v>267.8</v>
      </c>
      <c r="S19" s="4">
        <v>607.9</v>
      </c>
      <c r="T19" s="4">
        <v>384.6</v>
      </c>
      <c r="U19" s="4">
        <v>107.8</v>
      </c>
      <c r="V19" s="4">
        <v>272.60000000000002</v>
      </c>
      <c r="W19" s="4">
        <v>694.5</v>
      </c>
      <c r="X19" s="10">
        <v>2.0124073233469542E-2</v>
      </c>
      <c r="Y19" s="8">
        <v>1.460990803915729E-2</v>
      </c>
      <c r="Z19" s="8">
        <v>3.5085154593963441E-3</v>
      </c>
      <c r="AA19" s="8">
        <v>6.3078155728749197E-2</v>
      </c>
    </row>
    <row r="20" spans="2:27" x14ac:dyDescent="0.3">
      <c r="B20" s="12" t="s">
        <v>168</v>
      </c>
      <c r="C20" s="3" t="s">
        <v>642</v>
      </c>
      <c r="D20" s="3" t="s">
        <v>657</v>
      </c>
      <c r="E20" s="3" t="s">
        <v>648</v>
      </c>
      <c r="F20" s="5">
        <v>6.2</v>
      </c>
      <c r="G20" s="4">
        <v>4359</v>
      </c>
      <c r="H20" s="4">
        <v>3917</v>
      </c>
      <c r="I20" s="4">
        <v>3903</v>
      </c>
      <c r="J20" s="4">
        <v>4050</v>
      </c>
      <c r="K20" s="4">
        <v>4357</v>
      </c>
      <c r="L20" s="4">
        <v>4251</v>
      </c>
      <c r="M20" s="4">
        <v>4156</v>
      </c>
      <c r="N20" s="4">
        <v>5153</v>
      </c>
      <c r="O20" s="4">
        <v>5007</v>
      </c>
      <c r="P20" s="6">
        <v>6337</v>
      </c>
      <c r="Q20" s="4">
        <v>4878</v>
      </c>
      <c r="R20" s="4">
        <v>5651</v>
      </c>
      <c r="S20" s="4">
        <v>5241</v>
      </c>
      <c r="T20" s="4">
        <v>5260</v>
      </c>
      <c r="U20" s="4">
        <v>5599</v>
      </c>
      <c r="V20" s="4">
        <v>6204</v>
      </c>
      <c r="W20" s="4">
        <v>6635</v>
      </c>
      <c r="X20" s="10">
        <v>-4.8717600759940249E-2</v>
      </c>
      <c r="Y20" s="8">
        <v>3.4284355682358443E-2</v>
      </c>
      <c r="Z20" s="8">
        <v>2.542411843133641E-2</v>
      </c>
      <c r="AA20" s="8">
        <v>6.25E-2</v>
      </c>
    </row>
    <row r="21" spans="2:27" x14ac:dyDescent="0.3">
      <c r="B21" s="12" t="s">
        <v>139</v>
      </c>
      <c r="C21" s="3" t="s">
        <v>642</v>
      </c>
      <c r="D21" s="3" t="s">
        <v>647</v>
      </c>
      <c r="E21" s="3" t="s">
        <v>650</v>
      </c>
      <c r="F21" s="5">
        <v>5.7</v>
      </c>
      <c r="G21" s="4">
        <v>702</v>
      </c>
      <c r="H21" s="4">
        <v>716</v>
      </c>
      <c r="I21" s="4">
        <v>707</v>
      </c>
      <c r="J21" s="4">
        <v>748</v>
      </c>
      <c r="K21" s="4">
        <v>936</v>
      </c>
      <c r="L21" s="4">
        <v>947</v>
      </c>
      <c r="M21" s="4">
        <v>943</v>
      </c>
      <c r="N21" s="4">
        <v>945</v>
      </c>
      <c r="O21" s="4">
        <v>948</v>
      </c>
      <c r="P21" s="4">
        <v>964</v>
      </c>
      <c r="Q21" s="4">
        <v>965</v>
      </c>
      <c r="R21" s="4">
        <v>974</v>
      </c>
      <c r="S21" s="4">
        <v>986</v>
      </c>
      <c r="T21" s="4">
        <v>1010</v>
      </c>
      <c r="U21" s="4">
        <v>1257</v>
      </c>
      <c r="V21" s="4">
        <v>1220</v>
      </c>
      <c r="W21" s="4">
        <v>1240</v>
      </c>
      <c r="X21" s="10">
        <v>1.182823347904338E-2</v>
      </c>
      <c r="Y21" s="8">
        <v>7.4205844980940183E-2</v>
      </c>
      <c r="Z21" s="8">
        <v>5.8197303051809701E-2</v>
      </c>
      <c r="AA21" s="8">
        <v>5.6785155376704699E-2</v>
      </c>
    </row>
    <row r="22" spans="2:27" x14ac:dyDescent="0.3">
      <c r="B22" s="12" t="s">
        <v>201</v>
      </c>
      <c r="C22" s="3" t="s">
        <v>642</v>
      </c>
      <c r="D22" s="3" t="s">
        <v>658</v>
      </c>
      <c r="E22" s="3" t="s">
        <v>644</v>
      </c>
      <c r="F22" s="5">
        <v>5.5</v>
      </c>
      <c r="G22" s="4">
        <v>159.62</v>
      </c>
      <c r="H22" s="4">
        <v>165.15</v>
      </c>
      <c r="I22" s="4">
        <v>172.26</v>
      </c>
      <c r="J22" s="4">
        <v>178.14</v>
      </c>
      <c r="K22" s="4">
        <v>180.1</v>
      </c>
      <c r="L22" s="4">
        <v>169.41</v>
      </c>
      <c r="M22" s="4">
        <v>148.52000000000001</v>
      </c>
      <c r="N22" s="4">
        <v>150.38</v>
      </c>
      <c r="O22" s="4">
        <v>157.15</v>
      </c>
      <c r="P22" s="4">
        <v>181.23</v>
      </c>
      <c r="Q22" s="4">
        <v>190.49</v>
      </c>
      <c r="R22" s="4">
        <v>200.71</v>
      </c>
      <c r="S22" s="4">
        <v>218.12</v>
      </c>
      <c r="T22" s="4">
        <v>235.89</v>
      </c>
      <c r="U22" s="4">
        <v>252.08</v>
      </c>
      <c r="V22" s="4">
        <v>261.17</v>
      </c>
      <c r="W22" s="4">
        <v>271.61</v>
      </c>
      <c r="X22" s="10">
        <v>6.9141736765543138E-2</v>
      </c>
      <c r="Y22" s="8">
        <v>7.2869464393464201E-2</v>
      </c>
      <c r="Z22" s="8">
        <v>6.6674018526687195E-2</v>
      </c>
      <c r="AA22" s="8">
        <v>5.5300539668755137E-2</v>
      </c>
    </row>
    <row r="23" spans="2:27" x14ac:dyDescent="0.3">
      <c r="B23" s="12" t="s">
        <v>95</v>
      </c>
      <c r="C23" s="3" t="s">
        <v>642</v>
      </c>
      <c r="D23" s="3" t="s">
        <v>659</v>
      </c>
      <c r="E23" s="3" t="s">
        <v>646</v>
      </c>
      <c r="F23" s="5">
        <v>5.5</v>
      </c>
      <c r="G23" s="4">
        <v>688.53</v>
      </c>
      <c r="H23" s="4">
        <v>740.49</v>
      </c>
      <c r="I23" s="4">
        <v>759.84</v>
      </c>
      <c r="J23" s="4">
        <v>807.39</v>
      </c>
      <c r="K23" s="4">
        <v>872.7</v>
      </c>
      <c r="L23" s="4">
        <v>915.45</v>
      </c>
      <c r="M23" s="4">
        <v>939.1</v>
      </c>
      <c r="N23" s="4">
        <v>977.78</v>
      </c>
      <c r="O23" s="4">
        <v>1060</v>
      </c>
      <c r="P23" s="4">
        <v>1189</v>
      </c>
      <c r="Q23" s="4">
        <v>1132</v>
      </c>
      <c r="R23" s="4">
        <v>1188</v>
      </c>
      <c r="S23" s="4">
        <v>1286</v>
      </c>
      <c r="T23" s="4">
        <v>1357</v>
      </c>
      <c r="U23" s="4">
        <v>1384</v>
      </c>
      <c r="V23" s="4">
        <v>1433</v>
      </c>
      <c r="W23" s="4">
        <v>1586</v>
      </c>
      <c r="X23" s="10">
        <v>3.5036496350364883E-2</v>
      </c>
      <c r="Y23" s="8">
        <v>5.0775740479548581E-2</v>
      </c>
      <c r="Z23" s="8">
        <v>4.6979865771812117E-2</v>
      </c>
      <c r="AA23" s="8">
        <v>5.4945054945054972E-2</v>
      </c>
    </row>
    <row r="24" spans="2:27" x14ac:dyDescent="0.3">
      <c r="B24" s="12" t="s">
        <v>85</v>
      </c>
      <c r="C24" s="3" t="s">
        <v>642</v>
      </c>
      <c r="D24" s="3" t="s">
        <v>660</v>
      </c>
      <c r="E24" s="3" t="s">
        <v>648</v>
      </c>
      <c r="F24" s="5">
        <v>5.2</v>
      </c>
      <c r="G24" s="4">
        <v>1007</v>
      </c>
      <c r="H24" s="4">
        <v>1013</v>
      </c>
      <c r="I24" s="4">
        <v>1021</v>
      </c>
      <c r="J24" s="4">
        <v>1039</v>
      </c>
      <c r="K24" s="4">
        <v>1044</v>
      </c>
      <c r="L24" s="4">
        <v>1070</v>
      </c>
      <c r="M24" s="4">
        <v>1103</v>
      </c>
      <c r="N24" s="4">
        <v>1142</v>
      </c>
      <c r="O24" s="4">
        <v>1152</v>
      </c>
      <c r="P24" s="4">
        <v>1185</v>
      </c>
      <c r="Q24" s="4">
        <v>1195</v>
      </c>
      <c r="R24" s="4">
        <v>1233</v>
      </c>
      <c r="S24" s="4">
        <v>1277</v>
      </c>
      <c r="T24" s="4">
        <v>1352</v>
      </c>
      <c r="U24" s="4">
        <v>1414</v>
      </c>
      <c r="V24" s="4">
        <v>1501</v>
      </c>
      <c r="W24" s="4">
        <v>1566</v>
      </c>
      <c r="X24" s="10">
        <v>3.4151329243353727E-2</v>
      </c>
      <c r="Y24" s="8">
        <v>4.3306308087799117E-2</v>
      </c>
      <c r="Z24" s="8">
        <v>5.0796057619408641E-2</v>
      </c>
      <c r="AA24" s="8">
        <v>5.2128427128427017E-2</v>
      </c>
    </row>
    <row r="25" spans="2:27" x14ac:dyDescent="0.3">
      <c r="B25" s="12" t="s">
        <v>261</v>
      </c>
      <c r="C25" s="3" t="s">
        <v>642</v>
      </c>
      <c r="D25" s="3" t="s">
        <v>655</v>
      </c>
      <c r="E25" s="3" t="s">
        <v>648</v>
      </c>
      <c r="F25" s="5">
        <v>5</v>
      </c>
      <c r="G25" s="4">
        <v>501.77</v>
      </c>
      <c r="H25" s="4">
        <v>659.84</v>
      </c>
      <c r="I25" s="4">
        <v>647.62</v>
      </c>
      <c r="J25" s="4">
        <v>672.14</v>
      </c>
      <c r="K25" s="4">
        <v>749.34</v>
      </c>
      <c r="L25" s="4">
        <v>762.74</v>
      </c>
      <c r="M25" s="4">
        <v>750.62</v>
      </c>
      <c r="N25" s="4">
        <v>786.3</v>
      </c>
      <c r="O25" s="4">
        <v>852.13</v>
      </c>
      <c r="P25" s="4">
        <v>836.37</v>
      </c>
      <c r="Q25" s="4">
        <v>831.01</v>
      </c>
      <c r="R25" s="4">
        <v>837.32</v>
      </c>
      <c r="S25" s="4">
        <v>883.81</v>
      </c>
      <c r="T25" s="4">
        <v>836.42</v>
      </c>
      <c r="U25" s="4">
        <v>830.62</v>
      </c>
      <c r="V25" s="4">
        <v>935.58</v>
      </c>
      <c r="W25" s="4">
        <v>1058</v>
      </c>
      <c r="X25" s="10">
        <v>1.4755748101613619E-5</v>
      </c>
      <c r="Y25" s="8">
        <v>-1.150931369077179E-4</v>
      </c>
      <c r="Z25" s="8">
        <v>2.9000906093850091E-2</v>
      </c>
      <c r="AA25" s="8">
        <v>4.996228233465172E-2</v>
      </c>
    </row>
    <row r="26" spans="2:27" x14ac:dyDescent="0.3">
      <c r="B26" s="12" t="s">
        <v>277</v>
      </c>
      <c r="C26" s="3" t="s">
        <v>642</v>
      </c>
      <c r="D26" s="3" t="s">
        <v>661</v>
      </c>
      <c r="E26" s="3" t="s">
        <v>648</v>
      </c>
      <c r="F26" s="5">
        <v>5</v>
      </c>
      <c r="G26" s="4">
        <v>9016</v>
      </c>
      <c r="H26" s="4">
        <v>9074</v>
      </c>
      <c r="I26" s="4">
        <v>9461</v>
      </c>
      <c r="J26" s="4">
        <v>9266</v>
      </c>
      <c r="K26" s="4">
        <v>9323</v>
      </c>
      <c r="L26" s="4">
        <v>8736</v>
      </c>
      <c r="M26" s="4">
        <v>8515</v>
      </c>
      <c r="N26" s="4">
        <v>8007</v>
      </c>
      <c r="O26" s="4">
        <v>7849</v>
      </c>
      <c r="P26" s="4">
        <v>6924</v>
      </c>
      <c r="Q26" s="4">
        <v>6893</v>
      </c>
      <c r="R26" s="4">
        <v>6823</v>
      </c>
      <c r="S26" s="4">
        <v>7283</v>
      </c>
      <c r="T26" s="4">
        <v>6814</v>
      </c>
      <c r="U26" s="4">
        <v>7580</v>
      </c>
      <c r="V26" s="4">
        <v>7713</v>
      </c>
      <c r="W26" s="4">
        <v>8746</v>
      </c>
      <c r="X26" s="10">
        <v>-3.9394047917487018E-3</v>
      </c>
      <c r="Y26" s="8">
        <v>2.4700679538345319E-2</v>
      </c>
      <c r="Z26" s="8">
        <v>3.1228070175438601E-2</v>
      </c>
      <c r="AA26" s="8">
        <v>4.9778836338890693E-2</v>
      </c>
    </row>
    <row r="27" spans="2:27" x14ac:dyDescent="0.3">
      <c r="B27" s="12" t="s">
        <v>48</v>
      </c>
      <c r="C27" s="3" t="s">
        <v>642</v>
      </c>
      <c r="D27" s="3" t="s">
        <v>658</v>
      </c>
      <c r="E27" s="3" t="s">
        <v>648</v>
      </c>
      <c r="F27" s="5">
        <v>4.9000000000000004</v>
      </c>
      <c r="G27" s="4">
        <v>336.5</v>
      </c>
      <c r="H27" s="4">
        <v>377.71</v>
      </c>
      <c r="I27" s="4">
        <v>461</v>
      </c>
      <c r="J27" s="4">
        <v>495.42</v>
      </c>
      <c r="K27" s="4">
        <v>460.01</v>
      </c>
      <c r="L27" s="4">
        <v>451.07</v>
      </c>
      <c r="M27" s="4">
        <v>441.13</v>
      </c>
      <c r="N27" s="4">
        <v>474.87</v>
      </c>
      <c r="O27" s="4">
        <v>454.01</v>
      </c>
      <c r="P27" s="4">
        <v>457.89</v>
      </c>
      <c r="Q27" s="4">
        <v>507.43</v>
      </c>
      <c r="R27" s="4">
        <v>620.12</v>
      </c>
      <c r="S27" s="4">
        <v>621.66999999999996</v>
      </c>
      <c r="T27" s="4">
        <v>637.54999999999995</v>
      </c>
      <c r="U27" s="4">
        <v>664.57</v>
      </c>
      <c r="V27" s="4">
        <v>737.18</v>
      </c>
      <c r="W27" s="4">
        <v>751.16</v>
      </c>
      <c r="X27" s="10">
        <v>8.1400564539148457E-2</v>
      </c>
      <c r="Y27" s="8">
        <v>6.5837931597933608E-2</v>
      </c>
      <c r="Z27" s="8">
        <v>4.601577886010122E-2</v>
      </c>
      <c r="AA27" s="8">
        <v>4.8662705705062592E-2</v>
      </c>
    </row>
    <row r="28" spans="2:27" x14ac:dyDescent="0.3">
      <c r="B28" s="12" t="s">
        <v>288</v>
      </c>
      <c r="C28" s="3" t="s">
        <v>642</v>
      </c>
      <c r="D28" s="3" t="s">
        <v>662</v>
      </c>
      <c r="E28" s="3" t="s">
        <v>644</v>
      </c>
      <c r="F28" s="5">
        <v>4.8</v>
      </c>
      <c r="G28" s="4">
        <v>177.01</v>
      </c>
      <c r="H28" s="4">
        <v>204.93</v>
      </c>
      <c r="I28" s="4">
        <v>219.07</v>
      </c>
      <c r="J28" s="4">
        <v>256.5</v>
      </c>
      <c r="K28" s="4">
        <v>205.5</v>
      </c>
      <c r="L28" s="4">
        <v>229.14</v>
      </c>
      <c r="M28" s="4">
        <v>248.75</v>
      </c>
      <c r="N28" s="4">
        <v>272.64999999999998</v>
      </c>
      <c r="O28" s="4">
        <v>218.31</v>
      </c>
      <c r="P28" s="4">
        <v>0</v>
      </c>
      <c r="Q28" s="4">
        <v>233.57</v>
      </c>
      <c r="R28" s="4">
        <v>273.51</v>
      </c>
      <c r="S28" s="4">
        <v>247.03</v>
      </c>
      <c r="T28" s="4">
        <v>0</v>
      </c>
      <c r="U28" s="4">
        <v>296.33999999999997</v>
      </c>
      <c r="V28" s="4">
        <v>352.67</v>
      </c>
      <c r="W28" s="4">
        <v>289.66000000000003</v>
      </c>
      <c r="X28" s="10">
        <v>0</v>
      </c>
      <c r="Y28" s="8">
        <v>8.3237193512882612E-2</v>
      </c>
      <c r="Z28" s="8">
        <v>9.6905298207815127E-2</v>
      </c>
      <c r="AA28" s="8">
        <v>4.7576001071380818E-2</v>
      </c>
    </row>
    <row r="29" spans="2:27" x14ac:dyDescent="0.3">
      <c r="B29" s="12" t="s">
        <v>81</v>
      </c>
      <c r="C29" s="3" t="s">
        <v>642</v>
      </c>
      <c r="D29" s="3" t="s">
        <v>649</v>
      </c>
      <c r="E29" s="3" t="s">
        <v>648</v>
      </c>
      <c r="F29" s="5">
        <v>4.5999999999999996</v>
      </c>
      <c r="G29" s="4">
        <v>1310</v>
      </c>
      <c r="H29" s="4">
        <v>715</v>
      </c>
      <c r="I29" s="4">
        <v>601.42999999999995</v>
      </c>
      <c r="J29" s="4">
        <v>801.29</v>
      </c>
      <c r="K29" s="4">
        <v>937.72</v>
      </c>
      <c r="L29" s="4">
        <v>813.36</v>
      </c>
      <c r="M29" s="6">
        <v>1093</v>
      </c>
      <c r="N29" s="4">
        <v>671.26</v>
      </c>
      <c r="O29" s="4">
        <v>1054</v>
      </c>
      <c r="P29" s="4">
        <v>707.36</v>
      </c>
      <c r="Q29" s="4">
        <v>788.68</v>
      </c>
      <c r="R29" s="6">
        <v>1130</v>
      </c>
      <c r="S29" s="4">
        <v>1259</v>
      </c>
      <c r="T29" s="4">
        <v>1089</v>
      </c>
      <c r="U29" s="6">
        <v>1350</v>
      </c>
      <c r="V29" s="6">
        <v>1658</v>
      </c>
      <c r="W29" s="4">
        <v>1505</v>
      </c>
      <c r="X29" s="10">
        <v>9.8233222823960631E-2</v>
      </c>
      <c r="Y29" s="9">
        <v>0.13155896387823771</v>
      </c>
      <c r="Z29" s="9">
        <v>0.1093620546810274</v>
      </c>
      <c r="AA29" s="8">
        <v>4.5929798356982847E-2</v>
      </c>
    </row>
    <row r="30" spans="2:27" x14ac:dyDescent="0.3">
      <c r="B30" s="12" t="s">
        <v>193</v>
      </c>
      <c r="C30" s="3" t="s">
        <v>642</v>
      </c>
      <c r="D30" s="3" t="s">
        <v>649</v>
      </c>
      <c r="E30" s="3" t="s">
        <v>648</v>
      </c>
      <c r="F30" s="5">
        <v>4.5</v>
      </c>
      <c r="G30" s="4">
        <v>288.52</v>
      </c>
      <c r="H30" s="4">
        <v>275.98</v>
      </c>
      <c r="I30" s="4">
        <v>327.25</v>
      </c>
      <c r="J30" s="4">
        <v>370.99</v>
      </c>
      <c r="K30" s="4">
        <v>395.51</v>
      </c>
      <c r="L30" s="4">
        <v>390.99</v>
      </c>
      <c r="M30" s="4">
        <v>416.94</v>
      </c>
      <c r="N30" s="4">
        <v>429.65</v>
      </c>
      <c r="O30" s="4">
        <v>494.04</v>
      </c>
      <c r="P30" s="4">
        <v>513.34</v>
      </c>
      <c r="Q30" s="4">
        <v>549.85</v>
      </c>
      <c r="R30" s="4">
        <v>600.88</v>
      </c>
      <c r="S30" s="4">
        <v>631.36</v>
      </c>
      <c r="T30" s="4">
        <v>683.49</v>
      </c>
      <c r="U30" s="4">
        <v>703.11</v>
      </c>
      <c r="V30" s="4">
        <v>727.99</v>
      </c>
      <c r="W30" s="4">
        <v>755.6</v>
      </c>
      <c r="X30" s="10">
        <v>7.4125545104838597E-2</v>
      </c>
      <c r="Y30" s="8">
        <v>6.2159816351528008E-2</v>
      </c>
      <c r="Z30" s="8">
        <v>4.8536756731988102E-2</v>
      </c>
      <c r="AA30" s="8">
        <v>4.5244815091316282E-2</v>
      </c>
    </row>
    <row r="31" spans="2:27" x14ac:dyDescent="0.3">
      <c r="B31" s="12" t="s">
        <v>353</v>
      </c>
      <c r="C31" s="3" t="s">
        <v>642</v>
      </c>
      <c r="D31" s="3" t="s">
        <v>654</v>
      </c>
      <c r="E31" s="3" t="s">
        <v>648</v>
      </c>
      <c r="F31" s="5">
        <v>4.5</v>
      </c>
      <c r="G31" s="4">
        <v>104.34</v>
      </c>
      <c r="H31" s="4">
        <v>117.87</v>
      </c>
      <c r="I31" s="4">
        <v>118.22</v>
      </c>
      <c r="J31" s="4">
        <v>115.14</v>
      </c>
      <c r="K31" s="4">
        <v>112.59</v>
      </c>
      <c r="L31" s="4">
        <v>128.71</v>
      </c>
      <c r="M31" s="4">
        <v>129.65</v>
      </c>
      <c r="N31" s="4">
        <v>124.96</v>
      </c>
      <c r="O31" s="4">
        <v>113.87</v>
      </c>
      <c r="P31" s="4">
        <v>137.21</v>
      </c>
      <c r="Q31" s="4">
        <v>132.43</v>
      </c>
      <c r="R31" s="4">
        <v>125.09</v>
      </c>
      <c r="S31" s="4">
        <v>123.76</v>
      </c>
      <c r="T31" s="4">
        <v>137.44</v>
      </c>
      <c r="U31" s="4">
        <v>132.87</v>
      </c>
      <c r="V31" s="4">
        <v>137.07</v>
      </c>
      <c r="W31" s="4">
        <v>147.43</v>
      </c>
      <c r="X31" s="10">
        <v>4.4359582634201372E-4</v>
      </c>
      <c r="Y31" s="8">
        <v>8.4824182603315812E-4</v>
      </c>
      <c r="Z31" s="8">
        <v>2.3075737730179569E-2</v>
      </c>
      <c r="AA31" s="8">
        <v>4.4564521595059643E-2</v>
      </c>
    </row>
    <row r="32" spans="2:27" x14ac:dyDescent="0.3">
      <c r="B32" s="12" t="s">
        <v>284</v>
      </c>
      <c r="C32" s="3" t="s">
        <v>642</v>
      </c>
      <c r="D32" s="3" t="s">
        <v>663</v>
      </c>
      <c r="E32" s="3" t="s">
        <v>646</v>
      </c>
      <c r="F32" s="5">
        <v>4.5</v>
      </c>
      <c r="G32" s="4">
        <v>289.58</v>
      </c>
      <c r="H32" s="4">
        <v>337.77</v>
      </c>
      <c r="I32" s="4">
        <v>175.21</v>
      </c>
      <c r="J32" s="4">
        <v>24.09</v>
      </c>
      <c r="K32" s="4">
        <v>353.69</v>
      </c>
      <c r="L32" s="4">
        <v>382.74</v>
      </c>
      <c r="M32" s="4">
        <v>126.92</v>
      </c>
      <c r="N32" s="4">
        <v>43.05</v>
      </c>
      <c r="O32" s="4">
        <v>326.89999999999998</v>
      </c>
      <c r="P32" s="4">
        <v>429.95</v>
      </c>
      <c r="Q32" s="6">
        <v>227.25</v>
      </c>
      <c r="R32" s="4">
        <v>53.31</v>
      </c>
      <c r="S32" s="4">
        <v>357.76</v>
      </c>
      <c r="T32" s="4">
        <v>424.2</v>
      </c>
      <c r="U32" s="4">
        <v>203.96</v>
      </c>
      <c r="V32" s="4">
        <v>39.450000000000003</v>
      </c>
      <c r="W32" s="4">
        <v>403.42</v>
      </c>
      <c r="X32" s="10">
        <v>-5.3825343780130597E-3</v>
      </c>
      <c r="Y32" s="8">
        <v>-2.1919587396001972E-2</v>
      </c>
      <c r="Z32" s="8">
        <v>-1.3336797436563691E-2</v>
      </c>
      <c r="AA32" s="8">
        <v>4.4530267123087393E-2</v>
      </c>
    </row>
    <row r="33" spans="2:27" x14ac:dyDescent="0.3">
      <c r="B33" s="12" t="s">
        <v>50</v>
      </c>
      <c r="C33" s="3" t="s">
        <v>642</v>
      </c>
      <c r="D33" s="3" t="s">
        <v>664</v>
      </c>
      <c r="E33" s="3" t="s">
        <v>646</v>
      </c>
      <c r="F33" s="5">
        <v>4.4000000000000004</v>
      </c>
      <c r="G33" s="4">
        <v>45457</v>
      </c>
      <c r="H33" s="4">
        <v>44836</v>
      </c>
      <c r="I33" s="4">
        <v>47103</v>
      </c>
      <c r="J33" s="4">
        <v>49603</v>
      </c>
      <c r="K33" s="4">
        <v>51469</v>
      </c>
      <c r="L33" s="4">
        <v>50487</v>
      </c>
      <c r="M33" s="4">
        <v>53420</v>
      </c>
      <c r="N33" s="4">
        <v>54650</v>
      </c>
      <c r="O33" s="4">
        <v>57442</v>
      </c>
      <c r="P33" s="4">
        <v>54868</v>
      </c>
      <c r="Q33" s="4">
        <v>59867</v>
      </c>
      <c r="R33" s="4">
        <v>52277</v>
      </c>
      <c r="S33" s="4">
        <v>55264</v>
      </c>
      <c r="T33" s="4">
        <v>54878</v>
      </c>
      <c r="U33" s="4">
        <v>60159</v>
      </c>
      <c r="V33" s="4">
        <v>64009</v>
      </c>
      <c r="W33" s="4">
        <v>65627</v>
      </c>
      <c r="X33" s="10">
        <v>4.4989112634841177E-5</v>
      </c>
      <c r="Y33" s="8">
        <v>1.313622990201768E-3</v>
      </c>
      <c r="Z33" s="8">
        <v>5.2709611911329952E-2</v>
      </c>
      <c r="AA33" s="8">
        <v>4.42277324911442E-2</v>
      </c>
    </row>
    <row r="34" spans="2:27" x14ac:dyDescent="0.3">
      <c r="B34" s="12" t="s">
        <v>104</v>
      </c>
      <c r="C34" s="3" t="s">
        <v>642</v>
      </c>
      <c r="D34" s="3" t="s">
        <v>665</v>
      </c>
      <c r="E34" s="3" t="s">
        <v>646</v>
      </c>
      <c r="F34" s="5">
        <v>4.3</v>
      </c>
      <c r="G34" s="4">
        <v>2141</v>
      </c>
      <c r="H34" s="4">
        <v>1438</v>
      </c>
      <c r="I34" s="4">
        <v>1625</v>
      </c>
      <c r="J34" s="4">
        <v>1507</v>
      </c>
      <c r="K34" s="4">
        <v>2025</v>
      </c>
      <c r="L34" s="4">
        <v>1510</v>
      </c>
      <c r="M34" s="4">
        <v>1620</v>
      </c>
      <c r="N34" s="4">
        <v>1513</v>
      </c>
      <c r="O34" s="4">
        <v>2085</v>
      </c>
      <c r="P34" s="4">
        <v>1482</v>
      </c>
      <c r="Q34" s="4">
        <v>1591</v>
      </c>
      <c r="R34" s="4">
        <v>1508</v>
      </c>
      <c r="S34" s="4">
        <v>2195</v>
      </c>
      <c r="T34" s="4">
        <v>1585</v>
      </c>
      <c r="U34" s="4">
        <v>1723</v>
      </c>
      <c r="V34" s="4">
        <v>1705</v>
      </c>
      <c r="W34" s="4">
        <v>2502</v>
      </c>
      <c r="X34" s="10">
        <v>1.5200708382526519E-2</v>
      </c>
      <c r="Y34" s="8">
        <v>1.9188835586567921E-2</v>
      </c>
      <c r="Z34" s="8">
        <v>2.809870203965192E-2</v>
      </c>
      <c r="AA34" s="8">
        <v>4.2591564927857872E-2</v>
      </c>
    </row>
    <row r="35" spans="2:27" x14ac:dyDescent="0.3">
      <c r="B35" s="12" t="s">
        <v>610</v>
      </c>
      <c r="C35" s="3" t="s">
        <v>642</v>
      </c>
      <c r="D35" s="3" t="s">
        <v>666</v>
      </c>
      <c r="E35" s="3" t="s">
        <v>646</v>
      </c>
      <c r="F35" s="5">
        <v>4.0999999999999996</v>
      </c>
      <c r="G35" s="4">
        <v>132.18</v>
      </c>
      <c r="H35" s="4">
        <v>129.11000000000001</v>
      </c>
      <c r="I35" s="4">
        <v>122.99</v>
      </c>
      <c r="J35" s="4">
        <v>127.81</v>
      </c>
      <c r="K35" s="4">
        <v>139.33000000000001</v>
      </c>
      <c r="L35" s="4">
        <v>131.56</v>
      </c>
      <c r="M35" s="4">
        <v>124.43</v>
      </c>
      <c r="N35" s="4">
        <v>124.61</v>
      </c>
      <c r="O35" s="4">
        <v>132.63</v>
      </c>
      <c r="P35" s="4">
        <v>126.8</v>
      </c>
      <c r="Q35" s="4">
        <v>124.53</v>
      </c>
      <c r="R35" s="4">
        <v>129.72</v>
      </c>
      <c r="S35" s="4">
        <v>140.68</v>
      </c>
      <c r="T35" s="4">
        <v>140.74</v>
      </c>
      <c r="U35" s="4">
        <v>147.13999999999999</v>
      </c>
      <c r="V35" s="4">
        <v>151.18</v>
      </c>
      <c r="W35" s="4">
        <v>164.22</v>
      </c>
      <c r="X35" s="10">
        <v>2.671880091234935E-2</v>
      </c>
      <c r="Y35" s="8">
        <v>4.2208822596001123E-2</v>
      </c>
      <c r="Z35" s="8">
        <v>3.8439492727663671E-2</v>
      </c>
      <c r="AA35" s="8">
        <v>4.0604408872942921E-2</v>
      </c>
    </row>
    <row r="36" spans="2:27" x14ac:dyDescent="0.3">
      <c r="B36" s="12" t="s">
        <v>42</v>
      </c>
      <c r="C36" s="3" t="s">
        <v>642</v>
      </c>
      <c r="D36" s="3" t="s">
        <v>667</v>
      </c>
      <c r="E36" s="3" t="s">
        <v>648</v>
      </c>
      <c r="F36" s="5">
        <v>4</v>
      </c>
      <c r="G36" s="4">
        <v>1039</v>
      </c>
      <c r="H36" s="4">
        <v>1188</v>
      </c>
      <c r="I36" s="4">
        <v>1105</v>
      </c>
      <c r="J36" s="4">
        <v>1180</v>
      </c>
      <c r="K36" s="4">
        <v>1205</v>
      </c>
      <c r="L36" s="4">
        <v>1354</v>
      </c>
      <c r="M36" s="4">
        <v>1371</v>
      </c>
      <c r="N36" s="4">
        <v>1383</v>
      </c>
      <c r="O36" s="4">
        <v>1340</v>
      </c>
      <c r="P36" s="4">
        <v>1315</v>
      </c>
      <c r="Q36" s="4">
        <v>1315</v>
      </c>
      <c r="R36" s="4">
        <v>1405</v>
      </c>
      <c r="S36" s="4">
        <v>1400</v>
      </c>
      <c r="T36" s="4">
        <v>1400</v>
      </c>
      <c r="U36" s="4">
        <v>1481</v>
      </c>
      <c r="V36" s="4">
        <v>1560</v>
      </c>
      <c r="W36" s="4">
        <v>1635</v>
      </c>
      <c r="X36" s="10">
        <v>1.5639374425022941E-2</v>
      </c>
      <c r="Y36" s="8">
        <v>3.0072463768116009E-2</v>
      </c>
      <c r="Z36" s="8">
        <v>2.7259936686598651E-2</v>
      </c>
      <c r="AA36" s="8">
        <v>4.023283684300627E-2</v>
      </c>
    </row>
    <row r="37" spans="2:27" x14ac:dyDescent="0.3">
      <c r="B37" s="12" t="s">
        <v>177</v>
      </c>
      <c r="C37" s="3" t="s">
        <v>642</v>
      </c>
      <c r="D37" s="3" t="s">
        <v>668</v>
      </c>
      <c r="E37" s="3" t="s">
        <v>648</v>
      </c>
      <c r="F37" s="5">
        <v>3.9</v>
      </c>
      <c r="G37" s="4">
        <v>2677</v>
      </c>
      <c r="H37" s="4">
        <v>2576</v>
      </c>
      <c r="I37" s="4">
        <v>2662</v>
      </c>
      <c r="J37" s="4">
        <v>2626</v>
      </c>
      <c r="K37" s="4">
        <v>2812</v>
      </c>
      <c r="L37" s="4">
        <v>2674</v>
      </c>
      <c r="M37" s="4">
        <v>2787</v>
      </c>
      <c r="N37" s="4">
        <v>2816</v>
      </c>
      <c r="O37" s="4">
        <v>3177</v>
      </c>
      <c r="P37" s="4">
        <v>2805</v>
      </c>
      <c r="Q37" s="4">
        <v>2977</v>
      </c>
      <c r="R37" s="4">
        <v>2749</v>
      </c>
      <c r="S37" s="4">
        <v>3004</v>
      </c>
      <c r="T37" s="4">
        <v>2734</v>
      </c>
      <c r="U37" s="4">
        <v>3082</v>
      </c>
      <c r="V37" s="4">
        <v>3192</v>
      </c>
      <c r="W37" s="4">
        <v>3476</v>
      </c>
      <c r="X37" s="10">
        <v>-6.1551798872995223E-3</v>
      </c>
      <c r="Y37" s="8">
        <v>9.15910676901599E-3</v>
      </c>
      <c r="Z37" s="8">
        <v>3.8291987207191618E-2</v>
      </c>
      <c r="AA37" s="8">
        <v>3.9294039294039303E-2</v>
      </c>
    </row>
    <row r="38" spans="2:27" x14ac:dyDescent="0.3">
      <c r="B38" s="12" t="s">
        <v>156</v>
      </c>
      <c r="C38" s="3" t="s">
        <v>642</v>
      </c>
      <c r="D38" s="3" t="s">
        <v>669</v>
      </c>
      <c r="E38" s="3" t="s">
        <v>650</v>
      </c>
      <c r="F38" s="5">
        <v>3.9</v>
      </c>
      <c r="G38" s="4">
        <v>266.95</v>
      </c>
      <c r="H38" s="4">
        <v>358.84</v>
      </c>
      <c r="I38" s="4">
        <v>354.1</v>
      </c>
      <c r="J38" s="4">
        <v>369.2</v>
      </c>
      <c r="K38" s="4">
        <v>351.6</v>
      </c>
      <c r="L38" s="4">
        <v>394.4</v>
      </c>
      <c r="M38" s="4">
        <v>387.1</v>
      </c>
      <c r="N38" s="4">
        <v>385.6</v>
      </c>
      <c r="O38" s="4">
        <v>373.9</v>
      </c>
      <c r="P38" s="4">
        <v>413.7</v>
      </c>
      <c r="Q38" s="4">
        <v>406.3</v>
      </c>
      <c r="R38" s="4">
        <v>397.9</v>
      </c>
      <c r="S38" s="4">
        <v>394.4</v>
      </c>
      <c r="T38" s="4">
        <v>437.7</v>
      </c>
      <c r="U38" s="4">
        <v>436</v>
      </c>
      <c r="V38" s="4">
        <v>455.3</v>
      </c>
      <c r="W38" s="4">
        <v>461.6</v>
      </c>
      <c r="X38" s="10">
        <v>1.4885567202133521E-2</v>
      </c>
      <c r="Y38" s="8">
        <v>1.8150705860783489E-2</v>
      </c>
      <c r="Z38" s="8">
        <v>3.4453781512605142E-2</v>
      </c>
      <c r="AA38" s="8">
        <v>3.8992688870836512E-2</v>
      </c>
    </row>
    <row r="39" spans="2:27" x14ac:dyDescent="0.3">
      <c r="B39" s="12" t="s">
        <v>424</v>
      </c>
      <c r="C39" s="3" t="s">
        <v>642</v>
      </c>
      <c r="D39" s="3" t="s">
        <v>649</v>
      </c>
      <c r="E39" s="3" t="s">
        <v>717</v>
      </c>
      <c r="F39" s="5">
        <v>3.9</v>
      </c>
      <c r="G39" s="4">
        <v>117.2</v>
      </c>
      <c r="H39" s="4">
        <v>162.9</v>
      </c>
      <c r="I39" s="4">
        <v>112.2</v>
      </c>
      <c r="J39" s="4">
        <v>95.5</v>
      </c>
      <c r="K39" s="4">
        <v>86.8</v>
      </c>
      <c r="L39" s="4">
        <v>122.7</v>
      </c>
      <c r="M39" s="4">
        <v>91.8</v>
      </c>
      <c r="N39" s="4">
        <v>96.3</v>
      </c>
      <c r="O39" s="4">
        <v>107.3</v>
      </c>
      <c r="P39" s="4">
        <v>131.19999999999999</v>
      </c>
      <c r="Q39" s="4">
        <v>105.7</v>
      </c>
      <c r="R39" s="4">
        <v>109</v>
      </c>
      <c r="S39" s="4">
        <v>123.1</v>
      </c>
      <c r="T39" s="4">
        <v>167.8</v>
      </c>
      <c r="U39" s="4">
        <v>119.9</v>
      </c>
      <c r="V39" s="4">
        <v>127.4</v>
      </c>
      <c r="W39" s="4">
        <v>144.19999999999999</v>
      </c>
      <c r="X39" s="10">
        <v>7.8038379530916968E-2</v>
      </c>
      <c r="Y39" s="8">
        <v>2.8085443037974441E-2</v>
      </c>
      <c r="Z39" s="8">
        <v>3.5398230088495852E-2</v>
      </c>
      <c r="AA39" s="8">
        <v>3.9204756596060708E-2</v>
      </c>
    </row>
    <row r="40" spans="2:27" x14ac:dyDescent="0.3">
      <c r="B40" s="12" t="s">
        <v>77</v>
      </c>
      <c r="C40" s="3" t="s">
        <v>642</v>
      </c>
      <c r="D40" s="3" t="s">
        <v>658</v>
      </c>
      <c r="E40" s="3" t="s">
        <v>650</v>
      </c>
      <c r="F40" s="5">
        <v>3.8</v>
      </c>
      <c r="G40" s="4">
        <v>1758</v>
      </c>
      <c r="H40" s="4">
        <v>1844</v>
      </c>
      <c r="I40" s="4">
        <v>1964</v>
      </c>
      <c r="J40" s="4">
        <v>2073</v>
      </c>
      <c r="K40" s="4">
        <v>2169</v>
      </c>
      <c r="L40" s="4">
        <v>2233</v>
      </c>
      <c r="M40" s="4">
        <v>2289</v>
      </c>
      <c r="N40" s="4">
        <v>2254</v>
      </c>
      <c r="O40" s="4">
        <v>1766</v>
      </c>
      <c r="P40" s="4">
        <v>1326</v>
      </c>
      <c r="Q40" s="4">
        <v>1241</v>
      </c>
      <c r="R40" s="4">
        <v>1164</v>
      </c>
      <c r="S40" s="4">
        <v>1026</v>
      </c>
      <c r="T40" s="4">
        <v>970.5</v>
      </c>
      <c r="U40" s="4">
        <v>1076</v>
      </c>
      <c r="V40" s="4">
        <v>1140</v>
      </c>
      <c r="W40" s="4">
        <v>1186</v>
      </c>
      <c r="X40" s="10">
        <v>-7.4731973933151119E-2</v>
      </c>
      <c r="Y40" s="8">
        <v>-3.7487220265818522E-2</v>
      </c>
      <c r="Z40" s="8">
        <v>-5.665053699988154E-3</v>
      </c>
      <c r="AA40" s="8">
        <v>3.7982195845697397E-2</v>
      </c>
    </row>
    <row r="41" spans="2:27" x14ac:dyDescent="0.3">
      <c r="B41" s="12" t="s">
        <v>40</v>
      </c>
      <c r="C41" s="3" t="s">
        <v>642</v>
      </c>
      <c r="D41" s="3" t="s">
        <v>647</v>
      </c>
      <c r="E41" s="3" t="s">
        <v>648</v>
      </c>
      <c r="F41" s="5">
        <v>3.7</v>
      </c>
      <c r="G41" s="4">
        <v>963.6</v>
      </c>
      <c r="H41" s="4">
        <v>954.8</v>
      </c>
      <c r="I41" s="4">
        <v>1030</v>
      </c>
      <c r="J41" s="4">
        <v>1150</v>
      </c>
      <c r="K41" s="4">
        <v>1283</v>
      </c>
      <c r="L41" s="4">
        <v>1262</v>
      </c>
      <c r="M41" s="4">
        <v>1293</v>
      </c>
      <c r="N41" s="4">
        <v>1335</v>
      </c>
      <c r="O41" s="4">
        <v>1415</v>
      </c>
      <c r="P41" s="4">
        <v>1353</v>
      </c>
      <c r="Q41" s="4">
        <v>1434</v>
      </c>
      <c r="R41" s="4">
        <v>1508</v>
      </c>
      <c r="S41" s="4">
        <v>1660</v>
      </c>
      <c r="T41" s="4">
        <v>1540</v>
      </c>
      <c r="U41" s="4">
        <v>1630</v>
      </c>
      <c r="V41" s="4">
        <v>1725</v>
      </c>
      <c r="W41" s="4">
        <v>1905</v>
      </c>
      <c r="X41" s="10">
        <v>3.1402183039462628E-2</v>
      </c>
      <c r="Y41" s="8">
        <v>3.1911429501791037E-2</v>
      </c>
      <c r="Z41" s="8">
        <v>3.4237929946355328E-2</v>
      </c>
      <c r="AA41" s="8">
        <v>3.7376048817696413E-2</v>
      </c>
    </row>
    <row r="42" spans="2:27" x14ac:dyDescent="0.3">
      <c r="B42" s="12" t="s">
        <v>347</v>
      </c>
      <c r="C42" s="3" t="s">
        <v>642</v>
      </c>
      <c r="D42" s="3" t="s">
        <v>670</v>
      </c>
      <c r="E42" s="3" t="s">
        <v>648</v>
      </c>
      <c r="F42" s="5">
        <v>3.7</v>
      </c>
      <c r="G42" s="4">
        <v>0</v>
      </c>
      <c r="H42" s="4">
        <v>631.4</v>
      </c>
      <c r="I42" s="4">
        <v>645.79999999999995</v>
      </c>
      <c r="J42" s="4">
        <v>631.1</v>
      </c>
      <c r="K42" s="6">
        <v>660.8</v>
      </c>
      <c r="L42" s="4">
        <v>627.20000000000005</v>
      </c>
      <c r="M42" s="4">
        <v>662.4</v>
      </c>
      <c r="N42" s="4">
        <v>631.29999999999995</v>
      </c>
      <c r="O42" s="4">
        <v>645.6</v>
      </c>
      <c r="P42" s="4">
        <v>623.6</v>
      </c>
      <c r="Q42" s="4">
        <v>633.1</v>
      </c>
      <c r="R42" s="4">
        <v>601</v>
      </c>
      <c r="S42" s="4">
        <v>652.9</v>
      </c>
      <c r="T42" s="4">
        <v>616.9</v>
      </c>
      <c r="U42" s="4">
        <v>682.1</v>
      </c>
      <c r="V42" s="4">
        <v>669.9</v>
      </c>
      <c r="W42" s="4">
        <v>750.6</v>
      </c>
      <c r="X42" s="10">
        <v>-2.6686847765473591E-3</v>
      </c>
      <c r="Y42" s="8">
        <v>1.9569471624266251E-2</v>
      </c>
      <c r="Z42" s="8">
        <v>2.6988914567746439E-2</v>
      </c>
      <c r="AA42" s="8">
        <v>3.7264474788313302E-2</v>
      </c>
    </row>
    <row r="43" spans="2:27" x14ac:dyDescent="0.3">
      <c r="B43" s="12" t="s">
        <v>7</v>
      </c>
      <c r="C43" s="3" t="s">
        <v>642</v>
      </c>
      <c r="D43" s="3" t="s">
        <v>671</v>
      </c>
      <c r="E43" s="3" t="s">
        <v>648</v>
      </c>
      <c r="F43" s="5">
        <v>3.7</v>
      </c>
      <c r="G43" s="4">
        <v>137412</v>
      </c>
      <c r="H43" s="4">
        <v>116444</v>
      </c>
      <c r="I43" s="4">
        <v>121234</v>
      </c>
      <c r="J43" s="4">
        <v>127101</v>
      </c>
      <c r="K43" s="4">
        <v>149204</v>
      </c>
      <c r="L43" s="4">
        <v>127358</v>
      </c>
      <c r="M43" s="4">
        <v>134383</v>
      </c>
      <c r="N43" s="4">
        <v>143083</v>
      </c>
      <c r="O43" s="4">
        <v>169961</v>
      </c>
      <c r="P43" s="4">
        <v>143313</v>
      </c>
      <c r="Q43" s="4">
        <v>147977</v>
      </c>
      <c r="R43" s="4">
        <v>158877</v>
      </c>
      <c r="S43" s="4">
        <v>187792</v>
      </c>
      <c r="T43" s="4">
        <v>155667</v>
      </c>
      <c r="U43" s="4">
        <v>167702</v>
      </c>
      <c r="V43" s="4">
        <v>180169</v>
      </c>
      <c r="W43" s="4">
        <v>213386</v>
      </c>
      <c r="X43" s="10">
        <v>1.9364880815224691E-2</v>
      </c>
      <c r="Y43" s="8">
        <v>3.0331548039175042E-2</v>
      </c>
      <c r="Z43" s="8">
        <v>3.1777302182861338E-2</v>
      </c>
      <c r="AA43" s="8">
        <v>3.7021393545774162E-2</v>
      </c>
    </row>
    <row r="44" spans="2:27" x14ac:dyDescent="0.3">
      <c r="B44" s="12" t="s">
        <v>300</v>
      </c>
      <c r="C44" s="3" t="s">
        <v>642</v>
      </c>
      <c r="D44" s="3" t="s">
        <v>672</v>
      </c>
      <c r="E44" s="3" t="s">
        <v>648</v>
      </c>
      <c r="F44" s="5">
        <v>3.7</v>
      </c>
      <c r="G44" s="4">
        <v>191.14</v>
      </c>
      <c r="H44" s="4">
        <v>187.9</v>
      </c>
      <c r="I44" s="4">
        <v>186.5</v>
      </c>
      <c r="J44" s="4">
        <v>195.83</v>
      </c>
      <c r="K44" s="4">
        <v>195.21</v>
      </c>
      <c r="L44" s="4">
        <v>203.4</v>
      </c>
      <c r="M44" s="4">
        <v>205.07</v>
      </c>
      <c r="N44" s="4">
        <v>199.43</v>
      </c>
      <c r="O44" s="4">
        <v>197.27</v>
      </c>
      <c r="P44" s="4">
        <v>209.59</v>
      </c>
      <c r="Q44" s="4">
        <v>213.42</v>
      </c>
      <c r="R44" s="4">
        <v>207.64</v>
      </c>
      <c r="S44" s="4">
        <v>226.12</v>
      </c>
      <c r="T44" s="4">
        <v>248.45</v>
      </c>
      <c r="U44" s="4">
        <v>238.54</v>
      </c>
      <c r="V44" s="4">
        <v>245.64</v>
      </c>
      <c r="W44" s="4">
        <v>261.19</v>
      </c>
      <c r="X44" s="10">
        <v>4.535639669923075E-2</v>
      </c>
      <c r="Y44" s="8">
        <v>2.8047296316559219E-2</v>
      </c>
      <c r="Z44" s="8">
        <v>4.1270703231061738E-2</v>
      </c>
      <c r="AA44" s="8">
        <v>3.6578878748370292E-2</v>
      </c>
    </row>
    <row r="45" spans="2:27" x14ac:dyDescent="0.3">
      <c r="B45" s="12" t="s">
        <v>290</v>
      </c>
      <c r="C45" s="3" t="s">
        <v>642</v>
      </c>
      <c r="D45" s="3" t="s">
        <v>659</v>
      </c>
      <c r="E45" s="3" t="s">
        <v>646</v>
      </c>
      <c r="F45" s="5">
        <v>3.5</v>
      </c>
      <c r="G45" s="4">
        <v>156.47999999999999</v>
      </c>
      <c r="H45" s="4">
        <v>166.91</v>
      </c>
      <c r="I45" s="4">
        <v>200.22</v>
      </c>
      <c r="J45" s="4">
        <v>229.92</v>
      </c>
      <c r="K45" s="6">
        <v>260.01</v>
      </c>
      <c r="L45" s="6">
        <v>272.56</v>
      </c>
      <c r="M45" s="4">
        <v>295.98</v>
      </c>
      <c r="N45" s="4">
        <v>304.99</v>
      </c>
      <c r="O45" s="4">
        <v>318.5</v>
      </c>
      <c r="P45" s="4">
        <v>323.02999999999997</v>
      </c>
      <c r="Q45" s="4">
        <v>343.66</v>
      </c>
      <c r="R45" s="4">
        <v>358.45</v>
      </c>
      <c r="S45" s="4">
        <v>362.55</v>
      </c>
      <c r="T45" s="4">
        <v>358.22</v>
      </c>
      <c r="U45" s="4">
        <v>383.35</v>
      </c>
      <c r="V45" s="4">
        <v>395.74</v>
      </c>
      <c r="W45" s="4">
        <v>414.67</v>
      </c>
      <c r="X45" s="10">
        <v>2.535868962088084E-2</v>
      </c>
      <c r="Y45" s="8">
        <v>2.7894130214775711E-2</v>
      </c>
      <c r="Z45" s="8">
        <v>2.5496215565750768E-2</v>
      </c>
      <c r="AA45" s="8">
        <v>3.4749909991599097E-2</v>
      </c>
    </row>
    <row r="46" spans="2:27" x14ac:dyDescent="0.3">
      <c r="B46" s="12" t="s">
        <v>132</v>
      </c>
      <c r="C46" s="3" t="s">
        <v>642</v>
      </c>
      <c r="D46" s="3" t="s">
        <v>656</v>
      </c>
      <c r="E46" s="3" t="s">
        <v>650</v>
      </c>
      <c r="F46" s="5">
        <v>3.5</v>
      </c>
      <c r="G46" s="4">
        <v>1815</v>
      </c>
      <c r="H46" s="4">
        <v>1523</v>
      </c>
      <c r="I46" s="4">
        <v>1491</v>
      </c>
      <c r="J46" s="4">
        <v>1580</v>
      </c>
      <c r="K46" s="4">
        <v>1832</v>
      </c>
      <c r="L46" s="4">
        <v>1541</v>
      </c>
      <c r="M46" s="4">
        <v>1497</v>
      </c>
      <c r="N46" s="4">
        <v>1633</v>
      </c>
      <c r="O46" s="4">
        <v>1934</v>
      </c>
      <c r="P46" s="4">
        <v>1568</v>
      </c>
      <c r="Q46" s="4">
        <v>1512</v>
      </c>
      <c r="R46" s="4">
        <v>1726</v>
      </c>
      <c r="S46" s="4">
        <v>2144</v>
      </c>
      <c r="T46" s="4">
        <v>1697</v>
      </c>
      <c r="U46" s="4">
        <v>1719</v>
      </c>
      <c r="V46" s="4">
        <v>2011</v>
      </c>
      <c r="W46" s="4">
        <v>2406</v>
      </c>
      <c r="X46" s="10">
        <v>1.8561151079136581E-2</v>
      </c>
      <c r="Y46" s="8">
        <v>2.924141827941806E-2</v>
      </c>
      <c r="Z46" s="8">
        <v>3.9116113093604188E-2</v>
      </c>
      <c r="AA46" s="8">
        <v>3.4605732399947131E-2</v>
      </c>
    </row>
    <row r="47" spans="2:27" x14ac:dyDescent="0.3">
      <c r="B47" s="12" t="s">
        <v>552</v>
      </c>
      <c r="C47" s="3" t="s">
        <v>642</v>
      </c>
      <c r="D47" s="3" t="s">
        <v>647</v>
      </c>
      <c r="E47" s="3" t="s">
        <v>644</v>
      </c>
      <c r="F47" s="5">
        <v>3.3</v>
      </c>
      <c r="G47" s="4">
        <v>45.78</v>
      </c>
      <c r="H47" s="4">
        <v>51.09</v>
      </c>
      <c r="I47" s="4">
        <v>50.3</v>
      </c>
      <c r="J47" s="4">
        <v>58.03</v>
      </c>
      <c r="K47" s="4">
        <v>57.78</v>
      </c>
      <c r="L47" s="4">
        <v>61.33</v>
      </c>
      <c r="M47" s="4">
        <v>60.36</v>
      </c>
      <c r="N47" s="4">
        <v>64.17</v>
      </c>
      <c r="O47" s="4">
        <v>62.68</v>
      </c>
      <c r="P47" s="4">
        <v>65.36</v>
      </c>
      <c r="Q47" s="4">
        <v>67.900000000000006</v>
      </c>
      <c r="R47" s="4">
        <v>72.66</v>
      </c>
      <c r="S47" s="4">
        <v>70.84</v>
      </c>
      <c r="T47" s="4">
        <v>73.72</v>
      </c>
      <c r="U47" s="4">
        <v>75.430000000000007</v>
      </c>
      <c r="V47" s="4">
        <v>82.56</v>
      </c>
      <c r="W47" s="4">
        <v>80.849999999999994</v>
      </c>
      <c r="X47" s="10">
        <v>3.0206677265500751E-2</v>
      </c>
      <c r="Y47" s="8">
        <v>2.6409932659932519E-2</v>
      </c>
      <c r="Z47" s="8">
        <v>3.3828805740645951E-2</v>
      </c>
      <c r="AA47" s="8">
        <v>3.3085440423070489E-2</v>
      </c>
    </row>
    <row r="48" spans="2:27" x14ac:dyDescent="0.3">
      <c r="B48" s="12" t="s">
        <v>154</v>
      </c>
      <c r="C48" s="3" t="s">
        <v>642</v>
      </c>
      <c r="D48" s="3" t="s">
        <v>673</v>
      </c>
      <c r="E48" s="3" t="s">
        <v>648</v>
      </c>
      <c r="F48" s="5">
        <v>3.3</v>
      </c>
      <c r="G48" s="4">
        <v>685.4</v>
      </c>
      <c r="H48" s="4">
        <v>726.2</v>
      </c>
      <c r="I48" s="4">
        <v>733.3</v>
      </c>
      <c r="J48" s="4">
        <v>753.6</v>
      </c>
      <c r="K48" s="4">
        <v>774.6</v>
      </c>
      <c r="L48" s="4">
        <v>797.9</v>
      </c>
      <c r="M48" s="4">
        <v>833.9</v>
      </c>
      <c r="N48" s="4">
        <v>822.1</v>
      </c>
      <c r="O48" s="4">
        <v>0</v>
      </c>
      <c r="P48" s="4">
        <v>910.6</v>
      </c>
      <c r="Q48" s="4">
        <v>905.9</v>
      </c>
      <c r="R48" s="4">
        <v>885.2</v>
      </c>
      <c r="S48" s="6">
        <v>929</v>
      </c>
      <c r="T48" s="4">
        <v>913</v>
      </c>
      <c r="U48" s="4">
        <v>972.4</v>
      </c>
      <c r="V48" s="4">
        <v>999.1</v>
      </c>
      <c r="W48" s="4">
        <v>1054</v>
      </c>
      <c r="X48" s="10">
        <v>6.6102955352964621E-4</v>
      </c>
      <c r="Y48" s="8">
        <v>1.83039277751782E-2</v>
      </c>
      <c r="Z48" s="8">
        <v>3.0787112120229221E-2</v>
      </c>
      <c r="AA48" s="8">
        <v>3.2778287662252437E-2</v>
      </c>
    </row>
    <row r="49" spans="2:27" x14ac:dyDescent="0.3">
      <c r="B49" s="12" t="s">
        <v>366</v>
      </c>
      <c r="C49" s="3" t="s">
        <v>642</v>
      </c>
      <c r="D49" s="3" t="s">
        <v>658</v>
      </c>
      <c r="E49" s="3" t="s">
        <v>646</v>
      </c>
      <c r="F49" s="5">
        <v>3.2</v>
      </c>
      <c r="G49" s="4">
        <v>420.5</v>
      </c>
      <c r="H49" s="4">
        <v>470.1</v>
      </c>
      <c r="I49" s="4">
        <v>476.4</v>
      </c>
      <c r="J49" s="4">
        <v>448.1</v>
      </c>
      <c r="K49" s="4">
        <v>353.1</v>
      </c>
      <c r="L49" s="4">
        <v>326.60000000000002</v>
      </c>
      <c r="M49" s="4">
        <v>227.3</v>
      </c>
      <c r="N49" s="4">
        <v>237.7</v>
      </c>
      <c r="O49" s="4">
        <v>237</v>
      </c>
      <c r="P49" s="4">
        <v>237.3</v>
      </c>
      <c r="Q49" s="4">
        <v>247.4</v>
      </c>
      <c r="R49" s="4">
        <v>257.7</v>
      </c>
      <c r="S49" s="4">
        <v>267.2</v>
      </c>
      <c r="T49" s="4">
        <v>266.60000000000002</v>
      </c>
      <c r="U49" s="4">
        <v>282.8</v>
      </c>
      <c r="V49" s="4">
        <v>292.5</v>
      </c>
      <c r="W49" s="4">
        <v>302.5</v>
      </c>
      <c r="X49" s="10">
        <v>2.902139461172748E-2</v>
      </c>
      <c r="Y49" s="8">
        <v>3.4074501876985241E-2</v>
      </c>
      <c r="Z49" s="8">
        <v>3.2393186260820883E-2</v>
      </c>
      <c r="AA49" s="8">
        <v>3.1827607970426719E-2</v>
      </c>
    </row>
    <row r="50" spans="2:27" x14ac:dyDescent="0.3">
      <c r="B50" s="12" t="s">
        <v>64</v>
      </c>
      <c r="C50" s="3" t="s">
        <v>642</v>
      </c>
      <c r="D50" s="3" t="s">
        <v>674</v>
      </c>
      <c r="E50" s="3" t="s">
        <v>648</v>
      </c>
      <c r="F50" s="5">
        <v>3.1</v>
      </c>
      <c r="G50" s="4">
        <v>3355</v>
      </c>
      <c r="H50" s="4">
        <v>3751</v>
      </c>
      <c r="I50" s="4">
        <v>3424</v>
      </c>
      <c r="J50" s="4">
        <v>4082</v>
      </c>
      <c r="K50" s="4">
        <v>4053</v>
      </c>
      <c r="L50" s="4">
        <v>4080</v>
      </c>
      <c r="M50" s="4">
        <v>3022</v>
      </c>
      <c r="N50" s="4">
        <v>3662</v>
      </c>
      <c r="O50" s="4">
        <v>3442</v>
      </c>
      <c r="P50" s="4">
        <v>3649</v>
      </c>
      <c r="Q50" s="4">
        <v>3028</v>
      </c>
      <c r="R50" s="4">
        <v>3644</v>
      </c>
      <c r="S50" s="4">
        <v>3120</v>
      </c>
      <c r="T50" s="4">
        <v>3906</v>
      </c>
      <c r="U50" s="4">
        <v>3287</v>
      </c>
      <c r="V50" s="4">
        <v>3915</v>
      </c>
      <c r="W50" s="4">
        <v>3561</v>
      </c>
      <c r="X50" s="10">
        <v>1.9120601145748099E-2</v>
      </c>
      <c r="Y50" s="8">
        <v>1.8907869762009089E-2</v>
      </c>
      <c r="Z50" s="8">
        <v>1.9416780110338872E-2</v>
      </c>
      <c r="AA50" s="8">
        <v>3.0995220691593991E-2</v>
      </c>
    </row>
    <row r="51" spans="2:27" x14ac:dyDescent="0.3">
      <c r="B51" s="12" t="s">
        <v>125</v>
      </c>
      <c r="C51" s="3" t="s">
        <v>642</v>
      </c>
      <c r="D51" s="3" t="s">
        <v>674</v>
      </c>
      <c r="E51" s="3" t="s">
        <v>648</v>
      </c>
      <c r="F51" s="5">
        <v>2.9</v>
      </c>
      <c r="G51" s="4">
        <v>2033</v>
      </c>
      <c r="H51" s="4">
        <v>2374</v>
      </c>
      <c r="I51" s="4">
        <v>1920</v>
      </c>
      <c r="J51" s="4">
        <v>2024</v>
      </c>
      <c r="K51" s="4">
        <v>0</v>
      </c>
      <c r="L51" s="4">
        <v>2284</v>
      </c>
      <c r="M51" s="4">
        <v>1555</v>
      </c>
      <c r="N51" s="4">
        <v>1673</v>
      </c>
      <c r="O51" s="6">
        <v>1950</v>
      </c>
      <c r="P51" s="4">
        <v>2176</v>
      </c>
      <c r="Q51" s="4">
        <v>1607</v>
      </c>
      <c r="R51" s="4">
        <v>1743</v>
      </c>
      <c r="S51" s="4">
        <v>1989</v>
      </c>
      <c r="T51" s="4">
        <v>2447</v>
      </c>
      <c r="U51" s="4">
        <v>1838</v>
      </c>
      <c r="V51" s="4">
        <v>2021</v>
      </c>
      <c r="W51" s="4">
        <v>2233</v>
      </c>
      <c r="X51" s="10">
        <v>3.6061210911510377E-2</v>
      </c>
      <c r="Y51" s="8">
        <v>2.9668636013357341E-2</v>
      </c>
      <c r="Z51" s="8">
        <v>3.4676312835225209E-2</v>
      </c>
      <c r="AA51" s="8">
        <v>2.9415310427968629E-2</v>
      </c>
    </row>
    <row r="52" spans="2:27" x14ac:dyDescent="0.3">
      <c r="B52" s="12" t="s">
        <v>189</v>
      </c>
      <c r="C52" s="3" t="s">
        <v>642</v>
      </c>
      <c r="D52" s="3" t="s">
        <v>675</v>
      </c>
      <c r="E52" s="3" t="s">
        <v>648</v>
      </c>
      <c r="F52" s="5">
        <v>2.9</v>
      </c>
      <c r="G52" s="4">
        <v>7198</v>
      </c>
      <c r="H52" s="4">
        <v>7562</v>
      </c>
      <c r="I52" s="4">
        <v>7839</v>
      </c>
      <c r="J52" s="4">
        <v>7704</v>
      </c>
      <c r="K52" s="4">
        <v>7996</v>
      </c>
      <c r="L52" s="4">
        <v>7977</v>
      </c>
      <c r="M52" s="4">
        <v>8158</v>
      </c>
      <c r="N52" s="4">
        <v>8372</v>
      </c>
      <c r="O52" s="4">
        <v>8496</v>
      </c>
      <c r="P52" s="4">
        <v>9634</v>
      </c>
      <c r="Q52" s="4">
        <v>9582</v>
      </c>
      <c r="R52" s="4">
        <v>9832</v>
      </c>
      <c r="S52" s="4">
        <v>10116</v>
      </c>
      <c r="T52" s="4">
        <v>10759</v>
      </c>
      <c r="U52" s="4">
        <v>10996</v>
      </c>
      <c r="V52" s="4">
        <v>10971</v>
      </c>
      <c r="W52" s="4">
        <v>11375</v>
      </c>
      <c r="X52" s="10">
        <v>2.8725360024512311E-2</v>
      </c>
      <c r="Y52" s="8">
        <v>3.5096428305492873E-2</v>
      </c>
      <c r="Z52" s="8">
        <v>2.7312183775747512E-2</v>
      </c>
      <c r="AA52" s="8">
        <v>2.9387050091032259E-2</v>
      </c>
    </row>
    <row r="53" spans="2:27" x14ac:dyDescent="0.3">
      <c r="B53" s="12" t="s">
        <v>118</v>
      </c>
      <c r="C53" s="3" t="s">
        <v>642</v>
      </c>
      <c r="D53" s="3" t="s">
        <v>645</v>
      </c>
      <c r="E53" s="3" t="s">
        <v>648</v>
      </c>
      <c r="F53" s="5">
        <v>2.9</v>
      </c>
      <c r="G53" s="4">
        <v>276.47000000000003</v>
      </c>
      <c r="H53" s="4">
        <v>311.04000000000002</v>
      </c>
      <c r="I53" s="4">
        <v>297.14</v>
      </c>
      <c r="J53" s="4">
        <v>287.12</v>
      </c>
      <c r="K53" s="4">
        <v>293.04000000000002</v>
      </c>
      <c r="L53" s="4">
        <v>328.8</v>
      </c>
      <c r="M53" s="4">
        <v>310.14999999999998</v>
      </c>
      <c r="N53" s="4">
        <v>327.89</v>
      </c>
      <c r="O53" s="4">
        <v>369.33</v>
      </c>
      <c r="P53" s="4">
        <v>407.02</v>
      </c>
      <c r="Q53" s="4">
        <v>404.41</v>
      </c>
      <c r="R53" s="4">
        <v>447.47</v>
      </c>
      <c r="S53" s="4">
        <v>462.77</v>
      </c>
      <c r="T53" s="4">
        <v>509.09</v>
      </c>
      <c r="U53" s="4">
        <v>512.54</v>
      </c>
      <c r="V53" s="4">
        <v>508.08</v>
      </c>
      <c r="W53" s="4">
        <v>520.78</v>
      </c>
      <c r="X53" s="10">
        <v>5.9285461209174883E-2</v>
      </c>
      <c r="Y53" s="8">
        <v>5.9290249706646758E-2</v>
      </c>
      <c r="Z53" s="8">
        <v>3.1373746680677377E-2</v>
      </c>
      <c r="AA53" s="8">
        <v>2.9114470408736711E-2</v>
      </c>
    </row>
    <row r="54" spans="2:27" x14ac:dyDescent="0.3">
      <c r="B54" s="12" t="s">
        <v>605</v>
      </c>
      <c r="C54" s="3" t="s">
        <v>642</v>
      </c>
      <c r="D54" s="3" t="s">
        <v>676</v>
      </c>
      <c r="E54" s="3" t="s">
        <v>644</v>
      </c>
      <c r="F54" s="5">
        <v>2.8</v>
      </c>
      <c r="G54" s="3"/>
      <c r="H54" s="3"/>
      <c r="I54" s="3"/>
      <c r="J54" s="3"/>
      <c r="K54" s="3"/>
      <c r="L54" s="3"/>
      <c r="M54" s="3"/>
      <c r="N54" s="4">
        <v>542</v>
      </c>
      <c r="O54" s="4">
        <v>519</v>
      </c>
      <c r="P54" s="4">
        <v>558</v>
      </c>
      <c r="Q54" s="4">
        <v>556</v>
      </c>
      <c r="R54" s="4">
        <v>554</v>
      </c>
      <c r="S54" s="4">
        <v>702</v>
      </c>
      <c r="T54" s="6">
        <v>824</v>
      </c>
      <c r="U54" s="6">
        <v>839</v>
      </c>
      <c r="V54" s="4">
        <v>839</v>
      </c>
      <c r="W54" s="4">
        <v>792</v>
      </c>
      <c r="X54" s="7">
        <v>0.1122362869198312</v>
      </c>
      <c r="Y54" s="9">
        <v>0.10735963581183609</v>
      </c>
      <c r="Z54" s="8">
        <v>9.7636176772867511E-2</v>
      </c>
      <c r="AA54" s="8">
        <v>2.8089887640449399E-2</v>
      </c>
    </row>
    <row r="55" spans="2:27" x14ac:dyDescent="0.3">
      <c r="B55" s="12" t="s">
        <v>444</v>
      </c>
      <c r="C55" s="3" t="s">
        <v>642</v>
      </c>
      <c r="D55" s="3" t="s">
        <v>659</v>
      </c>
      <c r="E55" s="3" t="s">
        <v>650</v>
      </c>
      <c r="F55" s="5">
        <v>2.8</v>
      </c>
      <c r="G55" s="4">
        <v>152.68</v>
      </c>
      <c r="H55" s="4">
        <v>146.56</v>
      </c>
      <c r="I55" s="4">
        <v>173.88</v>
      </c>
      <c r="J55" s="4">
        <v>183.7</v>
      </c>
      <c r="K55" s="4">
        <v>188.7</v>
      </c>
      <c r="L55" s="4">
        <v>184.23</v>
      </c>
      <c r="M55" s="4">
        <v>209.09</v>
      </c>
      <c r="N55" s="4">
        <v>230.27</v>
      </c>
      <c r="O55" s="4">
        <v>239.7</v>
      </c>
      <c r="P55" s="4">
        <v>230.22</v>
      </c>
      <c r="Q55" s="4">
        <v>266.08999999999997</v>
      </c>
      <c r="R55" s="4">
        <v>277.18</v>
      </c>
      <c r="S55" s="4">
        <v>280.13</v>
      </c>
      <c r="T55" s="4">
        <v>253.42</v>
      </c>
      <c r="U55" s="4">
        <v>304.94</v>
      </c>
      <c r="V55" s="4">
        <v>318.95999999999998</v>
      </c>
      <c r="W55" s="4">
        <v>312.35000000000002</v>
      </c>
      <c r="X55" s="10">
        <v>2.2019323854900241E-2</v>
      </c>
      <c r="Y55" s="8">
        <v>3.6078453223379991E-2</v>
      </c>
      <c r="Z55" s="8">
        <v>3.7448349422320122E-2</v>
      </c>
      <c r="AA55" s="8">
        <v>2.783705559635408E-2</v>
      </c>
    </row>
    <row r="56" spans="2:27" x14ac:dyDescent="0.3">
      <c r="B56" s="12" t="s">
        <v>233</v>
      </c>
      <c r="C56" s="3" t="s">
        <v>642</v>
      </c>
      <c r="D56" s="3" t="s">
        <v>655</v>
      </c>
      <c r="E56" s="3" t="s">
        <v>648</v>
      </c>
      <c r="F56" s="5">
        <v>2.8</v>
      </c>
      <c r="G56" s="4">
        <v>813</v>
      </c>
      <c r="H56" s="4">
        <v>794</v>
      </c>
      <c r="I56" s="4">
        <v>704</v>
      </c>
      <c r="J56" s="4">
        <v>642</v>
      </c>
      <c r="K56" s="4">
        <v>657</v>
      </c>
      <c r="L56" s="4">
        <v>647</v>
      </c>
      <c r="M56" s="4">
        <v>579</v>
      </c>
      <c r="N56" s="4">
        <v>675</v>
      </c>
      <c r="O56" s="4">
        <v>659</v>
      </c>
      <c r="P56" s="4">
        <v>647</v>
      </c>
      <c r="Q56" s="4">
        <v>533</v>
      </c>
      <c r="R56" s="4">
        <v>652</v>
      </c>
      <c r="S56" s="4">
        <v>665</v>
      </c>
      <c r="T56" s="4">
        <v>733</v>
      </c>
      <c r="U56" s="4">
        <v>708</v>
      </c>
      <c r="V56" s="4">
        <v>786</v>
      </c>
      <c r="W56" s="4">
        <v>745</v>
      </c>
      <c r="X56" s="10">
        <v>3.4441329595514603E-2</v>
      </c>
      <c r="Y56" s="8">
        <v>6.7750677506775103E-2</v>
      </c>
      <c r="Z56" s="8">
        <v>4.8585931834662872E-2</v>
      </c>
      <c r="AA56" s="8">
        <v>2.7662517289073211E-2</v>
      </c>
    </row>
    <row r="57" spans="2:27" x14ac:dyDescent="0.3">
      <c r="B57" s="12" t="s">
        <v>58</v>
      </c>
      <c r="C57" s="3" t="s">
        <v>642</v>
      </c>
      <c r="D57" s="3" t="s">
        <v>673</v>
      </c>
      <c r="E57" s="3" t="s">
        <v>644</v>
      </c>
      <c r="F57" s="5">
        <v>2.7</v>
      </c>
      <c r="G57" s="4">
        <v>1857</v>
      </c>
      <c r="H57" s="4">
        <v>1808</v>
      </c>
      <c r="I57" s="4">
        <v>1969</v>
      </c>
      <c r="J57" s="4">
        <v>2126</v>
      </c>
      <c r="K57" s="4">
        <v>1981</v>
      </c>
      <c r="L57" s="4">
        <v>2275</v>
      </c>
      <c r="M57" s="4">
        <v>2239</v>
      </c>
      <c r="N57" s="4">
        <v>2563</v>
      </c>
      <c r="O57" s="4">
        <v>2052</v>
      </c>
      <c r="P57" s="4">
        <v>2126</v>
      </c>
      <c r="Q57" s="4">
        <v>2051</v>
      </c>
      <c r="R57" s="4">
        <v>2035</v>
      </c>
      <c r="S57" s="4">
        <v>1881</v>
      </c>
      <c r="T57" s="4">
        <v>2001</v>
      </c>
      <c r="U57" s="4">
        <v>2144</v>
      </c>
      <c r="V57" s="4">
        <v>2316</v>
      </c>
      <c r="W57" s="4">
        <v>2105</v>
      </c>
      <c r="X57" s="10">
        <v>-1.544544668231806E-2</v>
      </c>
      <c r="Y57" s="8">
        <v>1.167168674698793E-2</v>
      </c>
      <c r="Z57" s="8">
        <v>3.4859198610594173E-2</v>
      </c>
      <c r="AA57" s="8">
        <v>2.685207384320298E-2</v>
      </c>
    </row>
    <row r="58" spans="2:27" x14ac:dyDescent="0.3">
      <c r="B58" s="12" t="s">
        <v>89</v>
      </c>
      <c r="C58" s="3" t="s">
        <v>642</v>
      </c>
      <c r="D58" s="3" t="s">
        <v>674</v>
      </c>
      <c r="E58" s="3" t="s">
        <v>648</v>
      </c>
      <c r="F58" s="5">
        <v>2.6</v>
      </c>
      <c r="G58" s="4">
        <v>2202</v>
      </c>
      <c r="H58" s="4">
        <v>2908</v>
      </c>
      <c r="I58" s="4">
        <v>2128</v>
      </c>
      <c r="J58" s="4">
        <v>2003</v>
      </c>
      <c r="K58" s="4">
        <v>2558</v>
      </c>
      <c r="L58" s="4">
        <v>2888</v>
      </c>
      <c r="M58" s="4">
        <v>1830</v>
      </c>
      <c r="N58" s="4">
        <v>1957</v>
      </c>
      <c r="O58" s="4">
        <v>2218</v>
      </c>
      <c r="P58" s="4">
        <v>2680</v>
      </c>
      <c r="Q58" s="4">
        <v>1772</v>
      </c>
      <c r="R58" s="4">
        <v>1864</v>
      </c>
      <c r="S58" s="4">
        <v>2284</v>
      </c>
      <c r="T58" s="4">
        <v>3150</v>
      </c>
      <c r="U58" s="4">
        <v>2010</v>
      </c>
      <c r="V58" s="4">
        <v>2104</v>
      </c>
      <c r="W58" s="4">
        <v>2537</v>
      </c>
      <c r="X58" s="10">
        <v>5.4651162790697587E-2</v>
      </c>
      <c r="Y58" s="8">
        <v>2.6240352811466309E-2</v>
      </c>
      <c r="Z58" s="8">
        <v>2.5784271594327501E-2</v>
      </c>
      <c r="AA58" s="8">
        <v>2.6497695852534479E-2</v>
      </c>
    </row>
    <row r="59" spans="2:27" x14ac:dyDescent="0.3">
      <c r="B59" s="12" t="s">
        <v>160</v>
      </c>
      <c r="C59" s="3" t="s">
        <v>642</v>
      </c>
      <c r="D59" s="3" t="s">
        <v>677</v>
      </c>
      <c r="E59" s="3" t="s">
        <v>650</v>
      </c>
      <c r="F59" s="5">
        <v>2.6</v>
      </c>
      <c r="G59" s="4">
        <v>97.88</v>
      </c>
      <c r="H59" s="4">
        <v>93.65</v>
      </c>
      <c r="I59" s="4">
        <v>90.64</v>
      </c>
      <c r="J59" s="4">
        <v>102.19</v>
      </c>
      <c r="K59" s="4">
        <v>115.26</v>
      </c>
      <c r="L59" s="4">
        <v>110.97</v>
      </c>
      <c r="M59" s="4">
        <v>108.47</v>
      </c>
      <c r="N59" s="4">
        <v>113.61</v>
      </c>
      <c r="O59" s="4">
        <v>135.28</v>
      </c>
      <c r="P59" s="4">
        <v>118.06</v>
      </c>
      <c r="Q59" s="4">
        <v>126.68</v>
      </c>
      <c r="R59" s="4">
        <v>136.83000000000001</v>
      </c>
      <c r="S59" s="4">
        <v>168.6</v>
      </c>
      <c r="T59" s="4">
        <v>138.29</v>
      </c>
      <c r="U59" s="4">
        <v>145.91</v>
      </c>
      <c r="V59" s="4">
        <v>168.53</v>
      </c>
      <c r="W59" s="4">
        <v>185.05</v>
      </c>
      <c r="X59" s="10">
        <v>3.6770452769143917E-2</v>
      </c>
      <c r="Y59" s="8">
        <v>3.3713183730715413E-2</v>
      </c>
      <c r="Z59" s="8">
        <v>5.376252904363743E-2</v>
      </c>
      <c r="AA59" s="8">
        <v>2.6475463924162671E-2</v>
      </c>
    </row>
    <row r="60" spans="2:27" x14ac:dyDescent="0.3">
      <c r="B60" s="12" t="s">
        <v>137</v>
      </c>
      <c r="C60" s="3" t="s">
        <v>642</v>
      </c>
      <c r="D60" s="3" t="s">
        <v>663</v>
      </c>
      <c r="E60" s="3" t="s">
        <v>644</v>
      </c>
      <c r="F60" s="5">
        <v>2.6</v>
      </c>
      <c r="G60" s="4">
        <v>1614</v>
      </c>
      <c r="H60" s="4">
        <v>1376</v>
      </c>
      <c r="I60" s="4">
        <v>1432</v>
      </c>
      <c r="J60" s="4">
        <v>1497</v>
      </c>
      <c r="K60" s="4">
        <v>1488</v>
      </c>
      <c r="L60" s="4">
        <v>1399</v>
      </c>
      <c r="M60" s="4">
        <v>1564</v>
      </c>
      <c r="N60" s="4">
        <v>1586</v>
      </c>
      <c r="O60" s="4">
        <v>1748</v>
      </c>
      <c r="P60" s="4">
        <v>1494</v>
      </c>
      <c r="Q60" s="4">
        <v>1554</v>
      </c>
      <c r="R60" s="4">
        <v>1630</v>
      </c>
      <c r="S60" s="4">
        <v>1666</v>
      </c>
      <c r="T60" s="4">
        <v>1484</v>
      </c>
      <c r="U60" s="4">
        <v>1689</v>
      </c>
      <c r="V60" s="4">
        <v>1868</v>
      </c>
      <c r="W60" s="4">
        <v>1840</v>
      </c>
      <c r="X60" s="10">
        <v>-1.576292559899106E-3</v>
      </c>
      <c r="Y60" s="8">
        <v>2.131354594253243E-2</v>
      </c>
      <c r="Z60" s="8">
        <v>3.6790848662853648E-2</v>
      </c>
      <c r="AA60" s="8">
        <v>2.5943044580289291E-2</v>
      </c>
    </row>
    <row r="61" spans="2:27" x14ac:dyDescent="0.3">
      <c r="B61" s="12" t="s">
        <v>75</v>
      </c>
      <c r="C61" s="3" t="s">
        <v>642</v>
      </c>
      <c r="D61" s="3" t="s">
        <v>678</v>
      </c>
      <c r="E61" s="3" t="s">
        <v>648</v>
      </c>
      <c r="F61" s="5">
        <v>2.6</v>
      </c>
      <c r="G61" s="4">
        <v>3636</v>
      </c>
      <c r="H61" s="4">
        <v>3568</v>
      </c>
      <c r="I61" s="4">
        <v>3541</v>
      </c>
      <c r="J61" s="4">
        <v>3562</v>
      </c>
      <c r="K61" s="4">
        <v>3739</v>
      </c>
      <c r="L61" s="4">
        <v>3652</v>
      </c>
      <c r="M61" s="4">
        <v>3728</v>
      </c>
      <c r="N61" s="4">
        <v>3736</v>
      </c>
      <c r="O61" s="4">
        <v>3868</v>
      </c>
      <c r="P61" s="4">
        <v>3737</v>
      </c>
      <c r="Q61" s="4">
        <v>3814</v>
      </c>
      <c r="R61" s="4">
        <v>3896</v>
      </c>
      <c r="S61" s="4">
        <v>3958</v>
      </c>
      <c r="T61" s="4">
        <v>3829</v>
      </c>
      <c r="U61" s="4">
        <v>4017</v>
      </c>
      <c r="V61" s="4">
        <v>4100</v>
      </c>
      <c r="W61" s="4">
        <v>4364</v>
      </c>
      <c r="X61" s="10">
        <v>5.9720869847452729E-3</v>
      </c>
      <c r="Y61" s="8">
        <v>1.309930954378258E-2</v>
      </c>
      <c r="Z61" s="8">
        <v>1.2993630573248319E-2</v>
      </c>
      <c r="AA61" s="8">
        <v>2.5528169014084501E-2</v>
      </c>
    </row>
    <row r="62" spans="2:27" x14ac:dyDescent="0.3">
      <c r="B62" s="12" t="s">
        <v>315</v>
      </c>
      <c r="C62" s="3" t="s">
        <v>642</v>
      </c>
      <c r="D62" s="3" t="s">
        <v>645</v>
      </c>
      <c r="E62" s="3" t="s">
        <v>644</v>
      </c>
      <c r="F62" s="5">
        <v>2.5</v>
      </c>
      <c r="G62" s="4">
        <v>37.130000000000003</v>
      </c>
      <c r="H62" s="4">
        <v>37.200000000000003</v>
      </c>
      <c r="I62" s="4">
        <v>31.03</v>
      </c>
      <c r="J62" s="4">
        <v>26.17</v>
      </c>
      <c r="K62" s="4">
        <v>27.82</v>
      </c>
      <c r="L62" s="4">
        <v>42.55</v>
      </c>
      <c r="M62" s="6">
        <v>45.52</v>
      </c>
      <c r="N62" s="6">
        <v>52.52</v>
      </c>
      <c r="O62" s="6">
        <v>73.790000000000006</v>
      </c>
      <c r="P62" s="6">
        <v>111.8</v>
      </c>
      <c r="Q62" s="6">
        <v>104.11</v>
      </c>
      <c r="R62" s="6">
        <v>89.28</v>
      </c>
      <c r="S62" s="6">
        <v>162.31</v>
      </c>
      <c r="T62" s="6">
        <v>181.71</v>
      </c>
      <c r="U62" s="6">
        <v>198.64</v>
      </c>
      <c r="V62" s="6">
        <v>223.65</v>
      </c>
      <c r="W62" s="4">
        <v>181.18</v>
      </c>
      <c r="X62" s="7">
        <v>0.14954010695187159</v>
      </c>
      <c r="Y62" s="9">
        <v>0.1758992203345677</v>
      </c>
      <c r="Z62" s="9">
        <v>0.2126309459758835</v>
      </c>
      <c r="AA62" s="8">
        <v>2.4624499223552029E-2</v>
      </c>
    </row>
    <row r="63" spans="2:27" x14ac:dyDescent="0.3">
      <c r="B63" s="12" t="s">
        <v>473</v>
      </c>
      <c r="C63" s="3" t="s">
        <v>642</v>
      </c>
      <c r="D63" s="3" t="s">
        <v>673</v>
      </c>
      <c r="E63" s="3" t="s">
        <v>650</v>
      </c>
      <c r="F63" s="5">
        <v>2.5</v>
      </c>
      <c r="G63" s="4">
        <v>100.61</v>
      </c>
      <c r="H63" s="4">
        <v>102.58</v>
      </c>
      <c r="I63" s="4">
        <v>95.44</v>
      </c>
      <c r="J63" s="4">
        <v>100.56</v>
      </c>
      <c r="K63" s="4">
        <v>122.11</v>
      </c>
      <c r="L63" s="4">
        <v>122.48</v>
      </c>
      <c r="M63" s="4">
        <v>106.89</v>
      </c>
      <c r="N63" s="4">
        <v>123.66</v>
      </c>
      <c r="O63" s="4">
        <v>136.43</v>
      </c>
      <c r="P63" s="4">
        <v>127.65</v>
      </c>
      <c r="Q63" s="4">
        <v>115.13</v>
      </c>
      <c r="R63" s="4">
        <v>114.65</v>
      </c>
      <c r="S63" s="4">
        <v>134.35</v>
      </c>
      <c r="T63" s="4">
        <v>134.08000000000001</v>
      </c>
      <c r="U63" s="4">
        <v>108.9</v>
      </c>
      <c r="V63" s="4">
        <v>131.72</v>
      </c>
      <c r="W63" s="4">
        <v>147.31</v>
      </c>
      <c r="X63" s="10">
        <v>1.307495221440491E-2</v>
      </c>
      <c r="Y63" s="8">
        <v>-1.250476706609671E-2</v>
      </c>
      <c r="Z63" s="8">
        <v>3.4696532379365097E-2</v>
      </c>
      <c r="AA63" s="8">
        <v>2.5459188684805008E-2</v>
      </c>
    </row>
    <row r="64" spans="2:27" x14ac:dyDescent="0.3">
      <c r="B64" s="12" t="s">
        <v>38</v>
      </c>
      <c r="C64" s="3" t="s">
        <v>642</v>
      </c>
      <c r="D64" s="3" t="s">
        <v>675</v>
      </c>
      <c r="E64" s="3" t="s">
        <v>648</v>
      </c>
      <c r="F64" s="5">
        <v>2.5</v>
      </c>
      <c r="G64" s="4">
        <v>45688</v>
      </c>
      <c r="H64" s="4">
        <v>44006</v>
      </c>
      <c r="I64" s="4">
        <v>45478</v>
      </c>
      <c r="J64" s="4">
        <v>45281</v>
      </c>
      <c r="K64" s="4">
        <v>45753</v>
      </c>
      <c r="L64" s="4">
        <v>46517</v>
      </c>
      <c r="M64" s="4">
        <v>48586</v>
      </c>
      <c r="N64" s="4">
        <v>49048</v>
      </c>
      <c r="O64" s="4">
        <v>51114</v>
      </c>
      <c r="P64" s="4">
        <v>57255</v>
      </c>
      <c r="Q64" s="4">
        <v>60523</v>
      </c>
      <c r="R64" s="4">
        <v>63694</v>
      </c>
      <c r="S64" s="4">
        <v>65649</v>
      </c>
      <c r="T64" s="4">
        <v>65502</v>
      </c>
      <c r="U64" s="4">
        <v>67178</v>
      </c>
      <c r="V64" s="4">
        <v>69748</v>
      </c>
      <c r="W64" s="4">
        <v>72472</v>
      </c>
      <c r="X64" s="10">
        <v>3.3372315586291723E-2</v>
      </c>
      <c r="Y64" s="8">
        <v>2.6060430437642831E-2</v>
      </c>
      <c r="Z64" s="8">
        <v>2.3104841941356199E-2</v>
      </c>
      <c r="AA64" s="8">
        <v>2.545164262506661E-2</v>
      </c>
    </row>
    <row r="65" spans="2:27" x14ac:dyDescent="0.3">
      <c r="B65" s="12" t="s">
        <v>304</v>
      </c>
      <c r="C65" s="3" t="s">
        <v>642</v>
      </c>
      <c r="D65" s="3" t="s">
        <v>647</v>
      </c>
      <c r="E65" s="3" t="s">
        <v>648</v>
      </c>
      <c r="F65" s="5">
        <v>2.5</v>
      </c>
      <c r="G65" s="4">
        <v>109.78</v>
      </c>
      <c r="H65" s="4">
        <v>113.42</v>
      </c>
      <c r="I65" s="4">
        <v>119.89</v>
      </c>
      <c r="J65" s="4">
        <v>125.56</v>
      </c>
      <c r="K65" s="4">
        <v>130.85</v>
      </c>
      <c r="L65" s="4">
        <v>130.68</v>
      </c>
      <c r="M65" s="4">
        <v>137.21</v>
      </c>
      <c r="N65" s="4">
        <v>142</v>
      </c>
      <c r="O65" s="4">
        <v>144.57</v>
      </c>
      <c r="P65" s="4">
        <v>145.81</v>
      </c>
      <c r="Q65" s="4">
        <v>148.71</v>
      </c>
      <c r="R65" s="4">
        <v>153.87</v>
      </c>
      <c r="S65" s="4">
        <v>159.19</v>
      </c>
      <c r="T65" s="4">
        <v>159.9</v>
      </c>
      <c r="U65" s="4">
        <v>164.06</v>
      </c>
      <c r="V65" s="4">
        <v>169.88</v>
      </c>
      <c r="W65" s="4">
        <v>175.28</v>
      </c>
      <c r="X65" s="10">
        <v>2.319036176306E-2</v>
      </c>
      <c r="Y65" s="8">
        <v>2.4691556613637419E-2</v>
      </c>
      <c r="Z65" s="8">
        <v>2.5132648896423859E-2</v>
      </c>
      <c r="AA65" s="8">
        <v>2.463899055173591E-2</v>
      </c>
    </row>
    <row r="66" spans="2:27" x14ac:dyDescent="0.3">
      <c r="B66" s="12" t="s">
        <v>298</v>
      </c>
      <c r="C66" s="3" t="s">
        <v>642</v>
      </c>
      <c r="D66" s="3" t="s">
        <v>679</v>
      </c>
      <c r="E66" s="3" t="s">
        <v>644</v>
      </c>
      <c r="F66" s="5">
        <v>2.5</v>
      </c>
      <c r="G66" s="4">
        <v>1338</v>
      </c>
      <c r="H66" s="4">
        <v>1410</v>
      </c>
      <c r="I66" s="4">
        <v>1525</v>
      </c>
      <c r="J66" s="4">
        <v>1579</v>
      </c>
      <c r="K66" s="4">
        <v>1566</v>
      </c>
      <c r="L66" s="4">
        <v>1620</v>
      </c>
      <c r="M66" s="4">
        <v>1859</v>
      </c>
      <c r="N66" s="4">
        <v>1945</v>
      </c>
      <c r="O66" s="4">
        <v>1966</v>
      </c>
      <c r="P66" s="4">
        <v>1999</v>
      </c>
      <c r="Q66" s="4">
        <v>1948</v>
      </c>
      <c r="R66" s="4">
        <v>2010</v>
      </c>
      <c r="S66" s="4">
        <v>1975</v>
      </c>
      <c r="T66" s="4">
        <v>1952</v>
      </c>
      <c r="U66" s="4">
        <v>1984</v>
      </c>
      <c r="V66" s="4">
        <v>2247</v>
      </c>
      <c r="W66" s="4">
        <v>2175</v>
      </c>
      <c r="X66" s="10">
        <v>-5.9253656076651007E-3</v>
      </c>
      <c r="Y66" s="8">
        <v>4.5656309448318666E-3</v>
      </c>
      <c r="Z66" s="8">
        <v>2.9920464587804622E-2</v>
      </c>
      <c r="AA66" s="8">
        <v>2.4515812699190901E-2</v>
      </c>
    </row>
    <row r="67" spans="2:27" x14ac:dyDescent="0.3">
      <c r="B67" s="12" t="s">
        <v>172</v>
      </c>
      <c r="C67" s="3" t="s">
        <v>642</v>
      </c>
      <c r="D67" s="3" t="s">
        <v>680</v>
      </c>
      <c r="E67" s="3" t="s">
        <v>648</v>
      </c>
      <c r="F67" s="5">
        <v>2.4</v>
      </c>
      <c r="G67" s="4">
        <v>1043</v>
      </c>
      <c r="H67" s="4">
        <v>1059</v>
      </c>
      <c r="I67" s="4">
        <v>1063</v>
      </c>
      <c r="J67" s="4">
        <v>1090</v>
      </c>
      <c r="K67" s="4">
        <v>1137</v>
      </c>
      <c r="L67" s="4">
        <v>1160</v>
      </c>
      <c r="M67" s="4">
        <v>1187</v>
      </c>
      <c r="N67" s="4">
        <v>1207</v>
      </c>
      <c r="O67" s="4">
        <v>1247</v>
      </c>
      <c r="P67" s="4">
        <v>1316</v>
      </c>
      <c r="Q67" s="4">
        <v>1301</v>
      </c>
      <c r="R67" s="4">
        <v>1351</v>
      </c>
      <c r="S67" s="4">
        <v>1405</v>
      </c>
      <c r="T67" s="4">
        <v>1455</v>
      </c>
      <c r="U67" s="4">
        <v>1458</v>
      </c>
      <c r="V67" s="4">
        <v>1478</v>
      </c>
      <c r="W67" s="4">
        <v>1545</v>
      </c>
      <c r="X67" s="10">
        <v>2.5870091196724451E-2</v>
      </c>
      <c r="Y67" s="8">
        <v>2.848330914368646E-2</v>
      </c>
      <c r="Z67" s="8">
        <v>2.240254013053455E-2</v>
      </c>
      <c r="AA67" s="8">
        <v>2.415458937198078E-2</v>
      </c>
    </row>
    <row r="68" spans="2:27" x14ac:dyDescent="0.3">
      <c r="B68" s="12" t="s">
        <v>497</v>
      </c>
      <c r="C68" s="3" t="s">
        <v>642</v>
      </c>
      <c r="D68" s="3" t="s">
        <v>681</v>
      </c>
      <c r="E68" s="3" t="s">
        <v>648</v>
      </c>
      <c r="F68" s="5">
        <v>2.4</v>
      </c>
      <c r="G68" s="4">
        <v>114.96</v>
      </c>
      <c r="H68" s="4">
        <v>120.43</v>
      </c>
      <c r="I68" s="4">
        <v>124.75</v>
      </c>
      <c r="J68" s="4">
        <v>136.38999999999999</v>
      </c>
      <c r="K68" s="4">
        <v>142.18</v>
      </c>
      <c r="L68" s="4">
        <v>147.63999999999999</v>
      </c>
      <c r="M68" s="4">
        <v>153.69999999999999</v>
      </c>
      <c r="N68" s="4">
        <v>165.54</v>
      </c>
      <c r="O68" s="4">
        <v>168.88</v>
      </c>
      <c r="P68" s="4">
        <v>169.1</v>
      </c>
      <c r="Q68" s="4">
        <v>170.3</v>
      </c>
      <c r="R68" s="4">
        <v>176.1</v>
      </c>
      <c r="S68" s="4">
        <v>179.18</v>
      </c>
      <c r="T68" s="4">
        <v>179.3</v>
      </c>
      <c r="U68" s="4">
        <v>187.1</v>
      </c>
      <c r="V68" s="4">
        <v>194.2</v>
      </c>
      <c r="W68" s="4">
        <v>196.9</v>
      </c>
      <c r="X68" s="10">
        <v>1.468301951977868E-2</v>
      </c>
      <c r="Y68" s="8">
        <v>2.3833844058563258E-2</v>
      </c>
      <c r="Z68" s="8">
        <v>2.5080368030151678E-2</v>
      </c>
      <c r="AA68" s="8">
        <v>2.395306712806522E-2</v>
      </c>
    </row>
    <row r="69" spans="2:27" x14ac:dyDescent="0.3">
      <c r="B69" s="12" t="s">
        <v>218</v>
      </c>
      <c r="C69" s="3" t="s">
        <v>642</v>
      </c>
      <c r="D69" s="3" t="s">
        <v>659</v>
      </c>
      <c r="E69" s="3" t="s">
        <v>646</v>
      </c>
      <c r="F69" s="5">
        <v>2.4</v>
      </c>
      <c r="G69" s="4">
        <v>196.04</v>
      </c>
      <c r="H69" s="4">
        <v>245.97</v>
      </c>
      <c r="I69" s="4">
        <v>228.95</v>
      </c>
      <c r="J69" s="4">
        <v>253.28</v>
      </c>
      <c r="K69" s="4">
        <v>273.01</v>
      </c>
      <c r="L69" s="4">
        <v>339.86</v>
      </c>
      <c r="M69" s="4">
        <v>308.45</v>
      </c>
      <c r="N69" s="4">
        <v>317.58999999999997</v>
      </c>
      <c r="O69" s="4">
        <v>326.36</v>
      </c>
      <c r="P69" s="4">
        <v>401.28</v>
      </c>
      <c r="Q69" s="4">
        <v>357.29</v>
      </c>
      <c r="R69" s="4">
        <v>362.96</v>
      </c>
      <c r="S69" s="4">
        <v>376.98</v>
      </c>
      <c r="T69" s="4">
        <v>454.55</v>
      </c>
      <c r="U69" s="4">
        <v>400.74</v>
      </c>
      <c r="V69" s="4">
        <v>408.17</v>
      </c>
      <c r="W69" s="4">
        <v>416.13</v>
      </c>
      <c r="X69" s="10">
        <v>3.5548644987354112E-2</v>
      </c>
      <c r="Y69" s="8">
        <v>2.800010310739931E-2</v>
      </c>
      <c r="Z69" s="8">
        <v>2.8340740833610271E-2</v>
      </c>
      <c r="AA69" s="8">
        <v>2.3865548267538061E-2</v>
      </c>
    </row>
    <row r="70" spans="2:27" x14ac:dyDescent="0.3">
      <c r="B70" s="12" t="s">
        <v>99</v>
      </c>
      <c r="C70" s="3" t="s">
        <v>642</v>
      </c>
      <c r="D70" s="3" t="s">
        <v>678</v>
      </c>
      <c r="E70" s="3" t="s">
        <v>648</v>
      </c>
      <c r="F70" s="5">
        <v>2.2000000000000002</v>
      </c>
      <c r="G70" s="4">
        <v>1037</v>
      </c>
      <c r="H70" s="4">
        <v>897.79</v>
      </c>
      <c r="I70" s="4">
        <v>978.39</v>
      </c>
      <c r="J70" s="4">
        <v>985.85</v>
      </c>
      <c r="K70" s="4">
        <v>1058</v>
      </c>
      <c r="L70" s="4">
        <v>928.74</v>
      </c>
      <c r="M70" s="4">
        <v>982.12</v>
      </c>
      <c r="N70" s="4">
        <v>942.46</v>
      </c>
      <c r="O70" s="4">
        <v>934.99</v>
      </c>
      <c r="P70" s="4">
        <v>925.95</v>
      </c>
      <c r="Q70" s="4">
        <v>946.75</v>
      </c>
      <c r="R70" s="4">
        <v>954.54</v>
      </c>
      <c r="S70" s="4">
        <v>1045</v>
      </c>
      <c r="T70" s="4">
        <v>883.74</v>
      </c>
      <c r="U70" s="4">
        <v>983.22</v>
      </c>
      <c r="V70" s="4">
        <v>1030</v>
      </c>
      <c r="W70" s="4">
        <v>1130</v>
      </c>
      <c r="X70" s="10">
        <v>-1.0900667314009521E-2</v>
      </c>
      <c r="Y70" s="8">
        <v>9.5221186257028467E-3</v>
      </c>
      <c r="Z70" s="8">
        <v>1.9516358463726791E-2</v>
      </c>
      <c r="AA70" s="8">
        <v>2.156287735035356E-2</v>
      </c>
    </row>
    <row r="71" spans="2:27" x14ac:dyDescent="0.3">
      <c r="B71" s="12" t="s">
        <v>434</v>
      </c>
      <c r="C71" s="3" t="s">
        <v>642</v>
      </c>
      <c r="D71" s="3" t="s">
        <v>647</v>
      </c>
      <c r="E71" s="3" t="s">
        <v>650</v>
      </c>
      <c r="F71" s="5">
        <v>2.2000000000000002</v>
      </c>
      <c r="G71" s="4">
        <v>140.6</v>
      </c>
      <c r="H71" s="4">
        <v>141.72999999999999</v>
      </c>
      <c r="I71" s="4">
        <v>142.24</v>
      </c>
      <c r="J71" s="4">
        <v>147.1</v>
      </c>
      <c r="K71" s="4">
        <v>158.62</v>
      </c>
      <c r="L71" s="4">
        <v>148.63</v>
      </c>
      <c r="M71" s="4">
        <v>154.07</v>
      </c>
      <c r="N71" s="4">
        <v>159.87</v>
      </c>
      <c r="O71" s="4">
        <v>173.87</v>
      </c>
      <c r="P71" s="4">
        <v>171.85</v>
      </c>
      <c r="Q71" s="4">
        <v>175.96</v>
      </c>
      <c r="R71" s="4">
        <v>185.48</v>
      </c>
      <c r="S71" s="4">
        <v>195.41</v>
      </c>
      <c r="T71" s="4">
        <v>188.72</v>
      </c>
      <c r="U71" s="4">
        <v>194.82</v>
      </c>
      <c r="V71" s="4">
        <v>199.83</v>
      </c>
      <c r="W71" s="4">
        <v>212.2</v>
      </c>
      <c r="X71" s="10">
        <v>2.3150816522574221E-2</v>
      </c>
      <c r="Y71" s="8">
        <v>2.5296082192148409E-2</v>
      </c>
      <c r="Z71" s="8">
        <v>1.877215703203694E-2</v>
      </c>
      <c r="AA71" s="8">
        <v>2.1559362079149439E-2</v>
      </c>
    </row>
    <row r="72" spans="2:27" x14ac:dyDescent="0.3">
      <c r="B72" s="12" t="s">
        <v>321</v>
      </c>
      <c r="C72" s="3" t="s">
        <v>642</v>
      </c>
      <c r="D72" s="3" t="s">
        <v>682</v>
      </c>
      <c r="E72" s="3" t="s">
        <v>648</v>
      </c>
      <c r="F72" s="5">
        <v>2.1</v>
      </c>
      <c r="G72" s="4">
        <v>137.06</v>
      </c>
      <c r="H72" s="4">
        <v>142.16</v>
      </c>
      <c r="I72" s="4">
        <v>142.52000000000001</v>
      </c>
      <c r="J72" s="4">
        <v>145.65</v>
      </c>
      <c r="K72" s="4">
        <v>145.04</v>
      </c>
      <c r="L72" s="4">
        <v>151.06</v>
      </c>
      <c r="M72" s="4">
        <v>152.13999999999999</v>
      </c>
      <c r="N72" s="4">
        <v>152.47</v>
      </c>
      <c r="O72" s="4">
        <v>154.44999999999999</v>
      </c>
      <c r="P72" s="4">
        <v>161.30000000000001</v>
      </c>
      <c r="Q72" s="4">
        <v>161.52000000000001</v>
      </c>
      <c r="R72" s="4">
        <v>165.53</v>
      </c>
      <c r="S72" s="4">
        <v>173.05</v>
      </c>
      <c r="T72" s="4">
        <v>178.31</v>
      </c>
      <c r="U72" s="4">
        <v>177.75</v>
      </c>
      <c r="V72" s="4">
        <v>182.67</v>
      </c>
      <c r="W72" s="4">
        <v>187.86</v>
      </c>
      <c r="X72" s="10">
        <v>2.571817357121264E-2</v>
      </c>
      <c r="Y72" s="8">
        <v>2.3923586032045471E-2</v>
      </c>
      <c r="Z72" s="8">
        <v>2.467465161810423E-2</v>
      </c>
      <c r="AA72" s="8">
        <v>2.0806990924161939E-2</v>
      </c>
    </row>
    <row r="73" spans="2:27" x14ac:dyDescent="0.3">
      <c r="B73" s="12" t="s">
        <v>128</v>
      </c>
      <c r="C73" s="3" t="s">
        <v>642</v>
      </c>
      <c r="D73" s="3" t="s">
        <v>659</v>
      </c>
      <c r="E73" s="3" t="s">
        <v>648</v>
      </c>
      <c r="F73" s="5">
        <v>2</v>
      </c>
      <c r="G73" s="4">
        <v>1294</v>
      </c>
      <c r="H73" s="4">
        <v>1295</v>
      </c>
      <c r="I73" s="4">
        <v>1329</v>
      </c>
      <c r="J73" s="4">
        <v>1321</v>
      </c>
      <c r="K73" s="4">
        <v>1338</v>
      </c>
      <c r="L73" s="4">
        <v>1363</v>
      </c>
      <c r="M73" s="4">
        <v>1363</v>
      </c>
      <c r="N73" s="4">
        <v>1366</v>
      </c>
      <c r="O73" s="4">
        <v>1412</v>
      </c>
      <c r="P73" s="4">
        <v>1435</v>
      </c>
      <c r="Q73" s="4">
        <v>1452</v>
      </c>
      <c r="R73" s="4">
        <v>1466</v>
      </c>
      <c r="S73" s="4">
        <v>1530</v>
      </c>
      <c r="T73" s="4">
        <v>1514</v>
      </c>
      <c r="U73" s="4">
        <v>1537</v>
      </c>
      <c r="V73" s="4">
        <v>1568</v>
      </c>
      <c r="W73" s="4">
        <v>1654</v>
      </c>
      <c r="X73" s="10">
        <v>1.342852286248508E-2</v>
      </c>
      <c r="Y73" s="8">
        <v>1.4256960751425799E-2</v>
      </c>
      <c r="Z73" s="8">
        <v>1.6867868364478289E-2</v>
      </c>
      <c r="AA73" s="8">
        <v>2.0165880630996998E-2</v>
      </c>
    </row>
    <row r="74" spans="2:27" x14ac:dyDescent="0.3">
      <c r="B74" s="12" t="s">
        <v>28</v>
      </c>
      <c r="C74" s="3" t="s">
        <v>642</v>
      </c>
      <c r="D74" s="3" t="s">
        <v>683</v>
      </c>
      <c r="E74" s="3" t="s">
        <v>648</v>
      </c>
      <c r="F74" s="5">
        <v>1.9</v>
      </c>
      <c r="G74" s="4">
        <v>1840</v>
      </c>
      <c r="H74" s="4">
        <v>1899</v>
      </c>
      <c r="I74" s="4">
        <v>1814</v>
      </c>
      <c r="J74" s="4">
        <v>1811</v>
      </c>
      <c r="K74" s="4">
        <v>1768</v>
      </c>
      <c r="L74" s="4">
        <v>1896</v>
      </c>
      <c r="M74" s="4">
        <v>1888</v>
      </c>
      <c r="N74" s="4">
        <v>2003</v>
      </c>
      <c r="O74" s="4">
        <v>2201</v>
      </c>
      <c r="P74" s="4">
        <v>2290</v>
      </c>
      <c r="Q74" s="4">
        <v>2317</v>
      </c>
      <c r="R74" s="4">
        <v>2349</v>
      </c>
      <c r="S74" s="4">
        <v>2323</v>
      </c>
      <c r="T74" s="4">
        <v>2473</v>
      </c>
      <c r="U74" s="4">
        <v>2543</v>
      </c>
      <c r="V74" s="4">
        <v>2411</v>
      </c>
      <c r="W74" s="4">
        <v>2504</v>
      </c>
      <c r="X74" s="10">
        <v>1.9721952796637469E-2</v>
      </c>
      <c r="Y74" s="8">
        <v>2.388501373916729E-2</v>
      </c>
      <c r="Z74" s="8">
        <v>6.3996696944674802E-3</v>
      </c>
      <c r="AA74" s="8">
        <v>1.8564102564102569E-2</v>
      </c>
    </row>
    <row r="75" spans="2:27" x14ac:dyDescent="0.3">
      <c r="B75" s="12" t="s">
        <v>116</v>
      </c>
      <c r="C75" s="3" t="s">
        <v>642</v>
      </c>
      <c r="D75" s="3" t="s">
        <v>647</v>
      </c>
      <c r="E75" s="3" t="s">
        <v>648</v>
      </c>
      <c r="F75" s="5">
        <v>1.8</v>
      </c>
      <c r="G75" s="4">
        <v>340.3</v>
      </c>
      <c r="H75" s="4">
        <v>346.9</v>
      </c>
      <c r="I75" s="4">
        <v>351.9</v>
      </c>
      <c r="J75" s="4">
        <v>356.9</v>
      </c>
      <c r="K75" s="4">
        <v>369.2</v>
      </c>
      <c r="L75" s="4">
        <v>364.4</v>
      </c>
      <c r="M75" s="4">
        <v>372</v>
      </c>
      <c r="N75" s="4">
        <v>376.3</v>
      </c>
      <c r="O75" s="4">
        <v>380.4</v>
      </c>
      <c r="P75" s="4">
        <v>384.3</v>
      </c>
      <c r="Q75" s="4">
        <v>387.1</v>
      </c>
      <c r="R75" s="4">
        <v>390.6</v>
      </c>
      <c r="S75" s="4">
        <v>395.4</v>
      </c>
      <c r="T75" s="4">
        <v>402.3</v>
      </c>
      <c r="U75" s="4">
        <v>409.9</v>
      </c>
      <c r="V75" s="4">
        <v>419.1</v>
      </c>
      <c r="W75" s="4">
        <v>425.3</v>
      </c>
      <c r="X75" s="10">
        <v>1.155772441248226E-2</v>
      </c>
      <c r="Y75" s="8">
        <v>1.447251491684654E-2</v>
      </c>
      <c r="Z75" s="8">
        <v>1.7832561631835771E-2</v>
      </c>
      <c r="AA75" s="8">
        <v>1.8380770885842331E-2</v>
      </c>
    </row>
    <row r="76" spans="2:27" x14ac:dyDescent="0.3">
      <c r="B76" s="12" t="s">
        <v>360</v>
      </c>
      <c r="C76" s="3" t="s">
        <v>642</v>
      </c>
      <c r="D76" s="3" t="s">
        <v>672</v>
      </c>
      <c r="E76" s="3" t="s">
        <v>648</v>
      </c>
      <c r="F76" s="5">
        <v>1.8</v>
      </c>
      <c r="G76" s="4">
        <v>186.25</v>
      </c>
      <c r="H76" s="4">
        <v>196.37</v>
      </c>
      <c r="I76" s="4">
        <v>186.12</v>
      </c>
      <c r="J76" s="4">
        <v>182.81</v>
      </c>
      <c r="K76" s="4">
        <v>175.48</v>
      </c>
      <c r="L76" s="4">
        <v>167.44</v>
      </c>
      <c r="M76" s="4">
        <v>169.31</v>
      </c>
      <c r="N76" s="4">
        <v>168.49</v>
      </c>
      <c r="O76" s="4">
        <v>179.49</v>
      </c>
      <c r="P76" s="4">
        <v>193.34</v>
      </c>
      <c r="Q76" s="4">
        <v>187.37</v>
      </c>
      <c r="R76" s="4">
        <v>189.31</v>
      </c>
      <c r="S76" s="4">
        <v>183.65</v>
      </c>
      <c r="T76" s="4">
        <v>188.23</v>
      </c>
      <c r="U76" s="4">
        <v>190.27</v>
      </c>
      <c r="V76" s="4">
        <v>190.61</v>
      </c>
      <c r="W76" s="4">
        <v>197.36</v>
      </c>
      <c r="X76" s="10">
        <v>-6.7801557710935878E-3</v>
      </c>
      <c r="Y76" s="8">
        <v>3.8741049481672012E-3</v>
      </c>
      <c r="Z76" s="8">
        <v>1.7299656668352541E-3</v>
      </c>
      <c r="AA76" s="8">
        <v>1.821297624740947E-2</v>
      </c>
    </row>
    <row r="77" spans="2:27" x14ac:dyDescent="0.3">
      <c r="B77" s="12" t="s">
        <v>79</v>
      </c>
      <c r="C77" s="3" t="s">
        <v>642</v>
      </c>
      <c r="D77" s="3" t="s">
        <v>684</v>
      </c>
      <c r="E77" s="3" t="s">
        <v>648</v>
      </c>
      <c r="F77" s="5">
        <v>1.8</v>
      </c>
      <c r="G77" s="4">
        <v>2326</v>
      </c>
      <c r="H77" s="4">
        <v>2666</v>
      </c>
      <c r="I77" s="4">
        <v>2373</v>
      </c>
      <c r="J77" s="4">
        <v>2728</v>
      </c>
      <c r="K77" s="4">
        <v>2652</v>
      </c>
      <c r="L77" s="4">
        <v>2988</v>
      </c>
      <c r="M77" s="4">
        <v>2490</v>
      </c>
      <c r="N77" s="4">
        <v>3030</v>
      </c>
      <c r="O77" s="4">
        <v>2657</v>
      </c>
      <c r="P77" s="4">
        <v>3253</v>
      </c>
      <c r="Q77" s="4">
        <v>2074</v>
      </c>
      <c r="R77" s="4">
        <v>2987</v>
      </c>
      <c r="S77" s="4">
        <v>2888</v>
      </c>
      <c r="T77" s="4">
        <v>2805</v>
      </c>
      <c r="U77" s="4">
        <v>2615</v>
      </c>
      <c r="V77" s="4">
        <v>3181</v>
      </c>
      <c r="W77" s="4">
        <v>3091</v>
      </c>
      <c r="X77" s="10">
        <v>-3.9992858418139599E-2</v>
      </c>
      <c r="Y77" s="8">
        <v>5.0306862562767403E-2</v>
      </c>
      <c r="Z77" s="8">
        <v>1.717574147853029E-2</v>
      </c>
      <c r="AA77" s="8">
        <v>1.766907476716861E-2</v>
      </c>
    </row>
    <row r="78" spans="2:27" x14ac:dyDescent="0.3">
      <c r="B78" s="12" t="s">
        <v>440</v>
      </c>
      <c r="C78" s="3" t="s">
        <v>642</v>
      </c>
      <c r="D78" s="3" t="s">
        <v>719</v>
      </c>
      <c r="E78" s="3" t="s">
        <v>717</v>
      </c>
      <c r="F78" s="5">
        <v>1.8</v>
      </c>
      <c r="G78" s="4">
        <v>233</v>
      </c>
      <c r="H78" s="4">
        <v>234.3</v>
      </c>
      <c r="I78" s="4">
        <v>201.4</v>
      </c>
      <c r="J78" s="4">
        <v>188</v>
      </c>
      <c r="K78" s="4">
        <v>178.2</v>
      </c>
      <c r="L78" s="4">
        <v>197.1</v>
      </c>
      <c r="M78" s="4">
        <v>144.30000000000001</v>
      </c>
      <c r="N78" s="4">
        <v>0</v>
      </c>
      <c r="O78" s="4">
        <v>108.1</v>
      </c>
      <c r="P78" s="4">
        <v>0</v>
      </c>
      <c r="Q78" s="4">
        <v>133.30000000000001</v>
      </c>
      <c r="R78" s="6">
        <v>135.19999999999999</v>
      </c>
      <c r="S78" s="4">
        <v>142.5</v>
      </c>
      <c r="T78" s="6">
        <v>142.5</v>
      </c>
      <c r="U78" s="4">
        <v>132.19999999999999</v>
      </c>
      <c r="V78" s="4">
        <v>145.9</v>
      </c>
      <c r="W78" s="4">
        <v>152.9</v>
      </c>
      <c r="X78" s="7">
        <v>0.34671532846715342</v>
      </c>
      <c r="Y78" s="8">
        <v>-1.9873532068654942E-3</v>
      </c>
      <c r="Z78" s="8">
        <v>1.9370021723388971E-2</v>
      </c>
      <c r="AA78" s="8">
        <v>1.8469188421239568E-2</v>
      </c>
    </row>
    <row r="79" spans="2:27" x14ac:dyDescent="0.3">
      <c r="B79" s="12" t="s">
        <v>467</v>
      </c>
      <c r="C79" s="3" t="s">
        <v>642</v>
      </c>
      <c r="D79" s="3" t="s">
        <v>652</v>
      </c>
      <c r="E79" s="3" t="s">
        <v>644</v>
      </c>
      <c r="F79" s="5">
        <v>1.6</v>
      </c>
      <c r="G79" s="4">
        <v>846.3</v>
      </c>
      <c r="H79" s="4">
        <v>685.4</v>
      </c>
      <c r="I79" s="4">
        <v>728</v>
      </c>
      <c r="J79" s="4">
        <v>790.4</v>
      </c>
      <c r="K79" s="4">
        <v>765.1</v>
      </c>
      <c r="L79" s="4">
        <v>684.1</v>
      </c>
      <c r="M79" s="4">
        <v>699.4</v>
      </c>
      <c r="N79" s="4">
        <v>811.1</v>
      </c>
      <c r="O79" s="4">
        <v>716.6</v>
      </c>
      <c r="P79" s="4">
        <v>663.3</v>
      </c>
      <c r="Q79" s="4">
        <v>701.4</v>
      </c>
      <c r="R79" s="4">
        <v>805.7</v>
      </c>
      <c r="S79" s="4">
        <v>731.7</v>
      </c>
      <c r="T79" s="4">
        <v>662.9</v>
      </c>
      <c r="U79" s="4">
        <v>725.3</v>
      </c>
      <c r="V79" s="4">
        <v>832.8</v>
      </c>
      <c r="W79" s="4">
        <v>778.9</v>
      </c>
      <c r="X79" s="10">
        <v>-1.3783122566424219E-4</v>
      </c>
      <c r="Y79" s="8">
        <v>8.2365509873523202E-3</v>
      </c>
      <c r="Z79" s="8">
        <v>9.2630571506699955E-3</v>
      </c>
      <c r="AA79" s="8">
        <v>1.5985369322992549E-2</v>
      </c>
    </row>
    <row r="80" spans="2:27" x14ac:dyDescent="0.3">
      <c r="B80" s="12" t="s">
        <v>69</v>
      </c>
      <c r="C80" s="3" t="s">
        <v>642</v>
      </c>
      <c r="D80" s="3" t="s">
        <v>676</v>
      </c>
      <c r="E80" s="3" t="s">
        <v>646</v>
      </c>
      <c r="F80" s="5">
        <v>1.6</v>
      </c>
      <c r="G80" s="4">
        <v>5539</v>
      </c>
      <c r="H80" s="4">
        <v>4245</v>
      </c>
      <c r="I80" s="4">
        <v>3561</v>
      </c>
      <c r="J80" s="4">
        <v>3930</v>
      </c>
      <c r="K80" s="4">
        <v>4620</v>
      </c>
      <c r="L80" s="4">
        <v>3751</v>
      </c>
      <c r="M80" s="4">
        <v>3609</v>
      </c>
      <c r="N80" s="4">
        <v>3518</v>
      </c>
      <c r="O80" s="4">
        <v>4279</v>
      </c>
      <c r="P80" s="4">
        <v>3940</v>
      </c>
      <c r="Q80" s="4">
        <v>3871</v>
      </c>
      <c r="R80" s="4">
        <v>3361</v>
      </c>
      <c r="S80" s="4">
        <v>4004</v>
      </c>
      <c r="T80" s="4">
        <v>3550</v>
      </c>
      <c r="U80" s="4">
        <v>3411</v>
      </c>
      <c r="V80" s="4">
        <v>3481</v>
      </c>
      <c r="W80" s="4">
        <v>4229</v>
      </c>
      <c r="X80" s="10">
        <v>-2.5698471270427011E-2</v>
      </c>
      <c r="Y80" s="8">
        <v>-3.1110509941836839E-2</v>
      </c>
      <c r="Z80" s="8">
        <v>8.3763786123132178E-3</v>
      </c>
      <c r="AA80" s="8">
        <v>1.5575245742766249E-2</v>
      </c>
    </row>
    <row r="81" spans="2:27" x14ac:dyDescent="0.3">
      <c r="B81" s="12" t="s">
        <v>146</v>
      </c>
      <c r="C81" s="3" t="s">
        <v>642</v>
      </c>
      <c r="D81" s="3" t="s">
        <v>663</v>
      </c>
      <c r="E81" s="3" t="s">
        <v>646</v>
      </c>
      <c r="F81" s="5">
        <v>1.5</v>
      </c>
      <c r="G81" s="4">
        <v>2717</v>
      </c>
      <c r="H81" s="4">
        <v>2492</v>
      </c>
      <c r="I81" s="4">
        <v>2674</v>
      </c>
      <c r="J81" s="4">
        <v>2478</v>
      </c>
      <c r="K81" s="4">
        <v>2521</v>
      </c>
      <c r="L81" s="4">
        <v>2447</v>
      </c>
      <c r="M81" s="4">
        <v>2433</v>
      </c>
      <c r="N81" s="4">
        <v>2031</v>
      </c>
      <c r="O81" s="4">
        <v>2135</v>
      </c>
      <c r="P81" s="4">
        <v>1994</v>
      </c>
      <c r="Q81" s="4">
        <v>2092</v>
      </c>
      <c r="R81" s="4">
        <v>2096</v>
      </c>
      <c r="S81" s="4">
        <v>2238</v>
      </c>
      <c r="T81" s="4">
        <v>2009</v>
      </c>
      <c r="U81" s="4">
        <v>2109</v>
      </c>
      <c r="V81" s="4">
        <v>2144</v>
      </c>
      <c r="W81" s="4">
        <v>2362</v>
      </c>
      <c r="X81" s="10">
        <v>1.7814726840854609E-3</v>
      </c>
      <c r="Y81" s="8">
        <v>2.0154119739181908E-3</v>
      </c>
      <c r="Z81" s="8">
        <v>5.6791292001892044E-3</v>
      </c>
      <c r="AA81" s="8">
        <v>1.458823529411757E-2</v>
      </c>
    </row>
    <row r="82" spans="2:27" x14ac:dyDescent="0.3">
      <c r="B82" s="12" t="s">
        <v>340</v>
      </c>
      <c r="C82" s="3" t="s">
        <v>642</v>
      </c>
      <c r="D82" s="3" t="s">
        <v>708</v>
      </c>
      <c r="E82" s="3" t="s">
        <v>717</v>
      </c>
      <c r="F82" s="5">
        <v>1.5</v>
      </c>
      <c r="G82" s="4">
        <v>1060</v>
      </c>
      <c r="H82" s="4">
        <v>1147</v>
      </c>
      <c r="I82" s="4">
        <v>1342</v>
      </c>
      <c r="J82" s="4">
        <v>1476</v>
      </c>
      <c r="K82" s="4">
        <v>1112</v>
      </c>
      <c r="L82" s="4">
        <v>951.92</v>
      </c>
      <c r="M82" s="4">
        <v>900.1</v>
      </c>
      <c r="N82" s="4">
        <v>920.69</v>
      </c>
      <c r="O82" s="4">
        <v>866.07</v>
      </c>
      <c r="P82" s="4">
        <v>781.19</v>
      </c>
      <c r="Q82" s="4">
        <v>933.49</v>
      </c>
      <c r="R82" s="4">
        <v>1017</v>
      </c>
      <c r="S82" s="4">
        <v>919.44</v>
      </c>
      <c r="T82" s="4">
        <v>846.12</v>
      </c>
      <c r="U82" s="4">
        <v>1003</v>
      </c>
      <c r="V82" s="4">
        <v>1048</v>
      </c>
      <c r="W82" s="4">
        <v>975.63</v>
      </c>
      <c r="X82" s="10">
        <v>1.77835842152545E-2</v>
      </c>
      <c r="Y82" s="8">
        <v>1.8705345730009041E-2</v>
      </c>
      <c r="Z82" s="8">
        <v>8.189012986189681E-3</v>
      </c>
      <c r="AA82" s="8">
        <v>1.472268220596562E-2</v>
      </c>
    </row>
    <row r="83" spans="2:27" x14ac:dyDescent="0.3">
      <c r="B83" s="12" t="s">
        <v>14</v>
      </c>
      <c r="C83" s="3" t="s">
        <v>642</v>
      </c>
      <c r="D83" s="3" t="s">
        <v>685</v>
      </c>
      <c r="E83" s="3" t="s">
        <v>648</v>
      </c>
      <c r="F83" s="5">
        <v>1.4</v>
      </c>
      <c r="G83" s="4">
        <v>8298</v>
      </c>
      <c r="H83" s="4">
        <v>8211</v>
      </c>
      <c r="I83" s="4">
        <v>8457</v>
      </c>
      <c r="J83" s="4">
        <v>8797</v>
      </c>
      <c r="K83" s="4">
        <v>7899</v>
      </c>
      <c r="L83" s="4">
        <v>8193</v>
      </c>
      <c r="M83" s="4">
        <v>8204</v>
      </c>
      <c r="N83" s="4">
        <v>8155</v>
      </c>
      <c r="O83" s="4">
        <v>8302</v>
      </c>
      <c r="P83" s="4">
        <v>8100</v>
      </c>
      <c r="Q83" s="4">
        <v>8267</v>
      </c>
      <c r="R83" s="4">
        <v>8356</v>
      </c>
      <c r="S83" s="4">
        <v>8282</v>
      </c>
      <c r="T83" s="4">
        <v>8112</v>
      </c>
      <c r="U83" s="4">
        <v>8495</v>
      </c>
      <c r="V83" s="4">
        <v>8615</v>
      </c>
      <c r="W83" s="4">
        <v>8764</v>
      </c>
      <c r="X83" s="10">
        <v>3.635812755642398E-4</v>
      </c>
      <c r="Y83" s="8">
        <v>6.9055335130387974E-3</v>
      </c>
      <c r="Z83" s="8">
        <v>7.7906452098059908E-3</v>
      </c>
      <c r="AA83" s="8">
        <v>1.4386341929321979E-2</v>
      </c>
    </row>
    <row r="84" spans="2:27" x14ac:dyDescent="0.3">
      <c r="B84" s="12" t="s">
        <v>241</v>
      </c>
      <c r="C84" s="3" t="s">
        <v>642</v>
      </c>
      <c r="D84" s="3" t="s">
        <v>666</v>
      </c>
      <c r="E84" s="3" t="s">
        <v>648</v>
      </c>
      <c r="F84" s="5">
        <v>1.4</v>
      </c>
      <c r="G84" s="4">
        <v>1072</v>
      </c>
      <c r="H84" s="4">
        <v>1068</v>
      </c>
      <c r="I84" s="4">
        <v>1089</v>
      </c>
      <c r="J84" s="4">
        <v>1111</v>
      </c>
      <c r="K84" s="4">
        <v>1103</v>
      </c>
      <c r="L84" s="4">
        <v>1089</v>
      </c>
      <c r="M84" s="4">
        <v>1106</v>
      </c>
      <c r="N84" s="4">
        <v>1136</v>
      </c>
      <c r="O84" s="4">
        <v>1146</v>
      </c>
      <c r="P84" s="4">
        <v>1131</v>
      </c>
      <c r="Q84" s="4">
        <v>1176</v>
      </c>
      <c r="R84" s="4">
        <v>1211</v>
      </c>
      <c r="S84" s="4">
        <v>1249</v>
      </c>
      <c r="T84" s="4">
        <v>1215</v>
      </c>
      <c r="U84" s="4">
        <v>1254</v>
      </c>
      <c r="V84" s="4">
        <v>1291</v>
      </c>
      <c r="W84" s="4">
        <v>1319</v>
      </c>
      <c r="X84" s="10">
        <v>1.7621145374449251E-2</v>
      </c>
      <c r="Y84" s="8">
        <v>1.6079158936301852E-2</v>
      </c>
      <c r="Z84" s="8">
        <v>1.6230472712517759E-2</v>
      </c>
      <c r="AA84" s="8">
        <v>1.397484527849868E-2</v>
      </c>
    </row>
    <row r="85" spans="2:27" x14ac:dyDescent="0.3">
      <c r="B85" s="12" t="s">
        <v>54</v>
      </c>
      <c r="C85" s="3" t="s">
        <v>642</v>
      </c>
      <c r="D85" s="3" t="s">
        <v>686</v>
      </c>
      <c r="E85" s="3" t="s">
        <v>648</v>
      </c>
      <c r="F85" s="5">
        <v>1.4</v>
      </c>
      <c r="G85" s="4">
        <v>0</v>
      </c>
      <c r="H85" s="4">
        <v>1674</v>
      </c>
      <c r="I85" s="4">
        <v>1614</v>
      </c>
      <c r="J85" s="4">
        <v>1574</v>
      </c>
      <c r="K85" s="6">
        <v>1765</v>
      </c>
      <c r="L85" s="4">
        <v>1738</v>
      </c>
      <c r="M85" s="4">
        <v>1647</v>
      </c>
      <c r="N85" s="4">
        <v>1594</v>
      </c>
      <c r="O85" s="4">
        <v>1815</v>
      </c>
      <c r="P85" s="4">
        <v>1885</v>
      </c>
      <c r="Q85" s="4">
        <v>1740</v>
      </c>
      <c r="R85" s="4">
        <v>1724</v>
      </c>
      <c r="S85" s="4">
        <v>1909</v>
      </c>
      <c r="T85" s="4">
        <v>1900</v>
      </c>
      <c r="U85" s="4">
        <v>1785</v>
      </c>
      <c r="V85" s="4">
        <v>1782</v>
      </c>
      <c r="W85" s="4">
        <v>2009</v>
      </c>
      <c r="X85" s="10">
        <v>2.066685037200422E-3</v>
      </c>
      <c r="Y85" s="8">
        <v>6.1872679774508388E-3</v>
      </c>
      <c r="Z85" s="8">
        <v>7.9256627493851095E-3</v>
      </c>
      <c r="AA85" s="8">
        <v>1.3557483731019501E-2</v>
      </c>
    </row>
    <row r="86" spans="2:27" x14ac:dyDescent="0.3">
      <c r="B86" s="12" t="s">
        <v>209</v>
      </c>
      <c r="C86" s="3" t="s">
        <v>642</v>
      </c>
      <c r="D86" s="3" t="s">
        <v>670</v>
      </c>
      <c r="E86" s="3" t="s">
        <v>717</v>
      </c>
      <c r="F86" s="5">
        <v>1.4</v>
      </c>
      <c r="G86" s="4">
        <v>825.44</v>
      </c>
      <c r="H86" s="4">
        <v>813.99</v>
      </c>
      <c r="I86" s="4">
        <v>844.93</v>
      </c>
      <c r="J86" s="4">
        <v>844.54</v>
      </c>
      <c r="K86" s="4">
        <v>836.86</v>
      </c>
      <c r="L86" s="4">
        <v>795.91</v>
      </c>
      <c r="M86" s="4">
        <v>860.07</v>
      </c>
      <c r="N86" s="4">
        <v>895.91</v>
      </c>
      <c r="O86" s="4">
        <v>893</v>
      </c>
      <c r="P86" s="4">
        <v>838.48</v>
      </c>
      <c r="Q86" s="4">
        <v>915.45</v>
      </c>
      <c r="R86" s="4">
        <v>910.06</v>
      </c>
      <c r="S86" s="4">
        <v>909.29</v>
      </c>
      <c r="T86" s="4">
        <v>848.09</v>
      </c>
      <c r="U86" s="4">
        <v>887.31</v>
      </c>
      <c r="V86" s="4">
        <v>966.01</v>
      </c>
      <c r="W86" s="4">
        <v>961.13</v>
      </c>
      <c r="X86" s="10">
        <v>2.6894058120270352E-3</v>
      </c>
      <c r="Y86" s="8">
        <v>-7.8539949593763314E-3</v>
      </c>
      <c r="Z86" s="8">
        <v>1.5739503481257518E-2</v>
      </c>
      <c r="AA86" s="8">
        <v>1.435732683413193E-2</v>
      </c>
    </row>
    <row r="87" spans="2:27" x14ac:dyDescent="0.3">
      <c r="B87" s="12" t="s">
        <v>144</v>
      </c>
      <c r="C87" s="3" t="s">
        <v>642</v>
      </c>
      <c r="D87" s="3" t="s">
        <v>678</v>
      </c>
      <c r="E87" s="3" t="s">
        <v>648</v>
      </c>
      <c r="F87" s="5">
        <v>1.3</v>
      </c>
      <c r="G87" s="4">
        <v>1199</v>
      </c>
      <c r="H87" s="4">
        <v>1223</v>
      </c>
      <c r="I87" s="4">
        <v>1162</v>
      </c>
      <c r="J87" s="4">
        <v>1115</v>
      </c>
      <c r="K87" s="4">
        <v>1083</v>
      </c>
      <c r="L87" s="4">
        <v>1087</v>
      </c>
      <c r="M87" s="4">
        <v>1176</v>
      </c>
      <c r="N87" s="4">
        <v>1119</v>
      </c>
      <c r="O87" s="4">
        <v>1122</v>
      </c>
      <c r="P87" s="4">
        <v>1076</v>
      </c>
      <c r="Q87" s="4">
        <v>1112</v>
      </c>
      <c r="R87" s="4">
        <v>1080</v>
      </c>
      <c r="S87" s="4">
        <v>1104</v>
      </c>
      <c r="T87" s="4">
        <v>1041</v>
      </c>
      <c r="U87" s="4">
        <v>1059</v>
      </c>
      <c r="V87" s="4">
        <v>1084</v>
      </c>
      <c r="W87" s="4">
        <v>1159</v>
      </c>
      <c r="X87" s="10">
        <v>-8.0054894784995501E-3</v>
      </c>
      <c r="Y87" s="8">
        <v>-1.2220428867880989E-2</v>
      </c>
      <c r="Z87" s="8">
        <v>9.3370681605975392E-4</v>
      </c>
      <c r="AA87" s="8">
        <v>1.282649253731338E-2</v>
      </c>
    </row>
    <row r="88" spans="2:27" x14ac:dyDescent="0.3">
      <c r="B88" s="12" t="s">
        <v>170</v>
      </c>
      <c r="C88" s="3" t="s">
        <v>642</v>
      </c>
      <c r="D88" s="3" t="s">
        <v>682</v>
      </c>
      <c r="E88" s="3" t="s">
        <v>648</v>
      </c>
      <c r="F88" s="5">
        <v>1.3</v>
      </c>
      <c r="G88" s="4">
        <v>308.29000000000002</v>
      </c>
      <c r="H88" s="4">
        <v>316.24</v>
      </c>
      <c r="I88" s="4">
        <v>325.93</v>
      </c>
      <c r="J88" s="4">
        <v>315.2</v>
      </c>
      <c r="K88" s="4">
        <v>313.74</v>
      </c>
      <c r="L88" s="4">
        <v>329.89</v>
      </c>
      <c r="M88" s="4">
        <v>326.12</v>
      </c>
      <c r="N88" s="4">
        <v>343.16</v>
      </c>
      <c r="O88" s="4">
        <v>370.68</v>
      </c>
      <c r="P88" s="4">
        <v>375.81</v>
      </c>
      <c r="Q88" s="4">
        <v>369.56</v>
      </c>
      <c r="R88" s="4">
        <v>373.75</v>
      </c>
      <c r="S88" s="4">
        <v>384.16</v>
      </c>
      <c r="T88" s="4">
        <v>395.41</v>
      </c>
      <c r="U88" s="4">
        <v>394.61</v>
      </c>
      <c r="V88" s="4">
        <v>402.69</v>
      </c>
      <c r="W88" s="4">
        <v>404.19</v>
      </c>
      <c r="X88" s="10">
        <v>1.3038156564312731E-2</v>
      </c>
      <c r="Y88" s="8">
        <v>1.6449096448833741E-2</v>
      </c>
      <c r="Z88" s="8">
        <v>1.8695935862732771E-2</v>
      </c>
      <c r="AA88" s="8">
        <v>1.270237876299252E-2</v>
      </c>
    </row>
    <row r="89" spans="2:27" x14ac:dyDescent="0.3">
      <c r="B89" s="12" t="s">
        <v>32</v>
      </c>
      <c r="C89" s="3" t="s">
        <v>642</v>
      </c>
      <c r="D89" s="3" t="s">
        <v>687</v>
      </c>
      <c r="E89" s="3" t="s">
        <v>650</v>
      </c>
      <c r="F89" s="5">
        <v>1.1000000000000001</v>
      </c>
      <c r="G89" s="4">
        <v>8518</v>
      </c>
      <c r="H89" s="4">
        <v>8651</v>
      </c>
      <c r="I89" s="4">
        <v>8751</v>
      </c>
      <c r="J89" s="4">
        <v>9426</v>
      </c>
      <c r="K89" s="4">
        <v>9465</v>
      </c>
      <c r="L89" s="4">
        <v>10203</v>
      </c>
      <c r="M89" s="4">
        <v>9343</v>
      </c>
      <c r="N89" s="4">
        <v>9796</v>
      </c>
      <c r="O89" s="4">
        <v>9694</v>
      </c>
      <c r="P89" s="4">
        <v>9859</v>
      </c>
      <c r="Q89" s="4">
        <v>9914</v>
      </c>
      <c r="R89" s="4">
        <v>10210</v>
      </c>
      <c r="S89" s="4">
        <v>10183</v>
      </c>
      <c r="T89" s="4">
        <v>10304</v>
      </c>
      <c r="U89" s="4">
        <v>10436</v>
      </c>
      <c r="V89" s="4">
        <v>10728</v>
      </c>
      <c r="W89" s="4">
        <v>10649</v>
      </c>
      <c r="X89" s="10">
        <v>1.1079022058457341E-2</v>
      </c>
      <c r="Y89" s="8">
        <v>1.285366033833202E-2</v>
      </c>
      <c r="Z89" s="8">
        <v>1.2593294921352751E-2</v>
      </c>
      <c r="AA89" s="8">
        <v>1.1188206765743841E-2</v>
      </c>
    </row>
    <row r="90" spans="2:27" x14ac:dyDescent="0.3">
      <c r="B90" s="12" t="s">
        <v>150</v>
      </c>
      <c r="C90" s="3" t="s">
        <v>642</v>
      </c>
      <c r="D90" s="3" t="s">
        <v>688</v>
      </c>
      <c r="E90" s="3" t="s">
        <v>648</v>
      </c>
      <c r="F90" s="5">
        <v>1.1000000000000001</v>
      </c>
      <c r="G90" s="4">
        <v>-2243</v>
      </c>
      <c r="H90" s="4">
        <v>1894</v>
      </c>
      <c r="I90" s="4">
        <v>2047</v>
      </c>
      <c r="J90" s="4">
        <v>1946</v>
      </c>
      <c r="K90" s="6">
        <v>1831</v>
      </c>
      <c r="L90" s="4">
        <v>1907</v>
      </c>
      <c r="M90" s="4">
        <v>1917</v>
      </c>
      <c r="N90" s="4">
        <v>1980</v>
      </c>
      <c r="O90" s="4">
        <v>1940</v>
      </c>
      <c r="P90" s="4">
        <v>2018</v>
      </c>
      <c r="Q90" s="4">
        <v>2079</v>
      </c>
      <c r="R90" s="4">
        <v>2053</v>
      </c>
      <c r="S90" s="4">
        <v>1922</v>
      </c>
      <c r="T90" s="4">
        <v>1954</v>
      </c>
      <c r="U90" s="4">
        <v>2080</v>
      </c>
      <c r="V90" s="4">
        <v>2111</v>
      </c>
      <c r="W90" s="4">
        <v>2011</v>
      </c>
      <c r="X90" s="10">
        <v>-7.928642220019877E-3</v>
      </c>
      <c r="Y90" s="8">
        <v>1.248751248750235E-4</v>
      </c>
      <c r="Z90" s="8">
        <v>7.2418529154700817E-3</v>
      </c>
      <c r="AA90" s="8">
        <v>1.1032601958596681E-2</v>
      </c>
    </row>
    <row r="91" spans="2:27" x14ac:dyDescent="0.3">
      <c r="B91" s="12" t="s">
        <v>332</v>
      </c>
      <c r="C91" s="3" t="s">
        <v>642</v>
      </c>
      <c r="D91" s="3" t="s">
        <v>689</v>
      </c>
      <c r="E91" s="3" t="s">
        <v>648</v>
      </c>
      <c r="F91" s="5">
        <v>1</v>
      </c>
      <c r="G91" s="4">
        <v>1075</v>
      </c>
      <c r="H91" s="4">
        <v>842.9</v>
      </c>
      <c r="I91" s="4">
        <v>855</v>
      </c>
      <c r="J91" s="4">
        <v>905.3</v>
      </c>
      <c r="K91" s="4">
        <v>973.6</v>
      </c>
      <c r="L91" s="4">
        <v>1006</v>
      </c>
      <c r="M91" s="4">
        <v>1023</v>
      </c>
      <c r="N91" s="4">
        <v>947.5</v>
      </c>
      <c r="O91" s="4">
        <v>1171</v>
      </c>
      <c r="P91" s="4">
        <v>1157</v>
      </c>
      <c r="Q91" s="4">
        <v>1066</v>
      </c>
      <c r="R91" s="4">
        <v>1130</v>
      </c>
      <c r="S91" s="4">
        <v>1097</v>
      </c>
      <c r="T91" s="4">
        <v>1004</v>
      </c>
      <c r="U91" s="4">
        <v>1152</v>
      </c>
      <c r="V91" s="4">
        <v>1189</v>
      </c>
      <c r="W91" s="4">
        <v>1143</v>
      </c>
      <c r="X91" s="10">
        <v>-3.4382022471910127E-2</v>
      </c>
      <c r="Y91" s="8">
        <v>2.0013963230160581E-2</v>
      </c>
      <c r="Z91" s="8">
        <v>1.346109970339948E-2</v>
      </c>
      <c r="AA91" s="8">
        <v>1.0355695632597859E-2</v>
      </c>
    </row>
    <row r="92" spans="2:27" x14ac:dyDescent="0.3">
      <c r="B92" s="12" t="s">
        <v>317</v>
      </c>
      <c r="C92" s="3" t="s">
        <v>642</v>
      </c>
      <c r="D92" s="3" t="s">
        <v>690</v>
      </c>
      <c r="E92" s="3" t="s">
        <v>648</v>
      </c>
      <c r="F92" s="5">
        <v>1</v>
      </c>
      <c r="G92" s="4">
        <v>2655</v>
      </c>
      <c r="H92" s="4">
        <v>3912</v>
      </c>
      <c r="I92" s="4">
        <v>3950</v>
      </c>
      <c r="J92" s="4">
        <v>3866</v>
      </c>
      <c r="K92" s="4">
        <v>3706</v>
      </c>
      <c r="L92" s="4">
        <v>3582</v>
      </c>
      <c r="M92" s="4">
        <v>3743</v>
      </c>
      <c r="N92" s="4">
        <v>3666</v>
      </c>
      <c r="O92" s="4">
        <v>3812</v>
      </c>
      <c r="P92" s="4">
        <v>4201</v>
      </c>
      <c r="Q92" s="4">
        <v>4246</v>
      </c>
      <c r="R92" s="4">
        <v>4237</v>
      </c>
      <c r="S92" s="4">
        <v>4505</v>
      </c>
      <c r="T92" s="4">
        <v>4149</v>
      </c>
      <c r="U92" s="4">
        <v>4373</v>
      </c>
      <c r="V92" s="4">
        <v>4801</v>
      </c>
      <c r="W92" s="4">
        <v>4677</v>
      </c>
      <c r="X92" s="10">
        <v>-3.025190528826549E-3</v>
      </c>
      <c r="Y92" s="8">
        <v>7.4108653790045942E-3</v>
      </c>
      <c r="Z92" s="8">
        <v>3.2669138090824827E-2</v>
      </c>
      <c r="AA92" s="8">
        <v>9.6477451200358555E-3</v>
      </c>
    </row>
    <row r="93" spans="2:27" x14ac:dyDescent="0.3">
      <c r="B93" s="12" t="s">
        <v>502</v>
      </c>
      <c r="C93" s="3" t="s">
        <v>642</v>
      </c>
      <c r="D93" s="3" t="s">
        <v>720</v>
      </c>
      <c r="E93" s="3" t="s">
        <v>717</v>
      </c>
      <c r="F93" s="5">
        <v>1</v>
      </c>
      <c r="G93" s="4">
        <v>1034</v>
      </c>
      <c r="H93" s="4">
        <v>1043</v>
      </c>
      <c r="I93" s="4">
        <v>1112</v>
      </c>
      <c r="J93" s="4">
        <v>990.86</v>
      </c>
      <c r="K93" s="4">
        <v>977.72</v>
      </c>
      <c r="L93" s="4">
        <v>1028</v>
      </c>
      <c r="M93" s="4">
        <v>1029</v>
      </c>
      <c r="N93" s="4">
        <v>1013</v>
      </c>
      <c r="O93" s="4">
        <v>1002</v>
      </c>
      <c r="P93" s="4">
        <v>1056</v>
      </c>
      <c r="Q93" s="4">
        <v>1045</v>
      </c>
      <c r="R93" s="4">
        <v>1034</v>
      </c>
      <c r="S93" s="4">
        <v>1014</v>
      </c>
      <c r="T93" s="4">
        <v>1093</v>
      </c>
      <c r="U93" s="4">
        <v>1074</v>
      </c>
      <c r="V93" s="4">
        <v>1065</v>
      </c>
      <c r="W93" s="4">
        <v>1058</v>
      </c>
      <c r="X93" s="10">
        <v>8.9178115208483622E-3</v>
      </c>
      <c r="Y93" s="8">
        <v>6.9278547539417534E-3</v>
      </c>
      <c r="Z93" s="8">
        <v>7.3546856465005472E-3</v>
      </c>
      <c r="AA93" s="8">
        <v>1.036269430051817E-2</v>
      </c>
    </row>
    <row r="94" spans="2:27" x14ac:dyDescent="0.3">
      <c r="B94" s="12" t="s">
        <v>207</v>
      </c>
      <c r="C94" s="3" t="s">
        <v>642</v>
      </c>
      <c r="D94" s="3" t="s">
        <v>673</v>
      </c>
      <c r="E94" s="3" t="s">
        <v>648</v>
      </c>
      <c r="F94" s="5">
        <v>0.9</v>
      </c>
      <c r="G94" s="4">
        <v>919.46</v>
      </c>
      <c r="H94" s="4">
        <v>821.06</v>
      </c>
      <c r="I94" s="4">
        <v>882.22</v>
      </c>
      <c r="J94" s="4">
        <v>872.88</v>
      </c>
      <c r="K94" s="4">
        <v>1039</v>
      </c>
      <c r="L94" s="4">
        <v>980.31</v>
      </c>
      <c r="M94" s="4">
        <v>1080</v>
      </c>
      <c r="N94" s="4">
        <v>1095</v>
      </c>
      <c r="O94" s="4">
        <v>1165</v>
      </c>
      <c r="P94" s="4">
        <v>1087</v>
      </c>
      <c r="Q94" s="4">
        <v>1157</v>
      </c>
      <c r="R94" s="4">
        <v>1133</v>
      </c>
      <c r="S94" s="4">
        <v>1180</v>
      </c>
      <c r="T94" s="4">
        <v>1145</v>
      </c>
      <c r="U94" s="4">
        <v>1188</v>
      </c>
      <c r="V94" s="4">
        <v>1174</v>
      </c>
      <c r="W94" s="4">
        <v>1222</v>
      </c>
      <c r="X94" s="10">
        <v>1.272767171384692E-2</v>
      </c>
      <c r="Y94" s="8">
        <v>6.7172264355364053E-3</v>
      </c>
      <c r="Z94" s="8">
        <v>8.8247955230305042E-3</v>
      </c>
      <c r="AA94" s="8">
        <v>8.9609558352889973E-3</v>
      </c>
    </row>
    <row r="95" spans="2:27" x14ac:dyDescent="0.3">
      <c r="B95" s="12" t="s">
        <v>191</v>
      </c>
      <c r="C95" s="3" t="s">
        <v>642</v>
      </c>
      <c r="D95" s="3" t="s">
        <v>659</v>
      </c>
      <c r="E95" s="3" t="s">
        <v>648</v>
      </c>
      <c r="F95" s="5">
        <v>0.8</v>
      </c>
      <c r="G95" s="4">
        <v>7981</v>
      </c>
      <c r="H95" s="4">
        <v>6773</v>
      </c>
      <c r="I95" s="4">
        <v>7205</v>
      </c>
      <c r="J95" s="4">
        <v>7478</v>
      </c>
      <c r="K95" s="4">
        <v>8064</v>
      </c>
      <c r="L95" s="4">
        <v>7442</v>
      </c>
      <c r="M95" s="4">
        <v>7552</v>
      </c>
      <c r="N95" s="4">
        <v>7744</v>
      </c>
      <c r="O95" s="4">
        <v>8468</v>
      </c>
      <c r="P95" s="4">
        <v>8041</v>
      </c>
      <c r="Q95" s="4">
        <v>8288</v>
      </c>
      <c r="R95" s="4">
        <v>8470</v>
      </c>
      <c r="S95" s="4">
        <v>9378</v>
      </c>
      <c r="T95" s="4">
        <v>9013</v>
      </c>
      <c r="U95" s="4">
        <v>9027</v>
      </c>
      <c r="V95" s="4">
        <v>9076</v>
      </c>
      <c r="W95" s="4">
        <v>9684</v>
      </c>
      <c r="X95" s="10">
        <v>2.8440179067794169E-2</v>
      </c>
      <c r="Y95" s="8">
        <v>2.1024780221343461E-2</v>
      </c>
      <c r="Z95" s="8">
        <v>1.688586714222029E-2</v>
      </c>
      <c r="AA95" s="8">
        <v>8.3849399901354538E-3</v>
      </c>
    </row>
    <row r="96" spans="2:27" x14ac:dyDescent="0.3">
      <c r="B96" s="12" t="s">
        <v>134</v>
      </c>
      <c r="C96" s="3" t="s">
        <v>642</v>
      </c>
      <c r="D96" s="3" t="s">
        <v>669</v>
      </c>
      <c r="E96" s="3" t="s">
        <v>648</v>
      </c>
      <c r="F96" s="5">
        <v>0.8</v>
      </c>
      <c r="G96" s="4">
        <v>1195</v>
      </c>
      <c r="H96" s="4">
        <v>1186</v>
      </c>
      <c r="I96" s="4">
        <v>1223</v>
      </c>
      <c r="J96" s="4">
        <v>1190</v>
      </c>
      <c r="K96" s="4">
        <v>1244</v>
      </c>
      <c r="L96" s="4">
        <v>1276</v>
      </c>
      <c r="M96" s="4">
        <v>1285</v>
      </c>
      <c r="N96" s="4">
        <v>1254</v>
      </c>
      <c r="O96" s="4">
        <v>1294</v>
      </c>
      <c r="P96" s="4">
        <v>1282</v>
      </c>
      <c r="Q96" s="4">
        <v>1280</v>
      </c>
      <c r="R96" s="4">
        <v>1247</v>
      </c>
      <c r="S96" s="4">
        <v>1299</v>
      </c>
      <c r="T96" s="4">
        <v>1243</v>
      </c>
      <c r="U96" s="4">
        <v>1281</v>
      </c>
      <c r="V96" s="4">
        <v>1292</v>
      </c>
      <c r="W96" s="4">
        <v>1340</v>
      </c>
      <c r="X96" s="10">
        <v>-7.6350822239623639E-3</v>
      </c>
      <c r="Y96" s="8">
        <v>1.97277569540244E-4</v>
      </c>
      <c r="Z96" s="8">
        <v>8.8757396449703485E-3</v>
      </c>
      <c r="AA96" s="8">
        <v>8.0156402737048271E-3</v>
      </c>
    </row>
    <row r="97" spans="2:27" x14ac:dyDescent="0.3">
      <c r="B97" s="12" t="s">
        <v>296</v>
      </c>
      <c r="C97" s="3" t="s">
        <v>642</v>
      </c>
      <c r="D97" s="3" t="s">
        <v>691</v>
      </c>
      <c r="E97" s="3" t="s">
        <v>650</v>
      </c>
      <c r="F97" s="5">
        <v>0.7</v>
      </c>
      <c r="G97" s="4">
        <v>625.27</v>
      </c>
      <c r="H97" s="4">
        <v>606.75</v>
      </c>
      <c r="I97" s="4">
        <v>575.05999999999995</v>
      </c>
      <c r="J97" s="4">
        <v>663.56</v>
      </c>
      <c r="K97" s="4">
        <v>651.44000000000005</v>
      </c>
      <c r="L97" s="4">
        <v>0</v>
      </c>
      <c r="M97" s="6">
        <v>779.79</v>
      </c>
      <c r="N97" s="6">
        <v>1225</v>
      </c>
      <c r="O97" s="6">
        <v>1129</v>
      </c>
      <c r="P97" s="4">
        <v>0</v>
      </c>
      <c r="Q97" s="6">
        <v>1126</v>
      </c>
      <c r="R97" s="4">
        <v>1122</v>
      </c>
      <c r="S97" s="4">
        <v>1124</v>
      </c>
      <c r="T97" s="6">
        <v>1147</v>
      </c>
      <c r="U97" s="4">
        <v>1171</v>
      </c>
      <c r="V97" s="4">
        <v>1141</v>
      </c>
      <c r="W97" s="4">
        <v>1157</v>
      </c>
      <c r="X97" s="7">
        <v>0.34015421115065242</v>
      </c>
      <c r="Y97" s="8">
        <v>9.9579552998450005E-3</v>
      </c>
      <c r="Z97" s="8">
        <v>4.1630148992111149E-3</v>
      </c>
      <c r="AA97" s="8">
        <v>7.2005236744490109E-3</v>
      </c>
    </row>
    <row r="98" spans="2:27" x14ac:dyDescent="0.3">
      <c r="B98" s="12" t="s">
        <v>179</v>
      </c>
      <c r="C98" s="3" t="s">
        <v>642</v>
      </c>
      <c r="D98" s="3" t="s">
        <v>692</v>
      </c>
      <c r="E98" s="3" t="s">
        <v>648</v>
      </c>
      <c r="F98" s="5">
        <v>0.7</v>
      </c>
      <c r="G98" s="4">
        <v>311.5</v>
      </c>
      <c r="H98" s="4">
        <v>318.99</v>
      </c>
      <c r="I98" s="4">
        <v>363.57</v>
      </c>
      <c r="J98" s="4">
        <v>374.48</v>
      </c>
      <c r="K98" s="4">
        <v>376.98</v>
      </c>
      <c r="L98" s="4">
        <v>378.8</v>
      </c>
      <c r="M98" s="4">
        <v>386.65</v>
      </c>
      <c r="N98" s="4">
        <v>391.92</v>
      </c>
      <c r="O98" s="4">
        <v>388.99</v>
      </c>
      <c r="P98" s="4">
        <v>386.19</v>
      </c>
      <c r="Q98" s="4">
        <v>391.35</v>
      </c>
      <c r="R98" s="4">
        <v>390.02</v>
      </c>
      <c r="S98" s="4">
        <v>387.84</v>
      </c>
      <c r="T98" s="4">
        <v>393.06</v>
      </c>
      <c r="U98" s="4">
        <v>399.21</v>
      </c>
      <c r="V98" s="4">
        <v>398.32</v>
      </c>
      <c r="W98" s="4">
        <v>399.14</v>
      </c>
      <c r="X98" s="10">
        <v>4.4168702584543862E-3</v>
      </c>
      <c r="Y98" s="8">
        <v>5.0311405838938672E-3</v>
      </c>
      <c r="Z98" s="8">
        <v>5.2861864941118331E-3</v>
      </c>
      <c r="AA98" s="8">
        <v>7.1590124364084851E-3</v>
      </c>
    </row>
    <row r="99" spans="2:27" x14ac:dyDescent="0.3">
      <c r="B99" s="12" t="s">
        <v>355</v>
      </c>
      <c r="C99" s="3" t="s">
        <v>642</v>
      </c>
      <c r="D99" s="3" t="s">
        <v>693</v>
      </c>
      <c r="E99" s="3" t="s">
        <v>644</v>
      </c>
      <c r="F99" s="5">
        <v>0.7</v>
      </c>
      <c r="G99" s="4">
        <v>591.75</v>
      </c>
      <c r="H99" s="4">
        <v>779.62</v>
      </c>
      <c r="I99" s="4">
        <v>768.18</v>
      </c>
      <c r="J99" s="4">
        <v>708.94</v>
      </c>
      <c r="K99" s="4">
        <v>649.38</v>
      </c>
      <c r="L99" s="4">
        <v>710.98</v>
      </c>
      <c r="M99" s="4">
        <v>683.43</v>
      </c>
      <c r="N99" s="4">
        <v>641.39</v>
      </c>
      <c r="O99" s="4">
        <v>643.15</v>
      </c>
      <c r="P99" s="4">
        <v>672.88</v>
      </c>
      <c r="Q99" s="4">
        <v>647.80999999999995</v>
      </c>
      <c r="R99" s="4">
        <v>659.67</v>
      </c>
      <c r="S99" s="4">
        <v>632.37</v>
      </c>
      <c r="T99" s="4">
        <v>611.75</v>
      </c>
      <c r="U99" s="4">
        <v>613.63</v>
      </c>
      <c r="V99" s="4">
        <v>662.18</v>
      </c>
      <c r="W99" s="4">
        <v>649.09</v>
      </c>
      <c r="X99" s="10">
        <v>-2.3396983232098271E-2</v>
      </c>
      <c r="Y99" s="8">
        <v>-1.3395516538642349E-2</v>
      </c>
      <c r="Z99" s="8">
        <v>9.9705253791571025E-4</v>
      </c>
      <c r="AA99" s="8">
        <v>6.6351049433914788E-3</v>
      </c>
    </row>
    <row r="100" spans="2:27" x14ac:dyDescent="0.3">
      <c r="B100" s="12" t="s">
        <v>534</v>
      </c>
      <c r="C100" s="3" t="s">
        <v>642</v>
      </c>
      <c r="D100" s="3" t="s">
        <v>661</v>
      </c>
      <c r="E100" s="3" t="s">
        <v>646</v>
      </c>
      <c r="F100" s="5">
        <v>0.6</v>
      </c>
      <c r="G100" s="4">
        <v>864.08</v>
      </c>
      <c r="H100" s="4">
        <v>845.99</v>
      </c>
      <c r="I100" s="4">
        <v>962.28</v>
      </c>
      <c r="J100" s="4">
        <v>943.81</v>
      </c>
      <c r="K100" s="4">
        <v>1011</v>
      </c>
      <c r="L100" s="4">
        <v>885.52</v>
      </c>
      <c r="M100" s="4">
        <v>0</v>
      </c>
      <c r="N100" s="4">
        <v>876.31</v>
      </c>
      <c r="O100" s="4">
        <v>884.79</v>
      </c>
      <c r="P100" s="4">
        <v>752.6</v>
      </c>
      <c r="Q100" s="6">
        <v>746.11</v>
      </c>
      <c r="R100" s="4">
        <v>775.58</v>
      </c>
      <c r="S100" s="4">
        <v>747.5</v>
      </c>
      <c r="T100" s="4">
        <v>704.85</v>
      </c>
      <c r="U100" s="4">
        <v>812.89</v>
      </c>
      <c r="V100" s="4">
        <v>739.65</v>
      </c>
      <c r="W100" s="4">
        <v>766.51</v>
      </c>
      <c r="X100" s="10">
        <v>-1.5801892255914551E-2</v>
      </c>
      <c r="Y100" s="8">
        <v>2.2454304582319121E-2</v>
      </c>
      <c r="Z100" s="8">
        <v>-1.181589176603692E-2</v>
      </c>
      <c r="AA100" s="8">
        <v>6.3263547084919658E-3</v>
      </c>
    </row>
    <row r="101" spans="2:27" x14ac:dyDescent="0.3">
      <c r="B101" s="12" t="s">
        <v>415</v>
      </c>
      <c r="C101" s="3" t="s">
        <v>642</v>
      </c>
      <c r="D101" s="3" t="s">
        <v>677</v>
      </c>
      <c r="E101" s="3" t="s">
        <v>648</v>
      </c>
      <c r="F101" s="5">
        <v>0.6</v>
      </c>
      <c r="G101" s="4">
        <v>311.02999999999997</v>
      </c>
      <c r="H101" s="4">
        <v>318.83</v>
      </c>
      <c r="I101" s="4">
        <v>331.39</v>
      </c>
      <c r="J101" s="4">
        <v>348.06</v>
      </c>
      <c r="K101" s="4">
        <v>297.67</v>
      </c>
      <c r="L101" s="4">
        <v>290.63</v>
      </c>
      <c r="M101" s="4">
        <v>298.97000000000003</v>
      </c>
      <c r="N101" s="4">
        <v>298.66000000000003</v>
      </c>
      <c r="O101" s="4">
        <v>258.85000000000002</v>
      </c>
      <c r="P101" s="4">
        <v>246.15</v>
      </c>
      <c r="Q101" s="4">
        <v>276.79000000000002</v>
      </c>
      <c r="R101" s="4">
        <v>282.42</v>
      </c>
      <c r="S101" s="4">
        <v>306.88</v>
      </c>
      <c r="T101" s="4">
        <v>269.67</v>
      </c>
      <c r="U101" s="4">
        <v>290.56</v>
      </c>
      <c r="V101" s="4">
        <v>310.63</v>
      </c>
      <c r="W101" s="4">
        <v>313.98</v>
      </c>
      <c r="X101" s="10">
        <v>2.1146515140617161E-2</v>
      </c>
      <c r="Y101" s="8">
        <v>1.2124040290202091E-2</v>
      </c>
      <c r="Z101" s="8">
        <v>2.454046436369639E-2</v>
      </c>
      <c r="AA101" s="8">
        <v>6.0284952536213687E-3</v>
      </c>
    </row>
    <row r="102" spans="2:27" x14ac:dyDescent="0.3">
      <c r="B102" s="12" t="s">
        <v>258</v>
      </c>
      <c r="C102" s="3" t="s">
        <v>642</v>
      </c>
      <c r="D102" s="3" t="s">
        <v>649</v>
      </c>
      <c r="E102" s="3" t="s">
        <v>717</v>
      </c>
      <c r="F102" s="5">
        <v>0.6</v>
      </c>
      <c r="G102" s="4">
        <v>575.20000000000005</v>
      </c>
      <c r="H102" s="4">
        <v>691.8</v>
      </c>
      <c r="I102" s="4">
        <v>607.29999999999995</v>
      </c>
      <c r="J102" s="4">
        <v>604.1</v>
      </c>
      <c r="K102" s="4">
        <v>578.6</v>
      </c>
      <c r="L102" s="4">
        <v>539.70000000000005</v>
      </c>
      <c r="M102" s="4">
        <v>517.4</v>
      </c>
      <c r="N102" s="4">
        <v>512.5</v>
      </c>
      <c r="O102" s="4">
        <v>525.20000000000005</v>
      </c>
      <c r="P102" s="4">
        <v>502.6</v>
      </c>
      <c r="Q102" s="4">
        <v>499.9</v>
      </c>
      <c r="R102" s="4">
        <v>500.3</v>
      </c>
      <c r="S102" s="4">
        <v>516.4</v>
      </c>
      <c r="T102" s="4">
        <v>524.29999999999995</v>
      </c>
      <c r="U102" s="4">
        <v>496.6</v>
      </c>
      <c r="V102" s="4">
        <v>493.2</v>
      </c>
      <c r="W102" s="4">
        <v>528</v>
      </c>
      <c r="X102" s="10">
        <v>1.0746830427892149E-2</v>
      </c>
      <c r="Y102" s="8">
        <v>-1.6169337057180271E-3</v>
      </c>
      <c r="Z102" s="8">
        <v>-3.484491558696456E-3</v>
      </c>
      <c r="AA102" s="8">
        <v>5.7128786013296304E-3</v>
      </c>
    </row>
    <row r="103" spans="2:27" x14ac:dyDescent="0.3">
      <c r="B103" s="12" t="s">
        <v>263</v>
      </c>
      <c r="C103" s="3" t="s">
        <v>642</v>
      </c>
      <c r="D103" s="3" t="s">
        <v>694</v>
      </c>
      <c r="E103" s="3" t="s">
        <v>648</v>
      </c>
      <c r="F103" s="5">
        <v>0.5</v>
      </c>
      <c r="G103" s="4">
        <v>879.84</v>
      </c>
      <c r="H103" s="4">
        <v>860.74</v>
      </c>
      <c r="I103" s="4">
        <v>894.45</v>
      </c>
      <c r="J103" s="4">
        <v>877.26</v>
      </c>
      <c r="K103" s="4">
        <v>922.92</v>
      </c>
      <c r="L103" s="4">
        <v>963.97</v>
      </c>
      <c r="M103" s="4">
        <v>916.95</v>
      </c>
      <c r="N103" s="4">
        <v>903.16</v>
      </c>
      <c r="O103" s="4">
        <v>954.41</v>
      </c>
      <c r="P103" s="4">
        <v>960.52</v>
      </c>
      <c r="Q103" s="4">
        <v>967.51</v>
      </c>
      <c r="R103" s="4">
        <v>961.25</v>
      </c>
      <c r="S103" s="4">
        <v>1041</v>
      </c>
      <c r="T103" s="4">
        <v>991.57</v>
      </c>
      <c r="U103" s="4">
        <v>1034</v>
      </c>
      <c r="V103" s="4">
        <v>1004</v>
      </c>
      <c r="W103" s="4">
        <v>1062</v>
      </c>
      <c r="X103" s="10">
        <v>7.9002004946213678E-3</v>
      </c>
      <c r="Y103" s="8">
        <v>1.6784766732385489E-2</v>
      </c>
      <c r="Z103" s="8">
        <v>1.0613681842783549E-2</v>
      </c>
      <c r="AA103" s="8">
        <v>5.1589826486218024E-3</v>
      </c>
    </row>
    <row r="104" spans="2:27" x14ac:dyDescent="0.3">
      <c r="B104" s="12" t="s">
        <v>114</v>
      </c>
      <c r="C104" s="3" t="s">
        <v>642</v>
      </c>
      <c r="D104" s="3" t="s">
        <v>692</v>
      </c>
      <c r="E104" s="3" t="s">
        <v>648</v>
      </c>
      <c r="F104" s="5">
        <v>0.5</v>
      </c>
      <c r="G104" s="4">
        <v>645.13</v>
      </c>
      <c r="H104" s="4">
        <v>653.35</v>
      </c>
      <c r="I104" s="4">
        <v>687.03</v>
      </c>
      <c r="J104" s="4">
        <v>695.1</v>
      </c>
      <c r="K104" s="4">
        <v>699.7</v>
      </c>
      <c r="L104" s="4">
        <v>705.09</v>
      </c>
      <c r="M104" s="4">
        <v>717.31</v>
      </c>
      <c r="N104" s="4">
        <v>724.07</v>
      </c>
      <c r="O104" s="4">
        <v>727.5</v>
      </c>
      <c r="P104" s="4">
        <v>730.82</v>
      </c>
      <c r="Q104" s="4">
        <v>734.16</v>
      </c>
      <c r="R104" s="4">
        <v>748.35</v>
      </c>
      <c r="S104" s="4">
        <v>766.78</v>
      </c>
      <c r="T104" s="4">
        <v>760.81</v>
      </c>
      <c r="U104" s="4">
        <v>768.83</v>
      </c>
      <c r="V104" s="4">
        <v>782.41</v>
      </c>
      <c r="W104" s="4">
        <v>781.91</v>
      </c>
      <c r="X104" s="10">
        <v>1.006338692195907E-2</v>
      </c>
      <c r="Y104" s="8">
        <v>1.151788977110391E-2</v>
      </c>
      <c r="Z104" s="8">
        <v>1.118639503148011E-2</v>
      </c>
      <c r="AA104" s="8">
        <v>4.9142044218095648E-3</v>
      </c>
    </row>
    <row r="105" spans="2:27" x14ac:dyDescent="0.3">
      <c r="B105" s="12" t="s">
        <v>56</v>
      </c>
      <c r="C105" s="3" t="s">
        <v>642</v>
      </c>
      <c r="D105" s="3" t="s">
        <v>659</v>
      </c>
      <c r="E105" s="3" t="s">
        <v>648</v>
      </c>
      <c r="F105" s="5">
        <v>0.5</v>
      </c>
      <c r="G105" s="4">
        <v>134.52000000000001</v>
      </c>
      <c r="H105" s="4">
        <v>119.28</v>
      </c>
      <c r="I105" s="4">
        <v>122.07</v>
      </c>
      <c r="J105" s="4">
        <v>125.36</v>
      </c>
      <c r="K105" s="4">
        <v>132.55000000000001</v>
      </c>
      <c r="L105" s="4">
        <v>121.92</v>
      </c>
      <c r="M105" s="4">
        <v>120.4</v>
      </c>
      <c r="N105" s="4">
        <v>129.46</v>
      </c>
      <c r="O105" s="4">
        <v>124.48</v>
      </c>
      <c r="P105" s="4">
        <v>115.25</v>
      </c>
      <c r="Q105" s="4">
        <v>111.44</v>
      </c>
      <c r="R105" s="4">
        <v>116.07</v>
      </c>
      <c r="S105" s="4">
        <v>120.7</v>
      </c>
      <c r="T105" s="4">
        <v>111.07</v>
      </c>
      <c r="U105" s="4">
        <v>114.49</v>
      </c>
      <c r="V105" s="4">
        <v>128.69</v>
      </c>
      <c r="W105" s="4">
        <v>122.99</v>
      </c>
      <c r="X105" s="10">
        <v>-9.0191170759073014E-3</v>
      </c>
      <c r="Y105" s="8">
        <v>6.6408291238460038E-3</v>
      </c>
      <c r="Z105" s="8">
        <v>2.729651980187309E-2</v>
      </c>
      <c r="AA105" s="8">
        <v>4.821560164227856E-3</v>
      </c>
    </row>
    <row r="106" spans="2:27" x14ac:dyDescent="0.3">
      <c r="B106" s="12" t="s">
        <v>546</v>
      </c>
      <c r="C106" s="3" t="s">
        <v>642</v>
      </c>
      <c r="D106" s="3" t="s">
        <v>695</v>
      </c>
      <c r="E106" s="3" t="s">
        <v>646</v>
      </c>
      <c r="F106" s="5">
        <v>0.5</v>
      </c>
      <c r="G106" s="4">
        <v>125.33</v>
      </c>
      <c r="H106" s="4">
        <v>150.66</v>
      </c>
      <c r="I106" s="4">
        <v>146.5</v>
      </c>
      <c r="J106" s="4">
        <v>143.59</v>
      </c>
      <c r="K106" s="4">
        <v>134.05000000000001</v>
      </c>
      <c r="L106" s="4">
        <v>172.67</v>
      </c>
      <c r="M106" s="4">
        <v>130.31</v>
      </c>
      <c r="N106" s="4">
        <v>123.92</v>
      </c>
      <c r="O106" s="4">
        <v>122.68</v>
      </c>
      <c r="P106" s="4">
        <v>168.59</v>
      </c>
      <c r="Q106" s="6">
        <v>198.32</v>
      </c>
      <c r="R106" s="6">
        <v>279.22000000000003</v>
      </c>
      <c r="S106" s="6">
        <v>282.60000000000002</v>
      </c>
      <c r="T106" s="6">
        <v>269.83999999999997</v>
      </c>
      <c r="U106" s="4">
        <v>262.05</v>
      </c>
      <c r="V106" s="4">
        <v>285.85000000000002</v>
      </c>
      <c r="W106" s="4">
        <v>287.85000000000002</v>
      </c>
      <c r="X106" s="7">
        <v>0.1090198443035113</v>
      </c>
      <c r="Y106" s="8">
        <v>6.1874987863842053E-2</v>
      </c>
      <c r="Z106" s="8">
        <v>6.0619359793729899E-3</v>
      </c>
      <c r="AA106" s="8">
        <v>4.7712525219476554E-3</v>
      </c>
    </row>
    <row r="107" spans="2:27" x14ac:dyDescent="0.3">
      <c r="B107" s="12" t="s">
        <v>83</v>
      </c>
      <c r="C107" s="3" t="s">
        <v>642</v>
      </c>
      <c r="D107" s="3" t="s">
        <v>696</v>
      </c>
      <c r="E107" s="3" t="s">
        <v>648</v>
      </c>
      <c r="F107" s="5">
        <v>0.4</v>
      </c>
      <c r="G107" s="4">
        <v>20806</v>
      </c>
      <c r="H107" s="4">
        <v>21836</v>
      </c>
      <c r="I107" s="4">
        <v>22142</v>
      </c>
      <c r="J107" s="4">
        <v>18975</v>
      </c>
      <c r="K107" s="4">
        <v>16891</v>
      </c>
      <c r="L107" s="4">
        <v>18501</v>
      </c>
      <c r="M107" s="4">
        <v>18606</v>
      </c>
      <c r="N107" s="4">
        <v>16616</v>
      </c>
      <c r="O107" s="4">
        <v>14552</v>
      </c>
      <c r="P107" s="4">
        <v>16282</v>
      </c>
      <c r="Q107" s="4">
        <v>16249</v>
      </c>
      <c r="R107" s="4">
        <v>15196</v>
      </c>
      <c r="S107" s="4">
        <v>14714</v>
      </c>
      <c r="T107" s="4">
        <v>14798</v>
      </c>
      <c r="U107" s="4">
        <v>15926</v>
      </c>
      <c r="V107" s="4">
        <v>15657</v>
      </c>
      <c r="W107" s="4">
        <v>14971</v>
      </c>
      <c r="X107" s="10">
        <v>-2.376643551512625E-2</v>
      </c>
      <c r="Y107" s="8">
        <v>-5.2988171990091537E-3</v>
      </c>
      <c r="Z107" s="8">
        <v>7.602995019296177E-3</v>
      </c>
      <c r="AA107" s="8">
        <v>4.2065635485719621E-3</v>
      </c>
    </row>
    <row r="108" spans="2:27" x14ac:dyDescent="0.3">
      <c r="B108" s="12" t="s">
        <v>583</v>
      </c>
      <c r="C108" s="3" t="s">
        <v>642</v>
      </c>
      <c r="D108" s="3" t="s">
        <v>697</v>
      </c>
      <c r="E108" s="3" t="s">
        <v>644</v>
      </c>
      <c r="F108" s="5">
        <v>0.4</v>
      </c>
      <c r="G108" s="4">
        <v>277.29000000000002</v>
      </c>
      <c r="H108" s="4">
        <v>271.82</v>
      </c>
      <c r="I108" s="4">
        <v>266.31</v>
      </c>
      <c r="J108" s="4">
        <v>274.20999999999998</v>
      </c>
      <c r="K108" s="4">
        <v>280.45999999999998</v>
      </c>
      <c r="L108" s="4">
        <v>283.25</v>
      </c>
      <c r="M108" s="4">
        <v>281.79000000000002</v>
      </c>
      <c r="N108" s="4">
        <v>295.08</v>
      </c>
      <c r="O108" s="4">
        <v>301.75</v>
      </c>
      <c r="P108" s="4">
        <v>308.08999999999997</v>
      </c>
      <c r="Q108" s="4">
        <v>309.08</v>
      </c>
      <c r="R108" s="4">
        <v>322.66000000000003</v>
      </c>
      <c r="S108" s="4">
        <v>330.22</v>
      </c>
      <c r="T108" s="4">
        <v>335.77</v>
      </c>
      <c r="U108" s="4">
        <v>328.71</v>
      </c>
      <c r="V108" s="4">
        <v>336.14</v>
      </c>
      <c r="W108" s="4">
        <v>335.58</v>
      </c>
      <c r="X108" s="10">
        <v>2.179441754261657E-2</v>
      </c>
      <c r="Y108" s="8">
        <v>1.5126413044315831E-2</v>
      </c>
      <c r="Z108" s="8">
        <v>1.023258638489088E-2</v>
      </c>
      <c r="AA108" s="8">
        <v>4.0275314838746912E-3</v>
      </c>
    </row>
    <row r="109" spans="2:27" x14ac:dyDescent="0.3">
      <c r="B109" s="12" t="s">
        <v>307</v>
      </c>
      <c r="C109" s="3" t="s">
        <v>642</v>
      </c>
      <c r="D109" s="3" t="s">
        <v>658</v>
      </c>
      <c r="E109" s="3" t="s">
        <v>648</v>
      </c>
      <c r="F109" s="5">
        <v>0.4</v>
      </c>
      <c r="G109" s="4">
        <v>52.57</v>
      </c>
      <c r="H109" s="4">
        <v>53.14</v>
      </c>
      <c r="I109" s="4">
        <v>59.8</v>
      </c>
      <c r="J109" s="4">
        <v>68.27</v>
      </c>
      <c r="K109" s="6">
        <v>76.59</v>
      </c>
      <c r="L109" s="6">
        <v>85.9</v>
      </c>
      <c r="M109" s="4">
        <v>85.99</v>
      </c>
      <c r="N109" s="4">
        <v>65.010000000000005</v>
      </c>
      <c r="O109" s="4">
        <v>70.650000000000006</v>
      </c>
      <c r="P109" s="4">
        <v>76.83</v>
      </c>
      <c r="Q109" s="4">
        <v>102.5</v>
      </c>
      <c r="R109" s="4">
        <v>95.2</v>
      </c>
      <c r="S109" s="4">
        <v>91.57</v>
      </c>
      <c r="T109" s="4">
        <v>74.28</v>
      </c>
      <c r="U109" s="4">
        <v>97.89</v>
      </c>
      <c r="V109" s="4">
        <v>96.06</v>
      </c>
      <c r="W109" s="4">
        <v>92.85</v>
      </c>
      <c r="X109" s="10">
        <v>-6.9653100245834487E-3</v>
      </c>
      <c r="Y109" s="8">
        <v>-1.268051162151018E-2</v>
      </c>
      <c r="Z109" s="8">
        <v>2.3959436117457771E-3</v>
      </c>
      <c r="AA109" s="8">
        <v>3.5575319622012098E-3</v>
      </c>
    </row>
    <row r="110" spans="2:27" x14ac:dyDescent="0.3">
      <c r="B110" s="12" t="s">
        <v>24</v>
      </c>
      <c r="C110" s="3" t="s">
        <v>642</v>
      </c>
      <c r="D110" s="3" t="s">
        <v>698</v>
      </c>
      <c r="E110" s="3" t="s">
        <v>648</v>
      </c>
      <c r="F110" s="5">
        <v>0.3</v>
      </c>
      <c r="G110" s="4">
        <v>11985</v>
      </c>
      <c r="H110" s="4">
        <v>11648</v>
      </c>
      <c r="I110" s="4">
        <v>11887</v>
      </c>
      <c r="J110" s="4">
        <v>11218</v>
      </c>
      <c r="K110" s="4">
        <v>11406</v>
      </c>
      <c r="L110" s="4">
        <v>11337</v>
      </c>
      <c r="M110" s="4">
        <v>11226</v>
      </c>
      <c r="N110" s="4">
        <v>10966</v>
      </c>
      <c r="O110" s="4">
        <v>11477</v>
      </c>
      <c r="P110" s="4">
        <v>11865</v>
      </c>
      <c r="Q110" s="4">
        <v>12201</v>
      </c>
      <c r="R110" s="4">
        <v>11892</v>
      </c>
      <c r="S110" s="4">
        <v>12342</v>
      </c>
      <c r="T110" s="4">
        <v>11201</v>
      </c>
      <c r="U110" s="4">
        <v>12269</v>
      </c>
      <c r="V110" s="4">
        <v>12222</v>
      </c>
      <c r="W110" s="4">
        <v>12502</v>
      </c>
      <c r="X110" s="10">
        <v>-1.374741200828156E-2</v>
      </c>
      <c r="Y110" s="8">
        <v>1.427491812914683E-3</v>
      </c>
      <c r="Z110" s="8">
        <v>6.9176588965285113E-3</v>
      </c>
      <c r="AA110" s="8">
        <v>3.330973893492128E-3</v>
      </c>
    </row>
    <row r="111" spans="2:27" x14ac:dyDescent="0.3">
      <c r="B111" s="12" t="s">
        <v>237</v>
      </c>
      <c r="C111" s="3" t="s">
        <v>642</v>
      </c>
      <c r="D111" s="3" t="s">
        <v>699</v>
      </c>
      <c r="E111" s="3" t="s">
        <v>648</v>
      </c>
      <c r="F111" s="5">
        <v>0.3</v>
      </c>
      <c r="G111" s="4">
        <v>3155</v>
      </c>
      <c r="H111" s="4">
        <v>2686</v>
      </c>
      <c r="I111" s="4">
        <v>2945</v>
      </c>
      <c r="J111" s="4">
        <v>3122</v>
      </c>
      <c r="K111" s="4">
        <v>3899</v>
      </c>
      <c r="L111" s="4">
        <v>3334</v>
      </c>
      <c r="M111" s="4">
        <v>3823</v>
      </c>
      <c r="N111" s="4">
        <v>3456</v>
      </c>
      <c r="O111" s="4">
        <v>3801</v>
      </c>
      <c r="P111" s="4">
        <v>2929</v>
      </c>
      <c r="Q111" s="4">
        <v>3247</v>
      </c>
      <c r="R111" s="4">
        <v>2599</v>
      </c>
      <c r="S111" s="4">
        <v>2887</v>
      </c>
      <c r="T111" s="4">
        <v>2051</v>
      </c>
      <c r="U111" s="4">
        <v>2635</v>
      </c>
      <c r="V111" s="4">
        <v>2476</v>
      </c>
      <c r="W111" s="4">
        <v>2920</v>
      </c>
      <c r="X111" s="10">
        <v>-7.5287257760246917E-2</v>
      </c>
      <c r="Y111" s="8">
        <v>-5.6750741839762593E-2</v>
      </c>
      <c r="Z111" s="8">
        <v>-1.2092017302398729E-2</v>
      </c>
      <c r="AA111" s="8">
        <v>3.2839088466514181E-3</v>
      </c>
    </row>
    <row r="112" spans="2:27" x14ac:dyDescent="0.3">
      <c r="B112" s="12" t="s">
        <v>34</v>
      </c>
      <c r="C112" s="3" t="s">
        <v>642</v>
      </c>
      <c r="D112" s="3" t="s">
        <v>673</v>
      </c>
      <c r="E112" s="3" t="s">
        <v>648</v>
      </c>
      <c r="F112" s="5">
        <v>0.3</v>
      </c>
      <c r="G112" s="4">
        <v>5850</v>
      </c>
      <c r="H112" s="4">
        <v>6385</v>
      </c>
      <c r="I112" s="4">
        <v>6586</v>
      </c>
      <c r="J112" s="4">
        <v>7333</v>
      </c>
      <c r="K112" s="4">
        <v>7770</v>
      </c>
      <c r="L112" s="4">
        <v>8453</v>
      </c>
      <c r="M112" s="4">
        <v>8638</v>
      </c>
      <c r="N112" s="4">
        <v>8431</v>
      </c>
      <c r="O112" s="4">
        <v>8543</v>
      </c>
      <c r="P112" s="4">
        <v>8403</v>
      </c>
      <c r="Q112" s="4">
        <v>8796</v>
      </c>
      <c r="R112" s="4">
        <v>8456</v>
      </c>
      <c r="S112" s="4">
        <v>8447</v>
      </c>
      <c r="T112" s="4">
        <v>8174</v>
      </c>
      <c r="U112" s="4">
        <v>8643</v>
      </c>
      <c r="V112" s="4">
        <v>8317</v>
      </c>
      <c r="W112" s="4">
        <v>8536</v>
      </c>
      <c r="X112" s="10">
        <v>-6.7151486716321429E-3</v>
      </c>
      <c r="Y112" s="8">
        <v>-4.5168718448321821E-3</v>
      </c>
      <c r="Z112" s="8">
        <v>-4.1221826809015871E-3</v>
      </c>
      <c r="AA112" s="8">
        <v>2.650308209999785E-3</v>
      </c>
    </row>
    <row r="113" spans="2:27" x14ac:dyDescent="0.3">
      <c r="B113" s="12" t="s">
        <v>12</v>
      </c>
      <c r="C113" s="3" t="s">
        <v>642</v>
      </c>
      <c r="D113" s="3" t="s">
        <v>700</v>
      </c>
      <c r="E113" s="3" t="s">
        <v>648</v>
      </c>
      <c r="F113" s="5">
        <v>0.2</v>
      </c>
      <c r="G113" s="4">
        <v>85280</v>
      </c>
      <c r="H113" s="4">
        <v>84204</v>
      </c>
      <c r="I113" s="4">
        <v>100059</v>
      </c>
      <c r="J113" s="4">
        <v>95749</v>
      </c>
      <c r="K113" s="4">
        <v>101303</v>
      </c>
      <c r="L113" s="4">
        <v>86959</v>
      </c>
      <c r="M113" s="4">
        <v>74578</v>
      </c>
      <c r="N113" s="4">
        <v>76350</v>
      </c>
      <c r="O113" s="4">
        <v>78732</v>
      </c>
      <c r="P113" s="4">
        <v>72478</v>
      </c>
      <c r="Q113" s="4">
        <v>74464</v>
      </c>
      <c r="R113" s="4">
        <v>71089</v>
      </c>
      <c r="S113" s="4">
        <v>66282</v>
      </c>
      <c r="T113" s="4">
        <v>69235</v>
      </c>
      <c r="U113" s="4">
        <v>65405</v>
      </c>
      <c r="V113" s="4">
        <v>68152</v>
      </c>
      <c r="W113" s="4">
        <v>66725</v>
      </c>
      <c r="X113" s="10">
        <v>-1.1406442899199121E-2</v>
      </c>
      <c r="Y113" s="8">
        <v>-3.22304052371295E-2</v>
      </c>
      <c r="Z113" s="8">
        <v>-1.0797357459808589E-2</v>
      </c>
      <c r="AA113" s="8">
        <v>1.646387239198077E-3</v>
      </c>
    </row>
    <row r="114" spans="2:27" x14ac:dyDescent="0.3">
      <c r="B114" s="12" t="s">
        <v>372</v>
      </c>
      <c r="C114" s="3" t="s">
        <v>642</v>
      </c>
      <c r="D114" s="3" t="s">
        <v>676</v>
      </c>
      <c r="E114" s="3" t="s">
        <v>646</v>
      </c>
      <c r="F114" s="5">
        <v>0.2</v>
      </c>
      <c r="G114" s="4">
        <v>1578</v>
      </c>
      <c r="H114" s="4">
        <v>1186</v>
      </c>
      <c r="I114" s="4">
        <v>1168</v>
      </c>
      <c r="J114" s="4">
        <v>1390</v>
      </c>
      <c r="K114" s="4">
        <v>1524</v>
      </c>
      <c r="L114" s="4">
        <v>1289</v>
      </c>
      <c r="M114" s="4">
        <v>1352</v>
      </c>
      <c r="N114" s="4">
        <v>1641</v>
      </c>
      <c r="O114" s="4">
        <v>1728</v>
      </c>
      <c r="P114" s="4">
        <v>1386</v>
      </c>
      <c r="Q114" s="4">
        <v>1363</v>
      </c>
      <c r="R114" s="4">
        <v>1672</v>
      </c>
      <c r="S114" s="4">
        <v>1670</v>
      </c>
      <c r="T114" s="4">
        <v>1299</v>
      </c>
      <c r="U114" s="4">
        <v>1252</v>
      </c>
      <c r="V114" s="4">
        <v>1577</v>
      </c>
      <c r="W114" s="4">
        <v>1679</v>
      </c>
      <c r="X114" s="10">
        <v>-1.4283368904941749E-2</v>
      </c>
      <c r="Y114" s="8">
        <v>-1.8487674883411079E-2</v>
      </c>
      <c r="Z114" s="8">
        <v>-1.612082131342274E-2</v>
      </c>
      <c r="AA114" s="8">
        <v>1.552259399792977E-3</v>
      </c>
    </row>
    <row r="115" spans="2:27" x14ac:dyDescent="0.3">
      <c r="B115" s="12" t="s">
        <v>183</v>
      </c>
      <c r="C115" s="3" t="s">
        <v>642</v>
      </c>
      <c r="D115" s="3" t="s">
        <v>693</v>
      </c>
      <c r="E115" s="3" t="s">
        <v>650</v>
      </c>
      <c r="F115" s="5">
        <v>0.1</v>
      </c>
      <c r="G115" s="4">
        <v>715.36</v>
      </c>
      <c r="H115" s="4">
        <v>678.19</v>
      </c>
      <c r="I115" s="4">
        <v>914.19</v>
      </c>
      <c r="J115" s="4">
        <v>884.21</v>
      </c>
      <c r="K115" s="4">
        <v>655.16999999999996</v>
      </c>
      <c r="L115" s="4">
        <v>617.55999999999995</v>
      </c>
      <c r="M115" s="4">
        <v>778.05</v>
      </c>
      <c r="N115" s="4">
        <v>780.22</v>
      </c>
      <c r="O115" s="4">
        <v>662.37</v>
      </c>
      <c r="P115" s="4">
        <v>653.84</v>
      </c>
      <c r="Q115" s="4">
        <v>815.34</v>
      </c>
      <c r="R115" s="4">
        <v>782.61</v>
      </c>
      <c r="S115" s="4">
        <v>690.54</v>
      </c>
      <c r="T115" s="4">
        <v>615.76</v>
      </c>
      <c r="U115" s="4">
        <v>829.88</v>
      </c>
      <c r="V115" s="4">
        <v>850.38</v>
      </c>
      <c r="W115" s="4">
        <v>693.35</v>
      </c>
      <c r="X115" s="10">
        <v>-1.294212409892836E-2</v>
      </c>
      <c r="Y115" s="8">
        <v>5.0064560557803173E-3</v>
      </c>
      <c r="Z115" s="8">
        <v>2.3218525484875571E-2</v>
      </c>
      <c r="AA115" s="8">
        <v>9.4088181720763941E-4</v>
      </c>
    </row>
    <row r="116" spans="2:27" x14ac:dyDescent="0.3">
      <c r="B116" s="12" t="s">
        <v>243</v>
      </c>
      <c r="C116" s="3" t="s">
        <v>642</v>
      </c>
      <c r="D116" s="3" t="s">
        <v>663</v>
      </c>
      <c r="E116" s="3" t="s">
        <v>648</v>
      </c>
      <c r="F116" s="5">
        <v>0.1</v>
      </c>
      <c r="G116" s="4">
        <v>2281</v>
      </c>
      <c r="H116" s="4">
        <v>2186</v>
      </c>
      <c r="I116" s="4">
        <v>2253</v>
      </c>
      <c r="J116" s="4">
        <v>2280</v>
      </c>
      <c r="K116" s="4">
        <v>2283</v>
      </c>
      <c r="L116" s="4">
        <v>2144</v>
      </c>
      <c r="M116" s="4">
        <v>2250</v>
      </c>
      <c r="N116" s="4">
        <v>2271</v>
      </c>
      <c r="O116" s="4">
        <v>2288</v>
      </c>
      <c r="P116" s="4">
        <v>2162</v>
      </c>
      <c r="Q116" s="4">
        <v>2178</v>
      </c>
      <c r="R116" s="4">
        <v>2171</v>
      </c>
      <c r="S116" s="4">
        <v>2188</v>
      </c>
      <c r="T116" s="4">
        <v>2068</v>
      </c>
      <c r="U116" s="4">
        <v>2138</v>
      </c>
      <c r="V116" s="4">
        <v>2159</v>
      </c>
      <c r="W116" s="4">
        <v>2193</v>
      </c>
      <c r="X116" s="10">
        <v>-1.080583975169558E-2</v>
      </c>
      <c r="Y116" s="8">
        <v>-4.6484601975596007E-3</v>
      </c>
      <c r="Z116" s="8">
        <v>-1.4010507880910521E-3</v>
      </c>
      <c r="AA116" s="8">
        <v>5.8459020226830916E-4</v>
      </c>
    </row>
    <row r="117" spans="2:27" x14ac:dyDescent="0.3">
      <c r="B117" s="12" t="s">
        <v>162</v>
      </c>
      <c r="C117" s="3" t="s">
        <v>642</v>
      </c>
      <c r="D117" s="3" t="s">
        <v>689</v>
      </c>
      <c r="E117" s="3" t="s">
        <v>648</v>
      </c>
      <c r="F117" s="5">
        <v>0.1</v>
      </c>
      <c r="G117" s="4">
        <v>2979</v>
      </c>
      <c r="H117" s="4">
        <v>2981</v>
      </c>
      <c r="I117" s="4">
        <v>3040</v>
      </c>
      <c r="J117" s="4">
        <v>2959</v>
      </c>
      <c r="K117" s="4">
        <v>3005</v>
      </c>
      <c r="L117" s="4">
        <v>3036</v>
      </c>
      <c r="M117" s="4">
        <v>3112</v>
      </c>
      <c r="N117" s="4">
        <v>3093</v>
      </c>
      <c r="O117" s="4">
        <v>3145</v>
      </c>
      <c r="P117" s="4">
        <v>3200</v>
      </c>
      <c r="Q117" s="4">
        <v>3233</v>
      </c>
      <c r="R117" s="4">
        <v>3217</v>
      </c>
      <c r="S117" s="4">
        <v>3237</v>
      </c>
      <c r="T117" s="4">
        <v>3092</v>
      </c>
      <c r="U117" s="4">
        <v>3361</v>
      </c>
      <c r="V117" s="4">
        <v>3378</v>
      </c>
      <c r="W117" s="4">
        <v>3244</v>
      </c>
      <c r="X117" s="10">
        <v>-8.3805385271980004E-3</v>
      </c>
      <c r="Y117" s="8">
        <v>1.001643321073642E-2</v>
      </c>
      <c r="Z117" s="8">
        <v>1.2473851398465911E-2</v>
      </c>
      <c r="AA117" s="8">
        <v>5.3565962656865196E-4</v>
      </c>
    </row>
    <row r="118" spans="2:27" x14ac:dyDescent="0.3">
      <c r="B118" s="12" t="s">
        <v>569</v>
      </c>
      <c r="C118" s="3" t="s">
        <v>642</v>
      </c>
      <c r="D118" s="3" t="s">
        <v>670</v>
      </c>
      <c r="E118" s="3" t="s">
        <v>644</v>
      </c>
      <c r="F118" s="5">
        <v>-0.1</v>
      </c>
      <c r="G118" s="4">
        <v>289.3</v>
      </c>
      <c r="H118" s="4">
        <v>274.5</v>
      </c>
      <c r="I118" s="4">
        <v>291.10000000000002</v>
      </c>
      <c r="J118" s="4">
        <v>274.60000000000002</v>
      </c>
      <c r="K118" s="4">
        <v>275.7</v>
      </c>
      <c r="L118" s="4">
        <v>277.10000000000002</v>
      </c>
      <c r="M118" s="4">
        <v>286.10000000000002</v>
      </c>
      <c r="N118" s="4">
        <v>281.89999999999998</v>
      </c>
      <c r="O118" s="4">
        <v>277.3</v>
      </c>
      <c r="P118" s="4">
        <v>287.2</v>
      </c>
      <c r="Q118" s="4">
        <v>272.5</v>
      </c>
      <c r="R118" s="4">
        <v>286.10000000000002</v>
      </c>
      <c r="S118" s="4">
        <v>261.89999999999998</v>
      </c>
      <c r="T118" s="4">
        <v>259</v>
      </c>
      <c r="U118" s="4">
        <v>295.5</v>
      </c>
      <c r="V118" s="4">
        <v>264</v>
      </c>
      <c r="W118" s="4">
        <v>261.2</v>
      </c>
      <c r="X118" s="10">
        <v>-2.5458156540579591E-2</v>
      </c>
      <c r="Y118" s="8">
        <v>2.130616025937937E-2</v>
      </c>
      <c r="Z118" s="8">
        <v>-2.0045351473922831E-2</v>
      </c>
      <c r="AA118" s="8">
        <v>-6.4790818215476609E-4</v>
      </c>
    </row>
    <row r="119" spans="2:27" x14ac:dyDescent="0.3">
      <c r="B119" s="12" t="s">
        <v>120</v>
      </c>
      <c r="C119" s="3" t="s">
        <v>642</v>
      </c>
      <c r="D119" s="3" t="s">
        <v>701</v>
      </c>
      <c r="E119" s="3" t="s">
        <v>648</v>
      </c>
      <c r="F119" s="5">
        <v>-0.1</v>
      </c>
      <c r="G119" s="4">
        <v>6209</v>
      </c>
      <c r="H119" s="4">
        <v>5850</v>
      </c>
      <c r="I119" s="4">
        <v>5861</v>
      </c>
      <c r="J119" s="4">
        <v>6024</v>
      </c>
      <c r="K119" s="4">
        <v>6439</v>
      </c>
      <c r="L119" s="4">
        <v>6054</v>
      </c>
      <c r="M119" s="4">
        <v>6066</v>
      </c>
      <c r="N119" s="4">
        <v>6080</v>
      </c>
      <c r="O119" s="4">
        <v>6473</v>
      </c>
      <c r="P119" s="4">
        <v>6011</v>
      </c>
      <c r="Q119" s="4">
        <v>6005</v>
      </c>
      <c r="R119" s="4">
        <v>5971</v>
      </c>
      <c r="S119" s="4">
        <v>6422</v>
      </c>
      <c r="T119" s="4">
        <v>5930</v>
      </c>
      <c r="U119" s="4">
        <v>6085</v>
      </c>
      <c r="V119" s="4">
        <v>6049</v>
      </c>
      <c r="W119" s="4">
        <v>6404</v>
      </c>
      <c r="X119" s="10">
        <v>-3.3184481134007631E-3</v>
      </c>
      <c r="Y119" s="8">
        <v>3.2883919763235792E-3</v>
      </c>
      <c r="Z119" s="8">
        <v>3.1956735496558859E-3</v>
      </c>
      <c r="AA119" s="8">
        <v>-7.3511394266112529E-4</v>
      </c>
    </row>
    <row r="120" spans="2:27" x14ac:dyDescent="0.3">
      <c r="B120" s="12" t="s">
        <v>326</v>
      </c>
      <c r="C120" s="3" t="s">
        <v>642</v>
      </c>
      <c r="D120" s="3" t="s">
        <v>702</v>
      </c>
      <c r="E120" s="3" t="s">
        <v>648</v>
      </c>
      <c r="F120" s="5">
        <v>-0.1</v>
      </c>
      <c r="G120" s="4">
        <v>1443</v>
      </c>
      <c r="H120" s="4">
        <v>1107</v>
      </c>
      <c r="I120" s="4">
        <v>1010</v>
      </c>
      <c r="J120" s="4">
        <v>1002</v>
      </c>
      <c r="K120" s="4">
        <v>1322</v>
      </c>
      <c r="L120" s="4">
        <v>1430</v>
      </c>
      <c r="M120" s="4">
        <v>1091</v>
      </c>
      <c r="N120" s="4">
        <v>1001</v>
      </c>
      <c r="O120" s="4">
        <v>-1719</v>
      </c>
      <c r="P120" s="4">
        <v>588.28</v>
      </c>
      <c r="Q120" s="4">
        <v>344.47</v>
      </c>
      <c r="R120" s="4">
        <v>289.69</v>
      </c>
      <c r="S120" s="4">
        <v>535.5</v>
      </c>
      <c r="T120" s="4">
        <v>674.83</v>
      </c>
      <c r="U120" s="4">
        <v>351.19</v>
      </c>
      <c r="V120" s="4">
        <v>315.04000000000002</v>
      </c>
      <c r="W120" s="4">
        <v>534</v>
      </c>
      <c r="X120" s="10">
        <v>4.9233762244445201E-2</v>
      </c>
      <c r="Y120" s="8">
        <v>3.6432835092627962E-3</v>
      </c>
      <c r="Z120" s="8">
        <v>1.369374625245112E-2</v>
      </c>
      <c r="AA120" s="8">
        <v>-7.9933495331885318E-4</v>
      </c>
    </row>
    <row r="121" spans="2:27" x14ac:dyDescent="0.3">
      <c r="B121" s="12" t="s">
        <v>205</v>
      </c>
      <c r="C121" s="3" t="s">
        <v>642</v>
      </c>
      <c r="D121" s="3" t="s">
        <v>659</v>
      </c>
      <c r="E121" s="3" t="s">
        <v>646</v>
      </c>
      <c r="F121" s="5">
        <v>-0.2</v>
      </c>
      <c r="G121" s="4">
        <v>876.8</v>
      </c>
      <c r="H121" s="4">
        <v>882.28</v>
      </c>
      <c r="I121" s="4">
        <v>902.45</v>
      </c>
      <c r="J121" s="4">
        <v>852.04</v>
      </c>
      <c r="K121" s="4">
        <v>897.44</v>
      </c>
      <c r="L121" s="6">
        <v>1245</v>
      </c>
      <c r="M121" s="6">
        <v>1491</v>
      </c>
      <c r="N121" s="6">
        <v>1425</v>
      </c>
      <c r="O121" s="6">
        <v>1535</v>
      </c>
      <c r="P121" s="4">
        <v>1447</v>
      </c>
      <c r="Q121" s="4">
        <v>1362</v>
      </c>
      <c r="R121" s="4">
        <v>1269</v>
      </c>
      <c r="S121" s="4">
        <v>1335</v>
      </c>
      <c r="T121" s="4">
        <v>1254</v>
      </c>
      <c r="U121" s="4">
        <v>1311</v>
      </c>
      <c r="V121" s="4">
        <v>1288</v>
      </c>
      <c r="W121" s="4">
        <v>1327</v>
      </c>
      <c r="X121" s="10">
        <v>-3.5654904858673508E-2</v>
      </c>
      <c r="Y121" s="8">
        <v>-9.7701149425287737E-3</v>
      </c>
      <c r="Z121" s="8">
        <v>3.6757593344940438E-3</v>
      </c>
      <c r="AA121" s="8">
        <v>-1.542020046260584E-3</v>
      </c>
    </row>
    <row r="122" spans="2:27" x14ac:dyDescent="0.3">
      <c r="B122" s="12" t="s">
        <v>426</v>
      </c>
      <c r="C122" s="3" t="s">
        <v>642</v>
      </c>
      <c r="D122" s="3" t="s">
        <v>647</v>
      </c>
      <c r="E122" s="3" t="s">
        <v>650</v>
      </c>
      <c r="F122" s="5">
        <v>-0.2</v>
      </c>
      <c r="G122" s="4">
        <v>262.19</v>
      </c>
      <c r="H122" s="4">
        <v>191.19</v>
      </c>
      <c r="I122" s="4">
        <v>208.81</v>
      </c>
      <c r="J122" s="4">
        <v>228.08</v>
      </c>
      <c r="K122" s="4">
        <v>269.54000000000002</v>
      </c>
      <c r="L122" s="4">
        <v>208.09</v>
      </c>
      <c r="M122" s="4">
        <v>211.14</v>
      </c>
      <c r="N122" s="4">
        <v>196.8</v>
      </c>
      <c r="O122" s="4">
        <v>218.07</v>
      </c>
      <c r="P122" s="4">
        <v>203.44</v>
      </c>
      <c r="Q122" s="4">
        <v>174.57</v>
      </c>
      <c r="R122" s="4">
        <v>191.11</v>
      </c>
      <c r="S122" s="4">
        <v>252.02</v>
      </c>
      <c r="T122" s="4">
        <v>204.99</v>
      </c>
      <c r="U122" s="4">
        <v>186.75</v>
      </c>
      <c r="V122" s="4">
        <v>219.02</v>
      </c>
      <c r="W122" s="4">
        <v>250.68</v>
      </c>
      <c r="X122" s="10">
        <v>1.8876196507295879E-3</v>
      </c>
      <c r="Y122" s="8">
        <v>1.48050906173649E-2</v>
      </c>
      <c r="Z122" s="8">
        <v>3.3430354426437603E-2</v>
      </c>
      <c r="AA122" s="8">
        <v>-1.553118987459023E-3</v>
      </c>
    </row>
    <row r="123" spans="2:27" x14ac:dyDescent="0.3">
      <c r="B123" s="12" t="s">
        <v>486</v>
      </c>
      <c r="C123" s="3" t="s">
        <v>642</v>
      </c>
      <c r="D123" s="3" t="s">
        <v>702</v>
      </c>
      <c r="E123" s="3" t="s">
        <v>644</v>
      </c>
      <c r="F123" s="5">
        <v>-0.2</v>
      </c>
      <c r="G123" s="4">
        <v>375.41</v>
      </c>
      <c r="H123" s="4">
        <v>588.1</v>
      </c>
      <c r="I123" s="4">
        <v>300.33</v>
      </c>
      <c r="J123" s="4">
        <v>237.63</v>
      </c>
      <c r="K123" s="4">
        <v>397.47</v>
      </c>
      <c r="L123" s="4">
        <v>526.5</v>
      </c>
      <c r="M123" s="4">
        <v>278.63</v>
      </c>
      <c r="N123" s="4">
        <v>226.6</v>
      </c>
      <c r="O123" s="4">
        <v>365.83</v>
      </c>
      <c r="P123" s="4">
        <v>498.09</v>
      </c>
      <c r="Q123" s="4">
        <v>254.61</v>
      </c>
      <c r="R123" s="4">
        <v>208.64</v>
      </c>
      <c r="S123" s="4">
        <v>373.33</v>
      </c>
      <c r="T123" s="4">
        <v>587.66</v>
      </c>
      <c r="U123" s="4">
        <v>260.14999999999998</v>
      </c>
      <c r="V123" s="4">
        <v>211.38</v>
      </c>
      <c r="W123" s="4">
        <v>370.39</v>
      </c>
      <c r="X123" s="10">
        <v>6.7110222002442432E-2</v>
      </c>
      <c r="Y123" s="8">
        <v>3.889793854968238E-3</v>
      </c>
      <c r="Z123" s="8">
        <v>1.9163787435829689E-3</v>
      </c>
      <c r="AA123" s="8">
        <v>-2.052327367157214E-3</v>
      </c>
    </row>
    <row r="124" spans="2:27" x14ac:dyDescent="0.3">
      <c r="B124" s="12" t="s">
        <v>527</v>
      </c>
      <c r="C124" s="3" t="s">
        <v>642</v>
      </c>
      <c r="D124" s="3" t="s">
        <v>671</v>
      </c>
      <c r="E124" s="3" t="s">
        <v>644</v>
      </c>
      <c r="F124" s="5">
        <v>-0.2</v>
      </c>
      <c r="G124" s="4">
        <v>66.709999999999994</v>
      </c>
      <c r="H124" s="4">
        <v>68.28</v>
      </c>
      <c r="I124" s="4">
        <v>69.87</v>
      </c>
      <c r="J124" s="4">
        <v>75.2</v>
      </c>
      <c r="K124" s="4">
        <v>72.28</v>
      </c>
      <c r="L124" s="4">
        <v>81.45</v>
      </c>
      <c r="M124" s="4">
        <v>80.77</v>
      </c>
      <c r="N124" s="4">
        <v>79.959999999999994</v>
      </c>
      <c r="O124" s="4">
        <v>71.33</v>
      </c>
      <c r="P124" s="4">
        <v>91.45</v>
      </c>
      <c r="Q124" s="4">
        <v>93.61</v>
      </c>
      <c r="R124" s="4">
        <v>106.93</v>
      </c>
      <c r="S124" s="6">
        <v>122.33</v>
      </c>
      <c r="T124" s="4">
        <v>116.38</v>
      </c>
      <c r="U124" s="4">
        <v>119.88</v>
      </c>
      <c r="V124" s="4">
        <v>118.09</v>
      </c>
      <c r="W124" s="4">
        <v>121.22</v>
      </c>
      <c r="X124" s="10">
        <v>6.0170882409731563E-2</v>
      </c>
      <c r="Y124" s="8">
        <v>5.9806488332384777E-2</v>
      </c>
      <c r="Z124" s="8">
        <v>2.397319126997766E-2</v>
      </c>
      <c r="AA124" s="8">
        <v>-2.3286061928338149E-3</v>
      </c>
    </row>
    <row r="125" spans="2:27" x14ac:dyDescent="0.3">
      <c r="B125" s="12" t="s">
        <v>396</v>
      </c>
      <c r="C125" s="3" t="s">
        <v>642</v>
      </c>
      <c r="D125" s="3" t="s">
        <v>661</v>
      </c>
      <c r="E125" s="3" t="s">
        <v>648</v>
      </c>
      <c r="F125" s="5">
        <v>-0.3</v>
      </c>
      <c r="G125" s="4">
        <v>2566</v>
      </c>
      <c r="H125" s="4">
        <v>2651</v>
      </c>
      <c r="I125" s="4">
        <v>2743</v>
      </c>
      <c r="J125" s="4">
        <v>2534</v>
      </c>
      <c r="K125" s="4">
        <v>2503</v>
      </c>
      <c r="L125" s="4">
        <v>2324</v>
      </c>
      <c r="M125" s="4">
        <v>2350</v>
      </c>
      <c r="N125" s="4">
        <v>2266</v>
      </c>
      <c r="O125" s="4">
        <v>2236</v>
      </c>
      <c r="P125" s="4">
        <v>2379</v>
      </c>
      <c r="Q125" s="4">
        <v>2162</v>
      </c>
      <c r="R125" s="4">
        <v>2088</v>
      </c>
      <c r="S125" s="4">
        <v>2073</v>
      </c>
      <c r="T125" s="4">
        <v>2104</v>
      </c>
      <c r="U125" s="4">
        <v>2091</v>
      </c>
      <c r="V125" s="4">
        <v>2004</v>
      </c>
      <c r="W125" s="4">
        <v>2048</v>
      </c>
      <c r="X125" s="10">
        <v>-3.1601930590668847E-2</v>
      </c>
      <c r="Y125" s="8">
        <v>-8.4252996321347862E-3</v>
      </c>
      <c r="Z125" s="8">
        <v>-1.005265677357592E-2</v>
      </c>
      <c r="AA125" s="8">
        <v>-3.0222437137330531E-3</v>
      </c>
    </row>
    <row r="126" spans="2:27" x14ac:dyDescent="0.3">
      <c r="B126" s="12" t="s">
        <v>436</v>
      </c>
      <c r="C126" s="3" t="s">
        <v>642</v>
      </c>
      <c r="D126" s="3" t="s">
        <v>658</v>
      </c>
      <c r="E126" s="3" t="s">
        <v>648</v>
      </c>
      <c r="F126" s="5">
        <v>-0.5</v>
      </c>
      <c r="G126" s="4">
        <v>172.65</v>
      </c>
      <c r="H126" s="4">
        <v>182.15</v>
      </c>
      <c r="I126" s="4">
        <v>183.99</v>
      </c>
      <c r="J126" s="4">
        <v>160.22999999999999</v>
      </c>
      <c r="K126" s="4">
        <v>124.77</v>
      </c>
      <c r="L126" s="4">
        <v>106.3</v>
      </c>
      <c r="M126" s="4">
        <v>123.22</v>
      </c>
      <c r="N126" s="4">
        <v>125.51</v>
      </c>
      <c r="O126" s="4">
        <v>89.51</v>
      </c>
      <c r="P126" s="4">
        <v>91.69</v>
      </c>
      <c r="Q126" s="4">
        <v>106.2</v>
      </c>
      <c r="R126" s="4">
        <v>115.84</v>
      </c>
      <c r="S126" s="4">
        <v>105.25</v>
      </c>
      <c r="T126" s="4">
        <v>105.53</v>
      </c>
      <c r="U126" s="4">
        <v>115.85</v>
      </c>
      <c r="V126" s="4">
        <v>118.92</v>
      </c>
      <c r="W126" s="4">
        <v>103.2</v>
      </c>
      <c r="X126" s="10">
        <v>3.3032602988209307E-2</v>
      </c>
      <c r="Y126" s="8">
        <v>2.229564253038219E-2</v>
      </c>
      <c r="Z126" s="8">
        <v>6.9609239044454707E-3</v>
      </c>
      <c r="AA126" s="8">
        <v>-4.6010548759959358E-3</v>
      </c>
    </row>
    <row r="127" spans="2:27" x14ac:dyDescent="0.3">
      <c r="B127" s="12" t="s">
        <v>17</v>
      </c>
      <c r="C127" s="3" t="s">
        <v>642</v>
      </c>
      <c r="D127" s="3" t="s">
        <v>703</v>
      </c>
      <c r="E127" s="3" t="s">
        <v>648</v>
      </c>
      <c r="F127" s="5">
        <v>-0.5</v>
      </c>
      <c r="G127" s="4">
        <v>4405</v>
      </c>
      <c r="H127" s="4">
        <v>4659</v>
      </c>
      <c r="I127" s="4">
        <v>6118</v>
      </c>
      <c r="J127" s="4">
        <v>6402</v>
      </c>
      <c r="K127" s="4">
        <v>5795</v>
      </c>
      <c r="L127" s="4">
        <v>6463</v>
      </c>
      <c r="M127" s="4">
        <v>6561</v>
      </c>
      <c r="N127" s="4">
        <v>7667</v>
      </c>
      <c r="O127" s="4">
        <v>6471</v>
      </c>
      <c r="P127" s="4">
        <v>7666</v>
      </c>
      <c r="Q127" s="4">
        <v>8196</v>
      </c>
      <c r="R127" s="4">
        <v>7503</v>
      </c>
      <c r="S127" s="4">
        <v>8205</v>
      </c>
      <c r="T127" s="4">
        <v>8120</v>
      </c>
      <c r="U127" s="4">
        <v>7549</v>
      </c>
      <c r="V127" s="4">
        <v>7760</v>
      </c>
      <c r="W127" s="4">
        <v>8050</v>
      </c>
      <c r="X127" s="10">
        <v>1.4380741210009431E-2</v>
      </c>
      <c r="Y127" s="8">
        <v>-2.0203597302023479E-2</v>
      </c>
      <c r="Z127" s="8">
        <v>8.1907129426013192E-3</v>
      </c>
      <c r="AA127" s="8">
        <v>-4.8997913637225388E-3</v>
      </c>
    </row>
    <row r="128" spans="2:27" x14ac:dyDescent="0.3">
      <c r="B128" s="12" t="s">
        <v>432</v>
      </c>
      <c r="C128" s="3" t="s">
        <v>642</v>
      </c>
      <c r="D128" s="3" t="s">
        <v>688</v>
      </c>
      <c r="E128" s="3" t="s">
        <v>648</v>
      </c>
      <c r="F128" s="5">
        <v>-0.6</v>
      </c>
      <c r="G128" s="4">
        <v>765.22</v>
      </c>
      <c r="H128" s="4">
        <v>764.61</v>
      </c>
      <c r="I128" s="4">
        <v>836.28</v>
      </c>
      <c r="J128" s="4">
        <v>827.61</v>
      </c>
      <c r="K128" s="4">
        <v>861.49</v>
      </c>
      <c r="L128" s="4">
        <v>832.71</v>
      </c>
      <c r="M128" s="4">
        <v>811.1</v>
      </c>
      <c r="N128" s="4">
        <v>817.74</v>
      </c>
      <c r="O128" s="4">
        <v>821.95</v>
      </c>
      <c r="P128" s="4">
        <v>769.08</v>
      </c>
      <c r="Q128" s="4">
        <v>760.8</v>
      </c>
      <c r="R128" s="4">
        <v>745.7</v>
      </c>
      <c r="S128" s="4">
        <v>754.68</v>
      </c>
      <c r="T128" s="4">
        <v>712.11</v>
      </c>
      <c r="U128" s="4">
        <v>753.15</v>
      </c>
      <c r="V128" s="4">
        <v>771.5</v>
      </c>
      <c r="W128" s="4">
        <v>737.64</v>
      </c>
      <c r="X128" s="10">
        <v>-1.8800366965211038E-2</v>
      </c>
      <c r="Y128" s="8">
        <v>-2.5729074526871232E-3</v>
      </c>
      <c r="Z128" s="8">
        <v>8.6996398753727E-3</v>
      </c>
      <c r="AA128" s="8">
        <v>-5.6962533094429002E-3</v>
      </c>
    </row>
    <row r="129" spans="2:27" x14ac:dyDescent="0.3">
      <c r="B129" s="12" t="s">
        <v>368</v>
      </c>
      <c r="C129" s="3" t="s">
        <v>642</v>
      </c>
      <c r="D129" s="3" t="s">
        <v>704</v>
      </c>
      <c r="E129" s="3" t="s">
        <v>650</v>
      </c>
      <c r="F129" s="5">
        <v>-0.6</v>
      </c>
      <c r="G129" s="4">
        <v>274.47000000000003</v>
      </c>
      <c r="H129" s="4">
        <v>266.94</v>
      </c>
      <c r="I129" s="4">
        <v>277.06</v>
      </c>
      <c r="J129" s="4">
        <v>289.27</v>
      </c>
      <c r="K129" s="4">
        <v>275.52</v>
      </c>
      <c r="L129" s="4">
        <v>285.87</v>
      </c>
      <c r="M129" s="4">
        <v>279.31</v>
      </c>
      <c r="N129" s="4">
        <v>286.32</v>
      </c>
      <c r="O129" s="4">
        <v>282.74</v>
      </c>
      <c r="P129" s="4">
        <v>276.99</v>
      </c>
      <c r="Q129" s="4">
        <v>267.14</v>
      </c>
      <c r="R129" s="4">
        <v>283.79000000000002</v>
      </c>
      <c r="S129" s="4">
        <v>290.32</v>
      </c>
      <c r="T129" s="4">
        <v>296.52</v>
      </c>
      <c r="U129" s="4">
        <v>249.53</v>
      </c>
      <c r="V129" s="4">
        <v>274.11</v>
      </c>
      <c r="W129" s="4">
        <v>283.44</v>
      </c>
      <c r="X129" s="10">
        <v>1.7464944913435421E-2</v>
      </c>
      <c r="Y129" s="8">
        <v>-1.5477644866712881E-2</v>
      </c>
      <c r="Z129" s="8">
        <v>-8.6416226253392958E-3</v>
      </c>
      <c r="AA129" s="8">
        <v>-6.1955190548231842E-3</v>
      </c>
    </row>
    <row r="130" spans="2:27" x14ac:dyDescent="0.3">
      <c r="B130" s="12" t="s">
        <v>319</v>
      </c>
      <c r="C130" s="3" t="s">
        <v>642</v>
      </c>
      <c r="D130" s="3" t="s">
        <v>705</v>
      </c>
      <c r="E130" s="3" t="s">
        <v>648</v>
      </c>
      <c r="F130" s="5">
        <v>-0.7</v>
      </c>
      <c r="G130" s="4">
        <v>332.15</v>
      </c>
      <c r="H130" s="4">
        <v>377.84</v>
      </c>
      <c r="I130" s="4">
        <v>484.65</v>
      </c>
      <c r="J130" s="4">
        <v>482.96</v>
      </c>
      <c r="K130" s="4">
        <v>349.04</v>
      </c>
      <c r="L130" s="4">
        <v>308.38</v>
      </c>
      <c r="M130" s="4">
        <v>280.29000000000002</v>
      </c>
      <c r="N130" s="4">
        <v>315.68</v>
      </c>
      <c r="O130" s="4">
        <v>322.63</v>
      </c>
      <c r="P130" s="4">
        <v>319.42</v>
      </c>
      <c r="Q130" s="4">
        <v>336.73</v>
      </c>
      <c r="R130" s="4">
        <v>333.14</v>
      </c>
      <c r="S130" s="4">
        <v>326.61</v>
      </c>
      <c r="T130" s="4">
        <v>350.3</v>
      </c>
      <c r="U130" s="4">
        <v>318.98</v>
      </c>
      <c r="V130" s="4">
        <v>324.94</v>
      </c>
      <c r="W130" s="4">
        <v>317.63</v>
      </c>
      <c r="X130" s="10">
        <v>2.3466828786381951E-2</v>
      </c>
      <c r="Y130" s="8">
        <v>-1.3179583896404719E-2</v>
      </c>
      <c r="Z130" s="8">
        <v>-6.1699133954840057E-3</v>
      </c>
      <c r="AA130" s="8">
        <v>-6.7987553280891566E-3</v>
      </c>
    </row>
    <row r="131" spans="2:27" x14ac:dyDescent="0.3">
      <c r="B131" s="12" t="s">
        <v>384</v>
      </c>
      <c r="C131" s="3" t="s">
        <v>642</v>
      </c>
      <c r="D131" s="3" t="s">
        <v>706</v>
      </c>
      <c r="E131" s="3" t="s">
        <v>646</v>
      </c>
      <c r="F131" s="5">
        <v>-0.7</v>
      </c>
      <c r="G131" s="4">
        <v>1134</v>
      </c>
      <c r="H131" s="4">
        <v>964.3</v>
      </c>
      <c r="I131" s="4">
        <v>678.7</v>
      </c>
      <c r="J131" s="4">
        <v>616.5</v>
      </c>
      <c r="K131" s="4">
        <v>792.7</v>
      </c>
      <c r="L131" s="4">
        <v>748.9</v>
      </c>
      <c r="M131" s="4">
        <v>642.1</v>
      </c>
      <c r="N131" s="4">
        <v>595.5</v>
      </c>
      <c r="O131" s="4">
        <v>743.6</v>
      </c>
      <c r="P131" s="4">
        <v>717.7</v>
      </c>
      <c r="Q131" s="4">
        <v>643.6</v>
      </c>
      <c r="R131" s="4">
        <v>586</v>
      </c>
      <c r="S131" s="4">
        <v>674</v>
      </c>
      <c r="T131" s="4">
        <v>624</v>
      </c>
      <c r="U131" s="4">
        <v>606.9</v>
      </c>
      <c r="V131" s="4">
        <v>550.79999999999995</v>
      </c>
      <c r="W131" s="4">
        <v>656.5</v>
      </c>
      <c r="X131" s="10">
        <v>-3.5745622401098798E-2</v>
      </c>
      <c r="Y131" s="8">
        <v>-1.451970248457024E-2</v>
      </c>
      <c r="Z131" s="8">
        <v>-1.413143843590681E-2</v>
      </c>
      <c r="AA131" s="8">
        <v>-7.1262776397768013E-3</v>
      </c>
    </row>
    <row r="132" spans="2:27" x14ac:dyDescent="0.3">
      <c r="B132" s="12" t="s">
        <v>330</v>
      </c>
      <c r="C132" s="3" t="s">
        <v>642</v>
      </c>
      <c r="D132" s="3" t="s">
        <v>707</v>
      </c>
      <c r="E132" s="3" t="s">
        <v>650</v>
      </c>
      <c r="F132" s="5">
        <v>-0.7</v>
      </c>
      <c r="G132" s="4">
        <v>259.77</v>
      </c>
      <c r="H132" s="4">
        <v>265</v>
      </c>
      <c r="I132" s="4">
        <v>261.45999999999998</v>
      </c>
      <c r="J132" s="4">
        <v>297.49</v>
      </c>
      <c r="K132" s="4">
        <v>305.3</v>
      </c>
      <c r="L132" s="4">
        <v>304.42</v>
      </c>
      <c r="M132" s="4">
        <v>311.33</v>
      </c>
      <c r="N132" s="4">
        <v>318.18</v>
      </c>
      <c r="O132" s="4">
        <v>336.25</v>
      </c>
      <c r="P132" s="4">
        <v>343.29</v>
      </c>
      <c r="Q132" s="4">
        <v>336.17</v>
      </c>
      <c r="R132" s="4">
        <v>345.51</v>
      </c>
      <c r="S132" s="4">
        <v>348.54</v>
      </c>
      <c r="T132" s="4">
        <v>330.6</v>
      </c>
      <c r="U132" s="4">
        <v>321.39</v>
      </c>
      <c r="V132" s="4">
        <v>327.32</v>
      </c>
      <c r="W132" s="4">
        <v>338.97</v>
      </c>
      <c r="X132" s="10">
        <v>-9.2391027367837442E-3</v>
      </c>
      <c r="Y132" s="8">
        <v>-1.0861098455343219E-2</v>
      </c>
      <c r="Z132" s="8">
        <v>-1.351371430269532E-2</v>
      </c>
      <c r="AA132" s="8">
        <v>-7.2071393606204506E-3</v>
      </c>
    </row>
    <row r="133" spans="2:27" x14ac:dyDescent="0.3">
      <c r="B133" s="12" t="s">
        <v>558</v>
      </c>
      <c r="C133" s="3" t="s">
        <v>642</v>
      </c>
      <c r="D133" s="3" t="s">
        <v>681</v>
      </c>
      <c r="E133" s="3" t="s">
        <v>648</v>
      </c>
      <c r="F133" s="5">
        <v>-0.7</v>
      </c>
      <c r="G133" s="4">
        <v>135.44999999999999</v>
      </c>
      <c r="H133" s="4">
        <v>152.22</v>
      </c>
      <c r="I133" s="4">
        <v>153.11000000000001</v>
      </c>
      <c r="J133" s="4">
        <v>158.43</v>
      </c>
      <c r="K133" s="4">
        <v>165.33</v>
      </c>
      <c r="L133" s="4">
        <v>176.43</v>
      </c>
      <c r="M133" s="4">
        <v>178.24</v>
      </c>
      <c r="N133" s="4">
        <v>184.72</v>
      </c>
      <c r="O133" s="4">
        <v>189.55</v>
      </c>
      <c r="P133" s="4">
        <v>196.85</v>
      </c>
      <c r="Q133" s="4">
        <v>194.36</v>
      </c>
      <c r="R133" s="4">
        <v>195.42</v>
      </c>
      <c r="S133" s="4">
        <v>199.94</v>
      </c>
      <c r="T133" s="4">
        <v>200.3</v>
      </c>
      <c r="U133" s="4">
        <v>199.88</v>
      </c>
      <c r="V133" s="4">
        <v>195.68</v>
      </c>
      <c r="W133" s="4">
        <v>193.99</v>
      </c>
      <c r="X133" s="10">
        <v>4.3861321942104681E-3</v>
      </c>
      <c r="Y133" s="8">
        <v>6.987164881901764E-3</v>
      </c>
      <c r="Z133" s="8">
        <v>3.2682203283296302E-4</v>
      </c>
      <c r="AA133" s="8">
        <v>-7.4767529530032073E-3</v>
      </c>
    </row>
    <row r="134" spans="2:27" x14ac:dyDescent="0.3">
      <c r="B134" s="12" t="s">
        <v>488</v>
      </c>
      <c r="C134" s="3" t="s">
        <v>642</v>
      </c>
      <c r="D134" s="3" t="s">
        <v>721</v>
      </c>
      <c r="E134" s="3" t="s">
        <v>717</v>
      </c>
      <c r="F134" s="5">
        <v>-0.7</v>
      </c>
      <c r="G134" s="4">
        <v>43.13</v>
      </c>
      <c r="H134" s="4">
        <v>63.57</v>
      </c>
      <c r="I134" s="4">
        <v>73.36</v>
      </c>
      <c r="J134" s="4">
        <v>73.959999999999994</v>
      </c>
      <c r="K134" s="6">
        <v>71.86</v>
      </c>
      <c r="L134" s="4">
        <v>79.900000000000006</v>
      </c>
      <c r="M134" s="4">
        <v>81.02</v>
      </c>
      <c r="N134" s="4">
        <v>88.54</v>
      </c>
      <c r="O134" s="4">
        <v>0</v>
      </c>
      <c r="P134" s="4">
        <v>64.19</v>
      </c>
      <c r="Q134" s="4">
        <v>76.17</v>
      </c>
      <c r="R134" s="4">
        <v>82.09</v>
      </c>
      <c r="S134" s="6">
        <v>95.31</v>
      </c>
      <c r="T134" s="6">
        <v>105.12</v>
      </c>
      <c r="U134" s="4">
        <v>109.38</v>
      </c>
      <c r="V134" s="4">
        <v>104.16</v>
      </c>
      <c r="W134" s="4">
        <v>92.41</v>
      </c>
      <c r="X134" s="7">
        <v>0.12880790533736161</v>
      </c>
      <c r="Y134" s="8">
        <v>9.2586913490757983E-2</v>
      </c>
      <c r="Z134" s="8">
        <v>5.6315386578208892E-2</v>
      </c>
      <c r="AA134" s="8">
        <v>-7.0053385511028576E-3</v>
      </c>
    </row>
    <row r="135" spans="2:27" x14ac:dyDescent="0.3">
      <c r="B135" s="12" t="s">
        <v>460</v>
      </c>
      <c r="C135" s="3" t="s">
        <v>642</v>
      </c>
      <c r="D135" s="3" t="s">
        <v>676</v>
      </c>
      <c r="E135" s="3" t="s">
        <v>644</v>
      </c>
      <c r="F135" s="5">
        <v>-0.8</v>
      </c>
      <c r="G135" s="4">
        <v>757.2</v>
      </c>
      <c r="H135" s="4">
        <v>807.8</v>
      </c>
      <c r="I135" s="4">
        <v>818</v>
      </c>
      <c r="J135" s="4">
        <v>749.5</v>
      </c>
      <c r="K135" s="4">
        <v>713.3</v>
      </c>
      <c r="L135" s="4">
        <v>729.2</v>
      </c>
      <c r="M135" s="4">
        <v>735.5</v>
      </c>
      <c r="N135" s="4">
        <v>740.7</v>
      </c>
      <c r="O135" s="4">
        <v>692.2</v>
      </c>
      <c r="P135" s="4">
        <v>718.5</v>
      </c>
      <c r="Q135" s="4">
        <v>779.4</v>
      </c>
      <c r="R135" s="4">
        <v>773.7</v>
      </c>
      <c r="S135" s="4">
        <v>700.2</v>
      </c>
      <c r="T135" s="4">
        <v>675.7</v>
      </c>
      <c r="U135" s="4">
        <v>699.6</v>
      </c>
      <c r="V135" s="4">
        <v>733.5</v>
      </c>
      <c r="W135" s="4">
        <v>677</v>
      </c>
      <c r="X135" s="10">
        <v>-1.440204589810901E-2</v>
      </c>
      <c r="Y135" s="8">
        <v>-2.724479344486164E-2</v>
      </c>
      <c r="Z135" s="8">
        <v>-1.410922364172407E-2</v>
      </c>
      <c r="AA135" s="8">
        <v>-8.2591669633320652E-3</v>
      </c>
    </row>
    <row r="136" spans="2:27" x14ac:dyDescent="0.3">
      <c r="B136" s="12" t="s">
        <v>309</v>
      </c>
      <c r="C136" s="3" t="s">
        <v>642</v>
      </c>
      <c r="D136" s="3" t="s">
        <v>686</v>
      </c>
      <c r="E136" s="3" t="s">
        <v>644</v>
      </c>
      <c r="F136" s="5">
        <v>-1.1000000000000001</v>
      </c>
      <c r="G136" s="4">
        <v>1151</v>
      </c>
      <c r="H136" s="4">
        <v>1177</v>
      </c>
      <c r="I136" s="4">
        <v>1126</v>
      </c>
      <c r="J136" s="4">
        <v>1177</v>
      </c>
      <c r="K136" s="4">
        <v>1249</v>
      </c>
      <c r="L136" s="4">
        <v>1207</v>
      </c>
      <c r="M136" s="4">
        <v>1189</v>
      </c>
      <c r="N136" s="4">
        <v>1260</v>
      </c>
      <c r="O136" s="4">
        <v>1327</v>
      </c>
      <c r="P136" s="4">
        <v>1348</v>
      </c>
      <c r="Q136" s="4">
        <v>1315</v>
      </c>
      <c r="R136" s="4">
        <v>1316</v>
      </c>
      <c r="S136" s="4">
        <v>1403</v>
      </c>
      <c r="T136" s="4">
        <v>1362</v>
      </c>
      <c r="U136" s="4">
        <v>1348</v>
      </c>
      <c r="V136" s="4">
        <v>1318</v>
      </c>
      <c r="W136" s="4">
        <v>1345</v>
      </c>
      <c r="X136" s="10">
        <v>2.6012634708287852E-3</v>
      </c>
      <c r="Y136" s="8">
        <v>6.115641215715284E-3</v>
      </c>
      <c r="Z136" s="8">
        <v>3.6839196905513738E-4</v>
      </c>
      <c r="AA136" s="8">
        <v>-1.067943288528816E-2</v>
      </c>
    </row>
    <row r="137" spans="2:27" x14ac:dyDescent="0.3">
      <c r="B137" s="12" t="s">
        <v>575</v>
      </c>
      <c r="C137" s="3" t="s">
        <v>642</v>
      </c>
      <c r="D137" s="3" t="s">
        <v>708</v>
      </c>
      <c r="E137" s="3" t="s">
        <v>646</v>
      </c>
      <c r="F137" s="5">
        <v>-1.4</v>
      </c>
      <c r="G137" s="4">
        <v>263.89</v>
      </c>
      <c r="H137" s="4">
        <v>344.29</v>
      </c>
      <c r="I137" s="4">
        <v>353.21</v>
      </c>
      <c r="J137" s="4">
        <v>302.20999999999998</v>
      </c>
      <c r="K137" s="4">
        <v>338.73</v>
      </c>
      <c r="L137" s="4">
        <v>375.12</v>
      </c>
      <c r="M137" s="4">
        <v>372.3</v>
      </c>
      <c r="N137" s="4">
        <v>255.83</v>
      </c>
      <c r="O137" s="4">
        <v>211.07</v>
      </c>
      <c r="P137" s="4">
        <v>203.42</v>
      </c>
      <c r="Q137" s="4">
        <v>158.71</v>
      </c>
      <c r="R137" s="4">
        <v>171.58</v>
      </c>
      <c r="S137" s="4">
        <v>200.28</v>
      </c>
      <c r="T137" s="4">
        <v>228.66</v>
      </c>
      <c r="U137" s="4">
        <v>207.04</v>
      </c>
      <c r="V137" s="4">
        <v>194.73</v>
      </c>
      <c r="W137" s="4">
        <v>188.62</v>
      </c>
      <c r="X137" s="10">
        <v>3.438738947397102E-2</v>
      </c>
      <c r="Y137" s="8">
        <v>6.365659944944202E-2</v>
      </c>
      <c r="Z137" s="8">
        <v>2.8666600624102308E-2</v>
      </c>
      <c r="AA137" s="8">
        <v>-1.403618591325506E-2</v>
      </c>
    </row>
    <row r="138" spans="2:27" x14ac:dyDescent="0.3">
      <c r="B138" s="12" t="s">
        <v>52</v>
      </c>
      <c r="C138" s="3" t="s">
        <v>642</v>
      </c>
      <c r="D138" s="3" t="s">
        <v>693</v>
      </c>
      <c r="E138" s="3" t="s">
        <v>648</v>
      </c>
      <c r="F138" s="5">
        <v>-1.4</v>
      </c>
      <c r="G138" s="4">
        <v>5133</v>
      </c>
      <c r="H138" s="4">
        <v>4654</v>
      </c>
      <c r="I138" s="4">
        <v>5211</v>
      </c>
      <c r="J138" s="4">
        <v>5451</v>
      </c>
      <c r="K138" s="4">
        <v>5105</v>
      </c>
      <c r="L138" s="4">
        <v>5273</v>
      </c>
      <c r="M138" s="4">
        <v>0</v>
      </c>
      <c r="N138" s="4">
        <v>4935</v>
      </c>
      <c r="O138" s="4">
        <v>4316</v>
      </c>
      <c r="P138" s="4">
        <v>5420</v>
      </c>
      <c r="Q138" s="6">
        <v>5934</v>
      </c>
      <c r="R138" s="4">
        <v>5984</v>
      </c>
      <c r="S138" s="4">
        <v>5148</v>
      </c>
      <c r="T138" s="4">
        <v>5218</v>
      </c>
      <c r="U138" s="4">
        <v>6113</v>
      </c>
      <c r="V138" s="4">
        <v>5579</v>
      </c>
      <c r="W138" s="4">
        <v>4837</v>
      </c>
      <c r="X138" s="10">
        <v>-8.9833674286222687E-3</v>
      </c>
      <c r="Y138" s="8">
        <v>8.032669179680596E-3</v>
      </c>
      <c r="Z138" s="8">
        <v>-1.802964875573165E-2</v>
      </c>
      <c r="AA138" s="8">
        <v>-1.409919303654006E-2</v>
      </c>
    </row>
    <row r="139" spans="2:27" x14ac:dyDescent="0.3">
      <c r="B139" s="12" t="s">
        <v>413</v>
      </c>
      <c r="C139" s="3" t="s">
        <v>642</v>
      </c>
      <c r="D139" s="3" t="s">
        <v>722</v>
      </c>
      <c r="E139" s="3" t="s">
        <v>717</v>
      </c>
      <c r="F139" s="5">
        <v>-1.4</v>
      </c>
      <c r="G139" s="4">
        <v>1075</v>
      </c>
      <c r="H139" s="4">
        <v>1256</v>
      </c>
      <c r="I139" s="4">
        <v>1298</v>
      </c>
      <c r="J139" s="4">
        <v>1401</v>
      </c>
      <c r="K139" s="4">
        <v>1355</v>
      </c>
      <c r="L139" s="4">
        <v>1286</v>
      </c>
      <c r="M139" s="4">
        <v>1152</v>
      </c>
      <c r="N139" s="4">
        <v>1040</v>
      </c>
      <c r="O139" s="4">
        <v>1025</v>
      </c>
      <c r="P139" s="4">
        <v>985.02</v>
      </c>
      <c r="Q139" s="4">
        <v>999.49</v>
      </c>
      <c r="R139" s="4">
        <v>986.5</v>
      </c>
      <c r="S139" s="4">
        <v>986.89</v>
      </c>
      <c r="T139" s="4">
        <v>973.51</v>
      </c>
      <c r="U139" s="4">
        <v>915.22</v>
      </c>
      <c r="V139" s="4">
        <v>905.65</v>
      </c>
      <c r="W139" s="4">
        <v>934.5</v>
      </c>
      <c r="X139" s="10">
        <v>-2.9081078349630922E-3</v>
      </c>
      <c r="Y139" s="8">
        <v>-2.1353692868672391E-2</v>
      </c>
      <c r="Z139" s="8">
        <v>-2.0934098370842921E-2</v>
      </c>
      <c r="AA139" s="8">
        <v>-1.385513332822041E-2</v>
      </c>
    </row>
    <row r="140" spans="2:27" x14ac:dyDescent="0.3">
      <c r="B140" s="12" t="s">
        <v>577</v>
      </c>
      <c r="C140" s="3" t="s">
        <v>642</v>
      </c>
      <c r="D140" s="3" t="s">
        <v>658</v>
      </c>
      <c r="E140" s="3" t="s">
        <v>646</v>
      </c>
      <c r="F140" s="5">
        <v>-1.6</v>
      </c>
      <c r="G140" s="4">
        <v>193.32</v>
      </c>
      <c r="H140" s="4">
        <v>203.24</v>
      </c>
      <c r="I140" s="4">
        <v>193.96</v>
      </c>
      <c r="J140" s="4">
        <v>208.48</v>
      </c>
      <c r="K140" s="4">
        <v>188.76</v>
      </c>
      <c r="L140" s="4">
        <v>132.56</v>
      </c>
      <c r="M140" s="4">
        <v>161.53</v>
      </c>
      <c r="N140" s="4">
        <v>180.63</v>
      </c>
      <c r="O140" s="4">
        <v>165.29</v>
      </c>
      <c r="P140" s="4">
        <v>150.06</v>
      </c>
      <c r="Q140" s="4">
        <v>161.30000000000001</v>
      </c>
      <c r="R140" s="4">
        <v>181.89</v>
      </c>
      <c r="S140" s="4">
        <v>173.16</v>
      </c>
      <c r="T140" s="4">
        <v>164.64</v>
      </c>
      <c r="U140" s="4">
        <v>176.48</v>
      </c>
      <c r="V140" s="4">
        <v>182.5</v>
      </c>
      <c r="W140" s="4">
        <v>162.26</v>
      </c>
      <c r="X140" s="10">
        <v>2.187842319292943E-2</v>
      </c>
      <c r="Y140" s="8">
        <v>2.229107622725723E-2</v>
      </c>
      <c r="Z140" s="8">
        <v>8.762227616818663E-4</v>
      </c>
      <c r="AA140" s="8">
        <v>-1.564338815695054E-2</v>
      </c>
    </row>
    <row r="141" spans="2:27" x14ac:dyDescent="0.3">
      <c r="B141" s="12" t="s">
        <v>20</v>
      </c>
      <c r="C141" s="3" t="s">
        <v>642</v>
      </c>
      <c r="D141" s="3" t="s">
        <v>705</v>
      </c>
      <c r="E141" s="3" t="s">
        <v>648</v>
      </c>
      <c r="F141" s="5">
        <v>-1.6</v>
      </c>
      <c r="G141" s="4">
        <v>15452</v>
      </c>
      <c r="H141" s="4">
        <v>18188</v>
      </c>
      <c r="I141" s="4">
        <v>21685</v>
      </c>
      <c r="J141" s="4">
        <v>21574</v>
      </c>
      <c r="K141" s="4">
        <v>19128</v>
      </c>
      <c r="L141" s="4">
        <v>15310</v>
      </c>
      <c r="M141" s="4">
        <v>12763</v>
      </c>
      <c r="N141" s="4">
        <v>14638</v>
      </c>
      <c r="O141" s="4">
        <v>15150</v>
      </c>
      <c r="P141" s="4">
        <v>14269</v>
      </c>
      <c r="Q141" s="4">
        <v>14023</v>
      </c>
      <c r="R141" s="4">
        <v>13482</v>
      </c>
      <c r="S141" s="4">
        <v>14676</v>
      </c>
      <c r="T141" s="4">
        <v>16909</v>
      </c>
      <c r="U141" s="4">
        <v>14319</v>
      </c>
      <c r="V141" s="4">
        <v>15376</v>
      </c>
      <c r="W141" s="4">
        <v>13675</v>
      </c>
      <c r="X141" s="10">
        <v>4.6767050487156681E-2</v>
      </c>
      <c r="Y141" s="8">
        <v>5.0093078355051279E-3</v>
      </c>
      <c r="Z141" s="8">
        <v>3.1893038763344927E-2</v>
      </c>
      <c r="AA141" s="8">
        <v>-1.6334856396866829E-2</v>
      </c>
    </row>
    <row r="142" spans="2:27" x14ac:dyDescent="0.3">
      <c r="B142" s="12" t="s">
        <v>269</v>
      </c>
      <c r="C142" s="3" t="s">
        <v>642</v>
      </c>
      <c r="D142" s="3" t="s">
        <v>723</v>
      </c>
      <c r="E142" s="3" t="s">
        <v>717</v>
      </c>
      <c r="F142" s="5">
        <v>-2.2999999999999998</v>
      </c>
      <c r="G142" s="4">
        <v>2266</v>
      </c>
      <c r="H142" s="4">
        <v>2275</v>
      </c>
      <c r="I142" s="4">
        <v>2538</v>
      </c>
      <c r="J142" s="4">
        <v>2486</v>
      </c>
      <c r="K142" s="4">
        <v>2301</v>
      </c>
      <c r="L142" s="4">
        <v>2348</v>
      </c>
      <c r="M142" s="4">
        <v>2853</v>
      </c>
      <c r="N142" s="4">
        <v>2795</v>
      </c>
      <c r="O142" s="4">
        <v>2723</v>
      </c>
      <c r="P142" s="4">
        <v>2569</v>
      </c>
      <c r="Q142" s="4">
        <v>2611</v>
      </c>
      <c r="R142" s="4">
        <v>0</v>
      </c>
      <c r="S142" s="4">
        <v>2648</v>
      </c>
      <c r="T142" s="4">
        <v>2370</v>
      </c>
      <c r="U142" s="4">
        <v>2389</v>
      </c>
      <c r="V142" s="6">
        <v>2532</v>
      </c>
      <c r="W142" s="4">
        <v>2419</v>
      </c>
      <c r="X142" s="10">
        <v>-2.5421563617782361E-2</v>
      </c>
      <c r="Y142" s="8">
        <v>-2.9099488792764468E-2</v>
      </c>
      <c r="Z142" s="9">
        <v>0.34183880113406229</v>
      </c>
      <c r="AA142" s="8">
        <v>-2.3040547338766482E-2</v>
      </c>
    </row>
    <row r="143" spans="2:27" x14ac:dyDescent="0.3">
      <c r="B143" s="12" t="s">
        <v>358</v>
      </c>
      <c r="C143" s="3" t="s">
        <v>642</v>
      </c>
      <c r="D143" s="3" t="s">
        <v>709</v>
      </c>
      <c r="E143" s="3" t="s">
        <v>648</v>
      </c>
      <c r="F143" s="5">
        <v>-2.5</v>
      </c>
      <c r="G143" s="4">
        <v>1265</v>
      </c>
      <c r="H143" s="4">
        <v>691.4</v>
      </c>
      <c r="I143" s="4">
        <v>1322</v>
      </c>
      <c r="J143" s="4">
        <v>1343</v>
      </c>
      <c r="K143" s="4">
        <v>1626</v>
      </c>
      <c r="L143" s="6">
        <v>1364</v>
      </c>
      <c r="M143" s="4">
        <v>1269</v>
      </c>
      <c r="N143" s="4">
        <v>1079</v>
      </c>
      <c r="O143" s="4">
        <v>1235</v>
      </c>
      <c r="P143" s="4">
        <v>983.6</v>
      </c>
      <c r="Q143" s="4">
        <v>1042</v>
      </c>
      <c r="R143" s="4">
        <v>1088</v>
      </c>
      <c r="S143" s="4">
        <v>1123</v>
      </c>
      <c r="T143" s="4">
        <v>937</v>
      </c>
      <c r="U143" s="4">
        <v>890.1</v>
      </c>
      <c r="V143" s="4">
        <v>1012</v>
      </c>
      <c r="W143" s="4">
        <v>1022</v>
      </c>
      <c r="X143" s="10">
        <v>-1.099938630033526E-2</v>
      </c>
      <c r="Y143" s="8">
        <v>-3.6252983293556078E-2</v>
      </c>
      <c r="Z143" s="8">
        <v>-1.8820732522721099E-2</v>
      </c>
      <c r="AA143" s="8">
        <v>-2.5491532268241631E-2</v>
      </c>
    </row>
    <row r="144" spans="2:27" x14ac:dyDescent="0.3">
      <c r="B144" s="12" t="s">
        <v>142</v>
      </c>
      <c r="C144" s="3" t="s">
        <v>642</v>
      </c>
      <c r="D144" s="3" t="s">
        <v>704</v>
      </c>
      <c r="E144" s="3" t="s">
        <v>717</v>
      </c>
      <c r="F144" s="5">
        <v>-2.7</v>
      </c>
      <c r="G144" s="4">
        <v>159.66</v>
      </c>
      <c r="H144" s="4">
        <v>187.07</v>
      </c>
      <c r="I144" s="4">
        <v>164.67</v>
      </c>
      <c r="J144" s="4">
        <v>172.2</v>
      </c>
      <c r="K144" s="4">
        <v>173.88</v>
      </c>
      <c r="L144" s="4">
        <v>240.69</v>
      </c>
      <c r="M144" s="4">
        <v>213.56</v>
      </c>
      <c r="N144" s="4">
        <v>170.28</v>
      </c>
      <c r="O144" s="4">
        <v>196.28</v>
      </c>
      <c r="P144" s="4">
        <v>201.31</v>
      </c>
      <c r="Q144" s="4">
        <v>208.73</v>
      </c>
      <c r="R144" s="4">
        <v>182.12</v>
      </c>
      <c r="S144" s="4">
        <v>184.89</v>
      </c>
      <c r="T144" s="4">
        <v>221.23</v>
      </c>
      <c r="U144" s="4">
        <v>199.98</v>
      </c>
      <c r="V144" s="4">
        <v>171.24</v>
      </c>
      <c r="W144" s="4">
        <v>163.89</v>
      </c>
      <c r="X144" s="10">
        <v>2.5635415996396741E-2</v>
      </c>
      <c r="Y144" s="8">
        <v>-1.097908327791508E-2</v>
      </c>
      <c r="Z144" s="8">
        <v>-1.3803252898937021E-2</v>
      </c>
      <c r="AA144" s="8">
        <v>-2.7015205701494849E-2</v>
      </c>
    </row>
    <row r="145" spans="2:27" x14ac:dyDescent="0.3">
      <c r="B145" s="12" t="s">
        <v>607</v>
      </c>
      <c r="C145" s="3" t="s">
        <v>642</v>
      </c>
      <c r="D145" s="3" t="s">
        <v>659</v>
      </c>
      <c r="E145" s="3" t="s">
        <v>648</v>
      </c>
      <c r="F145" s="5">
        <v>-2.8</v>
      </c>
      <c r="G145" s="4">
        <v>230.58</v>
      </c>
      <c r="H145" s="4">
        <v>173.2</v>
      </c>
      <c r="I145" s="4">
        <v>205.8</v>
      </c>
      <c r="J145" s="4">
        <v>207.13</v>
      </c>
      <c r="K145" s="4">
        <v>233.64</v>
      </c>
      <c r="L145" s="4">
        <v>186.16</v>
      </c>
      <c r="M145" s="4">
        <v>210.62</v>
      </c>
      <c r="N145" s="4">
        <v>203.16</v>
      </c>
      <c r="O145" s="4">
        <v>226.4</v>
      </c>
      <c r="P145" s="4">
        <v>179.66</v>
      </c>
      <c r="Q145" s="4">
        <v>192.62</v>
      </c>
      <c r="R145" s="4">
        <v>210.24</v>
      </c>
      <c r="S145" s="4">
        <v>251.36</v>
      </c>
      <c r="T145" s="4">
        <v>181.28</v>
      </c>
      <c r="U145" s="4">
        <v>220.58</v>
      </c>
      <c r="V145" s="4">
        <v>215.37</v>
      </c>
      <c r="W145" s="4">
        <v>227.32</v>
      </c>
      <c r="X145" s="10">
        <v>1.9427255720247949E-3</v>
      </c>
      <c r="Y145" s="8">
        <v>3.346499102333933E-2</v>
      </c>
      <c r="Z145" s="8">
        <v>5.9412132582863384E-3</v>
      </c>
      <c r="AA145" s="8">
        <v>-2.767703980013592E-2</v>
      </c>
    </row>
    <row r="146" spans="2:27" x14ac:dyDescent="0.3">
      <c r="B146" s="12" t="s">
        <v>351</v>
      </c>
      <c r="C146" s="3" t="s">
        <v>642</v>
      </c>
      <c r="D146" s="3" t="s">
        <v>711</v>
      </c>
      <c r="E146" s="3" t="s">
        <v>724</v>
      </c>
      <c r="F146" s="5">
        <v>-2.8</v>
      </c>
      <c r="G146" s="4">
        <v>3664</v>
      </c>
      <c r="H146" s="4">
        <v>5025</v>
      </c>
      <c r="I146" s="4">
        <v>5964</v>
      </c>
      <c r="J146" s="4">
        <v>5622</v>
      </c>
      <c r="K146" s="4">
        <v>5234</v>
      </c>
      <c r="L146" s="4">
        <v>6290</v>
      </c>
      <c r="M146" s="4">
        <v>5203</v>
      </c>
      <c r="N146" s="4">
        <v>4338</v>
      </c>
      <c r="O146" s="4">
        <v>4470</v>
      </c>
      <c r="P146" s="4">
        <v>5008</v>
      </c>
      <c r="Q146" s="4">
        <v>4431</v>
      </c>
      <c r="R146" s="4">
        <v>4144</v>
      </c>
      <c r="S146" s="4">
        <v>4160</v>
      </c>
      <c r="T146" s="4">
        <v>4118</v>
      </c>
      <c r="U146" s="4">
        <v>3853</v>
      </c>
      <c r="V146" s="4">
        <v>3509</v>
      </c>
      <c r="W146" s="4">
        <v>3727</v>
      </c>
      <c r="X146" s="10">
        <v>-5.0160626726032831E-2</v>
      </c>
      <c r="Y146" s="8">
        <v>-3.4296564409897368E-2</v>
      </c>
      <c r="Z146" s="8">
        <v>-3.9016897081413197E-2</v>
      </c>
      <c r="AA146" s="8">
        <v>-2.7685421994884881E-2</v>
      </c>
    </row>
    <row r="147" spans="2:27" x14ac:dyDescent="0.3">
      <c r="B147" s="12" t="s">
        <v>338</v>
      </c>
      <c r="C147" s="3" t="s">
        <v>642</v>
      </c>
      <c r="D147" s="3" t="s">
        <v>649</v>
      </c>
      <c r="E147" s="3" t="s">
        <v>648</v>
      </c>
      <c r="F147" s="5">
        <v>-5.0999999999999996</v>
      </c>
      <c r="G147" s="4">
        <v>1.1499999999999999</v>
      </c>
      <c r="H147" s="4">
        <v>1.84</v>
      </c>
      <c r="I147" s="4">
        <v>1.84</v>
      </c>
      <c r="J147" s="4">
        <v>2.63</v>
      </c>
      <c r="K147" s="6">
        <v>2.63</v>
      </c>
      <c r="L147" s="4">
        <v>2.69</v>
      </c>
      <c r="M147" s="4">
        <v>2.69</v>
      </c>
      <c r="N147" s="4">
        <v>2.08</v>
      </c>
      <c r="O147" s="4">
        <v>2.08</v>
      </c>
      <c r="P147" s="4">
        <v>2.1</v>
      </c>
      <c r="Q147" s="4">
        <v>2.1</v>
      </c>
      <c r="R147" s="4">
        <v>2.29</v>
      </c>
      <c r="S147" s="4">
        <v>2.29</v>
      </c>
      <c r="T147" s="4">
        <v>2.0299999999999998</v>
      </c>
      <c r="U147" s="4">
        <v>2.0299999999999998</v>
      </c>
      <c r="V147" s="4">
        <v>1.87</v>
      </c>
      <c r="W147" s="4">
        <v>1.87</v>
      </c>
      <c r="X147" s="10">
        <v>-7.9726651480638289E-3</v>
      </c>
      <c r="Y147" s="8">
        <v>-8.036739380023028E-3</v>
      </c>
      <c r="Z147" s="8">
        <v>-4.8611111111111271E-2</v>
      </c>
      <c r="AA147" s="8">
        <v>-5.1094890510948843E-2</v>
      </c>
    </row>
    <row r="148" spans="2:27" x14ac:dyDescent="0.3">
      <c r="B148" s="12" t="s">
        <v>579</v>
      </c>
      <c r="C148" s="3" t="s">
        <v>642</v>
      </c>
      <c r="D148" s="3" t="s">
        <v>647</v>
      </c>
      <c r="E148" s="3" t="s">
        <v>644</v>
      </c>
      <c r="F148" s="5">
        <v>-5.4</v>
      </c>
      <c r="G148" s="4">
        <v>73.94</v>
      </c>
      <c r="H148" s="4">
        <v>78.12</v>
      </c>
      <c r="I148" s="4">
        <v>80.55</v>
      </c>
      <c r="J148" s="4">
        <v>85.25</v>
      </c>
      <c r="K148" s="4">
        <v>86.03</v>
      </c>
      <c r="L148" s="4">
        <v>0</v>
      </c>
      <c r="M148" s="4">
        <v>57.26</v>
      </c>
      <c r="N148" s="4">
        <v>58.58</v>
      </c>
      <c r="O148" s="4">
        <v>55.05</v>
      </c>
      <c r="P148" s="4">
        <v>0</v>
      </c>
      <c r="Q148" s="4">
        <v>46.18</v>
      </c>
      <c r="R148" s="4">
        <v>51.32</v>
      </c>
      <c r="S148" s="4">
        <v>61.69</v>
      </c>
      <c r="T148" s="4">
        <v>0</v>
      </c>
      <c r="U148" s="4">
        <v>51.9</v>
      </c>
      <c r="V148" s="4">
        <v>54.9</v>
      </c>
      <c r="W148" s="4">
        <v>52.67</v>
      </c>
      <c r="X148" s="10">
        <v>0</v>
      </c>
      <c r="Y148" s="8">
        <v>3.5931905270431663E-2</v>
      </c>
      <c r="Z148" s="8">
        <v>2.1708810866533309E-2</v>
      </c>
      <c r="AA148" s="8">
        <v>-5.3534334381862503E-2</v>
      </c>
    </row>
    <row r="149" spans="2:27" x14ac:dyDescent="0.3">
      <c r="B149" s="12" t="s">
        <v>458</v>
      </c>
      <c r="C149" s="3" t="s">
        <v>642</v>
      </c>
      <c r="D149" s="3" t="s">
        <v>710</v>
      </c>
      <c r="E149" s="3" t="s">
        <v>648</v>
      </c>
      <c r="F149" s="5">
        <v>-7.8</v>
      </c>
      <c r="G149" s="4">
        <v>61.52</v>
      </c>
      <c r="H149" s="4">
        <v>73.540000000000006</v>
      </c>
      <c r="I149" s="4">
        <v>84.18</v>
      </c>
      <c r="J149" s="4">
        <v>69.87</v>
      </c>
      <c r="K149" s="6">
        <v>117.01</v>
      </c>
      <c r="L149" s="4">
        <v>60.93</v>
      </c>
      <c r="M149" s="4">
        <v>66.8</v>
      </c>
      <c r="N149" s="4">
        <v>71.36</v>
      </c>
      <c r="O149" s="4">
        <v>54.4</v>
      </c>
      <c r="P149" s="4">
        <v>63.05</v>
      </c>
      <c r="Q149" s="4">
        <v>71.67</v>
      </c>
      <c r="R149" s="4">
        <v>67.88</v>
      </c>
      <c r="S149" s="4">
        <v>68.58</v>
      </c>
      <c r="T149" s="4">
        <v>51.03</v>
      </c>
      <c r="U149" s="4">
        <v>56.3</v>
      </c>
      <c r="V149" s="4">
        <v>57.58</v>
      </c>
      <c r="W149" s="4">
        <v>50.47</v>
      </c>
      <c r="X149" s="10">
        <v>-4.4324802714064582E-2</v>
      </c>
      <c r="Y149" s="8">
        <v>-5.9306991819725208E-2</v>
      </c>
      <c r="Z149" s="8">
        <v>-4.2249477008901033E-2</v>
      </c>
      <c r="AA149" s="8">
        <v>-7.756220823161597E-2</v>
      </c>
    </row>
    <row r="150" spans="2:27" x14ac:dyDescent="0.3">
      <c r="B150" s="12" t="s">
        <v>421</v>
      </c>
      <c r="C150" s="3" t="s">
        <v>642</v>
      </c>
      <c r="D150" s="3" t="s">
        <v>711</v>
      </c>
      <c r="E150" s="3" t="s">
        <v>650</v>
      </c>
      <c r="F150" s="5">
        <v>-7.8</v>
      </c>
      <c r="G150" s="4">
        <v>885.4</v>
      </c>
      <c r="H150" s="4">
        <v>929.9</v>
      </c>
      <c r="I150" s="4">
        <v>893.9</v>
      </c>
      <c r="J150" s="4">
        <v>875.2</v>
      </c>
      <c r="K150" s="4">
        <v>1000</v>
      </c>
      <c r="L150" s="4">
        <v>1086</v>
      </c>
      <c r="M150" s="4">
        <v>908.6</v>
      </c>
      <c r="N150" s="4">
        <v>1016</v>
      </c>
      <c r="O150" s="4">
        <v>975.1</v>
      </c>
      <c r="P150" s="4">
        <v>1118</v>
      </c>
      <c r="Q150" s="4">
        <v>486.9</v>
      </c>
      <c r="R150" s="4">
        <v>604</v>
      </c>
      <c r="S150" s="4">
        <v>970.5</v>
      </c>
      <c r="T150" s="4">
        <v>1194</v>
      </c>
      <c r="U150" s="4">
        <v>525.9</v>
      </c>
      <c r="V150" s="4">
        <v>475.1</v>
      </c>
      <c r="W150" s="4">
        <v>724.3</v>
      </c>
      <c r="X150" s="10">
        <v>2.390388123545328E-2</v>
      </c>
      <c r="Y150" s="8">
        <v>1.19800946120292E-2</v>
      </c>
      <c r="Z150" s="8">
        <v>-3.9127003399708649E-2</v>
      </c>
      <c r="AA150" s="8">
        <v>-7.7776022745221884E-2</v>
      </c>
    </row>
    <row r="151" spans="2:27" x14ac:dyDescent="0.3">
      <c r="B151" s="12" t="s">
        <v>211</v>
      </c>
      <c r="C151" s="3" t="s">
        <v>642</v>
      </c>
      <c r="D151" s="3" t="s">
        <v>659</v>
      </c>
      <c r="E151" s="3" t="s">
        <v>648</v>
      </c>
      <c r="F151" s="5">
        <v>-10.199999999999999</v>
      </c>
      <c r="G151" s="4">
        <v>111.82</v>
      </c>
      <c r="H151" s="4">
        <v>101.32</v>
      </c>
      <c r="I151" s="4">
        <v>124.66</v>
      </c>
      <c r="J151" s="4">
        <v>114.76</v>
      </c>
      <c r="K151" s="4">
        <v>117.06</v>
      </c>
      <c r="L151" s="6">
        <v>202.37</v>
      </c>
      <c r="M151" s="4">
        <v>101.59</v>
      </c>
      <c r="N151" s="4">
        <v>140.11000000000001</v>
      </c>
      <c r="O151" s="4">
        <v>105.52</v>
      </c>
      <c r="P151" s="6">
        <v>263.54000000000002</v>
      </c>
      <c r="Q151" s="6">
        <v>223.49</v>
      </c>
      <c r="R151" s="4">
        <v>128.68</v>
      </c>
      <c r="S151" s="6">
        <v>252.8</v>
      </c>
      <c r="T151" s="4">
        <v>210.51</v>
      </c>
      <c r="U151" s="4">
        <v>300.60000000000002</v>
      </c>
      <c r="V151" s="4">
        <v>164.68</v>
      </c>
      <c r="W151" s="4">
        <v>158.22999999999999</v>
      </c>
      <c r="X151" s="10">
        <v>-6.1058594604552541E-2</v>
      </c>
      <c r="Y151" s="8">
        <v>9.4557806445283665E-2</v>
      </c>
      <c r="Z151" s="8">
        <v>4.0332067354552407E-2</v>
      </c>
      <c r="AA151" s="8">
        <v>-0.10184257853304481</v>
      </c>
    </row>
    <row r="152" spans="2:27" x14ac:dyDescent="0.3">
      <c r="B152" s="43" t="s">
        <v>343</v>
      </c>
      <c r="C152" s="35" t="s">
        <v>642</v>
      </c>
      <c r="D152" s="35" t="s">
        <v>649</v>
      </c>
      <c r="E152" s="35" t="s">
        <v>648</v>
      </c>
      <c r="F152" s="36">
        <v>-164.8</v>
      </c>
      <c r="G152" s="37">
        <v>0</v>
      </c>
      <c r="H152" s="37">
        <v>0</v>
      </c>
      <c r="I152" s="37">
        <v>0</v>
      </c>
      <c r="J152" s="37">
        <v>0</v>
      </c>
      <c r="K152" s="37">
        <v>0</v>
      </c>
      <c r="L152" s="37">
        <v>0</v>
      </c>
      <c r="M152" s="37">
        <v>0</v>
      </c>
      <c r="N152" s="37">
        <v>65.760000000000005</v>
      </c>
      <c r="O152" s="37">
        <v>-211.26</v>
      </c>
      <c r="P152" s="37">
        <v>0</v>
      </c>
      <c r="Q152" s="37">
        <v>0</v>
      </c>
      <c r="R152" s="37">
        <v>136.37</v>
      </c>
      <c r="S152" s="38">
        <v>-345.36</v>
      </c>
      <c r="T152" s="37">
        <v>0</v>
      </c>
      <c r="U152" s="37">
        <v>0</v>
      </c>
      <c r="V152" s="38">
        <v>81.41</v>
      </c>
      <c r="W152" s="37">
        <v>89.76</v>
      </c>
      <c r="X152" s="39">
        <v>0</v>
      </c>
      <c r="Y152" s="40">
        <v>0</v>
      </c>
      <c r="Z152" s="42">
        <v>0.26297908990860819</v>
      </c>
      <c r="AA152" s="40">
        <v>-1.648494032960788</v>
      </c>
    </row>
    <row r="153" spans="2:27" x14ac:dyDescent="0.3">
      <c r="B153" s="12" t="s">
        <v>391</v>
      </c>
      <c r="C153" s="3" t="s">
        <v>714</v>
      </c>
      <c r="D153" s="3" t="str">
        <f>VLOOKUP(B153,기업리스트!$B:$G,2,FALSE)</f>
        <v>Fabege AB (publ)</v>
      </c>
      <c r="E153" s="3" t="s">
        <v>648</v>
      </c>
      <c r="F153" s="5">
        <v>6.3</v>
      </c>
      <c r="G153" s="4">
        <v>830</v>
      </c>
      <c r="H153" s="4">
        <v>766</v>
      </c>
      <c r="I153" s="4">
        <v>724</v>
      </c>
      <c r="J153" s="4">
        <v>884</v>
      </c>
      <c r="K153" s="4">
        <v>920</v>
      </c>
      <c r="L153" s="4">
        <v>1006</v>
      </c>
      <c r="M153" s="4">
        <v>960</v>
      </c>
      <c r="N153" s="4">
        <v>1101</v>
      </c>
      <c r="O153" s="4">
        <v>897</v>
      </c>
      <c r="P153" s="4">
        <v>997</v>
      </c>
      <c r="Q153" s="4">
        <v>837</v>
      </c>
      <c r="R153" s="4">
        <v>916</v>
      </c>
      <c r="S153" s="4">
        <v>830</v>
      </c>
      <c r="T153" s="4">
        <v>841</v>
      </c>
      <c r="U153" s="4">
        <v>966</v>
      </c>
      <c r="V153" s="4">
        <v>852</v>
      </c>
      <c r="W153" s="4">
        <v>1051</v>
      </c>
      <c r="X153" s="10">
        <v>-4.3575418994413417E-2</v>
      </c>
      <c r="Y153" s="8">
        <v>3.7675233644859807E-2</v>
      </c>
      <c r="Z153" s="8">
        <v>-1.8012946805516461E-2</v>
      </c>
      <c r="AA153" s="8">
        <v>6.3341931785611871E-2</v>
      </c>
    </row>
    <row r="154" spans="2:27" x14ac:dyDescent="0.3">
      <c r="B154" s="12" t="s">
        <v>602</v>
      </c>
      <c r="C154" s="3" t="s">
        <v>714</v>
      </c>
      <c r="D154" s="3" t="str">
        <f>VLOOKUP(B154,기업리스트!$B:$G,2,FALSE)</f>
        <v>Eastnine AB (publ)</v>
      </c>
      <c r="E154" s="3" t="s">
        <v>648</v>
      </c>
      <c r="F154" s="5">
        <v>5.0999999999999996</v>
      </c>
      <c r="G154" s="4">
        <v>5.45</v>
      </c>
      <c r="H154" s="4">
        <v>6.23</v>
      </c>
      <c r="I154" s="4">
        <v>7.35</v>
      </c>
      <c r="J154" s="4">
        <v>8.23</v>
      </c>
      <c r="K154" s="6">
        <v>8.5</v>
      </c>
      <c r="L154" s="4">
        <v>9.0500000000000007</v>
      </c>
      <c r="M154" s="4">
        <v>9.09</v>
      </c>
      <c r="N154" s="4">
        <v>9.06</v>
      </c>
      <c r="O154" s="4">
        <v>8.9700000000000006</v>
      </c>
      <c r="P154" s="4">
        <v>9.06</v>
      </c>
      <c r="Q154" s="4">
        <v>9.35</v>
      </c>
      <c r="R154" s="4">
        <v>10.7</v>
      </c>
      <c r="S154" s="4">
        <v>12.41</v>
      </c>
      <c r="T154" s="6">
        <v>15.61</v>
      </c>
      <c r="U154" s="6">
        <v>15.16</v>
      </c>
      <c r="V154" s="4">
        <v>15.53</v>
      </c>
      <c r="W154" s="4">
        <v>15.43</v>
      </c>
      <c r="X154" s="7">
        <v>0.15775529865125251</v>
      </c>
      <c r="Y154" s="9">
        <v>0.12086540461826489</v>
      </c>
      <c r="Z154" s="8">
        <v>8.96436525612474E-2</v>
      </c>
      <c r="AA154" s="8">
        <v>5.1439277806165862E-2</v>
      </c>
    </row>
    <row r="155" spans="2:27" x14ac:dyDescent="0.3">
      <c r="B155" s="12" t="s">
        <v>617</v>
      </c>
      <c r="C155" s="3" t="s">
        <v>714</v>
      </c>
      <c r="D155" s="3" t="str">
        <f>VLOOKUP(B155,기업리스트!$B:$G,2,FALSE)</f>
        <v>Hexatronic Group AB (publ)</v>
      </c>
      <c r="E155" s="3" t="s">
        <v>648</v>
      </c>
      <c r="F155" s="5">
        <v>0.3</v>
      </c>
      <c r="G155" s="4">
        <v>1170</v>
      </c>
      <c r="H155" s="4">
        <v>1388</v>
      </c>
      <c r="I155" s="4">
        <v>1662</v>
      </c>
      <c r="J155" s="4">
        <v>1729</v>
      </c>
      <c r="K155" s="6">
        <v>1795</v>
      </c>
      <c r="L155" s="6">
        <v>2115</v>
      </c>
      <c r="M155" s="4">
        <v>2258</v>
      </c>
      <c r="N155" s="4">
        <v>1916</v>
      </c>
      <c r="O155" s="4">
        <v>1860</v>
      </c>
      <c r="P155" s="4">
        <v>1781</v>
      </c>
      <c r="Q155" s="4">
        <v>2024</v>
      </c>
      <c r="R155" s="4">
        <v>1951</v>
      </c>
      <c r="S155" s="4">
        <v>1824</v>
      </c>
      <c r="T155" s="4">
        <v>1881</v>
      </c>
      <c r="U155" s="4">
        <v>1906</v>
      </c>
      <c r="V155" s="4">
        <v>1883</v>
      </c>
      <c r="W155" s="4">
        <v>1848</v>
      </c>
      <c r="X155" s="10">
        <v>1.3192612137203239E-2</v>
      </c>
      <c r="Y155" s="8">
        <v>-1.536458333333335E-2</v>
      </c>
      <c r="Z155" s="8">
        <v>-8.9923300714096488E-3</v>
      </c>
      <c r="AA155" s="8">
        <v>3.2025620496396461E-3</v>
      </c>
    </row>
    <row r="156" spans="2:27" x14ac:dyDescent="0.3">
      <c r="B156" s="12" t="s">
        <v>311</v>
      </c>
      <c r="C156" s="3" t="s">
        <v>714</v>
      </c>
      <c r="D156" s="3" t="str">
        <f>VLOOKUP(B156,기업리스트!$B:$G,2,FALSE)</f>
        <v>Mycronic AB (publ)</v>
      </c>
      <c r="E156" s="3" t="s">
        <v>648</v>
      </c>
      <c r="F156" s="5">
        <v>-0.5</v>
      </c>
      <c r="G156" s="4">
        <v>1294</v>
      </c>
      <c r="H156" s="4">
        <v>1135</v>
      </c>
      <c r="I156" s="4">
        <v>1273</v>
      </c>
      <c r="J156" s="4">
        <v>1214</v>
      </c>
      <c r="K156" s="4">
        <v>1497</v>
      </c>
      <c r="L156" s="4">
        <v>1219</v>
      </c>
      <c r="M156" s="4">
        <v>1245</v>
      </c>
      <c r="N156" s="4">
        <v>1274</v>
      </c>
      <c r="O156" s="4">
        <v>1968</v>
      </c>
      <c r="P156" s="4">
        <v>1692</v>
      </c>
      <c r="Q156" s="4">
        <v>1527</v>
      </c>
      <c r="R156" s="4">
        <v>1780</v>
      </c>
      <c r="S156" s="4">
        <v>2058</v>
      </c>
      <c r="T156" s="4">
        <v>2142</v>
      </c>
      <c r="U156" s="4">
        <v>2066</v>
      </c>
      <c r="V156" s="4">
        <v>1709</v>
      </c>
      <c r="W156" s="4">
        <v>2021</v>
      </c>
      <c r="X156" s="10">
        <v>6.3766473005526514E-2</v>
      </c>
      <c r="Y156" s="8">
        <v>7.1799653656587248E-2</v>
      </c>
      <c r="Z156" s="8">
        <v>-8.824260502112824E-3</v>
      </c>
      <c r="AA156" s="8">
        <v>-4.6394984326019184E-3</v>
      </c>
    </row>
    <row r="157" spans="2:27" x14ac:dyDescent="0.3">
      <c r="B157" s="43" t="s">
        <v>428</v>
      </c>
      <c r="C157" s="35" t="s">
        <v>714</v>
      </c>
      <c r="D157" s="35" t="str">
        <f>VLOOKUP(B157,기업리스트!$B:$G,2,FALSE)</f>
        <v>Afry AB</v>
      </c>
      <c r="E157" s="35" t="s">
        <v>648</v>
      </c>
      <c r="F157" s="36">
        <v>-1.7</v>
      </c>
      <c r="G157" s="37">
        <v>5508</v>
      </c>
      <c r="H157" s="37">
        <v>5670</v>
      </c>
      <c r="I157" s="37">
        <v>5975</v>
      </c>
      <c r="J157" s="37">
        <v>5298</v>
      </c>
      <c r="K157" s="37">
        <v>6609</v>
      </c>
      <c r="L157" s="37">
        <v>6916</v>
      </c>
      <c r="M157" s="37">
        <v>6869</v>
      </c>
      <c r="N157" s="37">
        <v>6059</v>
      </c>
      <c r="O157" s="37">
        <v>7135</v>
      </c>
      <c r="P157" s="37">
        <v>6891</v>
      </c>
      <c r="Q157" s="37">
        <v>7191</v>
      </c>
      <c r="R157" s="37">
        <v>5993</v>
      </c>
      <c r="S157" s="37">
        <v>7084</v>
      </c>
      <c r="T157" s="37">
        <v>6749</v>
      </c>
      <c r="U157" s="37">
        <v>6674</v>
      </c>
      <c r="V157" s="37">
        <v>5687</v>
      </c>
      <c r="W157" s="37">
        <v>6647</v>
      </c>
      <c r="X157" s="39">
        <v>-5.2284693839979024E-3</v>
      </c>
      <c r="Y157" s="40">
        <v>-1.913609949291184E-2</v>
      </c>
      <c r="Z157" s="40">
        <v>-1.154716981132076E-2</v>
      </c>
      <c r="AA157" s="40">
        <v>-1.6683209895395849E-2</v>
      </c>
    </row>
    <row r="158" spans="2:27" x14ac:dyDescent="0.3">
      <c r="B158" s="12">
        <v>8020</v>
      </c>
      <c r="C158" s="3" t="s">
        <v>712</v>
      </c>
      <c r="D158" s="3" t="str">
        <f>VLOOKUP(B158,기업리스트!$B:$G,2,FALSE)</f>
        <v>Kanematsu Corporation</v>
      </c>
      <c r="E158" s="3" t="s">
        <v>646</v>
      </c>
      <c r="F158" s="33">
        <v>96.4</v>
      </c>
      <c r="G158" s="4">
        <v>188571</v>
      </c>
      <c r="H158" s="4">
        <v>196802</v>
      </c>
      <c r="I158" s="4">
        <v>767963</v>
      </c>
      <c r="J158" s="4">
        <v>0</v>
      </c>
      <c r="K158" s="4">
        <v>234993</v>
      </c>
      <c r="L158" s="4">
        <v>228264</v>
      </c>
      <c r="M158" s="6">
        <v>911408</v>
      </c>
      <c r="N158" s="4">
        <v>0</v>
      </c>
      <c r="O158" s="4">
        <v>249636</v>
      </c>
      <c r="P158" s="4">
        <v>251915</v>
      </c>
      <c r="Q158" s="4">
        <v>985993</v>
      </c>
      <c r="R158" s="6">
        <v>251011</v>
      </c>
      <c r="S158" s="4">
        <v>-251011</v>
      </c>
      <c r="T158" s="4">
        <v>263171</v>
      </c>
      <c r="U158" s="4">
        <v>269192</v>
      </c>
      <c r="V158" s="4">
        <v>251116</v>
      </c>
      <c r="W158" s="6">
        <v>262379</v>
      </c>
      <c r="X158" s="10">
        <v>9.0927597204315536E-3</v>
      </c>
      <c r="Y158" s="8">
        <v>-0.57382457387500763</v>
      </c>
      <c r="Z158" s="8">
        <v>1.9723384232195329E-4</v>
      </c>
      <c r="AA158" s="9">
        <v>0.96417061682579996</v>
      </c>
    </row>
    <row r="159" spans="2:27" x14ac:dyDescent="0.3">
      <c r="B159" s="12">
        <v>8934</v>
      </c>
      <c r="C159" s="3" t="s">
        <v>712</v>
      </c>
      <c r="D159" s="3" t="str">
        <f>VLOOKUP(B159,기업리스트!$B:$G,2,FALSE)</f>
        <v>Sun Frontier Fudousan Co., Ltd.</v>
      </c>
      <c r="E159" s="3" t="s">
        <v>646</v>
      </c>
      <c r="F159" s="5">
        <v>8.5</v>
      </c>
      <c r="G159" s="4">
        <v>14113</v>
      </c>
      <c r="H159" s="4">
        <v>16292</v>
      </c>
      <c r="I159" s="4">
        <v>9633</v>
      </c>
      <c r="J159" s="4">
        <v>22903</v>
      </c>
      <c r="K159" s="4">
        <v>12430</v>
      </c>
      <c r="L159" s="6">
        <v>39995</v>
      </c>
      <c r="M159" s="4">
        <v>7449</v>
      </c>
      <c r="N159" s="4">
        <v>18452</v>
      </c>
      <c r="O159" s="6">
        <v>30546</v>
      </c>
      <c r="P159" s="4">
        <v>13260</v>
      </c>
      <c r="Q159" s="6">
        <v>17610</v>
      </c>
      <c r="R159" s="4">
        <v>15685</v>
      </c>
      <c r="S159" s="4">
        <v>21101</v>
      </c>
      <c r="T159" s="6">
        <v>23715</v>
      </c>
      <c r="U159" s="6">
        <v>42673</v>
      </c>
      <c r="V159" s="6">
        <v>27319</v>
      </c>
      <c r="W159" s="4">
        <v>30913</v>
      </c>
      <c r="X159" s="7">
        <v>0.15453174884710899</v>
      </c>
      <c r="Y159" s="9">
        <v>0.3208638988106669</v>
      </c>
      <c r="Z159" s="9">
        <v>0.112760966910268</v>
      </c>
      <c r="AA159" s="8">
        <v>8.5464427566023238E-2</v>
      </c>
    </row>
    <row r="160" spans="2:27" x14ac:dyDescent="0.3">
      <c r="B160" s="12">
        <v>5351</v>
      </c>
      <c r="C160" s="3" t="s">
        <v>712</v>
      </c>
      <c r="D160" s="3" t="str">
        <f>VLOOKUP(B160,기업리스트!$B:$G,2,FALSE)</f>
        <v>Shinagawa Refra Co., Ltd.</v>
      </c>
      <c r="E160" s="3" t="s">
        <v>646</v>
      </c>
      <c r="F160" s="5">
        <v>6.2</v>
      </c>
      <c r="G160" s="4">
        <v>26611</v>
      </c>
      <c r="H160" s="4">
        <v>30191</v>
      </c>
      <c r="I160" s="4">
        <v>28140</v>
      </c>
      <c r="J160" s="4">
        <v>29661</v>
      </c>
      <c r="K160" s="4">
        <v>31403</v>
      </c>
      <c r="L160" s="4">
        <v>33285</v>
      </c>
      <c r="M160" s="4">
        <v>30614</v>
      </c>
      <c r="N160" s="4">
        <v>36670</v>
      </c>
      <c r="O160" s="4">
        <v>36034</v>
      </c>
      <c r="P160" s="4">
        <v>36426</v>
      </c>
      <c r="Q160" s="4">
        <v>35045</v>
      </c>
      <c r="R160" s="4">
        <v>33867</v>
      </c>
      <c r="S160" s="4">
        <v>34363</v>
      </c>
      <c r="T160" s="4">
        <v>36864</v>
      </c>
      <c r="U160" s="4">
        <v>38978</v>
      </c>
      <c r="V160" s="4">
        <v>38266</v>
      </c>
      <c r="W160" s="4">
        <v>43577</v>
      </c>
      <c r="X160" s="10">
        <v>3.1352674640841021E-3</v>
      </c>
      <c r="Y160" s="8">
        <v>2.8064992614475589E-2</v>
      </c>
      <c r="Z160" s="8">
        <v>3.0533344438891771E-2</v>
      </c>
      <c r="AA160" s="8">
        <v>6.2059257363390907E-2</v>
      </c>
    </row>
    <row r="161" spans="2:27" x14ac:dyDescent="0.3">
      <c r="B161" s="12">
        <v>6479</v>
      </c>
      <c r="C161" s="3" t="s">
        <v>712</v>
      </c>
      <c r="D161" s="3" t="str">
        <f>VLOOKUP(B161,기업리스트!$B:$G,2,FALSE)</f>
        <v>MINEBEA MITSUMI Inc.</v>
      </c>
      <c r="E161" s="3" t="s">
        <v>650</v>
      </c>
      <c r="F161" s="5">
        <v>5.5</v>
      </c>
      <c r="G161" s="4">
        <v>304348</v>
      </c>
      <c r="H161" s="4">
        <v>289532</v>
      </c>
      <c r="I161" s="4">
        <v>251040</v>
      </c>
      <c r="J161" s="4">
        <v>330021</v>
      </c>
      <c r="K161" s="4">
        <v>371424</v>
      </c>
      <c r="L161" s="4">
        <v>339718</v>
      </c>
      <c r="M161" s="4">
        <v>292370</v>
      </c>
      <c r="N161" s="4">
        <v>379747</v>
      </c>
      <c r="O161" s="4">
        <v>381207</v>
      </c>
      <c r="P161" s="4">
        <v>348803</v>
      </c>
      <c r="Q161" s="4">
        <v>355454</v>
      </c>
      <c r="R161" s="4">
        <v>422783</v>
      </c>
      <c r="S161" s="4">
        <v>369643</v>
      </c>
      <c r="T161" s="4">
        <v>374823</v>
      </c>
      <c r="U161" s="4">
        <v>366925</v>
      </c>
      <c r="V161" s="4">
        <v>411389</v>
      </c>
      <c r="W161" s="4">
        <v>453921</v>
      </c>
      <c r="X161" s="10">
        <v>1.7385110941996459E-2</v>
      </c>
      <c r="Y161" s="8">
        <v>7.5333141131264103E-3</v>
      </c>
      <c r="Z161" s="8">
        <v>-7.4267977426288878E-3</v>
      </c>
      <c r="AA161" s="8">
        <v>5.5344829850667798E-2</v>
      </c>
    </row>
    <row r="162" spans="2:27" x14ac:dyDescent="0.3">
      <c r="B162" s="12">
        <v>8425</v>
      </c>
      <c r="C162" s="3" t="s">
        <v>712</v>
      </c>
      <c r="D162" s="3" t="str">
        <f>VLOOKUP(B162,기업리스트!$B:$G,2,FALSE)</f>
        <v>Mizuho Leasing Company, Limited</v>
      </c>
      <c r="E162" s="3" t="s">
        <v>646</v>
      </c>
      <c r="F162" s="5">
        <v>5.2</v>
      </c>
      <c r="G162" s="4">
        <v>141699</v>
      </c>
      <c r="H162" s="4">
        <v>129577</v>
      </c>
      <c r="I162" s="4">
        <v>165269</v>
      </c>
      <c r="J162" s="4">
        <v>114038</v>
      </c>
      <c r="K162" s="4">
        <v>114791</v>
      </c>
      <c r="L162" s="4">
        <v>110987</v>
      </c>
      <c r="M162" s="4">
        <v>189884</v>
      </c>
      <c r="N162" s="4">
        <v>123854</v>
      </c>
      <c r="O162" s="4">
        <v>147944</v>
      </c>
      <c r="P162" s="6">
        <v>230946</v>
      </c>
      <c r="Q162" s="4">
        <v>153383</v>
      </c>
      <c r="R162" s="4">
        <v>128217</v>
      </c>
      <c r="S162" s="4">
        <v>170200</v>
      </c>
      <c r="T162" s="4">
        <v>162497</v>
      </c>
      <c r="U162" s="6">
        <v>234509</v>
      </c>
      <c r="V162" s="6">
        <v>219516</v>
      </c>
      <c r="W162" s="4">
        <v>211089</v>
      </c>
      <c r="X162" s="10">
        <v>-0.10025543906518671</v>
      </c>
      <c r="Y162" s="9">
        <v>0.13206315511877811</v>
      </c>
      <c r="Z162" s="9">
        <v>0.13128556288762369</v>
      </c>
      <c r="AA162" s="8">
        <v>5.1973886582553863E-2</v>
      </c>
    </row>
    <row r="163" spans="2:27" x14ac:dyDescent="0.3">
      <c r="B163" s="12">
        <v>5401</v>
      </c>
      <c r="C163" s="3" t="s">
        <v>712</v>
      </c>
      <c r="D163" s="3" t="str">
        <f>VLOOKUP(B163,기업리스트!$B:$G,2,FALSE)</f>
        <v>Nippon Steel Corporation</v>
      </c>
      <c r="E163" s="3" t="s">
        <v>650</v>
      </c>
      <c r="F163" s="5">
        <v>5</v>
      </c>
      <c r="G163" s="4">
        <v>1778537</v>
      </c>
      <c r="H163" s="4">
        <v>1866409</v>
      </c>
      <c r="I163" s="4">
        <v>1919181</v>
      </c>
      <c r="J163" s="4">
        <v>1955225</v>
      </c>
      <c r="K163" s="4">
        <v>2087275</v>
      </c>
      <c r="L163" s="4">
        <v>2013904</v>
      </c>
      <c r="M163" s="4">
        <v>2199786</v>
      </c>
      <c r="N163" s="4">
        <v>2212635</v>
      </c>
      <c r="O163" s="4">
        <v>2229394</v>
      </c>
      <c r="P163" s="4">
        <v>2226281</v>
      </c>
      <c r="Q163" s="4">
        <v>2191509</v>
      </c>
      <c r="R163" s="4">
        <v>2188226</v>
      </c>
      <c r="S163" s="4">
        <v>2172763</v>
      </c>
      <c r="T163" s="4">
        <v>2143028</v>
      </c>
      <c r="U163" s="4">
        <v>2008749</v>
      </c>
      <c r="V163" s="4">
        <v>2626898</v>
      </c>
      <c r="W163" s="4">
        <v>2620676</v>
      </c>
      <c r="X163" s="10">
        <v>-9.4834372752747864E-3</v>
      </c>
      <c r="Y163" s="8">
        <v>-2.1017704966899031E-2</v>
      </c>
      <c r="Z163" s="8">
        <v>5.1531076973101442E-2</v>
      </c>
      <c r="AA163" s="8">
        <v>5.0038105609400363E-2</v>
      </c>
    </row>
    <row r="164" spans="2:27" x14ac:dyDescent="0.3">
      <c r="B164" s="12">
        <v>4483</v>
      </c>
      <c r="C164" s="3" t="s">
        <v>712</v>
      </c>
      <c r="D164" s="3" t="str">
        <f>VLOOKUP(B164,기업리스트!$B:$G,2,FALSE)</f>
        <v>JMDC Inc.</v>
      </c>
      <c r="E164" s="3" t="s">
        <v>646</v>
      </c>
      <c r="F164" s="5">
        <v>4.8</v>
      </c>
      <c r="G164" s="4">
        <v>5020</v>
      </c>
      <c r="H164" s="4">
        <v>6128</v>
      </c>
      <c r="I164" s="4">
        <v>6135</v>
      </c>
      <c r="J164" s="4">
        <v>5776</v>
      </c>
      <c r="K164" s="4">
        <v>6283</v>
      </c>
      <c r="L164" s="4">
        <v>7482</v>
      </c>
      <c r="M164" s="4">
        <v>8267</v>
      </c>
      <c r="N164" s="4">
        <v>6698</v>
      </c>
      <c r="O164" s="4">
        <v>7048</v>
      </c>
      <c r="P164" s="4">
        <v>8534</v>
      </c>
      <c r="Q164" s="4">
        <v>10100</v>
      </c>
      <c r="R164" s="4">
        <v>8422</v>
      </c>
      <c r="S164" s="6">
        <v>10775</v>
      </c>
      <c r="T164" s="4">
        <v>11408</v>
      </c>
      <c r="U164" s="4">
        <v>0</v>
      </c>
      <c r="V164" s="4">
        <v>10725</v>
      </c>
      <c r="W164" s="4">
        <v>12355</v>
      </c>
      <c r="X164" s="10">
        <v>7.596944304935116E-2</v>
      </c>
      <c r="Y164" s="8">
        <v>-0.24812676575359291</v>
      </c>
      <c r="Z164" s="8">
        <v>7.5249142297010296E-2</v>
      </c>
      <c r="AA164" s="8">
        <v>4.8012641303026633E-2</v>
      </c>
    </row>
    <row r="165" spans="2:27" x14ac:dyDescent="0.3">
      <c r="B165" s="12">
        <v>2317</v>
      </c>
      <c r="C165" s="3" t="s">
        <v>712</v>
      </c>
      <c r="D165" s="3" t="str">
        <f>VLOOKUP(B165,기업리스트!$B:$G,2,FALSE)</f>
        <v>Systena Corporation</v>
      </c>
      <c r="E165" s="3" t="s">
        <v>646</v>
      </c>
      <c r="F165" s="5">
        <v>4.7</v>
      </c>
      <c r="G165" s="4">
        <v>15545</v>
      </c>
      <c r="H165" s="4">
        <v>16163</v>
      </c>
      <c r="I165" s="4">
        <v>18233</v>
      </c>
      <c r="J165" s="4">
        <v>17627</v>
      </c>
      <c r="K165" s="4">
        <v>18178</v>
      </c>
      <c r="L165" s="4">
        <v>18529</v>
      </c>
      <c r="M165" s="4">
        <v>20192</v>
      </c>
      <c r="N165" s="4">
        <v>18734</v>
      </c>
      <c r="O165" s="4">
        <v>18787</v>
      </c>
      <c r="P165" s="4">
        <v>19619</v>
      </c>
      <c r="Q165" s="4">
        <v>19800</v>
      </c>
      <c r="R165" s="4">
        <v>19746</v>
      </c>
      <c r="S165" s="4">
        <v>20346</v>
      </c>
      <c r="T165" s="4">
        <v>20472</v>
      </c>
      <c r="U165" s="4">
        <v>23057</v>
      </c>
      <c r="V165" s="4">
        <v>22553</v>
      </c>
      <c r="W165" s="4">
        <v>24414</v>
      </c>
      <c r="X165" s="10">
        <v>1.072807536064202E-2</v>
      </c>
      <c r="Y165" s="8">
        <v>4.0528097157931382E-2</v>
      </c>
      <c r="Z165" s="8">
        <v>3.3568122839956471E-2</v>
      </c>
      <c r="AA165" s="8">
        <v>4.7068079788957329E-2</v>
      </c>
    </row>
    <row r="166" spans="2:27" x14ac:dyDescent="0.3">
      <c r="B166" s="12">
        <v>6723</v>
      </c>
      <c r="C166" s="3" t="s">
        <v>712</v>
      </c>
      <c r="D166" s="3" t="str">
        <f>VLOOKUP(B166,기업리스트!$B:$G,2,FALSE)</f>
        <v>Renesas Electronics Corporation</v>
      </c>
      <c r="E166" s="3" t="s">
        <v>648</v>
      </c>
      <c r="F166" s="5">
        <v>4.7</v>
      </c>
      <c r="G166" s="4">
        <v>313922</v>
      </c>
      <c r="H166" s="4">
        <v>346288</v>
      </c>
      <c r="I166" s="4">
        <v>376620</v>
      </c>
      <c r="J166" s="4">
        <v>387132</v>
      </c>
      <c r="K166" s="4">
        <v>390813</v>
      </c>
      <c r="L166" s="4">
        <v>359374</v>
      </c>
      <c r="M166" s="4">
        <v>368717</v>
      </c>
      <c r="N166" s="4">
        <v>379391</v>
      </c>
      <c r="O166" s="4">
        <v>361933</v>
      </c>
      <c r="P166" s="4">
        <v>351790</v>
      </c>
      <c r="Q166" s="4">
        <v>358807</v>
      </c>
      <c r="R166" s="4">
        <v>345282</v>
      </c>
      <c r="S166" s="4">
        <v>292600</v>
      </c>
      <c r="T166" s="4">
        <v>308777</v>
      </c>
      <c r="U166" s="4">
        <v>325534</v>
      </c>
      <c r="V166" s="4">
        <v>335364</v>
      </c>
      <c r="W166" s="4">
        <v>351537</v>
      </c>
      <c r="X166" s="10">
        <v>-3.1897419240492393E-2</v>
      </c>
      <c r="Y166" s="8">
        <v>-2.548745045830381E-2</v>
      </c>
      <c r="Z166" s="8">
        <v>-7.7959869296561068E-3</v>
      </c>
      <c r="AA166" s="8">
        <v>4.6691093462201128E-2</v>
      </c>
    </row>
    <row r="167" spans="2:27" x14ac:dyDescent="0.3">
      <c r="B167" s="12">
        <v>3636</v>
      </c>
      <c r="C167" s="3" t="s">
        <v>712</v>
      </c>
      <c r="D167" s="3" t="str">
        <f>VLOOKUP(B167,기업리스트!$B:$G,2,FALSE)</f>
        <v>Mitsubishi Research Institute, Inc.</v>
      </c>
      <c r="E167" s="3" t="s">
        <v>648</v>
      </c>
      <c r="F167" s="5">
        <v>4</v>
      </c>
      <c r="G167" s="4">
        <v>22628</v>
      </c>
      <c r="H167" s="4">
        <v>25358</v>
      </c>
      <c r="I167" s="4">
        <v>42907</v>
      </c>
      <c r="J167" s="4">
        <v>23408</v>
      </c>
      <c r="K167" s="4">
        <v>24947</v>
      </c>
      <c r="L167" s="4">
        <v>27459</v>
      </c>
      <c r="M167" s="4">
        <v>45866</v>
      </c>
      <c r="N167" s="4">
        <v>23553</v>
      </c>
      <c r="O167" s="4">
        <v>25248</v>
      </c>
      <c r="P167" s="4">
        <v>27668</v>
      </c>
      <c r="Q167" s="4">
        <v>38866</v>
      </c>
      <c r="R167" s="4">
        <v>23720</v>
      </c>
      <c r="S167" s="4">
        <v>25108</v>
      </c>
      <c r="T167" s="4">
        <v>27706</v>
      </c>
      <c r="U167" s="4">
        <v>37731</v>
      </c>
      <c r="V167" s="4">
        <v>26186</v>
      </c>
      <c r="W167" s="4">
        <v>29835</v>
      </c>
      <c r="X167" s="10">
        <v>3.2939789532071551E-4</v>
      </c>
      <c r="Y167" s="8">
        <v>-9.8353552859619109E-3</v>
      </c>
      <c r="Z167" s="8">
        <v>2.1581411630858138E-2</v>
      </c>
      <c r="AA167" s="8">
        <v>4.0494812860337071E-2</v>
      </c>
    </row>
    <row r="168" spans="2:27" x14ac:dyDescent="0.3">
      <c r="B168" s="12">
        <v>7186</v>
      </c>
      <c r="C168" s="3" t="s">
        <v>712</v>
      </c>
      <c r="D168" s="3" t="str">
        <f>VLOOKUP(B168,기업리스트!$B:$G,2,FALSE)</f>
        <v>Yokohama Financial Group, Inc.</v>
      </c>
      <c r="E168" s="3" t="s">
        <v>650</v>
      </c>
      <c r="F168" s="5">
        <v>4</v>
      </c>
      <c r="G168" s="4">
        <v>65768</v>
      </c>
      <c r="H168" s="4">
        <v>63065</v>
      </c>
      <c r="I168" s="4">
        <v>68632</v>
      </c>
      <c r="J168" s="4">
        <v>64772</v>
      </c>
      <c r="K168" s="4">
        <v>68179</v>
      </c>
      <c r="L168" s="4">
        <v>65403</v>
      </c>
      <c r="M168" s="4">
        <v>70191</v>
      </c>
      <c r="N168" s="4">
        <v>75226</v>
      </c>
      <c r="O168" s="4">
        <v>68627</v>
      </c>
      <c r="P168" s="4">
        <v>77436</v>
      </c>
      <c r="Q168" s="4">
        <v>76731</v>
      </c>
      <c r="R168" s="4">
        <v>77813</v>
      </c>
      <c r="S168" s="4">
        <v>80513</v>
      </c>
      <c r="T168" s="4">
        <v>81314</v>
      </c>
      <c r="U168" s="4">
        <v>90820</v>
      </c>
      <c r="V168" s="4">
        <v>99424</v>
      </c>
      <c r="W168" s="4">
        <v>94590</v>
      </c>
      <c r="X168" s="10">
        <v>1.2409877981266689E-2</v>
      </c>
      <c r="Y168" s="8">
        <v>4.4533158854635817E-2</v>
      </c>
      <c r="Z168" s="8">
        <v>6.5396719724021057E-2</v>
      </c>
      <c r="AA168" s="8">
        <v>3.9983412436696009E-2</v>
      </c>
    </row>
    <row r="169" spans="2:27" x14ac:dyDescent="0.3">
      <c r="B169" s="12">
        <v>1926</v>
      </c>
      <c r="C169" s="3" t="s">
        <v>712</v>
      </c>
      <c r="D169" s="3" t="str">
        <f>VLOOKUP(B169,기업리스트!$B:$G,2,FALSE)</f>
        <v>Raito Kogyo Co., Ltd.</v>
      </c>
      <c r="E169" s="3" t="s">
        <v>646</v>
      </c>
      <c r="F169" s="5">
        <v>3.9</v>
      </c>
      <c r="G169" s="4">
        <v>26314</v>
      </c>
      <c r="H169" s="4">
        <v>29154</v>
      </c>
      <c r="I169" s="4">
        <v>30824</v>
      </c>
      <c r="J169" s="4">
        <v>23865</v>
      </c>
      <c r="K169" s="4">
        <v>27934</v>
      </c>
      <c r="L169" s="4">
        <v>31190</v>
      </c>
      <c r="M169" s="4">
        <v>31985</v>
      </c>
      <c r="N169" s="4">
        <v>25771</v>
      </c>
      <c r="O169" s="4">
        <v>29304</v>
      </c>
      <c r="P169" s="4">
        <v>30164</v>
      </c>
      <c r="Q169" s="4">
        <v>32085</v>
      </c>
      <c r="R169" s="4">
        <v>25421</v>
      </c>
      <c r="S169" s="4">
        <v>29546</v>
      </c>
      <c r="T169" s="4">
        <v>34119</v>
      </c>
      <c r="U169" s="4">
        <v>32371</v>
      </c>
      <c r="V169" s="4">
        <v>30520</v>
      </c>
      <c r="W169" s="4">
        <v>34543</v>
      </c>
      <c r="X169" s="10">
        <v>3.3741127491127447E-2</v>
      </c>
      <c r="Y169" s="8">
        <v>2.3603007320234242E-3</v>
      </c>
      <c r="Z169" s="8">
        <v>4.1981935993808513E-2</v>
      </c>
      <c r="AA169" s="8">
        <v>3.9484496981573303E-2</v>
      </c>
    </row>
    <row r="170" spans="2:27" x14ac:dyDescent="0.3">
      <c r="B170" s="12">
        <v>4928</v>
      </c>
      <c r="C170" s="3" t="s">
        <v>712</v>
      </c>
      <c r="D170" s="3" t="str">
        <f>VLOOKUP(B170,기업리스트!$B:$G,2,FALSE)</f>
        <v>Noevir Holdings Co., Ltd.</v>
      </c>
      <c r="E170" s="3" t="s">
        <v>648</v>
      </c>
      <c r="F170" s="5">
        <v>3</v>
      </c>
      <c r="G170" s="4">
        <v>12446</v>
      </c>
      <c r="H170" s="4">
        <v>15571</v>
      </c>
      <c r="I170" s="4">
        <v>14590</v>
      </c>
      <c r="J170" s="4">
        <v>15731</v>
      </c>
      <c r="K170" s="4">
        <v>15251</v>
      </c>
      <c r="L170" s="4">
        <v>16208</v>
      </c>
      <c r="M170" s="4">
        <v>14688</v>
      </c>
      <c r="N170" s="4">
        <v>15986</v>
      </c>
      <c r="O170" s="4">
        <v>15670</v>
      </c>
      <c r="P170" s="4">
        <v>16614</v>
      </c>
      <c r="Q170" s="4">
        <v>15011</v>
      </c>
      <c r="R170" s="4">
        <v>16613</v>
      </c>
      <c r="S170" s="4">
        <v>15585</v>
      </c>
      <c r="T170" s="4">
        <v>16019</v>
      </c>
      <c r="U170" s="4">
        <v>15235</v>
      </c>
      <c r="V170" s="4">
        <v>15246</v>
      </c>
      <c r="W170" s="4">
        <v>17441</v>
      </c>
      <c r="X170" s="10">
        <v>-9.3226579759647654E-3</v>
      </c>
      <c r="Y170" s="8">
        <v>3.5427342316696202E-3</v>
      </c>
      <c r="Z170" s="8">
        <v>-2.1543844165668569E-2</v>
      </c>
      <c r="AA170" s="8">
        <v>2.9894499476524231E-2</v>
      </c>
    </row>
    <row r="171" spans="2:27" x14ac:dyDescent="0.3">
      <c r="B171" s="12">
        <v>9090</v>
      </c>
      <c r="C171" s="3" t="s">
        <v>712</v>
      </c>
      <c r="D171" s="3" t="str">
        <f>VLOOKUP(B171,기업리스트!$B:$G,2,FALSE)</f>
        <v>AZ-COM MARUWA Holdings Inc.</v>
      </c>
      <c r="E171" s="3" t="s">
        <v>646</v>
      </c>
      <c r="F171" s="5">
        <v>2.8</v>
      </c>
      <c r="G171" s="4">
        <v>30429</v>
      </c>
      <c r="H171" s="4">
        <v>37358</v>
      </c>
      <c r="I171" s="4">
        <v>35893</v>
      </c>
      <c r="J171" s="4">
        <v>40950</v>
      </c>
      <c r="K171" s="4">
        <v>43380</v>
      </c>
      <c r="L171" s="4">
        <v>48961</v>
      </c>
      <c r="M171" s="4">
        <v>44538</v>
      </c>
      <c r="N171" s="4">
        <v>47528</v>
      </c>
      <c r="O171" s="4">
        <v>49032</v>
      </c>
      <c r="P171" s="4">
        <v>53568</v>
      </c>
      <c r="Q171" s="4">
        <v>48426</v>
      </c>
      <c r="R171" s="4">
        <v>49680</v>
      </c>
      <c r="S171" s="4">
        <v>51760</v>
      </c>
      <c r="T171" s="4">
        <v>56204</v>
      </c>
      <c r="U171" s="4">
        <v>50726</v>
      </c>
      <c r="V171" s="4">
        <v>55246</v>
      </c>
      <c r="W171" s="4">
        <v>57808</v>
      </c>
      <c r="X171" s="10">
        <v>1.29575193920386E-2</v>
      </c>
      <c r="Y171" s="8">
        <v>1.1161255883922919E-2</v>
      </c>
      <c r="Z171" s="8">
        <v>2.6712098670633951E-2</v>
      </c>
      <c r="AA171" s="8">
        <v>2.827013686336111E-2</v>
      </c>
    </row>
    <row r="172" spans="2:27" x14ac:dyDescent="0.3">
      <c r="B172" s="12">
        <v>9401</v>
      </c>
      <c r="C172" s="3" t="s">
        <v>712</v>
      </c>
      <c r="D172" s="3" t="str">
        <f>VLOOKUP(B172,기업리스트!$B:$G,2,FALSE)</f>
        <v>TBS Holdings,Inc.</v>
      </c>
      <c r="E172" s="3" t="s">
        <v>646</v>
      </c>
      <c r="F172" s="5">
        <v>2.7</v>
      </c>
      <c r="G172" s="4">
        <v>85665</v>
      </c>
      <c r="H172" s="4">
        <v>97238</v>
      </c>
      <c r="I172" s="4">
        <v>88951</v>
      </c>
      <c r="J172" s="4">
        <v>88964</v>
      </c>
      <c r="K172" s="4">
        <v>89899</v>
      </c>
      <c r="L172" s="4">
        <v>97283</v>
      </c>
      <c r="M172" s="4">
        <v>91984</v>
      </c>
      <c r="N172" s="4">
        <v>94777</v>
      </c>
      <c r="O172" s="4">
        <v>96036</v>
      </c>
      <c r="P172" s="4">
        <v>104652</v>
      </c>
      <c r="Q172" s="4">
        <v>98844</v>
      </c>
      <c r="R172" s="4">
        <v>98604</v>
      </c>
      <c r="S172" s="4">
        <v>99188</v>
      </c>
      <c r="T172" s="4">
        <v>105142</v>
      </c>
      <c r="U172" s="4">
        <v>103766</v>
      </c>
      <c r="V172" s="4">
        <v>100633</v>
      </c>
      <c r="W172" s="4">
        <v>110025</v>
      </c>
      <c r="X172" s="10">
        <v>1.2210681605231419E-3</v>
      </c>
      <c r="Y172" s="8">
        <v>1.2250546321600501E-2</v>
      </c>
      <c r="Z172" s="8">
        <v>4.9889353331693531E-3</v>
      </c>
      <c r="AA172" s="8">
        <v>2.6513900408339008E-2</v>
      </c>
    </row>
    <row r="173" spans="2:27" x14ac:dyDescent="0.3">
      <c r="B173" s="12">
        <v>4534</v>
      </c>
      <c r="C173" s="3" t="s">
        <v>712</v>
      </c>
      <c r="D173" s="3" t="str">
        <f>VLOOKUP(B173,기업리스트!$B:$G,2,FALSE)</f>
        <v>Mochida Pharmaceutical Co., Ltd.</v>
      </c>
      <c r="E173" s="3" t="s">
        <v>646</v>
      </c>
      <c r="F173" s="5">
        <v>2.5</v>
      </c>
      <c r="G173" s="4">
        <v>26647</v>
      </c>
      <c r="H173" s="4">
        <v>30805</v>
      </c>
      <c r="I173" s="4">
        <v>25365</v>
      </c>
      <c r="J173" s="4">
        <v>27692</v>
      </c>
      <c r="K173" s="4">
        <v>25508</v>
      </c>
      <c r="L173" s="4">
        <v>28194</v>
      </c>
      <c r="M173" s="4">
        <v>21867</v>
      </c>
      <c r="N173" s="4">
        <v>24747</v>
      </c>
      <c r="O173" s="4">
        <v>24729</v>
      </c>
      <c r="P173" s="4">
        <v>28742</v>
      </c>
      <c r="Q173" s="4">
        <v>24667</v>
      </c>
      <c r="R173" s="4">
        <v>25407</v>
      </c>
      <c r="S173" s="4">
        <v>25689</v>
      </c>
      <c r="T173" s="4">
        <v>29635</v>
      </c>
      <c r="U173" s="4">
        <v>24428</v>
      </c>
      <c r="V173" s="4">
        <v>26631</v>
      </c>
      <c r="W173" s="4">
        <v>28354</v>
      </c>
      <c r="X173" s="10">
        <v>8.5450456915936446E-3</v>
      </c>
      <c r="Y173" s="8">
        <v>-2.267595210535323E-3</v>
      </c>
      <c r="Z173" s="8">
        <v>1.163951730237067E-2</v>
      </c>
      <c r="AA173" s="8">
        <v>2.5050994989801009E-2</v>
      </c>
    </row>
    <row r="174" spans="2:27" x14ac:dyDescent="0.3">
      <c r="B174" s="12">
        <v>3034</v>
      </c>
      <c r="C174" s="3" t="s">
        <v>712</v>
      </c>
      <c r="D174" s="3" t="str">
        <f>VLOOKUP(B174,기업리스트!$B:$G,2,FALSE)</f>
        <v>Qol Holdings Co., Ltd.</v>
      </c>
      <c r="E174" s="3" t="s">
        <v>646</v>
      </c>
      <c r="F174" s="5">
        <v>2.5</v>
      </c>
      <c r="G174" s="4">
        <v>41464</v>
      </c>
      <c r="H174" s="4">
        <v>42731</v>
      </c>
      <c r="I174" s="4">
        <v>41654</v>
      </c>
      <c r="J174" s="4">
        <v>40550</v>
      </c>
      <c r="K174" s="4">
        <v>41909</v>
      </c>
      <c r="L174" s="4">
        <v>43642</v>
      </c>
      <c r="M174" s="4">
        <v>43935</v>
      </c>
      <c r="N174" s="4">
        <v>43403</v>
      </c>
      <c r="O174" s="4">
        <v>45137</v>
      </c>
      <c r="P174" s="4">
        <v>45988</v>
      </c>
      <c r="Q174" s="4">
        <v>45524</v>
      </c>
      <c r="R174" s="4">
        <v>61036</v>
      </c>
      <c r="S174" s="4">
        <v>63735</v>
      </c>
      <c r="T174" s="6">
        <v>73436</v>
      </c>
      <c r="U174" s="4">
        <v>65765</v>
      </c>
      <c r="V174" s="4">
        <v>71730</v>
      </c>
      <c r="W174" s="4">
        <v>70500</v>
      </c>
      <c r="X174" s="7">
        <v>0.12690780135285709</v>
      </c>
      <c r="Y174" s="8">
        <v>8.3046473366129137E-2</v>
      </c>
      <c r="Z174" s="8">
        <v>4.0511872471322707E-2</v>
      </c>
      <c r="AA174" s="8">
        <v>2.462991415027704E-2</v>
      </c>
    </row>
    <row r="175" spans="2:27" x14ac:dyDescent="0.3">
      <c r="B175" s="12">
        <v>7088</v>
      </c>
      <c r="C175" s="3" t="s">
        <v>712</v>
      </c>
      <c r="D175" s="3" t="str">
        <f>VLOOKUP(B175,기업리스트!$B:$G,2,FALSE)</f>
        <v>Forum Engineering Inc.</v>
      </c>
      <c r="E175" s="3" t="s">
        <v>646</v>
      </c>
      <c r="F175" s="5">
        <v>2.2999999999999998</v>
      </c>
      <c r="G175" s="3"/>
      <c r="H175" s="3"/>
      <c r="I175" s="3"/>
      <c r="J175" s="3"/>
      <c r="K175" s="3"/>
      <c r="L175" s="3"/>
      <c r="M175" s="3"/>
      <c r="N175" s="4">
        <v>7720</v>
      </c>
      <c r="O175" s="4">
        <v>7584</v>
      </c>
      <c r="P175" s="4">
        <v>8188</v>
      </c>
      <c r="Q175" s="4">
        <v>7787</v>
      </c>
      <c r="R175" s="4">
        <v>8528</v>
      </c>
      <c r="S175" s="4">
        <v>8427</v>
      </c>
      <c r="T175" s="4">
        <v>9097</v>
      </c>
      <c r="U175" s="4">
        <v>8636</v>
      </c>
      <c r="V175" s="4">
        <v>9228</v>
      </c>
      <c r="W175" s="4">
        <v>9252</v>
      </c>
      <c r="X175" s="10">
        <v>2.7604008502884799E-2</v>
      </c>
      <c r="Y175" s="8">
        <v>2.508939389461862E-2</v>
      </c>
      <c r="Z175" s="8">
        <v>2.017988929889292E-2</v>
      </c>
      <c r="AA175" s="8">
        <v>2.331298745337396E-2</v>
      </c>
    </row>
    <row r="176" spans="2:27" x14ac:dyDescent="0.3">
      <c r="B176" s="12">
        <v>8111</v>
      </c>
      <c r="C176" s="3" t="s">
        <v>712</v>
      </c>
      <c r="D176" s="3" t="str">
        <f>VLOOKUP(B176,기업리스트!$B:$G,2,FALSE)</f>
        <v>Goldwin Inc.</v>
      </c>
      <c r="E176" s="3" t="s">
        <v>646</v>
      </c>
      <c r="F176" s="5">
        <v>2.2000000000000002</v>
      </c>
      <c r="G176" s="4">
        <v>21130</v>
      </c>
      <c r="H176" s="4">
        <v>35574</v>
      </c>
      <c r="I176" s="4">
        <v>24453</v>
      </c>
      <c r="J176" s="4">
        <v>21099</v>
      </c>
      <c r="K176" s="4">
        <v>24210</v>
      </c>
      <c r="L176" s="4">
        <v>41437</v>
      </c>
      <c r="M176" s="4">
        <v>28306</v>
      </c>
      <c r="N176" s="4">
        <v>23150</v>
      </c>
      <c r="O176" s="4">
        <v>27946</v>
      </c>
      <c r="P176" s="4">
        <v>43736</v>
      </c>
      <c r="Q176" s="4">
        <v>32075</v>
      </c>
      <c r="R176" s="4">
        <v>24601</v>
      </c>
      <c r="S176" s="4">
        <v>28766</v>
      </c>
      <c r="T176" s="4">
        <v>43466</v>
      </c>
      <c r="U176" s="4">
        <v>35472</v>
      </c>
      <c r="V176" s="4">
        <v>23878</v>
      </c>
      <c r="W176" s="4">
        <v>31711</v>
      </c>
      <c r="X176" s="10">
        <v>-2.0901391877874431E-3</v>
      </c>
      <c r="Y176" s="8">
        <v>2.6352127098395739E-2</v>
      </c>
      <c r="Z176" s="8">
        <v>-5.464646082914526E-3</v>
      </c>
      <c r="AA176" s="8">
        <v>2.2381480749646521E-2</v>
      </c>
    </row>
    <row r="177" spans="2:27" x14ac:dyDescent="0.3">
      <c r="B177" s="12">
        <v>7250</v>
      </c>
      <c r="C177" s="3" t="s">
        <v>712</v>
      </c>
      <c r="D177" s="3" t="str">
        <f>VLOOKUP(B177,기업리스트!$B:$G,2,FALSE)</f>
        <v>Pacific Industrial Co., Ltd.</v>
      </c>
      <c r="E177" s="3" t="s">
        <v>646</v>
      </c>
      <c r="F177" s="5">
        <v>2.2000000000000002</v>
      </c>
      <c r="G177" s="4">
        <v>36892</v>
      </c>
      <c r="H177" s="4">
        <v>41626</v>
      </c>
      <c r="I177" s="4">
        <v>44424</v>
      </c>
      <c r="J177" s="4">
        <v>44468</v>
      </c>
      <c r="K177" s="4">
        <v>46443</v>
      </c>
      <c r="L177" s="4">
        <v>52512</v>
      </c>
      <c r="M177" s="4">
        <v>47831</v>
      </c>
      <c r="N177" s="4">
        <v>49301</v>
      </c>
      <c r="O177" s="4">
        <v>53354</v>
      </c>
      <c r="P177" s="4">
        <v>53328</v>
      </c>
      <c r="Q177" s="4">
        <v>51365</v>
      </c>
      <c r="R177" s="4">
        <v>49789</v>
      </c>
      <c r="S177" s="4">
        <v>47857</v>
      </c>
      <c r="T177" s="4">
        <v>51731</v>
      </c>
      <c r="U177" s="4">
        <v>54820</v>
      </c>
      <c r="V177" s="4">
        <v>52561</v>
      </c>
      <c r="W177" s="4">
        <v>52475</v>
      </c>
      <c r="X177" s="10">
        <v>-7.892694932761346E-3</v>
      </c>
      <c r="Y177" s="8">
        <v>1.7211146645943479E-2</v>
      </c>
      <c r="Z177" s="8">
        <v>1.3575125981282851E-2</v>
      </c>
      <c r="AA177" s="8">
        <v>2.2312520232498519E-2</v>
      </c>
    </row>
    <row r="178" spans="2:27" x14ac:dyDescent="0.3">
      <c r="B178" s="12">
        <v>3110</v>
      </c>
      <c r="C178" s="3" t="s">
        <v>712</v>
      </c>
      <c r="D178" s="3" t="str">
        <f>VLOOKUP(B178,기업리스트!$B:$G,2,FALSE)</f>
        <v>Nitto Boseki Co., Ltd.</v>
      </c>
      <c r="E178" s="3" t="s">
        <v>646</v>
      </c>
      <c r="F178" s="5">
        <v>2</v>
      </c>
      <c r="G178" s="4">
        <v>20568</v>
      </c>
      <c r="H178" s="4">
        <v>21034</v>
      </c>
      <c r="I178" s="4">
        <v>21931</v>
      </c>
      <c r="J178" s="4">
        <v>23827</v>
      </c>
      <c r="K178" s="4">
        <v>23210</v>
      </c>
      <c r="L178" s="4">
        <v>21725</v>
      </c>
      <c r="M178" s="4">
        <v>18767</v>
      </c>
      <c r="N178" s="4">
        <v>20297</v>
      </c>
      <c r="O178" s="4">
        <v>22437</v>
      </c>
      <c r="P178" s="4">
        <v>25307</v>
      </c>
      <c r="Q178" s="4">
        <v>25212</v>
      </c>
      <c r="R178" s="4">
        <v>26115</v>
      </c>
      <c r="S178" s="4">
        <v>26936</v>
      </c>
      <c r="T178" s="4">
        <v>28469</v>
      </c>
      <c r="U178" s="4">
        <v>27515</v>
      </c>
      <c r="V178" s="4">
        <v>28231</v>
      </c>
      <c r="W178" s="4">
        <v>29181</v>
      </c>
      <c r="X178" s="10">
        <v>3.0530076276914061E-2</v>
      </c>
      <c r="Y178" s="8">
        <v>2.157740883708725E-2</v>
      </c>
      <c r="Z178" s="8">
        <v>1.9406612555601391E-2</v>
      </c>
      <c r="AA178" s="8">
        <v>2.0197749008105999E-2</v>
      </c>
    </row>
    <row r="179" spans="2:27" x14ac:dyDescent="0.3">
      <c r="B179" s="12">
        <v>6645</v>
      </c>
      <c r="C179" s="3" t="s">
        <v>712</v>
      </c>
      <c r="D179" s="3" t="str">
        <f>VLOOKUP(B179,기업리스트!$B:$G,2,FALSE)</f>
        <v>OMRON Corporation</v>
      </c>
      <c r="E179" s="3" t="s">
        <v>650</v>
      </c>
      <c r="F179" s="5">
        <v>1.9</v>
      </c>
      <c r="G179" s="4">
        <v>189258</v>
      </c>
      <c r="H179" s="4">
        <v>204318</v>
      </c>
      <c r="I179" s="4">
        <v>184386</v>
      </c>
      <c r="J179" s="4">
        <v>220032</v>
      </c>
      <c r="K179" s="4">
        <v>233559</v>
      </c>
      <c r="L179" s="4">
        <v>238105</v>
      </c>
      <c r="M179" s="4">
        <v>203351</v>
      </c>
      <c r="N179" s="4">
        <v>197323</v>
      </c>
      <c r="O179" s="4">
        <v>207311</v>
      </c>
      <c r="P179" s="4">
        <v>210776</v>
      </c>
      <c r="Q179" s="4">
        <v>183713</v>
      </c>
      <c r="R179" s="4">
        <v>190925</v>
      </c>
      <c r="S179" s="4">
        <v>205060</v>
      </c>
      <c r="T179" s="4">
        <v>222055</v>
      </c>
      <c r="U179" s="4">
        <v>189477</v>
      </c>
      <c r="V179" s="4">
        <v>203971</v>
      </c>
      <c r="W179" s="4">
        <v>220840</v>
      </c>
      <c r="X179" s="10">
        <v>1.426865399747501E-2</v>
      </c>
      <c r="Y179" s="8">
        <v>7.1892465634677549E-3</v>
      </c>
      <c r="Z179" s="8">
        <v>1.615569703176534E-2</v>
      </c>
      <c r="AA179" s="8">
        <v>1.9230698922569012E-2</v>
      </c>
    </row>
    <row r="180" spans="2:27" x14ac:dyDescent="0.3">
      <c r="B180" s="12">
        <v>9404</v>
      </c>
      <c r="C180" s="3" t="s">
        <v>712</v>
      </c>
      <c r="D180" s="3" t="str">
        <f>VLOOKUP(B180,기업리스트!$B:$G,2,FALSE)</f>
        <v>Nippon Television Holdings, Inc.</v>
      </c>
      <c r="E180" s="3" t="s">
        <v>646</v>
      </c>
      <c r="F180" s="5">
        <v>1.9</v>
      </c>
      <c r="G180" s="4">
        <v>97121</v>
      </c>
      <c r="H180" s="4">
        <v>106247</v>
      </c>
      <c r="I180" s="4">
        <v>105198</v>
      </c>
      <c r="J180" s="4">
        <v>100453</v>
      </c>
      <c r="K180" s="4">
        <v>98988</v>
      </c>
      <c r="L180" s="4">
        <v>106192</v>
      </c>
      <c r="M180" s="4">
        <v>108346</v>
      </c>
      <c r="N180" s="4">
        <v>98010</v>
      </c>
      <c r="O180" s="4">
        <v>97990</v>
      </c>
      <c r="P180" s="4">
        <v>110219</v>
      </c>
      <c r="Q180" s="4">
        <v>117304</v>
      </c>
      <c r="R180" s="4">
        <v>106087</v>
      </c>
      <c r="S180" s="4">
        <v>110786</v>
      </c>
      <c r="T180" s="4">
        <v>116740</v>
      </c>
      <c r="U180" s="4">
        <v>128302</v>
      </c>
      <c r="V180" s="4">
        <v>114649</v>
      </c>
      <c r="W180" s="4">
        <v>119832</v>
      </c>
      <c r="X180" s="10">
        <v>1.4673849449589939E-2</v>
      </c>
      <c r="Y180" s="8">
        <v>2.4390297992757048E-2</v>
      </c>
      <c r="Z180" s="8">
        <v>1.853587781301758E-2</v>
      </c>
      <c r="AA180" s="8">
        <v>1.922729485182062E-2</v>
      </c>
    </row>
    <row r="181" spans="2:27" x14ac:dyDescent="0.3">
      <c r="B181" s="12">
        <v>4901</v>
      </c>
      <c r="C181" s="3" t="s">
        <v>712</v>
      </c>
      <c r="D181" s="3" t="str">
        <f>VLOOKUP(B181,기업리스트!$B:$G,2,FALSE)</f>
        <v>FUJIFILM Holdings Corporation</v>
      </c>
      <c r="E181" s="3" t="s">
        <v>646</v>
      </c>
      <c r="F181" s="5">
        <v>1.8</v>
      </c>
      <c r="G181" s="4">
        <v>622481</v>
      </c>
      <c r="H181" s="4">
        <v>655768</v>
      </c>
      <c r="I181" s="4">
        <v>664871</v>
      </c>
      <c r="J181" s="4">
        <v>625860</v>
      </c>
      <c r="K181" s="4">
        <v>724071</v>
      </c>
      <c r="L181" s="4">
        <v>744329</v>
      </c>
      <c r="M181" s="4">
        <v>764781</v>
      </c>
      <c r="N181" s="4">
        <v>660759</v>
      </c>
      <c r="O181" s="4">
        <v>727711</v>
      </c>
      <c r="P181" s="4">
        <v>766941</v>
      </c>
      <c r="Q181" s="4">
        <v>805505</v>
      </c>
      <c r="R181" s="4">
        <v>749015</v>
      </c>
      <c r="S181" s="4">
        <v>765734</v>
      </c>
      <c r="T181" s="4">
        <v>812770</v>
      </c>
      <c r="U181" s="4">
        <v>868309</v>
      </c>
      <c r="V181" s="4">
        <v>749482</v>
      </c>
      <c r="W181" s="4">
        <v>822881</v>
      </c>
      <c r="X181" s="10">
        <v>1.484486726624001E-2</v>
      </c>
      <c r="Y181" s="8">
        <v>2.0045808777717559E-2</v>
      </c>
      <c r="Z181" s="8">
        <v>1.461280143988386E-4</v>
      </c>
      <c r="AA181" s="8">
        <v>1.7879138189685229E-2</v>
      </c>
    </row>
    <row r="182" spans="2:27" x14ac:dyDescent="0.3">
      <c r="B182" s="12">
        <v>6590</v>
      </c>
      <c r="C182" s="3" t="s">
        <v>712</v>
      </c>
      <c r="D182" s="3" t="str">
        <f>VLOOKUP(B182,기업리스트!$B:$G,2,FALSE)</f>
        <v>Shibaura Mechatronics Corporation</v>
      </c>
      <c r="E182" s="3" t="s">
        <v>646</v>
      </c>
      <c r="F182" s="5">
        <v>1.8</v>
      </c>
      <c r="G182" s="4">
        <v>11816</v>
      </c>
      <c r="H182" s="4">
        <v>11753</v>
      </c>
      <c r="I182" s="4">
        <v>15603</v>
      </c>
      <c r="J182" s="4">
        <v>13821</v>
      </c>
      <c r="K182" s="4">
        <v>15435</v>
      </c>
      <c r="L182" s="4">
        <v>16201</v>
      </c>
      <c r="M182" s="4">
        <v>15544</v>
      </c>
      <c r="N182" s="4">
        <v>14254</v>
      </c>
      <c r="O182" s="4">
        <v>16257</v>
      </c>
      <c r="P182" s="4">
        <v>17388</v>
      </c>
      <c r="Q182" s="4">
        <v>19657</v>
      </c>
      <c r="R182" s="4">
        <v>17129</v>
      </c>
      <c r="S182" s="4">
        <v>19262</v>
      </c>
      <c r="T182" s="4">
        <v>20163</v>
      </c>
      <c r="U182" s="4">
        <v>24361</v>
      </c>
      <c r="V182" s="4">
        <v>21512</v>
      </c>
      <c r="W182" s="4">
        <v>20765</v>
      </c>
      <c r="X182" s="10">
        <v>3.7788005882673392E-2</v>
      </c>
      <c r="Y182" s="8">
        <v>6.1723373266326487E-2</v>
      </c>
      <c r="Z182" s="8">
        <v>5.4167954025829523E-2</v>
      </c>
      <c r="AA182" s="8">
        <v>1.7620577270275991E-2</v>
      </c>
    </row>
    <row r="183" spans="2:27" x14ac:dyDescent="0.3">
      <c r="B183" s="12">
        <v>7701</v>
      </c>
      <c r="C183" s="3" t="s">
        <v>712</v>
      </c>
      <c r="D183" s="3" t="str">
        <f>VLOOKUP(B183,기업리스트!$B:$G,2,FALSE)</f>
        <v>Shimadzu Corporation</v>
      </c>
      <c r="E183" s="3" t="s">
        <v>650</v>
      </c>
      <c r="F183" s="5">
        <v>1.7</v>
      </c>
      <c r="G183" s="4">
        <v>103791</v>
      </c>
      <c r="H183" s="4">
        <v>122317</v>
      </c>
      <c r="I183" s="4">
        <v>98639</v>
      </c>
      <c r="J183" s="4">
        <v>123254</v>
      </c>
      <c r="K183" s="4">
        <v>117579</v>
      </c>
      <c r="L183" s="4">
        <v>142768</v>
      </c>
      <c r="M183" s="4">
        <v>109200</v>
      </c>
      <c r="N183" s="4">
        <v>130314</v>
      </c>
      <c r="O183" s="4">
        <v>126109</v>
      </c>
      <c r="P183" s="4">
        <v>146272</v>
      </c>
      <c r="Q183" s="4">
        <v>116938</v>
      </c>
      <c r="R183" s="4">
        <v>134309</v>
      </c>
      <c r="S183" s="4">
        <v>133049</v>
      </c>
      <c r="T183" s="4">
        <v>154751</v>
      </c>
      <c r="U183" s="4">
        <v>118370</v>
      </c>
      <c r="V183" s="4">
        <v>137972</v>
      </c>
      <c r="W183" s="4">
        <v>142380</v>
      </c>
      <c r="X183" s="10">
        <v>1.5980986414559469E-2</v>
      </c>
      <c r="Y183" s="8">
        <v>2.6565401532705479E-3</v>
      </c>
      <c r="Z183" s="8">
        <v>6.77732159806399E-3</v>
      </c>
      <c r="AA183" s="8">
        <v>1.714809737164202E-2</v>
      </c>
    </row>
    <row r="184" spans="2:27" x14ac:dyDescent="0.3">
      <c r="B184" s="12">
        <v>6965</v>
      </c>
      <c r="C184" s="3" t="s">
        <v>712</v>
      </c>
      <c r="D184" s="3" t="str">
        <f>VLOOKUP(B184,기업리스트!$B:$G,2,FALSE)</f>
        <v>Hamamatsu Photonics K.K.</v>
      </c>
      <c r="E184" s="3" t="s">
        <v>648</v>
      </c>
      <c r="F184" s="5">
        <v>1.5</v>
      </c>
      <c r="G184" s="4">
        <v>47160</v>
      </c>
      <c r="H184" s="4">
        <v>47028</v>
      </c>
      <c r="I184" s="4">
        <v>53488</v>
      </c>
      <c r="J184" s="4">
        <v>51247</v>
      </c>
      <c r="K184" s="4">
        <v>57040</v>
      </c>
      <c r="L184" s="4">
        <v>55163</v>
      </c>
      <c r="M184" s="4">
        <v>56455</v>
      </c>
      <c r="N184" s="4">
        <v>52870</v>
      </c>
      <c r="O184" s="4">
        <v>56957</v>
      </c>
      <c r="P184" s="4">
        <v>53512</v>
      </c>
      <c r="Q184" s="4">
        <v>50474</v>
      </c>
      <c r="R184" s="4">
        <v>46562</v>
      </c>
      <c r="S184" s="4">
        <v>53413</v>
      </c>
      <c r="T184" s="4">
        <v>50587</v>
      </c>
      <c r="U184" s="4">
        <v>56158</v>
      </c>
      <c r="V184" s="4">
        <v>48722</v>
      </c>
      <c r="W184" s="4">
        <v>56584</v>
      </c>
      <c r="X184" s="10">
        <v>-1.434097695147607E-2</v>
      </c>
      <c r="Y184" s="8">
        <v>2.8273543047016458E-2</v>
      </c>
      <c r="Z184" s="8">
        <v>1.044891640866874E-2</v>
      </c>
      <c r="AA184" s="8">
        <v>1.518096514745304E-2</v>
      </c>
    </row>
    <row r="185" spans="2:27" x14ac:dyDescent="0.3">
      <c r="B185" s="12">
        <v>7917</v>
      </c>
      <c r="C185" s="3" t="s">
        <v>712</v>
      </c>
      <c r="D185" s="3" t="str">
        <f>VLOOKUP(B185,기업리스트!$B:$G,2,FALSE)</f>
        <v>ZACROS Corporation</v>
      </c>
      <c r="E185" s="3" t="s">
        <v>646</v>
      </c>
      <c r="F185" s="5">
        <v>1.3</v>
      </c>
      <c r="G185" s="4">
        <v>30608</v>
      </c>
      <c r="H185" s="4">
        <v>33063</v>
      </c>
      <c r="I185" s="4">
        <v>32928</v>
      </c>
      <c r="J185" s="4">
        <v>33348</v>
      </c>
      <c r="K185" s="4">
        <v>32910</v>
      </c>
      <c r="L185" s="4">
        <v>32891</v>
      </c>
      <c r="M185" s="4">
        <v>30215</v>
      </c>
      <c r="N185" s="4">
        <v>31893</v>
      </c>
      <c r="O185" s="4">
        <v>34024</v>
      </c>
      <c r="P185" s="4">
        <v>35846</v>
      </c>
      <c r="Q185" s="4">
        <v>34392</v>
      </c>
      <c r="R185" s="4">
        <v>38469</v>
      </c>
      <c r="S185" s="4">
        <v>36980</v>
      </c>
      <c r="T185" s="4">
        <v>37643</v>
      </c>
      <c r="U185" s="4">
        <v>37348</v>
      </c>
      <c r="V185" s="4">
        <v>39307</v>
      </c>
      <c r="W185" s="4">
        <v>39022</v>
      </c>
      <c r="X185" s="10">
        <v>1.233466266722494E-2</v>
      </c>
      <c r="Y185" s="8">
        <v>2.0042852105991219E-2</v>
      </c>
      <c r="Z185" s="8">
        <v>5.5703270406806116E-3</v>
      </c>
      <c r="AA185" s="8">
        <v>1.3498327582331941E-2</v>
      </c>
    </row>
    <row r="186" spans="2:27" x14ac:dyDescent="0.3">
      <c r="B186" s="12">
        <v>4975</v>
      </c>
      <c r="C186" s="3" t="s">
        <v>712</v>
      </c>
      <c r="D186" s="3" t="str">
        <f>VLOOKUP(B186,기업리스트!$B:$G,2,FALSE)</f>
        <v>JCU Corporation</v>
      </c>
      <c r="E186" s="3" t="s">
        <v>646</v>
      </c>
      <c r="F186" s="5">
        <v>1.3</v>
      </c>
      <c r="G186" s="4">
        <v>6137</v>
      </c>
      <c r="H186" s="4">
        <v>6187</v>
      </c>
      <c r="I186" s="4">
        <v>6415</v>
      </c>
      <c r="J186" s="4">
        <v>6160</v>
      </c>
      <c r="K186" s="4">
        <v>6957</v>
      </c>
      <c r="L186" s="4">
        <v>7585</v>
      </c>
      <c r="M186" s="4">
        <v>6435</v>
      </c>
      <c r="N186" s="4">
        <v>5225</v>
      </c>
      <c r="O186" s="4">
        <v>5639</v>
      </c>
      <c r="P186" s="4">
        <v>6348</v>
      </c>
      <c r="Q186" s="4">
        <v>7647</v>
      </c>
      <c r="R186" s="4">
        <v>5912</v>
      </c>
      <c r="S186" s="4">
        <v>6824</v>
      </c>
      <c r="T186" s="4">
        <v>7996</v>
      </c>
      <c r="U186" s="4">
        <v>7624</v>
      </c>
      <c r="V186" s="4">
        <v>7037</v>
      </c>
      <c r="W186" s="4">
        <v>7221</v>
      </c>
      <c r="X186" s="10">
        <v>6.1651266320003062E-2</v>
      </c>
      <c r="Y186" s="8">
        <v>-8.1045843757709957E-4</v>
      </c>
      <c r="Z186" s="8">
        <v>3.9674143038510357E-2</v>
      </c>
      <c r="AA186" s="8">
        <v>1.3466300329025399E-2</v>
      </c>
    </row>
    <row r="187" spans="2:27" x14ac:dyDescent="0.3">
      <c r="B187" s="12">
        <v>7287</v>
      </c>
      <c r="C187" s="3" t="s">
        <v>712</v>
      </c>
      <c r="D187" s="3" t="str">
        <f>VLOOKUP(B187,기업리스트!$B:$G,2,FALSE)</f>
        <v>Nippon Seiki Co., Ltd.</v>
      </c>
      <c r="E187" s="3" t="s">
        <v>646</v>
      </c>
      <c r="F187" s="5">
        <v>1.3</v>
      </c>
      <c r="G187" s="4">
        <v>49810</v>
      </c>
      <c r="H187" s="4">
        <v>55708</v>
      </c>
      <c r="I187" s="4">
        <v>62912</v>
      </c>
      <c r="J187" s="4">
        <v>56212</v>
      </c>
      <c r="K187" s="4">
        <v>71742</v>
      </c>
      <c r="L187" s="4">
        <v>71570</v>
      </c>
      <c r="M187" s="4">
        <v>76251</v>
      </c>
      <c r="N187" s="4">
        <v>74397</v>
      </c>
      <c r="O187" s="4">
        <v>75794</v>
      </c>
      <c r="P187" s="4">
        <v>79454</v>
      </c>
      <c r="Q187" s="4">
        <v>82709</v>
      </c>
      <c r="R187" s="4">
        <v>76383</v>
      </c>
      <c r="S187" s="4">
        <v>76064</v>
      </c>
      <c r="T187" s="4">
        <v>75353</v>
      </c>
      <c r="U187" s="4">
        <v>88597</v>
      </c>
      <c r="V187" s="4">
        <v>76224</v>
      </c>
      <c r="W187" s="4">
        <v>80018</v>
      </c>
      <c r="X187" s="10">
        <v>-1.303518642128354E-2</v>
      </c>
      <c r="Y187" s="8">
        <v>1.896241332779414E-2</v>
      </c>
      <c r="Z187" s="8">
        <v>-5.0253320985971239E-4</v>
      </c>
      <c r="AA187" s="8">
        <v>1.2503241229706809E-2</v>
      </c>
    </row>
    <row r="188" spans="2:27" x14ac:dyDescent="0.3">
      <c r="B188" s="12">
        <v>7211</v>
      </c>
      <c r="C188" s="3" t="s">
        <v>712</v>
      </c>
      <c r="D188" s="3" t="str">
        <f>VLOOKUP(B188,기업리스트!$B:$G,2,FALSE)</f>
        <v>Mitsubishi Motors Corporation</v>
      </c>
      <c r="E188" s="3" t="s">
        <v>650</v>
      </c>
      <c r="F188" s="5">
        <v>1.2</v>
      </c>
      <c r="G188" s="4">
        <v>525564</v>
      </c>
      <c r="H188" s="4">
        <v>622778</v>
      </c>
      <c r="I188" s="4">
        <v>528698</v>
      </c>
      <c r="J188" s="4">
        <v>629494</v>
      </c>
      <c r="K188" s="4">
        <v>647128</v>
      </c>
      <c r="L188" s="4">
        <v>652821</v>
      </c>
      <c r="M188" s="4">
        <v>635753</v>
      </c>
      <c r="N188" s="4">
        <v>695064</v>
      </c>
      <c r="O188" s="4">
        <v>733038</v>
      </c>
      <c r="P188" s="4">
        <v>725734</v>
      </c>
      <c r="Q188" s="4">
        <v>627522</v>
      </c>
      <c r="R188" s="4">
        <v>679860</v>
      </c>
      <c r="S188" s="4">
        <v>681909</v>
      </c>
      <c r="T188" s="4">
        <v>798941</v>
      </c>
      <c r="U188" s="4">
        <v>609091</v>
      </c>
      <c r="V188" s="4">
        <v>652168</v>
      </c>
      <c r="W188" s="4">
        <v>715274</v>
      </c>
      <c r="X188" s="10">
        <v>2.6963655951602661E-2</v>
      </c>
      <c r="Y188" s="8">
        <v>-6.6102820712192756E-3</v>
      </c>
      <c r="Z188" s="8">
        <v>-9.9978301690265559E-3</v>
      </c>
      <c r="AA188" s="8">
        <v>1.2167641767705019E-2</v>
      </c>
    </row>
    <row r="189" spans="2:27" x14ac:dyDescent="0.3">
      <c r="B189" s="12">
        <v>2802</v>
      </c>
      <c r="C189" s="3" t="s">
        <v>712</v>
      </c>
      <c r="D189" s="3" t="str">
        <f>VLOOKUP(B189,기업리스트!$B:$G,2,FALSE)</f>
        <v>Ajinomoto Co., Inc.</v>
      </c>
      <c r="E189" s="3" t="s">
        <v>650</v>
      </c>
      <c r="F189" s="5">
        <v>1.2</v>
      </c>
      <c r="G189" s="4">
        <v>303998</v>
      </c>
      <c r="H189" s="4">
        <v>295142</v>
      </c>
      <c r="I189" s="4">
        <v>321619</v>
      </c>
      <c r="J189" s="4">
        <v>338234</v>
      </c>
      <c r="K189" s="4">
        <v>366867</v>
      </c>
      <c r="L189" s="4">
        <v>332394</v>
      </c>
      <c r="M189" s="4">
        <v>339521</v>
      </c>
      <c r="N189" s="4">
        <v>348482</v>
      </c>
      <c r="O189" s="4">
        <v>379641</v>
      </c>
      <c r="P189" s="4">
        <v>371586</v>
      </c>
      <c r="Q189" s="4">
        <v>365508</v>
      </c>
      <c r="R189" s="4">
        <v>378742</v>
      </c>
      <c r="S189" s="4">
        <v>406785</v>
      </c>
      <c r="T189" s="4">
        <v>379521</v>
      </c>
      <c r="U189" s="4">
        <v>364008</v>
      </c>
      <c r="V189" s="4">
        <v>374873</v>
      </c>
      <c r="W189" s="4">
        <v>425287</v>
      </c>
      <c r="X189" s="10">
        <v>5.2114084857624032E-3</v>
      </c>
      <c r="Y189" s="8">
        <v>-9.8003601305673982E-4</v>
      </c>
      <c r="Z189" s="8">
        <v>-2.5303193604420131E-3</v>
      </c>
      <c r="AA189" s="8">
        <v>1.2130971480874161E-2</v>
      </c>
    </row>
    <row r="190" spans="2:27" x14ac:dyDescent="0.3">
      <c r="B190" s="12">
        <v>7269</v>
      </c>
      <c r="C190" s="3" t="s">
        <v>712</v>
      </c>
      <c r="D190" s="3" t="str">
        <f>VLOOKUP(B190,기업리스트!$B:$G,2,FALSE)</f>
        <v>Suzuki Motor Corporation</v>
      </c>
      <c r="E190" s="3" t="s">
        <v>646</v>
      </c>
      <c r="F190" s="5">
        <v>1.2</v>
      </c>
      <c r="G190" s="4">
        <v>828236</v>
      </c>
      <c r="H190" s="4">
        <v>900744</v>
      </c>
      <c r="I190" s="4">
        <v>994050</v>
      </c>
      <c r="J190" s="4">
        <v>1063358</v>
      </c>
      <c r="K190" s="4">
        <v>1154146</v>
      </c>
      <c r="L190" s="4">
        <v>1195325</v>
      </c>
      <c r="M190" s="4">
        <v>1228815</v>
      </c>
      <c r="N190" s="4">
        <v>1208896</v>
      </c>
      <c r="O190" s="4">
        <v>1355504</v>
      </c>
      <c r="P190" s="4">
        <v>1283082</v>
      </c>
      <c r="Q190" s="4">
        <v>1526773</v>
      </c>
      <c r="R190" s="4">
        <v>1457649</v>
      </c>
      <c r="S190" s="4">
        <v>1397351</v>
      </c>
      <c r="T190" s="4">
        <v>1428717</v>
      </c>
      <c r="U190" s="4">
        <v>1541444</v>
      </c>
      <c r="V190" s="4">
        <v>1397770</v>
      </c>
      <c r="W190" s="4">
        <v>1466457</v>
      </c>
      <c r="X190" s="10">
        <v>2.5708513280569441E-2</v>
      </c>
      <c r="Y190" s="8">
        <v>2.5249161430447309E-3</v>
      </c>
      <c r="Z190" s="8">
        <v>-1.0279372535797689E-2</v>
      </c>
      <c r="AA190" s="8">
        <v>1.1986577586317489E-2</v>
      </c>
    </row>
    <row r="191" spans="2:27" x14ac:dyDescent="0.3">
      <c r="B191" s="12">
        <v>6370</v>
      </c>
      <c r="C191" s="3" t="s">
        <v>712</v>
      </c>
      <c r="D191" s="3" t="str">
        <f>VLOOKUP(B191,기업리스트!$B:$G,2,FALSE)</f>
        <v>Kurita Water Industries Ltd.</v>
      </c>
      <c r="E191" s="3" t="s">
        <v>646</v>
      </c>
      <c r="F191" s="5">
        <v>1.2</v>
      </c>
      <c r="G191" s="4">
        <v>72040</v>
      </c>
      <c r="H191" s="4">
        <v>75983</v>
      </c>
      <c r="I191" s="4">
        <v>76984</v>
      </c>
      <c r="J191" s="4">
        <v>74660</v>
      </c>
      <c r="K191" s="4">
        <v>86020</v>
      </c>
      <c r="L191" s="4">
        <v>91025</v>
      </c>
      <c r="M191" s="4">
        <v>92902</v>
      </c>
      <c r="N191" s="4">
        <v>90544</v>
      </c>
      <c r="O191" s="4">
        <v>97818</v>
      </c>
      <c r="P191" s="4">
        <v>98312</v>
      </c>
      <c r="Q191" s="4">
        <v>98150</v>
      </c>
      <c r="R191" s="4">
        <v>93980</v>
      </c>
      <c r="S191" s="4">
        <v>101550</v>
      </c>
      <c r="T191" s="4">
        <v>105312</v>
      </c>
      <c r="U191" s="4">
        <v>108046</v>
      </c>
      <c r="V191" s="4">
        <v>91926</v>
      </c>
      <c r="W191" s="4">
        <v>106370</v>
      </c>
      <c r="X191" s="10">
        <v>1.7857507296067169E-2</v>
      </c>
      <c r="Y191" s="8">
        <v>2.4802502305810711E-2</v>
      </c>
      <c r="Z191" s="8">
        <v>-5.0233804856097963E-3</v>
      </c>
      <c r="AA191" s="8">
        <v>1.1847584026900339E-2</v>
      </c>
    </row>
    <row r="192" spans="2:27" x14ac:dyDescent="0.3">
      <c r="B192" s="12">
        <v>6486</v>
      </c>
      <c r="C192" s="3" t="s">
        <v>712</v>
      </c>
      <c r="D192" s="3" t="str">
        <f>VLOOKUP(B192,기업리스트!$B:$G,2,FALSE)</f>
        <v>Eagle Industry Co.,Ltd.</v>
      </c>
      <c r="E192" s="3" t="s">
        <v>646</v>
      </c>
      <c r="F192" s="5">
        <v>1.1000000000000001</v>
      </c>
      <c r="G192" s="4">
        <v>32663</v>
      </c>
      <c r="H192" s="4">
        <v>34176</v>
      </c>
      <c r="I192" s="4">
        <v>38033</v>
      </c>
      <c r="J192" s="4">
        <v>36614</v>
      </c>
      <c r="K192" s="4">
        <v>39662</v>
      </c>
      <c r="L192" s="4">
        <v>40628</v>
      </c>
      <c r="M192" s="4">
        <v>40476</v>
      </c>
      <c r="N192" s="4">
        <v>40008</v>
      </c>
      <c r="O192" s="4">
        <v>42109</v>
      </c>
      <c r="P192" s="4">
        <v>42975</v>
      </c>
      <c r="Q192" s="4">
        <v>41950</v>
      </c>
      <c r="R192" s="4">
        <v>41819</v>
      </c>
      <c r="S192" s="4">
        <v>41132</v>
      </c>
      <c r="T192" s="4">
        <v>42415</v>
      </c>
      <c r="U192" s="4">
        <v>42806</v>
      </c>
      <c r="V192" s="4">
        <v>42489</v>
      </c>
      <c r="W192" s="4">
        <v>43021</v>
      </c>
      <c r="X192" s="10">
        <v>-3.3357954680836022E-3</v>
      </c>
      <c r="Y192" s="8">
        <v>5.1160677998518533E-3</v>
      </c>
      <c r="Z192" s="8">
        <v>3.9840163641986504E-3</v>
      </c>
      <c r="AA192" s="8">
        <v>1.1187974556093881E-2</v>
      </c>
    </row>
    <row r="193" spans="2:27" x14ac:dyDescent="0.3">
      <c r="B193" s="12">
        <v>4452</v>
      </c>
      <c r="C193" s="3" t="s">
        <v>712</v>
      </c>
      <c r="D193" s="3" t="str">
        <f>VLOOKUP(B193,기업리스트!$B:$G,2,FALSE)</f>
        <v>Kao Corporation</v>
      </c>
      <c r="E193" s="3" t="s">
        <v>648</v>
      </c>
      <c r="F193" s="5">
        <v>1.1000000000000001</v>
      </c>
      <c r="G193" s="4">
        <v>397809</v>
      </c>
      <c r="H193" s="4">
        <v>346795</v>
      </c>
      <c r="I193" s="4">
        <v>387106</v>
      </c>
      <c r="J193" s="4">
        <v>393809</v>
      </c>
      <c r="K193" s="4">
        <v>423349</v>
      </c>
      <c r="L193" s="4">
        <v>347794</v>
      </c>
      <c r="M193" s="4">
        <v>390734</v>
      </c>
      <c r="N193" s="4">
        <v>387355</v>
      </c>
      <c r="O193" s="4">
        <v>406696</v>
      </c>
      <c r="P193" s="4">
        <v>365797</v>
      </c>
      <c r="Q193" s="4">
        <v>422191</v>
      </c>
      <c r="R193" s="4">
        <v>402024</v>
      </c>
      <c r="S193" s="4">
        <v>438437</v>
      </c>
      <c r="T193" s="4">
        <v>389857</v>
      </c>
      <c r="U193" s="4">
        <v>419165</v>
      </c>
      <c r="V193" s="4">
        <v>423012</v>
      </c>
      <c r="W193" s="4">
        <v>456599</v>
      </c>
      <c r="X193" s="10">
        <v>1.4774794912214119E-2</v>
      </c>
      <c r="Y193" s="8">
        <v>-1.8311549286569311E-3</v>
      </c>
      <c r="Z193" s="8">
        <v>1.272398684921283E-2</v>
      </c>
      <c r="AA193" s="8">
        <v>1.087238269925073E-2</v>
      </c>
    </row>
    <row r="194" spans="2:27" x14ac:dyDescent="0.3">
      <c r="B194" s="12">
        <v>4722</v>
      </c>
      <c r="C194" s="3" t="s">
        <v>712</v>
      </c>
      <c r="D194" s="3" t="str">
        <f>VLOOKUP(B194,기업리스트!$B:$G,2,FALSE)</f>
        <v>Future Corporation</v>
      </c>
      <c r="E194" s="3" t="s">
        <v>717</v>
      </c>
      <c r="F194" s="5">
        <v>0.9</v>
      </c>
      <c r="G194" s="4">
        <v>12672</v>
      </c>
      <c r="H194" s="4">
        <v>12909</v>
      </c>
      <c r="I194" s="4">
        <v>12605</v>
      </c>
      <c r="J194" s="4">
        <v>13335</v>
      </c>
      <c r="K194" s="4">
        <v>13674</v>
      </c>
      <c r="L194" s="4">
        <v>14124</v>
      </c>
      <c r="M194" s="4">
        <v>13965</v>
      </c>
      <c r="N194" s="4">
        <v>14379</v>
      </c>
      <c r="O194" s="4">
        <v>15878</v>
      </c>
      <c r="P194" s="4">
        <v>15102</v>
      </c>
      <c r="Q194" s="4">
        <v>15022</v>
      </c>
      <c r="R194" s="4">
        <v>17932</v>
      </c>
      <c r="S194" s="4">
        <v>18962</v>
      </c>
      <c r="T194" s="4">
        <v>17962</v>
      </c>
      <c r="U194" s="4">
        <v>17320</v>
      </c>
      <c r="V194" s="4">
        <v>18325</v>
      </c>
      <c r="W194" s="4">
        <v>19637</v>
      </c>
      <c r="X194" s="10">
        <v>4.2675102211346287E-2</v>
      </c>
      <c r="Y194" s="8">
        <v>3.2885886831334643E-2</v>
      </c>
      <c r="Z194" s="8">
        <v>5.4450232764353679E-3</v>
      </c>
      <c r="AA194" s="8">
        <v>9.3014923727763321E-3</v>
      </c>
    </row>
    <row r="195" spans="2:27" x14ac:dyDescent="0.3">
      <c r="B195" s="12">
        <v>9003</v>
      </c>
      <c r="C195" s="3" t="s">
        <v>712</v>
      </c>
      <c r="D195" s="3" t="str">
        <f>VLOOKUP(B195,기업리스트!$B:$G,2,FALSE)</f>
        <v>Sotetsu Holdings, Inc.</v>
      </c>
      <c r="E195" s="3" t="s">
        <v>646</v>
      </c>
      <c r="F195" s="5">
        <v>0.8</v>
      </c>
      <c r="G195" s="4">
        <v>53805</v>
      </c>
      <c r="H195" s="4">
        <v>55589</v>
      </c>
      <c r="I195" s="4">
        <v>56761</v>
      </c>
      <c r="J195" s="4">
        <v>53936</v>
      </c>
      <c r="K195" s="4">
        <v>61162</v>
      </c>
      <c r="L195" s="4">
        <v>62790</v>
      </c>
      <c r="M195" s="4">
        <v>71779</v>
      </c>
      <c r="N195" s="4">
        <v>61693</v>
      </c>
      <c r="O195" s="4">
        <v>62657</v>
      </c>
      <c r="P195" s="4">
        <v>66808</v>
      </c>
      <c r="Q195" s="4">
        <v>78881</v>
      </c>
      <c r="R195" s="4">
        <v>80998</v>
      </c>
      <c r="S195" s="4">
        <v>67468</v>
      </c>
      <c r="T195" s="4">
        <v>74122</v>
      </c>
      <c r="U195" s="4">
        <v>69590</v>
      </c>
      <c r="V195" s="4">
        <v>75082</v>
      </c>
      <c r="W195" s="4">
        <v>69825</v>
      </c>
      <c r="X195" s="10">
        <v>2.4864442215838611E-2</v>
      </c>
      <c r="Y195" s="8">
        <v>-3.0819089193250378E-2</v>
      </c>
      <c r="Z195" s="8">
        <v>-2.0247931055726309E-2</v>
      </c>
      <c r="AA195" s="8">
        <v>8.2337159664922499E-3</v>
      </c>
    </row>
    <row r="196" spans="2:27" x14ac:dyDescent="0.3">
      <c r="B196" s="12">
        <v>2801</v>
      </c>
      <c r="C196" s="3" t="s">
        <v>712</v>
      </c>
      <c r="D196" s="3" t="str">
        <f>VLOOKUP(B196,기업리스트!$B:$G,2,FALSE)</f>
        <v>Kikkoman Corporation</v>
      </c>
      <c r="E196" s="3" t="s">
        <v>646</v>
      </c>
      <c r="F196" s="5">
        <v>0.8</v>
      </c>
      <c r="G196" s="4">
        <v>124941</v>
      </c>
      <c r="H196" s="4">
        <v>136179</v>
      </c>
      <c r="I196" s="4">
        <v>131580</v>
      </c>
      <c r="J196" s="4">
        <v>147748</v>
      </c>
      <c r="K196" s="4">
        <v>157630</v>
      </c>
      <c r="L196" s="4">
        <v>160984</v>
      </c>
      <c r="M196" s="4">
        <v>152536</v>
      </c>
      <c r="N196" s="4">
        <v>158506</v>
      </c>
      <c r="O196" s="4">
        <v>164226</v>
      </c>
      <c r="P196" s="4">
        <v>172141</v>
      </c>
      <c r="Q196" s="4">
        <v>165960</v>
      </c>
      <c r="R196" s="4">
        <v>178218</v>
      </c>
      <c r="S196" s="4">
        <v>177351</v>
      </c>
      <c r="T196" s="4">
        <v>179946</v>
      </c>
      <c r="U196" s="4">
        <v>173464</v>
      </c>
      <c r="V196" s="4">
        <v>175660</v>
      </c>
      <c r="W196" s="4">
        <v>182950</v>
      </c>
      <c r="X196" s="10">
        <v>1.1251747949313049E-2</v>
      </c>
      <c r="Y196" s="8">
        <v>1.069745892583485E-2</v>
      </c>
      <c r="Z196" s="8">
        <v>-3.60800531468497E-3</v>
      </c>
      <c r="AA196" s="8">
        <v>7.9258685684597818E-3</v>
      </c>
    </row>
    <row r="197" spans="2:27" x14ac:dyDescent="0.3">
      <c r="B197" s="12">
        <v>6849</v>
      </c>
      <c r="C197" s="3" t="s">
        <v>712</v>
      </c>
      <c r="D197" s="3" t="str">
        <f>VLOOKUP(B197,기업리스트!$B:$G,2,FALSE)</f>
        <v>Nihon Kohden Corporation</v>
      </c>
      <c r="E197" s="3" t="s">
        <v>646</v>
      </c>
      <c r="F197" s="5">
        <v>0.7</v>
      </c>
      <c r="G197" s="4">
        <v>55161</v>
      </c>
      <c r="H197" s="4">
        <v>45735</v>
      </c>
      <c r="I197" s="4">
        <v>57051</v>
      </c>
      <c r="J197" s="4">
        <v>44363</v>
      </c>
      <c r="K197" s="4">
        <v>49986</v>
      </c>
      <c r="L197" s="4">
        <v>50208</v>
      </c>
      <c r="M197" s="4">
        <v>62046</v>
      </c>
      <c r="N197" s="4">
        <v>48728</v>
      </c>
      <c r="O197" s="4">
        <v>54808</v>
      </c>
      <c r="P197" s="4">
        <v>52633</v>
      </c>
      <c r="Q197" s="4">
        <v>65817</v>
      </c>
      <c r="R197" s="4">
        <v>46227</v>
      </c>
      <c r="S197" s="4">
        <v>56557</v>
      </c>
      <c r="T197" s="4">
        <v>55692</v>
      </c>
      <c r="U197" s="4">
        <v>66948</v>
      </c>
      <c r="V197" s="4">
        <v>50020</v>
      </c>
      <c r="W197" s="4">
        <v>58100</v>
      </c>
      <c r="X197" s="10">
        <v>1.382698861838594E-2</v>
      </c>
      <c r="Y197" s="8">
        <v>5.042511357911339E-3</v>
      </c>
      <c r="Z197" s="8">
        <v>1.682606998367531E-2</v>
      </c>
      <c r="AA197" s="8">
        <v>6.7316124022214208E-3</v>
      </c>
    </row>
    <row r="198" spans="2:27" x14ac:dyDescent="0.3">
      <c r="B198" s="12">
        <v>8584</v>
      </c>
      <c r="C198" s="3" t="s">
        <v>712</v>
      </c>
      <c r="D198" s="3" t="str">
        <f>VLOOKUP(B198,기업리스트!$B:$G,2,FALSE)</f>
        <v>JACCS Co., Ltd.</v>
      </c>
      <c r="E198" s="3" t="s">
        <v>646</v>
      </c>
      <c r="F198" s="5">
        <v>0.6</v>
      </c>
      <c r="G198" s="4">
        <v>40913</v>
      </c>
      <c r="H198" s="4">
        <v>41084</v>
      </c>
      <c r="I198" s="4">
        <v>41206</v>
      </c>
      <c r="J198" s="4">
        <v>42355</v>
      </c>
      <c r="K198" s="4">
        <v>42942</v>
      </c>
      <c r="L198" s="4">
        <v>44146</v>
      </c>
      <c r="M198" s="4">
        <v>44063</v>
      </c>
      <c r="N198" s="4">
        <v>46662</v>
      </c>
      <c r="O198" s="4">
        <v>45546</v>
      </c>
      <c r="P198" s="4">
        <v>46968</v>
      </c>
      <c r="Q198" s="4">
        <v>45606</v>
      </c>
      <c r="R198" s="4">
        <v>47549</v>
      </c>
      <c r="S198" s="4">
        <v>48190</v>
      </c>
      <c r="T198" s="4">
        <v>47755</v>
      </c>
      <c r="U198" s="4">
        <v>47484</v>
      </c>
      <c r="V198" s="4">
        <v>47704</v>
      </c>
      <c r="W198" s="4">
        <v>49365</v>
      </c>
      <c r="X198" s="10">
        <v>4.1792122689352507E-3</v>
      </c>
      <c r="Y198" s="8">
        <v>9.9312533051294505E-3</v>
      </c>
      <c r="Z198" s="8">
        <v>8.1161180869004923E-4</v>
      </c>
      <c r="AA198" s="8">
        <v>6.1475517048337203E-3</v>
      </c>
    </row>
    <row r="199" spans="2:27" x14ac:dyDescent="0.3">
      <c r="B199" s="12">
        <v>5192</v>
      </c>
      <c r="C199" s="3" t="s">
        <v>712</v>
      </c>
      <c r="D199" s="3" t="str">
        <f>VLOOKUP(B199,기업리스트!$B:$G,2,FALSE)</f>
        <v>Mitsuboshi Belting Ltd.</v>
      </c>
      <c r="E199" s="3" t="s">
        <v>646</v>
      </c>
      <c r="F199" s="5">
        <v>0.6</v>
      </c>
      <c r="G199" s="4">
        <v>17805</v>
      </c>
      <c r="H199" s="4">
        <v>18606</v>
      </c>
      <c r="I199" s="4">
        <v>19196</v>
      </c>
      <c r="J199" s="4">
        <v>20600</v>
      </c>
      <c r="K199" s="4">
        <v>21968</v>
      </c>
      <c r="L199" s="4">
        <v>21259</v>
      </c>
      <c r="M199" s="4">
        <v>19084</v>
      </c>
      <c r="N199" s="4">
        <v>20549</v>
      </c>
      <c r="O199" s="4">
        <v>21479</v>
      </c>
      <c r="P199" s="4">
        <v>21008</v>
      </c>
      <c r="Q199" s="4">
        <v>20978</v>
      </c>
      <c r="R199" s="4">
        <v>22443</v>
      </c>
      <c r="S199" s="4">
        <v>23008</v>
      </c>
      <c r="T199" s="4">
        <v>22417</v>
      </c>
      <c r="U199" s="4">
        <v>22642</v>
      </c>
      <c r="V199" s="4">
        <v>22324</v>
      </c>
      <c r="W199" s="4">
        <v>23544</v>
      </c>
      <c r="X199" s="10">
        <v>1.6114459553735919E-2</v>
      </c>
      <c r="Y199" s="8">
        <v>1.872903676023685E-2</v>
      </c>
      <c r="Z199" s="8">
        <v>-1.314771848414553E-3</v>
      </c>
      <c r="AA199" s="8">
        <v>5.9297938954099294E-3</v>
      </c>
    </row>
    <row r="200" spans="2:27" x14ac:dyDescent="0.3">
      <c r="B200" s="12">
        <v>3167</v>
      </c>
      <c r="C200" s="3" t="s">
        <v>712</v>
      </c>
      <c r="D200" s="3" t="str">
        <f>VLOOKUP(B200,기업리스트!$B:$G,2,FALSE)</f>
        <v>TOKAI Holdings Corporation</v>
      </c>
      <c r="E200" s="3" t="s">
        <v>646</v>
      </c>
      <c r="F200" s="5">
        <v>0.6</v>
      </c>
      <c r="G200" s="4">
        <v>47664</v>
      </c>
      <c r="H200" s="4">
        <v>53360</v>
      </c>
      <c r="I200" s="4">
        <v>61271</v>
      </c>
      <c r="J200" s="4">
        <v>51803</v>
      </c>
      <c r="K200" s="4">
        <v>52307</v>
      </c>
      <c r="L200" s="4">
        <v>60139</v>
      </c>
      <c r="M200" s="4">
        <v>65941</v>
      </c>
      <c r="N200" s="4">
        <v>53971</v>
      </c>
      <c r="O200" s="4">
        <v>51255</v>
      </c>
      <c r="P200" s="4">
        <v>59450</v>
      </c>
      <c r="Q200" s="4">
        <v>66837</v>
      </c>
      <c r="R200" s="4">
        <v>56205</v>
      </c>
      <c r="S200" s="4">
        <v>54883</v>
      </c>
      <c r="T200" s="4">
        <v>62091</v>
      </c>
      <c r="U200" s="4">
        <v>70303</v>
      </c>
      <c r="V200" s="4">
        <v>58128</v>
      </c>
      <c r="W200" s="4">
        <v>56330</v>
      </c>
      <c r="X200" s="10">
        <v>1.112585571353342E-2</v>
      </c>
      <c r="Y200" s="8">
        <v>1.4440703953069839E-2</v>
      </c>
      <c r="Z200" s="8">
        <v>7.8979144248856326E-3</v>
      </c>
      <c r="AA200" s="8">
        <v>5.8963753794747387E-3</v>
      </c>
    </row>
    <row r="201" spans="2:27" x14ac:dyDescent="0.3">
      <c r="B201" s="12">
        <v>7752</v>
      </c>
      <c r="C201" s="3" t="s">
        <v>712</v>
      </c>
      <c r="D201" s="3" t="str">
        <f>VLOOKUP(B201,기업리스트!$B:$G,2,FALSE)</f>
        <v>Ricoh Company, Ltd.</v>
      </c>
      <c r="E201" s="3" t="s">
        <v>646</v>
      </c>
      <c r="F201" s="5">
        <v>0.5</v>
      </c>
      <c r="G201" s="4">
        <v>418659</v>
      </c>
      <c r="H201" s="4">
        <v>432732</v>
      </c>
      <c r="I201" s="4">
        <v>482392</v>
      </c>
      <c r="J201" s="4">
        <v>459341</v>
      </c>
      <c r="K201" s="4">
        <v>514195</v>
      </c>
      <c r="L201" s="4">
        <v>555072</v>
      </c>
      <c r="M201" s="4">
        <v>605572</v>
      </c>
      <c r="N201" s="4">
        <v>534601</v>
      </c>
      <c r="O201" s="4">
        <v>577989</v>
      </c>
      <c r="P201" s="4">
        <v>585098</v>
      </c>
      <c r="Q201" s="4">
        <v>651299</v>
      </c>
      <c r="R201" s="4">
        <v>574379</v>
      </c>
      <c r="S201" s="4">
        <v>628209</v>
      </c>
      <c r="T201" s="4">
        <v>632816</v>
      </c>
      <c r="U201" s="4">
        <v>692472</v>
      </c>
      <c r="V201" s="4">
        <v>580798</v>
      </c>
      <c r="W201" s="4">
        <v>641653</v>
      </c>
      <c r="X201" s="10">
        <v>1.9564695969839899E-2</v>
      </c>
      <c r="Y201" s="8">
        <v>1.6557264779911481E-2</v>
      </c>
      <c r="Z201" s="8">
        <v>2.5392859459878458E-3</v>
      </c>
      <c r="AA201" s="8">
        <v>5.3048283644958616E-3</v>
      </c>
    </row>
    <row r="202" spans="2:27" x14ac:dyDescent="0.3">
      <c r="B202" s="12">
        <v>7164</v>
      </c>
      <c r="C202" s="3" t="s">
        <v>712</v>
      </c>
      <c r="D202" s="3" t="str">
        <f>VLOOKUP(B202,기업리스트!$B:$G,2,FALSE)</f>
        <v>ZENKOKU HOSHO Co.,Ltd.</v>
      </c>
      <c r="E202" s="3" t="s">
        <v>646</v>
      </c>
      <c r="F202" s="5">
        <v>0.5</v>
      </c>
      <c r="G202" s="3"/>
      <c r="H202" s="3"/>
      <c r="I202" s="3"/>
      <c r="J202" s="4">
        <v>10276</v>
      </c>
      <c r="K202" s="4">
        <v>10374</v>
      </c>
      <c r="L202" s="4">
        <v>10410</v>
      </c>
      <c r="M202" s="4">
        <v>19212</v>
      </c>
      <c r="N202" s="4">
        <v>10536</v>
      </c>
      <c r="O202" s="4">
        <v>10643</v>
      </c>
      <c r="P202" s="4">
        <v>10725</v>
      </c>
      <c r="Q202" s="4">
        <v>19734</v>
      </c>
      <c r="R202" s="4">
        <v>10761</v>
      </c>
      <c r="S202" s="4">
        <v>11301</v>
      </c>
      <c r="T202" s="4">
        <v>11384</v>
      </c>
      <c r="U202" s="4">
        <v>23526</v>
      </c>
      <c r="V202" s="4">
        <v>11481</v>
      </c>
      <c r="W202" s="4">
        <v>11586</v>
      </c>
      <c r="X202" s="10">
        <v>1.2547362007578E-2</v>
      </c>
      <c r="Y202" s="8">
        <v>7.1305001880406227E-2</v>
      </c>
      <c r="Z202" s="8">
        <v>1.263778698307938E-2</v>
      </c>
      <c r="AA202" s="8">
        <v>4.9400263468071248E-3</v>
      </c>
    </row>
    <row r="203" spans="2:27" x14ac:dyDescent="0.3">
      <c r="B203" s="12">
        <v>9831</v>
      </c>
      <c r="C203" s="3" t="s">
        <v>712</v>
      </c>
      <c r="D203" s="3" t="str">
        <f>VLOOKUP(B203,기업리스트!$B:$G,2,FALSE)</f>
        <v>Yamada Holdings Co., Ltd.</v>
      </c>
      <c r="E203" s="3" t="s">
        <v>646</v>
      </c>
      <c r="F203" s="5">
        <v>0.3</v>
      </c>
      <c r="G203" s="4">
        <v>417412</v>
      </c>
      <c r="H203" s="4">
        <v>392398</v>
      </c>
      <c r="I203" s="4">
        <v>426582</v>
      </c>
      <c r="J203" s="4">
        <v>375859</v>
      </c>
      <c r="K203" s="4">
        <v>398775</v>
      </c>
      <c r="L203" s="4">
        <v>402710</v>
      </c>
      <c r="M203" s="4">
        <v>423242</v>
      </c>
      <c r="N203" s="4">
        <v>363709</v>
      </c>
      <c r="O203" s="4">
        <v>411494</v>
      </c>
      <c r="P203" s="4">
        <v>395858</v>
      </c>
      <c r="Q203" s="4">
        <v>420948</v>
      </c>
      <c r="R203" s="4">
        <v>379103</v>
      </c>
      <c r="S203" s="4">
        <v>416898</v>
      </c>
      <c r="T203" s="4">
        <v>397653</v>
      </c>
      <c r="U203" s="4">
        <v>435415</v>
      </c>
      <c r="V203" s="4">
        <v>377663</v>
      </c>
      <c r="W203" s="4">
        <v>422436</v>
      </c>
      <c r="X203" s="10">
        <v>1.112966399575477E-3</v>
      </c>
      <c r="Y203" s="8">
        <v>8.9601028612624756E-3</v>
      </c>
      <c r="Z203" s="8">
        <v>-8.8394045924389264E-4</v>
      </c>
      <c r="AA203" s="8">
        <v>3.402495286087825E-3</v>
      </c>
    </row>
    <row r="204" spans="2:27" x14ac:dyDescent="0.3">
      <c r="B204" s="12">
        <v>2001</v>
      </c>
      <c r="C204" s="3" t="s">
        <v>712</v>
      </c>
      <c r="D204" s="3" t="str">
        <f>VLOOKUP(B204,기업리스트!$B:$G,2,FALSE)</f>
        <v>Nippn Corporation</v>
      </c>
      <c r="E204" s="3" t="s">
        <v>646</v>
      </c>
      <c r="F204" s="5">
        <v>0.2</v>
      </c>
      <c r="G204" s="4">
        <v>79577</v>
      </c>
      <c r="H204" s="4">
        <v>84244</v>
      </c>
      <c r="I204" s="4">
        <v>79538</v>
      </c>
      <c r="J204" s="4">
        <v>86205</v>
      </c>
      <c r="K204" s="4">
        <v>90283</v>
      </c>
      <c r="L204" s="4">
        <v>98193</v>
      </c>
      <c r="M204" s="4">
        <v>90844</v>
      </c>
      <c r="N204" s="4">
        <v>98631</v>
      </c>
      <c r="O204" s="4">
        <v>100342</v>
      </c>
      <c r="P204" s="4">
        <v>106001</v>
      </c>
      <c r="Q204" s="4">
        <v>95540</v>
      </c>
      <c r="R204" s="4">
        <v>101969</v>
      </c>
      <c r="S204" s="4">
        <v>102940</v>
      </c>
      <c r="T204" s="4">
        <v>107604</v>
      </c>
      <c r="U204" s="4">
        <v>98365</v>
      </c>
      <c r="V204" s="4">
        <v>104219</v>
      </c>
      <c r="W204" s="4">
        <v>103684</v>
      </c>
      <c r="X204" s="10">
        <v>3.9439045393037109E-3</v>
      </c>
      <c r="Y204" s="8">
        <v>6.9231202809438841E-3</v>
      </c>
      <c r="Z204" s="8">
        <v>5.4760780572336021E-3</v>
      </c>
      <c r="AA204" s="8">
        <v>1.8008946379814981E-3</v>
      </c>
    </row>
    <row r="205" spans="2:27" x14ac:dyDescent="0.3">
      <c r="B205" s="12">
        <v>8001</v>
      </c>
      <c r="C205" s="3" t="s">
        <v>712</v>
      </c>
      <c r="D205" s="3" t="str">
        <f>VLOOKUP(B205,기업리스트!$B:$G,2,FALSE)</f>
        <v>ITOCHU Corporation</v>
      </c>
      <c r="E205" s="3" t="s">
        <v>650</v>
      </c>
      <c r="F205" s="5">
        <v>-0.1</v>
      </c>
      <c r="G205" s="4">
        <v>3218884</v>
      </c>
      <c r="H205" s="4">
        <v>3199694</v>
      </c>
      <c r="I205" s="4">
        <v>3378021</v>
      </c>
      <c r="J205" s="4">
        <v>3614143</v>
      </c>
      <c r="K205" s="4">
        <v>3552055</v>
      </c>
      <c r="L205" s="4">
        <v>3401414</v>
      </c>
      <c r="M205" s="4">
        <v>3348491</v>
      </c>
      <c r="N205" s="4">
        <v>3425607</v>
      </c>
      <c r="O205" s="4">
        <v>3676963</v>
      </c>
      <c r="P205" s="4">
        <v>3578849</v>
      </c>
      <c r="Q205" s="4">
        <v>3598918</v>
      </c>
      <c r="R205" s="4">
        <v>3692389</v>
      </c>
      <c r="S205" s="4">
        <v>3748140</v>
      </c>
      <c r="T205" s="4">
        <v>3684787</v>
      </c>
      <c r="U205" s="4">
        <v>3558933</v>
      </c>
      <c r="V205" s="4">
        <v>3690226</v>
      </c>
      <c r="W205" s="4">
        <v>3737092</v>
      </c>
      <c r="X205" s="10">
        <v>7.2469458820645372E-3</v>
      </c>
      <c r="Y205" s="8">
        <v>-2.7155911811779232E-3</v>
      </c>
      <c r="Z205" s="8">
        <v>-1.4730068933044291E-4</v>
      </c>
      <c r="AA205" s="8">
        <v>-7.5248162965402265E-4</v>
      </c>
    </row>
    <row r="206" spans="2:27" x14ac:dyDescent="0.3">
      <c r="B206" s="12">
        <v>4536</v>
      </c>
      <c r="C206" s="3" t="s">
        <v>712</v>
      </c>
      <c r="D206" s="3" t="str">
        <f>VLOOKUP(B206,기업리스트!$B:$G,2,FALSE)</f>
        <v>Santen Pharmaceutical Co., Ltd.</v>
      </c>
      <c r="E206" s="3" t="s">
        <v>646</v>
      </c>
      <c r="F206" s="5">
        <v>-0.8</v>
      </c>
      <c r="G206" s="4">
        <v>63773</v>
      </c>
      <c r="H206" s="4">
        <v>67042</v>
      </c>
      <c r="I206" s="4">
        <v>70456</v>
      </c>
      <c r="J206" s="4">
        <v>65533</v>
      </c>
      <c r="K206" s="4">
        <v>63382</v>
      </c>
      <c r="L206" s="4">
        <v>70871</v>
      </c>
      <c r="M206" s="4">
        <v>79251</v>
      </c>
      <c r="N206" s="4">
        <v>72389</v>
      </c>
      <c r="O206" s="4">
        <v>73417</v>
      </c>
      <c r="P206" s="4">
        <v>77027</v>
      </c>
      <c r="Q206" s="4">
        <v>79132</v>
      </c>
      <c r="R206" s="4">
        <v>74771</v>
      </c>
      <c r="S206" s="4">
        <v>71633</v>
      </c>
      <c r="T206" s="4">
        <v>76369</v>
      </c>
      <c r="U206" s="4">
        <v>77231</v>
      </c>
      <c r="V206" s="4">
        <v>68737</v>
      </c>
      <c r="W206" s="4">
        <v>69142</v>
      </c>
      <c r="X206" s="10">
        <v>-2.174753687661735E-3</v>
      </c>
      <c r="Y206" s="8">
        <v>-6.296682731322778E-3</v>
      </c>
      <c r="Z206" s="8">
        <v>-2.0113065159131249E-2</v>
      </c>
      <c r="AA206" s="8">
        <v>-8.4736537741946227E-3</v>
      </c>
    </row>
    <row r="207" spans="2:27" x14ac:dyDescent="0.3">
      <c r="B207" s="12">
        <v>7004</v>
      </c>
      <c r="C207" s="3" t="s">
        <v>712</v>
      </c>
      <c r="D207" s="3" t="str">
        <f>VLOOKUP(B207,기업리스트!$B:$G,2,FALSE)</f>
        <v>Kanadevia Corporation</v>
      </c>
      <c r="E207" s="3" t="s">
        <v>646</v>
      </c>
      <c r="F207" s="5">
        <v>-1</v>
      </c>
      <c r="G207" s="4">
        <v>100000</v>
      </c>
      <c r="H207" s="4">
        <v>107596</v>
      </c>
      <c r="I207" s="4">
        <v>153767</v>
      </c>
      <c r="J207" s="4">
        <v>96350</v>
      </c>
      <c r="K207" s="4">
        <v>110884</v>
      </c>
      <c r="L207" s="4">
        <v>124169</v>
      </c>
      <c r="M207" s="4">
        <v>161289</v>
      </c>
      <c r="N207" s="4">
        <v>102475</v>
      </c>
      <c r="O207" s="4">
        <v>129717</v>
      </c>
      <c r="P207" s="4">
        <v>140125</v>
      </c>
      <c r="Q207" s="4">
        <v>183527</v>
      </c>
      <c r="R207" s="4">
        <v>121563</v>
      </c>
      <c r="S207" s="4">
        <v>148397</v>
      </c>
      <c r="T207" s="4">
        <v>143472</v>
      </c>
      <c r="U207" s="4">
        <v>197091</v>
      </c>
      <c r="V207" s="4">
        <v>125441</v>
      </c>
      <c r="W207" s="4">
        <v>142273</v>
      </c>
      <c r="X207" s="10">
        <v>5.6383631058671826E-3</v>
      </c>
      <c r="Y207" s="8">
        <v>2.2721828467281661E-2</v>
      </c>
      <c r="Z207" s="8">
        <v>6.351931049280779E-3</v>
      </c>
      <c r="AA207" s="8">
        <v>-9.967431693633344E-3</v>
      </c>
    </row>
    <row r="208" spans="2:27" x14ac:dyDescent="0.3">
      <c r="B208" s="12">
        <v>7731</v>
      </c>
      <c r="C208" s="3" t="s">
        <v>712</v>
      </c>
      <c r="D208" s="3" t="str">
        <f>VLOOKUP(B208,기업리스트!$B:$G,2,FALSE)</f>
        <v>Nikon Corporation</v>
      </c>
      <c r="E208" s="3" t="s">
        <v>650</v>
      </c>
      <c r="F208" s="5">
        <v>-1.3</v>
      </c>
      <c r="G208" s="4">
        <v>133297</v>
      </c>
      <c r="H208" s="4">
        <v>133267</v>
      </c>
      <c r="I208" s="4">
        <v>145648</v>
      </c>
      <c r="J208" s="4">
        <v>142682</v>
      </c>
      <c r="K208" s="4">
        <v>167767</v>
      </c>
      <c r="L208" s="4">
        <v>172008</v>
      </c>
      <c r="M208" s="4">
        <v>158146</v>
      </c>
      <c r="N208" s="4">
        <v>173150</v>
      </c>
      <c r="O208" s="4">
        <v>197616</v>
      </c>
      <c r="P208" s="4">
        <v>188333</v>
      </c>
      <c r="Q208" s="4">
        <v>163896</v>
      </c>
      <c r="R208" s="4">
        <v>168883</v>
      </c>
      <c r="S208" s="4">
        <v>179892</v>
      </c>
      <c r="T208" s="4">
        <v>202614</v>
      </c>
      <c r="U208" s="4">
        <v>158121</v>
      </c>
      <c r="V208" s="4">
        <v>154794</v>
      </c>
      <c r="W208" s="4">
        <v>170993</v>
      </c>
      <c r="X208" s="10">
        <v>2.0372209003086891E-2</v>
      </c>
      <c r="Y208" s="8">
        <v>-8.0737048868633199E-3</v>
      </c>
      <c r="Z208" s="8">
        <v>-1.985736635142565E-2</v>
      </c>
      <c r="AA208" s="8">
        <v>-1.2796564958492801E-2</v>
      </c>
    </row>
    <row r="209" spans="2:27" x14ac:dyDescent="0.3">
      <c r="B209" s="12">
        <v>8058</v>
      </c>
      <c r="C209" s="3" t="s">
        <v>712</v>
      </c>
      <c r="D209" s="3" t="str">
        <f>VLOOKUP(B209,기업리스트!$B:$G,2,FALSE)</f>
        <v>Mitsubishi Corporation</v>
      </c>
      <c r="E209" s="3" t="s">
        <v>646</v>
      </c>
      <c r="F209" s="5">
        <v>-1.4</v>
      </c>
      <c r="G209" s="4">
        <v>3933005</v>
      </c>
      <c r="H209" s="4">
        <v>4644403</v>
      </c>
      <c r="I209" s="4">
        <v>4893690</v>
      </c>
      <c r="J209" s="4">
        <v>5443439</v>
      </c>
      <c r="K209" s="4">
        <v>5278439</v>
      </c>
      <c r="L209" s="4">
        <v>5562666</v>
      </c>
      <c r="M209" s="4">
        <v>5287429</v>
      </c>
      <c r="N209" s="4">
        <v>4735665</v>
      </c>
      <c r="O209" s="4">
        <v>4825346</v>
      </c>
      <c r="P209" s="4">
        <v>5144571</v>
      </c>
      <c r="Q209" s="4">
        <v>4862019</v>
      </c>
      <c r="R209" s="4">
        <v>4685953</v>
      </c>
      <c r="S209" s="4">
        <v>4668798</v>
      </c>
      <c r="T209" s="4">
        <v>4588524</v>
      </c>
      <c r="U209" s="4">
        <v>4674326</v>
      </c>
      <c r="V209" s="4">
        <v>4218706</v>
      </c>
      <c r="W209" s="4">
        <v>4419137</v>
      </c>
      <c r="X209" s="10">
        <v>-2.8719446654030811E-2</v>
      </c>
      <c r="Y209" s="8">
        <v>-9.9808596451615994E-3</v>
      </c>
      <c r="Z209" s="8">
        <v>-2.509705734911816E-2</v>
      </c>
      <c r="AA209" s="8">
        <v>-1.37551587148107E-2</v>
      </c>
    </row>
    <row r="210" spans="2:27" x14ac:dyDescent="0.3">
      <c r="B210" s="12">
        <v>7240</v>
      </c>
      <c r="C210" s="3" t="s">
        <v>712</v>
      </c>
      <c r="D210" s="3" t="str">
        <f>VLOOKUP(B210,기업리스트!$B:$G,2,FALSE)</f>
        <v>NOK Corporation</v>
      </c>
      <c r="E210" s="3" t="s">
        <v>646</v>
      </c>
      <c r="F210" s="5">
        <v>-2.4</v>
      </c>
      <c r="G210" s="4">
        <v>167633</v>
      </c>
      <c r="H210" s="4">
        <v>181884</v>
      </c>
      <c r="I210" s="4">
        <v>176255</v>
      </c>
      <c r="J210" s="4">
        <v>161031</v>
      </c>
      <c r="K210" s="4">
        <v>191738</v>
      </c>
      <c r="L210" s="4">
        <v>187446</v>
      </c>
      <c r="M210" s="4">
        <v>169741</v>
      </c>
      <c r="N210" s="4">
        <v>163957</v>
      </c>
      <c r="O210" s="4">
        <v>190282</v>
      </c>
      <c r="P210" s="4">
        <v>213308</v>
      </c>
      <c r="Q210" s="4">
        <v>182955</v>
      </c>
      <c r="R210" s="4">
        <v>188170</v>
      </c>
      <c r="S210" s="4">
        <v>205496</v>
      </c>
      <c r="T210" s="4">
        <v>195440</v>
      </c>
      <c r="U210" s="4">
        <v>177753</v>
      </c>
      <c r="V210" s="4">
        <v>171866</v>
      </c>
      <c r="W210" s="4">
        <v>187531</v>
      </c>
      <c r="X210" s="10">
        <v>-2.261975443362629E-2</v>
      </c>
      <c r="Y210" s="8">
        <v>-6.7378095772224764E-3</v>
      </c>
      <c r="Z210" s="8">
        <v>-2.1260753280590069E-2</v>
      </c>
      <c r="AA210" s="8">
        <v>-2.393562097381274E-2</v>
      </c>
    </row>
    <row r="211" spans="2:27" x14ac:dyDescent="0.3">
      <c r="B211" s="12">
        <v>5411</v>
      </c>
      <c r="C211" s="3" t="s">
        <v>712</v>
      </c>
      <c r="D211" s="3" t="str">
        <f>VLOOKUP(B211,기업리스트!$B:$G,2,FALSE)</f>
        <v>JFE Holdings, Inc.</v>
      </c>
      <c r="E211" s="3" t="s">
        <v>646</v>
      </c>
      <c r="F211" s="5">
        <v>-2.6</v>
      </c>
      <c r="G211" s="4">
        <v>1054036</v>
      </c>
      <c r="H211" s="4">
        <v>1154416</v>
      </c>
      <c r="I211" s="4">
        <v>1267751</v>
      </c>
      <c r="J211" s="4">
        <v>1253600</v>
      </c>
      <c r="K211" s="4">
        <v>1310735</v>
      </c>
      <c r="L211" s="4">
        <v>1344252</v>
      </c>
      <c r="M211" s="4">
        <v>1360206</v>
      </c>
      <c r="N211" s="4">
        <v>1262086</v>
      </c>
      <c r="O211" s="4">
        <v>1314501</v>
      </c>
      <c r="P211" s="4">
        <v>1289159</v>
      </c>
      <c r="Q211" s="4">
        <v>1308885</v>
      </c>
      <c r="R211" s="4">
        <v>1211141</v>
      </c>
      <c r="S211" s="4">
        <v>1239640</v>
      </c>
      <c r="T211" s="4">
        <v>1224689</v>
      </c>
      <c r="U211" s="4">
        <v>1184177</v>
      </c>
      <c r="V211" s="4">
        <v>1115313</v>
      </c>
      <c r="W211" s="4">
        <v>1117336</v>
      </c>
      <c r="X211" s="10">
        <v>-1.2769307710209791E-2</v>
      </c>
      <c r="Y211" s="8">
        <v>-2.501988722713366E-2</v>
      </c>
      <c r="Z211" s="8">
        <v>-1.971912774734463E-2</v>
      </c>
      <c r="AA211" s="8">
        <v>-2.5673519501895451E-2</v>
      </c>
    </row>
    <row r="212" spans="2:27" x14ac:dyDescent="0.3">
      <c r="B212" s="12">
        <v>5449</v>
      </c>
      <c r="C212" s="3" t="s">
        <v>712</v>
      </c>
      <c r="D212" s="3" t="str">
        <f>VLOOKUP(B212,기업리스트!$B:$G,2,FALSE)</f>
        <v>Osaka Steel Co., Ltd.</v>
      </c>
      <c r="E212" s="3" t="s">
        <v>646</v>
      </c>
      <c r="F212" s="5">
        <v>-4.9000000000000004</v>
      </c>
      <c r="G212" s="4">
        <v>24897</v>
      </c>
      <c r="H212" s="4">
        <v>27975</v>
      </c>
      <c r="I212" s="4">
        <v>29259</v>
      </c>
      <c r="J212" s="4">
        <v>28018</v>
      </c>
      <c r="K212" s="4">
        <v>27174</v>
      </c>
      <c r="L212" s="4">
        <v>30603</v>
      </c>
      <c r="M212" s="4">
        <v>31346</v>
      </c>
      <c r="N212" s="4">
        <v>30887</v>
      </c>
      <c r="O212" s="4">
        <v>26670</v>
      </c>
      <c r="P212" s="4">
        <v>29087</v>
      </c>
      <c r="Q212" s="4">
        <v>30483</v>
      </c>
      <c r="R212" s="4">
        <v>31626</v>
      </c>
      <c r="S212" s="4">
        <v>28323</v>
      </c>
      <c r="T212" s="4">
        <v>28194</v>
      </c>
      <c r="U212" s="4">
        <v>28281</v>
      </c>
      <c r="V212" s="4">
        <v>25771</v>
      </c>
      <c r="W212" s="4">
        <v>22870</v>
      </c>
      <c r="X212" s="10">
        <v>-7.4716153916950523E-3</v>
      </c>
      <c r="Y212" s="8">
        <v>-1.8562541095544009E-2</v>
      </c>
      <c r="Z212" s="8">
        <v>-5.0290318147460988E-2</v>
      </c>
      <c r="AA212" s="8">
        <v>-4.9317620671255002E-2</v>
      </c>
    </row>
    <row r="213" spans="2:27" x14ac:dyDescent="0.3">
      <c r="B213" s="12">
        <v>6758</v>
      </c>
      <c r="C213" s="3" t="s">
        <v>712</v>
      </c>
      <c r="D213" s="3" t="str">
        <f>VLOOKUP(B213,기업리스트!$B:$G,2,FALSE)</f>
        <v>Sony Group Corporation</v>
      </c>
      <c r="E213" s="3" t="s">
        <v>650</v>
      </c>
      <c r="F213" s="5">
        <v>-5.4</v>
      </c>
      <c r="G213" s="4">
        <v>3031319</v>
      </c>
      <c r="H213" s="4">
        <v>2263986</v>
      </c>
      <c r="I213" s="4">
        <v>2229760</v>
      </c>
      <c r="J213" s="4">
        <v>2625464</v>
      </c>
      <c r="K213" s="4">
        <v>3078304</v>
      </c>
      <c r="L213" s="4">
        <v>3040845</v>
      </c>
      <c r="M213" s="4">
        <v>2963652</v>
      </c>
      <c r="N213" s="4">
        <v>2828623</v>
      </c>
      <c r="O213" s="4">
        <v>3747527</v>
      </c>
      <c r="P213" s="4">
        <v>3480966</v>
      </c>
      <c r="Q213" s="4">
        <v>2565361</v>
      </c>
      <c r="R213" s="4">
        <v>2971224</v>
      </c>
      <c r="S213" s="4">
        <v>4409574</v>
      </c>
      <c r="T213" s="4">
        <v>2630244</v>
      </c>
      <c r="U213" s="4">
        <v>2621615</v>
      </c>
      <c r="V213" s="4">
        <v>3107907</v>
      </c>
      <c r="W213" s="4">
        <v>3713681</v>
      </c>
      <c r="X213" s="10">
        <v>-6.3358462813148719E-2</v>
      </c>
      <c r="Y213" s="8">
        <v>4.4729800722829172E-3</v>
      </c>
      <c r="Z213" s="8">
        <v>1.0819814073951269E-2</v>
      </c>
      <c r="AA213" s="8">
        <v>-5.4497178397630568E-2</v>
      </c>
    </row>
    <row r="214" spans="2:27" x14ac:dyDescent="0.3">
      <c r="B214" s="43">
        <v>2432</v>
      </c>
      <c r="C214" s="35" t="s">
        <v>712</v>
      </c>
      <c r="D214" s="35" t="str">
        <f>VLOOKUP(B214,기업리스트!$B:$G,2,FALSE)</f>
        <v>DeNA Co., Ltd.</v>
      </c>
      <c r="E214" s="35" t="s">
        <v>650</v>
      </c>
      <c r="F214" s="36">
        <v>-8.6</v>
      </c>
      <c r="G214" s="37">
        <v>31045</v>
      </c>
      <c r="H214" s="37">
        <v>31738</v>
      </c>
      <c r="I214" s="37">
        <v>34773</v>
      </c>
      <c r="J214" s="37">
        <v>36449</v>
      </c>
      <c r="K214" s="37">
        <v>30172</v>
      </c>
      <c r="L214" s="37">
        <v>33519</v>
      </c>
      <c r="M214" s="37">
        <v>36150</v>
      </c>
      <c r="N214" s="37">
        <v>38997</v>
      </c>
      <c r="O214" s="37">
        <v>29002</v>
      </c>
      <c r="P214" s="37">
        <v>32584</v>
      </c>
      <c r="Q214" s="37">
        <v>33982</v>
      </c>
      <c r="R214" s="37">
        <v>36280</v>
      </c>
      <c r="S214" s="38">
        <v>46465</v>
      </c>
      <c r="T214" s="37">
        <v>47270</v>
      </c>
      <c r="U214" s="37">
        <v>41727</v>
      </c>
      <c r="V214" s="37">
        <v>41424</v>
      </c>
      <c r="W214" s="37">
        <v>31301</v>
      </c>
      <c r="X214" s="39">
        <v>9.8358459858952196E-2</v>
      </c>
      <c r="Y214" s="40">
        <v>4.7226473655005867E-2</v>
      </c>
      <c r="Z214" s="40">
        <v>2.995190460108765E-2</v>
      </c>
      <c r="AA214" s="40">
        <v>-8.5727530726004364E-2</v>
      </c>
    </row>
    <row r="215" spans="2:27" x14ac:dyDescent="0.3">
      <c r="B215" s="12" t="s">
        <v>749</v>
      </c>
      <c r="C215" s="3" t="s">
        <v>713</v>
      </c>
      <c r="D215" s="3" t="str">
        <f>VLOOKUP(B215,기업리스트!$B:$G,2,FALSE)</f>
        <v>Suzlon Energy Limited</v>
      </c>
      <c r="E215" s="3" t="s">
        <v>646</v>
      </c>
      <c r="F215" s="33">
        <v>14.8</v>
      </c>
      <c r="G215" s="4">
        <v>13465</v>
      </c>
      <c r="H215" s="4">
        <v>15969</v>
      </c>
      <c r="I215" s="4">
        <v>24416</v>
      </c>
      <c r="J215" s="4">
        <v>13776</v>
      </c>
      <c r="K215" s="4">
        <v>14304</v>
      </c>
      <c r="L215" s="4">
        <v>14490</v>
      </c>
      <c r="M215" s="4">
        <v>16899</v>
      </c>
      <c r="N215" s="4">
        <v>13475</v>
      </c>
      <c r="O215" s="4">
        <v>14172</v>
      </c>
      <c r="P215" s="4">
        <v>15529</v>
      </c>
      <c r="Q215" s="4">
        <v>21792</v>
      </c>
      <c r="R215" s="6">
        <v>20160</v>
      </c>
      <c r="S215" s="4">
        <v>20930</v>
      </c>
      <c r="T215" s="6">
        <v>29688</v>
      </c>
      <c r="U215" s="6">
        <v>37735</v>
      </c>
      <c r="V215" s="6">
        <v>31173</v>
      </c>
      <c r="W215" s="6">
        <v>38655</v>
      </c>
      <c r="X215" s="7">
        <v>0.18057415413653691</v>
      </c>
      <c r="Y215" s="9">
        <v>0.1722264232472723</v>
      </c>
      <c r="Z215" s="9">
        <v>0.1014901440380416</v>
      </c>
      <c r="AA215" s="9">
        <v>0.14829409500861729</v>
      </c>
    </row>
    <row r="216" spans="2:27" x14ac:dyDescent="0.3">
      <c r="B216" s="12" t="s">
        <v>748</v>
      </c>
      <c r="C216" s="3" t="s">
        <v>713</v>
      </c>
      <c r="D216" s="3" t="str">
        <f>VLOOKUP(B216,기업리스트!$B:$G,2,FALSE)</f>
        <v>FSN E-Commerce Ventures Limited</v>
      </c>
      <c r="E216" s="3" t="s">
        <v>650</v>
      </c>
      <c r="F216" s="5">
        <v>6.9</v>
      </c>
      <c r="G216" s="4">
        <v>10984</v>
      </c>
      <c r="H216" s="4">
        <v>9733</v>
      </c>
      <c r="I216" s="4">
        <v>11484</v>
      </c>
      <c r="J216" s="4">
        <v>12308</v>
      </c>
      <c r="K216" s="4">
        <v>14628</v>
      </c>
      <c r="L216" s="4">
        <v>13017</v>
      </c>
      <c r="M216" s="4">
        <v>14218</v>
      </c>
      <c r="N216" s="4">
        <v>15070</v>
      </c>
      <c r="O216" s="4">
        <v>17888</v>
      </c>
      <c r="P216" s="4">
        <v>16680</v>
      </c>
      <c r="Q216" s="4">
        <v>17461</v>
      </c>
      <c r="R216" s="4">
        <v>18747</v>
      </c>
      <c r="S216" s="4">
        <v>22672</v>
      </c>
      <c r="T216" s="4">
        <v>20618</v>
      </c>
      <c r="U216" s="4">
        <v>21549</v>
      </c>
      <c r="V216" s="4">
        <v>23460</v>
      </c>
      <c r="W216" s="4">
        <v>28733</v>
      </c>
      <c r="X216" s="10">
        <v>5.2117522498676523E-2</v>
      </c>
      <c r="Y216" s="8">
        <v>5.1422677300057902E-2</v>
      </c>
      <c r="Z216" s="8">
        <v>5.6385040557030967E-2</v>
      </c>
      <c r="AA216" s="8">
        <v>6.8641773972525133E-2</v>
      </c>
    </row>
    <row r="217" spans="2:27" x14ac:dyDescent="0.3">
      <c r="B217" s="12" t="s">
        <v>750</v>
      </c>
      <c r="C217" s="3" t="s">
        <v>713</v>
      </c>
      <c r="D217" s="3" t="str">
        <f>VLOOKUP(B217,기업리스트!$B:$G,2,FALSE)</f>
        <v>Balrampur Chini Mills Limited</v>
      </c>
      <c r="E217" s="3" t="s">
        <v>646</v>
      </c>
      <c r="F217" s="5">
        <v>6.7</v>
      </c>
      <c r="G217" s="4">
        <v>12138</v>
      </c>
      <c r="H217" s="4">
        <v>12122</v>
      </c>
      <c r="I217" s="4">
        <v>12796</v>
      </c>
      <c r="J217" s="4">
        <v>10801</v>
      </c>
      <c r="K217" s="4">
        <v>11131</v>
      </c>
      <c r="L217" s="4">
        <v>9812</v>
      </c>
      <c r="M217" s="4">
        <v>14915</v>
      </c>
      <c r="N217" s="4">
        <v>13896</v>
      </c>
      <c r="O217" s="4">
        <v>15395</v>
      </c>
      <c r="P217" s="4">
        <v>12304</v>
      </c>
      <c r="Q217" s="4">
        <v>14343</v>
      </c>
      <c r="R217" s="4">
        <v>14216</v>
      </c>
      <c r="S217" s="4">
        <v>12979</v>
      </c>
      <c r="T217" s="4">
        <v>11921</v>
      </c>
      <c r="U217" s="4">
        <v>15037</v>
      </c>
      <c r="V217" s="4">
        <v>15423</v>
      </c>
      <c r="W217" s="4">
        <v>16708</v>
      </c>
      <c r="X217" s="10">
        <v>-7.1134058913115972E-3</v>
      </c>
      <c r="Y217" s="8">
        <v>1.2981911371331201E-2</v>
      </c>
      <c r="Z217" s="8">
        <v>2.2288700533673159E-2</v>
      </c>
      <c r="AA217" s="8">
        <v>6.7359104046242679E-2</v>
      </c>
    </row>
    <row r="218" spans="2:27" x14ac:dyDescent="0.3">
      <c r="B218" s="12" t="s">
        <v>751</v>
      </c>
      <c r="C218" s="3" t="s">
        <v>713</v>
      </c>
      <c r="D218" s="3" t="str">
        <f>VLOOKUP(B218,기업리스트!$B:$G,2,FALSE)</f>
        <v>Data Patterns (India) Limited</v>
      </c>
      <c r="E218" s="3" t="s">
        <v>650</v>
      </c>
      <c r="F218" s="5">
        <v>6.7</v>
      </c>
      <c r="G218" s="4">
        <v>438.4</v>
      </c>
      <c r="H218" s="4">
        <v>1705</v>
      </c>
      <c r="I218" s="4">
        <v>683.8</v>
      </c>
      <c r="J218" s="4">
        <v>881.6</v>
      </c>
      <c r="K218" s="6">
        <v>1118</v>
      </c>
      <c r="L218" s="4">
        <v>1851</v>
      </c>
      <c r="M218" s="4">
        <v>896.9</v>
      </c>
      <c r="N218" s="4">
        <v>1083</v>
      </c>
      <c r="O218" s="4">
        <v>1395</v>
      </c>
      <c r="P218" s="4">
        <v>1823</v>
      </c>
      <c r="Q218" s="4">
        <v>1041</v>
      </c>
      <c r="R218" s="4">
        <v>910.2</v>
      </c>
      <c r="S218" s="4">
        <v>1170</v>
      </c>
      <c r="T218" s="6">
        <v>3962</v>
      </c>
      <c r="U218" s="4">
        <v>993.3</v>
      </c>
      <c r="V218" s="6">
        <v>3075</v>
      </c>
      <c r="W218" s="4">
        <v>1789</v>
      </c>
      <c r="X218" s="7">
        <v>0.43262812993001898</v>
      </c>
      <c r="Y218" s="8">
        <v>-6.7342444093064779E-3</v>
      </c>
      <c r="Z218" s="9">
        <v>0.30769668111719128</v>
      </c>
      <c r="AA218" s="8">
        <v>6.728041476908353E-2</v>
      </c>
    </row>
    <row r="219" spans="2:27" x14ac:dyDescent="0.3">
      <c r="B219" s="12" t="s">
        <v>465</v>
      </c>
      <c r="C219" s="3" t="s">
        <v>713</v>
      </c>
      <c r="D219" s="3" t="str">
        <f>VLOOKUP(B219,기업리스트!$B:$G,2,FALSE)</f>
        <v>Minda Corporation Limited</v>
      </c>
      <c r="E219" s="3" t="s">
        <v>650</v>
      </c>
      <c r="F219" s="5">
        <v>5.7</v>
      </c>
      <c r="G219" s="4">
        <v>7383</v>
      </c>
      <c r="H219" s="4">
        <v>9477</v>
      </c>
      <c r="I219" s="4">
        <v>10102</v>
      </c>
      <c r="J219" s="4">
        <v>11471</v>
      </c>
      <c r="K219" s="4">
        <v>10683</v>
      </c>
      <c r="L219" s="4">
        <v>10745</v>
      </c>
      <c r="M219" s="4">
        <v>10745</v>
      </c>
      <c r="N219" s="4">
        <v>11958</v>
      </c>
      <c r="O219" s="4">
        <v>11658</v>
      </c>
      <c r="P219" s="4">
        <v>12149</v>
      </c>
      <c r="Q219" s="4">
        <v>11924</v>
      </c>
      <c r="R219" s="4">
        <v>12900</v>
      </c>
      <c r="S219" s="4">
        <v>12526</v>
      </c>
      <c r="T219" s="4">
        <v>13212</v>
      </c>
      <c r="U219" s="4">
        <v>13859</v>
      </c>
      <c r="V219" s="4">
        <v>15354</v>
      </c>
      <c r="W219" s="4">
        <v>15637</v>
      </c>
      <c r="X219" s="10">
        <v>2.1475181316794378E-2</v>
      </c>
      <c r="Y219" s="8">
        <v>3.8269846920612423E-2</v>
      </c>
      <c r="Z219" s="8">
        <v>4.6745528315903728E-2</v>
      </c>
      <c r="AA219" s="8">
        <v>5.6614074357154598E-2</v>
      </c>
    </row>
    <row r="220" spans="2:27" x14ac:dyDescent="0.3">
      <c r="B220" s="12" t="s">
        <v>469</v>
      </c>
      <c r="C220" s="3" t="s">
        <v>713</v>
      </c>
      <c r="D220" s="3" t="str">
        <f>VLOOKUP(B220,기업리스트!$B:$G,2,FALSE)</f>
        <v>Aavas Financiers Limited</v>
      </c>
      <c r="E220" s="3" t="s">
        <v>650</v>
      </c>
      <c r="F220" s="5">
        <v>4.0999999999999996</v>
      </c>
      <c r="G220" s="4">
        <v>2065</v>
      </c>
      <c r="H220" s="4">
        <v>2521</v>
      </c>
      <c r="I220" s="4">
        <v>2174</v>
      </c>
      <c r="J220" s="4">
        <v>2526</v>
      </c>
      <c r="K220" s="4">
        <v>2582</v>
      </c>
      <c r="L220" s="4">
        <v>2787</v>
      </c>
      <c r="M220" s="4">
        <v>2747</v>
      </c>
      <c r="N220" s="4">
        <v>2885</v>
      </c>
      <c r="O220" s="4">
        <v>2847</v>
      </c>
      <c r="P220" s="4">
        <v>3192</v>
      </c>
      <c r="Q220" s="4">
        <v>2988</v>
      </c>
      <c r="R220" s="4">
        <v>3268</v>
      </c>
      <c r="S220" s="4">
        <v>3331</v>
      </c>
      <c r="T220" s="4">
        <v>3646</v>
      </c>
      <c r="U220" s="4">
        <v>3453</v>
      </c>
      <c r="V220" s="4">
        <v>3839</v>
      </c>
      <c r="W220" s="4">
        <v>3923</v>
      </c>
      <c r="X220" s="10">
        <v>3.5527036544330537E-2</v>
      </c>
      <c r="Y220" s="8">
        <v>3.5139424166855671E-2</v>
      </c>
      <c r="Z220" s="8">
        <v>4.1684917506205288E-2</v>
      </c>
      <c r="AA220" s="8">
        <v>4.1488541593664552E-2</v>
      </c>
    </row>
    <row r="221" spans="2:27" x14ac:dyDescent="0.3">
      <c r="B221" s="12" t="s">
        <v>504</v>
      </c>
      <c r="C221" s="3" t="s">
        <v>713</v>
      </c>
      <c r="D221" s="3" t="str">
        <f>VLOOKUP(B221,기업리스트!$B:$G,2,FALSE)</f>
        <v>PVR INOX Limited</v>
      </c>
      <c r="E221" s="3" t="s">
        <v>650</v>
      </c>
      <c r="F221" s="5">
        <v>2.6</v>
      </c>
      <c r="G221" s="4">
        <v>6142</v>
      </c>
      <c r="H221" s="4">
        <v>5355</v>
      </c>
      <c r="I221" s="4">
        <v>9814</v>
      </c>
      <c r="J221" s="4">
        <v>6867</v>
      </c>
      <c r="K221" s="6">
        <v>9407</v>
      </c>
      <c r="L221" s="6">
        <v>11418</v>
      </c>
      <c r="M221" s="4">
        <v>13049</v>
      </c>
      <c r="N221" s="6">
        <v>19999</v>
      </c>
      <c r="O221" s="6">
        <v>15459</v>
      </c>
      <c r="P221" s="4">
        <v>12564</v>
      </c>
      <c r="Q221" s="4">
        <v>11907</v>
      </c>
      <c r="R221" s="4">
        <v>16221</v>
      </c>
      <c r="S221" s="4">
        <v>17173</v>
      </c>
      <c r="T221" s="4">
        <v>12498</v>
      </c>
      <c r="U221" s="4">
        <v>14691</v>
      </c>
      <c r="V221" s="4">
        <v>18230</v>
      </c>
      <c r="W221" s="4">
        <v>18798</v>
      </c>
      <c r="X221" s="10">
        <v>-1.1405858463665599E-3</v>
      </c>
      <c r="Y221" s="8">
        <v>4.8166923303171412E-2</v>
      </c>
      <c r="Z221" s="8">
        <v>3.3161117805324818E-2</v>
      </c>
      <c r="AA221" s="8">
        <v>2.5961784253578649E-2</v>
      </c>
    </row>
    <row r="222" spans="2:27" x14ac:dyDescent="0.3">
      <c r="B222" s="12" t="s">
        <v>324</v>
      </c>
      <c r="C222" s="3" t="s">
        <v>713</v>
      </c>
      <c r="D222" s="3" t="str">
        <f>VLOOKUP(B222,기업리스트!$B:$G,2,FALSE)</f>
        <v>Astral Limited</v>
      </c>
      <c r="E222" s="3" t="s">
        <v>650</v>
      </c>
      <c r="F222" s="5">
        <v>2.6</v>
      </c>
      <c r="G222" s="4">
        <v>10989</v>
      </c>
      <c r="H222" s="4">
        <v>14409</v>
      </c>
      <c r="I222" s="4">
        <v>12129</v>
      </c>
      <c r="J222" s="4">
        <v>11716</v>
      </c>
      <c r="K222" s="4">
        <v>12678</v>
      </c>
      <c r="L222" s="4">
        <v>0</v>
      </c>
      <c r="M222" s="4">
        <v>12831</v>
      </c>
      <c r="N222" s="4">
        <v>13630</v>
      </c>
      <c r="O222" s="4">
        <v>13702</v>
      </c>
      <c r="P222" s="6">
        <v>16251</v>
      </c>
      <c r="Q222" s="4">
        <v>13836</v>
      </c>
      <c r="R222" s="4">
        <v>13704</v>
      </c>
      <c r="S222" s="4">
        <v>13970</v>
      </c>
      <c r="T222" s="4">
        <v>16814</v>
      </c>
      <c r="U222" s="4">
        <v>13612</v>
      </c>
      <c r="V222" s="4">
        <v>15774</v>
      </c>
      <c r="W222" s="4">
        <v>15510</v>
      </c>
      <c r="X222" s="10">
        <v>9.7470611658385664E-3</v>
      </c>
      <c r="Y222" s="8">
        <v>-3.8406144983197392E-3</v>
      </c>
      <c r="Z222" s="8">
        <v>3.5628227194492323E-2</v>
      </c>
      <c r="AA222" s="8">
        <v>2.559414990859232E-2</v>
      </c>
    </row>
    <row r="223" spans="2:27" x14ac:dyDescent="0.3">
      <c r="B223" s="12" t="s">
        <v>166</v>
      </c>
      <c r="C223" s="3" t="s">
        <v>713</v>
      </c>
      <c r="D223" s="3" t="str">
        <f>VLOOKUP(B223,기업리스트!$B:$G,2,FALSE)</f>
        <v>Mazagon Dock Shipbuilders Limited</v>
      </c>
      <c r="E223" s="3" t="s">
        <v>646</v>
      </c>
      <c r="F223" s="5">
        <v>1.5</v>
      </c>
      <c r="G223" s="4">
        <v>15701</v>
      </c>
      <c r="H223" s="4">
        <v>15525</v>
      </c>
      <c r="I223" s="4">
        <v>13964</v>
      </c>
      <c r="J223" s="4">
        <v>22303</v>
      </c>
      <c r="K223" s="4">
        <v>17024</v>
      </c>
      <c r="L223" s="4">
        <v>18159</v>
      </c>
      <c r="M223" s="4">
        <v>20786</v>
      </c>
      <c r="N223" s="4">
        <v>21728</v>
      </c>
      <c r="O223" s="4">
        <v>18277</v>
      </c>
      <c r="P223" s="4">
        <v>23625</v>
      </c>
      <c r="Q223" s="6">
        <v>31037</v>
      </c>
      <c r="R223" s="4">
        <v>23570</v>
      </c>
      <c r="S223" s="4">
        <v>27568</v>
      </c>
      <c r="T223" s="4">
        <v>31436</v>
      </c>
      <c r="U223" s="4">
        <v>31744</v>
      </c>
      <c r="V223" s="4">
        <v>26256</v>
      </c>
      <c r="W223" s="4">
        <v>29292</v>
      </c>
      <c r="X223" s="10">
        <v>7.3827977315690019E-2</v>
      </c>
      <c r="Y223" s="8">
        <v>6.2229889711382658E-3</v>
      </c>
      <c r="Z223" s="8">
        <v>2.349586241886659E-2</v>
      </c>
      <c r="AA223" s="8">
        <v>1.4734538990119891E-2</v>
      </c>
    </row>
    <row r="224" spans="2:27" x14ac:dyDescent="0.3">
      <c r="B224" s="12" t="s">
        <v>293</v>
      </c>
      <c r="C224" s="3" t="s">
        <v>713</v>
      </c>
      <c r="D224" s="3" t="str">
        <f>VLOOKUP(B224,기업리스트!$B:$G,2,FALSE)</f>
        <v>Page Industries Limited</v>
      </c>
      <c r="E224" s="3" t="s">
        <v>650</v>
      </c>
      <c r="F224" s="5">
        <v>1.5</v>
      </c>
      <c r="G224" s="4">
        <v>11898</v>
      </c>
      <c r="H224" s="4">
        <v>11111</v>
      </c>
      <c r="I224" s="4">
        <v>13413</v>
      </c>
      <c r="J224" s="4">
        <v>12550</v>
      </c>
      <c r="K224" s="4">
        <v>12233</v>
      </c>
      <c r="L224" s="4">
        <v>8946</v>
      </c>
      <c r="M224" s="4">
        <v>12400</v>
      </c>
      <c r="N224" s="4">
        <v>11251</v>
      </c>
      <c r="O224" s="4">
        <v>12288</v>
      </c>
      <c r="P224" s="4">
        <v>9829</v>
      </c>
      <c r="Q224" s="4">
        <v>12775</v>
      </c>
      <c r="R224" s="4">
        <v>12463</v>
      </c>
      <c r="S224" s="4">
        <v>13131</v>
      </c>
      <c r="T224" s="4">
        <v>10981</v>
      </c>
      <c r="U224" s="4">
        <v>13166</v>
      </c>
      <c r="V224" s="4">
        <v>12909</v>
      </c>
      <c r="W224" s="4">
        <v>13868</v>
      </c>
      <c r="X224" s="10">
        <v>2.3901406697373281E-2</v>
      </c>
      <c r="Y224" s="8">
        <v>7.9229989868287998E-3</v>
      </c>
      <c r="Z224" s="8">
        <v>8.9664461912708493E-3</v>
      </c>
      <c r="AA224" s="8">
        <v>1.468507780899442E-2</v>
      </c>
    </row>
    <row r="225" spans="2:27" x14ac:dyDescent="0.3">
      <c r="B225" s="12" t="s">
        <v>405</v>
      </c>
      <c r="C225" s="3" t="s">
        <v>713</v>
      </c>
      <c r="D225" s="3" t="str">
        <f>VLOOKUP(B225,기업리스트!$B:$G,2,FALSE)</f>
        <v>Wockhardt Limited</v>
      </c>
      <c r="E225" s="3" t="s">
        <v>646</v>
      </c>
      <c r="F225" s="5">
        <v>-0.9</v>
      </c>
      <c r="G225" s="4">
        <v>8620</v>
      </c>
      <c r="H225" s="4">
        <v>8539</v>
      </c>
      <c r="I225" s="4">
        <v>6546</v>
      </c>
      <c r="J225" s="4">
        <v>5950</v>
      </c>
      <c r="K225" s="4">
        <v>6790</v>
      </c>
      <c r="L225" s="4">
        <v>6990</v>
      </c>
      <c r="M225" s="4">
        <v>6840</v>
      </c>
      <c r="N225" s="4">
        <v>6440</v>
      </c>
      <c r="O225" s="4">
        <v>7530</v>
      </c>
      <c r="P225" s="4">
        <v>7010</v>
      </c>
      <c r="Q225" s="4">
        <v>7320</v>
      </c>
      <c r="R225" s="4">
        <v>7390</v>
      </c>
      <c r="S225" s="4">
        <v>8090</v>
      </c>
      <c r="T225" s="4">
        <v>7210</v>
      </c>
      <c r="U225" s="4">
        <v>7660</v>
      </c>
      <c r="V225" s="4">
        <v>7380</v>
      </c>
      <c r="W225" s="4">
        <v>7820</v>
      </c>
      <c r="X225" s="10">
        <v>6.7091580006708451E-3</v>
      </c>
      <c r="Y225" s="8">
        <v>1.1329556814395181E-2</v>
      </c>
      <c r="Z225" s="8">
        <v>-3.2948929159803958E-4</v>
      </c>
      <c r="AA225" s="8">
        <v>-8.8991430454845588E-3</v>
      </c>
    </row>
    <row r="226" spans="2:27" x14ac:dyDescent="0.3">
      <c r="B226" s="12" t="s">
        <v>302</v>
      </c>
      <c r="C226" s="3" t="s">
        <v>713</v>
      </c>
      <c r="D226" s="3" t="str">
        <f>VLOOKUP(B226,기업리스트!$B:$G,2,FALSE)</f>
        <v>Anthem Biosciences Limited</v>
      </c>
      <c r="E226" s="3" t="s">
        <v>650</v>
      </c>
      <c r="F226" s="5">
        <v>-3.6</v>
      </c>
      <c r="G226" s="3"/>
      <c r="H226" s="3"/>
      <c r="I226" s="3"/>
      <c r="J226" s="3"/>
      <c r="K226" s="3"/>
      <c r="L226" s="3"/>
      <c r="M226" s="4">
        <v>2944</v>
      </c>
      <c r="N226" s="4">
        <v>2944</v>
      </c>
      <c r="O226" s="4">
        <v>4157</v>
      </c>
      <c r="P226" s="4">
        <v>4157</v>
      </c>
      <c r="Q226" s="4">
        <v>3386</v>
      </c>
      <c r="R226" s="6">
        <v>5250</v>
      </c>
      <c r="S226" s="4">
        <v>4978</v>
      </c>
      <c r="T226" s="4">
        <v>4921</v>
      </c>
      <c r="U226" s="6">
        <v>5402</v>
      </c>
      <c r="V226" s="4">
        <v>5500</v>
      </c>
      <c r="W226" s="4">
        <v>4232</v>
      </c>
      <c r="X226" s="10">
        <v>4.2991390467615798E-2</v>
      </c>
      <c r="Y226" s="9">
        <v>0.1087671971944968</v>
      </c>
      <c r="Z226" s="8">
        <v>1.2164858157753811E-2</v>
      </c>
      <c r="AA226" s="8">
        <v>-3.5863660400942243E-2</v>
      </c>
    </row>
    <row r="227" spans="2:27" x14ac:dyDescent="0.3">
      <c r="B227" s="12" t="s">
        <v>256</v>
      </c>
      <c r="C227" s="3" t="s">
        <v>713</v>
      </c>
      <c r="D227" s="3" t="str">
        <f>VLOOKUP(B227,기업리스트!$B:$G,2,FALSE)</f>
        <v>Godrej Properties Limited</v>
      </c>
      <c r="E227" s="3" t="s">
        <v>650</v>
      </c>
      <c r="F227" s="5">
        <v>-11</v>
      </c>
      <c r="G227" s="4">
        <v>2788</v>
      </c>
      <c r="H227" s="4">
        <v>13306</v>
      </c>
      <c r="I227" s="4">
        <v>2447</v>
      </c>
      <c r="J227" s="4">
        <v>1651</v>
      </c>
      <c r="K227" s="4">
        <v>1962</v>
      </c>
      <c r="L227" s="6">
        <v>16463</v>
      </c>
      <c r="M227" s="6">
        <v>9361</v>
      </c>
      <c r="N227" s="4">
        <v>3430</v>
      </c>
      <c r="O227" s="4">
        <v>3304</v>
      </c>
      <c r="P227" s="4">
        <v>14261</v>
      </c>
      <c r="Q227" s="4">
        <v>7390</v>
      </c>
      <c r="R227" s="6">
        <v>10932</v>
      </c>
      <c r="S227" s="6">
        <v>9689</v>
      </c>
      <c r="T227" s="6">
        <v>21217</v>
      </c>
      <c r="U227" s="4">
        <v>4346</v>
      </c>
      <c r="V227" s="4">
        <v>7404</v>
      </c>
      <c r="W227" s="4">
        <v>4984</v>
      </c>
      <c r="X227" s="7">
        <v>0.16455336866010589</v>
      </c>
      <c r="Y227" s="8">
        <v>-6.1834728203461482E-2</v>
      </c>
      <c r="Z227" s="8">
        <v>-7.6390091806686322E-2</v>
      </c>
      <c r="AA227" s="8">
        <v>-0.11030101275318829</v>
      </c>
    </row>
    <row r="228" spans="2:27" x14ac:dyDescent="0.3">
      <c r="B228" s="43" t="s">
        <v>516</v>
      </c>
      <c r="C228" s="35" t="s">
        <v>713</v>
      </c>
      <c r="D228" s="35" t="str">
        <f>VLOOKUP(B228,기업리스트!$B:$G,2,FALSE)</f>
        <v>Aditya Birla Fashion and Retail Limited</v>
      </c>
      <c r="E228" s="35" t="s">
        <v>650</v>
      </c>
      <c r="F228" s="36">
        <v>-19.899999999999999</v>
      </c>
      <c r="G228" s="37">
        <v>29871</v>
      </c>
      <c r="H228" s="37">
        <v>22828</v>
      </c>
      <c r="I228" s="37">
        <v>28748</v>
      </c>
      <c r="J228" s="37">
        <v>30746</v>
      </c>
      <c r="K228" s="37">
        <v>35888</v>
      </c>
      <c r="L228" s="37">
        <v>28797</v>
      </c>
      <c r="M228" s="37">
        <v>31961</v>
      </c>
      <c r="N228" s="37">
        <v>32264</v>
      </c>
      <c r="O228" s="37">
        <v>41667</v>
      </c>
      <c r="P228" s="37">
        <v>0</v>
      </c>
      <c r="Q228" s="37">
        <v>34278</v>
      </c>
      <c r="R228" s="37">
        <v>36439</v>
      </c>
      <c r="S228" s="37">
        <v>43047</v>
      </c>
      <c r="T228" s="38">
        <v>17195</v>
      </c>
      <c r="U228" s="37">
        <v>18315</v>
      </c>
      <c r="V228" s="37">
        <v>19817</v>
      </c>
      <c r="W228" s="37">
        <v>23432</v>
      </c>
      <c r="X228" s="41">
        <v>0.15114623255159801</v>
      </c>
      <c r="Y228" s="40">
        <v>-0.12189311158454171</v>
      </c>
      <c r="Z228" s="40">
        <v>-0.1445441580576716</v>
      </c>
      <c r="AA228" s="40">
        <v>-0.19939211580295599</v>
      </c>
    </row>
    <row r="229" spans="2:27" x14ac:dyDescent="0.3">
      <c r="B229" s="12" t="s">
        <v>544</v>
      </c>
      <c r="C229" s="3" t="s">
        <v>715</v>
      </c>
      <c r="D229" s="3" t="str">
        <f>VLOOKUP(B229,기업리스트!$B:$G,2,FALSE)</f>
        <v>X-FAB Silicon Foundries SE</v>
      </c>
      <c r="E229" s="3" t="s">
        <v>648</v>
      </c>
      <c r="F229" s="5">
        <v>4</v>
      </c>
      <c r="G229" s="4">
        <v>172.28</v>
      </c>
      <c r="H229" s="4">
        <v>178.66</v>
      </c>
      <c r="I229" s="4">
        <v>188.83</v>
      </c>
      <c r="J229" s="4">
        <v>188.34</v>
      </c>
      <c r="K229" s="4">
        <v>183.64</v>
      </c>
      <c r="L229" s="4">
        <v>208.11</v>
      </c>
      <c r="M229" s="4">
        <v>227.13</v>
      </c>
      <c r="N229" s="4">
        <v>233.81</v>
      </c>
      <c r="O229" s="4">
        <v>237.73</v>
      </c>
      <c r="P229" s="4">
        <v>216.15</v>
      </c>
      <c r="Q229" s="4">
        <v>205.1</v>
      </c>
      <c r="R229" s="4">
        <v>206.37</v>
      </c>
      <c r="S229" s="4">
        <v>188.76</v>
      </c>
      <c r="T229" s="4">
        <v>204.11</v>
      </c>
      <c r="U229" s="4">
        <v>215.28</v>
      </c>
      <c r="V229" s="4">
        <v>228.57</v>
      </c>
      <c r="W229" s="4">
        <v>222.29</v>
      </c>
      <c r="X229" s="10">
        <v>-1.474803400377267E-2</v>
      </c>
      <c r="Y229" s="8">
        <v>1.265633935897759E-2</v>
      </c>
      <c r="Z229" s="8">
        <v>2.725531601433984E-2</v>
      </c>
      <c r="AA229" s="8">
        <v>4.0073142747872659E-2</v>
      </c>
    </row>
  </sheetData>
  <autoFilter ref="B2:AA229" xr:uid="{00000000-0009-0000-0000-000001000000}">
    <sortState xmlns:xlrd2="http://schemas.microsoft.com/office/spreadsheetml/2017/richdata2" ref="B3:AA229">
      <sortCondition descending="1" ref="C2:C229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231"/>
  <sheetViews>
    <sheetView tabSelected="1" topLeftCell="A133" zoomScale="85" zoomScaleNormal="85" workbookViewId="0">
      <selection activeCell="B160" sqref="B160:AA168"/>
    </sheetView>
  </sheetViews>
  <sheetFormatPr defaultRowHeight="16.5" x14ac:dyDescent="0.3"/>
  <cols>
    <col min="1" max="1" width="3.25" customWidth="1"/>
    <col min="2" max="2" width="12.25" style="44" customWidth="1"/>
    <col min="3" max="3" width="14" customWidth="1"/>
    <col min="4" max="4" width="34.625" bestFit="1" customWidth="1"/>
    <col min="5" max="5" width="12" hidden="1" customWidth="1"/>
    <col min="6" max="6" width="12" customWidth="1"/>
    <col min="7" max="11" width="9" hidden="1" customWidth="1"/>
    <col min="12" max="23" width="9" style="49" customWidth="1"/>
    <col min="24" max="27" width="10" customWidth="1"/>
  </cols>
  <sheetData>
    <row r="1" spans="2:27" x14ac:dyDescent="0.3">
      <c r="L1"/>
      <c r="M1"/>
      <c r="N1"/>
      <c r="O1"/>
      <c r="P1"/>
      <c r="Q1"/>
      <c r="R1"/>
      <c r="S1"/>
      <c r="T1"/>
      <c r="U1"/>
      <c r="V1"/>
      <c r="W1"/>
    </row>
    <row r="2" spans="2:27" x14ac:dyDescent="0.3">
      <c r="B2" s="34" t="s">
        <v>1</v>
      </c>
      <c r="C2" s="34" t="s">
        <v>621</v>
      </c>
      <c r="D2" s="34" t="s">
        <v>622</v>
      </c>
      <c r="E2" s="34" t="s">
        <v>623</v>
      </c>
      <c r="F2" s="34" t="s">
        <v>624</v>
      </c>
      <c r="G2" s="34" t="s">
        <v>625</v>
      </c>
      <c r="H2" s="34" t="s">
        <v>626</v>
      </c>
      <c r="I2" s="34" t="s">
        <v>627</v>
      </c>
      <c r="J2" s="34" t="s">
        <v>628</v>
      </c>
      <c r="K2" s="34" t="s">
        <v>629</v>
      </c>
      <c r="L2" s="34" t="s">
        <v>630</v>
      </c>
      <c r="M2" s="34" t="s">
        <v>631</v>
      </c>
      <c r="N2" s="34" t="s">
        <v>632</v>
      </c>
      <c r="O2" s="34" t="s">
        <v>633</v>
      </c>
      <c r="P2" s="34" t="s">
        <v>634</v>
      </c>
      <c r="Q2" s="34" t="s">
        <v>635</v>
      </c>
      <c r="R2" s="34" t="s">
        <v>636</v>
      </c>
      <c r="S2" s="34" t="s">
        <v>637</v>
      </c>
      <c r="T2" s="34" t="s">
        <v>638</v>
      </c>
      <c r="U2" s="34" t="s">
        <v>639</v>
      </c>
      <c r="V2" s="34" t="s">
        <v>640</v>
      </c>
      <c r="W2" s="34" t="s">
        <v>641</v>
      </c>
      <c r="X2" s="34" t="s">
        <v>638</v>
      </c>
      <c r="Y2" s="34" t="s">
        <v>639</v>
      </c>
      <c r="Z2" s="34" t="s">
        <v>640</v>
      </c>
      <c r="AA2" s="34" t="s">
        <v>641</v>
      </c>
    </row>
    <row r="3" spans="2:27" x14ac:dyDescent="0.3">
      <c r="B3" s="12" t="s">
        <v>158</v>
      </c>
      <c r="C3" s="3" t="s">
        <v>642</v>
      </c>
      <c r="D3" s="3" t="s">
        <v>645</v>
      </c>
      <c r="E3" s="3" t="s">
        <v>646</v>
      </c>
      <c r="F3" s="33">
        <v>22815.599999999999</v>
      </c>
      <c r="G3" s="4">
        <v>5.56</v>
      </c>
      <c r="H3" s="4">
        <v>1.18</v>
      </c>
      <c r="I3" s="4">
        <v>-8.6300000000000008</v>
      </c>
      <c r="J3" s="4">
        <v>-14.34</v>
      </c>
      <c r="K3" s="6">
        <v>-17.739999999999998</v>
      </c>
      <c r="L3" s="45">
        <v>-10.119999999999999</v>
      </c>
      <c r="M3" s="46">
        <v>-9.65</v>
      </c>
      <c r="N3" s="46">
        <v>-10.45</v>
      </c>
      <c r="O3" s="46">
        <v>-2.44</v>
      </c>
      <c r="P3" s="46">
        <v>7.02</v>
      </c>
      <c r="Q3" s="45">
        <v>-13.6</v>
      </c>
      <c r="R3" s="45">
        <v>-39.28</v>
      </c>
      <c r="S3" s="46">
        <v>18.010000000000002</v>
      </c>
      <c r="T3" s="46">
        <v>27.9</v>
      </c>
      <c r="U3" s="46">
        <v>13.78</v>
      </c>
      <c r="V3" s="46">
        <v>-60.14</v>
      </c>
      <c r="W3" s="45">
        <v>-84.66</v>
      </c>
      <c r="X3" s="10">
        <v>-0.74973070017953325</v>
      </c>
      <c r="Y3" s="8">
        <v>-3.9282639885222368</v>
      </c>
      <c r="Z3" s="8">
        <v>-1.0220480156785889</v>
      </c>
      <c r="AA3" s="9">
        <v>228.155555555555</v>
      </c>
    </row>
    <row r="4" spans="2:27" x14ac:dyDescent="0.3">
      <c r="B4" s="12" t="s">
        <v>315</v>
      </c>
      <c r="C4" s="3" t="s">
        <v>642</v>
      </c>
      <c r="D4" s="3" t="s">
        <v>645</v>
      </c>
      <c r="E4" s="3" t="s">
        <v>644</v>
      </c>
      <c r="F4" s="33">
        <v>543.5</v>
      </c>
      <c r="G4" s="4">
        <v>15.59</v>
      </c>
      <c r="H4" s="4">
        <v>1.88</v>
      </c>
      <c r="I4" s="4">
        <v>-15.32</v>
      </c>
      <c r="J4" s="4">
        <v>-28.36</v>
      </c>
      <c r="K4" s="6">
        <v>-28.88</v>
      </c>
      <c r="L4" s="45">
        <v>-14.78</v>
      </c>
      <c r="M4" s="46">
        <v>-15.59</v>
      </c>
      <c r="N4" s="45">
        <v>-67.16</v>
      </c>
      <c r="O4" s="46">
        <v>29.19</v>
      </c>
      <c r="P4" s="46">
        <v>139.16999999999999</v>
      </c>
      <c r="Q4" s="46">
        <v>-59.89</v>
      </c>
      <c r="R4" s="46">
        <v>-167.71</v>
      </c>
      <c r="S4" s="46">
        <v>209.58</v>
      </c>
      <c r="T4" s="46">
        <v>-140.25</v>
      </c>
      <c r="U4" s="46">
        <v>246.32</v>
      </c>
      <c r="V4" s="46">
        <v>-411.66</v>
      </c>
      <c r="W4" s="45">
        <v>-312.22000000000003</v>
      </c>
      <c r="X4" s="10">
        <v>-2.306397028477094</v>
      </c>
      <c r="Y4" s="8">
        <v>-1.9347317874518231</v>
      </c>
      <c r="Z4" s="8">
        <v>-1.6489793159388939</v>
      </c>
      <c r="AA4" s="9">
        <v>5.4348505364024584</v>
      </c>
    </row>
    <row r="5" spans="2:27" x14ac:dyDescent="0.3">
      <c r="B5" s="12" t="s">
        <v>579</v>
      </c>
      <c r="C5" s="3" t="s">
        <v>642</v>
      </c>
      <c r="D5" s="3" t="s">
        <v>647</v>
      </c>
      <c r="E5" s="3" t="s">
        <v>644</v>
      </c>
      <c r="F5" s="33">
        <v>430.3</v>
      </c>
      <c r="G5" s="4">
        <v>4.17</v>
      </c>
      <c r="H5" s="4">
        <v>5.33</v>
      </c>
      <c r="I5" s="4">
        <v>5.52</v>
      </c>
      <c r="J5" s="4">
        <v>7.03</v>
      </c>
      <c r="K5" s="6">
        <v>7.28</v>
      </c>
      <c r="L5" s="46">
        <v>0</v>
      </c>
      <c r="M5" s="46">
        <v>1.61</v>
      </c>
      <c r="N5" s="46">
        <v>4.1100000000000003</v>
      </c>
      <c r="O5" s="46">
        <v>1.25</v>
      </c>
      <c r="P5" s="46">
        <v>0</v>
      </c>
      <c r="Q5" s="46">
        <v>-1.31</v>
      </c>
      <c r="R5" s="46">
        <v>3.56</v>
      </c>
      <c r="S5" s="45">
        <v>4.08</v>
      </c>
      <c r="T5" s="46">
        <v>0</v>
      </c>
      <c r="U5" s="46">
        <v>-4.7699999999999996</v>
      </c>
      <c r="V5" s="46">
        <v>0.03</v>
      </c>
      <c r="W5" s="45">
        <v>1.24</v>
      </c>
      <c r="X5" s="10">
        <v>0</v>
      </c>
      <c r="Y5" s="8">
        <v>-0.54660347551342803</v>
      </c>
      <c r="Z5" s="8">
        <v>-1.229965156794425</v>
      </c>
      <c r="AA5" s="9">
        <v>4.3030303030303063</v>
      </c>
    </row>
    <row r="6" spans="2:27" x14ac:dyDescent="0.3">
      <c r="B6" s="12" t="s">
        <v>214</v>
      </c>
      <c r="C6" s="3" t="s">
        <v>642</v>
      </c>
      <c r="D6" s="3" t="s">
        <v>643</v>
      </c>
      <c r="E6" s="3" t="s">
        <v>644</v>
      </c>
      <c r="F6" s="33">
        <v>205.6</v>
      </c>
      <c r="G6" s="4">
        <v>-63.32</v>
      </c>
      <c r="H6" s="4">
        <v>41.55</v>
      </c>
      <c r="I6" s="4">
        <v>-72.91</v>
      </c>
      <c r="J6" s="4">
        <v>-83.83</v>
      </c>
      <c r="K6" s="4">
        <v>-42.13</v>
      </c>
      <c r="L6" s="46">
        <v>48.17</v>
      </c>
      <c r="M6" s="45">
        <v>-102.7</v>
      </c>
      <c r="N6" s="45">
        <v>-108.33</v>
      </c>
      <c r="O6" s="45">
        <v>-136.55000000000001</v>
      </c>
      <c r="P6" s="45">
        <v>-126.19</v>
      </c>
      <c r="Q6" s="45">
        <v>-176.14</v>
      </c>
      <c r="R6" s="46">
        <v>-162.19999999999999</v>
      </c>
      <c r="S6" s="46">
        <v>-161.41</v>
      </c>
      <c r="T6" s="46">
        <v>381.2</v>
      </c>
      <c r="U6" s="46">
        <v>-165.55</v>
      </c>
      <c r="V6" s="46">
        <v>44.11</v>
      </c>
      <c r="W6" s="45">
        <v>40.81</v>
      </c>
      <c r="X6" s="10">
        <v>-0.81060485030514107</v>
      </c>
      <c r="Y6" s="8">
        <v>-8.9329396878953804E-2</v>
      </c>
      <c r="Z6" s="8">
        <v>-1.9109855502037789</v>
      </c>
      <c r="AA6" s="9">
        <v>2.0561260803253689</v>
      </c>
    </row>
    <row r="7" spans="2:27" x14ac:dyDescent="0.3">
      <c r="B7" s="12" t="s">
        <v>110</v>
      </c>
      <c r="C7" s="3" t="s">
        <v>642</v>
      </c>
      <c r="D7" s="3" t="s">
        <v>655</v>
      </c>
      <c r="E7" s="3" t="s">
        <v>646</v>
      </c>
      <c r="F7" s="33">
        <v>112.6</v>
      </c>
      <c r="G7" s="4">
        <v>-196.1</v>
      </c>
      <c r="H7" s="4">
        <v>-226.55</v>
      </c>
      <c r="I7" s="4">
        <v>-276.83</v>
      </c>
      <c r="J7" s="4">
        <v>-287.47000000000003</v>
      </c>
      <c r="K7" s="6">
        <v>-359.53</v>
      </c>
      <c r="L7" s="46">
        <v>-275.10000000000002</v>
      </c>
      <c r="M7" s="46">
        <v>-241.55</v>
      </c>
      <c r="N7" s="46">
        <v>-207.03</v>
      </c>
      <c r="O7" s="46">
        <v>-171.1</v>
      </c>
      <c r="P7" s="46">
        <v>-155.59</v>
      </c>
      <c r="Q7" s="46">
        <v>-71.86</v>
      </c>
      <c r="R7" s="46">
        <v>-132.88</v>
      </c>
      <c r="S7" s="46">
        <v>-4.26</v>
      </c>
      <c r="T7" s="46">
        <v>-8.3800000000000008</v>
      </c>
      <c r="U7" s="46">
        <v>57.26</v>
      </c>
      <c r="V7" s="46">
        <v>63.66</v>
      </c>
      <c r="W7" s="45">
        <v>117.63</v>
      </c>
      <c r="X7" s="10">
        <v>-0.40376861680243559</v>
      </c>
      <c r="Y7" s="8">
        <v>-0.59398288711012981</v>
      </c>
      <c r="Z7" s="8">
        <v>-2.2268298209834581</v>
      </c>
      <c r="AA7" s="9">
        <v>1.125692648688585</v>
      </c>
    </row>
    <row r="8" spans="2:27" x14ac:dyDescent="0.3">
      <c r="B8" s="12" t="s">
        <v>436</v>
      </c>
      <c r="C8" s="3" t="s">
        <v>642</v>
      </c>
      <c r="D8" s="3" t="s">
        <v>658</v>
      </c>
      <c r="E8" s="3" t="s">
        <v>648</v>
      </c>
      <c r="F8" s="33">
        <v>90.8</v>
      </c>
      <c r="G8" s="4">
        <v>44.3</v>
      </c>
      <c r="H8" s="4">
        <v>51.05</v>
      </c>
      <c r="I8" s="4">
        <v>61.3</v>
      </c>
      <c r="J8" s="4">
        <v>48.37</v>
      </c>
      <c r="K8" s="4">
        <v>20.89</v>
      </c>
      <c r="L8" s="46">
        <v>5.76</v>
      </c>
      <c r="M8" s="46">
        <v>12.64</v>
      </c>
      <c r="N8" s="46">
        <v>17.71</v>
      </c>
      <c r="O8" s="46">
        <v>-1.05</v>
      </c>
      <c r="P8" s="46">
        <v>0.47</v>
      </c>
      <c r="Q8" s="46">
        <v>1.96</v>
      </c>
      <c r="R8" s="46">
        <v>11.58</v>
      </c>
      <c r="S8" s="45">
        <v>3.92</v>
      </c>
      <c r="T8" s="45">
        <v>6.72</v>
      </c>
      <c r="U8" s="46">
        <v>-1.35</v>
      </c>
      <c r="V8" s="46">
        <v>-3.95</v>
      </c>
      <c r="W8" s="45">
        <v>8.77</v>
      </c>
      <c r="X8" s="7">
        <v>0.34857780256553261</v>
      </c>
      <c r="Y8" s="8">
        <v>-0.13688999172870131</v>
      </c>
      <c r="Z8" s="8">
        <v>-0.74413033061811218</v>
      </c>
      <c r="AA8" s="9">
        <v>0.90823970037453172</v>
      </c>
    </row>
    <row r="9" spans="2:27" x14ac:dyDescent="0.3">
      <c r="B9" s="12" t="s">
        <v>77</v>
      </c>
      <c r="C9" s="3" t="s">
        <v>642</v>
      </c>
      <c r="D9" s="3" t="s">
        <v>658</v>
      </c>
      <c r="E9" s="3" t="s">
        <v>650</v>
      </c>
      <c r="F9" s="33">
        <v>78.7</v>
      </c>
      <c r="G9" s="4">
        <v>514.1</v>
      </c>
      <c r="H9" s="4">
        <v>560.4</v>
      </c>
      <c r="I9" s="4">
        <v>684.4</v>
      </c>
      <c r="J9" s="4">
        <v>759.4</v>
      </c>
      <c r="K9" s="6">
        <v>818.1</v>
      </c>
      <c r="L9" s="45">
        <v>850.1</v>
      </c>
      <c r="M9" s="46">
        <v>904.8</v>
      </c>
      <c r="N9" s="46">
        <v>886.8</v>
      </c>
      <c r="O9" s="46">
        <v>530.5</v>
      </c>
      <c r="P9" s="46">
        <v>236.6</v>
      </c>
      <c r="Q9" s="46">
        <v>221.7</v>
      </c>
      <c r="R9" s="46">
        <v>148.1</v>
      </c>
      <c r="S9" s="46">
        <v>34.4</v>
      </c>
      <c r="T9" s="46">
        <v>-28.7</v>
      </c>
      <c r="U9" s="46">
        <v>54.3</v>
      </c>
      <c r="V9" s="46">
        <v>95.2</v>
      </c>
      <c r="W9" s="45">
        <v>156.5</v>
      </c>
      <c r="X9" s="10">
        <v>-0.41401373283395748</v>
      </c>
      <c r="Y9" s="8">
        <v>-0.44580559254327567</v>
      </c>
      <c r="Z9" s="8">
        <v>-0.25420470927438732</v>
      </c>
      <c r="AA9" s="9">
        <v>0.78672680412371165</v>
      </c>
    </row>
    <row r="10" spans="2:27" x14ac:dyDescent="0.3">
      <c r="B10" s="12" t="s">
        <v>216</v>
      </c>
      <c r="C10" s="3" t="s">
        <v>642</v>
      </c>
      <c r="D10" s="3" t="s">
        <v>649</v>
      </c>
      <c r="E10" s="3" t="s">
        <v>648</v>
      </c>
      <c r="F10" s="33">
        <v>71.5</v>
      </c>
      <c r="G10" s="4">
        <v>780.55</v>
      </c>
      <c r="H10" s="4">
        <v>174.34</v>
      </c>
      <c r="I10" s="4">
        <v>-157.26</v>
      </c>
      <c r="J10" s="4">
        <v>48.82</v>
      </c>
      <c r="K10" s="4">
        <v>17.12</v>
      </c>
      <c r="L10" s="46">
        <v>30.97</v>
      </c>
      <c r="M10" s="46">
        <v>47.52</v>
      </c>
      <c r="N10" s="46">
        <v>-87.98</v>
      </c>
      <c r="O10" s="45">
        <v>75.19</v>
      </c>
      <c r="P10" s="46">
        <v>8.8000000000000007</v>
      </c>
      <c r="Q10" s="46">
        <v>-10.85</v>
      </c>
      <c r="R10" s="46">
        <v>10.06</v>
      </c>
      <c r="S10" s="46">
        <v>1.27</v>
      </c>
      <c r="T10" s="45">
        <v>111.08</v>
      </c>
      <c r="U10" s="45">
        <v>76.11</v>
      </c>
      <c r="V10" s="45">
        <v>224.52</v>
      </c>
      <c r="W10" s="45">
        <v>296.61</v>
      </c>
      <c r="X10" s="7">
        <v>11.021551724137931</v>
      </c>
      <c r="Y10" s="9">
        <v>0.7794908569379706</v>
      </c>
      <c r="Z10" s="9">
        <v>1.0802941769091281</v>
      </c>
      <c r="AA10" s="9">
        <v>0.71514359048864362</v>
      </c>
    </row>
    <row r="11" spans="2:27" x14ac:dyDescent="0.3">
      <c r="B11" s="12" t="s">
        <v>66</v>
      </c>
      <c r="C11" s="3" t="s">
        <v>642</v>
      </c>
      <c r="D11" s="3" t="s">
        <v>651</v>
      </c>
      <c r="E11" s="3" t="s">
        <v>648</v>
      </c>
      <c r="F11" s="33">
        <v>68</v>
      </c>
      <c r="G11" s="4">
        <v>7.19</v>
      </c>
      <c r="H11" s="4">
        <v>-35.200000000000003</v>
      </c>
      <c r="I11" s="4">
        <v>-53.07</v>
      </c>
      <c r="J11" s="4">
        <v>-50.95</v>
      </c>
      <c r="K11" s="6">
        <v>-29.68</v>
      </c>
      <c r="L11" s="45">
        <v>-70.599999999999994</v>
      </c>
      <c r="M11" s="46">
        <v>-52.99</v>
      </c>
      <c r="N11" s="46">
        <v>-19.59</v>
      </c>
      <c r="O11" s="46">
        <v>3.02</v>
      </c>
      <c r="P11" s="45">
        <v>-589.26</v>
      </c>
      <c r="Q11" s="46">
        <v>-31.04</v>
      </c>
      <c r="R11" s="46">
        <v>6.85</v>
      </c>
      <c r="S11" s="46">
        <v>52.87</v>
      </c>
      <c r="T11" s="46">
        <v>3.9</v>
      </c>
      <c r="U11" s="45">
        <v>67.709999999999994</v>
      </c>
      <c r="V11" s="45">
        <v>138.54</v>
      </c>
      <c r="W11" s="45">
        <v>231.83</v>
      </c>
      <c r="X11" s="10">
        <v>-1.058118377394841</v>
      </c>
      <c r="Y11" s="9">
        <v>3.0310006138735419</v>
      </c>
      <c r="Z11" s="9">
        <v>1.0027411863245259</v>
      </c>
      <c r="AA11" s="9">
        <v>0.68040453197475492</v>
      </c>
    </row>
    <row r="12" spans="2:27" x14ac:dyDescent="0.3">
      <c r="B12" s="12" t="s">
        <v>434</v>
      </c>
      <c r="C12" s="3" t="s">
        <v>642</v>
      </c>
      <c r="D12" s="3" t="s">
        <v>647</v>
      </c>
      <c r="E12" s="3" t="s">
        <v>650</v>
      </c>
      <c r="F12" s="33">
        <v>62.3</v>
      </c>
      <c r="G12" s="4">
        <v>-13.79</v>
      </c>
      <c r="H12" s="4">
        <v>-27.99</v>
      </c>
      <c r="I12" s="4">
        <v>-24.86</v>
      </c>
      <c r="J12" s="4">
        <v>-14.69</v>
      </c>
      <c r="K12" s="4">
        <v>-12.21</v>
      </c>
      <c r="L12" s="46">
        <v>-28.43</v>
      </c>
      <c r="M12" s="46">
        <v>2.39</v>
      </c>
      <c r="N12" s="46">
        <v>14.78</v>
      </c>
      <c r="O12" s="46">
        <v>17.7</v>
      </c>
      <c r="P12" s="45">
        <v>-9.8699999999999992</v>
      </c>
      <c r="Q12" s="46">
        <v>-5.04</v>
      </c>
      <c r="R12" s="46">
        <v>7.88</v>
      </c>
      <c r="S12" s="46">
        <v>14.82</v>
      </c>
      <c r="T12" s="45">
        <v>-4.2699999999999996</v>
      </c>
      <c r="U12" s="45">
        <v>7.64</v>
      </c>
      <c r="V12" s="45">
        <v>21.43</v>
      </c>
      <c r="W12" s="45">
        <v>39.520000000000003</v>
      </c>
      <c r="X12" s="7">
        <v>0.7188703465982027</v>
      </c>
      <c r="Y12" s="9">
        <v>0.94697535474234495</v>
      </c>
      <c r="Z12" s="9">
        <v>0.51975450709627924</v>
      </c>
      <c r="AA12" s="9">
        <v>0.62342251388187808</v>
      </c>
    </row>
    <row r="13" spans="2:27" x14ac:dyDescent="0.3">
      <c r="B13" s="12" t="s">
        <v>402</v>
      </c>
      <c r="C13" s="3" t="s">
        <v>642</v>
      </c>
      <c r="D13" s="3" t="s">
        <v>725</v>
      </c>
      <c r="E13" s="3" t="s">
        <v>717</v>
      </c>
      <c r="F13" s="33">
        <v>54.7</v>
      </c>
      <c r="G13" s="3"/>
      <c r="H13" s="3"/>
      <c r="I13" s="3"/>
      <c r="J13" s="3"/>
      <c r="K13" s="3"/>
      <c r="L13" s="46"/>
      <c r="M13" s="46">
        <v>-7.01</v>
      </c>
      <c r="N13" s="46">
        <v>-7.01</v>
      </c>
      <c r="O13" s="46">
        <v>-4.83</v>
      </c>
      <c r="P13" s="46">
        <v>-5.95</v>
      </c>
      <c r="Q13" s="46">
        <v>-4.7</v>
      </c>
      <c r="R13" s="46">
        <v>-3.01</v>
      </c>
      <c r="S13" s="46">
        <v>-1.96</v>
      </c>
      <c r="T13" s="46">
        <v>-5.92</v>
      </c>
      <c r="U13" s="45">
        <v>-8.7200000000000006</v>
      </c>
      <c r="V13" s="45">
        <v>-8.8000000000000007</v>
      </c>
      <c r="W13" s="45">
        <v>-15.86</v>
      </c>
      <c r="X13" s="10">
        <v>-1.9206145966710331E-3</v>
      </c>
      <c r="Y13" s="9">
        <v>0.25785760102629901</v>
      </c>
      <c r="Z13" s="9">
        <v>0.2952575216726161</v>
      </c>
      <c r="AA13" s="9">
        <v>0.54724409448818867</v>
      </c>
    </row>
    <row r="14" spans="2:27" x14ac:dyDescent="0.3">
      <c r="B14" s="12" t="s">
        <v>144</v>
      </c>
      <c r="C14" s="3" t="s">
        <v>642</v>
      </c>
      <c r="D14" s="3" t="s">
        <v>678</v>
      </c>
      <c r="E14" s="3" t="s">
        <v>648</v>
      </c>
      <c r="F14" s="33">
        <v>44.8</v>
      </c>
      <c r="G14" s="4">
        <v>-37</v>
      </c>
      <c r="H14" s="4">
        <v>135</v>
      </c>
      <c r="I14" s="4">
        <v>30</v>
      </c>
      <c r="J14" s="4">
        <v>27</v>
      </c>
      <c r="K14" s="4">
        <v>-81</v>
      </c>
      <c r="L14" s="46">
        <v>-65</v>
      </c>
      <c r="M14" s="45">
        <v>-26</v>
      </c>
      <c r="N14" s="46">
        <v>124</v>
      </c>
      <c r="O14" s="45">
        <v>-98</v>
      </c>
      <c r="P14" s="46">
        <v>-59</v>
      </c>
      <c r="Q14" s="46">
        <v>-18</v>
      </c>
      <c r="R14" s="46">
        <v>210</v>
      </c>
      <c r="S14" s="45">
        <v>-53</v>
      </c>
      <c r="T14" s="45">
        <v>184</v>
      </c>
      <c r="U14" s="45">
        <v>224</v>
      </c>
      <c r="V14" s="46">
        <v>232</v>
      </c>
      <c r="W14" s="45">
        <v>210</v>
      </c>
      <c r="X14" s="7">
        <v>3.0375000000000001</v>
      </c>
      <c r="Y14" s="9">
        <v>0.74922600619195046</v>
      </c>
      <c r="Z14" s="8">
        <v>3.8938053097345098E-2</v>
      </c>
      <c r="AA14" s="9">
        <v>0.44804088586030671</v>
      </c>
    </row>
    <row r="15" spans="2:27" x14ac:dyDescent="0.3">
      <c r="B15" s="12" t="s">
        <v>36</v>
      </c>
      <c r="C15" s="3" t="s">
        <v>642</v>
      </c>
      <c r="D15" s="3" t="s">
        <v>689</v>
      </c>
      <c r="E15" s="3" t="s">
        <v>717</v>
      </c>
      <c r="F15" s="33">
        <v>40.5</v>
      </c>
      <c r="G15" s="4">
        <v>0.1</v>
      </c>
      <c r="H15" s="4">
        <v>-0.04</v>
      </c>
      <c r="I15" s="4">
        <v>7.19</v>
      </c>
      <c r="J15" s="4">
        <v>6.71</v>
      </c>
      <c r="K15" s="6">
        <v>9.68</v>
      </c>
      <c r="L15" s="45">
        <v>11.23</v>
      </c>
      <c r="M15" s="46">
        <v>8.36</v>
      </c>
      <c r="N15" s="46">
        <v>9.14</v>
      </c>
      <c r="O15" s="46">
        <v>4.5199999999999996</v>
      </c>
      <c r="P15" s="46">
        <v>3.16</v>
      </c>
      <c r="Q15" s="46">
        <v>3.8</v>
      </c>
      <c r="R15" s="46">
        <v>7.48</v>
      </c>
      <c r="S15" s="45">
        <v>6.56</v>
      </c>
      <c r="T15" s="46">
        <v>-7.59</v>
      </c>
      <c r="U15" s="45">
        <v>17.39</v>
      </c>
      <c r="V15" s="45">
        <v>22.79</v>
      </c>
      <c r="W15" s="45">
        <v>22.41</v>
      </c>
      <c r="X15" s="10">
        <v>-0.51190476190476186</v>
      </c>
      <c r="Y15" s="9">
        <v>1.325853658536585</v>
      </c>
      <c r="Z15" s="9">
        <v>0.64219798657718119</v>
      </c>
      <c r="AA15" s="9">
        <v>0.40485312899106018</v>
      </c>
    </row>
    <row r="16" spans="2:27" x14ac:dyDescent="0.3">
      <c r="B16" s="12" t="s">
        <v>384</v>
      </c>
      <c r="C16" s="3" t="s">
        <v>642</v>
      </c>
      <c r="D16" s="3" t="s">
        <v>706</v>
      </c>
      <c r="E16" s="3" t="s">
        <v>646</v>
      </c>
      <c r="F16" s="33">
        <v>39</v>
      </c>
      <c r="G16" s="4">
        <v>-390.9</v>
      </c>
      <c r="H16" s="4">
        <v>-326.7</v>
      </c>
      <c r="I16" s="4">
        <v>-474.3</v>
      </c>
      <c r="J16" s="4">
        <v>-197.4</v>
      </c>
      <c r="K16" s="4">
        <v>-231.6</v>
      </c>
      <c r="L16" s="46">
        <v>-129.9</v>
      </c>
      <c r="M16" s="46">
        <v>-175.8</v>
      </c>
      <c r="N16" s="46">
        <v>-87</v>
      </c>
      <c r="O16" s="46">
        <v>-167</v>
      </c>
      <c r="P16" s="46">
        <v>-87.4</v>
      </c>
      <c r="Q16" s="46">
        <v>-55</v>
      </c>
      <c r="R16" s="46">
        <v>43.9</v>
      </c>
      <c r="S16" s="46">
        <v>-25.9</v>
      </c>
      <c r="T16" s="46">
        <v>0.5</v>
      </c>
      <c r="U16" s="46">
        <v>66.7</v>
      </c>
      <c r="V16" s="45">
        <v>54</v>
      </c>
      <c r="W16" s="45">
        <v>11.3</v>
      </c>
      <c r="X16" s="10">
        <v>-0.70659163987138263</v>
      </c>
      <c r="Y16" s="8">
        <v>-3.3342465753424659</v>
      </c>
      <c r="Z16" s="9">
        <v>0.1185446009389672</v>
      </c>
      <c r="AA16" s="9">
        <v>0.39034627492130092</v>
      </c>
    </row>
    <row r="17" spans="2:27" x14ac:dyDescent="0.3">
      <c r="B17" s="12" t="s">
        <v>514</v>
      </c>
      <c r="C17" s="3" t="s">
        <v>642</v>
      </c>
      <c r="D17" s="3" t="s">
        <v>754</v>
      </c>
      <c r="E17" s="3" t="s">
        <v>646</v>
      </c>
      <c r="F17" s="33">
        <v>24.4</v>
      </c>
      <c r="G17" s="4">
        <v>38.96</v>
      </c>
      <c r="H17" s="4">
        <v>44.88</v>
      </c>
      <c r="I17" s="4">
        <v>44.19</v>
      </c>
      <c r="J17" s="4">
        <v>55.71</v>
      </c>
      <c r="K17" s="4">
        <v>39.96</v>
      </c>
      <c r="L17" s="46">
        <v>48.36</v>
      </c>
      <c r="M17" s="46">
        <v>53.13</v>
      </c>
      <c r="N17" s="46">
        <v>24.82</v>
      </c>
      <c r="O17" s="46">
        <v>21.32</v>
      </c>
      <c r="P17" s="46">
        <v>11.26</v>
      </c>
      <c r="Q17" s="46">
        <v>17.78</v>
      </c>
      <c r="R17" s="46">
        <v>12.02</v>
      </c>
      <c r="S17" s="46">
        <v>15.06</v>
      </c>
      <c r="T17" s="46">
        <v>7.27</v>
      </c>
      <c r="U17" s="46">
        <v>19.170000000000002</v>
      </c>
      <c r="V17" s="46">
        <v>3.09</v>
      </c>
      <c r="W17" s="45">
        <v>25.95</v>
      </c>
      <c r="X17" s="10">
        <v>-7.1097647897362837E-2</v>
      </c>
      <c r="Y17" s="8">
        <v>2.666410895837323E-2</v>
      </c>
      <c r="Z17" s="8">
        <v>-0.16685351270553059</v>
      </c>
      <c r="AA17" s="9">
        <v>0.24422516259250959</v>
      </c>
    </row>
    <row r="18" spans="2:27" x14ac:dyDescent="0.3">
      <c r="B18" s="12" t="s">
        <v>577</v>
      </c>
      <c r="C18" s="3" t="s">
        <v>642</v>
      </c>
      <c r="D18" s="3" t="s">
        <v>658</v>
      </c>
      <c r="E18" s="3" t="s">
        <v>646</v>
      </c>
      <c r="F18" s="33">
        <v>23.4</v>
      </c>
      <c r="G18" s="4">
        <v>27.72</v>
      </c>
      <c r="H18" s="4">
        <v>31.23</v>
      </c>
      <c r="I18" s="4">
        <v>18.14</v>
      </c>
      <c r="J18" s="4">
        <v>25.53</v>
      </c>
      <c r="K18" s="4">
        <v>8.7899999999999991</v>
      </c>
      <c r="L18" s="46">
        <v>-14.4</v>
      </c>
      <c r="M18" s="46">
        <v>2.61</v>
      </c>
      <c r="N18" s="46">
        <v>9.3800000000000008</v>
      </c>
      <c r="O18" s="46">
        <v>-1.1299999999999999</v>
      </c>
      <c r="P18" s="46">
        <v>-10.5</v>
      </c>
      <c r="Q18" s="46">
        <v>-1.5</v>
      </c>
      <c r="R18" s="45">
        <v>-0.25</v>
      </c>
      <c r="S18" s="45">
        <v>-5.91</v>
      </c>
      <c r="T18" s="46">
        <v>-10.66</v>
      </c>
      <c r="U18" s="45">
        <v>-11.62</v>
      </c>
      <c r="V18" s="45">
        <v>-4.58</v>
      </c>
      <c r="W18" s="45">
        <v>-13.57</v>
      </c>
      <c r="X18" s="10">
        <v>8.8105726872247381E-3</v>
      </c>
      <c r="Y18" s="9">
        <v>0.55240174672489073</v>
      </c>
      <c r="Z18" s="9">
        <v>0.1522503516174403</v>
      </c>
      <c r="AA18" s="9">
        <v>0.233750381446445</v>
      </c>
    </row>
    <row r="19" spans="2:27" x14ac:dyDescent="0.3">
      <c r="B19" s="12" t="s">
        <v>201</v>
      </c>
      <c r="C19" s="3" t="s">
        <v>642</v>
      </c>
      <c r="D19" s="3" t="s">
        <v>658</v>
      </c>
      <c r="E19" s="3" t="s">
        <v>644</v>
      </c>
      <c r="F19" s="33">
        <v>20.100000000000001</v>
      </c>
      <c r="G19" s="4">
        <v>27.07</v>
      </c>
      <c r="H19" s="4">
        <v>32.57</v>
      </c>
      <c r="I19" s="4">
        <v>36</v>
      </c>
      <c r="J19" s="4">
        <v>37.53</v>
      </c>
      <c r="K19" s="4">
        <v>39.380000000000003</v>
      </c>
      <c r="L19" s="46">
        <v>38.700000000000003</v>
      </c>
      <c r="M19" s="46">
        <v>19.510000000000002</v>
      </c>
      <c r="N19" s="46">
        <v>20.61</v>
      </c>
      <c r="O19" s="46">
        <v>18.11</v>
      </c>
      <c r="P19" s="46">
        <v>15.71</v>
      </c>
      <c r="Q19" s="46">
        <v>19.72</v>
      </c>
      <c r="R19" s="46">
        <v>27.83</v>
      </c>
      <c r="S19" s="46">
        <v>17.53</v>
      </c>
      <c r="T19" s="45">
        <v>34.869999999999997</v>
      </c>
      <c r="U19" s="45">
        <v>37.659999999999997</v>
      </c>
      <c r="V19" s="45">
        <v>39.700000000000003</v>
      </c>
      <c r="W19" s="45">
        <v>43.58</v>
      </c>
      <c r="X19" s="7">
        <v>0.23715806411684601</v>
      </c>
      <c r="Y19" s="9">
        <v>0.17948974487243621</v>
      </c>
      <c r="Z19" s="9">
        <v>0.1006870811773688</v>
      </c>
      <c r="AA19" s="9">
        <v>0.20075524044389659</v>
      </c>
    </row>
    <row r="20" spans="2:27" x14ac:dyDescent="0.3">
      <c r="B20" s="12" t="s">
        <v>552</v>
      </c>
      <c r="C20" s="3" t="s">
        <v>642</v>
      </c>
      <c r="D20" s="3" t="s">
        <v>647</v>
      </c>
      <c r="E20" s="3" t="s">
        <v>644</v>
      </c>
      <c r="F20" s="33">
        <v>19.399999999999999</v>
      </c>
      <c r="G20" s="4">
        <v>-1.1399999999999999</v>
      </c>
      <c r="H20" s="4">
        <v>-0.32</v>
      </c>
      <c r="I20" s="4">
        <v>0.88</v>
      </c>
      <c r="J20" s="4">
        <v>-2.08</v>
      </c>
      <c r="K20" s="6">
        <v>-8.2200000000000006</v>
      </c>
      <c r="L20" s="46">
        <v>1.87</v>
      </c>
      <c r="M20" s="46">
        <v>6.74</v>
      </c>
      <c r="N20" s="46">
        <v>3.81</v>
      </c>
      <c r="O20" s="45">
        <v>2.83</v>
      </c>
      <c r="P20" s="45">
        <v>3.68</v>
      </c>
      <c r="Q20" s="46">
        <v>5.2</v>
      </c>
      <c r="R20" s="46">
        <v>2.16</v>
      </c>
      <c r="S20" s="45">
        <v>4.3</v>
      </c>
      <c r="T20" s="45">
        <v>6.21</v>
      </c>
      <c r="U20" s="46">
        <v>6.37</v>
      </c>
      <c r="V20" s="45">
        <v>6.47</v>
      </c>
      <c r="W20" s="45">
        <v>8.83</v>
      </c>
      <c r="X20" s="7">
        <v>0.16492829204693621</v>
      </c>
      <c r="Y20" s="8">
        <v>6.5472859541130246E-2</v>
      </c>
      <c r="Z20" s="9">
        <v>0.22636554621848751</v>
      </c>
      <c r="AA20" s="9">
        <v>0.19400428265524619</v>
      </c>
    </row>
    <row r="21" spans="2:27" x14ac:dyDescent="0.3">
      <c r="B21" s="12" t="s">
        <v>605</v>
      </c>
      <c r="C21" s="3" t="s">
        <v>642</v>
      </c>
      <c r="D21" s="3" t="s">
        <v>676</v>
      </c>
      <c r="E21" s="3" t="s">
        <v>644</v>
      </c>
      <c r="F21" s="33">
        <v>19.3</v>
      </c>
      <c r="G21" s="3"/>
      <c r="H21" s="3"/>
      <c r="I21" s="3"/>
      <c r="J21" s="3"/>
      <c r="K21" s="3"/>
      <c r="L21" s="46"/>
      <c r="M21" s="46"/>
      <c r="N21" s="46">
        <v>17</v>
      </c>
      <c r="O21" s="46">
        <v>-2</v>
      </c>
      <c r="P21" s="46">
        <v>25</v>
      </c>
      <c r="Q21" s="46">
        <v>17</v>
      </c>
      <c r="R21" s="45">
        <v>35</v>
      </c>
      <c r="S21" s="45">
        <v>10</v>
      </c>
      <c r="T21" s="46">
        <v>27</v>
      </c>
      <c r="U21" s="46">
        <v>13</v>
      </c>
      <c r="V21" s="45">
        <v>85</v>
      </c>
      <c r="W21" s="45">
        <v>36</v>
      </c>
      <c r="X21" s="10">
        <v>2.2988505747126409E-2</v>
      </c>
      <c r="Y21" s="8">
        <v>-4.49438202247191E-2</v>
      </c>
      <c r="Z21" s="9">
        <v>0.58823529411764697</v>
      </c>
      <c r="AA21" s="9">
        <v>0.19259259259259259</v>
      </c>
    </row>
    <row r="22" spans="2:27" x14ac:dyDescent="0.3">
      <c r="B22" s="12" t="s">
        <v>168</v>
      </c>
      <c r="C22" s="3" t="s">
        <v>642</v>
      </c>
      <c r="D22" s="3" t="s">
        <v>657</v>
      </c>
      <c r="E22" s="3" t="s">
        <v>648</v>
      </c>
      <c r="F22" s="33">
        <v>18.5</v>
      </c>
      <c r="G22" s="4">
        <v>59</v>
      </c>
      <c r="H22" s="4">
        <v>310</v>
      </c>
      <c r="I22" s="4">
        <v>191</v>
      </c>
      <c r="J22" s="4">
        <v>-28</v>
      </c>
      <c r="K22" s="6">
        <v>436</v>
      </c>
      <c r="L22" s="45">
        <v>404</v>
      </c>
      <c r="M22" s="45">
        <v>328</v>
      </c>
      <c r="N22" s="45">
        <v>452</v>
      </c>
      <c r="O22" s="46">
        <v>233</v>
      </c>
      <c r="P22" s="46">
        <v>340</v>
      </c>
      <c r="Q22" s="46">
        <v>341</v>
      </c>
      <c r="R22" s="46">
        <v>292</v>
      </c>
      <c r="S22" s="46">
        <v>311</v>
      </c>
      <c r="T22" s="46">
        <v>449</v>
      </c>
      <c r="U22" s="46">
        <v>431</v>
      </c>
      <c r="V22" s="46">
        <v>418</v>
      </c>
      <c r="W22" s="45">
        <v>608</v>
      </c>
      <c r="X22" s="10">
        <v>8.489096573208732E-2</v>
      </c>
      <c r="Y22" s="8">
        <v>6.4608758076094785E-2</v>
      </c>
      <c r="Z22" s="8">
        <v>8.4962913014160479E-2</v>
      </c>
      <c r="AA22" s="9">
        <v>0.1845866998135488</v>
      </c>
    </row>
    <row r="23" spans="2:27" x14ac:dyDescent="0.3">
      <c r="B23" s="12" t="s">
        <v>497</v>
      </c>
      <c r="C23" s="3" t="s">
        <v>642</v>
      </c>
      <c r="D23" s="3" t="s">
        <v>681</v>
      </c>
      <c r="E23" s="3" t="s">
        <v>648</v>
      </c>
      <c r="F23" s="33">
        <v>16</v>
      </c>
      <c r="G23" s="4">
        <v>-47.49</v>
      </c>
      <c r="H23" s="4">
        <v>-35.28</v>
      </c>
      <c r="I23" s="4">
        <v>-42.14</v>
      </c>
      <c r="J23" s="4">
        <v>-33.65</v>
      </c>
      <c r="K23" s="4">
        <v>-45.88</v>
      </c>
      <c r="L23" s="46">
        <v>-44.74</v>
      </c>
      <c r="M23" s="46">
        <v>-38.520000000000003</v>
      </c>
      <c r="N23" s="46">
        <v>-39.58</v>
      </c>
      <c r="O23" s="46">
        <v>-25.5</v>
      </c>
      <c r="P23" s="46">
        <v>-27.7</v>
      </c>
      <c r="Q23" s="46">
        <v>-31.2</v>
      </c>
      <c r="R23" s="46">
        <v>-21.7</v>
      </c>
      <c r="S23" s="46">
        <v>-21.48</v>
      </c>
      <c r="T23" s="46">
        <v>-15.3</v>
      </c>
      <c r="U23" s="46">
        <v>-15.1</v>
      </c>
      <c r="V23" s="46">
        <v>-15.6</v>
      </c>
      <c r="W23" s="45">
        <v>-32.299999999999997</v>
      </c>
      <c r="X23" s="10">
        <v>-0.12147335423197481</v>
      </c>
      <c r="Y23" s="8">
        <v>-0.1795272078501339</v>
      </c>
      <c r="Z23" s="8">
        <v>-8.2902962761619903E-2</v>
      </c>
      <c r="AA23" s="9">
        <v>0.16034380557202119</v>
      </c>
    </row>
    <row r="24" spans="2:27" x14ac:dyDescent="0.3">
      <c r="B24" s="12" t="s">
        <v>26</v>
      </c>
      <c r="C24" s="3" t="s">
        <v>642</v>
      </c>
      <c r="D24" s="3" t="s">
        <v>649</v>
      </c>
      <c r="E24" s="3" t="s">
        <v>648</v>
      </c>
      <c r="F24" s="33">
        <v>15.6</v>
      </c>
      <c r="G24" s="4">
        <v>1027</v>
      </c>
      <c r="H24" s="4">
        <v>1289</v>
      </c>
      <c r="I24" s="4">
        <v>-1917</v>
      </c>
      <c r="J24" s="4">
        <v>206.19</v>
      </c>
      <c r="K24" s="4">
        <v>129.15</v>
      </c>
      <c r="L24" s="45">
        <v>408.44</v>
      </c>
      <c r="M24" s="46">
        <v>1451</v>
      </c>
      <c r="N24" s="45">
        <v>2819</v>
      </c>
      <c r="O24" s="45">
        <v>1876</v>
      </c>
      <c r="P24" s="45">
        <v>1363</v>
      </c>
      <c r="Q24" s="46">
        <v>1210</v>
      </c>
      <c r="R24" s="46">
        <v>1645</v>
      </c>
      <c r="S24" s="46">
        <v>1643</v>
      </c>
      <c r="T24" s="46">
        <v>771.07</v>
      </c>
      <c r="U24" s="46">
        <v>1529</v>
      </c>
      <c r="V24" s="46">
        <v>2200</v>
      </c>
      <c r="W24" s="45">
        <v>2600</v>
      </c>
      <c r="X24" s="10">
        <v>-0.10099471080020481</v>
      </c>
      <c r="Y24" s="8">
        <v>6.0541993179062059E-2</v>
      </c>
      <c r="Z24" s="8">
        <v>9.9318727217089231E-2</v>
      </c>
      <c r="AA24" s="9">
        <v>0.15578529953264411</v>
      </c>
    </row>
    <row r="25" spans="2:27" x14ac:dyDescent="0.3">
      <c r="B25" s="12" t="s">
        <v>307</v>
      </c>
      <c r="C25" s="3" t="s">
        <v>642</v>
      </c>
      <c r="D25" s="3" t="s">
        <v>658</v>
      </c>
      <c r="E25" s="3" t="s">
        <v>648</v>
      </c>
      <c r="F25" s="33">
        <v>13.8</v>
      </c>
      <c r="G25" s="4">
        <v>-7.23</v>
      </c>
      <c r="H25" s="4">
        <v>-9.32</v>
      </c>
      <c r="I25" s="4">
        <v>-8.48</v>
      </c>
      <c r="J25" s="4">
        <v>-1.74</v>
      </c>
      <c r="K25" s="4">
        <v>-0.05</v>
      </c>
      <c r="L25" s="46">
        <v>-4.4400000000000004</v>
      </c>
      <c r="M25" s="46">
        <v>-8.3699999999999992</v>
      </c>
      <c r="N25" s="45">
        <v>-15.83</v>
      </c>
      <c r="O25" s="45">
        <v>-11.57</v>
      </c>
      <c r="P25" s="45">
        <v>-9.01</v>
      </c>
      <c r="Q25" s="46">
        <v>9.0500000000000007</v>
      </c>
      <c r="R25" s="46">
        <v>-0.77</v>
      </c>
      <c r="S25" s="46">
        <v>-2.61</v>
      </c>
      <c r="T25" s="45">
        <v>-9.57</v>
      </c>
      <c r="U25" s="46">
        <v>10.87</v>
      </c>
      <c r="V25" s="46">
        <v>0.66</v>
      </c>
      <c r="W25" s="45">
        <v>-2.7</v>
      </c>
      <c r="X25" s="7">
        <v>0.16766467065868279</v>
      </c>
      <c r="Y25" s="8">
        <v>-0.46666666666666629</v>
      </c>
      <c r="Z25" s="8">
        <v>-0.68749999999999978</v>
      </c>
      <c r="AA25" s="9">
        <v>0.13846153846153861</v>
      </c>
    </row>
    <row r="26" spans="2:27" x14ac:dyDescent="0.3">
      <c r="B26" s="12" t="s">
        <v>142</v>
      </c>
      <c r="C26" s="3" t="s">
        <v>642</v>
      </c>
      <c r="D26" s="3" t="s">
        <v>704</v>
      </c>
      <c r="E26" s="3" t="s">
        <v>717</v>
      </c>
      <c r="F26" s="33">
        <v>13.6</v>
      </c>
      <c r="G26" s="4">
        <v>17.739999999999998</v>
      </c>
      <c r="H26" s="4">
        <v>12.49</v>
      </c>
      <c r="I26" s="4">
        <v>0.46</v>
      </c>
      <c r="J26" s="4">
        <v>-3.77</v>
      </c>
      <c r="K26" s="4">
        <v>-13.53</v>
      </c>
      <c r="L26" s="46">
        <v>37.69</v>
      </c>
      <c r="M26" s="45">
        <v>12.52</v>
      </c>
      <c r="N26" s="46">
        <v>-31.17</v>
      </c>
      <c r="O26" s="45">
        <v>-12.18</v>
      </c>
      <c r="P26" s="46">
        <v>19.940000000000001</v>
      </c>
      <c r="Q26" s="45">
        <v>-18.21</v>
      </c>
      <c r="R26" s="45">
        <v>-36.15</v>
      </c>
      <c r="S26" s="45">
        <v>-32.69</v>
      </c>
      <c r="T26" s="45">
        <v>1.17</v>
      </c>
      <c r="U26" s="46">
        <v>-19.82</v>
      </c>
      <c r="V26" s="46">
        <v>-28.6</v>
      </c>
      <c r="W26" s="45">
        <v>-43.59</v>
      </c>
      <c r="X26" s="7">
        <v>0.27969006109372668</v>
      </c>
      <c r="Y26" s="8">
        <v>1.874708896134147E-2</v>
      </c>
      <c r="Z26" s="8">
        <v>-8.6295576637330007E-2</v>
      </c>
      <c r="AA26" s="9">
        <v>0.13635226419814869</v>
      </c>
    </row>
    <row r="27" spans="2:27" x14ac:dyDescent="0.3">
      <c r="B27" s="12" t="s">
        <v>309</v>
      </c>
      <c r="C27" s="3" t="s">
        <v>642</v>
      </c>
      <c r="D27" s="3" t="s">
        <v>686</v>
      </c>
      <c r="E27" s="3" t="s">
        <v>644</v>
      </c>
      <c r="F27" s="33">
        <v>12.2</v>
      </c>
      <c r="G27" s="4">
        <v>81.53</v>
      </c>
      <c r="H27" s="4">
        <v>75.290000000000006</v>
      </c>
      <c r="I27" s="4">
        <v>54.56</v>
      </c>
      <c r="J27" s="4">
        <v>103.81</v>
      </c>
      <c r="K27" s="4">
        <v>74.78</v>
      </c>
      <c r="L27" s="46">
        <v>62.51</v>
      </c>
      <c r="M27" s="46">
        <v>58.39</v>
      </c>
      <c r="N27" s="46">
        <v>128.41999999999999</v>
      </c>
      <c r="O27" s="45">
        <v>107.51</v>
      </c>
      <c r="P27" s="45">
        <v>127.49</v>
      </c>
      <c r="Q27" s="45">
        <v>141.74</v>
      </c>
      <c r="R27" s="46">
        <v>110.74</v>
      </c>
      <c r="S27" s="46">
        <v>86.79</v>
      </c>
      <c r="T27" s="46">
        <v>152.97</v>
      </c>
      <c r="U27" s="46">
        <v>165.67</v>
      </c>
      <c r="V27" s="46">
        <v>83.52</v>
      </c>
      <c r="W27" s="45">
        <v>146.21</v>
      </c>
      <c r="X27" s="10">
        <v>5.4589082183563287E-2</v>
      </c>
      <c r="Y27" s="8">
        <v>4.861449699333642E-2</v>
      </c>
      <c r="Z27" s="8">
        <v>-5.2734564193967048E-2</v>
      </c>
      <c r="AA27" s="9">
        <v>0.12152571837611199</v>
      </c>
    </row>
    <row r="28" spans="2:27" x14ac:dyDescent="0.3">
      <c r="B28" s="12" t="s">
        <v>60</v>
      </c>
      <c r="C28" s="3" t="s">
        <v>642</v>
      </c>
      <c r="D28" s="3" t="s">
        <v>653</v>
      </c>
      <c r="E28" s="3" t="s">
        <v>648</v>
      </c>
      <c r="F28" s="33">
        <v>12</v>
      </c>
      <c r="G28" s="4">
        <v>-139.65</v>
      </c>
      <c r="H28" s="4">
        <v>-151.61000000000001</v>
      </c>
      <c r="I28" s="4">
        <v>-170.27</v>
      </c>
      <c r="J28" s="4">
        <v>-300.01</v>
      </c>
      <c r="K28" s="6">
        <v>-301.89999999999998</v>
      </c>
      <c r="L28" s="45">
        <v>-289.83999999999997</v>
      </c>
      <c r="M28" s="45">
        <v>-313.99</v>
      </c>
      <c r="N28" s="46">
        <v>-300.04000000000002</v>
      </c>
      <c r="O28" s="46">
        <v>-355.18</v>
      </c>
      <c r="P28" s="46">
        <v>-302.33</v>
      </c>
      <c r="Q28" s="46">
        <v>-237.95</v>
      </c>
      <c r="R28" s="46">
        <v>-261.02999999999997</v>
      </c>
      <c r="S28" s="46">
        <v>-226.21</v>
      </c>
      <c r="T28" s="46">
        <v>-254.71</v>
      </c>
      <c r="U28" s="46">
        <v>-322.45999999999998</v>
      </c>
      <c r="V28" s="46">
        <v>-296.54000000000002</v>
      </c>
      <c r="W28" s="45">
        <v>-358.64</v>
      </c>
      <c r="X28" s="10">
        <v>-4.6344596698847718E-2</v>
      </c>
      <c r="Y28" s="8">
        <v>8.6243494234105489E-2</v>
      </c>
      <c r="Z28" s="8">
        <v>3.3361204798902921E-2</v>
      </c>
      <c r="AA28" s="9">
        <v>0.1203996654302129</v>
      </c>
    </row>
    <row r="29" spans="2:27" x14ac:dyDescent="0.3">
      <c r="B29" s="12" t="s">
        <v>69</v>
      </c>
      <c r="C29" s="3" t="s">
        <v>642</v>
      </c>
      <c r="D29" s="3" t="s">
        <v>676</v>
      </c>
      <c r="E29" s="3" t="s">
        <v>646</v>
      </c>
      <c r="F29" s="33">
        <v>11.7</v>
      </c>
      <c r="G29" s="4">
        <v>1434</v>
      </c>
      <c r="H29" s="4">
        <v>978</v>
      </c>
      <c r="I29" s="4">
        <v>117</v>
      </c>
      <c r="J29" s="4">
        <v>661</v>
      </c>
      <c r="K29" s="4">
        <v>773</v>
      </c>
      <c r="L29" s="46">
        <v>316</v>
      </c>
      <c r="M29" s="46">
        <v>31</v>
      </c>
      <c r="N29" s="46">
        <v>101</v>
      </c>
      <c r="O29" s="46">
        <v>584</v>
      </c>
      <c r="P29" s="45">
        <v>553</v>
      </c>
      <c r="Q29" s="45">
        <v>340</v>
      </c>
      <c r="R29" s="46">
        <v>133</v>
      </c>
      <c r="S29" s="46">
        <v>461</v>
      </c>
      <c r="T29" s="46">
        <v>399</v>
      </c>
      <c r="U29" s="46">
        <v>109</v>
      </c>
      <c r="V29" s="45">
        <v>253</v>
      </c>
      <c r="W29" s="45">
        <v>604</v>
      </c>
      <c r="X29" s="10">
        <v>-0.1035642232683255</v>
      </c>
      <c r="Y29" s="8">
        <v>-0.17329332333083269</v>
      </c>
      <c r="Z29" s="9">
        <v>0.1088929219600725</v>
      </c>
      <c r="AA29" s="9">
        <v>0.1170212765957446</v>
      </c>
    </row>
    <row r="30" spans="2:27" x14ac:dyDescent="0.3">
      <c r="B30" s="12" t="s">
        <v>104</v>
      </c>
      <c r="C30" s="3" t="s">
        <v>642</v>
      </c>
      <c r="D30" s="3" t="s">
        <v>665</v>
      </c>
      <c r="E30" s="3" t="s">
        <v>646</v>
      </c>
      <c r="F30" s="33">
        <v>11.6</v>
      </c>
      <c r="G30" s="4">
        <v>476.1</v>
      </c>
      <c r="H30" s="4">
        <v>175.8</v>
      </c>
      <c r="I30" s="4">
        <v>259.60000000000002</v>
      </c>
      <c r="J30" s="4">
        <v>254.3</v>
      </c>
      <c r="K30" s="4">
        <v>418.2</v>
      </c>
      <c r="L30" s="46">
        <v>226.3</v>
      </c>
      <c r="M30" s="46">
        <v>280.8</v>
      </c>
      <c r="N30" s="46">
        <v>272.8</v>
      </c>
      <c r="O30" s="46">
        <v>475.9</v>
      </c>
      <c r="P30" s="46">
        <v>239.3</v>
      </c>
      <c r="Q30" s="46">
        <v>268.3</v>
      </c>
      <c r="R30" s="46">
        <v>285.39999999999998</v>
      </c>
      <c r="S30" s="46">
        <v>548.20000000000005</v>
      </c>
      <c r="T30" s="46">
        <v>272.3</v>
      </c>
      <c r="U30" s="46">
        <v>302.39999999999998</v>
      </c>
      <c r="V30" s="46">
        <v>361.6</v>
      </c>
      <c r="W30" s="45">
        <v>719.8</v>
      </c>
      <c r="X30" s="10">
        <v>2.4604831494184239E-2</v>
      </c>
      <c r="Y30" s="8">
        <v>2.481443749090384E-2</v>
      </c>
      <c r="Z30" s="8">
        <v>5.4107789533480062E-2</v>
      </c>
      <c r="AA30" s="9">
        <v>0.115594476254631</v>
      </c>
    </row>
    <row r="31" spans="2:27" x14ac:dyDescent="0.3">
      <c r="B31" s="12" t="s">
        <v>185</v>
      </c>
      <c r="C31" s="3" t="s">
        <v>642</v>
      </c>
      <c r="D31" s="3" t="s">
        <v>718</v>
      </c>
      <c r="E31" s="3" t="s">
        <v>717</v>
      </c>
      <c r="F31" s="33">
        <v>10.9</v>
      </c>
      <c r="G31" s="3"/>
      <c r="H31" s="3"/>
      <c r="I31" s="3"/>
      <c r="J31" s="3"/>
      <c r="K31" s="3"/>
      <c r="L31" s="46"/>
      <c r="M31" s="46"/>
      <c r="N31" s="46"/>
      <c r="O31" s="46">
        <v>2.1</v>
      </c>
      <c r="P31" s="46">
        <v>7.2</v>
      </c>
      <c r="Q31" s="46">
        <v>5.7</v>
      </c>
      <c r="R31" s="46">
        <v>-10.8</v>
      </c>
      <c r="S31" s="46">
        <v>-5.3</v>
      </c>
      <c r="T31" s="46">
        <v>18.3</v>
      </c>
      <c r="U31" s="45">
        <v>8.3000000000000007</v>
      </c>
      <c r="V31" s="45">
        <v>29</v>
      </c>
      <c r="W31" s="45">
        <v>0.2</v>
      </c>
      <c r="X31" s="10">
        <v>-3.46875</v>
      </c>
      <c r="Y31" s="9">
        <v>0.32911392405063289</v>
      </c>
      <c r="Z31" s="9">
        <v>3.7904761904761912</v>
      </c>
      <c r="AA31" s="9">
        <v>0.10934393638170969</v>
      </c>
    </row>
    <row r="32" spans="2:27" x14ac:dyDescent="0.3">
      <c r="B32" s="12" t="s">
        <v>444</v>
      </c>
      <c r="C32" s="3" t="s">
        <v>642</v>
      </c>
      <c r="D32" s="3" t="s">
        <v>659</v>
      </c>
      <c r="E32" s="3" t="s">
        <v>650</v>
      </c>
      <c r="F32" s="33">
        <v>10.5</v>
      </c>
      <c r="G32" s="4">
        <v>-58.32</v>
      </c>
      <c r="H32" s="4">
        <v>-91.39</v>
      </c>
      <c r="I32" s="4">
        <v>-83.05</v>
      </c>
      <c r="J32" s="4">
        <v>-72.39</v>
      </c>
      <c r="K32" s="4">
        <v>-68.680000000000007</v>
      </c>
      <c r="L32" s="46">
        <v>-48.73</v>
      </c>
      <c r="M32" s="46">
        <v>-53.94</v>
      </c>
      <c r="N32" s="46">
        <v>-50.19</v>
      </c>
      <c r="O32" s="46">
        <v>-47.21</v>
      </c>
      <c r="P32" s="46">
        <v>-30.81</v>
      </c>
      <c r="Q32" s="46">
        <v>-27.71</v>
      </c>
      <c r="R32" s="46">
        <v>-31.41</v>
      </c>
      <c r="S32" s="46">
        <v>-22.2</v>
      </c>
      <c r="T32" s="46">
        <v>-22.56</v>
      </c>
      <c r="U32" s="46">
        <v>-35.6</v>
      </c>
      <c r="V32" s="46">
        <v>-33.76</v>
      </c>
      <c r="W32" s="45">
        <v>-34.200000000000003</v>
      </c>
      <c r="X32" s="10">
        <v>-7.3575314367252287E-2</v>
      </c>
      <c r="Y32" s="8">
        <v>7.5953022718521446E-2</v>
      </c>
      <c r="Z32" s="8">
        <v>2.102531985327016E-2</v>
      </c>
      <c r="AA32" s="9">
        <v>0.10515247108307051</v>
      </c>
    </row>
    <row r="33" spans="2:27" x14ac:dyDescent="0.3">
      <c r="B33" s="12" t="s">
        <v>237</v>
      </c>
      <c r="C33" s="3" t="s">
        <v>642</v>
      </c>
      <c r="D33" s="3" t="s">
        <v>699</v>
      </c>
      <c r="E33" s="3" t="s">
        <v>648</v>
      </c>
      <c r="F33" s="33">
        <v>10.3</v>
      </c>
      <c r="G33" s="4">
        <v>270.3</v>
      </c>
      <c r="H33" s="4">
        <v>241</v>
      </c>
      <c r="I33" s="4">
        <v>262</v>
      </c>
      <c r="J33" s="4">
        <v>331.4</v>
      </c>
      <c r="K33" s="6">
        <v>465.8</v>
      </c>
      <c r="L33" s="45">
        <v>386</v>
      </c>
      <c r="M33" s="45">
        <v>499.7</v>
      </c>
      <c r="N33" s="46">
        <v>421.5</v>
      </c>
      <c r="O33" s="46">
        <v>413.5</v>
      </c>
      <c r="P33" s="46">
        <v>272.3</v>
      </c>
      <c r="Q33" s="46">
        <v>286</v>
      </c>
      <c r="R33" s="46">
        <v>126.3</v>
      </c>
      <c r="S33" s="46">
        <v>212.5</v>
      </c>
      <c r="T33" s="46">
        <v>60.2</v>
      </c>
      <c r="U33" s="46">
        <v>195.5</v>
      </c>
      <c r="V33" s="46">
        <v>156.19999999999999</v>
      </c>
      <c r="W33" s="45">
        <v>276.8</v>
      </c>
      <c r="X33" s="10">
        <v>-0.23642849180693351</v>
      </c>
      <c r="Y33" s="8">
        <v>-0.13211678832116791</v>
      </c>
      <c r="Z33" s="8">
        <v>5.0294365012615527E-2</v>
      </c>
      <c r="AA33" s="9">
        <v>0.1029788597053172</v>
      </c>
    </row>
    <row r="34" spans="2:27" x14ac:dyDescent="0.3">
      <c r="B34" s="12" t="s">
        <v>267</v>
      </c>
      <c r="C34" s="3" t="s">
        <v>642</v>
      </c>
      <c r="D34" s="3" t="s">
        <v>654</v>
      </c>
      <c r="E34" s="3" t="s">
        <v>644</v>
      </c>
      <c r="F34" s="33">
        <v>10.199999999999999</v>
      </c>
      <c r="G34" s="4">
        <v>8.02</v>
      </c>
      <c r="H34" s="4">
        <v>-11.53</v>
      </c>
      <c r="I34" s="4">
        <v>18.12</v>
      </c>
      <c r="J34" s="4">
        <v>18.850000000000001</v>
      </c>
      <c r="K34" s="4">
        <v>0.77</v>
      </c>
      <c r="L34" s="45">
        <v>-3.26</v>
      </c>
      <c r="M34" s="45">
        <v>32.299999999999997</v>
      </c>
      <c r="N34" s="45">
        <v>49.78</v>
      </c>
      <c r="O34" s="45">
        <v>16.43</v>
      </c>
      <c r="P34" s="46">
        <v>5.47</v>
      </c>
      <c r="Q34" s="45">
        <v>45.51</v>
      </c>
      <c r="R34" s="46">
        <v>58.03</v>
      </c>
      <c r="S34" s="45">
        <v>32.31</v>
      </c>
      <c r="T34" s="45">
        <v>26.55</v>
      </c>
      <c r="U34" s="45">
        <v>80.78</v>
      </c>
      <c r="V34" s="45">
        <v>132.35</v>
      </c>
      <c r="W34" s="45">
        <v>60</v>
      </c>
      <c r="X34" s="7">
        <v>0.14916501556750639</v>
      </c>
      <c r="Y34" s="9">
        <v>0.21717980295566511</v>
      </c>
      <c r="Z34" s="9">
        <v>0.37598016896848269</v>
      </c>
      <c r="AA34" s="9">
        <v>0.10180521342696421</v>
      </c>
    </row>
    <row r="35" spans="2:27" x14ac:dyDescent="0.3">
      <c r="B35" s="12" t="s">
        <v>440</v>
      </c>
      <c r="C35" s="3" t="s">
        <v>642</v>
      </c>
      <c r="D35" s="3" t="s">
        <v>719</v>
      </c>
      <c r="E35" s="3" t="s">
        <v>717</v>
      </c>
      <c r="F35" s="5">
        <v>9.5</v>
      </c>
      <c r="G35" s="4">
        <v>38.4</v>
      </c>
      <c r="H35" s="4">
        <v>42.5</v>
      </c>
      <c r="I35" s="4">
        <v>27.7</v>
      </c>
      <c r="J35" s="4">
        <v>25.6</v>
      </c>
      <c r="K35" s="4">
        <v>16</v>
      </c>
      <c r="L35" s="46">
        <v>30.1</v>
      </c>
      <c r="M35" s="46">
        <v>-0.1</v>
      </c>
      <c r="N35" s="46">
        <v>0</v>
      </c>
      <c r="O35" s="46">
        <v>13</v>
      </c>
      <c r="P35" s="46">
        <v>0</v>
      </c>
      <c r="Q35" s="45">
        <v>10.7</v>
      </c>
      <c r="R35" s="45">
        <v>14</v>
      </c>
      <c r="S35" s="45">
        <v>20.2</v>
      </c>
      <c r="T35" s="45">
        <v>18.399999999999999</v>
      </c>
      <c r="U35" s="46">
        <v>7.7</v>
      </c>
      <c r="V35" s="46">
        <v>18</v>
      </c>
      <c r="W35" s="46">
        <v>26.3</v>
      </c>
      <c r="X35" s="7">
        <v>0.40979955456570161</v>
      </c>
      <c r="Y35" s="8">
        <v>-4.7393364928909998E-2</v>
      </c>
      <c r="Z35" s="8">
        <v>6.6334991708125957E-2</v>
      </c>
      <c r="AA35" s="8">
        <v>9.4867807153965922E-2</v>
      </c>
    </row>
    <row r="36" spans="2:27" x14ac:dyDescent="0.3">
      <c r="B36" s="12" t="s">
        <v>207</v>
      </c>
      <c r="C36" s="3" t="s">
        <v>642</v>
      </c>
      <c r="D36" s="3" t="s">
        <v>673</v>
      </c>
      <c r="E36" s="3" t="s">
        <v>648</v>
      </c>
      <c r="F36" s="5">
        <v>9.1999999999999993</v>
      </c>
      <c r="G36" s="4">
        <v>79.53</v>
      </c>
      <c r="H36" s="4">
        <v>5.81</v>
      </c>
      <c r="I36" s="4">
        <v>58.45</v>
      </c>
      <c r="J36" s="4">
        <v>28.94</v>
      </c>
      <c r="K36" s="6">
        <v>129.02000000000001</v>
      </c>
      <c r="L36" s="45">
        <v>76.44</v>
      </c>
      <c r="M36" s="45">
        <v>111.83</v>
      </c>
      <c r="N36" s="45">
        <v>102.02</v>
      </c>
      <c r="O36" s="46">
        <v>110.85</v>
      </c>
      <c r="P36" s="46">
        <v>116.12</v>
      </c>
      <c r="Q36" s="46">
        <v>138.41999999999999</v>
      </c>
      <c r="R36" s="46">
        <v>123.3</v>
      </c>
      <c r="S36" s="46">
        <v>125.95</v>
      </c>
      <c r="T36" s="46">
        <v>134.77000000000001</v>
      </c>
      <c r="U36" s="46">
        <v>137.29</v>
      </c>
      <c r="V36" s="46">
        <v>159.69</v>
      </c>
      <c r="W36" s="46">
        <v>177.37</v>
      </c>
      <c r="X36" s="10">
        <v>3.7019393001052281E-2</v>
      </c>
      <c r="Y36" s="8">
        <v>-2.16292780032179E-3</v>
      </c>
      <c r="Z36" s="8">
        <v>6.9804914542211272E-2</v>
      </c>
      <c r="AA36" s="8">
        <v>9.2200107584722968E-2</v>
      </c>
    </row>
    <row r="37" spans="2:27" x14ac:dyDescent="0.3">
      <c r="B37" s="12" t="s">
        <v>50</v>
      </c>
      <c r="C37" s="3" t="s">
        <v>642</v>
      </c>
      <c r="D37" s="3" t="s">
        <v>664</v>
      </c>
      <c r="E37" s="3" t="s">
        <v>646</v>
      </c>
      <c r="F37" s="5">
        <v>9</v>
      </c>
      <c r="G37" s="4">
        <v>386</v>
      </c>
      <c r="H37" s="4">
        <v>466</v>
      </c>
      <c r="I37" s="4">
        <v>363</v>
      </c>
      <c r="J37" s="4">
        <v>346</v>
      </c>
      <c r="K37" s="4">
        <v>401</v>
      </c>
      <c r="L37" s="46">
        <v>532</v>
      </c>
      <c r="M37" s="46">
        <v>510</v>
      </c>
      <c r="N37" s="46">
        <v>493</v>
      </c>
      <c r="O37" s="46">
        <v>523</v>
      </c>
      <c r="P37" s="46">
        <v>586</v>
      </c>
      <c r="Q37" s="46">
        <v>548</v>
      </c>
      <c r="R37" s="46">
        <v>551</v>
      </c>
      <c r="S37" s="46">
        <v>566</v>
      </c>
      <c r="T37" s="46">
        <v>731</v>
      </c>
      <c r="U37" s="46">
        <v>629</v>
      </c>
      <c r="V37" s="46">
        <v>771</v>
      </c>
      <c r="W37" s="46">
        <v>809</v>
      </c>
      <c r="X37" s="10">
        <v>6.4415815193247461E-2</v>
      </c>
      <c r="Y37" s="8">
        <v>3.3806343906510827E-2</v>
      </c>
      <c r="Z37" s="8">
        <v>8.881711748082366E-2</v>
      </c>
      <c r="AA37" s="8">
        <v>9.0100111234705293E-2</v>
      </c>
    </row>
    <row r="38" spans="2:27" x14ac:dyDescent="0.3">
      <c r="B38" s="12" t="s">
        <v>64</v>
      </c>
      <c r="C38" s="3" t="s">
        <v>642</v>
      </c>
      <c r="D38" s="3" t="s">
        <v>674</v>
      </c>
      <c r="E38" s="3" t="s">
        <v>648</v>
      </c>
      <c r="F38" s="5">
        <v>9</v>
      </c>
      <c r="G38" s="4">
        <v>434</v>
      </c>
      <c r="H38" s="4">
        <v>518</v>
      </c>
      <c r="I38" s="4">
        <v>478</v>
      </c>
      <c r="J38" s="4">
        <v>931</v>
      </c>
      <c r="K38" s="4">
        <v>533</v>
      </c>
      <c r="L38" s="46">
        <v>578</v>
      </c>
      <c r="M38" s="46">
        <v>423</v>
      </c>
      <c r="N38" s="46">
        <v>954</v>
      </c>
      <c r="O38" s="46">
        <v>655</v>
      </c>
      <c r="P38" s="46">
        <v>684</v>
      </c>
      <c r="Q38" s="46">
        <v>455</v>
      </c>
      <c r="R38" s="46">
        <v>917</v>
      </c>
      <c r="S38" s="46">
        <v>351</v>
      </c>
      <c r="T38" s="46">
        <v>681</v>
      </c>
      <c r="U38" s="46">
        <v>581</v>
      </c>
      <c r="V38" s="46">
        <v>1042</v>
      </c>
      <c r="W38" s="46">
        <v>589</v>
      </c>
      <c r="X38" s="10">
        <v>-1.2463647694225251E-3</v>
      </c>
      <c r="Y38" s="8">
        <v>5.241264559068215E-2</v>
      </c>
      <c r="Z38" s="8">
        <v>4.9407114624505873E-2</v>
      </c>
      <c r="AA38" s="8">
        <v>8.9642184557438886E-2</v>
      </c>
    </row>
    <row r="39" spans="2:27" x14ac:dyDescent="0.3">
      <c r="B39" s="12" t="s">
        <v>177</v>
      </c>
      <c r="C39" s="3" t="s">
        <v>642</v>
      </c>
      <c r="D39" s="3" t="s">
        <v>668</v>
      </c>
      <c r="E39" s="3" t="s">
        <v>648</v>
      </c>
      <c r="F39" s="5">
        <v>8.8000000000000007</v>
      </c>
      <c r="G39" s="4">
        <v>155</v>
      </c>
      <c r="H39" s="4">
        <v>202</v>
      </c>
      <c r="I39" s="4">
        <v>231</v>
      </c>
      <c r="J39" s="4">
        <v>189</v>
      </c>
      <c r="K39" s="4">
        <v>171</v>
      </c>
      <c r="L39" s="46">
        <v>166</v>
      </c>
      <c r="M39" s="46">
        <v>189</v>
      </c>
      <c r="N39" s="46">
        <v>200</v>
      </c>
      <c r="O39" s="46">
        <v>217</v>
      </c>
      <c r="P39" s="46">
        <v>186</v>
      </c>
      <c r="Q39" s="46">
        <v>224</v>
      </c>
      <c r="R39" s="46">
        <v>114</v>
      </c>
      <c r="S39" s="46">
        <v>141</v>
      </c>
      <c r="T39" s="46">
        <v>196</v>
      </c>
      <c r="U39" s="46">
        <v>202</v>
      </c>
      <c r="V39" s="45">
        <v>197</v>
      </c>
      <c r="W39" s="46">
        <v>206</v>
      </c>
      <c r="X39" s="10">
        <v>1.503759398496252E-2</v>
      </c>
      <c r="Y39" s="8">
        <v>-3.2592592592592617E-2</v>
      </c>
      <c r="Z39" s="9">
        <v>0.1271056661562022</v>
      </c>
      <c r="AA39" s="8">
        <v>8.8315217391304435E-2</v>
      </c>
    </row>
    <row r="40" spans="2:27" x14ac:dyDescent="0.3">
      <c r="B40" s="12" t="s">
        <v>137</v>
      </c>
      <c r="C40" s="3" t="s">
        <v>642</v>
      </c>
      <c r="D40" s="3" t="s">
        <v>663</v>
      </c>
      <c r="E40" s="3" t="s">
        <v>644</v>
      </c>
      <c r="F40" s="5">
        <v>8.6999999999999993</v>
      </c>
      <c r="G40" s="4">
        <v>239</v>
      </c>
      <c r="H40" s="4">
        <v>169</v>
      </c>
      <c r="I40" s="4">
        <v>146</v>
      </c>
      <c r="J40" s="4">
        <v>166</v>
      </c>
      <c r="K40" s="4">
        <v>224</v>
      </c>
      <c r="L40" s="46">
        <v>179</v>
      </c>
      <c r="M40" s="46">
        <v>203</v>
      </c>
      <c r="N40" s="45">
        <v>254</v>
      </c>
      <c r="O40" s="45">
        <v>337</v>
      </c>
      <c r="P40" s="46">
        <v>219</v>
      </c>
      <c r="Q40" s="46">
        <v>225</v>
      </c>
      <c r="R40" s="46">
        <v>244</v>
      </c>
      <c r="S40" s="46">
        <v>241</v>
      </c>
      <c r="T40" s="46">
        <v>199</v>
      </c>
      <c r="U40" s="46">
        <v>261</v>
      </c>
      <c r="V40" s="46">
        <v>288</v>
      </c>
      <c r="W40" s="46">
        <v>327</v>
      </c>
      <c r="X40" s="10">
        <v>-2.1528525296017231E-2</v>
      </c>
      <c r="Y40" s="8">
        <v>3.9603960396039639E-2</v>
      </c>
      <c r="Z40" s="8">
        <v>4.6560846560846469E-2</v>
      </c>
      <c r="AA40" s="8">
        <v>8.6956521739130377E-2</v>
      </c>
    </row>
    <row r="41" spans="2:27" x14ac:dyDescent="0.3">
      <c r="B41" s="12" t="s">
        <v>58</v>
      </c>
      <c r="C41" s="3" t="s">
        <v>642</v>
      </c>
      <c r="D41" s="3" t="s">
        <v>673</v>
      </c>
      <c r="E41" s="3" t="s">
        <v>644</v>
      </c>
      <c r="F41" s="5">
        <v>8.4</v>
      </c>
      <c r="G41" s="4">
        <v>306.10000000000002</v>
      </c>
      <c r="H41" s="4">
        <v>214.3</v>
      </c>
      <c r="I41" s="4">
        <v>372.6</v>
      </c>
      <c r="J41" s="4">
        <v>438.5</v>
      </c>
      <c r="K41" s="4">
        <v>356.8</v>
      </c>
      <c r="L41" s="46">
        <v>325.5</v>
      </c>
      <c r="M41" s="46">
        <v>419.5</v>
      </c>
      <c r="N41" s="46">
        <v>508.8</v>
      </c>
      <c r="O41" s="46">
        <v>286</v>
      </c>
      <c r="P41" s="46">
        <v>337</v>
      </c>
      <c r="Q41" s="46">
        <v>368</v>
      </c>
      <c r="R41" s="46">
        <v>318</v>
      </c>
      <c r="S41" s="46">
        <v>246</v>
      </c>
      <c r="T41" s="46">
        <v>341</v>
      </c>
      <c r="U41" s="46">
        <v>378</v>
      </c>
      <c r="V41" s="45">
        <v>457</v>
      </c>
      <c r="W41" s="46">
        <v>366</v>
      </c>
      <c r="X41" s="10">
        <v>3.1520882584712422E-3</v>
      </c>
      <c r="Y41" s="8">
        <v>7.8554595443833808E-3</v>
      </c>
      <c r="Z41" s="9">
        <v>0.1083398285268902</v>
      </c>
      <c r="AA41" s="8">
        <v>8.4388185654008518E-2</v>
      </c>
    </row>
    <row r="42" spans="2:27" x14ac:dyDescent="0.3">
      <c r="B42" s="12" t="s">
        <v>193</v>
      </c>
      <c r="C42" s="3" t="s">
        <v>642</v>
      </c>
      <c r="D42" s="3" t="s">
        <v>649</v>
      </c>
      <c r="E42" s="3" t="s">
        <v>648</v>
      </c>
      <c r="F42" s="5">
        <v>8.3000000000000007</v>
      </c>
      <c r="G42" s="4">
        <v>106.31</v>
      </c>
      <c r="H42" s="4">
        <v>74.849999999999994</v>
      </c>
      <c r="I42" s="4">
        <v>91.09</v>
      </c>
      <c r="J42" s="4">
        <v>100.62</v>
      </c>
      <c r="K42" s="4">
        <v>127.47</v>
      </c>
      <c r="L42" s="46">
        <v>110.2</v>
      </c>
      <c r="M42" s="46">
        <v>90.08</v>
      </c>
      <c r="N42" s="45">
        <v>146.82</v>
      </c>
      <c r="O42" s="46">
        <v>163.74</v>
      </c>
      <c r="P42" s="45">
        <v>183.39</v>
      </c>
      <c r="Q42" s="45">
        <v>203.98</v>
      </c>
      <c r="R42" s="46">
        <v>201.66</v>
      </c>
      <c r="S42" s="46">
        <v>189.35</v>
      </c>
      <c r="T42" s="46">
        <v>196.96</v>
      </c>
      <c r="U42" s="46">
        <v>203.49</v>
      </c>
      <c r="V42" s="46">
        <v>145.6</v>
      </c>
      <c r="W42" s="46">
        <v>250.55</v>
      </c>
      <c r="X42" s="10">
        <v>1.7433644235463449E-2</v>
      </c>
      <c r="Y42" s="8">
        <v>-6.1872592966727424E-4</v>
      </c>
      <c r="Z42" s="8">
        <v>-7.0831122229803256E-2</v>
      </c>
      <c r="AA42" s="8">
        <v>8.3220016317650414E-2</v>
      </c>
    </row>
    <row r="43" spans="2:27" x14ac:dyDescent="0.3">
      <c r="B43" s="12" t="s">
        <v>132</v>
      </c>
      <c r="C43" s="3" t="s">
        <v>642</v>
      </c>
      <c r="D43" s="3" t="s">
        <v>656</v>
      </c>
      <c r="E43" s="3" t="s">
        <v>650</v>
      </c>
      <c r="F43" s="5">
        <v>7.6</v>
      </c>
      <c r="G43" s="4">
        <v>287.8</v>
      </c>
      <c r="H43" s="4">
        <v>37.6</v>
      </c>
      <c r="I43" s="4">
        <v>189.9</v>
      </c>
      <c r="J43" s="4">
        <v>211.4</v>
      </c>
      <c r="K43" s="4">
        <v>286.89999999999998</v>
      </c>
      <c r="L43" s="46">
        <v>57.6</v>
      </c>
      <c r="M43" s="46">
        <v>195</v>
      </c>
      <c r="N43" s="46">
        <v>171.7</v>
      </c>
      <c r="O43" s="46">
        <v>312.8</v>
      </c>
      <c r="P43" s="46">
        <v>120.9</v>
      </c>
      <c r="Q43" s="46">
        <v>210.8</v>
      </c>
      <c r="R43" s="46">
        <v>197.3</v>
      </c>
      <c r="S43" s="46">
        <v>387.2</v>
      </c>
      <c r="T43" s="46">
        <v>150.19999999999999</v>
      </c>
      <c r="U43" s="46">
        <v>279.39999999999998</v>
      </c>
      <c r="V43" s="46">
        <v>283</v>
      </c>
      <c r="W43" s="46">
        <v>471.3</v>
      </c>
      <c r="X43" s="10">
        <v>3.1979917048679203E-2</v>
      </c>
      <c r="Y43" s="8">
        <v>7.2554204124801513E-2</v>
      </c>
      <c r="Z43" s="8">
        <v>8.4508431121191219E-2</v>
      </c>
      <c r="AA43" s="8">
        <v>7.646844880887449E-2</v>
      </c>
    </row>
    <row r="44" spans="2:27" x14ac:dyDescent="0.3">
      <c r="B44" s="12" t="s">
        <v>218</v>
      </c>
      <c r="C44" s="3" t="s">
        <v>642</v>
      </c>
      <c r="D44" s="3" t="s">
        <v>659</v>
      </c>
      <c r="E44" s="3" t="s">
        <v>646</v>
      </c>
      <c r="F44" s="5">
        <v>7.4</v>
      </c>
      <c r="G44" s="4">
        <v>8.17</v>
      </c>
      <c r="H44" s="4">
        <v>47.42</v>
      </c>
      <c r="I44" s="4">
        <v>18.850000000000001</v>
      </c>
      <c r="J44" s="4">
        <v>7.11</v>
      </c>
      <c r="K44" s="6">
        <v>18.21</v>
      </c>
      <c r="L44" s="45">
        <v>80.38</v>
      </c>
      <c r="M44" s="45">
        <v>49.35</v>
      </c>
      <c r="N44" s="45">
        <v>41.19</v>
      </c>
      <c r="O44" s="45">
        <v>49.71</v>
      </c>
      <c r="P44" s="45">
        <v>106.29</v>
      </c>
      <c r="Q44" s="46">
        <v>59.08</v>
      </c>
      <c r="R44" s="46">
        <v>64.069999999999993</v>
      </c>
      <c r="S44" s="46">
        <v>46.84</v>
      </c>
      <c r="T44" s="46">
        <v>127.67</v>
      </c>
      <c r="U44" s="46">
        <v>66.81</v>
      </c>
      <c r="V44" s="46">
        <v>74.69</v>
      </c>
      <c r="W44" s="46">
        <v>70.38</v>
      </c>
      <c r="X44" s="10">
        <v>7.7385261329086408E-2</v>
      </c>
      <c r="Y44" s="8">
        <v>2.596922663441514E-2</v>
      </c>
      <c r="Z44" s="8">
        <v>3.4775205474966382E-2</v>
      </c>
      <c r="AA44" s="8">
        <v>7.4491313566026562E-2</v>
      </c>
    </row>
    <row r="45" spans="2:27" x14ac:dyDescent="0.3">
      <c r="B45" s="12" t="s">
        <v>277</v>
      </c>
      <c r="C45" s="3" t="s">
        <v>642</v>
      </c>
      <c r="D45" s="3" t="s">
        <v>661</v>
      </c>
      <c r="E45" s="3" t="s">
        <v>648</v>
      </c>
      <c r="F45" s="5">
        <v>7.3</v>
      </c>
      <c r="G45" s="4">
        <v>494.36</v>
      </c>
      <c r="H45" s="4">
        <v>514.39</v>
      </c>
      <c r="I45" s="4">
        <v>534.49</v>
      </c>
      <c r="J45" s="4">
        <v>504</v>
      </c>
      <c r="K45" s="4">
        <v>521.20000000000005</v>
      </c>
      <c r="L45" s="46">
        <v>422.44</v>
      </c>
      <c r="M45" s="46">
        <v>398.65</v>
      </c>
      <c r="N45" s="46">
        <v>278.56</v>
      </c>
      <c r="O45" s="46">
        <v>362.9</v>
      </c>
      <c r="P45" s="46">
        <v>187.94</v>
      </c>
      <c r="Q45" s="46">
        <v>247.81</v>
      </c>
      <c r="R45" s="46">
        <v>207.21</v>
      </c>
      <c r="S45" s="46">
        <v>271.73</v>
      </c>
      <c r="T45" s="46">
        <v>169.17</v>
      </c>
      <c r="U45" s="46">
        <v>208.71</v>
      </c>
      <c r="V45" s="46">
        <v>211.97</v>
      </c>
      <c r="W45" s="46">
        <v>334.99</v>
      </c>
      <c r="X45" s="10">
        <v>-2.0520613541199721E-2</v>
      </c>
      <c r="Y45" s="8">
        <v>-4.3642289490133053E-2</v>
      </c>
      <c r="Z45" s="8">
        <v>5.5554258770804674E-3</v>
      </c>
      <c r="AA45" s="8">
        <v>7.3423245664941073E-2</v>
      </c>
    </row>
    <row r="46" spans="2:27" x14ac:dyDescent="0.3">
      <c r="B46" s="12" t="s">
        <v>12</v>
      </c>
      <c r="C46" s="3" t="s">
        <v>642</v>
      </c>
      <c r="D46" s="3" t="s">
        <v>700</v>
      </c>
      <c r="E46" s="3" t="s">
        <v>648</v>
      </c>
      <c r="F46" s="5">
        <v>7.3</v>
      </c>
      <c r="G46" s="4">
        <v>12051</v>
      </c>
      <c r="H46" s="4">
        <v>13433</v>
      </c>
      <c r="I46" s="4">
        <v>17876</v>
      </c>
      <c r="J46" s="4">
        <v>9616</v>
      </c>
      <c r="K46" s="6">
        <v>23479</v>
      </c>
      <c r="L46" s="46">
        <v>14045</v>
      </c>
      <c r="M46" s="46">
        <v>7282</v>
      </c>
      <c r="N46" s="46">
        <v>10957</v>
      </c>
      <c r="O46" s="46">
        <v>2344</v>
      </c>
      <c r="P46" s="46">
        <v>10211</v>
      </c>
      <c r="Q46" s="46">
        <v>9959</v>
      </c>
      <c r="R46" s="46">
        <v>7410</v>
      </c>
      <c r="S46" s="45">
        <v>5873</v>
      </c>
      <c r="T46" s="46">
        <v>9471</v>
      </c>
      <c r="U46" s="46">
        <v>7219</v>
      </c>
      <c r="V46" s="46">
        <v>7733</v>
      </c>
      <c r="W46" s="46">
        <v>8091</v>
      </c>
      <c r="X46" s="10">
        <v>-2.2120587092338551E-2</v>
      </c>
      <c r="Y46" s="8">
        <v>-8.3758750343900013E-2</v>
      </c>
      <c r="Z46" s="8">
        <v>1.0776365395522619E-2</v>
      </c>
      <c r="AA46" s="8">
        <v>7.3210984948508084E-2</v>
      </c>
    </row>
    <row r="47" spans="2:27" x14ac:dyDescent="0.3">
      <c r="B47" s="12" t="s">
        <v>261</v>
      </c>
      <c r="C47" s="3" t="s">
        <v>642</v>
      </c>
      <c r="D47" s="3" t="s">
        <v>655</v>
      </c>
      <c r="E47" s="3" t="s">
        <v>648</v>
      </c>
      <c r="F47" s="5">
        <v>7</v>
      </c>
      <c r="G47" s="4">
        <v>42.66</v>
      </c>
      <c r="H47" s="4">
        <v>55.49</v>
      </c>
      <c r="I47" s="4">
        <v>57.37</v>
      </c>
      <c r="J47" s="4">
        <v>74.819999999999993</v>
      </c>
      <c r="K47" s="6">
        <v>96.23</v>
      </c>
      <c r="L47" s="46">
        <v>82.87</v>
      </c>
      <c r="M47" s="46">
        <v>80.7</v>
      </c>
      <c r="N47" s="46">
        <v>104.7</v>
      </c>
      <c r="O47" s="45">
        <v>135.31</v>
      </c>
      <c r="P47" s="46">
        <v>104.66</v>
      </c>
      <c r="Q47" s="46">
        <v>93.88</v>
      </c>
      <c r="R47" s="46">
        <v>111.51</v>
      </c>
      <c r="S47" s="46">
        <v>135.59</v>
      </c>
      <c r="T47" s="46">
        <v>135.59</v>
      </c>
      <c r="U47" s="46">
        <v>105.2</v>
      </c>
      <c r="V47" s="46">
        <v>149.30000000000001</v>
      </c>
      <c r="W47" s="46">
        <v>172.14</v>
      </c>
      <c r="X47" s="10">
        <v>6.9405798402297769E-2</v>
      </c>
      <c r="Y47" s="8">
        <v>2.3753068804163169E-2</v>
      </c>
      <c r="Z47" s="8">
        <v>7.7455983930804218E-2</v>
      </c>
      <c r="AA47" s="8">
        <v>6.9528991021153397E-2</v>
      </c>
    </row>
    <row r="48" spans="2:27" x14ac:dyDescent="0.3">
      <c r="B48" s="12" t="s">
        <v>233</v>
      </c>
      <c r="C48" s="3" t="s">
        <v>642</v>
      </c>
      <c r="D48" s="3" t="s">
        <v>655</v>
      </c>
      <c r="E48" s="3" t="s">
        <v>648</v>
      </c>
      <c r="F48" s="5">
        <v>6.7</v>
      </c>
      <c r="G48" s="4">
        <v>384</v>
      </c>
      <c r="H48" s="4">
        <v>399</v>
      </c>
      <c r="I48" s="4">
        <v>306</v>
      </c>
      <c r="J48" s="4">
        <v>244</v>
      </c>
      <c r="K48" s="4">
        <v>233</v>
      </c>
      <c r="L48" s="46">
        <v>235</v>
      </c>
      <c r="M48" s="46">
        <v>138</v>
      </c>
      <c r="N48" s="46">
        <v>246</v>
      </c>
      <c r="O48" s="46">
        <v>222</v>
      </c>
      <c r="P48" s="46">
        <v>206</v>
      </c>
      <c r="Q48" s="46">
        <v>104</v>
      </c>
      <c r="R48" s="46">
        <v>208</v>
      </c>
      <c r="S48" s="46">
        <v>183</v>
      </c>
      <c r="T48" s="45">
        <v>280</v>
      </c>
      <c r="U48" s="45">
        <v>235</v>
      </c>
      <c r="V48" s="45">
        <v>302</v>
      </c>
      <c r="W48" s="46">
        <v>250</v>
      </c>
      <c r="X48" s="7">
        <v>0.10556348074179731</v>
      </c>
      <c r="Y48" s="9">
        <v>0.16903225806451599</v>
      </c>
      <c r="Z48" s="9">
        <v>0.1037527593818985</v>
      </c>
      <c r="AA48" s="8">
        <v>6.6999999999999948E-2</v>
      </c>
    </row>
    <row r="49" spans="2:27" x14ac:dyDescent="0.3">
      <c r="B49" s="12" t="s">
        <v>42</v>
      </c>
      <c r="C49" s="3" t="s">
        <v>642</v>
      </c>
      <c r="D49" s="3" t="s">
        <v>667</v>
      </c>
      <c r="E49" s="3" t="s">
        <v>648</v>
      </c>
      <c r="F49" s="5">
        <v>6.7</v>
      </c>
      <c r="G49" s="4">
        <v>90.5</v>
      </c>
      <c r="H49" s="4">
        <v>214.16</v>
      </c>
      <c r="I49" s="4">
        <v>149.87</v>
      </c>
      <c r="J49" s="4">
        <v>170.99</v>
      </c>
      <c r="K49" s="4">
        <v>113.22</v>
      </c>
      <c r="L49" s="46">
        <v>204.5</v>
      </c>
      <c r="M49" s="46">
        <v>177.68</v>
      </c>
      <c r="N49" s="46">
        <v>165.9</v>
      </c>
      <c r="O49" s="46">
        <v>149.68</v>
      </c>
      <c r="P49" s="46">
        <v>165.2</v>
      </c>
      <c r="Q49" s="46">
        <v>162.82</v>
      </c>
      <c r="R49" s="46">
        <v>165.99</v>
      </c>
      <c r="S49" s="46">
        <v>142.80000000000001</v>
      </c>
      <c r="T49" s="46">
        <v>228.01</v>
      </c>
      <c r="U49" s="46">
        <v>222.18</v>
      </c>
      <c r="V49" s="46">
        <v>208.04</v>
      </c>
      <c r="W49" s="46">
        <v>196.11</v>
      </c>
      <c r="X49" s="10">
        <v>9.8632245096653692E-2</v>
      </c>
      <c r="Y49" s="8">
        <v>8.4846059289328535E-2</v>
      </c>
      <c r="Z49" s="8">
        <v>5.5403304434899381E-2</v>
      </c>
      <c r="AA49" s="8">
        <v>6.655181453878134E-2</v>
      </c>
    </row>
    <row r="50" spans="2:27" x14ac:dyDescent="0.3">
      <c r="B50" s="12" t="s">
        <v>610</v>
      </c>
      <c r="C50" s="3" t="s">
        <v>642</v>
      </c>
      <c r="D50" s="3" t="s">
        <v>666</v>
      </c>
      <c r="E50" s="3" t="s">
        <v>646</v>
      </c>
      <c r="F50" s="5">
        <v>6.3</v>
      </c>
      <c r="G50" s="4">
        <v>7.93</v>
      </c>
      <c r="H50" s="4">
        <v>9.27</v>
      </c>
      <c r="I50" s="4">
        <v>0.51</v>
      </c>
      <c r="J50" s="4">
        <v>7.67</v>
      </c>
      <c r="K50" s="6">
        <v>11.45</v>
      </c>
      <c r="L50" s="45">
        <v>13.05</v>
      </c>
      <c r="M50" s="45">
        <v>8.31</v>
      </c>
      <c r="N50" s="46">
        <v>8.33</v>
      </c>
      <c r="O50" s="46">
        <v>6.95</v>
      </c>
      <c r="P50" s="46">
        <v>12.54</v>
      </c>
      <c r="Q50" s="45">
        <v>14.81</v>
      </c>
      <c r="R50" s="46">
        <v>9.09</v>
      </c>
      <c r="S50" s="45">
        <v>11.93</v>
      </c>
      <c r="T50" s="46">
        <v>13.33</v>
      </c>
      <c r="U50" s="46">
        <v>14.26</v>
      </c>
      <c r="V50" s="46">
        <v>13.7</v>
      </c>
      <c r="W50" s="46">
        <v>15.29</v>
      </c>
      <c r="X50" s="10">
        <v>1.633243746123636E-2</v>
      </c>
      <c r="Y50" s="8">
        <v>-1.118795768917813E-2</v>
      </c>
      <c r="Z50" s="8">
        <v>9.4836453404649301E-2</v>
      </c>
      <c r="AA50" s="8">
        <v>6.3134160090191571E-2</v>
      </c>
    </row>
    <row r="51" spans="2:27" x14ac:dyDescent="0.3">
      <c r="B51" s="12" t="s">
        <v>347</v>
      </c>
      <c r="C51" s="3" t="s">
        <v>642</v>
      </c>
      <c r="D51" s="3" t="s">
        <v>670</v>
      </c>
      <c r="E51" s="3" t="s">
        <v>648</v>
      </c>
      <c r="F51" s="5">
        <v>6.1</v>
      </c>
      <c r="G51" s="4">
        <v>0</v>
      </c>
      <c r="H51" s="4">
        <v>95.2</v>
      </c>
      <c r="I51" s="4">
        <v>80</v>
      </c>
      <c r="J51" s="4">
        <v>84.1</v>
      </c>
      <c r="K51" s="6">
        <v>129.30000000000001</v>
      </c>
      <c r="L51" s="46">
        <v>76.400000000000006</v>
      </c>
      <c r="M51" s="46">
        <v>92.5</v>
      </c>
      <c r="N51" s="46">
        <v>90.1</v>
      </c>
      <c r="O51" s="46">
        <v>68.400000000000006</v>
      </c>
      <c r="P51" s="46">
        <v>55</v>
      </c>
      <c r="Q51" s="46">
        <v>6.3</v>
      </c>
      <c r="R51" s="46">
        <v>22.5</v>
      </c>
      <c r="S51" s="46">
        <v>59.6</v>
      </c>
      <c r="T51" s="46">
        <v>49.3</v>
      </c>
      <c r="U51" s="45">
        <v>50.8</v>
      </c>
      <c r="V51" s="45">
        <v>64.8</v>
      </c>
      <c r="W51" s="46">
        <v>73.3</v>
      </c>
      <c r="X51" s="10">
        <v>-3.9748953974895529E-2</v>
      </c>
      <c r="Y51" s="9">
        <v>0.32316630355846038</v>
      </c>
      <c r="Z51" s="9">
        <v>0.23216245883644351</v>
      </c>
      <c r="AA51" s="8">
        <v>6.1024498886414147E-2</v>
      </c>
    </row>
    <row r="52" spans="2:27" x14ac:dyDescent="0.3">
      <c r="B52" s="12" t="s">
        <v>527</v>
      </c>
      <c r="C52" s="3" t="s">
        <v>642</v>
      </c>
      <c r="D52" s="3" t="s">
        <v>671</v>
      </c>
      <c r="E52" s="3" t="s">
        <v>644</v>
      </c>
      <c r="F52" s="5">
        <v>6</v>
      </c>
      <c r="G52" s="4">
        <v>4.79</v>
      </c>
      <c r="H52" s="4">
        <v>4.62</v>
      </c>
      <c r="I52" s="4">
        <v>7.33</v>
      </c>
      <c r="J52" s="4">
        <v>7.32</v>
      </c>
      <c r="K52" s="4">
        <v>4.91</v>
      </c>
      <c r="L52" s="46">
        <v>5.25</v>
      </c>
      <c r="M52" s="46">
        <v>8.27</v>
      </c>
      <c r="N52" s="46">
        <v>7.06</v>
      </c>
      <c r="O52" s="46">
        <v>2.1</v>
      </c>
      <c r="P52" s="46">
        <v>6.72</v>
      </c>
      <c r="Q52" s="46">
        <v>8.8800000000000008</v>
      </c>
      <c r="R52" s="46">
        <v>7.77</v>
      </c>
      <c r="S52" s="45">
        <v>7.16</v>
      </c>
      <c r="T52" s="46">
        <v>7.07</v>
      </c>
      <c r="U52" s="46">
        <v>10.79</v>
      </c>
      <c r="V52" s="46">
        <v>10.85</v>
      </c>
      <c r="W52" s="46">
        <v>9.32</v>
      </c>
      <c r="X52" s="10">
        <v>1.146413363904353E-2</v>
      </c>
      <c r="Y52" s="8">
        <v>6.1852331606217392E-2</v>
      </c>
      <c r="Z52" s="8">
        <v>9.3931076547727921E-2</v>
      </c>
      <c r="AA52" s="8">
        <v>6.0217451909673869E-2</v>
      </c>
    </row>
    <row r="53" spans="2:27" x14ac:dyDescent="0.3">
      <c r="B53" s="12" t="s">
        <v>300</v>
      </c>
      <c r="C53" s="3" t="s">
        <v>642</v>
      </c>
      <c r="D53" s="3" t="s">
        <v>672</v>
      </c>
      <c r="E53" s="3" t="s">
        <v>648</v>
      </c>
      <c r="F53" s="5">
        <v>5.6</v>
      </c>
      <c r="G53" s="4">
        <v>44.82</v>
      </c>
      <c r="H53" s="4">
        <v>43.85</v>
      </c>
      <c r="I53" s="4">
        <v>46.75</v>
      </c>
      <c r="J53" s="4">
        <v>43.16</v>
      </c>
      <c r="K53" s="4">
        <v>47.36</v>
      </c>
      <c r="L53" s="46">
        <v>47.77</v>
      </c>
      <c r="M53" s="46">
        <v>49.53</v>
      </c>
      <c r="N53" s="46">
        <v>46.62</v>
      </c>
      <c r="O53" s="46">
        <v>46.99</v>
      </c>
      <c r="P53" s="46">
        <v>42.93</v>
      </c>
      <c r="Q53" s="46">
        <v>38.31</v>
      </c>
      <c r="R53" s="46">
        <v>42.46</v>
      </c>
      <c r="S53" s="46">
        <v>50.16</v>
      </c>
      <c r="T53" s="46">
        <v>58.29</v>
      </c>
      <c r="U53" s="46">
        <v>53.62</v>
      </c>
      <c r="V53" s="46">
        <v>50.72</v>
      </c>
      <c r="W53" s="46">
        <v>62.15</v>
      </c>
      <c r="X53" s="10">
        <v>8.8346945818474465E-2</v>
      </c>
      <c r="Y53" s="8">
        <v>8.0911108762287354E-2</v>
      </c>
      <c r="Z53" s="8">
        <v>4.0385273554001788E-2</v>
      </c>
      <c r="AA53" s="8">
        <v>5.634663283049024E-2</v>
      </c>
    </row>
    <row r="54" spans="2:27" x14ac:dyDescent="0.3">
      <c r="B54" s="12" t="s">
        <v>48</v>
      </c>
      <c r="C54" s="3" t="s">
        <v>642</v>
      </c>
      <c r="D54" s="3" t="s">
        <v>658</v>
      </c>
      <c r="E54" s="3" t="s">
        <v>648</v>
      </c>
      <c r="F54" s="5">
        <v>5.4</v>
      </c>
      <c r="G54" s="4">
        <v>78.150000000000006</v>
      </c>
      <c r="H54" s="4">
        <v>96.13</v>
      </c>
      <c r="I54" s="4">
        <v>141.88999999999999</v>
      </c>
      <c r="J54" s="4">
        <v>151.87</v>
      </c>
      <c r="K54" s="6">
        <v>136.88999999999999</v>
      </c>
      <c r="L54" s="46">
        <v>124.28</v>
      </c>
      <c r="M54" s="46">
        <v>112.33</v>
      </c>
      <c r="N54" s="46">
        <v>135.57</v>
      </c>
      <c r="O54" s="46">
        <v>109.57</v>
      </c>
      <c r="P54" s="46">
        <v>95.49</v>
      </c>
      <c r="Q54" s="46">
        <v>116.54</v>
      </c>
      <c r="R54" s="46">
        <v>164.03</v>
      </c>
      <c r="S54" s="45">
        <v>162.91</v>
      </c>
      <c r="T54" s="45">
        <v>168.76</v>
      </c>
      <c r="U54" s="46">
        <v>164.76</v>
      </c>
      <c r="V54" s="46">
        <v>195.18</v>
      </c>
      <c r="W54" s="46">
        <v>199.94</v>
      </c>
      <c r="X54" s="7">
        <v>0.13594448670612461</v>
      </c>
      <c r="Y54" s="8">
        <v>7.8759963413040701E-2</v>
      </c>
      <c r="Z54" s="8">
        <v>4.7164097750052918E-2</v>
      </c>
      <c r="AA54" s="8">
        <v>5.3541735949451219E-2</v>
      </c>
    </row>
    <row r="55" spans="2:27" x14ac:dyDescent="0.3">
      <c r="B55" s="12" t="s">
        <v>569</v>
      </c>
      <c r="C55" s="3" t="s">
        <v>642</v>
      </c>
      <c r="D55" s="3" t="s">
        <v>670</v>
      </c>
      <c r="E55" s="3" t="s">
        <v>644</v>
      </c>
      <c r="F55" s="5">
        <v>5.3</v>
      </c>
      <c r="G55" s="4">
        <v>125</v>
      </c>
      <c r="H55" s="4">
        <v>106.3</v>
      </c>
      <c r="I55" s="4">
        <v>104.8</v>
      </c>
      <c r="J55" s="4">
        <v>32.4</v>
      </c>
      <c r="K55" s="4">
        <v>98.7</v>
      </c>
      <c r="L55" s="46">
        <v>81.2</v>
      </c>
      <c r="M55" s="46">
        <v>78.3</v>
      </c>
      <c r="N55" s="45">
        <v>62.5</v>
      </c>
      <c r="O55" s="46">
        <v>73.8</v>
      </c>
      <c r="P55" s="46">
        <v>72.8</v>
      </c>
      <c r="Q55" s="46">
        <v>78.900000000000006</v>
      </c>
      <c r="R55" s="46">
        <v>60.5</v>
      </c>
      <c r="S55" s="46">
        <v>66.5</v>
      </c>
      <c r="T55" s="46">
        <v>78.599999999999994</v>
      </c>
      <c r="U55" s="46">
        <v>104.7</v>
      </c>
      <c r="V55" s="46">
        <v>65.599999999999994</v>
      </c>
      <c r="W55" s="46">
        <v>83.3</v>
      </c>
      <c r="X55" s="10">
        <v>2.081090778615002E-2</v>
      </c>
      <c r="Y55" s="8">
        <v>9.0685413005272553E-2</v>
      </c>
      <c r="Z55" s="8">
        <v>1.6435707379954811E-2</v>
      </c>
      <c r="AA55" s="8">
        <v>5.3265694356372961E-2</v>
      </c>
    </row>
    <row r="56" spans="2:27" x14ac:dyDescent="0.3">
      <c r="B56" s="12" t="s">
        <v>413</v>
      </c>
      <c r="C56" s="3" t="s">
        <v>642</v>
      </c>
      <c r="D56" s="3" t="s">
        <v>722</v>
      </c>
      <c r="E56" s="3" t="s">
        <v>717</v>
      </c>
      <c r="F56" s="5">
        <v>5.2</v>
      </c>
      <c r="G56" s="4">
        <v>59.87</v>
      </c>
      <c r="H56" s="4">
        <v>118.69</v>
      </c>
      <c r="I56" s="4">
        <v>110.32</v>
      </c>
      <c r="J56" s="4">
        <v>129.87</v>
      </c>
      <c r="K56" s="6">
        <v>109.15</v>
      </c>
      <c r="L56" s="46">
        <v>107.08</v>
      </c>
      <c r="M56" s="46">
        <v>74.23</v>
      </c>
      <c r="N56" s="46">
        <v>61.21</v>
      </c>
      <c r="O56" s="46">
        <v>41.79</v>
      </c>
      <c r="P56" s="46">
        <v>30.18</v>
      </c>
      <c r="Q56" s="46">
        <v>36.64</v>
      </c>
      <c r="R56" s="46">
        <v>39.119999999999997</v>
      </c>
      <c r="S56" s="46">
        <v>31.67</v>
      </c>
      <c r="T56" s="46">
        <v>34.39</v>
      </c>
      <c r="U56" s="46">
        <v>37.270000000000003</v>
      </c>
      <c r="V56" s="46">
        <v>34.479999999999997</v>
      </c>
      <c r="W56" s="46">
        <v>38.9</v>
      </c>
      <c r="X56" s="10">
        <v>3.0593706852699579E-2</v>
      </c>
      <c r="Y56" s="8">
        <v>4.4422507403751874E-3</v>
      </c>
      <c r="Z56" s="8">
        <v>-3.25728325728325E-2</v>
      </c>
      <c r="AA56" s="8">
        <v>5.2463536753501128E-2</v>
      </c>
    </row>
    <row r="57" spans="2:27" x14ac:dyDescent="0.3">
      <c r="B57" s="12" t="s">
        <v>172</v>
      </c>
      <c r="C57" s="3" t="s">
        <v>642</v>
      </c>
      <c r="D57" s="3" t="s">
        <v>680</v>
      </c>
      <c r="E57" s="3" t="s">
        <v>648</v>
      </c>
      <c r="F57" s="5">
        <v>5.0999999999999996</v>
      </c>
      <c r="G57" s="4">
        <v>151.1</v>
      </c>
      <c r="H57" s="4">
        <v>152.6</v>
      </c>
      <c r="I57" s="4">
        <v>149.5</v>
      </c>
      <c r="J57" s="4">
        <v>148.4</v>
      </c>
      <c r="K57" s="4">
        <v>179.7</v>
      </c>
      <c r="L57" s="46">
        <v>178.6</v>
      </c>
      <c r="M57" s="46">
        <v>183.9</v>
      </c>
      <c r="N57" s="46">
        <v>179.4</v>
      </c>
      <c r="O57" s="46">
        <v>189.9</v>
      </c>
      <c r="P57" s="46">
        <v>217.9</v>
      </c>
      <c r="Q57" s="46">
        <v>215.6</v>
      </c>
      <c r="R57" s="46">
        <v>209.1</v>
      </c>
      <c r="S57" s="46">
        <v>232.3</v>
      </c>
      <c r="T57" s="46">
        <v>267</v>
      </c>
      <c r="U57" s="46">
        <v>259.10000000000002</v>
      </c>
      <c r="V57" s="46">
        <v>243.6</v>
      </c>
      <c r="W57" s="46">
        <v>283.39999999999998</v>
      </c>
      <c r="X57" s="10">
        <v>5.6120699508515282E-2</v>
      </c>
      <c r="Y57" s="8">
        <v>4.7077922077922052E-2</v>
      </c>
      <c r="Z57" s="8">
        <v>3.5658914728682101E-2</v>
      </c>
      <c r="AA57" s="8">
        <v>5.0998003992015928E-2</v>
      </c>
    </row>
    <row r="58" spans="2:27" x14ac:dyDescent="0.3">
      <c r="B58" s="12" t="s">
        <v>24</v>
      </c>
      <c r="C58" s="3" t="s">
        <v>642</v>
      </c>
      <c r="D58" s="3" t="s">
        <v>698</v>
      </c>
      <c r="E58" s="3" t="s">
        <v>648</v>
      </c>
      <c r="F58" s="5">
        <v>5.0999999999999996</v>
      </c>
      <c r="G58" s="4">
        <v>2352</v>
      </c>
      <c r="H58" s="4">
        <v>2850</v>
      </c>
      <c r="I58" s="4">
        <v>2822</v>
      </c>
      <c r="J58" s="4">
        <v>2427</v>
      </c>
      <c r="K58" s="4">
        <v>1773</v>
      </c>
      <c r="L58" s="46">
        <v>2601</v>
      </c>
      <c r="M58" s="46">
        <v>1994</v>
      </c>
      <c r="N58" s="46">
        <v>2104</v>
      </c>
      <c r="O58" s="46">
        <v>1952</v>
      </c>
      <c r="P58" s="46">
        <v>2284</v>
      </c>
      <c r="Q58" s="46">
        <v>2598</v>
      </c>
      <c r="R58" s="46">
        <v>2197</v>
      </c>
      <c r="S58" s="46">
        <v>2797</v>
      </c>
      <c r="T58" s="45">
        <v>3536</v>
      </c>
      <c r="U58" s="45">
        <v>4132</v>
      </c>
      <c r="V58" s="45">
        <v>3858</v>
      </c>
      <c r="W58" s="46">
        <v>3524</v>
      </c>
      <c r="X58" s="7">
        <v>0.12677197245848529</v>
      </c>
      <c r="Y58" s="9">
        <v>0.13785046728971961</v>
      </c>
      <c r="Z58" s="9">
        <v>0.13117990838730059</v>
      </c>
      <c r="AA58" s="8">
        <v>5.0757522865321418E-2</v>
      </c>
    </row>
    <row r="59" spans="2:27" x14ac:dyDescent="0.3">
      <c r="B59" s="12" t="s">
        <v>32</v>
      </c>
      <c r="C59" s="3" t="s">
        <v>642</v>
      </c>
      <c r="D59" s="3" t="s">
        <v>687</v>
      </c>
      <c r="E59" s="3" t="s">
        <v>650</v>
      </c>
      <c r="F59" s="5">
        <v>5.0999999999999996</v>
      </c>
      <c r="G59" s="4">
        <v>665.59</v>
      </c>
      <c r="H59" s="4">
        <v>799.27</v>
      </c>
      <c r="I59" s="4">
        <v>746.16</v>
      </c>
      <c r="J59" s="4">
        <v>913.43</v>
      </c>
      <c r="K59" s="4">
        <v>735.55</v>
      </c>
      <c r="L59" s="46">
        <v>935.27</v>
      </c>
      <c r="M59" s="46">
        <v>740.86</v>
      </c>
      <c r="N59" s="46">
        <v>692.31</v>
      </c>
      <c r="O59" s="46">
        <v>433.47</v>
      </c>
      <c r="P59" s="46">
        <v>586.35</v>
      </c>
      <c r="Q59" s="46">
        <v>546.1</v>
      </c>
      <c r="R59" s="46">
        <v>549.96</v>
      </c>
      <c r="S59" s="46">
        <v>323.8</v>
      </c>
      <c r="T59" s="46">
        <v>520.91</v>
      </c>
      <c r="U59" s="46">
        <v>576.11</v>
      </c>
      <c r="V59" s="46">
        <v>595.42999999999995</v>
      </c>
      <c r="W59" s="46">
        <v>425.85</v>
      </c>
      <c r="X59" s="10">
        <v>-3.2618718877884152E-2</v>
      </c>
      <c r="Y59" s="8">
        <v>1.5462934814532311E-2</v>
      </c>
      <c r="Z59" s="8">
        <v>2.3072083134596522E-2</v>
      </c>
      <c r="AA59" s="8">
        <v>5.0613763174209632E-2</v>
      </c>
    </row>
    <row r="60" spans="2:27" x14ac:dyDescent="0.3">
      <c r="B60" s="12" t="s">
        <v>288</v>
      </c>
      <c r="C60" s="3" t="s">
        <v>642</v>
      </c>
      <c r="D60" s="3" t="s">
        <v>662</v>
      </c>
      <c r="E60" s="3" t="s">
        <v>644</v>
      </c>
      <c r="F60" s="5">
        <v>4.8</v>
      </c>
      <c r="G60" s="4">
        <v>15.6</v>
      </c>
      <c r="H60" s="4">
        <v>22.08</v>
      </c>
      <c r="I60" s="4">
        <v>30.73</v>
      </c>
      <c r="J60" s="4">
        <v>42.57</v>
      </c>
      <c r="K60" s="4">
        <v>20.96</v>
      </c>
      <c r="L60" s="46">
        <v>25.93</v>
      </c>
      <c r="M60" s="46">
        <v>38.97</v>
      </c>
      <c r="N60" s="46">
        <v>43.74</v>
      </c>
      <c r="O60" s="46">
        <v>22.33</v>
      </c>
      <c r="P60" s="46">
        <v>0</v>
      </c>
      <c r="Q60" s="46">
        <v>39.04</v>
      </c>
      <c r="R60" s="45">
        <v>57.56</v>
      </c>
      <c r="S60" s="46">
        <v>31.61</v>
      </c>
      <c r="T60" s="46">
        <v>0</v>
      </c>
      <c r="U60" s="46">
        <v>43.2</v>
      </c>
      <c r="V60" s="46">
        <v>65.52</v>
      </c>
      <c r="W60" s="46">
        <v>38.39</v>
      </c>
      <c r="X60" s="10">
        <v>0</v>
      </c>
      <c r="Y60" s="8">
        <v>3.2446767022853207E-2</v>
      </c>
      <c r="Z60" s="8">
        <v>6.0134471556999143E-2</v>
      </c>
      <c r="AA60" s="8">
        <v>4.831468680966311E-2</v>
      </c>
    </row>
    <row r="61" spans="2:27" x14ac:dyDescent="0.3">
      <c r="B61" s="12" t="s">
        <v>7</v>
      </c>
      <c r="C61" s="3" t="s">
        <v>642</v>
      </c>
      <c r="D61" s="3" t="s">
        <v>671</v>
      </c>
      <c r="E61" s="3" t="s">
        <v>648</v>
      </c>
      <c r="F61" s="5">
        <v>4.8</v>
      </c>
      <c r="G61" s="4">
        <v>3460</v>
      </c>
      <c r="H61" s="4">
        <v>3859</v>
      </c>
      <c r="I61" s="4">
        <v>3317</v>
      </c>
      <c r="J61" s="4">
        <v>2525</v>
      </c>
      <c r="K61" s="4">
        <v>3487</v>
      </c>
      <c r="L61" s="46">
        <v>4774</v>
      </c>
      <c r="M61" s="45">
        <v>7681</v>
      </c>
      <c r="N61" s="45">
        <v>11188</v>
      </c>
      <c r="O61" s="45">
        <v>13209</v>
      </c>
      <c r="P61" s="45">
        <v>15307</v>
      </c>
      <c r="Q61" s="45">
        <v>14672</v>
      </c>
      <c r="R61" s="45">
        <v>17411</v>
      </c>
      <c r="S61" s="45">
        <v>21203</v>
      </c>
      <c r="T61" s="46">
        <v>18405</v>
      </c>
      <c r="U61" s="46">
        <v>19171</v>
      </c>
      <c r="V61" s="46">
        <v>19922</v>
      </c>
      <c r="W61" s="46">
        <v>24977</v>
      </c>
      <c r="X61" s="10">
        <v>4.5164958523464582E-2</v>
      </c>
      <c r="Y61" s="8">
        <v>6.2755436526202635E-2</v>
      </c>
      <c r="Z61" s="8">
        <v>3.2957080981756093E-2</v>
      </c>
      <c r="AA61" s="8">
        <v>4.7953647348826678E-2</v>
      </c>
    </row>
    <row r="62" spans="2:27" x14ac:dyDescent="0.3">
      <c r="B62" s="12" t="s">
        <v>326</v>
      </c>
      <c r="C62" s="3" t="s">
        <v>642</v>
      </c>
      <c r="D62" s="3" t="s">
        <v>702</v>
      </c>
      <c r="E62" s="3" t="s">
        <v>648</v>
      </c>
      <c r="F62" s="5">
        <v>4.5999999999999996</v>
      </c>
      <c r="G62" s="4">
        <v>125.81</v>
      </c>
      <c r="H62" s="4">
        <v>108.88</v>
      </c>
      <c r="I62" s="4">
        <v>63.92</v>
      </c>
      <c r="J62" s="4">
        <v>62.41</v>
      </c>
      <c r="K62" s="4">
        <v>142.78</v>
      </c>
      <c r="L62" s="46">
        <v>119.88</v>
      </c>
      <c r="M62" s="46">
        <v>82.72</v>
      </c>
      <c r="N62" s="46">
        <v>86.04</v>
      </c>
      <c r="O62" s="46">
        <v>-58.88</v>
      </c>
      <c r="P62" s="46">
        <v>97.93</v>
      </c>
      <c r="Q62" s="46">
        <v>39.950000000000003</v>
      </c>
      <c r="R62" s="46">
        <v>35.909999999999997</v>
      </c>
      <c r="S62" s="45">
        <v>94.5</v>
      </c>
      <c r="T62" s="46">
        <v>114.06</v>
      </c>
      <c r="U62" s="46">
        <v>29.98</v>
      </c>
      <c r="V62" s="46">
        <v>40.19</v>
      </c>
      <c r="W62" s="46">
        <v>107.4</v>
      </c>
      <c r="X62" s="10">
        <v>6.0121510306012198E-2</v>
      </c>
      <c r="Y62" s="8">
        <v>-3.5053793685394963E-2</v>
      </c>
      <c r="Z62" s="8">
        <v>1.5594826015667749E-2</v>
      </c>
      <c r="AA62" s="8">
        <v>4.6281347540630742E-2</v>
      </c>
    </row>
    <row r="63" spans="2:27" x14ac:dyDescent="0.3">
      <c r="B63" s="12" t="s">
        <v>89</v>
      </c>
      <c r="C63" s="3" t="s">
        <v>642</v>
      </c>
      <c r="D63" s="3" t="s">
        <v>674</v>
      </c>
      <c r="E63" s="3" t="s">
        <v>648</v>
      </c>
      <c r="F63" s="5">
        <v>4.5999999999999996</v>
      </c>
      <c r="G63" s="4">
        <v>331.4</v>
      </c>
      <c r="H63" s="4">
        <v>765.1</v>
      </c>
      <c r="I63" s="4">
        <v>440.3</v>
      </c>
      <c r="J63" s="4">
        <v>435.7</v>
      </c>
      <c r="K63" s="4">
        <v>387.5</v>
      </c>
      <c r="L63" s="46">
        <v>693.2</v>
      </c>
      <c r="M63" s="46">
        <v>446.5</v>
      </c>
      <c r="N63" s="46">
        <v>494.8</v>
      </c>
      <c r="O63" s="46">
        <v>354.7</v>
      </c>
      <c r="P63" s="46">
        <v>828.1</v>
      </c>
      <c r="Q63" s="46">
        <v>378.7</v>
      </c>
      <c r="R63" s="46">
        <v>397.3</v>
      </c>
      <c r="S63" s="46">
        <v>477.1</v>
      </c>
      <c r="T63" s="46">
        <v>949.4</v>
      </c>
      <c r="U63" s="46">
        <v>430.1</v>
      </c>
      <c r="V63" s="46">
        <v>466.3</v>
      </c>
      <c r="W63" s="46">
        <v>582.9</v>
      </c>
      <c r="X63" s="10">
        <v>5.8283682490870792E-2</v>
      </c>
      <c r="Y63" s="8">
        <v>2.3337116912599321E-2</v>
      </c>
      <c r="Z63" s="8">
        <v>3.061360308798089E-2</v>
      </c>
      <c r="AA63" s="8">
        <v>4.5546515131946963E-2</v>
      </c>
    </row>
    <row r="64" spans="2:27" x14ac:dyDescent="0.3">
      <c r="B64" s="12" t="s">
        <v>156</v>
      </c>
      <c r="C64" s="3" t="s">
        <v>642</v>
      </c>
      <c r="D64" s="3" t="s">
        <v>669</v>
      </c>
      <c r="E64" s="3" t="s">
        <v>650</v>
      </c>
      <c r="F64" s="5">
        <v>4.5</v>
      </c>
      <c r="G64" s="4">
        <v>19.170000000000002</v>
      </c>
      <c r="H64" s="4">
        <v>71.05</v>
      </c>
      <c r="I64" s="4">
        <v>68.3</v>
      </c>
      <c r="J64" s="4">
        <v>76</v>
      </c>
      <c r="K64" s="6">
        <v>71.599999999999994</v>
      </c>
      <c r="L64" s="46">
        <v>86.3</v>
      </c>
      <c r="M64" s="46">
        <v>85</v>
      </c>
      <c r="N64" s="46">
        <v>88.1</v>
      </c>
      <c r="O64" s="46">
        <v>75.3</v>
      </c>
      <c r="P64" s="46">
        <v>96.8</v>
      </c>
      <c r="Q64" s="46">
        <v>97.5</v>
      </c>
      <c r="R64" s="46">
        <v>86.6</v>
      </c>
      <c r="S64" s="46">
        <v>85.6</v>
      </c>
      <c r="T64" s="46">
        <v>101.6</v>
      </c>
      <c r="U64" s="46">
        <v>104</v>
      </c>
      <c r="V64" s="46">
        <v>101.7</v>
      </c>
      <c r="W64" s="46">
        <v>103.2</v>
      </c>
      <c r="X64" s="10">
        <v>1.309686221009532E-2</v>
      </c>
      <c r="Y64" s="8">
        <v>1.750605978992725E-2</v>
      </c>
      <c r="Z64" s="8">
        <v>3.9968237162519848E-2</v>
      </c>
      <c r="AA64" s="8">
        <v>4.4795113260371673E-2</v>
      </c>
    </row>
    <row r="65" spans="2:27" x14ac:dyDescent="0.3">
      <c r="B65" s="12" t="s">
        <v>304</v>
      </c>
      <c r="C65" s="3" t="s">
        <v>642</v>
      </c>
      <c r="D65" s="3" t="s">
        <v>647</v>
      </c>
      <c r="E65" s="3" t="s">
        <v>648</v>
      </c>
      <c r="F65" s="5">
        <v>4.4000000000000004</v>
      </c>
      <c r="G65" s="4">
        <v>29.05</v>
      </c>
      <c r="H65" s="4">
        <v>33.54</v>
      </c>
      <c r="I65" s="4">
        <v>32.99</v>
      </c>
      <c r="J65" s="4">
        <v>33.35</v>
      </c>
      <c r="K65" s="4">
        <v>30.67</v>
      </c>
      <c r="L65" s="46">
        <v>35.18</v>
      </c>
      <c r="M65" s="46">
        <v>42.83</v>
      </c>
      <c r="N65" s="46">
        <v>43.6</v>
      </c>
      <c r="O65" s="46">
        <v>41.47</v>
      </c>
      <c r="P65" s="46">
        <v>44.76</v>
      </c>
      <c r="Q65" s="46">
        <v>48.07</v>
      </c>
      <c r="R65" s="46">
        <v>44.95</v>
      </c>
      <c r="S65" s="46">
        <v>49.41</v>
      </c>
      <c r="T65" s="46">
        <v>51.76</v>
      </c>
      <c r="U65" s="46">
        <v>51.41</v>
      </c>
      <c r="V65" s="46">
        <v>59.96</v>
      </c>
      <c r="W65" s="46">
        <v>58.84</v>
      </c>
      <c r="X65" s="10">
        <v>3.7395159997863033E-2</v>
      </c>
      <c r="Y65" s="8">
        <v>1.719964982748845E-2</v>
      </c>
      <c r="Z65" s="8">
        <v>7.5988457449501334E-2</v>
      </c>
      <c r="AA65" s="8">
        <v>4.4368118942316848E-2</v>
      </c>
    </row>
    <row r="66" spans="2:27" x14ac:dyDescent="0.3">
      <c r="B66" s="12" t="s">
        <v>486</v>
      </c>
      <c r="C66" s="3" t="s">
        <v>642</v>
      </c>
      <c r="D66" s="3" t="s">
        <v>702</v>
      </c>
      <c r="E66" s="3" t="s">
        <v>644</v>
      </c>
      <c r="F66" s="5">
        <v>4.3</v>
      </c>
      <c r="G66" s="4">
        <v>36.74</v>
      </c>
      <c r="H66" s="4">
        <v>191.44</v>
      </c>
      <c r="I66" s="4">
        <v>13.62</v>
      </c>
      <c r="J66" s="4">
        <v>-35.47</v>
      </c>
      <c r="K66" s="6">
        <v>61.62</v>
      </c>
      <c r="L66" s="46">
        <v>128.38999999999999</v>
      </c>
      <c r="M66" s="46">
        <v>14.53</v>
      </c>
      <c r="N66" s="45">
        <v>6.07</v>
      </c>
      <c r="O66" s="46">
        <v>48.05</v>
      </c>
      <c r="P66" s="46">
        <v>136.16999999999999</v>
      </c>
      <c r="Q66" s="46">
        <v>6.95</v>
      </c>
      <c r="R66" s="46">
        <v>-22.39</v>
      </c>
      <c r="S66" s="46">
        <v>58.84</v>
      </c>
      <c r="T66" s="45">
        <v>158.19</v>
      </c>
      <c r="U66" s="46">
        <v>4.92</v>
      </c>
      <c r="V66" s="46">
        <v>-16.55</v>
      </c>
      <c r="W66" s="46">
        <v>67.650000000000006</v>
      </c>
      <c r="X66" s="7">
        <v>0.1226262738764827</v>
      </c>
      <c r="Y66" s="8">
        <v>-1.0069943945632209E-2</v>
      </c>
      <c r="Z66" s="8">
        <v>2.926438163960721E-2</v>
      </c>
      <c r="AA66" s="8">
        <v>4.2891918208374007E-2</v>
      </c>
    </row>
    <row r="67" spans="2:27" x14ac:dyDescent="0.3">
      <c r="B67" s="12" t="s">
        <v>191</v>
      </c>
      <c r="C67" s="3" t="s">
        <v>642</v>
      </c>
      <c r="D67" s="3" t="s">
        <v>659</v>
      </c>
      <c r="E67" s="3" t="s">
        <v>648</v>
      </c>
      <c r="F67" s="5">
        <v>4.0999999999999996</v>
      </c>
      <c r="G67" s="4">
        <v>1558</v>
      </c>
      <c r="H67" s="4">
        <v>1557</v>
      </c>
      <c r="I67" s="4">
        <v>1285</v>
      </c>
      <c r="J67" s="4">
        <v>1651</v>
      </c>
      <c r="K67" s="4">
        <v>1889</v>
      </c>
      <c r="L67" s="46">
        <v>1154</v>
      </c>
      <c r="M67" s="46">
        <v>1453</v>
      </c>
      <c r="N67" s="46">
        <v>1763</v>
      </c>
      <c r="O67" s="46">
        <v>2136</v>
      </c>
      <c r="P67" s="46">
        <v>1534</v>
      </c>
      <c r="Q67" s="46">
        <v>1940</v>
      </c>
      <c r="R67" s="46">
        <v>2252</v>
      </c>
      <c r="S67" s="46">
        <v>2419</v>
      </c>
      <c r="T67" s="45">
        <v>2455</v>
      </c>
      <c r="U67" s="46">
        <v>2569</v>
      </c>
      <c r="V67" s="46">
        <v>2566</v>
      </c>
      <c r="W67" s="46">
        <v>2829</v>
      </c>
      <c r="X67" s="7">
        <v>0.1130755064456721</v>
      </c>
      <c r="Y67" s="8">
        <v>6.938010147804996E-2</v>
      </c>
      <c r="Z67" s="8">
        <v>3.2387828777720402E-2</v>
      </c>
      <c r="AA67" s="8">
        <v>4.096313318013789E-2</v>
      </c>
    </row>
    <row r="68" spans="2:27" x14ac:dyDescent="0.3">
      <c r="B68" s="12" t="s">
        <v>118</v>
      </c>
      <c r="C68" s="3" t="s">
        <v>642</v>
      </c>
      <c r="D68" s="3" t="s">
        <v>645</v>
      </c>
      <c r="E68" s="3" t="s">
        <v>648</v>
      </c>
      <c r="F68" s="5">
        <v>4.0999999999999996</v>
      </c>
      <c r="G68" s="4">
        <v>93.66</v>
      </c>
      <c r="H68" s="4">
        <v>112.86</v>
      </c>
      <c r="I68" s="4">
        <v>112.32</v>
      </c>
      <c r="J68" s="4">
        <v>104.85</v>
      </c>
      <c r="K68" s="4">
        <v>98.18</v>
      </c>
      <c r="L68" s="46">
        <v>122.12</v>
      </c>
      <c r="M68" s="46">
        <v>115.87</v>
      </c>
      <c r="N68" s="46">
        <v>125.67</v>
      </c>
      <c r="O68" s="45">
        <v>145.06</v>
      </c>
      <c r="P68" s="46">
        <v>165.96</v>
      </c>
      <c r="Q68" s="46">
        <v>162.25</v>
      </c>
      <c r="R68" s="46">
        <v>161.66999999999999</v>
      </c>
      <c r="S68" s="46">
        <v>187.97</v>
      </c>
      <c r="T68" s="46">
        <v>203.51</v>
      </c>
      <c r="U68" s="46">
        <v>199.42</v>
      </c>
      <c r="V68" s="46">
        <v>209.85</v>
      </c>
      <c r="W68" s="46">
        <v>220.61</v>
      </c>
      <c r="X68" s="10">
        <v>5.5395736519878953E-2</v>
      </c>
      <c r="Y68" s="8">
        <v>5.1956947162426603E-2</v>
      </c>
      <c r="Z68" s="8">
        <v>6.402062266633024E-2</v>
      </c>
      <c r="AA68" s="8">
        <v>4.0761785825788273E-2</v>
      </c>
    </row>
    <row r="69" spans="2:27" x14ac:dyDescent="0.3">
      <c r="B69" s="12" t="s">
        <v>296</v>
      </c>
      <c r="C69" s="3" t="s">
        <v>642</v>
      </c>
      <c r="D69" s="3" t="s">
        <v>691</v>
      </c>
      <c r="E69" s="3" t="s">
        <v>650</v>
      </c>
      <c r="F69" s="5">
        <v>4.0999999999999996</v>
      </c>
      <c r="G69" s="4">
        <v>-28.73</v>
      </c>
      <c r="H69" s="4">
        <v>-48.64</v>
      </c>
      <c r="I69" s="4">
        <v>-56.64</v>
      </c>
      <c r="J69" s="4">
        <v>14.19</v>
      </c>
      <c r="K69" s="4">
        <v>-21.61</v>
      </c>
      <c r="L69" s="46">
        <v>0</v>
      </c>
      <c r="M69" s="46">
        <v>-14.12</v>
      </c>
      <c r="N69" s="46">
        <v>79.73</v>
      </c>
      <c r="O69" s="46">
        <v>-43.92</v>
      </c>
      <c r="P69" s="46">
        <v>0</v>
      </c>
      <c r="Q69" s="45">
        <v>59.74</v>
      </c>
      <c r="R69" s="46">
        <v>9.8699999999999992</v>
      </c>
      <c r="S69" s="45">
        <v>21.25</v>
      </c>
      <c r="T69" s="45">
        <v>15.62</v>
      </c>
      <c r="U69" s="46">
        <v>46.67</v>
      </c>
      <c r="V69" s="45">
        <v>40.86</v>
      </c>
      <c r="W69" s="46">
        <v>26.3</v>
      </c>
      <c r="X69" s="7">
        <v>0.1719128329297821</v>
      </c>
      <c r="Y69" s="8">
        <v>-0.1227460555972953</v>
      </c>
      <c r="Z69" s="9">
        <v>0.33176319451878822</v>
      </c>
      <c r="AA69" s="8">
        <v>4.0594855305466027E-2</v>
      </c>
    </row>
    <row r="70" spans="2:27" x14ac:dyDescent="0.3">
      <c r="B70" s="12" t="s">
        <v>154</v>
      </c>
      <c r="C70" s="3" t="s">
        <v>642</v>
      </c>
      <c r="D70" s="3" t="s">
        <v>673</v>
      </c>
      <c r="E70" s="3" t="s">
        <v>648</v>
      </c>
      <c r="F70" s="5">
        <v>3.7</v>
      </c>
      <c r="G70" s="4">
        <v>105.4</v>
      </c>
      <c r="H70" s="4">
        <v>97.6</v>
      </c>
      <c r="I70" s="4">
        <v>100.2</v>
      </c>
      <c r="J70" s="4">
        <v>121.8</v>
      </c>
      <c r="K70" s="4">
        <v>131</v>
      </c>
      <c r="L70" s="46">
        <v>124.4</v>
      </c>
      <c r="M70" s="46">
        <v>141.9</v>
      </c>
      <c r="N70" s="46">
        <v>145</v>
      </c>
      <c r="O70" s="46">
        <v>0</v>
      </c>
      <c r="P70" s="46">
        <v>151.80000000000001</v>
      </c>
      <c r="Q70" s="46">
        <v>163.6</v>
      </c>
      <c r="R70" s="46">
        <v>161.6</v>
      </c>
      <c r="S70" s="45">
        <v>153.6</v>
      </c>
      <c r="T70" s="46">
        <v>157.4</v>
      </c>
      <c r="U70" s="46">
        <v>178.3</v>
      </c>
      <c r="V70" s="46">
        <v>183.6</v>
      </c>
      <c r="W70" s="46">
        <v>178.7</v>
      </c>
      <c r="X70" s="10">
        <v>8.8804313352364161E-3</v>
      </c>
      <c r="Y70" s="8">
        <v>2.310594152782142E-2</v>
      </c>
      <c r="Z70" s="8">
        <v>3.3799354739591392E-2</v>
      </c>
      <c r="AA70" s="8">
        <v>3.7301233467082813E-2</v>
      </c>
    </row>
    <row r="71" spans="2:27" x14ac:dyDescent="0.3">
      <c r="B71" s="12" t="s">
        <v>146</v>
      </c>
      <c r="C71" s="3" t="s">
        <v>642</v>
      </c>
      <c r="D71" s="3" t="s">
        <v>663</v>
      </c>
      <c r="E71" s="3" t="s">
        <v>646</v>
      </c>
      <c r="F71" s="5">
        <v>3.5</v>
      </c>
      <c r="G71" s="4">
        <v>422</v>
      </c>
      <c r="H71" s="4">
        <v>189</v>
      </c>
      <c r="I71" s="4">
        <v>135</v>
      </c>
      <c r="J71" s="4">
        <v>177</v>
      </c>
      <c r="K71" s="4">
        <v>235</v>
      </c>
      <c r="L71" s="46">
        <v>141</v>
      </c>
      <c r="M71" s="46">
        <v>154</v>
      </c>
      <c r="N71" s="46">
        <v>176</v>
      </c>
      <c r="O71" s="46">
        <v>292</v>
      </c>
      <c r="P71" s="46">
        <v>147</v>
      </c>
      <c r="Q71" s="46">
        <v>167</v>
      </c>
      <c r="R71" s="46">
        <v>215</v>
      </c>
      <c r="S71" s="46">
        <v>369</v>
      </c>
      <c r="T71" s="46">
        <v>180</v>
      </c>
      <c r="U71" s="46">
        <v>192</v>
      </c>
      <c r="V71" s="46">
        <v>224</v>
      </c>
      <c r="W71" s="46">
        <v>403</v>
      </c>
      <c r="X71" s="10">
        <v>3.674832962138086E-2</v>
      </c>
      <c r="Y71" s="8">
        <v>2.6852846401718589E-2</v>
      </c>
      <c r="Z71" s="8">
        <v>9.4142259414224938E-3</v>
      </c>
      <c r="AA71" s="8">
        <v>3.5233160621761739E-2</v>
      </c>
    </row>
    <row r="72" spans="2:27" x14ac:dyDescent="0.3">
      <c r="B72" s="12" t="s">
        <v>321</v>
      </c>
      <c r="C72" s="3" t="s">
        <v>642</v>
      </c>
      <c r="D72" s="3" t="s">
        <v>682</v>
      </c>
      <c r="E72" s="3" t="s">
        <v>648</v>
      </c>
      <c r="F72" s="5">
        <v>3.5</v>
      </c>
      <c r="G72" s="4">
        <v>22.79</v>
      </c>
      <c r="H72" s="4">
        <v>32.590000000000003</v>
      </c>
      <c r="I72" s="4">
        <v>31.05</v>
      </c>
      <c r="J72" s="4">
        <v>33.67</v>
      </c>
      <c r="K72" s="4">
        <v>33.380000000000003</v>
      </c>
      <c r="L72" s="46">
        <v>37.92</v>
      </c>
      <c r="M72" s="46">
        <v>37.71</v>
      </c>
      <c r="N72" s="46">
        <v>40.08</v>
      </c>
      <c r="O72" s="46">
        <v>38.49</v>
      </c>
      <c r="P72" s="46">
        <v>43.9</v>
      </c>
      <c r="Q72" s="46">
        <v>42.34</v>
      </c>
      <c r="R72" s="46">
        <v>38.99</v>
      </c>
      <c r="S72" s="46">
        <v>47.23</v>
      </c>
      <c r="T72" s="46">
        <v>49.94</v>
      </c>
      <c r="U72" s="46">
        <v>43.03</v>
      </c>
      <c r="V72" s="46">
        <v>51.89</v>
      </c>
      <c r="W72" s="46">
        <v>53.99</v>
      </c>
      <c r="X72" s="10">
        <v>3.5022613939464257E-2</v>
      </c>
      <c r="Y72" s="8">
        <v>3.8655462184873368E-3</v>
      </c>
      <c r="Z72" s="8">
        <v>7.1990624476812259E-2</v>
      </c>
      <c r="AA72" s="8">
        <v>3.5191837159664667E-2</v>
      </c>
    </row>
    <row r="73" spans="2:27" x14ac:dyDescent="0.3">
      <c r="B73" s="12" t="s">
        <v>28</v>
      </c>
      <c r="C73" s="3" t="s">
        <v>642</v>
      </c>
      <c r="D73" s="3" t="s">
        <v>683</v>
      </c>
      <c r="E73" s="3" t="s">
        <v>648</v>
      </c>
      <c r="F73" s="5">
        <v>3.1</v>
      </c>
      <c r="G73" s="4">
        <v>937</v>
      </c>
      <c r="H73" s="4">
        <v>1001</v>
      </c>
      <c r="I73" s="4">
        <v>922</v>
      </c>
      <c r="J73" s="4">
        <v>932</v>
      </c>
      <c r="K73" s="4">
        <v>874</v>
      </c>
      <c r="L73" s="46">
        <v>990</v>
      </c>
      <c r="M73" s="46">
        <v>980</v>
      </c>
      <c r="N73" s="46">
        <v>1000</v>
      </c>
      <c r="O73" s="46">
        <v>1002</v>
      </c>
      <c r="P73" s="46">
        <v>1099</v>
      </c>
      <c r="Q73" s="46">
        <v>1091</v>
      </c>
      <c r="R73" s="46">
        <v>1123</v>
      </c>
      <c r="S73" s="46">
        <v>1092</v>
      </c>
      <c r="T73" s="46">
        <v>1253</v>
      </c>
      <c r="U73" s="46">
        <v>1307</v>
      </c>
      <c r="V73" s="46">
        <v>1183</v>
      </c>
      <c r="W73" s="46">
        <v>1241</v>
      </c>
      <c r="X73" s="10">
        <v>3.4960272417707161E-2</v>
      </c>
      <c r="Y73" s="8">
        <v>4.7378811142794408E-2</v>
      </c>
      <c r="Z73" s="8">
        <v>1.256544502617807E-2</v>
      </c>
      <c r="AA73" s="8">
        <v>3.081695966907971E-2</v>
      </c>
    </row>
    <row r="74" spans="2:27" x14ac:dyDescent="0.3">
      <c r="B74" s="12" t="s">
        <v>432</v>
      </c>
      <c r="C74" s="3" t="s">
        <v>642</v>
      </c>
      <c r="D74" s="3" t="s">
        <v>688</v>
      </c>
      <c r="E74" s="3" t="s">
        <v>648</v>
      </c>
      <c r="F74" s="5">
        <v>2.6</v>
      </c>
      <c r="G74" s="4">
        <v>84.95</v>
      </c>
      <c r="H74" s="4">
        <v>64.349999999999994</v>
      </c>
      <c r="I74" s="4">
        <v>55.52</v>
      </c>
      <c r="J74" s="4">
        <v>56.16</v>
      </c>
      <c r="K74" s="4">
        <v>70.58</v>
      </c>
      <c r="L74" s="46">
        <v>36.549999999999997</v>
      </c>
      <c r="M74" s="46">
        <v>36.85</v>
      </c>
      <c r="N74" s="46">
        <v>30.36</v>
      </c>
      <c r="O74" s="46">
        <v>32.049999999999997</v>
      </c>
      <c r="P74" s="46">
        <v>12.52</v>
      </c>
      <c r="Q74" s="46">
        <v>18.02</v>
      </c>
      <c r="R74" s="46">
        <v>15.1</v>
      </c>
      <c r="S74" s="46">
        <v>6.98</v>
      </c>
      <c r="T74" s="46">
        <v>-7.18</v>
      </c>
      <c r="U74" s="45">
        <v>53.8</v>
      </c>
      <c r="V74" s="46">
        <v>0.48</v>
      </c>
      <c r="W74" s="46">
        <v>8.41</v>
      </c>
      <c r="X74" s="10">
        <v>-0.37438236412010639</v>
      </c>
      <c r="Y74" s="9">
        <v>1.086877278250304</v>
      </c>
      <c r="Z74" s="8">
        <v>-0.21280931586608451</v>
      </c>
      <c r="AA74" s="8">
        <v>2.6442307692307709E-2</v>
      </c>
    </row>
    <row r="75" spans="2:27" x14ac:dyDescent="0.3">
      <c r="B75" s="12" t="s">
        <v>40</v>
      </c>
      <c r="C75" s="3" t="s">
        <v>642</v>
      </c>
      <c r="D75" s="3" t="s">
        <v>647</v>
      </c>
      <c r="E75" s="3" t="s">
        <v>648</v>
      </c>
      <c r="F75" s="5">
        <v>2.5</v>
      </c>
      <c r="G75" s="4">
        <v>213.7</v>
      </c>
      <c r="H75" s="4">
        <v>149.9</v>
      </c>
      <c r="I75" s="4">
        <v>194.1</v>
      </c>
      <c r="J75" s="4">
        <v>264.39999999999998</v>
      </c>
      <c r="K75" s="6">
        <v>356.6</v>
      </c>
      <c r="L75" s="45">
        <v>272.3</v>
      </c>
      <c r="M75" s="46">
        <v>277.89999999999998</v>
      </c>
      <c r="N75" s="46">
        <v>302.10000000000002</v>
      </c>
      <c r="O75" s="46">
        <v>384.2</v>
      </c>
      <c r="P75" s="46">
        <v>320.10000000000002</v>
      </c>
      <c r="Q75" s="45">
        <v>436</v>
      </c>
      <c r="R75" s="45">
        <v>469.8</v>
      </c>
      <c r="S75" s="45">
        <v>572.9</v>
      </c>
      <c r="T75" s="46">
        <v>447.5</v>
      </c>
      <c r="U75" s="46">
        <v>456.7</v>
      </c>
      <c r="V75" s="46">
        <v>545.9</v>
      </c>
      <c r="W75" s="46">
        <v>624.20000000000005</v>
      </c>
      <c r="X75" s="10">
        <v>7.082499444073842E-2</v>
      </c>
      <c r="Y75" s="8">
        <v>1.0746547606686811E-2</v>
      </c>
      <c r="Z75" s="8">
        <v>3.9087780574246223E-2</v>
      </c>
      <c r="AA75" s="8">
        <v>2.5358378645576E-2</v>
      </c>
    </row>
    <row r="76" spans="2:27" x14ac:dyDescent="0.3">
      <c r="B76" s="12" t="s">
        <v>473</v>
      </c>
      <c r="C76" s="3" t="s">
        <v>642</v>
      </c>
      <c r="D76" s="3" t="s">
        <v>673</v>
      </c>
      <c r="E76" s="3" t="s">
        <v>650</v>
      </c>
      <c r="F76" s="5">
        <v>2.4</v>
      </c>
      <c r="G76" s="4">
        <v>15.97</v>
      </c>
      <c r="H76" s="4">
        <v>13.03</v>
      </c>
      <c r="I76" s="4">
        <v>11.34</v>
      </c>
      <c r="J76" s="4">
        <v>16.04</v>
      </c>
      <c r="K76" s="4">
        <v>16.73</v>
      </c>
      <c r="L76" s="45">
        <v>23.83</v>
      </c>
      <c r="M76" s="46">
        <v>16</v>
      </c>
      <c r="N76" s="46">
        <v>21.99</v>
      </c>
      <c r="O76" s="46">
        <v>22.79</v>
      </c>
      <c r="P76" s="46">
        <v>19.91</v>
      </c>
      <c r="Q76" s="46">
        <v>15.84</v>
      </c>
      <c r="R76" s="46">
        <v>15.82</v>
      </c>
      <c r="S76" s="46">
        <v>24.66</v>
      </c>
      <c r="T76" s="46">
        <v>25.5</v>
      </c>
      <c r="U76" s="46">
        <v>11.73</v>
      </c>
      <c r="V76" s="46">
        <v>21.58</v>
      </c>
      <c r="W76" s="46">
        <v>26.65</v>
      </c>
      <c r="X76" s="10">
        <v>7.3330709694345853E-2</v>
      </c>
      <c r="Y76" s="8">
        <v>-5.0232217061842888E-2</v>
      </c>
      <c r="Z76" s="8">
        <v>7.4121734654484461E-2</v>
      </c>
      <c r="AA76" s="8">
        <v>2.384090092248714E-2</v>
      </c>
    </row>
    <row r="77" spans="2:27" x14ac:dyDescent="0.3">
      <c r="B77" s="12" t="s">
        <v>298</v>
      </c>
      <c r="C77" s="3" t="s">
        <v>642</v>
      </c>
      <c r="D77" s="3" t="s">
        <v>679</v>
      </c>
      <c r="E77" s="3" t="s">
        <v>644</v>
      </c>
      <c r="F77" s="5">
        <v>2.4</v>
      </c>
      <c r="G77" s="4">
        <v>81</v>
      </c>
      <c r="H77" s="4">
        <v>129.30000000000001</v>
      </c>
      <c r="I77" s="4">
        <v>109</v>
      </c>
      <c r="J77" s="4">
        <v>131</v>
      </c>
      <c r="K77" s="6">
        <v>152.9</v>
      </c>
      <c r="L77" s="46">
        <v>140.6</v>
      </c>
      <c r="M77" s="45">
        <v>164.7</v>
      </c>
      <c r="N77" s="45">
        <v>199.3</v>
      </c>
      <c r="O77" s="46">
        <v>213.2</v>
      </c>
      <c r="P77" s="46">
        <v>192.8</v>
      </c>
      <c r="Q77" s="46">
        <v>204.8</v>
      </c>
      <c r="R77" s="46">
        <v>206.1</v>
      </c>
      <c r="S77" s="46">
        <v>218.3</v>
      </c>
      <c r="T77" s="46">
        <v>192.1</v>
      </c>
      <c r="U77" s="46">
        <v>237.9</v>
      </c>
      <c r="V77" s="46">
        <v>204.3</v>
      </c>
      <c r="W77" s="46">
        <v>238.4</v>
      </c>
      <c r="X77" s="10">
        <v>-8.515815085158307E-4</v>
      </c>
      <c r="Y77" s="8">
        <v>4.0301960306830642E-2</v>
      </c>
      <c r="Z77" s="8">
        <v>-2.1067415730336991E-3</v>
      </c>
      <c r="AA77" s="8">
        <v>2.3574947220267539E-2</v>
      </c>
    </row>
    <row r="78" spans="2:27" x14ac:dyDescent="0.3">
      <c r="B78" s="12" t="s">
        <v>583</v>
      </c>
      <c r="C78" s="3" t="s">
        <v>642</v>
      </c>
      <c r="D78" s="3" t="s">
        <v>697</v>
      </c>
      <c r="E78" s="3" t="s">
        <v>644</v>
      </c>
      <c r="F78" s="5">
        <v>2.1</v>
      </c>
      <c r="G78" s="4">
        <v>12.02</v>
      </c>
      <c r="H78" s="4">
        <v>8.86</v>
      </c>
      <c r="I78" s="4">
        <v>5.65</v>
      </c>
      <c r="J78" s="4">
        <v>6.42</v>
      </c>
      <c r="K78" s="4">
        <v>6.42</v>
      </c>
      <c r="L78" s="46">
        <v>9.3000000000000007</v>
      </c>
      <c r="M78" s="45">
        <v>9.14</v>
      </c>
      <c r="N78" s="46">
        <v>8.11</v>
      </c>
      <c r="O78" s="45">
        <v>10.8</v>
      </c>
      <c r="P78" s="46">
        <v>11.6</v>
      </c>
      <c r="Q78" s="45">
        <v>13.25</v>
      </c>
      <c r="R78" s="45">
        <v>13.44</v>
      </c>
      <c r="S78" s="46">
        <v>13.35</v>
      </c>
      <c r="T78" s="45">
        <v>17.579999999999998</v>
      </c>
      <c r="U78" s="46">
        <v>15.59</v>
      </c>
      <c r="V78" s="46">
        <v>15.48</v>
      </c>
      <c r="W78" s="46">
        <v>14.65</v>
      </c>
      <c r="X78" s="7">
        <v>0.1158017041053447</v>
      </c>
      <c r="Y78" s="8">
        <v>4.0610898993405087E-2</v>
      </c>
      <c r="Z78" s="8">
        <v>3.4022681787858611E-2</v>
      </c>
      <c r="AA78" s="8">
        <v>2.09677419354839E-2</v>
      </c>
    </row>
    <row r="79" spans="2:27" x14ac:dyDescent="0.3">
      <c r="B79" s="12" t="s">
        <v>330</v>
      </c>
      <c r="C79" s="3" t="s">
        <v>642</v>
      </c>
      <c r="D79" s="3" t="s">
        <v>707</v>
      </c>
      <c r="E79" s="3" t="s">
        <v>650</v>
      </c>
      <c r="F79" s="5">
        <v>2</v>
      </c>
      <c r="G79" s="4">
        <v>35.57</v>
      </c>
      <c r="H79" s="4">
        <v>33.770000000000003</v>
      </c>
      <c r="I79" s="4">
        <v>30.72</v>
      </c>
      <c r="J79" s="4">
        <v>47.1</v>
      </c>
      <c r="K79" s="4">
        <v>43.32</v>
      </c>
      <c r="L79" s="46">
        <v>46.26</v>
      </c>
      <c r="M79" s="45">
        <v>53.65</v>
      </c>
      <c r="N79" s="46">
        <v>42.62</v>
      </c>
      <c r="O79" s="46">
        <v>58.99</v>
      </c>
      <c r="P79" s="46">
        <v>49.4</v>
      </c>
      <c r="Q79" s="46">
        <v>50.98</v>
      </c>
      <c r="R79" s="46">
        <v>59.76</v>
      </c>
      <c r="S79" s="46">
        <v>66.11</v>
      </c>
      <c r="T79" s="46">
        <v>56.86</v>
      </c>
      <c r="U79" s="46">
        <v>64.94</v>
      </c>
      <c r="V79" s="46">
        <v>68.8</v>
      </c>
      <c r="W79" s="46">
        <v>71.22</v>
      </c>
      <c r="X79" s="10">
        <v>3.2972375690607743E-2</v>
      </c>
      <c r="Y79" s="8">
        <v>5.9732146677506259E-2</v>
      </c>
      <c r="Z79" s="8">
        <v>3.6500181693382323E-2</v>
      </c>
      <c r="AA79" s="8">
        <v>1.9905730201394519E-2</v>
      </c>
    </row>
    <row r="80" spans="2:27" x14ac:dyDescent="0.3">
      <c r="B80" s="12" t="s">
        <v>116</v>
      </c>
      <c r="C80" s="3" t="s">
        <v>642</v>
      </c>
      <c r="D80" s="3" t="s">
        <v>647</v>
      </c>
      <c r="E80" s="3" t="s">
        <v>648</v>
      </c>
      <c r="F80" s="5">
        <v>1.9</v>
      </c>
      <c r="G80" s="4">
        <v>222.1</v>
      </c>
      <c r="H80" s="4">
        <v>224.8</v>
      </c>
      <c r="I80" s="4">
        <v>236</v>
      </c>
      <c r="J80" s="4">
        <v>236.8</v>
      </c>
      <c r="K80" s="4">
        <v>245.5</v>
      </c>
      <c r="L80" s="46">
        <v>241.3</v>
      </c>
      <c r="M80" s="46">
        <v>248.7</v>
      </c>
      <c r="N80" s="46">
        <v>254.3</v>
      </c>
      <c r="O80" s="46">
        <v>256.3</v>
      </c>
      <c r="P80" s="46">
        <v>258.89999999999998</v>
      </c>
      <c r="Q80" s="46">
        <v>266.2</v>
      </c>
      <c r="R80" s="46">
        <v>269.3</v>
      </c>
      <c r="S80" s="46">
        <v>263.8</v>
      </c>
      <c r="T80" s="46">
        <v>271.2</v>
      </c>
      <c r="U80" s="46">
        <v>280.7</v>
      </c>
      <c r="V80" s="46">
        <v>284.3</v>
      </c>
      <c r="W80" s="46">
        <v>284.8</v>
      </c>
      <c r="X80" s="10">
        <v>1.1623511623511501E-2</v>
      </c>
      <c r="Y80" s="8">
        <v>1.3545072396076611E-2</v>
      </c>
      <c r="Z80" s="8">
        <v>1.3824884792626779E-2</v>
      </c>
      <c r="AA80" s="8">
        <v>1.9090909090909051E-2</v>
      </c>
    </row>
    <row r="81" spans="2:27" x14ac:dyDescent="0.3">
      <c r="B81" s="12" t="s">
        <v>502</v>
      </c>
      <c r="C81" s="3" t="s">
        <v>642</v>
      </c>
      <c r="D81" s="3" t="s">
        <v>720</v>
      </c>
      <c r="E81" s="3" t="s">
        <v>717</v>
      </c>
      <c r="F81" s="5">
        <v>1.9</v>
      </c>
      <c r="G81" s="4">
        <v>296.54000000000002</v>
      </c>
      <c r="H81" s="4">
        <v>288.69</v>
      </c>
      <c r="I81" s="4">
        <v>335.21</v>
      </c>
      <c r="J81" s="4">
        <v>220.92</v>
      </c>
      <c r="K81" s="4">
        <v>189.05</v>
      </c>
      <c r="L81" s="46">
        <v>239.7</v>
      </c>
      <c r="M81" s="46">
        <v>244.93</v>
      </c>
      <c r="N81" s="46">
        <v>226.55</v>
      </c>
      <c r="O81" s="46">
        <v>220.47</v>
      </c>
      <c r="P81" s="46">
        <v>241.04</v>
      </c>
      <c r="Q81" s="46">
        <v>232.89</v>
      </c>
      <c r="R81" s="46">
        <v>218.92</v>
      </c>
      <c r="S81" s="46">
        <v>208.91</v>
      </c>
      <c r="T81" s="46">
        <v>271.64999999999998</v>
      </c>
      <c r="U81" s="46">
        <v>246.72</v>
      </c>
      <c r="V81" s="46">
        <v>221.97</v>
      </c>
      <c r="W81" s="46">
        <v>227.21</v>
      </c>
      <c r="X81" s="10">
        <v>3.394473030518097E-2</v>
      </c>
      <c r="Y81" s="8">
        <v>1.4833167090318339E-2</v>
      </c>
      <c r="Z81" s="8">
        <v>3.2234199957725811E-3</v>
      </c>
      <c r="AA81" s="8">
        <v>1.9278377666578809E-2</v>
      </c>
    </row>
    <row r="82" spans="2:27" x14ac:dyDescent="0.3">
      <c r="B82" s="12" t="s">
        <v>360</v>
      </c>
      <c r="C82" s="3" t="s">
        <v>642</v>
      </c>
      <c r="D82" s="3" t="s">
        <v>672</v>
      </c>
      <c r="E82" s="3" t="s">
        <v>648</v>
      </c>
      <c r="F82" s="5">
        <v>1.7</v>
      </c>
      <c r="G82" s="4">
        <v>44.44</v>
      </c>
      <c r="H82" s="4">
        <v>44.31</v>
      </c>
      <c r="I82" s="4">
        <v>46.83</v>
      </c>
      <c r="J82" s="4">
        <v>46.89</v>
      </c>
      <c r="K82" s="4">
        <v>45.49</v>
      </c>
      <c r="L82" s="46">
        <v>45.33</v>
      </c>
      <c r="M82" s="46">
        <v>46.19</v>
      </c>
      <c r="N82" s="46">
        <v>47.01</v>
      </c>
      <c r="O82" s="46">
        <v>49.67</v>
      </c>
      <c r="P82" s="46">
        <v>50.48</v>
      </c>
      <c r="Q82" s="46">
        <v>54.15</v>
      </c>
      <c r="R82" s="46">
        <v>54.58</v>
      </c>
      <c r="S82" s="46">
        <v>54.5</v>
      </c>
      <c r="T82" s="46">
        <v>54.97</v>
      </c>
      <c r="U82" s="46">
        <v>60</v>
      </c>
      <c r="V82" s="46">
        <v>59.64</v>
      </c>
      <c r="W82" s="46">
        <v>58.3</v>
      </c>
      <c r="X82" s="10">
        <v>2.100977960787986E-2</v>
      </c>
      <c r="Y82" s="8">
        <v>2.6810265811182399E-2</v>
      </c>
      <c r="Z82" s="8">
        <v>2.2584244588261582E-2</v>
      </c>
      <c r="AA82" s="8">
        <v>1.658591942734922E-2</v>
      </c>
    </row>
    <row r="83" spans="2:27" x14ac:dyDescent="0.3">
      <c r="B83" s="12" t="s">
        <v>353</v>
      </c>
      <c r="C83" s="3" t="s">
        <v>642</v>
      </c>
      <c r="D83" s="3" t="s">
        <v>654</v>
      </c>
      <c r="E83" s="3" t="s">
        <v>648</v>
      </c>
      <c r="F83" s="5">
        <v>1.6</v>
      </c>
      <c r="G83" s="4">
        <v>23.38</v>
      </c>
      <c r="H83" s="4">
        <v>36.72</v>
      </c>
      <c r="I83" s="4">
        <v>45.28</v>
      </c>
      <c r="J83" s="4">
        <v>36.81</v>
      </c>
      <c r="K83" s="4">
        <v>22.04</v>
      </c>
      <c r="L83" s="46">
        <v>29.12</v>
      </c>
      <c r="M83" s="46">
        <v>29.88</v>
      </c>
      <c r="N83" s="46">
        <v>33.93</v>
      </c>
      <c r="O83" s="46">
        <v>18.39</v>
      </c>
      <c r="P83" s="46">
        <v>30.71</v>
      </c>
      <c r="Q83" s="46">
        <v>35.74</v>
      </c>
      <c r="R83" s="46">
        <v>25.85</v>
      </c>
      <c r="S83" s="46">
        <v>27.25</v>
      </c>
      <c r="T83" s="45">
        <v>44.43</v>
      </c>
      <c r="U83" s="46">
        <v>17.18</v>
      </c>
      <c r="V83" s="46">
        <v>29.04</v>
      </c>
      <c r="W83" s="46">
        <v>29.14</v>
      </c>
      <c r="X83" s="7">
        <v>0.1147636971978252</v>
      </c>
      <c r="Y83" s="8">
        <v>-0.13926615142192539</v>
      </c>
      <c r="Z83" s="8">
        <v>2.7809258129195321E-2</v>
      </c>
      <c r="AA83" s="8">
        <v>1.603053435114488E-2</v>
      </c>
    </row>
    <row r="84" spans="2:27" x14ac:dyDescent="0.3">
      <c r="B84" s="12" t="s">
        <v>426</v>
      </c>
      <c r="C84" s="3" t="s">
        <v>642</v>
      </c>
      <c r="D84" s="3" t="s">
        <v>647</v>
      </c>
      <c r="E84" s="3" t="s">
        <v>650</v>
      </c>
      <c r="F84" s="5">
        <v>1.5</v>
      </c>
      <c r="G84" s="4">
        <v>55.46</v>
      </c>
      <c r="H84" s="4">
        <v>-7.22</v>
      </c>
      <c r="I84" s="4">
        <v>-7.35</v>
      </c>
      <c r="J84" s="4">
        <v>21.34</v>
      </c>
      <c r="K84" s="6">
        <v>63.84</v>
      </c>
      <c r="L84" s="45">
        <v>2.09</v>
      </c>
      <c r="M84" s="46">
        <v>-4.7</v>
      </c>
      <c r="N84" s="46">
        <v>22.49</v>
      </c>
      <c r="O84" s="46">
        <v>32.659999999999997</v>
      </c>
      <c r="P84" s="45">
        <v>8.8000000000000007</v>
      </c>
      <c r="Q84" s="46">
        <v>-19.79</v>
      </c>
      <c r="R84" s="46">
        <v>16.53</v>
      </c>
      <c r="S84" s="45">
        <v>62.64</v>
      </c>
      <c r="T84" s="45">
        <v>20.49</v>
      </c>
      <c r="U84" s="45">
        <v>-5.08</v>
      </c>
      <c r="V84" s="45">
        <v>32.79</v>
      </c>
      <c r="W84" s="46">
        <v>64.34</v>
      </c>
      <c r="X84" s="7">
        <v>0.17145790554414789</v>
      </c>
      <c r="Y84" s="9">
        <v>0.18417428321021639</v>
      </c>
      <c r="Z84" s="9">
        <v>0.1719179530556143</v>
      </c>
      <c r="AA84" s="8">
        <v>1.5337423312883571E-2</v>
      </c>
    </row>
    <row r="85" spans="2:27" x14ac:dyDescent="0.3">
      <c r="B85" s="12" t="s">
        <v>139</v>
      </c>
      <c r="C85" s="3" t="s">
        <v>642</v>
      </c>
      <c r="D85" s="3" t="s">
        <v>647</v>
      </c>
      <c r="E85" s="3" t="s">
        <v>650</v>
      </c>
      <c r="F85" s="5">
        <v>1.5</v>
      </c>
      <c r="G85" s="4">
        <v>321</v>
      </c>
      <c r="H85" s="4">
        <v>328</v>
      </c>
      <c r="I85" s="4">
        <v>263</v>
      </c>
      <c r="J85" s="4">
        <v>250</v>
      </c>
      <c r="K85" s="4">
        <v>379</v>
      </c>
      <c r="L85" s="46">
        <v>371</v>
      </c>
      <c r="M85" s="46">
        <v>376</v>
      </c>
      <c r="N85" s="46">
        <v>386</v>
      </c>
      <c r="O85" s="46">
        <v>334</v>
      </c>
      <c r="P85" s="45">
        <v>787</v>
      </c>
      <c r="Q85" s="46">
        <v>431</v>
      </c>
      <c r="R85" s="46">
        <v>430</v>
      </c>
      <c r="S85" s="46">
        <v>418</v>
      </c>
      <c r="T85" s="46">
        <v>447</v>
      </c>
      <c r="U85" s="46">
        <v>461</v>
      </c>
      <c r="V85" s="46">
        <v>445</v>
      </c>
      <c r="W85" s="46">
        <v>444</v>
      </c>
      <c r="X85" s="10">
        <v>-0.16456921587608911</v>
      </c>
      <c r="Y85" s="8">
        <v>1.738122827346467E-2</v>
      </c>
      <c r="Z85" s="8">
        <v>8.5421412300683564E-3</v>
      </c>
      <c r="AA85" s="8">
        <v>1.468097120271028E-2</v>
      </c>
    </row>
    <row r="86" spans="2:27" x14ac:dyDescent="0.3">
      <c r="B86" s="12" t="s">
        <v>38</v>
      </c>
      <c r="C86" s="3" t="s">
        <v>642</v>
      </c>
      <c r="D86" s="3" t="s">
        <v>675</v>
      </c>
      <c r="E86" s="3" t="s">
        <v>648</v>
      </c>
      <c r="F86" s="5">
        <v>1.3</v>
      </c>
      <c r="G86" s="4">
        <v>1791</v>
      </c>
      <c r="H86" s="4">
        <v>2224</v>
      </c>
      <c r="I86" s="4">
        <v>2384</v>
      </c>
      <c r="J86" s="4">
        <v>2149</v>
      </c>
      <c r="K86" s="4">
        <v>1757</v>
      </c>
      <c r="L86" s="46">
        <v>2003</v>
      </c>
      <c r="M86" s="46">
        <v>2216</v>
      </c>
      <c r="N86" s="46">
        <v>2443</v>
      </c>
      <c r="O86" s="46">
        <v>2372</v>
      </c>
      <c r="P86" s="46">
        <v>2293</v>
      </c>
      <c r="Q86" s="46">
        <v>2475</v>
      </c>
      <c r="R86" s="46">
        <v>2653</v>
      </c>
      <c r="S86" s="46">
        <v>2295</v>
      </c>
      <c r="T86" s="46">
        <v>2385</v>
      </c>
      <c r="U86" s="46">
        <v>2468</v>
      </c>
      <c r="V86" s="46">
        <v>2790</v>
      </c>
      <c r="W86" s="46">
        <v>2425</v>
      </c>
      <c r="X86" s="10">
        <v>9.4689172498971796E-3</v>
      </c>
      <c r="Y86" s="8">
        <v>-7.1370309951057642E-4</v>
      </c>
      <c r="Z86" s="8">
        <v>1.39781654933171E-2</v>
      </c>
      <c r="AA86" s="8">
        <v>1.308110283759301E-2</v>
      </c>
    </row>
    <row r="87" spans="2:27" x14ac:dyDescent="0.3">
      <c r="B87" s="12" t="s">
        <v>114</v>
      </c>
      <c r="C87" s="3" t="s">
        <v>642</v>
      </c>
      <c r="D87" s="3" t="s">
        <v>692</v>
      </c>
      <c r="E87" s="3" t="s">
        <v>648</v>
      </c>
      <c r="F87" s="5">
        <v>1.2</v>
      </c>
      <c r="G87" s="4">
        <v>174.09</v>
      </c>
      <c r="H87" s="4">
        <v>149.84</v>
      </c>
      <c r="I87" s="4">
        <v>202.04</v>
      </c>
      <c r="J87" s="4">
        <v>217.46</v>
      </c>
      <c r="K87" s="4">
        <v>242.38</v>
      </c>
      <c r="L87" s="46">
        <v>197.38</v>
      </c>
      <c r="M87" s="46">
        <v>218.55</v>
      </c>
      <c r="N87" s="46">
        <v>225.12</v>
      </c>
      <c r="O87" s="46">
        <v>237</v>
      </c>
      <c r="P87" s="46">
        <v>210.39</v>
      </c>
      <c r="Q87" s="46">
        <v>225.55</v>
      </c>
      <c r="R87" s="46">
        <v>223.26</v>
      </c>
      <c r="S87" s="46">
        <v>212.5</v>
      </c>
      <c r="T87" s="46">
        <v>194.27</v>
      </c>
      <c r="U87" s="46">
        <v>226.02</v>
      </c>
      <c r="V87" s="46">
        <v>226.55</v>
      </c>
      <c r="W87" s="46">
        <v>222.92</v>
      </c>
      <c r="X87" s="10">
        <v>-1.849260066536651E-2</v>
      </c>
      <c r="Y87" s="8">
        <v>5.4933495406617183E-4</v>
      </c>
      <c r="Z87" s="8">
        <v>3.8432334559899139E-3</v>
      </c>
      <c r="AA87" s="8">
        <v>1.212558475108794E-2</v>
      </c>
    </row>
    <row r="88" spans="2:27" x14ac:dyDescent="0.3">
      <c r="B88" s="12" t="s">
        <v>17</v>
      </c>
      <c r="C88" s="3" t="s">
        <v>642</v>
      </c>
      <c r="D88" s="3" t="s">
        <v>703</v>
      </c>
      <c r="E88" s="3" t="s">
        <v>648</v>
      </c>
      <c r="F88" s="5">
        <v>1.1000000000000001</v>
      </c>
      <c r="G88" s="4">
        <v>1065</v>
      </c>
      <c r="H88" s="4">
        <v>2225</v>
      </c>
      <c r="I88" s="4">
        <v>2499</v>
      </c>
      <c r="J88" s="4">
        <v>2985</v>
      </c>
      <c r="K88" s="6">
        <v>2559</v>
      </c>
      <c r="L88" s="46">
        <v>2944</v>
      </c>
      <c r="M88" s="46">
        <v>3178</v>
      </c>
      <c r="N88" s="46">
        <v>3365</v>
      </c>
      <c r="O88" s="46">
        <v>2932</v>
      </c>
      <c r="P88" s="46">
        <v>3458</v>
      </c>
      <c r="Q88" s="46">
        <v>4322</v>
      </c>
      <c r="R88" s="46">
        <v>3867</v>
      </c>
      <c r="S88" s="46">
        <v>3758</v>
      </c>
      <c r="T88" s="46">
        <v>4348</v>
      </c>
      <c r="U88" s="46">
        <v>4076</v>
      </c>
      <c r="V88" s="46">
        <v>3869</v>
      </c>
      <c r="W88" s="46">
        <v>3934</v>
      </c>
      <c r="X88" s="10">
        <v>5.777345017851343E-2</v>
      </c>
      <c r="Y88" s="8">
        <v>-1.509665541577165E-2</v>
      </c>
      <c r="Z88" s="8">
        <v>1.2461835628396761E-4</v>
      </c>
      <c r="AA88" s="8">
        <v>1.096504890661021E-2</v>
      </c>
    </row>
    <row r="89" spans="2:27" x14ac:dyDescent="0.3">
      <c r="B89" s="12" t="s">
        <v>241</v>
      </c>
      <c r="C89" s="3" t="s">
        <v>642</v>
      </c>
      <c r="D89" s="3" t="s">
        <v>666</v>
      </c>
      <c r="E89" s="3" t="s">
        <v>648</v>
      </c>
      <c r="F89" s="5">
        <v>1.1000000000000001</v>
      </c>
      <c r="G89" s="4">
        <v>111.03</v>
      </c>
      <c r="H89" s="4">
        <v>133.88</v>
      </c>
      <c r="I89" s="4">
        <v>131.37</v>
      </c>
      <c r="J89" s="4">
        <v>151.82</v>
      </c>
      <c r="K89" s="6">
        <v>183</v>
      </c>
      <c r="L89" s="46">
        <v>145.80000000000001</v>
      </c>
      <c r="M89" s="46">
        <v>152.44999999999999</v>
      </c>
      <c r="N89" s="46">
        <v>165.69</v>
      </c>
      <c r="O89" s="46">
        <v>160.01</v>
      </c>
      <c r="P89" s="46">
        <v>158.49</v>
      </c>
      <c r="Q89" s="46">
        <v>171.25</v>
      </c>
      <c r="R89" s="46">
        <v>184.9</v>
      </c>
      <c r="S89" s="46">
        <v>187.11</v>
      </c>
      <c r="T89" s="46">
        <v>183.7</v>
      </c>
      <c r="U89" s="46">
        <v>186.32</v>
      </c>
      <c r="V89" s="46">
        <v>204.78</v>
      </c>
      <c r="W89" s="46">
        <v>195.46</v>
      </c>
      <c r="X89" s="10">
        <v>3.5924474527965877E-2</v>
      </c>
      <c r="Y89" s="8">
        <v>2.0730163970507309E-2</v>
      </c>
      <c r="Z89" s="8">
        <v>2.679136962117434E-2</v>
      </c>
      <c r="AA89" s="8">
        <v>1.0959299654814901E-2</v>
      </c>
    </row>
    <row r="90" spans="2:27" x14ac:dyDescent="0.3">
      <c r="B90" s="12" t="s">
        <v>54</v>
      </c>
      <c r="C90" s="3" t="s">
        <v>642</v>
      </c>
      <c r="D90" s="3" t="s">
        <v>686</v>
      </c>
      <c r="E90" s="3" t="s">
        <v>648</v>
      </c>
      <c r="F90" s="5">
        <v>1</v>
      </c>
      <c r="G90" s="4">
        <v>0</v>
      </c>
      <c r="H90" s="4">
        <v>446</v>
      </c>
      <c r="I90" s="4">
        <v>421</v>
      </c>
      <c r="J90" s="4">
        <v>412</v>
      </c>
      <c r="K90" s="6">
        <v>500</v>
      </c>
      <c r="L90" s="46">
        <v>479</v>
      </c>
      <c r="M90" s="46">
        <v>472</v>
      </c>
      <c r="N90" s="46">
        <v>434</v>
      </c>
      <c r="O90" s="46">
        <v>538</v>
      </c>
      <c r="P90" s="46">
        <v>551</v>
      </c>
      <c r="Q90" s="46">
        <v>409</v>
      </c>
      <c r="R90" s="46">
        <v>409</v>
      </c>
      <c r="S90" s="46">
        <v>520</v>
      </c>
      <c r="T90" s="46">
        <v>556</v>
      </c>
      <c r="U90" s="46">
        <v>430</v>
      </c>
      <c r="V90" s="46">
        <v>425</v>
      </c>
      <c r="W90" s="46">
        <v>540</v>
      </c>
      <c r="X90" s="10">
        <v>2.6469031233455902E-3</v>
      </c>
      <c r="Y90" s="8">
        <v>1.108764519535366E-2</v>
      </c>
      <c r="Z90" s="8">
        <v>8.3550913838119634E-3</v>
      </c>
      <c r="AA90" s="8">
        <v>1.035732780942511E-2</v>
      </c>
    </row>
    <row r="91" spans="2:27" x14ac:dyDescent="0.3">
      <c r="B91" s="12" t="s">
        <v>179</v>
      </c>
      <c r="C91" s="3" t="s">
        <v>642</v>
      </c>
      <c r="D91" s="3" t="s">
        <v>692</v>
      </c>
      <c r="E91" s="3" t="s">
        <v>648</v>
      </c>
      <c r="F91" s="5">
        <v>0.9</v>
      </c>
      <c r="G91" s="4">
        <v>68.66</v>
      </c>
      <c r="H91" s="4">
        <v>72.36</v>
      </c>
      <c r="I91" s="4">
        <v>54.65</v>
      </c>
      <c r="J91" s="4">
        <v>62.48</v>
      </c>
      <c r="K91" s="4">
        <v>78.89</v>
      </c>
      <c r="L91" s="46">
        <v>77.61</v>
      </c>
      <c r="M91" s="46">
        <v>80.959999999999994</v>
      </c>
      <c r="N91" s="46">
        <v>83.58</v>
      </c>
      <c r="O91" s="46">
        <v>82.54</v>
      </c>
      <c r="P91" s="46">
        <v>76.319999999999993</v>
      </c>
      <c r="Q91" s="46">
        <v>78.099999999999994</v>
      </c>
      <c r="R91" s="46">
        <v>71.53</v>
      </c>
      <c r="S91" s="46">
        <v>75.75</v>
      </c>
      <c r="T91" s="46">
        <v>75.12</v>
      </c>
      <c r="U91" s="46">
        <v>71.91</v>
      </c>
      <c r="V91" s="46">
        <v>63.71</v>
      </c>
      <c r="W91" s="46">
        <v>78.430000000000007</v>
      </c>
      <c r="X91" s="10">
        <v>-3.9774610540271871E-3</v>
      </c>
      <c r="Y91" s="8">
        <v>-2.0599001663893501E-2</v>
      </c>
      <c r="Z91" s="8">
        <v>-2.6570622812680519E-2</v>
      </c>
      <c r="AA91" s="8">
        <v>9.3546022548780527E-3</v>
      </c>
    </row>
    <row r="92" spans="2:27" x14ac:dyDescent="0.3">
      <c r="B92" s="12" t="s">
        <v>75</v>
      </c>
      <c r="C92" s="3" t="s">
        <v>642</v>
      </c>
      <c r="D92" s="3" t="s">
        <v>678</v>
      </c>
      <c r="E92" s="3" t="s">
        <v>648</v>
      </c>
      <c r="F92" s="5">
        <v>0.8</v>
      </c>
      <c r="G92" s="4">
        <v>501</v>
      </c>
      <c r="H92" s="4">
        <v>502</v>
      </c>
      <c r="I92" s="4">
        <v>457</v>
      </c>
      <c r="J92" s="4">
        <v>476</v>
      </c>
      <c r="K92" s="4">
        <v>425</v>
      </c>
      <c r="L92" s="46">
        <v>488</v>
      </c>
      <c r="M92" s="46">
        <v>544</v>
      </c>
      <c r="N92" s="46">
        <v>511</v>
      </c>
      <c r="O92" s="46">
        <v>528</v>
      </c>
      <c r="P92" s="46">
        <v>521</v>
      </c>
      <c r="Q92" s="46">
        <v>548</v>
      </c>
      <c r="R92" s="46">
        <v>578</v>
      </c>
      <c r="S92" s="46">
        <v>632</v>
      </c>
      <c r="T92" s="46">
        <v>525</v>
      </c>
      <c r="U92" s="46">
        <v>538</v>
      </c>
      <c r="V92" s="46">
        <v>573</v>
      </c>
      <c r="W92" s="46">
        <v>651</v>
      </c>
      <c r="X92" s="10">
        <v>1.7551557700745679E-3</v>
      </c>
      <c r="Y92" s="8">
        <v>-4.3802014892685426E-3</v>
      </c>
      <c r="Z92" s="8">
        <v>-2.1997360316762249E-3</v>
      </c>
      <c r="AA92" s="8">
        <v>8.3774250440917797E-3</v>
      </c>
    </row>
    <row r="93" spans="2:27" x14ac:dyDescent="0.3">
      <c r="B93" s="12" t="s">
        <v>128</v>
      </c>
      <c r="C93" s="3" t="s">
        <v>642</v>
      </c>
      <c r="D93" s="3" t="s">
        <v>659</v>
      </c>
      <c r="E93" s="3" t="s">
        <v>648</v>
      </c>
      <c r="F93" s="5">
        <v>0.8</v>
      </c>
      <c r="G93" s="4">
        <v>319.3</v>
      </c>
      <c r="H93" s="4">
        <v>313.8</v>
      </c>
      <c r="I93" s="4">
        <v>245.6</v>
      </c>
      <c r="J93" s="4">
        <v>304.2</v>
      </c>
      <c r="K93" s="4">
        <v>301.7</v>
      </c>
      <c r="L93" s="46">
        <v>280.10000000000002</v>
      </c>
      <c r="M93" s="46">
        <v>288.2</v>
      </c>
      <c r="N93" s="46">
        <v>306.39999999999998</v>
      </c>
      <c r="O93" s="46">
        <v>334.2</v>
      </c>
      <c r="P93" s="46">
        <v>332.9</v>
      </c>
      <c r="Q93" s="46">
        <v>327.60000000000002</v>
      </c>
      <c r="R93" s="46">
        <v>325.10000000000002</v>
      </c>
      <c r="S93" s="46">
        <v>357.9</v>
      </c>
      <c r="T93" s="46">
        <v>357.9</v>
      </c>
      <c r="U93" s="46">
        <v>344.5</v>
      </c>
      <c r="V93" s="46">
        <v>365.7</v>
      </c>
      <c r="W93" s="46">
        <v>368.6</v>
      </c>
      <c r="X93" s="10">
        <v>1.8608113137327909E-2</v>
      </c>
      <c r="Y93" s="8">
        <v>1.2349287541103539E-2</v>
      </c>
      <c r="Z93" s="8">
        <v>2.930561570665513E-2</v>
      </c>
      <c r="AA93" s="8">
        <v>7.5035063113604314E-3</v>
      </c>
    </row>
    <row r="94" spans="2:27" x14ac:dyDescent="0.3">
      <c r="B94" s="12" t="s">
        <v>99</v>
      </c>
      <c r="C94" s="3" t="s">
        <v>642</v>
      </c>
      <c r="D94" s="3" t="s">
        <v>678</v>
      </c>
      <c r="E94" s="3" t="s">
        <v>648</v>
      </c>
      <c r="F94" s="5">
        <v>0.7</v>
      </c>
      <c r="G94" s="4">
        <v>305.99</v>
      </c>
      <c r="H94" s="4">
        <v>228.94</v>
      </c>
      <c r="I94" s="4">
        <v>273.25</v>
      </c>
      <c r="J94" s="4">
        <v>294.64</v>
      </c>
      <c r="K94" s="4">
        <v>346.25</v>
      </c>
      <c r="L94" s="46">
        <v>250.47</v>
      </c>
      <c r="M94" s="46">
        <v>291.48</v>
      </c>
      <c r="N94" s="46">
        <v>279.51</v>
      </c>
      <c r="O94" s="46">
        <v>265.83</v>
      </c>
      <c r="P94" s="46">
        <v>251.1</v>
      </c>
      <c r="Q94" s="46">
        <v>267.75</v>
      </c>
      <c r="R94" s="46">
        <v>280.26</v>
      </c>
      <c r="S94" s="46">
        <v>335.72</v>
      </c>
      <c r="T94" s="46">
        <v>222.64</v>
      </c>
      <c r="U94" s="46">
        <v>269.11</v>
      </c>
      <c r="V94" s="46">
        <v>293.43</v>
      </c>
      <c r="W94" s="46">
        <v>343.34</v>
      </c>
      <c r="X94" s="10">
        <v>-2.5078646140831658E-2</v>
      </c>
      <c r="Y94" s="8">
        <v>1.2292451892226271E-3</v>
      </c>
      <c r="Z94" s="8">
        <v>1.188917877100026E-2</v>
      </c>
      <c r="AA94" s="8">
        <v>6.7981086626816012E-3</v>
      </c>
    </row>
    <row r="95" spans="2:27" x14ac:dyDescent="0.3">
      <c r="B95" s="12" t="s">
        <v>209</v>
      </c>
      <c r="C95" s="3" t="s">
        <v>642</v>
      </c>
      <c r="D95" s="3" t="s">
        <v>670</v>
      </c>
      <c r="E95" s="3" t="s">
        <v>717</v>
      </c>
      <c r="F95" s="5">
        <v>0.6</v>
      </c>
      <c r="G95" s="4">
        <v>91.07</v>
      </c>
      <c r="H95" s="4">
        <v>87.07</v>
      </c>
      <c r="I95" s="4">
        <v>96.64</v>
      </c>
      <c r="J95" s="4">
        <v>101.3</v>
      </c>
      <c r="K95" s="4">
        <v>97.39</v>
      </c>
      <c r="L95" s="46">
        <v>82.16</v>
      </c>
      <c r="M95" s="46">
        <v>96.06</v>
      </c>
      <c r="N95" s="46">
        <v>118.84</v>
      </c>
      <c r="O95" s="46">
        <v>125.82</v>
      </c>
      <c r="P95" s="46">
        <v>110.14</v>
      </c>
      <c r="Q95" s="46">
        <v>115.83</v>
      </c>
      <c r="R95" s="46">
        <v>128.75</v>
      </c>
      <c r="S95" s="46">
        <v>142.38999999999999</v>
      </c>
      <c r="T95" s="46">
        <v>121.1</v>
      </c>
      <c r="U95" s="46">
        <v>115.76</v>
      </c>
      <c r="V95" s="46">
        <v>146.54</v>
      </c>
      <c r="W95" s="46">
        <v>145.59</v>
      </c>
      <c r="X95" s="10">
        <v>2.204743416949961E-2</v>
      </c>
      <c r="Y95" s="8">
        <v>-1.3777629066857869E-4</v>
      </c>
      <c r="Z95" s="8">
        <v>3.501968503937003E-2</v>
      </c>
      <c r="AA95" s="8">
        <v>6.0860799939139731E-3</v>
      </c>
    </row>
    <row r="96" spans="2:27" x14ac:dyDescent="0.3">
      <c r="B96" s="12" t="s">
        <v>125</v>
      </c>
      <c r="C96" s="3" t="s">
        <v>642</v>
      </c>
      <c r="D96" s="3" t="s">
        <v>674</v>
      </c>
      <c r="E96" s="3" t="s">
        <v>648</v>
      </c>
      <c r="F96" s="5">
        <v>0.5</v>
      </c>
      <c r="G96" s="4">
        <v>248</v>
      </c>
      <c r="H96" s="4">
        <v>504</v>
      </c>
      <c r="I96" s="4">
        <v>291</v>
      </c>
      <c r="J96" s="4">
        <v>312</v>
      </c>
      <c r="K96" s="4">
        <v>0</v>
      </c>
      <c r="L96" s="46">
        <v>359</v>
      </c>
      <c r="M96" s="46">
        <v>289</v>
      </c>
      <c r="N96" s="46">
        <v>316</v>
      </c>
      <c r="O96" s="45">
        <v>451</v>
      </c>
      <c r="P96" s="46">
        <v>456</v>
      </c>
      <c r="Q96" s="46">
        <v>324</v>
      </c>
      <c r="R96" s="46">
        <v>409</v>
      </c>
      <c r="S96" s="46">
        <v>425</v>
      </c>
      <c r="T96" s="46">
        <v>536</v>
      </c>
      <c r="U96" s="46">
        <v>364</v>
      </c>
      <c r="V96" s="46">
        <v>529</v>
      </c>
      <c r="W96" s="46">
        <v>435</v>
      </c>
      <c r="X96" s="10">
        <v>4.9566294919454863E-2</v>
      </c>
      <c r="Y96" s="8">
        <v>2.361275088547821E-2</v>
      </c>
      <c r="Z96" s="8">
        <v>6.9204152249134898E-2</v>
      </c>
      <c r="AA96" s="8">
        <v>5.3937432578208266E-3</v>
      </c>
    </row>
    <row r="97" spans="2:27" x14ac:dyDescent="0.3">
      <c r="B97" s="12" t="s">
        <v>205</v>
      </c>
      <c r="C97" s="3" t="s">
        <v>642</v>
      </c>
      <c r="D97" s="3" t="s">
        <v>659</v>
      </c>
      <c r="E97" s="3" t="s">
        <v>646</v>
      </c>
      <c r="F97" s="5">
        <v>0.4</v>
      </c>
      <c r="G97" s="4">
        <v>201.65</v>
      </c>
      <c r="H97" s="4">
        <v>141.91</v>
      </c>
      <c r="I97" s="4">
        <v>162.58000000000001</v>
      </c>
      <c r="J97" s="4">
        <v>160</v>
      </c>
      <c r="K97" s="4">
        <v>193.88</v>
      </c>
      <c r="L97" s="46">
        <v>138.34</v>
      </c>
      <c r="M97" s="46">
        <v>184.17</v>
      </c>
      <c r="N97" s="46">
        <v>226.24</v>
      </c>
      <c r="O97" s="45">
        <v>304.75</v>
      </c>
      <c r="P97" s="45">
        <v>243.36</v>
      </c>
      <c r="Q97" s="46">
        <v>237.87</v>
      </c>
      <c r="R97" s="46">
        <v>252.74</v>
      </c>
      <c r="S97" s="46">
        <v>307.56</v>
      </c>
      <c r="T97" s="46">
        <v>209.39</v>
      </c>
      <c r="U97" s="46">
        <v>257.61</v>
      </c>
      <c r="V97" s="46">
        <v>289.86</v>
      </c>
      <c r="W97" s="46">
        <v>311.87</v>
      </c>
      <c r="X97" s="10">
        <v>-3.2615479150864601E-2</v>
      </c>
      <c r="Y97" s="8">
        <v>1.959188534677847E-2</v>
      </c>
      <c r="Z97" s="8">
        <v>3.6133553976443127E-2</v>
      </c>
      <c r="AA97" s="8">
        <v>4.0491535296216519E-3</v>
      </c>
    </row>
    <row r="98" spans="2:27" x14ac:dyDescent="0.3">
      <c r="B98" s="12" t="s">
        <v>183</v>
      </c>
      <c r="C98" s="3" t="s">
        <v>642</v>
      </c>
      <c r="D98" s="3" t="s">
        <v>693</v>
      </c>
      <c r="E98" s="3" t="s">
        <v>650</v>
      </c>
      <c r="F98" s="5">
        <v>0.3</v>
      </c>
      <c r="G98" s="4">
        <v>113.78</v>
      </c>
      <c r="H98" s="4">
        <v>114.66</v>
      </c>
      <c r="I98" s="4">
        <v>251.91</v>
      </c>
      <c r="J98" s="4">
        <v>217.48</v>
      </c>
      <c r="K98" s="4">
        <v>124.14</v>
      </c>
      <c r="L98" s="46">
        <v>131.68</v>
      </c>
      <c r="M98" s="46">
        <v>232.15</v>
      </c>
      <c r="N98" s="46">
        <v>198.16</v>
      </c>
      <c r="O98" s="46">
        <v>155.78</v>
      </c>
      <c r="P98" s="46">
        <v>137.68</v>
      </c>
      <c r="Q98" s="46">
        <v>226.51</v>
      </c>
      <c r="R98" s="46">
        <v>187.99</v>
      </c>
      <c r="S98" s="46">
        <v>134.57</v>
      </c>
      <c r="T98" s="46">
        <v>119.29</v>
      </c>
      <c r="U98" s="46">
        <v>212.77</v>
      </c>
      <c r="V98" s="46">
        <v>212.82</v>
      </c>
      <c r="W98" s="46">
        <v>136.91</v>
      </c>
      <c r="X98" s="10">
        <v>-2.6778303603931519E-2</v>
      </c>
      <c r="Y98" s="8">
        <v>-2.0557783230594321E-2</v>
      </c>
      <c r="Z98" s="8">
        <v>3.793040237084111E-2</v>
      </c>
      <c r="AA98" s="8">
        <v>3.4439620281108141E-3</v>
      </c>
    </row>
    <row r="99" spans="2:27" x14ac:dyDescent="0.3">
      <c r="B99" s="12" t="s">
        <v>355</v>
      </c>
      <c r="C99" s="3" t="s">
        <v>642</v>
      </c>
      <c r="D99" s="3" t="s">
        <v>693</v>
      </c>
      <c r="E99" s="3" t="s">
        <v>644</v>
      </c>
      <c r="F99" s="5">
        <v>0.2</v>
      </c>
      <c r="G99" s="4">
        <v>41.15</v>
      </c>
      <c r="H99" s="4">
        <v>111.35</v>
      </c>
      <c r="I99" s="4">
        <v>112.94</v>
      </c>
      <c r="J99" s="4">
        <v>98.26</v>
      </c>
      <c r="K99" s="6">
        <v>80.89</v>
      </c>
      <c r="L99" s="46">
        <v>112.92</v>
      </c>
      <c r="M99" s="46">
        <v>106.4</v>
      </c>
      <c r="N99" s="46">
        <v>116.2</v>
      </c>
      <c r="O99" s="46">
        <v>96.2</v>
      </c>
      <c r="P99" s="46">
        <v>115.81</v>
      </c>
      <c r="Q99" s="46">
        <v>107.99</v>
      </c>
      <c r="R99" s="46">
        <v>130.97999999999999</v>
      </c>
      <c r="S99" s="46">
        <v>112.4</v>
      </c>
      <c r="T99" s="46">
        <v>101.46</v>
      </c>
      <c r="U99" s="46">
        <v>117.91</v>
      </c>
      <c r="V99" s="46">
        <v>123.53</v>
      </c>
      <c r="W99" s="46">
        <v>113.36</v>
      </c>
      <c r="X99" s="10">
        <v>-3.07162121666168E-2</v>
      </c>
      <c r="Y99" s="8">
        <v>2.1906675794448379E-2</v>
      </c>
      <c r="Z99" s="8">
        <v>-1.609940572663426E-2</v>
      </c>
      <c r="AA99" s="8">
        <v>2.1084998901823582E-3</v>
      </c>
    </row>
    <row r="100" spans="2:27" x14ac:dyDescent="0.3">
      <c r="B100" s="12" t="s">
        <v>134</v>
      </c>
      <c r="C100" s="3" t="s">
        <v>642</v>
      </c>
      <c r="D100" s="3" t="s">
        <v>669</v>
      </c>
      <c r="E100" s="3" t="s">
        <v>648</v>
      </c>
      <c r="F100" s="5">
        <v>0.1</v>
      </c>
      <c r="G100" s="4">
        <v>303.2</v>
      </c>
      <c r="H100" s="4">
        <v>302.3</v>
      </c>
      <c r="I100" s="4">
        <v>321.2</v>
      </c>
      <c r="J100" s="4">
        <v>299</v>
      </c>
      <c r="K100" s="4">
        <v>320.89999999999998</v>
      </c>
      <c r="L100" s="46">
        <v>335.7</v>
      </c>
      <c r="M100" s="46">
        <v>353.1</v>
      </c>
      <c r="N100" s="46">
        <v>324.10000000000002</v>
      </c>
      <c r="O100" s="46">
        <v>335.2</v>
      </c>
      <c r="P100" s="46">
        <v>334.9</v>
      </c>
      <c r="Q100" s="46">
        <v>368.1</v>
      </c>
      <c r="R100" s="46">
        <v>330.9</v>
      </c>
      <c r="S100" s="46">
        <v>338.6</v>
      </c>
      <c r="T100" s="46">
        <v>314.3</v>
      </c>
      <c r="U100" s="46">
        <v>327.9</v>
      </c>
      <c r="V100" s="46">
        <v>326.3</v>
      </c>
      <c r="W100" s="46">
        <v>339.6</v>
      </c>
      <c r="X100" s="10">
        <v>-1.500910746812378E-2</v>
      </c>
      <c r="Y100" s="8">
        <v>-2.9735927213551339E-2</v>
      </c>
      <c r="Z100" s="8">
        <v>-3.5068994434703789E-3</v>
      </c>
      <c r="AA100" s="8">
        <v>7.6505240608981673E-4</v>
      </c>
    </row>
    <row r="101" spans="2:27" x14ac:dyDescent="0.3">
      <c r="B101" s="12" t="s">
        <v>150</v>
      </c>
      <c r="C101" s="3" t="s">
        <v>642</v>
      </c>
      <c r="D101" s="3" t="s">
        <v>688</v>
      </c>
      <c r="E101" s="3" t="s">
        <v>648</v>
      </c>
      <c r="F101" s="5">
        <v>-0.3</v>
      </c>
      <c r="G101" s="4">
        <v>-85</v>
      </c>
      <c r="H101" s="4">
        <v>75</v>
      </c>
      <c r="I101" s="4">
        <v>179</v>
      </c>
      <c r="J101" s="4">
        <v>147</v>
      </c>
      <c r="K101" s="6">
        <v>148</v>
      </c>
      <c r="L101" s="46">
        <v>101</v>
      </c>
      <c r="M101" s="46">
        <v>132</v>
      </c>
      <c r="N101" s="46">
        <v>164</v>
      </c>
      <c r="O101" s="46">
        <v>164</v>
      </c>
      <c r="P101" s="45">
        <v>159</v>
      </c>
      <c r="Q101" s="45">
        <v>211</v>
      </c>
      <c r="R101" s="46">
        <v>192</v>
      </c>
      <c r="S101" s="46">
        <v>164</v>
      </c>
      <c r="T101" s="46">
        <v>153</v>
      </c>
      <c r="U101" s="46">
        <v>207</v>
      </c>
      <c r="V101" s="46">
        <v>207</v>
      </c>
      <c r="W101" s="46">
        <v>162</v>
      </c>
      <c r="X101" s="10">
        <v>-8.2644628099173278E-3</v>
      </c>
      <c r="Y101" s="8">
        <v>-5.5555555555555358E-3</v>
      </c>
      <c r="Z101" s="8">
        <v>2.0949720670391029E-2</v>
      </c>
      <c r="AA101" s="8">
        <v>-2.7359781121750748E-3</v>
      </c>
    </row>
    <row r="102" spans="2:27" x14ac:dyDescent="0.3">
      <c r="B102" s="12" t="s">
        <v>424</v>
      </c>
      <c r="C102" s="3" t="s">
        <v>642</v>
      </c>
      <c r="D102" s="3" t="s">
        <v>649</v>
      </c>
      <c r="E102" s="3" t="s">
        <v>717</v>
      </c>
      <c r="F102" s="5">
        <v>-0.4</v>
      </c>
      <c r="G102" s="4">
        <v>29.4</v>
      </c>
      <c r="H102" s="4">
        <v>48.7</v>
      </c>
      <c r="I102" s="4">
        <v>43.6</v>
      </c>
      <c r="J102" s="4">
        <v>47</v>
      </c>
      <c r="K102" s="4">
        <v>30.5</v>
      </c>
      <c r="L102" s="46">
        <v>48.1</v>
      </c>
      <c r="M102" s="46">
        <v>20.2</v>
      </c>
      <c r="N102" s="46">
        <v>20.7</v>
      </c>
      <c r="O102" s="46">
        <v>30.4</v>
      </c>
      <c r="P102" s="46">
        <v>44.2</v>
      </c>
      <c r="Q102" s="46">
        <v>23.1</v>
      </c>
      <c r="R102" s="46">
        <v>21.6</v>
      </c>
      <c r="S102" s="46">
        <v>27</v>
      </c>
      <c r="T102" s="45">
        <v>65.2</v>
      </c>
      <c r="U102" s="46">
        <v>31.9</v>
      </c>
      <c r="V102" s="46">
        <v>15.8</v>
      </c>
      <c r="W102" s="46">
        <v>26.4</v>
      </c>
      <c r="X102" s="7">
        <v>0.1811906816220881</v>
      </c>
      <c r="Y102" s="8">
        <v>6.4280496712929125E-2</v>
      </c>
      <c r="Z102" s="8">
        <v>-3.9807824296499539E-2</v>
      </c>
      <c r="AA102" s="8">
        <v>-4.2887776983558954E-3</v>
      </c>
    </row>
    <row r="103" spans="2:27" x14ac:dyDescent="0.3">
      <c r="B103" s="12" t="s">
        <v>170</v>
      </c>
      <c r="C103" s="3" t="s">
        <v>642</v>
      </c>
      <c r="D103" s="3" t="s">
        <v>682</v>
      </c>
      <c r="E103" s="3" t="s">
        <v>648</v>
      </c>
      <c r="F103" s="5">
        <v>-0.6</v>
      </c>
      <c r="G103" s="4">
        <v>126.14</v>
      </c>
      <c r="H103" s="4">
        <v>134.1</v>
      </c>
      <c r="I103" s="4">
        <v>143.86000000000001</v>
      </c>
      <c r="J103" s="4">
        <v>126.2</v>
      </c>
      <c r="K103" s="4">
        <v>115.18</v>
      </c>
      <c r="L103" s="46">
        <v>132.9</v>
      </c>
      <c r="M103" s="46">
        <v>123.31</v>
      </c>
      <c r="N103" s="46">
        <v>131.82</v>
      </c>
      <c r="O103" s="46">
        <v>128.4</v>
      </c>
      <c r="P103" s="46">
        <v>141.87</v>
      </c>
      <c r="Q103" s="46">
        <v>136.32</v>
      </c>
      <c r="R103" s="46">
        <v>140.24</v>
      </c>
      <c r="S103" s="46">
        <v>151.68</v>
      </c>
      <c r="T103" s="46">
        <v>160.53</v>
      </c>
      <c r="U103" s="46">
        <v>159.38999999999999</v>
      </c>
      <c r="V103" s="46">
        <v>158.51</v>
      </c>
      <c r="W103" s="46">
        <v>148.01</v>
      </c>
      <c r="X103" s="10">
        <v>3.2730525688025043E-2</v>
      </c>
      <c r="Y103" s="8">
        <v>3.9183382305484349E-2</v>
      </c>
      <c r="Z103" s="8">
        <v>2.9860747907949792E-2</v>
      </c>
      <c r="AA103" s="8">
        <v>-5.8243798701814731E-3</v>
      </c>
    </row>
    <row r="104" spans="2:27" x14ac:dyDescent="0.3">
      <c r="B104" s="12" t="s">
        <v>83</v>
      </c>
      <c r="C104" s="3" t="s">
        <v>642</v>
      </c>
      <c r="D104" s="3" t="s">
        <v>696</v>
      </c>
      <c r="E104" s="3" t="s">
        <v>648</v>
      </c>
      <c r="F104" s="5">
        <v>-0.9</v>
      </c>
      <c r="G104" s="4">
        <v>4275</v>
      </c>
      <c r="H104" s="4">
        <v>4433</v>
      </c>
      <c r="I104" s="4">
        <v>4494</v>
      </c>
      <c r="J104" s="4">
        <v>1651</v>
      </c>
      <c r="K104" s="4">
        <v>1076</v>
      </c>
      <c r="L104" s="46">
        <v>1192</v>
      </c>
      <c r="M104" s="46">
        <v>1925</v>
      </c>
      <c r="N104" s="46">
        <v>1203</v>
      </c>
      <c r="O104" s="46">
        <v>-1181</v>
      </c>
      <c r="P104" s="46">
        <v>1072</v>
      </c>
      <c r="Q104" s="46">
        <v>1046</v>
      </c>
      <c r="R104" s="46">
        <v>773</v>
      </c>
      <c r="S104" s="45">
        <v>549</v>
      </c>
      <c r="T104" s="46">
        <v>825</v>
      </c>
      <c r="U104" s="46">
        <v>74</v>
      </c>
      <c r="V104" s="46">
        <v>641</v>
      </c>
      <c r="W104" s="46">
        <v>531</v>
      </c>
      <c r="X104" s="10">
        <v>-7.1802325581395321E-2</v>
      </c>
      <c r="Y104" s="8">
        <v>-0.3044159098026934</v>
      </c>
      <c r="Z104" s="8">
        <v>-5.9432687978388077E-2</v>
      </c>
      <c r="AA104" s="8">
        <v>-8.6165629487793272E-3</v>
      </c>
    </row>
    <row r="105" spans="2:27" x14ac:dyDescent="0.3">
      <c r="B105" s="12" t="s">
        <v>81</v>
      </c>
      <c r="C105" s="3" t="s">
        <v>642</v>
      </c>
      <c r="D105" s="3" t="s">
        <v>649</v>
      </c>
      <c r="E105" s="3" t="s">
        <v>648</v>
      </c>
      <c r="F105" s="5">
        <v>-0.9</v>
      </c>
      <c r="G105" s="4">
        <v>297.26</v>
      </c>
      <c r="H105" s="4">
        <v>151.32</v>
      </c>
      <c r="I105" s="4">
        <v>108.55</v>
      </c>
      <c r="J105" s="4">
        <v>-0.12</v>
      </c>
      <c r="K105" s="6">
        <v>434.96</v>
      </c>
      <c r="L105" s="46">
        <v>185.37</v>
      </c>
      <c r="M105" s="45">
        <v>261.25</v>
      </c>
      <c r="N105" s="45">
        <v>176.58</v>
      </c>
      <c r="O105" s="46">
        <v>289.06</v>
      </c>
      <c r="P105" s="46">
        <v>174.37</v>
      </c>
      <c r="Q105" s="46">
        <v>229.57</v>
      </c>
      <c r="R105" s="45">
        <v>280.29000000000002</v>
      </c>
      <c r="S105" s="46">
        <v>300.01</v>
      </c>
      <c r="T105" s="46">
        <v>131.68</v>
      </c>
      <c r="U105" s="46">
        <v>263.95999999999998</v>
      </c>
      <c r="V105" s="45">
        <v>399.46</v>
      </c>
      <c r="W105" s="46">
        <v>290.38</v>
      </c>
      <c r="X105" s="10">
        <v>-4.3373567422579917E-2</v>
      </c>
      <c r="Y105" s="8">
        <v>3.6524879188572168E-2</v>
      </c>
      <c r="Z105" s="9">
        <v>0.1221079164702747</v>
      </c>
      <c r="AA105" s="8">
        <v>-8.7936371688688286E-3</v>
      </c>
    </row>
    <row r="106" spans="2:27" x14ac:dyDescent="0.3">
      <c r="B106" s="12" t="s">
        <v>534</v>
      </c>
      <c r="C106" s="3" t="s">
        <v>642</v>
      </c>
      <c r="D106" s="3" t="s">
        <v>661</v>
      </c>
      <c r="E106" s="3" t="s">
        <v>646</v>
      </c>
      <c r="F106" s="5">
        <v>-1</v>
      </c>
      <c r="G106" s="4">
        <v>31.45</v>
      </c>
      <c r="H106" s="4">
        <v>32.92</v>
      </c>
      <c r="I106" s="4">
        <v>27.4</v>
      </c>
      <c r="J106" s="4">
        <v>34.89</v>
      </c>
      <c r="K106" s="4">
        <v>39.43</v>
      </c>
      <c r="L106" s="46">
        <v>34.28</v>
      </c>
      <c r="M106" s="46">
        <v>0</v>
      </c>
      <c r="N106" s="46">
        <v>24.29</v>
      </c>
      <c r="O106" s="46">
        <v>27.53</v>
      </c>
      <c r="P106" s="46">
        <v>21.98</v>
      </c>
      <c r="Q106" s="45">
        <v>23.68</v>
      </c>
      <c r="R106" s="46">
        <v>23.15</v>
      </c>
      <c r="S106" s="46">
        <v>20.05</v>
      </c>
      <c r="T106" s="46">
        <v>23.45</v>
      </c>
      <c r="U106" s="46">
        <v>28.59</v>
      </c>
      <c r="V106" s="46">
        <v>26.51</v>
      </c>
      <c r="W106" s="46">
        <v>19.079999999999998</v>
      </c>
      <c r="X106" s="10">
        <v>1.6542876434841199E-2</v>
      </c>
      <c r="Y106" s="8">
        <v>5.4356249308092457E-2</v>
      </c>
      <c r="Z106" s="8">
        <v>3.5279294414111817E-2</v>
      </c>
      <c r="AA106" s="8">
        <v>-9.8377281947261697E-3</v>
      </c>
    </row>
    <row r="107" spans="2:27" x14ac:dyDescent="0.3">
      <c r="B107" s="12" t="s">
        <v>488</v>
      </c>
      <c r="C107" s="3" t="s">
        <v>642</v>
      </c>
      <c r="D107" s="3" t="s">
        <v>721</v>
      </c>
      <c r="E107" s="3" t="s">
        <v>717</v>
      </c>
      <c r="F107" s="5">
        <v>-2.2999999999999998</v>
      </c>
      <c r="G107" s="4">
        <v>15.28</v>
      </c>
      <c r="H107" s="4">
        <v>27.84</v>
      </c>
      <c r="I107" s="4">
        <v>33.17</v>
      </c>
      <c r="J107" s="4">
        <v>33.06</v>
      </c>
      <c r="K107" s="6">
        <v>31.42</v>
      </c>
      <c r="L107" s="46">
        <v>37.770000000000003</v>
      </c>
      <c r="M107" s="46">
        <v>35.869999999999997</v>
      </c>
      <c r="N107" s="46">
        <v>37.92</v>
      </c>
      <c r="O107" s="46">
        <v>0</v>
      </c>
      <c r="P107" s="46">
        <v>29.82</v>
      </c>
      <c r="Q107" s="46">
        <v>35.47</v>
      </c>
      <c r="R107" s="46">
        <v>42.11</v>
      </c>
      <c r="S107" s="45">
        <v>52.38</v>
      </c>
      <c r="T107" s="45">
        <v>56.38</v>
      </c>
      <c r="U107" s="45">
        <v>61.91</v>
      </c>
      <c r="V107" s="46">
        <v>56.55</v>
      </c>
      <c r="W107" s="46">
        <v>47.13</v>
      </c>
      <c r="X107" s="7">
        <v>0.1662285642758794</v>
      </c>
      <c r="Y107" s="9">
        <v>0.14189116668455501</v>
      </c>
      <c r="Z107" s="8">
        <v>6.7863521007613503E-2</v>
      </c>
      <c r="AA107" s="8">
        <v>-2.310536044362288E-2</v>
      </c>
    </row>
    <row r="108" spans="2:27" x14ac:dyDescent="0.3">
      <c r="B108" s="12" t="s">
        <v>317</v>
      </c>
      <c r="C108" s="3" t="s">
        <v>642</v>
      </c>
      <c r="D108" s="3" t="s">
        <v>690</v>
      </c>
      <c r="E108" s="3" t="s">
        <v>648</v>
      </c>
      <c r="F108" s="5">
        <v>-2.5</v>
      </c>
      <c r="G108" s="4">
        <v>235.7</v>
      </c>
      <c r="H108" s="4">
        <v>320.8</v>
      </c>
      <c r="I108" s="4">
        <v>335.6</v>
      </c>
      <c r="J108" s="4">
        <v>313.7</v>
      </c>
      <c r="K108" s="4">
        <v>302.39999999999998</v>
      </c>
      <c r="L108" s="46">
        <v>276.5</v>
      </c>
      <c r="M108" s="46">
        <v>287.7</v>
      </c>
      <c r="N108" s="46">
        <v>264.89999999999998</v>
      </c>
      <c r="O108" s="46">
        <v>250.1</v>
      </c>
      <c r="P108" s="46">
        <v>262.8</v>
      </c>
      <c r="Q108" s="46">
        <v>236</v>
      </c>
      <c r="R108" s="46">
        <v>232.7</v>
      </c>
      <c r="S108" s="46">
        <v>267.39999999999998</v>
      </c>
      <c r="T108" s="46">
        <v>248.6</v>
      </c>
      <c r="U108" s="46">
        <v>257.39999999999998</v>
      </c>
      <c r="V108" s="46">
        <v>263.89999999999998</v>
      </c>
      <c r="W108" s="46">
        <v>241.2</v>
      </c>
      <c r="X108" s="10">
        <v>-1.421563720092101E-2</v>
      </c>
      <c r="Y108" s="8">
        <v>2.173250736264842E-2</v>
      </c>
      <c r="Z108" s="8">
        <v>3.1010833913129861E-2</v>
      </c>
      <c r="AA108" s="8">
        <v>-2.525788103730842E-2</v>
      </c>
    </row>
    <row r="109" spans="2:27" x14ac:dyDescent="0.3">
      <c r="B109" s="12" t="s">
        <v>14</v>
      </c>
      <c r="C109" s="3" t="s">
        <v>642</v>
      </c>
      <c r="D109" s="3" t="s">
        <v>685</v>
      </c>
      <c r="E109" s="3" t="s">
        <v>648</v>
      </c>
      <c r="F109" s="5">
        <v>-2.5</v>
      </c>
      <c r="G109" s="4">
        <v>1498</v>
      </c>
      <c r="H109" s="4">
        <v>1540</v>
      </c>
      <c r="I109" s="4">
        <v>1640</v>
      </c>
      <c r="J109" s="4">
        <v>1662</v>
      </c>
      <c r="K109" s="4">
        <v>1803</v>
      </c>
      <c r="L109" s="46">
        <v>1996</v>
      </c>
      <c r="M109" s="46">
        <v>2057</v>
      </c>
      <c r="N109" s="46">
        <v>2090</v>
      </c>
      <c r="O109" s="46">
        <v>2143</v>
      </c>
      <c r="P109" s="46">
        <v>2102</v>
      </c>
      <c r="Q109" s="46">
        <v>2231</v>
      </c>
      <c r="R109" s="46">
        <v>2236</v>
      </c>
      <c r="S109" s="46">
        <v>2313</v>
      </c>
      <c r="T109" s="46">
        <v>2295</v>
      </c>
      <c r="U109" s="46">
        <v>2401</v>
      </c>
      <c r="V109" s="46">
        <v>2407</v>
      </c>
      <c r="W109" s="46">
        <v>2075</v>
      </c>
      <c r="X109" s="10">
        <v>2.1729340238684891E-2</v>
      </c>
      <c r="Y109" s="8">
        <v>1.8732782369146109E-2</v>
      </c>
      <c r="Z109" s="8">
        <v>1.849648458626274E-2</v>
      </c>
      <c r="AA109" s="8">
        <v>-2.5276125743415419E-2</v>
      </c>
    </row>
    <row r="110" spans="2:27" x14ac:dyDescent="0.3">
      <c r="B110" s="12" t="s">
        <v>368</v>
      </c>
      <c r="C110" s="3" t="s">
        <v>642</v>
      </c>
      <c r="D110" s="3" t="s">
        <v>704</v>
      </c>
      <c r="E110" s="3" t="s">
        <v>650</v>
      </c>
      <c r="F110" s="5">
        <v>-2.8</v>
      </c>
      <c r="G110" s="4">
        <v>82.59</v>
      </c>
      <c r="H110" s="4">
        <v>83.58</v>
      </c>
      <c r="I110" s="4">
        <v>87.01</v>
      </c>
      <c r="J110" s="4">
        <v>84.38</v>
      </c>
      <c r="K110" s="4">
        <v>87.18</v>
      </c>
      <c r="L110" s="46">
        <v>89.22</v>
      </c>
      <c r="M110" s="46">
        <v>85.19</v>
      </c>
      <c r="N110" s="46">
        <v>88.25</v>
      </c>
      <c r="O110" s="46">
        <v>86.83</v>
      </c>
      <c r="P110" s="46">
        <v>82.15</v>
      </c>
      <c r="Q110" s="46">
        <v>72.05</v>
      </c>
      <c r="R110" s="46">
        <v>84.34</v>
      </c>
      <c r="S110" s="46">
        <v>91.96</v>
      </c>
      <c r="T110" s="46">
        <v>100.89</v>
      </c>
      <c r="U110" s="46">
        <v>71.760000000000005</v>
      </c>
      <c r="V110" s="46">
        <v>79.67</v>
      </c>
      <c r="W110" s="46">
        <v>82.49</v>
      </c>
      <c r="X110" s="10">
        <v>5.6701966717095383E-2</v>
      </c>
      <c r="Y110" s="8">
        <v>-8.3037452754564089E-4</v>
      </c>
      <c r="Z110" s="8">
        <v>-1.338300616134125E-2</v>
      </c>
      <c r="AA110" s="8">
        <v>-2.7506680608806681E-2</v>
      </c>
    </row>
    <row r="111" spans="2:27" x14ac:dyDescent="0.3">
      <c r="B111" s="12" t="s">
        <v>340</v>
      </c>
      <c r="C111" s="3" t="s">
        <v>642</v>
      </c>
      <c r="D111" s="3" t="s">
        <v>708</v>
      </c>
      <c r="E111" s="3" t="s">
        <v>717</v>
      </c>
      <c r="F111" s="5">
        <v>-3.1</v>
      </c>
      <c r="G111" s="4">
        <v>93.27</v>
      </c>
      <c r="H111" s="4">
        <v>94.69</v>
      </c>
      <c r="I111" s="4">
        <v>161.76</v>
      </c>
      <c r="J111" s="4">
        <v>174.03</v>
      </c>
      <c r="K111" s="4">
        <v>92.76</v>
      </c>
      <c r="L111" s="46">
        <v>67.63</v>
      </c>
      <c r="M111" s="46">
        <v>56.23</v>
      </c>
      <c r="N111" s="46">
        <v>75.58</v>
      </c>
      <c r="O111" s="46">
        <v>71.08</v>
      </c>
      <c r="P111" s="46">
        <v>57.32</v>
      </c>
      <c r="Q111" s="46">
        <v>59.34</v>
      </c>
      <c r="R111" s="46">
        <v>84.69</v>
      </c>
      <c r="S111" s="46">
        <v>74.42</v>
      </c>
      <c r="T111" s="46">
        <v>39.590000000000003</v>
      </c>
      <c r="U111" s="46">
        <v>65.569999999999993</v>
      </c>
      <c r="V111" s="46">
        <v>86.72</v>
      </c>
      <c r="W111" s="46">
        <v>66.290000000000006</v>
      </c>
      <c r="X111" s="10">
        <v>-6.4292707691191775E-2</v>
      </c>
      <c r="Y111" s="8">
        <v>2.4143543636645282E-2</v>
      </c>
      <c r="Z111" s="8">
        <v>7.681537821167872E-3</v>
      </c>
      <c r="AA111" s="8">
        <v>-3.0529478032294329E-2</v>
      </c>
    </row>
    <row r="112" spans="2:27" x14ac:dyDescent="0.3">
      <c r="B112" s="12" t="s">
        <v>160</v>
      </c>
      <c r="C112" s="3" t="s">
        <v>642</v>
      </c>
      <c r="D112" s="3" t="s">
        <v>677</v>
      </c>
      <c r="E112" s="3" t="s">
        <v>650</v>
      </c>
      <c r="F112" s="5">
        <v>-3.3</v>
      </c>
      <c r="G112" s="4">
        <v>35.79</v>
      </c>
      <c r="H112" s="4">
        <v>28.18</v>
      </c>
      <c r="I112" s="4">
        <v>21.66</v>
      </c>
      <c r="J112" s="4">
        <v>32.06</v>
      </c>
      <c r="K112" s="4">
        <v>38.9</v>
      </c>
      <c r="L112" s="46">
        <v>33.25</v>
      </c>
      <c r="M112" s="46">
        <v>29.95</v>
      </c>
      <c r="N112" s="46">
        <v>41.78</v>
      </c>
      <c r="O112" s="45">
        <v>59</v>
      </c>
      <c r="P112" s="46">
        <v>42.04</v>
      </c>
      <c r="Q112" s="46">
        <v>46.26</v>
      </c>
      <c r="R112" s="46">
        <v>55.67</v>
      </c>
      <c r="S112" s="45">
        <v>80.02</v>
      </c>
      <c r="T112" s="46">
        <v>48.85</v>
      </c>
      <c r="U112" s="46">
        <v>54.69</v>
      </c>
      <c r="V112" s="46">
        <v>64.959999999999994</v>
      </c>
      <c r="W112" s="46">
        <v>71.900000000000006</v>
      </c>
      <c r="X112" s="10">
        <v>3.0403142997455172E-2</v>
      </c>
      <c r="Y112" s="8">
        <v>3.6525129982668991E-2</v>
      </c>
      <c r="Z112" s="8">
        <v>3.8832922292354688E-2</v>
      </c>
      <c r="AA112" s="8">
        <v>-3.2673426685980937E-2</v>
      </c>
    </row>
    <row r="113" spans="2:27" x14ac:dyDescent="0.3">
      <c r="B113" s="12" t="s">
        <v>120</v>
      </c>
      <c r="C113" s="3" t="s">
        <v>642</v>
      </c>
      <c r="D113" s="3" t="s">
        <v>701</v>
      </c>
      <c r="E113" s="3" t="s">
        <v>648</v>
      </c>
      <c r="F113" s="5">
        <v>-3.6</v>
      </c>
      <c r="G113" s="4">
        <v>1249</v>
      </c>
      <c r="H113" s="4">
        <v>1451</v>
      </c>
      <c r="I113" s="4">
        <v>1398</v>
      </c>
      <c r="J113" s="4">
        <v>1420</v>
      </c>
      <c r="K113" s="4">
        <v>1258</v>
      </c>
      <c r="L113" s="46">
        <v>1364</v>
      </c>
      <c r="M113" s="46">
        <v>1440</v>
      </c>
      <c r="N113" s="46">
        <v>1462</v>
      </c>
      <c r="O113" s="46">
        <v>1341</v>
      </c>
      <c r="P113" s="46">
        <v>1319</v>
      </c>
      <c r="Q113" s="46">
        <v>1444</v>
      </c>
      <c r="R113" s="46">
        <v>1479</v>
      </c>
      <c r="S113" s="46">
        <v>1372</v>
      </c>
      <c r="T113" s="46">
        <v>1311</v>
      </c>
      <c r="U113" s="46">
        <v>1413</v>
      </c>
      <c r="V113" s="46">
        <v>1479</v>
      </c>
      <c r="W113" s="46">
        <v>1172</v>
      </c>
      <c r="X113" s="10">
        <v>-1.425008906305703E-3</v>
      </c>
      <c r="Y113" s="8">
        <v>-5.529789511237948E-3</v>
      </c>
      <c r="Z113" s="8">
        <v>0</v>
      </c>
      <c r="AA113" s="8">
        <v>-3.5874439461883401E-2</v>
      </c>
    </row>
    <row r="114" spans="2:27" x14ac:dyDescent="0.3">
      <c r="B114" s="12" t="s">
        <v>85</v>
      </c>
      <c r="C114" s="3" t="s">
        <v>642</v>
      </c>
      <c r="D114" s="3" t="s">
        <v>660</v>
      </c>
      <c r="E114" s="3" t="s">
        <v>648</v>
      </c>
      <c r="F114" s="5">
        <v>-4</v>
      </c>
      <c r="G114" s="4">
        <v>123</v>
      </c>
      <c r="H114" s="4">
        <v>136.71</v>
      </c>
      <c r="I114" s="4">
        <v>141.63</v>
      </c>
      <c r="J114" s="4">
        <v>130.34</v>
      </c>
      <c r="K114" s="6">
        <v>182.63</v>
      </c>
      <c r="L114" s="46">
        <v>141.38999999999999</v>
      </c>
      <c r="M114" s="46">
        <v>162.5</v>
      </c>
      <c r="N114" s="46">
        <v>80.400000000000006</v>
      </c>
      <c r="O114" s="46">
        <v>237.23</v>
      </c>
      <c r="P114" s="46">
        <v>146.58000000000001</v>
      </c>
      <c r="Q114" s="46">
        <v>180.07</v>
      </c>
      <c r="R114" s="45">
        <v>178.48</v>
      </c>
      <c r="S114" s="46">
        <v>271.76</v>
      </c>
      <c r="T114" s="46">
        <v>191.3</v>
      </c>
      <c r="U114" s="46">
        <v>231.31</v>
      </c>
      <c r="V114" s="46">
        <v>233.98</v>
      </c>
      <c r="W114" s="46">
        <v>234.89</v>
      </c>
      <c r="X114" s="10">
        <v>5.756284673505907E-2</v>
      </c>
      <c r="Y114" s="8">
        <v>6.2365355825756863E-2</v>
      </c>
      <c r="Z114" s="8">
        <v>6.3584808386320635E-2</v>
      </c>
      <c r="AA114" s="8">
        <v>-3.9715624495071933E-2</v>
      </c>
    </row>
    <row r="115" spans="2:27" x14ac:dyDescent="0.3">
      <c r="B115" s="12" t="s">
        <v>396</v>
      </c>
      <c r="C115" s="3" t="s">
        <v>642</v>
      </c>
      <c r="D115" s="3" t="s">
        <v>661</v>
      </c>
      <c r="E115" s="3" t="s">
        <v>648</v>
      </c>
      <c r="F115" s="5">
        <v>-4.3</v>
      </c>
      <c r="G115" s="4">
        <v>95</v>
      </c>
      <c r="H115" s="4">
        <v>81.22</v>
      </c>
      <c r="I115" s="4">
        <v>131.88999999999999</v>
      </c>
      <c r="J115" s="4">
        <v>91.01</v>
      </c>
      <c r="K115" s="4">
        <v>115.79</v>
      </c>
      <c r="L115" s="46">
        <v>81.31</v>
      </c>
      <c r="M115" s="46">
        <v>114.95</v>
      </c>
      <c r="N115" s="46">
        <v>102.78</v>
      </c>
      <c r="O115" s="46">
        <v>123.94</v>
      </c>
      <c r="P115" s="46">
        <v>105.79</v>
      </c>
      <c r="Q115" s="46">
        <v>116.63</v>
      </c>
      <c r="R115" s="46">
        <v>100.72</v>
      </c>
      <c r="S115" s="46">
        <v>90.95</v>
      </c>
      <c r="T115" s="46">
        <v>83.8</v>
      </c>
      <c r="U115" s="46">
        <v>106.3</v>
      </c>
      <c r="V115" s="46">
        <v>108.02</v>
      </c>
      <c r="W115" s="46">
        <v>74.040000000000006</v>
      </c>
      <c r="X115" s="10">
        <v>-5.310439759472585E-2</v>
      </c>
      <c r="Y115" s="8">
        <v>-2.6345320071410439E-2</v>
      </c>
      <c r="Z115" s="8">
        <v>1.9121460565261868E-2</v>
      </c>
      <c r="AA115" s="8">
        <v>-4.3462615981699981E-2</v>
      </c>
    </row>
    <row r="116" spans="2:27" x14ac:dyDescent="0.3">
      <c r="B116" s="12" t="s">
        <v>258</v>
      </c>
      <c r="C116" s="3" t="s">
        <v>642</v>
      </c>
      <c r="D116" s="3" t="s">
        <v>649</v>
      </c>
      <c r="E116" s="3" t="s">
        <v>717</v>
      </c>
      <c r="F116" s="5">
        <v>-4.5999999999999996</v>
      </c>
      <c r="G116" s="4">
        <v>208.4</v>
      </c>
      <c r="H116" s="4">
        <v>252.7</v>
      </c>
      <c r="I116" s="4">
        <v>241.3</v>
      </c>
      <c r="J116" s="4">
        <v>230.8</v>
      </c>
      <c r="K116" s="4">
        <v>181.5</v>
      </c>
      <c r="L116" s="46">
        <v>116.9</v>
      </c>
      <c r="M116" s="46">
        <v>167.4</v>
      </c>
      <c r="N116" s="46">
        <v>168.8</v>
      </c>
      <c r="O116" s="46">
        <v>198.9</v>
      </c>
      <c r="P116" s="46">
        <v>149.9</v>
      </c>
      <c r="Q116" s="46">
        <v>148.5</v>
      </c>
      <c r="R116" s="46">
        <v>174.4</v>
      </c>
      <c r="S116" s="46">
        <v>176.4</v>
      </c>
      <c r="T116" s="46">
        <v>167.1</v>
      </c>
      <c r="U116" s="46">
        <v>73.8</v>
      </c>
      <c r="V116" s="46">
        <v>115</v>
      </c>
      <c r="W116" s="46">
        <v>152</v>
      </c>
      <c r="X116" s="10">
        <v>2.649414664202077E-2</v>
      </c>
      <c r="Y116" s="8">
        <v>-0.1120948379351739</v>
      </c>
      <c r="Z116" s="8">
        <v>-0.1003887104951835</v>
      </c>
      <c r="AA116" s="8">
        <v>-4.5838812699605443E-2</v>
      </c>
    </row>
    <row r="117" spans="2:27" x14ac:dyDescent="0.3">
      <c r="B117" s="12" t="s">
        <v>290</v>
      </c>
      <c r="C117" s="3" t="s">
        <v>642</v>
      </c>
      <c r="D117" s="3" t="s">
        <v>659</v>
      </c>
      <c r="E117" s="3" t="s">
        <v>646</v>
      </c>
      <c r="F117" s="5">
        <v>-4.8</v>
      </c>
      <c r="G117" s="4">
        <v>-76.08</v>
      </c>
      <c r="H117" s="4">
        <v>-83.18</v>
      </c>
      <c r="I117" s="4">
        <v>-79.66</v>
      </c>
      <c r="J117" s="4">
        <v>-87.69</v>
      </c>
      <c r="K117" s="6">
        <v>-112.46</v>
      </c>
      <c r="L117" s="46">
        <v>-54.22</v>
      </c>
      <c r="M117" s="46">
        <v>10.8</v>
      </c>
      <c r="N117" s="46">
        <v>-56.65</v>
      </c>
      <c r="O117" s="46">
        <v>-42.58</v>
      </c>
      <c r="P117" s="46">
        <v>-25.52</v>
      </c>
      <c r="Q117" s="45">
        <v>-21.83</v>
      </c>
      <c r="R117" s="46">
        <v>-7.7</v>
      </c>
      <c r="S117" s="46">
        <v>-21.71</v>
      </c>
      <c r="T117" s="46">
        <v>-28.95</v>
      </c>
      <c r="U117" s="46">
        <v>-22.25</v>
      </c>
      <c r="V117" s="46">
        <v>-11.85</v>
      </c>
      <c r="W117" s="46">
        <v>-17.66</v>
      </c>
      <c r="X117" s="10">
        <v>4.4684731631057677E-2</v>
      </c>
      <c r="Y117" s="8">
        <v>5.2375607931163248E-3</v>
      </c>
      <c r="Z117" s="8">
        <v>5.1482446346607258E-2</v>
      </c>
      <c r="AA117" s="8">
        <v>-4.7781972628598512E-2</v>
      </c>
    </row>
    <row r="118" spans="2:27" x14ac:dyDescent="0.3">
      <c r="B118" s="12" t="s">
        <v>490</v>
      </c>
      <c r="C118" s="3" t="s">
        <v>642</v>
      </c>
      <c r="D118" s="3" t="s">
        <v>656</v>
      </c>
      <c r="E118" s="3" t="s">
        <v>650</v>
      </c>
      <c r="F118" s="5">
        <v>-5.0999999999999996</v>
      </c>
      <c r="G118" s="4">
        <v>205</v>
      </c>
      <c r="H118" s="4">
        <v>9.3000000000000007</v>
      </c>
      <c r="I118" s="4">
        <v>-82.2</v>
      </c>
      <c r="J118" s="4">
        <v>21.7</v>
      </c>
      <c r="K118" s="4">
        <v>191.5</v>
      </c>
      <c r="L118" s="46">
        <v>19.5</v>
      </c>
      <c r="M118" s="46">
        <v>-99.7</v>
      </c>
      <c r="N118" s="46">
        <v>15.5</v>
      </c>
      <c r="O118" s="45">
        <v>204.4</v>
      </c>
      <c r="P118" s="45">
        <v>36.9</v>
      </c>
      <c r="Q118" s="46">
        <v>-96.9</v>
      </c>
      <c r="R118" s="46">
        <v>1.6</v>
      </c>
      <c r="S118" s="46">
        <v>204.3</v>
      </c>
      <c r="T118" s="45">
        <v>52.2</v>
      </c>
      <c r="U118" s="46">
        <v>-158.69999999999999</v>
      </c>
      <c r="V118" s="46">
        <v>-17.600000000000001</v>
      </c>
      <c r="W118" s="46">
        <v>200.2</v>
      </c>
      <c r="X118" s="7">
        <v>0.10486634681288561</v>
      </c>
      <c r="Y118" s="8">
        <v>-0.38337468982630257</v>
      </c>
      <c r="Z118" s="8">
        <v>-0.19315895372233399</v>
      </c>
      <c r="AA118" s="8">
        <v>-5.1122194513716017E-2</v>
      </c>
    </row>
    <row r="119" spans="2:27" x14ac:dyDescent="0.3">
      <c r="B119" s="12" t="s">
        <v>319</v>
      </c>
      <c r="C119" s="3" t="s">
        <v>642</v>
      </c>
      <c r="D119" s="3" t="s">
        <v>705</v>
      </c>
      <c r="E119" s="3" t="s">
        <v>648</v>
      </c>
      <c r="F119" s="5">
        <v>-6.4</v>
      </c>
      <c r="G119" s="4">
        <v>202.01</v>
      </c>
      <c r="H119" s="4">
        <v>235.87</v>
      </c>
      <c r="I119" s="4">
        <v>328.26</v>
      </c>
      <c r="J119" s="4">
        <v>311.75</v>
      </c>
      <c r="K119" s="4">
        <v>197.91</v>
      </c>
      <c r="L119" s="46">
        <v>126.93</v>
      </c>
      <c r="M119" s="46">
        <v>121.33</v>
      </c>
      <c r="N119" s="46">
        <v>148.13</v>
      </c>
      <c r="O119" s="46">
        <v>138.09</v>
      </c>
      <c r="P119" s="46">
        <v>124.56</v>
      </c>
      <c r="Q119" s="46">
        <v>134.35</v>
      </c>
      <c r="R119" s="46">
        <v>129.01</v>
      </c>
      <c r="S119" s="46">
        <v>124.07</v>
      </c>
      <c r="T119" s="46">
        <v>135.82</v>
      </c>
      <c r="U119" s="46">
        <v>107.81</v>
      </c>
      <c r="V119" s="46">
        <v>101.46</v>
      </c>
      <c r="W119" s="46">
        <v>94.08</v>
      </c>
      <c r="X119" s="10">
        <v>2.199261704330158E-2</v>
      </c>
      <c r="Y119" s="8">
        <v>-5.0721452460582912E-2</v>
      </c>
      <c r="Z119" s="8">
        <v>-5.5464959433069623E-2</v>
      </c>
      <c r="AA119" s="8">
        <v>-6.3922755563134093E-2</v>
      </c>
    </row>
    <row r="120" spans="2:27" x14ac:dyDescent="0.3">
      <c r="B120" s="12" t="s">
        <v>263</v>
      </c>
      <c r="C120" s="3" t="s">
        <v>642</v>
      </c>
      <c r="D120" s="3" t="s">
        <v>694</v>
      </c>
      <c r="E120" s="3" t="s">
        <v>648</v>
      </c>
      <c r="F120" s="5">
        <v>-6.7</v>
      </c>
      <c r="G120" s="4">
        <v>227.88</v>
      </c>
      <c r="H120" s="4">
        <v>240.13</v>
      </c>
      <c r="I120" s="4">
        <v>245.57</v>
      </c>
      <c r="J120" s="4">
        <v>240.08</v>
      </c>
      <c r="K120" s="4">
        <v>263.01</v>
      </c>
      <c r="L120" s="46">
        <v>269.32</v>
      </c>
      <c r="M120" s="46">
        <v>244.03</v>
      </c>
      <c r="N120" s="46">
        <v>217.68</v>
      </c>
      <c r="O120" s="46">
        <v>257.82</v>
      </c>
      <c r="P120" s="46">
        <v>229.89</v>
      </c>
      <c r="Q120" s="46">
        <v>234.11</v>
      </c>
      <c r="R120" s="46">
        <v>223.98</v>
      </c>
      <c r="S120" s="46">
        <v>260.14999999999998</v>
      </c>
      <c r="T120" s="46">
        <v>232.16</v>
      </c>
      <c r="U120" s="46">
        <v>244.17</v>
      </c>
      <c r="V120" s="46">
        <v>206.78</v>
      </c>
      <c r="W120" s="46">
        <v>197.39</v>
      </c>
      <c r="X120" s="10">
        <v>2.3941864512251332E-3</v>
      </c>
      <c r="Y120" s="8">
        <v>1.0585016835016781E-2</v>
      </c>
      <c r="Z120" s="8">
        <v>-1.7908085708931099E-2</v>
      </c>
      <c r="AA120" s="8">
        <v>-6.6535207683989572E-2</v>
      </c>
    </row>
    <row r="121" spans="2:27" x14ac:dyDescent="0.3">
      <c r="B121" s="12" t="s">
        <v>546</v>
      </c>
      <c r="C121" s="3" t="s">
        <v>642</v>
      </c>
      <c r="D121" s="3" t="s">
        <v>695</v>
      </c>
      <c r="E121" s="3" t="s">
        <v>646</v>
      </c>
      <c r="F121" s="5">
        <v>-6.9</v>
      </c>
      <c r="G121" s="4">
        <v>-4.8600000000000003</v>
      </c>
      <c r="H121" s="4">
        <v>1.06</v>
      </c>
      <c r="I121" s="4">
        <v>-5.79</v>
      </c>
      <c r="J121" s="4">
        <v>-4.9000000000000004</v>
      </c>
      <c r="K121" s="6">
        <v>-9.17</v>
      </c>
      <c r="L121" s="45">
        <v>-1.41</v>
      </c>
      <c r="M121" s="46">
        <v>-5.34</v>
      </c>
      <c r="N121" s="45">
        <v>-9.9</v>
      </c>
      <c r="O121" s="46">
        <v>-11.4</v>
      </c>
      <c r="P121" s="45">
        <v>-5.33</v>
      </c>
      <c r="Q121" s="46">
        <v>-1.44</v>
      </c>
      <c r="R121" s="46">
        <v>-1.21</v>
      </c>
      <c r="S121" s="46">
        <v>3.61</v>
      </c>
      <c r="T121" s="46">
        <v>4.91</v>
      </c>
      <c r="U121" s="45">
        <v>20.97</v>
      </c>
      <c r="V121" s="45">
        <v>4.79</v>
      </c>
      <c r="W121" s="46">
        <v>1.25</v>
      </c>
      <c r="X121" s="10">
        <v>-2.3432494279176201</v>
      </c>
      <c r="Y121" s="9">
        <v>3.8177172061328788</v>
      </c>
      <c r="Z121" s="9">
        <v>0.21216407355021241</v>
      </c>
      <c r="AA121" s="8">
        <v>-6.884480746791144E-2</v>
      </c>
    </row>
    <row r="122" spans="2:27" x14ac:dyDescent="0.3">
      <c r="B122" s="12" t="s">
        <v>95</v>
      </c>
      <c r="C122" s="3" t="s">
        <v>642</v>
      </c>
      <c r="D122" s="3" t="s">
        <v>659</v>
      </c>
      <c r="E122" s="3" t="s">
        <v>646</v>
      </c>
      <c r="F122" s="5">
        <v>-7</v>
      </c>
      <c r="G122" s="4">
        <v>23.04</v>
      </c>
      <c r="H122" s="4">
        <v>32.9</v>
      </c>
      <c r="I122" s="4">
        <v>-42.33</v>
      </c>
      <c r="J122" s="4">
        <v>-34.03</v>
      </c>
      <c r="K122" s="6">
        <v>-99.24</v>
      </c>
      <c r="L122" s="45">
        <v>-63.72</v>
      </c>
      <c r="M122" s="46">
        <v>-51.34</v>
      </c>
      <c r="N122" s="46">
        <v>-18.87</v>
      </c>
      <c r="O122" s="46">
        <v>-49.06</v>
      </c>
      <c r="P122" s="46">
        <v>17.8</v>
      </c>
      <c r="Q122" s="45">
        <v>-66.95</v>
      </c>
      <c r="R122" s="45">
        <v>-31.98</v>
      </c>
      <c r="S122" s="46">
        <v>-57.48</v>
      </c>
      <c r="T122" s="45">
        <v>-12.46</v>
      </c>
      <c r="U122" s="46">
        <v>-28.48</v>
      </c>
      <c r="V122" s="46">
        <v>-40.659999999999997</v>
      </c>
      <c r="W122" s="46">
        <v>-47.75</v>
      </c>
      <c r="X122" s="7">
        <v>0.21831036721737229</v>
      </c>
      <c r="Y122" s="8">
        <v>-0.22780837330490911</v>
      </c>
      <c r="Z122" s="8">
        <v>6.6564417177913837E-2</v>
      </c>
      <c r="AA122" s="8">
        <v>-6.9959735404083956E-2</v>
      </c>
    </row>
    <row r="123" spans="2:27" x14ac:dyDescent="0.3">
      <c r="B123" s="12" t="s">
        <v>34</v>
      </c>
      <c r="C123" s="3" t="s">
        <v>642</v>
      </c>
      <c r="D123" s="3" t="s">
        <v>673</v>
      </c>
      <c r="E123" s="3" t="s">
        <v>648</v>
      </c>
      <c r="F123" s="5">
        <v>-7</v>
      </c>
      <c r="G123" s="4">
        <v>418</v>
      </c>
      <c r="H123" s="4">
        <v>709</v>
      </c>
      <c r="I123" s="4">
        <v>790</v>
      </c>
      <c r="J123" s="4">
        <v>594</v>
      </c>
      <c r="K123" s="6">
        <v>780</v>
      </c>
      <c r="L123" s="46">
        <v>938</v>
      </c>
      <c r="M123" s="46">
        <v>895</v>
      </c>
      <c r="N123" s="46">
        <v>865</v>
      </c>
      <c r="O123" s="46">
        <v>748</v>
      </c>
      <c r="P123" s="46">
        <v>830</v>
      </c>
      <c r="Q123" s="46">
        <v>964</v>
      </c>
      <c r="R123" s="46">
        <v>993</v>
      </c>
      <c r="S123" s="46">
        <v>989</v>
      </c>
      <c r="T123" s="46">
        <v>1020</v>
      </c>
      <c r="U123" s="46">
        <v>1125</v>
      </c>
      <c r="V123" s="46">
        <v>1009</v>
      </c>
      <c r="W123" s="46">
        <v>697</v>
      </c>
      <c r="X123" s="10">
        <v>5.0317796610169552E-2</v>
      </c>
      <c r="Y123" s="8">
        <v>4.0595057992939942E-2</v>
      </c>
      <c r="Z123" s="8">
        <v>3.876908165737714E-3</v>
      </c>
      <c r="AA123" s="8">
        <v>-7.0480328264542647E-2</v>
      </c>
    </row>
    <row r="124" spans="2:27" x14ac:dyDescent="0.3">
      <c r="B124" s="12" t="s">
        <v>243</v>
      </c>
      <c r="C124" s="3" t="s">
        <v>642</v>
      </c>
      <c r="D124" s="3" t="s">
        <v>663</v>
      </c>
      <c r="E124" s="3" t="s">
        <v>648</v>
      </c>
      <c r="F124" s="5">
        <v>-8.4</v>
      </c>
      <c r="G124" s="4">
        <v>482</v>
      </c>
      <c r="H124" s="4">
        <v>510</v>
      </c>
      <c r="I124" s="4">
        <v>497</v>
      </c>
      <c r="J124" s="4">
        <v>536</v>
      </c>
      <c r="K124" s="4">
        <v>556</v>
      </c>
      <c r="L124" s="46">
        <v>444</v>
      </c>
      <c r="M124" s="46">
        <v>455</v>
      </c>
      <c r="N124" s="46">
        <v>534</v>
      </c>
      <c r="O124" s="46">
        <v>438</v>
      </c>
      <c r="P124" s="46">
        <v>441</v>
      </c>
      <c r="Q124" s="46">
        <v>492</v>
      </c>
      <c r="R124" s="46">
        <v>487</v>
      </c>
      <c r="S124" s="46">
        <v>446</v>
      </c>
      <c r="T124" s="46">
        <v>435</v>
      </c>
      <c r="U124" s="46">
        <v>472</v>
      </c>
      <c r="V124" s="46">
        <v>502</v>
      </c>
      <c r="W124" s="46">
        <v>290</v>
      </c>
      <c r="X124" s="10">
        <v>-3.215434083601254E-3</v>
      </c>
      <c r="Y124" s="8">
        <v>-1.0752688172042999E-2</v>
      </c>
      <c r="Z124" s="8">
        <v>8.152173913043459E-3</v>
      </c>
      <c r="AA124" s="8">
        <v>-8.4097035040431312E-2</v>
      </c>
    </row>
    <row r="125" spans="2:27" x14ac:dyDescent="0.3">
      <c r="B125" s="12" t="s">
        <v>467</v>
      </c>
      <c r="C125" s="3" t="s">
        <v>642</v>
      </c>
      <c r="D125" s="3" t="s">
        <v>652</v>
      </c>
      <c r="E125" s="3" t="s">
        <v>644</v>
      </c>
      <c r="F125" s="5">
        <v>-8.9</v>
      </c>
      <c r="G125" s="4">
        <v>132.4</v>
      </c>
      <c r="H125" s="4">
        <v>73.400000000000006</v>
      </c>
      <c r="I125" s="4">
        <v>113.6</v>
      </c>
      <c r="J125" s="4">
        <v>116.8</v>
      </c>
      <c r="K125" s="4">
        <v>106.8</v>
      </c>
      <c r="L125" s="46">
        <v>101</v>
      </c>
      <c r="M125" s="46">
        <v>96.7</v>
      </c>
      <c r="N125" s="46">
        <v>152.69999999999999</v>
      </c>
      <c r="O125" s="46">
        <v>94.6</v>
      </c>
      <c r="P125" s="46">
        <v>110.1</v>
      </c>
      <c r="Q125" s="46">
        <v>111.5</v>
      </c>
      <c r="R125" s="46">
        <v>155.19999999999999</v>
      </c>
      <c r="S125" s="46">
        <v>83.7</v>
      </c>
      <c r="T125" s="46">
        <v>99.6</v>
      </c>
      <c r="U125" s="45">
        <v>213.6</v>
      </c>
      <c r="V125" s="46">
        <v>134.5</v>
      </c>
      <c r="W125" s="46">
        <v>36.299999999999997</v>
      </c>
      <c r="X125" s="10">
        <v>-2.2801302931596101E-2</v>
      </c>
      <c r="Y125" s="9">
        <v>0.22688888888888889</v>
      </c>
      <c r="Z125" s="8">
        <v>-3.7493207752218871E-2</v>
      </c>
      <c r="AA125" s="8">
        <v>-8.9198343996989005E-2</v>
      </c>
    </row>
    <row r="126" spans="2:27" x14ac:dyDescent="0.3">
      <c r="B126" s="12" t="s">
        <v>269</v>
      </c>
      <c r="C126" s="3" t="s">
        <v>642</v>
      </c>
      <c r="D126" s="3" t="s">
        <v>723</v>
      </c>
      <c r="E126" s="3" t="s">
        <v>717</v>
      </c>
      <c r="F126" s="5">
        <v>-9.1999999999999993</v>
      </c>
      <c r="G126" s="4">
        <v>560</v>
      </c>
      <c r="H126" s="4">
        <v>513</v>
      </c>
      <c r="I126" s="4">
        <v>560</v>
      </c>
      <c r="J126" s="4">
        <v>496</v>
      </c>
      <c r="K126" s="4">
        <v>352</v>
      </c>
      <c r="L126" s="46">
        <v>108</v>
      </c>
      <c r="M126" s="46">
        <v>264</v>
      </c>
      <c r="N126" s="46">
        <v>328</v>
      </c>
      <c r="O126" s="46">
        <v>355</v>
      </c>
      <c r="P126" s="46">
        <v>202</v>
      </c>
      <c r="Q126" s="46">
        <v>216</v>
      </c>
      <c r="R126" s="46">
        <v>0</v>
      </c>
      <c r="S126" s="46">
        <v>302</v>
      </c>
      <c r="T126" s="46">
        <v>180</v>
      </c>
      <c r="U126" s="46">
        <v>177</v>
      </c>
      <c r="V126" s="45">
        <v>245</v>
      </c>
      <c r="W126" s="46">
        <v>219</v>
      </c>
      <c r="X126" s="10">
        <v>-3.0555555555555561E-2</v>
      </c>
      <c r="Y126" s="8">
        <v>-5.5873925501432657E-2</v>
      </c>
      <c r="Z126" s="9">
        <v>0.37177541729893782</v>
      </c>
      <c r="AA126" s="8">
        <v>-9.1814159292035402E-2</v>
      </c>
    </row>
    <row r="127" spans="2:27" x14ac:dyDescent="0.3">
      <c r="B127" s="12" t="s">
        <v>286</v>
      </c>
      <c r="C127" s="3" t="s">
        <v>642</v>
      </c>
      <c r="D127" s="3" t="s">
        <v>649</v>
      </c>
      <c r="E127" s="3" t="s">
        <v>650</v>
      </c>
      <c r="F127" s="5">
        <v>-11.9</v>
      </c>
      <c r="G127" s="4">
        <v>119.36</v>
      </c>
      <c r="H127" s="4">
        <v>99.26</v>
      </c>
      <c r="I127" s="4">
        <v>-5.54</v>
      </c>
      <c r="J127" s="4">
        <v>-53.94</v>
      </c>
      <c r="K127" s="4">
        <v>-6.39</v>
      </c>
      <c r="L127" s="46">
        <v>70.540000000000006</v>
      </c>
      <c r="M127" s="45">
        <v>55.55</v>
      </c>
      <c r="N127" s="45">
        <v>58.68</v>
      </c>
      <c r="O127" s="46">
        <v>-23.64</v>
      </c>
      <c r="P127" s="45">
        <v>98.49</v>
      </c>
      <c r="Q127" s="46">
        <v>50.02</v>
      </c>
      <c r="R127" s="46">
        <v>61.88</v>
      </c>
      <c r="S127" s="46">
        <v>-357.09</v>
      </c>
      <c r="T127" s="45">
        <v>-6.23</v>
      </c>
      <c r="U127" s="45">
        <v>-58.93</v>
      </c>
      <c r="V127" s="45">
        <v>-722.65</v>
      </c>
      <c r="W127" s="46">
        <v>-221.25</v>
      </c>
      <c r="X127" s="7">
        <v>0.71383776414451239</v>
      </c>
      <c r="Y127" s="9">
        <v>0.43333863654442761</v>
      </c>
      <c r="Z127" s="9">
        <v>2.177012514915226</v>
      </c>
      <c r="AA127" s="8">
        <v>-0.118647916848633</v>
      </c>
    </row>
    <row r="128" spans="2:27" x14ac:dyDescent="0.3">
      <c r="B128" s="12" t="s">
        <v>460</v>
      </c>
      <c r="C128" s="3" t="s">
        <v>642</v>
      </c>
      <c r="D128" s="3" t="s">
        <v>676</v>
      </c>
      <c r="E128" s="3" t="s">
        <v>644</v>
      </c>
      <c r="F128" s="5">
        <v>-13.3</v>
      </c>
      <c r="G128" s="4">
        <v>-6.4</v>
      </c>
      <c r="H128" s="4">
        <v>30.5</v>
      </c>
      <c r="I128" s="4">
        <v>38.799999999999997</v>
      </c>
      <c r="J128" s="4">
        <v>25.2</v>
      </c>
      <c r="K128" s="4">
        <v>-0.1</v>
      </c>
      <c r="L128" s="46">
        <v>11.6</v>
      </c>
      <c r="M128" s="45">
        <v>51.1</v>
      </c>
      <c r="N128" s="46">
        <v>21.5</v>
      </c>
      <c r="O128" s="45">
        <v>29.9</v>
      </c>
      <c r="P128" s="45">
        <v>57.8</v>
      </c>
      <c r="Q128" s="46">
        <v>63.6</v>
      </c>
      <c r="R128" s="46">
        <v>32.4</v>
      </c>
      <c r="S128" s="45">
        <v>49.5</v>
      </c>
      <c r="T128" s="46">
        <v>40.9</v>
      </c>
      <c r="U128" s="46">
        <v>45.3</v>
      </c>
      <c r="V128" s="46">
        <v>33</v>
      </c>
      <c r="W128" s="46">
        <v>27.1</v>
      </c>
      <c r="X128" s="10">
        <v>-8.3128381701918386E-2</v>
      </c>
      <c r="Y128" s="8">
        <v>-9.817596566523612E-2</v>
      </c>
      <c r="Z128" s="8">
        <v>3.5693039857227489E-3</v>
      </c>
      <c r="AA128" s="8">
        <v>-0.1327800829875517</v>
      </c>
    </row>
    <row r="129" spans="2:27" x14ac:dyDescent="0.3">
      <c r="B129" s="12" t="s">
        <v>20</v>
      </c>
      <c r="C129" s="3" t="s">
        <v>642</v>
      </c>
      <c r="D129" s="3" t="s">
        <v>705</v>
      </c>
      <c r="E129" s="3" t="s">
        <v>648</v>
      </c>
      <c r="F129" s="5">
        <v>-13.5</v>
      </c>
      <c r="G129" s="4">
        <v>5048</v>
      </c>
      <c r="H129" s="4">
        <v>6914</v>
      </c>
      <c r="I129" s="4">
        <v>7579</v>
      </c>
      <c r="J129" s="4">
        <v>7504</v>
      </c>
      <c r="K129" s="4">
        <v>5326</v>
      </c>
      <c r="L129" s="46">
        <v>4501</v>
      </c>
      <c r="M129" s="46">
        <v>3372</v>
      </c>
      <c r="N129" s="46">
        <v>4129</v>
      </c>
      <c r="O129" s="46">
        <v>4428</v>
      </c>
      <c r="P129" s="46">
        <v>3785</v>
      </c>
      <c r="Q129" s="46">
        <v>3787</v>
      </c>
      <c r="R129" s="46">
        <v>3273</v>
      </c>
      <c r="S129" s="46">
        <v>3858</v>
      </c>
      <c r="T129" s="46">
        <v>4511</v>
      </c>
      <c r="U129" s="46">
        <v>2825</v>
      </c>
      <c r="V129" s="46">
        <v>3005</v>
      </c>
      <c r="W129" s="46">
        <v>1948</v>
      </c>
      <c r="X129" s="10">
        <v>4.9377678024892901E-2</v>
      </c>
      <c r="Y129" s="8">
        <v>-6.2350119904076677E-2</v>
      </c>
      <c r="Z129" s="8">
        <v>-1.8524918780673309E-2</v>
      </c>
      <c r="AA129" s="8">
        <v>-0.13451651524755259</v>
      </c>
    </row>
    <row r="130" spans="2:27" x14ac:dyDescent="0.3">
      <c r="B130" s="12" t="s">
        <v>332</v>
      </c>
      <c r="C130" s="3" t="s">
        <v>642</v>
      </c>
      <c r="D130" s="3" t="s">
        <v>689</v>
      </c>
      <c r="E130" s="3" t="s">
        <v>648</v>
      </c>
      <c r="F130" s="5">
        <v>-14.1</v>
      </c>
      <c r="G130" s="4">
        <v>171.7</v>
      </c>
      <c r="H130" s="4">
        <v>264.10000000000002</v>
      </c>
      <c r="I130" s="4">
        <v>327.60000000000002</v>
      </c>
      <c r="J130" s="4">
        <v>265.5</v>
      </c>
      <c r="K130" s="4">
        <v>96.3</v>
      </c>
      <c r="L130" s="46">
        <v>53.7</v>
      </c>
      <c r="M130" s="46">
        <v>153.69999999999999</v>
      </c>
      <c r="N130" s="46">
        <v>278.2</v>
      </c>
      <c r="O130" s="46">
        <v>109.8</v>
      </c>
      <c r="P130" s="45">
        <v>206.4</v>
      </c>
      <c r="Q130" s="46">
        <v>214.8</v>
      </c>
      <c r="R130" s="46">
        <v>79</v>
      </c>
      <c r="S130" s="45">
        <v>272.5</v>
      </c>
      <c r="T130" s="46">
        <v>88.3</v>
      </c>
      <c r="U130" s="46">
        <v>177.1</v>
      </c>
      <c r="V130" s="45">
        <v>189.5</v>
      </c>
      <c r="W130" s="46">
        <v>169.8</v>
      </c>
      <c r="X130" s="10">
        <v>-0.15284068849488811</v>
      </c>
      <c r="Y130" s="8">
        <v>-5.7592422853651182E-2</v>
      </c>
      <c r="Z130" s="9">
        <v>0.17912141351920899</v>
      </c>
      <c r="AA130" s="8">
        <v>-0.141187792136376</v>
      </c>
    </row>
    <row r="131" spans="2:27" x14ac:dyDescent="0.3">
      <c r="B131" s="12" t="s">
        <v>338</v>
      </c>
      <c r="C131" s="3" t="s">
        <v>642</v>
      </c>
      <c r="D131" s="3" t="s">
        <v>649</v>
      </c>
      <c r="E131" s="3" t="s">
        <v>648</v>
      </c>
      <c r="F131" s="5">
        <v>-14.8</v>
      </c>
      <c r="G131" s="4">
        <v>-1.52</v>
      </c>
      <c r="H131" s="4">
        <v>-0.69</v>
      </c>
      <c r="I131" s="4">
        <v>-0.69</v>
      </c>
      <c r="J131" s="4">
        <v>0.47</v>
      </c>
      <c r="K131" s="4">
        <v>0.47</v>
      </c>
      <c r="L131" s="46">
        <v>1.07</v>
      </c>
      <c r="M131" s="45">
        <v>1.07</v>
      </c>
      <c r="N131" s="46">
        <v>0.74</v>
      </c>
      <c r="O131" s="46">
        <v>0.74</v>
      </c>
      <c r="P131" s="46">
        <v>0.94</v>
      </c>
      <c r="Q131" s="46">
        <v>0.94</v>
      </c>
      <c r="R131" s="46">
        <v>1.01</v>
      </c>
      <c r="S131" s="46">
        <v>1.01</v>
      </c>
      <c r="T131" s="46">
        <v>0.81</v>
      </c>
      <c r="U131" s="46">
        <v>0.81</v>
      </c>
      <c r="V131" s="46">
        <v>0.54</v>
      </c>
      <c r="W131" s="46">
        <v>0.54</v>
      </c>
      <c r="X131" s="10">
        <v>-3.3333333333333333E-2</v>
      </c>
      <c r="Y131" s="8">
        <v>-3.4482758620689613E-2</v>
      </c>
      <c r="Z131" s="8">
        <v>-0.12912087912087919</v>
      </c>
      <c r="AA131" s="8">
        <v>-0.1482649842271293</v>
      </c>
    </row>
    <row r="132" spans="2:27" x14ac:dyDescent="0.3">
      <c r="B132" s="12" t="s">
        <v>421</v>
      </c>
      <c r="C132" s="3" t="s">
        <v>642</v>
      </c>
      <c r="D132" s="3" t="s">
        <v>711</v>
      </c>
      <c r="E132" s="3" t="s">
        <v>650</v>
      </c>
      <c r="F132" s="5">
        <v>-15.8</v>
      </c>
      <c r="G132" s="4">
        <v>9.6</v>
      </c>
      <c r="H132" s="4">
        <v>7.4</v>
      </c>
      <c r="I132" s="4">
        <v>-60.7</v>
      </c>
      <c r="J132" s="4">
        <v>-51.3</v>
      </c>
      <c r="K132" s="4">
        <v>81.900000000000006</v>
      </c>
      <c r="L132" s="46">
        <v>40.799999999999997</v>
      </c>
      <c r="M132" s="45">
        <v>15.6</v>
      </c>
      <c r="N132" s="45">
        <v>100.1</v>
      </c>
      <c r="O132" s="46">
        <v>75.099999999999994</v>
      </c>
      <c r="P132" s="45">
        <v>84.5</v>
      </c>
      <c r="Q132" s="46">
        <v>8.6999999999999993</v>
      </c>
      <c r="R132" s="46">
        <v>-72.5</v>
      </c>
      <c r="S132" s="46">
        <v>79.7</v>
      </c>
      <c r="T132" s="45">
        <v>151.69999999999999</v>
      </c>
      <c r="U132" s="46">
        <v>-0.4</v>
      </c>
      <c r="V132" s="45">
        <v>-13.7</v>
      </c>
      <c r="W132" s="46">
        <v>45.3</v>
      </c>
      <c r="X132" s="7">
        <v>0.66932270916334646</v>
      </c>
      <c r="Y132" s="8">
        <v>-5.4295942720763657E-2</v>
      </c>
      <c r="Z132" s="9">
        <v>0.37097791798107238</v>
      </c>
      <c r="AA132" s="8">
        <v>-0.15830648872526459</v>
      </c>
    </row>
    <row r="133" spans="2:27" x14ac:dyDescent="0.3">
      <c r="B133" s="12" t="s">
        <v>162</v>
      </c>
      <c r="C133" s="3" t="s">
        <v>642</v>
      </c>
      <c r="D133" s="3" t="s">
        <v>689</v>
      </c>
      <c r="E133" s="3" t="s">
        <v>648</v>
      </c>
      <c r="F133" s="5">
        <v>-16.600000000000001</v>
      </c>
      <c r="G133" s="4">
        <v>242.3</v>
      </c>
      <c r="H133" s="4">
        <v>342.6</v>
      </c>
      <c r="I133" s="4">
        <v>486.6</v>
      </c>
      <c r="J133" s="4">
        <v>692.8</v>
      </c>
      <c r="K133" s="6">
        <v>420.7</v>
      </c>
      <c r="L133" s="46">
        <v>499.4</v>
      </c>
      <c r="M133" s="46">
        <v>547.29999999999995</v>
      </c>
      <c r="N133" s="46">
        <v>310.3</v>
      </c>
      <c r="O133" s="46">
        <v>477.9</v>
      </c>
      <c r="P133" s="46">
        <v>545.20000000000005</v>
      </c>
      <c r="Q133" s="46">
        <v>545.4</v>
      </c>
      <c r="R133" s="45">
        <v>879.1</v>
      </c>
      <c r="S133" s="46">
        <v>498</v>
      </c>
      <c r="T133" s="46">
        <v>295.60000000000002</v>
      </c>
      <c r="U133" s="46">
        <v>469</v>
      </c>
      <c r="V133" s="46">
        <v>106.7</v>
      </c>
      <c r="W133" s="46">
        <v>271</v>
      </c>
      <c r="X133" s="10">
        <v>-0.1011468168740122</v>
      </c>
      <c r="Y133" s="8">
        <v>-3.4443893422298373E-2</v>
      </c>
      <c r="Z133" s="8">
        <v>-0.36064808329831438</v>
      </c>
      <c r="AA133" s="8">
        <v>-0.16577813481340831</v>
      </c>
    </row>
    <row r="134" spans="2:27" x14ac:dyDescent="0.3">
      <c r="B134" s="12" t="s">
        <v>87</v>
      </c>
      <c r="C134" s="3" t="s">
        <v>642</v>
      </c>
      <c r="D134" s="3" t="s">
        <v>652</v>
      </c>
      <c r="E134" s="3" t="s">
        <v>648</v>
      </c>
      <c r="F134" s="5">
        <v>-19.100000000000001</v>
      </c>
      <c r="G134" s="4">
        <v>-13.51</v>
      </c>
      <c r="H134" s="4">
        <v>-65.66</v>
      </c>
      <c r="I134" s="4">
        <v>-102.17</v>
      </c>
      <c r="J134" s="4">
        <v>-52.59</v>
      </c>
      <c r="K134" s="6">
        <v>-85.37</v>
      </c>
      <c r="L134" s="46">
        <v>-63.68</v>
      </c>
      <c r="M134" s="46">
        <v>-54.46</v>
      </c>
      <c r="N134" s="45">
        <v>-103.71</v>
      </c>
      <c r="O134" s="46">
        <v>6.53</v>
      </c>
      <c r="P134" s="46">
        <v>-49.02</v>
      </c>
      <c r="Q134" s="46">
        <v>-23.13</v>
      </c>
      <c r="R134" s="46">
        <v>-9.65</v>
      </c>
      <c r="S134" s="46">
        <v>104.71</v>
      </c>
      <c r="T134" s="45">
        <v>-19.07</v>
      </c>
      <c r="U134" s="45">
        <v>-3.5</v>
      </c>
      <c r="V134" s="45">
        <v>7.85</v>
      </c>
      <c r="W134" s="46">
        <v>87.53</v>
      </c>
      <c r="X134" s="7">
        <v>1.3072893932780449</v>
      </c>
      <c r="Y134" s="9">
        <v>0.37135830495648903</v>
      </c>
      <c r="Z134" s="9">
        <v>0.24141260863567379</v>
      </c>
      <c r="AA134" s="8">
        <v>-0.19091010112234691</v>
      </c>
    </row>
    <row r="135" spans="2:27" x14ac:dyDescent="0.3">
      <c r="B135" s="12" t="s">
        <v>211</v>
      </c>
      <c r="C135" s="3" t="s">
        <v>642</v>
      </c>
      <c r="D135" s="3" t="s">
        <v>659</v>
      </c>
      <c r="E135" s="3" t="s">
        <v>648</v>
      </c>
      <c r="F135" s="5">
        <v>-19.3</v>
      </c>
      <c r="G135" s="4">
        <v>33.18</v>
      </c>
      <c r="H135" s="4">
        <v>30.73</v>
      </c>
      <c r="I135" s="4">
        <v>52.64</v>
      </c>
      <c r="J135" s="4">
        <v>31.84</v>
      </c>
      <c r="K135" s="4">
        <v>38.590000000000003</v>
      </c>
      <c r="L135" s="45">
        <v>119.26</v>
      </c>
      <c r="M135" s="46">
        <v>25.18</v>
      </c>
      <c r="N135" s="45">
        <v>53.65</v>
      </c>
      <c r="O135" s="46">
        <v>25.33</v>
      </c>
      <c r="P135" s="46">
        <v>103.74</v>
      </c>
      <c r="Q135" s="45">
        <v>137.11000000000001</v>
      </c>
      <c r="R135" s="46">
        <v>40.54</v>
      </c>
      <c r="S135" s="45">
        <v>158.13</v>
      </c>
      <c r="T135" s="46">
        <v>131.83000000000001</v>
      </c>
      <c r="U135" s="45">
        <v>205.43</v>
      </c>
      <c r="V135" s="46">
        <v>75.81</v>
      </c>
      <c r="W135" s="46">
        <v>47.79</v>
      </c>
      <c r="X135" s="10">
        <v>6.3910629777939709E-2</v>
      </c>
      <c r="Y135" s="9">
        <v>0.14610465986612781</v>
      </c>
      <c r="Z135" s="8">
        <v>6.5810833504375443E-2</v>
      </c>
      <c r="AA135" s="8">
        <v>-0.19317226890756309</v>
      </c>
    </row>
    <row r="136" spans="2:27" x14ac:dyDescent="0.3">
      <c r="B136" s="12" t="s">
        <v>52</v>
      </c>
      <c r="C136" s="3" t="s">
        <v>642</v>
      </c>
      <c r="D136" s="3" t="s">
        <v>693</v>
      </c>
      <c r="E136" s="3" t="s">
        <v>648</v>
      </c>
      <c r="F136" s="5">
        <v>-20.6</v>
      </c>
      <c r="G136" s="4">
        <v>437</v>
      </c>
      <c r="H136" s="4">
        <v>594</v>
      </c>
      <c r="I136" s="4">
        <v>752</v>
      </c>
      <c r="J136" s="4">
        <v>730</v>
      </c>
      <c r="K136" s="4">
        <v>425</v>
      </c>
      <c r="L136" s="46">
        <v>540</v>
      </c>
      <c r="M136" s="46">
        <v>0</v>
      </c>
      <c r="N136" s="46">
        <v>740</v>
      </c>
      <c r="O136" s="46">
        <v>307</v>
      </c>
      <c r="P136" s="46">
        <v>607</v>
      </c>
      <c r="Q136" s="45">
        <v>796</v>
      </c>
      <c r="R136" s="46">
        <v>771</v>
      </c>
      <c r="S136" s="46">
        <v>423</v>
      </c>
      <c r="T136" s="46">
        <v>600</v>
      </c>
      <c r="U136" s="46">
        <v>874</v>
      </c>
      <c r="V136" s="46">
        <v>533</v>
      </c>
      <c r="W136" s="46">
        <v>-78</v>
      </c>
      <c r="X136" s="10">
        <v>-2.6954177897574589E-3</v>
      </c>
      <c r="Y136" s="8">
        <v>3.0115830115830189E-2</v>
      </c>
      <c r="Z136" s="8">
        <v>-8.9205397301349354E-2</v>
      </c>
      <c r="AA136" s="8">
        <v>-0.20617283950617279</v>
      </c>
    </row>
    <row r="137" spans="2:27" x14ac:dyDescent="0.3">
      <c r="B137" s="12" t="s">
        <v>458</v>
      </c>
      <c r="C137" s="3" t="s">
        <v>642</v>
      </c>
      <c r="D137" s="3" t="s">
        <v>710</v>
      </c>
      <c r="E137" s="3" t="s">
        <v>648</v>
      </c>
      <c r="F137" s="5">
        <v>-20.7</v>
      </c>
      <c r="G137" s="4">
        <v>29.31</v>
      </c>
      <c r="H137" s="4">
        <v>17.850000000000001</v>
      </c>
      <c r="I137" s="4">
        <v>45.12</v>
      </c>
      <c r="J137" s="4">
        <v>31.3</v>
      </c>
      <c r="K137" s="6">
        <v>75.27</v>
      </c>
      <c r="L137" s="46">
        <v>14.69</v>
      </c>
      <c r="M137" s="46">
        <v>27.68</v>
      </c>
      <c r="N137" s="46">
        <v>33.42</v>
      </c>
      <c r="O137" s="46">
        <v>18.239999999999998</v>
      </c>
      <c r="P137" s="46">
        <v>18.18</v>
      </c>
      <c r="Q137" s="46">
        <v>31.04</v>
      </c>
      <c r="R137" s="46">
        <v>28.44</v>
      </c>
      <c r="S137" s="45">
        <v>33.049999999999997</v>
      </c>
      <c r="T137" s="46">
        <v>10.46</v>
      </c>
      <c r="U137" s="46">
        <v>20.82</v>
      </c>
      <c r="V137" s="46">
        <v>20.239999999999998</v>
      </c>
      <c r="W137" s="46">
        <v>15.52</v>
      </c>
      <c r="X137" s="10">
        <v>-6.9731731550898735E-2</v>
      </c>
      <c r="Y137" s="8">
        <v>-9.923293523643073E-2</v>
      </c>
      <c r="Z137" s="8">
        <v>-8.8390643527002322E-2</v>
      </c>
      <c r="AA137" s="8">
        <v>-0.20728390682275041</v>
      </c>
    </row>
    <row r="138" spans="2:27" x14ac:dyDescent="0.3">
      <c r="B138" s="12" t="s">
        <v>79</v>
      </c>
      <c r="C138" s="3" t="s">
        <v>642</v>
      </c>
      <c r="D138" s="3" t="s">
        <v>684</v>
      </c>
      <c r="E138" s="3" t="s">
        <v>648</v>
      </c>
      <c r="F138" s="5">
        <v>-20.8</v>
      </c>
      <c r="G138" s="4">
        <v>460.16</v>
      </c>
      <c r="H138" s="4">
        <v>725.07</v>
      </c>
      <c r="I138" s="4">
        <v>458.42</v>
      </c>
      <c r="J138" s="4">
        <v>552.83000000000004</v>
      </c>
      <c r="K138" s="4">
        <v>514.97</v>
      </c>
      <c r="L138" s="46">
        <v>796.66</v>
      </c>
      <c r="M138" s="46">
        <v>551.38</v>
      </c>
      <c r="N138" s="46">
        <v>734.18</v>
      </c>
      <c r="O138" s="46">
        <v>450</v>
      </c>
      <c r="P138" s="45">
        <v>1072</v>
      </c>
      <c r="Q138" s="46">
        <v>324.83</v>
      </c>
      <c r="R138" s="46">
        <v>658.08</v>
      </c>
      <c r="S138" s="45">
        <v>938.53</v>
      </c>
      <c r="T138" s="46">
        <v>390.34</v>
      </c>
      <c r="U138" s="46">
        <v>199.57</v>
      </c>
      <c r="V138" s="46">
        <v>430.82</v>
      </c>
      <c r="W138" s="46">
        <v>530.35</v>
      </c>
      <c r="X138" s="10">
        <v>-0.22771794323587591</v>
      </c>
      <c r="Y138" s="8">
        <v>-5.4183356547768291E-2</v>
      </c>
      <c r="Z138" s="8">
        <v>-0.1039368494228271</v>
      </c>
      <c r="AA138" s="8">
        <v>-0.2083337586639854</v>
      </c>
    </row>
    <row r="139" spans="2:27" x14ac:dyDescent="0.3">
      <c r="B139" s="12" t="s">
        <v>372</v>
      </c>
      <c r="C139" s="3" t="s">
        <v>642</v>
      </c>
      <c r="D139" s="3" t="s">
        <v>676</v>
      </c>
      <c r="E139" s="3" t="s">
        <v>646</v>
      </c>
      <c r="F139" s="5">
        <v>-24.4</v>
      </c>
      <c r="G139" s="4">
        <v>252.1</v>
      </c>
      <c r="H139" s="4">
        <v>55.7</v>
      </c>
      <c r="I139" s="4">
        <v>-2.6</v>
      </c>
      <c r="J139" s="4">
        <v>169.4</v>
      </c>
      <c r="K139" s="4">
        <v>195.4</v>
      </c>
      <c r="L139" s="46">
        <v>41.1</v>
      </c>
      <c r="M139" s="45">
        <v>132.1</v>
      </c>
      <c r="N139" s="45">
        <v>224.1</v>
      </c>
      <c r="O139" s="46">
        <v>240.1</v>
      </c>
      <c r="P139" s="46">
        <v>75.400000000000006</v>
      </c>
      <c r="Q139" s="46">
        <v>43</v>
      </c>
      <c r="R139" s="46">
        <v>238.1</v>
      </c>
      <c r="S139" s="46">
        <v>270.60000000000002</v>
      </c>
      <c r="T139" s="46">
        <v>20.3</v>
      </c>
      <c r="U139" s="46">
        <v>1.1000000000000001</v>
      </c>
      <c r="V139" s="46">
        <v>186.7</v>
      </c>
      <c r="W139" s="46">
        <v>154</v>
      </c>
      <c r="X139" s="10">
        <v>-8.786477435815665E-2</v>
      </c>
      <c r="Y139" s="8">
        <v>-7.3251748251748183E-2</v>
      </c>
      <c r="Z139" s="8">
        <v>-9.6962837200528229E-2</v>
      </c>
      <c r="AA139" s="8">
        <v>-0.24357635262168381</v>
      </c>
    </row>
    <row r="140" spans="2:27" x14ac:dyDescent="0.3">
      <c r="B140" s="12" t="s">
        <v>377</v>
      </c>
      <c r="C140" s="3" t="s">
        <v>642</v>
      </c>
      <c r="D140" s="3" t="s">
        <v>643</v>
      </c>
      <c r="E140" s="3" t="s">
        <v>648</v>
      </c>
      <c r="F140" s="5">
        <v>-26.9</v>
      </c>
      <c r="G140" s="4">
        <v>-61.6</v>
      </c>
      <c r="H140" s="4">
        <v>-63.07</v>
      </c>
      <c r="I140" s="4">
        <v>-52.5</v>
      </c>
      <c r="J140" s="4">
        <v>-45.43</v>
      </c>
      <c r="K140" s="4">
        <v>-39.19</v>
      </c>
      <c r="L140" s="46">
        <v>-57.19</v>
      </c>
      <c r="M140" s="46">
        <v>-47.82</v>
      </c>
      <c r="N140" s="46">
        <v>-50.96</v>
      </c>
      <c r="O140" s="46">
        <v>-45.64</v>
      </c>
      <c r="P140" s="46">
        <v>-48.76</v>
      </c>
      <c r="Q140" s="46">
        <v>-40.11</v>
      </c>
      <c r="R140" s="46">
        <v>-32.630000000000003</v>
      </c>
      <c r="S140" s="46">
        <v>-33.840000000000003</v>
      </c>
      <c r="T140" s="46">
        <v>-29.6</v>
      </c>
      <c r="U140" s="46">
        <v>-25.04</v>
      </c>
      <c r="V140" s="46">
        <v>10.29</v>
      </c>
      <c r="W140" s="46">
        <v>-12.77</v>
      </c>
      <c r="X140" s="10">
        <v>-0.1233423458220677</v>
      </c>
      <c r="Y140" s="8">
        <v>-0.1106623586429725</v>
      </c>
      <c r="Z140" s="8">
        <v>-0.35438857237222371</v>
      </c>
      <c r="AA140" s="8">
        <v>-0.26947179946284677</v>
      </c>
    </row>
    <row r="141" spans="2:27" x14ac:dyDescent="0.3">
      <c r="B141" s="12" t="s">
        <v>575</v>
      </c>
      <c r="C141" s="3" t="s">
        <v>642</v>
      </c>
      <c r="D141" s="3" t="s">
        <v>708</v>
      </c>
      <c r="E141" s="3" t="s">
        <v>646</v>
      </c>
      <c r="F141" s="5">
        <v>-30.8</v>
      </c>
      <c r="G141" s="4">
        <v>41.86</v>
      </c>
      <c r="H141" s="4">
        <v>73.180000000000007</v>
      </c>
      <c r="I141" s="4">
        <v>63.06</v>
      </c>
      <c r="J141" s="4">
        <v>48.48</v>
      </c>
      <c r="K141" s="4">
        <v>48.68</v>
      </c>
      <c r="L141" s="46">
        <v>71.900000000000006</v>
      </c>
      <c r="M141" s="46">
        <v>77.14</v>
      </c>
      <c r="N141" s="46">
        <v>29.48</v>
      </c>
      <c r="O141" s="46">
        <v>15</v>
      </c>
      <c r="P141" s="46">
        <v>15.99</v>
      </c>
      <c r="Q141" s="46">
        <v>-19.55</v>
      </c>
      <c r="R141" s="46">
        <v>-1.1100000000000001</v>
      </c>
      <c r="S141" s="46">
        <v>5.21</v>
      </c>
      <c r="T141" s="45">
        <v>19.82</v>
      </c>
      <c r="U141" s="45">
        <v>2.95</v>
      </c>
      <c r="V141" s="46">
        <v>0.34</v>
      </c>
      <c r="W141" s="46">
        <v>-3.5</v>
      </c>
      <c r="X141" s="7">
        <v>7.0925925925926014</v>
      </c>
      <c r="Y141" s="9">
        <v>5.1487414187643026</v>
      </c>
      <c r="Z141" s="8">
        <v>5.396352809825089E-2</v>
      </c>
      <c r="AA141" s="8">
        <v>-0.30755649717514122</v>
      </c>
    </row>
    <row r="142" spans="2:27" x14ac:dyDescent="0.3">
      <c r="B142" s="12" t="s">
        <v>581</v>
      </c>
      <c r="C142" s="3" t="s">
        <v>642</v>
      </c>
      <c r="D142" s="3" t="s">
        <v>643</v>
      </c>
      <c r="E142" s="3" t="s">
        <v>717</v>
      </c>
      <c r="F142" s="5">
        <v>-40.1</v>
      </c>
      <c r="G142" s="3"/>
      <c r="H142" s="3"/>
      <c r="I142" s="3"/>
      <c r="J142" s="3"/>
      <c r="K142" s="3"/>
      <c r="L142" s="46"/>
      <c r="M142" s="46"/>
      <c r="N142" s="46"/>
      <c r="O142" s="46"/>
      <c r="P142" s="46"/>
      <c r="Q142" s="46">
        <v>-0.98</v>
      </c>
      <c r="R142" s="46">
        <v>-16.63</v>
      </c>
      <c r="S142" s="46">
        <v>-26.58</v>
      </c>
      <c r="T142" s="46">
        <v>-16.079999999999998</v>
      </c>
      <c r="U142" s="46">
        <v>-5.29</v>
      </c>
      <c r="V142" s="46">
        <v>-5.29</v>
      </c>
      <c r="W142" s="46">
        <v>-5.25</v>
      </c>
      <c r="X142" s="11"/>
      <c r="Y142" s="8">
        <v>7.1511531441845078E-2</v>
      </c>
      <c r="Z142" s="8">
        <v>-0.1755961598017963</v>
      </c>
      <c r="AA142" s="8">
        <v>-0.40063861758076641</v>
      </c>
    </row>
    <row r="143" spans="2:27" x14ac:dyDescent="0.3">
      <c r="B143" s="12" t="s">
        <v>189</v>
      </c>
      <c r="C143" s="3" t="s">
        <v>642</v>
      </c>
      <c r="D143" s="3" t="s">
        <v>675</v>
      </c>
      <c r="E143" s="3" t="s">
        <v>648</v>
      </c>
      <c r="F143" s="5">
        <v>-40.799999999999997</v>
      </c>
      <c r="G143" s="4">
        <v>212</v>
      </c>
      <c r="H143" s="4">
        <v>372</v>
      </c>
      <c r="I143" s="4">
        <v>361</v>
      </c>
      <c r="J143" s="4">
        <v>335</v>
      </c>
      <c r="K143" s="4">
        <v>317</v>
      </c>
      <c r="L143" s="46">
        <v>455</v>
      </c>
      <c r="M143" s="46">
        <v>443</v>
      </c>
      <c r="N143" s="46">
        <v>359</v>
      </c>
      <c r="O143" s="46">
        <v>357</v>
      </c>
      <c r="P143" s="46">
        <v>426</v>
      </c>
      <c r="Q143" s="46">
        <v>434</v>
      </c>
      <c r="R143" s="46">
        <v>467</v>
      </c>
      <c r="S143" s="46">
        <v>378</v>
      </c>
      <c r="T143" s="46">
        <v>435</v>
      </c>
      <c r="U143" s="46">
        <v>373</v>
      </c>
      <c r="V143" s="46">
        <v>137</v>
      </c>
      <c r="W143" s="46">
        <v>-162</v>
      </c>
      <c r="X143" s="10">
        <v>5.278592375366653E-3</v>
      </c>
      <c r="Y143" s="8">
        <v>-3.5589264877479598E-2</v>
      </c>
      <c r="Z143" s="8">
        <v>-0.19963702359346649</v>
      </c>
      <c r="AA143" s="8">
        <v>-0.40816326530612251</v>
      </c>
    </row>
    <row r="144" spans="2:27" x14ac:dyDescent="0.3">
      <c r="B144" s="12" t="s">
        <v>366</v>
      </c>
      <c r="C144" s="3" t="s">
        <v>642</v>
      </c>
      <c r="D144" s="3" t="s">
        <v>658</v>
      </c>
      <c r="E144" s="3" t="s">
        <v>646</v>
      </c>
      <c r="F144" s="5">
        <v>-42.3</v>
      </c>
      <c r="G144" s="4">
        <v>82.7</v>
      </c>
      <c r="H144" s="4">
        <v>99.4</v>
      </c>
      <c r="I144" s="4">
        <v>124.6</v>
      </c>
      <c r="J144" s="4">
        <v>112</v>
      </c>
      <c r="K144" s="4">
        <v>46.1</v>
      </c>
      <c r="L144" s="46">
        <v>34.200000000000003</v>
      </c>
      <c r="M144" s="46">
        <v>-38</v>
      </c>
      <c r="N144" s="46">
        <v>-27.2</v>
      </c>
      <c r="O144" s="46">
        <v>-16.600000000000001</v>
      </c>
      <c r="P144" s="45">
        <v>-17.600000000000001</v>
      </c>
      <c r="Q144" s="46">
        <v>-13.7</v>
      </c>
      <c r="R144" s="46">
        <v>-14.2</v>
      </c>
      <c r="S144" s="46">
        <v>-14.4</v>
      </c>
      <c r="T144" s="46">
        <v>-12</v>
      </c>
      <c r="U144" s="45">
        <v>-22.8</v>
      </c>
      <c r="V144" s="45">
        <v>-20.7</v>
      </c>
      <c r="W144" s="46">
        <v>15.2</v>
      </c>
      <c r="X144" s="10">
        <v>-9.3489148580968351E-2</v>
      </c>
      <c r="Y144" s="9">
        <v>0.1675874769797423</v>
      </c>
      <c r="Z144" s="9">
        <v>0.10252365930599371</v>
      </c>
      <c r="AA144" s="8">
        <v>-0.42346208869814028</v>
      </c>
    </row>
    <row r="145" spans="2:27" x14ac:dyDescent="0.3">
      <c r="B145" s="12" t="s">
        <v>607</v>
      </c>
      <c r="C145" s="3" t="s">
        <v>642</v>
      </c>
      <c r="D145" s="3" t="s">
        <v>659</v>
      </c>
      <c r="E145" s="3" t="s">
        <v>648</v>
      </c>
      <c r="F145" s="5">
        <v>-43.4</v>
      </c>
      <c r="G145" s="4">
        <v>0.4</v>
      </c>
      <c r="H145" s="4">
        <v>-32.39</v>
      </c>
      <c r="I145" s="4">
        <v>-2.81</v>
      </c>
      <c r="J145" s="4">
        <v>-1.04</v>
      </c>
      <c r="K145" s="4">
        <v>5.04</v>
      </c>
      <c r="L145" s="46">
        <v>-26.61</v>
      </c>
      <c r="M145" s="46">
        <v>-1.82</v>
      </c>
      <c r="N145" s="46">
        <v>4.38</v>
      </c>
      <c r="O145" s="46">
        <v>20.45</v>
      </c>
      <c r="P145" s="46">
        <v>-10.42</v>
      </c>
      <c r="Q145" s="45">
        <v>-0.02</v>
      </c>
      <c r="R145" s="46">
        <v>2.87</v>
      </c>
      <c r="S145" s="45">
        <v>34.6</v>
      </c>
      <c r="T145" s="46">
        <v>-14.27</v>
      </c>
      <c r="U145" s="45">
        <v>9.4700000000000006</v>
      </c>
      <c r="V145" s="45">
        <v>6.71</v>
      </c>
      <c r="W145" s="46">
        <v>18.760000000000002</v>
      </c>
      <c r="X145" s="10">
        <v>-0.14243433222345539</v>
      </c>
      <c r="Y145" s="9">
        <v>0.40940465918895602</v>
      </c>
      <c r="Z145" s="9">
        <v>0.1175390266299359</v>
      </c>
      <c r="AA145" s="8">
        <v>-0.43385373870172561</v>
      </c>
    </row>
    <row r="146" spans="2:27" x14ac:dyDescent="0.3">
      <c r="B146" s="12" t="s">
        <v>358</v>
      </c>
      <c r="C146" s="3" t="s">
        <v>642</v>
      </c>
      <c r="D146" s="3" t="s">
        <v>709</v>
      </c>
      <c r="E146" s="3" t="s">
        <v>648</v>
      </c>
      <c r="F146" s="5">
        <v>-48.4</v>
      </c>
      <c r="G146" s="4">
        <v>461.7</v>
      </c>
      <c r="H146" s="4">
        <v>-106.4</v>
      </c>
      <c r="I146" s="4">
        <v>400.3</v>
      </c>
      <c r="J146" s="4">
        <v>402.9</v>
      </c>
      <c r="K146" s="6">
        <v>587.5</v>
      </c>
      <c r="L146" s="45">
        <v>412.6</v>
      </c>
      <c r="M146" s="46">
        <v>265</v>
      </c>
      <c r="N146" s="46">
        <v>162.69999999999999</v>
      </c>
      <c r="O146" s="46">
        <v>259.39999999999998</v>
      </c>
      <c r="P146" s="46">
        <v>63</v>
      </c>
      <c r="Q146" s="46">
        <v>128.5</v>
      </c>
      <c r="R146" s="46">
        <v>134.1</v>
      </c>
      <c r="S146" s="46">
        <v>44.2</v>
      </c>
      <c r="T146" s="46">
        <v>44.9</v>
      </c>
      <c r="U146" s="46">
        <v>-22.6</v>
      </c>
      <c r="V146" s="46">
        <v>-18.600000000000001</v>
      </c>
      <c r="W146" s="46">
        <v>21</v>
      </c>
      <c r="X146" s="10">
        <v>-4.8945375878853503E-2</v>
      </c>
      <c r="Y146" s="8">
        <v>-0.42962752345749222</v>
      </c>
      <c r="Z146" s="8">
        <v>-0.76121635094715856</v>
      </c>
      <c r="AA146" s="8">
        <v>-0.48434237995824653</v>
      </c>
    </row>
    <row r="147" spans="2:27" x14ac:dyDescent="0.3">
      <c r="B147" s="12" t="s">
        <v>558</v>
      </c>
      <c r="C147" s="3" t="s">
        <v>642</v>
      </c>
      <c r="D147" s="3" t="s">
        <v>681</v>
      </c>
      <c r="E147" s="3" t="s">
        <v>648</v>
      </c>
      <c r="F147" s="5">
        <v>-51.7</v>
      </c>
      <c r="G147" s="4">
        <v>-40.950000000000003</v>
      </c>
      <c r="H147" s="4">
        <v>-25.32</v>
      </c>
      <c r="I147" s="4">
        <v>-28.53</v>
      </c>
      <c r="J147" s="4">
        <v>-43.25</v>
      </c>
      <c r="K147" s="4">
        <v>-54.1</v>
      </c>
      <c r="L147" s="46">
        <v>-37.15</v>
      </c>
      <c r="M147" s="46">
        <v>-27.33</v>
      </c>
      <c r="N147" s="46">
        <v>-21.5</v>
      </c>
      <c r="O147" s="46">
        <v>-25.66</v>
      </c>
      <c r="P147" s="46">
        <v>-22.73</v>
      </c>
      <c r="Q147" s="46">
        <v>-25.55</v>
      </c>
      <c r="R147" s="46">
        <v>-18.18</v>
      </c>
      <c r="S147" s="46">
        <v>-6.18</v>
      </c>
      <c r="T147" s="46">
        <v>-3.02</v>
      </c>
      <c r="U147" s="46">
        <v>4.04</v>
      </c>
      <c r="V147" s="46">
        <v>-0.16</v>
      </c>
      <c r="W147" s="46">
        <v>-3.43</v>
      </c>
      <c r="X147" s="10">
        <v>-0.27133810572687223</v>
      </c>
      <c r="Y147" s="8">
        <v>-0.5590402418288305</v>
      </c>
      <c r="Z147" s="8">
        <v>-0.77206512425021423</v>
      </c>
      <c r="AA147" s="8">
        <v>-0.51691729323308255</v>
      </c>
    </row>
    <row r="148" spans="2:27" x14ac:dyDescent="0.3">
      <c r="B148" s="12" t="s">
        <v>415</v>
      </c>
      <c r="C148" s="3" t="s">
        <v>642</v>
      </c>
      <c r="D148" s="3" t="s">
        <v>677</v>
      </c>
      <c r="E148" s="3" t="s">
        <v>648</v>
      </c>
      <c r="F148" s="5">
        <v>-72.099999999999994</v>
      </c>
      <c r="G148" s="4">
        <v>18.59</v>
      </c>
      <c r="H148" s="4">
        <v>10.36</v>
      </c>
      <c r="I148" s="4">
        <v>17.190000000000001</v>
      </c>
      <c r="J148" s="4">
        <v>21.56</v>
      </c>
      <c r="K148" s="4">
        <v>-32.880000000000003</v>
      </c>
      <c r="L148" s="46">
        <v>-9.83</v>
      </c>
      <c r="M148" s="45">
        <v>8.4700000000000006</v>
      </c>
      <c r="N148" s="45">
        <v>4.43</v>
      </c>
      <c r="O148" s="46">
        <v>-11.1</v>
      </c>
      <c r="P148" s="45">
        <v>-18.68</v>
      </c>
      <c r="Q148" s="45">
        <v>3.22</v>
      </c>
      <c r="R148" s="46">
        <v>7.18</v>
      </c>
      <c r="S148" s="46">
        <v>13.77</v>
      </c>
      <c r="T148" s="45">
        <v>-11.62</v>
      </c>
      <c r="U148" s="45">
        <v>8.1199999999999992</v>
      </c>
      <c r="V148" s="46">
        <v>8.24</v>
      </c>
      <c r="W148" s="46">
        <v>0.42</v>
      </c>
      <c r="X148" s="7">
        <v>1.285974499089253</v>
      </c>
      <c r="Y148" s="9">
        <v>0.39043824701195212</v>
      </c>
      <c r="Z148" s="8">
        <v>6.0744985673352403E-2</v>
      </c>
      <c r="AA148" s="8">
        <v>-0.72123176661264177</v>
      </c>
    </row>
    <row r="149" spans="2:27" x14ac:dyDescent="0.3">
      <c r="B149" s="12" t="s">
        <v>343</v>
      </c>
      <c r="C149" s="3" t="s">
        <v>642</v>
      </c>
      <c r="D149" s="3" t="s">
        <v>649</v>
      </c>
      <c r="E149" s="3" t="s">
        <v>648</v>
      </c>
      <c r="F149" s="5">
        <v>-164.8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6">
        <v>0</v>
      </c>
      <c r="M149" s="46">
        <v>0</v>
      </c>
      <c r="N149" s="46">
        <v>65.760000000000005</v>
      </c>
      <c r="O149" s="46">
        <v>-211.26</v>
      </c>
      <c r="P149" s="46">
        <v>0</v>
      </c>
      <c r="Q149" s="46">
        <v>0</v>
      </c>
      <c r="R149" s="46">
        <v>136.37</v>
      </c>
      <c r="S149" s="45">
        <v>-345.36</v>
      </c>
      <c r="T149" s="46">
        <v>0</v>
      </c>
      <c r="U149" s="46">
        <v>0</v>
      </c>
      <c r="V149" s="45">
        <v>81.41</v>
      </c>
      <c r="W149" s="46">
        <v>89.76</v>
      </c>
      <c r="X149" s="10">
        <v>0</v>
      </c>
      <c r="Y149" s="8">
        <v>0</v>
      </c>
      <c r="Z149" s="9">
        <v>0.26297908990860819</v>
      </c>
      <c r="AA149" s="8">
        <v>-1.648494032960788</v>
      </c>
    </row>
    <row r="150" spans="2:27" x14ac:dyDescent="0.3">
      <c r="B150" s="12" t="s">
        <v>284</v>
      </c>
      <c r="C150" s="3" t="s">
        <v>642</v>
      </c>
      <c r="D150" s="3" t="s">
        <v>663</v>
      </c>
      <c r="E150" s="3" t="s">
        <v>646</v>
      </c>
      <c r="F150" s="5">
        <v>-194.6</v>
      </c>
      <c r="G150" s="4">
        <v>35.86</v>
      </c>
      <c r="H150" s="4">
        <v>61.33</v>
      </c>
      <c r="I150" s="4">
        <v>23.64</v>
      </c>
      <c r="J150" s="4">
        <v>-35.96</v>
      </c>
      <c r="K150" s="6">
        <v>51.45</v>
      </c>
      <c r="L150" s="45">
        <v>81.69</v>
      </c>
      <c r="M150" s="46">
        <v>-12.29</v>
      </c>
      <c r="N150" s="45">
        <v>-14.9</v>
      </c>
      <c r="O150" s="46">
        <v>28.74</v>
      </c>
      <c r="P150" s="46">
        <v>79.66</v>
      </c>
      <c r="Q150" s="45">
        <v>52.23</v>
      </c>
      <c r="R150" s="46">
        <v>-8.27</v>
      </c>
      <c r="S150" s="46">
        <v>13.23</v>
      </c>
      <c r="T150" s="46">
        <v>32.26</v>
      </c>
      <c r="U150" s="46">
        <v>-22.66</v>
      </c>
      <c r="V150" s="46">
        <v>-27.43</v>
      </c>
      <c r="W150" s="46">
        <v>22.18</v>
      </c>
      <c r="X150" s="10">
        <v>-0.34636463280964569</v>
      </c>
      <c r="Y150" s="8">
        <v>-0.83722750139742874</v>
      </c>
      <c r="Z150" s="8">
        <v>-1.3159340659340659</v>
      </c>
      <c r="AA150" s="8">
        <v>-1.945652173913043</v>
      </c>
    </row>
    <row r="151" spans="2:27" x14ac:dyDescent="0.3">
      <c r="B151" s="12" t="s">
        <v>540</v>
      </c>
      <c r="C151" s="3" t="s">
        <v>642</v>
      </c>
      <c r="D151" s="3" t="s">
        <v>716</v>
      </c>
      <c r="E151" s="3" t="s">
        <v>717</v>
      </c>
      <c r="F151" s="5">
        <v>-197.2</v>
      </c>
      <c r="G151" s="4">
        <v>20.82</v>
      </c>
      <c r="H151" s="4">
        <v>18.98</v>
      </c>
      <c r="I151" s="4">
        <v>17.34</v>
      </c>
      <c r="J151" s="4">
        <v>16.71</v>
      </c>
      <c r="K151" s="4">
        <v>23.06</v>
      </c>
      <c r="L151" s="46">
        <v>19.489999999999998</v>
      </c>
      <c r="M151" s="46">
        <v>1.78</v>
      </c>
      <c r="N151" s="46">
        <v>9.19</v>
      </c>
      <c r="O151" s="46">
        <v>11.34</v>
      </c>
      <c r="P151" s="46">
        <v>2.52</v>
      </c>
      <c r="Q151" s="46">
        <v>4.2300000000000004</v>
      </c>
      <c r="R151" s="45">
        <v>20.87</v>
      </c>
      <c r="S151" s="46">
        <v>-130.19999999999999</v>
      </c>
      <c r="T151" s="46">
        <v>21.11</v>
      </c>
      <c r="U151" s="46">
        <v>19.600000000000001</v>
      </c>
      <c r="V151" s="45">
        <v>12.58</v>
      </c>
      <c r="W151" s="46">
        <v>21.49</v>
      </c>
      <c r="X151" s="10">
        <v>-0.18122441021641661</v>
      </c>
      <c r="Y151" s="8">
        <v>-0.18299797594951769</v>
      </c>
      <c r="Z151" s="9">
        <v>0.1208102593995919</v>
      </c>
      <c r="AA151" s="8">
        <v>-1.9723052918996229</v>
      </c>
    </row>
    <row r="152" spans="2:27" x14ac:dyDescent="0.3">
      <c r="B152" s="12" t="s">
        <v>351</v>
      </c>
      <c r="C152" s="3" t="s">
        <v>642</v>
      </c>
      <c r="D152" s="3" t="s">
        <v>711</v>
      </c>
      <c r="E152" s="3" t="s">
        <v>724</v>
      </c>
      <c r="F152" s="5">
        <v>-207</v>
      </c>
      <c r="G152" s="4">
        <v>300</v>
      </c>
      <c r="H152" s="4">
        <v>999</v>
      </c>
      <c r="I152" s="4">
        <v>2285</v>
      </c>
      <c r="J152" s="4">
        <v>1081</v>
      </c>
      <c r="K152" s="6">
        <v>1082</v>
      </c>
      <c r="L152" s="46">
        <v>1159</v>
      </c>
      <c r="M152" s="46">
        <v>543</v>
      </c>
      <c r="N152" s="46">
        <v>127</v>
      </c>
      <c r="O152" s="46">
        <v>202</v>
      </c>
      <c r="P152" s="46">
        <v>526</v>
      </c>
      <c r="Q152" s="46">
        <v>226</v>
      </c>
      <c r="R152" s="46">
        <v>-270</v>
      </c>
      <c r="S152" s="46">
        <v>140</v>
      </c>
      <c r="T152" s="46">
        <v>136</v>
      </c>
      <c r="U152" s="46">
        <v>31</v>
      </c>
      <c r="V152" s="45">
        <v>-179</v>
      </c>
      <c r="W152" s="46">
        <v>-125</v>
      </c>
      <c r="X152" s="10">
        <v>-0.62700964630225076</v>
      </c>
      <c r="Y152" s="8">
        <v>-0.84051724137931028</v>
      </c>
      <c r="Z152" s="9">
        <v>2.4594594594594601</v>
      </c>
      <c r="AA152" s="8">
        <v>-2.0703125</v>
      </c>
    </row>
    <row r="153" spans="2:27" x14ac:dyDescent="0.3">
      <c r="B153" s="12" t="s">
        <v>56</v>
      </c>
      <c r="C153" s="3" t="s">
        <v>642</v>
      </c>
      <c r="D153" s="3" t="s">
        <v>659</v>
      </c>
      <c r="E153" s="3" t="s">
        <v>648</v>
      </c>
      <c r="F153" s="5">
        <v>-231.6</v>
      </c>
      <c r="G153" s="4">
        <v>-137.47</v>
      </c>
      <c r="H153" s="4">
        <v>-169.96</v>
      </c>
      <c r="I153" s="4">
        <v>-918.12</v>
      </c>
      <c r="J153" s="4">
        <v>6.06</v>
      </c>
      <c r="K153" s="4">
        <v>-193.72</v>
      </c>
      <c r="L153" s="46">
        <v>-20.309999999999999</v>
      </c>
      <c r="M153" s="46">
        <v>-25.51</v>
      </c>
      <c r="N153" s="45">
        <v>-25.25</v>
      </c>
      <c r="O153" s="46">
        <v>-42.79</v>
      </c>
      <c r="P153" s="45">
        <v>-203.7</v>
      </c>
      <c r="Q153" s="45">
        <v>-200.27</v>
      </c>
      <c r="R153" s="45">
        <v>-432.58</v>
      </c>
      <c r="S153" s="45">
        <v>-1018</v>
      </c>
      <c r="T153" s="45">
        <v>-5921</v>
      </c>
      <c r="U153" s="46">
        <v>14032</v>
      </c>
      <c r="V153" s="46">
        <v>-0.01</v>
      </c>
      <c r="W153" s="46">
        <v>-17446</v>
      </c>
      <c r="X153" s="7">
        <v>3.0828502871316501</v>
      </c>
      <c r="Y153" s="8">
        <v>-1.879629152716972</v>
      </c>
      <c r="Z153" s="8">
        <v>6.4946354734386036E-2</v>
      </c>
      <c r="AA153" s="8">
        <v>-2.3160895475673868</v>
      </c>
    </row>
    <row r="154" spans="2:27" x14ac:dyDescent="0.3">
      <c r="B154" s="43" t="s">
        <v>203</v>
      </c>
      <c r="C154" s="35" t="s">
        <v>642</v>
      </c>
      <c r="D154" s="35" t="s">
        <v>647</v>
      </c>
      <c r="E154" s="35" t="s">
        <v>648</v>
      </c>
      <c r="F154" s="36">
        <v>-10675.3</v>
      </c>
      <c r="G154" s="35"/>
      <c r="H154" s="35"/>
      <c r="I154" s="35"/>
      <c r="J154" s="35"/>
      <c r="K154" s="35"/>
      <c r="L154" s="47">
        <v>-50.26</v>
      </c>
      <c r="M154" s="47">
        <v>-50.26</v>
      </c>
      <c r="N154" s="47">
        <v>-587.54</v>
      </c>
      <c r="O154" s="47">
        <v>-587.54</v>
      </c>
      <c r="P154" s="47">
        <v>153.87</v>
      </c>
      <c r="Q154" s="47">
        <v>-106.81</v>
      </c>
      <c r="R154" s="47">
        <v>-25.8</v>
      </c>
      <c r="S154" s="47">
        <v>175.58</v>
      </c>
      <c r="T154" s="47">
        <v>-262.19</v>
      </c>
      <c r="U154" s="47">
        <v>55.69</v>
      </c>
      <c r="V154" s="47">
        <v>36.950000000000003</v>
      </c>
      <c r="W154" s="47">
        <v>-468.14</v>
      </c>
      <c r="X154" s="39">
        <v>-2.113696403170088</v>
      </c>
      <c r="Y154" s="40">
        <v>-0.7412644831675943</v>
      </c>
      <c r="Z154" s="40">
        <v>-1.1063117066290551</v>
      </c>
      <c r="AA154" s="40">
        <v>-106.752902155887</v>
      </c>
    </row>
    <row r="155" spans="2:27" x14ac:dyDescent="0.3">
      <c r="B155" s="12" t="s">
        <v>602</v>
      </c>
      <c r="C155" s="3" t="s">
        <v>714</v>
      </c>
      <c r="D155" s="3" t="str">
        <f>VLOOKUP(B155,기업리스트!$B:$G,2,FALSE)</f>
        <v>Eastnine AB (publ)</v>
      </c>
      <c r="E155" s="3" t="s">
        <v>648</v>
      </c>
      <c r="F155" s="5">
        <v>5.0999999999999996</v>
      </c>
      <c r="G155" s="4">
        <v>3.61</v>
      </c>
      <c r="H155" s="4">
        <v>4.4800000000000004</v>
      </c>
      <c r="I155" s="4">
        <v>5.48</v>
      </c>
      <c r="J155" s="4">
        <v>6.64</v>
      </c>
      <c r="K155" s="6">
        <v>6.66</v>
      </c>
      <c r="L155" s="45">
        <v>7.47</v>
      </c>
      <c r="M155" s="46">
        <v>7.54</v>
      </c>
      <c r="N155" s="46">
        <v>7.63</v>
      </c>
      <c r="O155" s="46">
        <v>7.31</v>
      </c>
      <c r="P155" s="46">
        <v>7.16</v>
      </c>
      <c r="Q155" s="46">
        <v>7.7</v>
      </c>
      <c r="R155" s="46">
        <v>8.8699999999999992</v>
      </c>
      <c r="S155" s="45">
        <v>10.49</v>
      </c>
      <c r="T155" s="45">
        <v>13.45</v>
      </c>
      <c r="U155" s="45">
        <v>13.01</v>
      </c>
      <c r="V155" s="46">
        <v>13.44</v>
      </c>
      <c r="W155" s="46">
        <v>13.05</v>
      </c>
      <c r="X155" s="7">
        <v>0.18381063705435419</v>
      </c>
      <c r="Y155" s="9">
        <v>0.13107874598864491</v>
      </c>
      <c r="Z155" s="8">
        <v>9.9738105630728935E-2</v>
      </c>
      <c r="AA155" s="8">
        <v>5.0803730898987931E-2</v>
      </c>
    </row>
    <row r="156" spans="2:27" x14ac:dyDescent="0.3">
      <c r="B156" s="12" t="s">
        <v>391</v>
      </c>
      <c r="C156" s="3" t="s">
        <v>714</v>
      </c>
      <c r="D156" s="3" t="str">
        <f>VLOOKUP(B156,기업리스트!$B:$G,2,FALSE)</f>
        <v>Fabege AB (publ)</v>
      </c>
      <c r="E156" s="3" t="s">
        <v>648</v>
      </c>
      <c r="F156" s="5">
        <v>1.4</v>
      </c>
      <c r="G156" s="4">
        <v>548</v>
      </c>
      <c r="H156" s="4">
        <v>508</v>
      </c>
      <c r="I156" s="4">
        <v>484</v>
      </c>
      <c r="J156" s="4">
        <v>567</v>
      </c>
      <c r="K156" s="4">
        <v>505</v>
      </c>
      <c r="L156" s="46">
        <v>572</v>
      </c>
      <c r="M156" s="46">
        <v>590</v>
      </c>
      <c r="N156" s="46">
        <v>675</v>
      </c>
      <c r="O156" s="46">
        <v>588</v>
      </c>
      <c r="P156" s="46">
        <v>569</v>
      </c>
      <c r="Q156" s="46">
        <v>576</v>
      </c>
      <c r="R156" s="46">
        <v>595</v>
      </c>
      <c r="S156" s="46">
        <v>641</v>
      </c>
      <c r="T156" s="46">
        <v>527</v>
      </c>
      <c r="U156" s="46">
        <v>612</v>
      </c>
      <c r="V156" s="46">
        <v>629</v>
      </c>
      <c r="W156" s="46">
        <v>674</v>
      </c>
      <c r="X156" s="10">
        <v>-1.7639647207055908E-2</v>
      </c>
      <c r="Y156" s="8">
        <v>1.5391192817443279E-2</v>
      </c>
      <c r="Z156" s="8">
        <v>1.431578947368428E-2</v>
      </c>
      <c r="AA156" s="8">
        <v>1.369863013698636E-2</v>
      </c>
    </row>
    <row r="157" spans="2:27" x14ac:dyDescent="0.3">
      <c r="B157" s="12" t="s">
        <v>311</v>
      </c>
      <c r="C157" s="3" t="s">
        <v>714</v>
      </c>
      <c r="D157" s="3" t="str">
        <f>VLOOKUP(B157,기업리스트!$B:$G,2,FALSE)</f>
        <v>Mycronic AB (publ)</v>
      </c>
      <c r="E157" s="3" t="s">
        <v>648</v>
      </c>
      <c r="F157" s="5">
        <v>-6.6</v>
      </c>
      <c r="G157" s="4">
        <v>181</v>
      </c>
      <c r="H157" s="4">
        <v>206</v>
      </c>
      <c r="I157" s="4">
        <v>223</v>
      </c>
      <c r="J157" s="4">
        <v>203</v>
      </c>
      <c r="K157" s="4">
        <v>227</v>
      </c>
      <c r="L157" s="46">
        <v>181</v>
      </c>
      <c r="M157" s="46">
        <v>171</v>
      </c>
      <c r="N157" s="46">
        <v>263</v>
      </c>
      <c r="O157" s="45">
        <v>635</v>
      </c>
      <c r="P157" s="45">
        <v>599</v>
      </c>
      <c r="Q157" s="45">
        <v>349</v>
      </c>
      <c r="R157" s="45">
        <v>547</v>
      </c>
      <c r="S157" s="46">
        <v>522</v>
      </c>
      <c r="T157" s="46">
        <v>776</v>
      </c>
      <c r="U157" s="45">
        <v>569</v>
      </c>
      <c r="V157" s="46">
        <v>255</v>
      </c>
      <c r="W157" s="46">
        <v>382</v>
      </c>
      <c r="X157" s="10">
        <v>8.7754090233019388E-2</v>
      </c>
      <c r="Y157" s="9">
        <v>0.1002734731084776</v>
      </c>
      <c r="Z157" s="8">
        <v>-0.12096106048053019</v>
      </c>
      <c r="AA157" s="8">
        <v>-6.5975494816211122E-2</v>
      </c>
    </row>
    <row r="158" spans="2:27" x14ac:dyDescent="0.3">
      <c r="B158" s="12" t="s">
        <v>428</v>
      </c>
      <c r="C158" s="3" t="s">
        <v>714</v>
      </c>
      <c r="D158" s="3" t="str">
        <f>VLOOKUP(B158,기업리스트!$B:$G,2,FALSE)</f>
        <v>Afry AB</v>
      </c>
      <c r="E158" s="3" t="s">
        <v>648</v>
      </c>
      <c r="F158" s="5">
        <v>-9</v>
      </c>
      <c r="G158" s="4">
        <v>462</v>
      </c>
      <c r="H158" s="4">
        <v>357</v>
      </c>
      <c r="I158" s="4">
        <v>430</v>
      </c>
      <c r="J158" s="4">
        <v>373</v>
      </c>
      <c r="K158" s="4">
        <v>522</v>
      </c>
      <c r="L158" s="45">
        <v>690</v>
      </c>
      <c r="M158" s="46">
        <v>398</v>
      </c>
      <c r="N158" s="46">
        <v>310</v>
      </c>
      <c r="O158" s="46">
        <v>548</v>
      </c>
      <c r="P158" s="46">
        <v>582</v>
      </c>
      <c r="Q158" s="46">
        <v>573</v>
      </c>
      <c r="R158" s="46">
        <v>364</v>
      </c>
      <c r="S158" s="46">
        <v>573</v>
      </c>
      <c r="T158" s="46">
        <v>459</v>
      </c>
      <c r="U158" s="46">
        <v>346</v>
      </c>
      <c r="V158" s="46">
        <v>331</v>
      </c>
      <c r="W158" s="46">
        <v>419</v>
      </c>
      <c r="X158" s="10">
        <v>-5.879541108986619E-2</v>
      </c>
      <c r="Y158" s="8">
        <v>-0.11528694768918241</v>
      </c>
      <c r="Z158" s="8">
        <v>-1.894374282433986E-2</v>
      </c>
      <c r="AA158" s="8">
        <v>-9.0111176126389747E-2</v>
      </c>
    </row>
    <row r="159" spans="2:27" x14ac:dyDescent="0.3">
      <c r="B159" s="43" t="s">
        <v>617</v>
      </c>
      <c r="C159" s="35" t="s">
        <v>714</v>
      </c>
      <c r="D159" s="35" t="str">
        <f>VLOOKUP(B159,기업리스트!$B:$G,2,FALSE)</f>
        <v>Hexatronic Group AB (publ)</v>
      </c>
      <c r="E159" s="35" t="s">
        <v>648</v>
      </c>
      <c r="F159" s="36">
        <v>-34.299999999999997</v>
      </c>
      <c r="G159" s="37">
        <v>107.8</v>
      </c>
      <c r="H159" s="37">
        <v>172</v>
      </c>
      <c r="I159" s="37">
        <v>265</v>
      </c>
      <c r="J159" s="37">
        <v>302</v>
      </c>
      <c r="K159" s="38">
        <v>283</v>
      </c>
      <c r="L159" s="48">
        <v>340</v>
      </c>
      <c r="M159" s="47">
        <v>377</v>
      </c>
      <c r="N159" s="47">
        <v>266</v>
      </c>
      <c r="O159" s="47">
        <v>132</v>
      </c>
      <c r="P159" s="47">
        <v>139</v>
      </c>
      <c r="Q159" s="47">
        <v>191</v>
      </c>
      <c r="R159" s="47">
        <v>199</v>
      </c>
      <c r="S159" s="47">
        <v>130</v>
      </c>
      <c r="T159" s="47">
        <v>154</v>
      </c>
      <c r="U159" s="47">
        <v>142</v>
      </c>
      <c r="V159" s="47">
        <v>-82</v>
      </c>
      <c r="W159" s="47">
        <v>12</v>
      </c>
      <c r="X159" s="39">
        <v>2.2761760242792081E-2</v>
      </c>
      <c r="Y159" s="40">
        <v>-7.2700296735905057E-2</v>
      </c>
      <c r="Z159" s="40">
        <v>-0.4496</v>
      </c>
      <c r="AA159" s="40">
        <v>-0.34302325581395349</v>
      </c>
    </row>
    <row r="160" spans="2:27" x14ac:dyDescent="0.3">
      <c r="B160" s="12">
        <v>6723</v>
      </c>
      <c r="C160" s="3" t="s">
        <v>712</v>
      </c>
      <c r="D160" s="3" t="str">
        <f>VLOOKUP(B160,기업리스트!$B:$G,2,FALSE)</f>
        <v>Renesas Electronics Corporation</v>
      </c>
      <c r="E160" s="3" t="s">
        <v>648</v>
      </c>
      <c r="F160" s="33">
        <v>30.4</v>
      </c>
      <c r="G160" s="4">
        <v>110207</v>
      </c>
      <c r="H160" s="4">
        <v>99823</v>
      </c>
      <c r="I160" s="4">
        <v>110182</v>
      </c>
      <c r="J160" s="4">
        <v>117937</v>
      </c>
      <c r="K160" s="4">
        <v>99250</v>
      </c>
      <c r="L160" s="46">
        <v>123265</v>
      </c>
      <c r="M160" s="46">
        <v>97257</v>
      </c>
      <c r="N160" s="46">
        <v>98006</v>
      </c>
      <c r="O160" s="46">
        <v>52775</v>
      </c>
      <c r="P160" s="46">
        <v>77836</v>
      </c>
      <c r="Q160" s="46">
        <v>69729</v>
      </c>
      <c r="R160" s="46">
        <v>58118</v>
      </c>
      <c r="S160" s="46">
        <v>29431</v>
      </c>
      <c r="T160" s="46">
        <v>35258</v>
      </c>
      <c r="U160" s="46">
        <v>26043</v>
      </c>
      <c r="V160" s="46">
        <v>68905</v>
      </c>
      <c r="W160" s="45">
        <v>78028</v>
      </c>
      <c r="X160" s="10">
        <v>-0.18109512832072949</v>
      </c>
      <c r="Y160" s="8">
        <v>-0.22689782689990451</v>
      </c>
      <c r="Z160" s="8">
        <v>7.2468928451461245E-2</v>
      </c>
      <c r="AA160" s="9">
        <v>0.30442190720196449</v>
      </c>
    </row>
    <row r="161" spans="2:27" x14ac:dyDescent="0.3">
      <c r="B161" s="12">
        <v>7287</v>
      </c>
      <c r="C161" s="3" t="s">
        <v>712</v>
      </c>
      <c r="D161" s="3" t="str">
        <f>VLOOKUP(B161,기업리스트!$B:$G,2,FALSE)</f>
        <v>Nippon Seiki Co., Ltd.</v>
      </c>
      <c r="E161" s="3" t="s">
        <v>646</v>
      </c>
      <c r="F161" s="33">
        <v>28.3</v>
      </c>
      <c r="G161" s="4">
        <v>-2014</v>
      </c>
      <c r="H161" s="4">
        <v>-1954</v>
      </c>
      <c r="I161" s="4">
        <v>2675</v>
      </c>
      <c r="J161" s="4">
        <v>-3297</v>
      </c>
      <c r="K161" s="4">
        <v>3047</v>
      </c>
      <c r="L161" s="45">
        <v>1804</v>
      </c>
      <c r="M161" s="46">
        <v>1254</v>
      </c>
      <c r="N161" s="45">
        <v>2307</v>
      </c>
      <c r="O161" s="46">
        <v>2486</v>
      </c>
      <c r="P161" s="46">
        <v>1849</v>
      </c>
      <c r="Q161" s="45">
        <v>3598</v>
      </c>
      <c r="R161" s="46">
        <v>2182</v>
      </c>
      <c r="S161" s="46">
        <v>1265</v>
      </c>
      <c r="T161" s="46">
        <v>2179</v>
      </c>
      <c r="U161" s="46">
        <v>3725</v>
      </c>
      <c r="V161" s="46">
        <v>1522</v>
      </c>
      <c r="W161" s="45">
        <v>3727</v>
      </c>
      <c r="X161" s="10">
        <v>3.7103665392399288E-2</v>
      </c>
      <c r="Y161" s="8">
        <v>1.376843018213347E-2</v>
      </c>
      <c r="Z161" s="8">
        <v>-7.0580686557587424E-2</v>
      </c>
      <c r="AA161" s="9">
        <v>0.2832815556322632</v>
      </c>
    </row>
    <row r="162" spans="2:27" x14ac:dyDescent="0.3">
      <c r="B162" s="12">
        <v>7752</v>
      </c>
      <c r="C162" s="3" t="s">
        <v>712</v>
      </c>
      <c r="D162" s="3" t="str">
        <f>VLOOKUP(B162,기업리스트!$B:$G,2,FALSE)</f>
        <v>Ricoh Company, Ltd.</v>
      </c>
      <c r="E162" s="3" t="s">
        <v>646</v>
      </c>
      <c r="F162" s="33">
        <v>23.5</v>
      </c>
      <c r="G162" s="4">
        <v>7434</v>
      </c>
      <c r="H162" s="4">
        <v>12609</v>
      </c>
      <c r="I162" s="4">
        <v>-497</v>
      </c>
      <c r="J162" s="4">
        <v>9814</v>
      </c>
      <c r="K162" s="6">
        <v>13822</v>
      </c>
      <c r="L162" s="46">
        <v>16160</v>
      </c>
      <c r="M162" s="45">
        <v>25519</v>
      </c>
      <c r="N162" s="46">
        <v>10171</v>
      </c>
      <c r="O162" s="46">
        <v>9390</v>
      </c>
      <c r="P162" s="46">
        <v>17597</v>
      </c>
      <c r="Q162" s="46">
        <v>24473</v>
      </c>
      <c r="R162" s="46">
        <v>6332</v>
      </c>
      <c r="S162" s="46">
        <v>477</v>
      </c>
      <c r="T162" s="45">
        <v>27747</v>
      </c>
      <c r="U162" s="45">
        <v>53955</v>
      </c>
      <c r="V162" s="46">
        <v>12642</v>
      </c>
      <c r="W162" s="45">
        <v>22806</v>
      </c>
      <c r="X162" s="7">
        <v>0.20765563943615861</v>
      </c>
      <c r="Y162" s="9">
        <v>0.49944942316488522</v>
      </c>
      <c r="Z162" s="8">
        <v>7.129057405294259E-2</v>
      </c>
      <c r="AA162" s="9">
        <v>0.23548581010535649</v>
      </c>
    </row>
    <row r="163" spans="2:27" x14ac:dyDescent="0.3">
      <c r="B163" s="12">
        <v>3636</v>
      </c>
      <c r="C163" s="3" t="s">
        <v>712</v>
      </c>
      <c r="D163" s="3" t="str">
        <f>VLOOKUP(B163,기업리스트!$B:$G,2,FALSE)</f>
        <v>Mitsubishi Research Institute, Inc.</v>
      </c>
      <c r="E163" s="3" t="s">
        <v>648</v>
      </c>
      <c r="F163" s="33">
        <v>20.7</v>
      </c>
      <c r="G163" s="4">
        <v>213</v>
      </c>
      <c r="H163" s="4">
        <v>1836</v>
      </c>
      <c r="I163" s="4">
        <v>7479</v>
      </c>
      <c r="J163" s="4">
        <v>22</v>
      </c>
      <c r="K163" s="4">
        <v>-171</v>
      </c>
      <c r="L163" s="46">
        <v>2359</v>
      </c>
      <c r="M163" s="46">
        <v>6934</v>
      </c>
      <c r="N163" s="46">
        <v>-906</v>
      </c>
      <c r="O163" s="46">
        <v>302</v>
      </c>
      <c r="P163" s="46">
        <v>2037</v>
      </c>
      <c r="Q163" s="46">
        <v>6565</v>
      </c>
      <c r="R163" s="46">
        <v>-1542</v>
      </c>
      <c r="S163" s="46">
        <v>2</v>
      </c>
      <c r="T163" s="46">
        <v>1480</v>
      </c>
      <c r="U163" s="46">
        <v>5340</v>
      </c>
      <c r="V163" s="45">
        <v>-186</v>
      </c>
      <c r="W163" s="45">
        <v>1378</v>
      </c>
      <c r="X163" s="10">
        <v>-7.887284055508359E-2</v>
      </c>
      <c r="Y163" s="8">
        <v>-0.18831667947732511</v>
      </c>
      <c r="Z163" s="9">
        <v>0.25681818181818178</v>
      </c>
      <c r="AA163" s="9">
        <v>0.2073538276069922</v>
      </c>
    </row>
    <row r="164" spans="2:27" x14ac:dyDescent="0.3">
      <c r="B164" s="12">
        <v>8934</v>
      </c>
      <c r="C164" s="3" t="s">
        <v>712</v>
      </c>
      <c r="D164" s="3" t="str">
        <f>VLOOKUP(B164,기업리스트!$B:$G,2,FALSE)</f>
        <v>Sun Frontier Fudousan Co., Ltd.</v>
      </c>
      <c r="E164" s="3" t="s">
        <v>646</v>
      </c>
      <c r="F164" s="33">
        <v>17.3</v>
      </c>
      <c r="G164" s="4">
        <v>2060</v>
      </c>
      <c r="H164" s="4">
        <v>2750</v>
      </c>
      <c r="I164" s="4">
        <v>-24</v>
      </c>
      <c r="J164" s="4">
        <v>6669</v>
      </c>
      <c r="K164" s="4">
        <v>1377</v>
      </c>
      <c r="L164" s="45">
        <v>6651</v>
      </c>
      <c r="M164" s="46">
        <v>209</v>
      </c>
      <c r="N164" s="46">
        <v>4207</v>
      </c>
      <c r="O164" s="45">
        <v>7816</v>
      </c>
      <c r="P164" s="46">
        <v>2140</v>
      </c>
      <c r="Q164" s="45">
        <v>3439</v>
      </c>
      <c r="R164" s="46">
        <v>2835</v>
      </c>
      <c r="S164" s="46">
        <v>3869</v>
      </c>
      <c r="T164" s="45">
        <v>5267</v>
      </c>
      <c r="U164" s="45">
        <v>9309</v>
      </c>
      <c r="V164" s="45">
        <v>6022</v>
      </c>
      <c r="W164" s="45">
        <v>8109</v>
      </c>
      <c r="X164" s="7">
        <v>0.25457950012212011</v>
      </c>
      <c r="Y164" s="9">
        <v>0.38092147955872813</v>
      </c>
      <c r="Z164" s="9">
        <v>0.14976503759398499</v>
      </c>
      <c r="AA164" s="9">
        <v>0.17329464176237369</v>
      </c>
    </row>
    <row r="165" spans="2:27" x14ac:dyDescent="0.3">
      <c r="B165" s="12">
        <v>7250</v>
      </c>
      <c r="C165" s="3" t="s">
        <v>712</v>
      </c>
      <c r="D165" s="3" t="str">
        <f>VLOOKUP(B165,기업리스트!$B:$G,2,FALSE)</f>
        <v>Pacific Industrial Co., Ltd.</v>
      </c>
      <c r="E165" s="3" t="s">
        <v>646</v>
      </c>
      <c r="F165" s="33">
        <v>13.9</v>
      </c>
      <c r="G165" s="4">
        <v>1664</v>
      </c>
      <c r="H165" s="4">
        <v>2759</v>
      </c>
      <c r="I165" s="4">
        <v>2973</v>
      </c>
      <c r="J165" s="4">
        <v>1663</v>
      </c>
      <c r="K165" s="4">
        <v>939</v>
      </c>
      <c r="L165" s="46">
        <v>3089</v>
      </c>
      <c r="M165" s="46">
        <v>3608</v>
      </c>
      <c r="N165" s="45">
        <v>3149</v>
      </c>
      <c r="O165" s="45">
        <v>4346</v>
      </c>
      <c r="P165" s="46">
        <v>3746</v>
      </c>
      <c r="Q165" s="46">
        <v>3215</v>
      </c>
      <c r="R165" s="46">
        <v>2452</v>
      </c>
      <c r="S165" s="46">
        <v>2123</v>
      </c>
      <c r="T165" s="46">
        <v>4174</v>
      </c>
      <c r="U165" s="45">
        <v>4600</v>
      </c>
      <c r="V165" s="45">
        <v>4366</v>
      </c>
      <c r="W165" s="45">
        <v>4248</v>
      </c>
      <c r="X165" s="10">
        <v>3.7101248266296898E-2</v>
      </c>
      <c r="Y165" s="9">
        <v>0.1157639585422936</v>
      </c>
      <c r="Z165" s="9">
        <v>0.14338152670612031</v>
      </c>
      <c r="AA165" s="9">
        <v>0.13922557819563641</v>
      </c>
    </row>
    <row r="166" spans="2:27" x14ac:dyDescent="0.3">
      <c r="B166" s="12">
        <v>7186</v>
      </c>
      <c r="C166" s="3" t="s">
        <v>712</v>
      </c>
      <c r="D166" s="3" t="str">
        <f>VLOOKUP(B166,기업리스트!$B:$G,2,FALSE)</f>
        <v>Yokohama Financial Group, Inc.</v>
      </c>
      <c r="E166" s="3" t="s">
        <v>650</v>
      </c>
      <c r="F166" s="33">
        <v>12.6</v>
      </c>
      <c r="G166" s="4">
        <v>21370</v>
      </c>
      <c r="H166" s="4">
        <v>6214</v>
      </c>
      <c r="I166" s="4">
        <v>24781</v>
      </c>
      <c r="J166" s="4">
        <v>17421</v>
      </c>
      <c r="K166" s="4">
        <v>23594</v>
      </c>
      <c r="L166" s="45">
        <v>14735</v>
      </c>
      <c r="M166" s="46">
        <v>22099</v>
      </c>
      <c r="N166" s="45">
        <v>25439</v>
      </c>
      <c r="O166" s="46">
        <v>23373</v>
      </c>
      <c r="P166" s="46">
        <v>20479</v>
      </c>
      <c r="Q166" s="45">
        <v>32351</v>
      </c>
      <c r="R166" s="46">
        <v>31283</v>
      </c>
      <c r="S166" s="46">
        <v>26514</v>
      </c>
      <c r="T166" s="46">
        <v>28768</v>
      </c>
      <c r="U166" s="46">
        <v>38108</v>
      </c>
      <c r="V166" s="46">
        <v>41091</v>
      </c>
      <c r="W166" s="45">
        <v>43457</v>
      </c>
      <c r="X166" s="10">
        <v>7.4927458938595537E-2</v>
      </c>
      <c r="Y166" s="8">
        <v>4.8412324666150967E-2</v>
      </c>
      <c r="Z166" s="8">
        <v>7.8669800197316286E-2</v>
      </c>
      <c r="AA166" s="9">
        <v>0.12598805779255051</v>
      </c>
    </row>
    <row r="167" spans="2:27" x14ac:dyDescent="0.3">
      <c r="B167" s="12">
        <v>6486</v>
      </c>
      <c r="C167" s="3" t="s">
        <v>712</v>
      </c>
      <c r="D167" s="3" t="str">
        <f>VLOOKUP(B167,기업리스트!$B:$G,2,FALSE)</f>
        <v>Eagle Industry Co.,Ltd.</v>
      </c>
      <c r="E167" s="3" t="s">
        <v>646</v>
      </c>
      <c r="F167" s="33">
        <v>10.3</v>
      </c>
      <c r="G167" s="4">
        <v>1411</v>
      </c>
      <c r="H167" s="4">
        <v>1319</v>
      </c>
      <c r="I167" s="4">
        <v>2320</v>
      </c>
      <c r="J167" s="4">
        <v>1946</v>
      </c>
      <c r="K167" s="4">
        <v>1817</v>
      </c>
      <c r="L167" s="45">
        <v>3750</v>
      </c>
      <c r="M167" s="46">
        <v>1752</v>
      </c>
      <c r="N167" s="46">
        <v>1497</v>
      </c>
      <c r="O167" s="46">
        <v>1588</v>
      </c>
      <c r="P167" s="46">
        <v>2867</v>
      </c>
      <c r="Q167" s="46">
        <v>2156</v>
      </c>
      <c r="R167" s="45">
        <v>2625</v>
      </c>
      <c r="S167" s="46">
        <v>1640</v>
      </c>
      <c r="T167" s="46">
        <v>2065</v>
      </c>
      <c r="U167" s="46">
        <v>2164</v>
      </c>
      <c r="V167" s="46">
        <v>2999</v>
      </c>
      <c r="W167" s="45">
        <v>2549</v>
      </c>
      <c r="X167" s="10">
        <v>-8.6347975882859584E-2</v>
      </c>
      <c r="Y167" s="8">
        <v>9.4272920103710689E-4</v>
      </c>
      <c r="Z167" s="8">
        <v>4.4031080762891417E-2</v>
      </c>
      <c r="AA167" s="9">
        <v>0.1025033829499324</v>
      </c>
    </row>
    <row r="168" spans="2:27" x14ac:dyDescent="0.3">
      <c r="B168" s="12">
        <v>3110</v>
      </c>
      <c r="C168" s="3" t="s">
        <v>712</v>
      </c>
      <c r="D168" s="3" t="str">
        <f>VLOOKUP(B168,기업리스트!$B:$G,2,FALSE)</f>
        <v>Nitto Boseki Co., Ltd.</v>
      </c>
      <c r="E168" s="3" t="s">
        <v>646</v>
      </c>
      <c r="F168" s="33">
        <v>10.199999999999999</v>
      </c>
      <c r="G168" s="4">
        <v>2238</v>
      </c>
      <c r="H168" s="4">
        <v>1724</v>
      </c>
      <c r="I168" s="4">
        <v>1612</v>
      </c>
      <c r="J168" s="4">
        <v>2614</v>
      </c>
      <c r="K168" s="4">
        <v>1983</v>
      </c>
      <c r="L168" s="46">
        <v>1250</v>
      </c>
      <c r="M168" s="46">
        <v>-967</v>
      </c>
      <c r="N168" s="46">
        <v>886</v>
      </c>
      <c r="O168" s="46">
        <v>2234</v>
      </c>
      <c r="P168" s="45">
        <v>2585</v>
      </c>
      <c r="Q168" s="45">
        <v>2684</v>
      </c>
      <c r="R168" s="45">
        <v>3908</v>
      </c>
      <c r="S168" s="45">
        <v>3438</v>
      </c>
      <c r="T168" s="45">
        <v>4466</v>
      </c>
      <c r="U168" s="45">
        <v>4633</v>
      </c>
      <c r="V168" s="46">
        <v>4299</v>
      </c>
      <c r="W168" s="45">
        <v>5157</v>
      </c>
      <c r="X168" s="7">
        <v>0.1491082045184304</v>
      </c>
      <c r="Y168" s="9">
        <v>0.13445088300220751</v>
      </c>
      <c r="Z168" s="8">
        <v>2.3776223776223789E-2</v>
      </c>
      <c r="AA168" s="9">
        <v>0.1021026372059872</v>
      </c>
    </row>
    <row r="169" spans="2:27" x14ac:dyDescent="0.3">
      <c r="B169" s="12">
        <v>9404</v>
      </c>
      <c r="C169" s="3" t="s">
        <v>712</v>
      </c>
      <c r="D169" s="3" t="str">
        <f>VLOOKUP(B169,기업리스트!$B:$G,2,FALSE)</f>
        <v>Nippon Television Holdings, Inc.</v>
      </c>
      <c r="E169" s="3" t="s">
        <v>646</v>
      </c>
      <c r="F169" s="5">
        <v>9.9</v>
      </c>
      <c r="G169" s="4">
        <v>10933</v>
      </c>
      <c r="H169" s="4">
        <v>20494</v>
      </c>
      <c r="I169" s="4">
        <v>13846</v>
      </c>
      <c r="J169" s="4">
        <v>11729</v>
      </c>
      <c r="K169" s="4">
        <v>7646</v>
      </c>
      <c r="L169" s="46">
        <v>16116</v>
      </c>
      <c r="M169" s="46">
        <v>11103</v>
      </c>
      <c r="N169" s="46">
        <v>10344</v>
      </c>
      <c r="O169" s="46">
        <v>6453</v>
      </c>
      <c r="P169" s="46">
        <v>14266</v>
      </c>
      <c r="Q169" s="46">
        <v>10815</v>
      </c>
      <c r="R169" s="46">
        <v>11439</v>
      </c>
      <c r="S169" s="46">
        <v>9703</v>
      </c>
      <c r="T169" s="46">
        <v>16284</v>
      </c>
      <c r="U169" s="45">
        <v>17491</v>
      </c>
      <c r="V169" s="45">
        <v>17476</v>
      </c>
      <c r="W169" s="46">
        <v>15735</v>
      </c>
      <c r="X169" s="10">
        <v>4.3657919217705572E-2</v>
      </c>
      <c r="Y169" s="9">
        <v>0.1383885077009184</v>
      </c>
      <c r="Z169" s="9">
        <v>0.1099295300180272</v>
      </c>
      <c r="AA169" s="8">
        <v>9.8959871378416553E-2</v>
      </c>
    </row>
    <row r="170" spans="2:27" x14ac:dyDescent="0.3">
      <c r="B170" s="12">
        <v>4534</v>
      </c>
      <c r="C170" s="3" t="s">
        <v>712</v>
      </c>
      <c r="D170" s="3" t="str">
        <f>VLOOKUP(B170,기업리스트!$B:$G,2,FALSE)</f>
        <v>Mochida Pharmaceutical Co., Ltd.</v>
      </c>
      <c r="E170" s="3" t="s">
        <v>646</v>
      </c>
      <c r="F170" s="5">
        <v>9.3000000000000007</v>
      </c>
      <c r="G170" s="4">
        <v>2949</v>
      </c>
      <c r="H170" s="4">
        <v>6913</v>
      </c>
      <c r="I170" s="4">
        <v>1346</v>
      </c>
      <c r="J170" s="4">
        <v>4266</v>
      </c>
      <c r="K170" s="4">
        <v>1014</v>
      </c>
      <c r="L170" s="46">
        <v>5077</v>
      </c>
      <c r="M170" s="46">
        <v>-1849</v>
      </c>
      <c r="N170" s="46">
        <v>2516</v>
      </c>
      <c r="O170" s="46">
        <v>1436</v>
      </c>
      <c r="P170" s="46">
        <v>1840</v>
      </c>
      <c r="Q170" s="45">
        <v>11</v>
      </c>
      <c r="R170" s="46">
        <v>2190</v>
      </c>
      <c r="S170" s="46">
        <v>1603</v>
      </c>
      <c r="T170" s="45">
        <v>3451</v>
      </c>
      <c r="U170" s="45">
        <v>883</v>
      </c>
      <c r="V170" s="46">
        <v>2573</v>
      </c>
      <c r="W170" s="46">
        <v>2395</v>
      </c>
      <c r="X170" s="7">
        <v>0.28543586109142449</v>
      </c>
      <c r="Y170" s="9">
        <v>0.1201929703652653</v>
      </c>
      <c r="Z170" s="8">
        <v>4.7126861080349469E-2</v>
      </c>
      <c r="AA170" s="8">
        <v>9.3066980023501777E-2</v>
      </c>
    </row>
    <row r="171" spans="2:27" x14ac:dyDescent="0.3">
      <c r="B171" s="12">
        <v>2317</v>
      </c>
      <c r="C171" s="3" t="s">
        <v>712</v>
      </c>
      <c r="D171" s="3" t="str">
        <f>VLOOKUP(B171,기업리스트!$B:$G,2,FALSE)</f>
        <v>Systena Corporation</v>
      </c>
      <c r="E171" s="3" t="s">
        <v>646</v>
      </c>
      <c r="F171" s="5">
        <v>8.9</v>
      </c>
      <c r="G171" s="4">
        <v>2064</v>
      </c>
      <c r="H171" s="4">
        <v>2473</v>
      </c>
      <c r="I171" s="4">
        <v>2400</v>
      </c>
      <c r="J171" s="4">
        <v>1822</v>
      </c>
      <c r="K171" s="4">
        <v>2613</v>
      </c>
      <c r="L171" s="46">
        <v>2579</v>
      </c>
      <c r="M171" s="46">
        <v>2831</v>
      </c>
      <c r="N171" s="46">
        <v>1910</v>
      </c>
      <c r="O171" s="46">
        <v>2458</v>
      </c>
      <c r="P171" s="46">
        <v>2658</v>
      </c>
      <c r="Q171" s="46">
        <v>2688</v>
      </c>
      <c r="R171" s="46">
        <v>2644</v>
      </c>
      <c r="S171" s="46">
        <v>2930</v>
      </c>
      <c r="T171" s="46">
        <v>3141</v>
      </c>
      <c r="U171" s="46">
        <v>3354</v>
      </c>
      <c r="V171" s="46">
        <v>3516</v>
      </c>
      <c r="W171" s="46">
        <v>4078</v>
      </c>
      <c r="X171" s="10">
        <v>4.4230769230769303E-2</v>
      </c>
      <c r="Y171" s="8">
        <v>5.8405682715074958E-2</v>
      </c>
      <c r="Z171" s="8">
        <v>7.2251222139365412E-2</v>
      </c>
      <c r="AA171" s="8">
        <v>8.8710300595008063E-2</v>
      </c>
    </row>
    <row r="172" spans="2:27" x14ac:dyDescent="0.3">
      <c r="B172" s="12">
        <v>7088</v>
      </c>
      <c r="C172" s="3" t="s">
        <v>712</v>
      </c>
      <c r="D172" s="3" t="str">
        <f>VLOOKUP(B172,기업리스트!$B:$G,2,FALSE)</f>
        <v>Forum Engineering Inc.</v>
      </c>
      <c r="E172" s="3" t="s">
        <v>646</v>
      </c>
      <c r="F172" s="5">
        <v>8.3000000000000007</v>
      </c>
      <c r="G172" s="3"/>
      <c r="H172" s="3"/>
      <c r="I172" s="3"/>
      <c r="J172" s="3"/>
      <c r="K172" s="3"/>
      <c r="L172" s="46"/>
      <c r="M172" s="46"/>
      <c r="N172" s="46">
        <v>659</v>
      </c>
      <c r="O172" s="46">
        <v>619</v>
      </c>
      <c r="P172" s="46">
        <v>1145</v>
      </c>
      <c r="Q172" s="46">
        <v>607</v>
      </c>
      <c r="R172" s="45">
        <v>1142</v>
      </c>
      <c r="S172" s="46">
        <v>887</v>
      </c>
      <c r="T172" s="46">
        <v>1389</v>
      </c>
      <c r="U172" s="46">
        <v>784</v>
      </c>
      <c r="V172" s="46">
        <v>1186</v>
      </c>
      <c r="W172" s="46">
        <v>1241</v>
      </c>
      <c r="X172" s="10">
        <v>6.4533192277175244E-2</v>
      </c>
      <c r="Y172" s="8">
        <v>4.3975155279503131E-2</v>
      </c>
      <c r="Z172" s="8">
        <v>1.0471204188481581E-2</v>
      </c>
      <c r="AA172" s="8">
        <v>8.3372585963259471E-2</v>
      </c>
    </row>
    <row r="173" spans="2:27" x14ac:dyDescent="0.3">
      <c r="B173" s="12">
        <v>8111</v>
      </c>
      <c r="C173" s="3" t="s">
        <v>712</v>
      </c>
      <c r="D173" s="3" t="str">
        <f>VLOOKUP(B173,기업리스트!$B:$G,2,FALSE)</f>
        <v>Goldwin Inc.</v>
      </c>
      <c r="E173" s="3" t="s">
        <v>646</v>
      </c>
      <c r="F173" s="5">
        <v>6.8</v>
      </c>
      <c r="G173" s="4">
        <v>2164</v>
      </c>
      <c r="H173" s="4">
        <v>10858</v>
      </c>
      <c r="I173" s="4">
        <v>2345</v>
      </c>
      <c r="J173" s="4">
        <v>2268</v>
      </c>
      <c r="K173" s="4">
        <v>3010</v>
      </c>
      <c r="L173" s="45">
        <v>13004</v>
      </c>
      <c r="M173" s="46">
        <v>3624</v>
      </c>
      <c r="N173" s="46">
        <v>2264</v>
      </c>
      <c r="O173" s="46">
        <v>3807</v>
      </c>
      <c r="P173" s="46">
        <v>13118</v>
      </c>
      <c r="Q173" s="46">
        <v>4658</v>
      </c>
      <c r="R173" s="46">
        <v>1839</v>
      </c>
      <c r="S173" s="46">
        <v>3375</v>
      </c>
      <c r="T173" s="46">
        <v>11726</v>
      </c>
      <c r="U173" s="46">
        <v>4966</v>
      </c>
      <c r="V173" s="46">
        <v>2080</v>
      </c>
      <c r="W173" s="46">
        <v>4880</v>
      </c>
      <c r="X173" s="10">
        <v>-6.0548064375815613E-2</v>
      </c>
      <c r="Y173" s="8">
        <v>1.4260579683303959E-2</v>
      </c>
      <c r="Z173" s="8">
        <v>1.100155208618636E-2</v>
      </c>
      <c r="AA173" s="8">
        <v>6.7955027768997978E-2</v>
      </c>
    </row>
    <row r="174" spans="2:27" x14ac:dyDescent="0.3">
      <c r="B174" s="12">
        <v>4928</v>
      </c>
      <c r="C174" s="3" t="s">
        <v>712</v>
      </c>
      <c r="D174" s="3" t="str">
        <f>VLOOKUP(B174,기업리스트!$B:$G,2,FALSE)</f>
        <v>Noevir Holdings Co., Ltd.</v>
      </c>
      <c r="E174" s="3" t="s">
        <v>648</v>
      </c>
      <c r="F174" s="5">
        <v>6.5</v>
      </c>
      <c r="G174" s="4">
        <v>1597</v>
      </c>
      <c r="H174" s="4">
        <v>2773</v>
      </c>
      <c r="I174" s="4">
        <v>2456</v>
      </c>
      <c r="J174" s="4">
        <v>2731</v>
      </c>
      <c r="K174" s="4">
        <v>2156</v>
      </c>
      <c r="L174" s="46">
        <v>3330</v>
      </c>
      <c r="M174" s="46">
        <v>2420</v>
      </c>
      <c r="N174" s="46">
        <v>3032</v>
      </c>
      <c r="O174" s="46">
        <v>2242</v>
      </c>
      <c r="P174" s="46">
        <v>3535</v>
      </c>
      <c r="Q174" s="46">
        <v>2631</v>
      </c>
      <c r="R174" s="46">
        <v>2850</v>
      </c>
      <c r="S174" s="46">
        <v>2408</v>
      </c>
      <c r="T174" s="46">
        <v>2857</v>
      </c>
      <c r="U174" s="46">
        <v>2539</v>
      </c>
      <c r="V174" s="46">
        <v>2297</v>
      </c>
      <c r="W174" s="46">
        <v>3066</v>
      </c>
      <c r="X174" s="10">
        <v>-5.9348739495798331E-2</v>
      </c>
      <c r="Y174" s="8">
        <v>-8.5613251442396843E-3</v>
      </c>
      <c r="Z174" s="8">
        <v>-5.1905387647831813E-2</v>
      </c>
      <c r="AA174" s="8">
        <v>6.5142065142065109E-2</v>
      </c>
    </row>
    <row r="175" spans="2:27" x14ac:dyDescent="0.3">
      <c r="B175" s="12">
        <v>6370</v>
      </c>
      <c r="C175" s="3" t="s">
        <v>712</v>
      </c>
      <c r="D175" s="3" t="str">
        <f>VLOOKUP(B175,기업리스트!$B:$G,2,FALSE)</f>
        <v>Kurita Water Industries Ltd.</v>
      </c>
      <c r="E175" s="3" t="s">
        <v>646</v>
      </c>
      <c r="F175" s="5">
        <v>6.4</v>
      </c>
      <c r="G175" s="4">
        <v>8934</v>
      </c>
      <c r="H175" s="4">
        <v>10790</v>
      </c>
      <c r="I175" s="4">
        <v>7237</v>
      </c>
      <c r="J175" s="4">
        <v>6380</v>
      </c>
      <c r="K175" s="4">
        <v>9969</v>
      </c>
      <c r="L175" s="46">
        <v>11323</v>
      </c>
      <c r="M175" s="46">
        <v>9397</v>
      </c>
      <c r="N175" s="46">
        <v>8132</v>
      </c>
      <c r="O175" s="46">
        <v>10155</v>
      </c>
      <c r="P175" s="46">
        <v>12231</v>
      </c>
      <c r="Q175" s="46">
        <v>10829</v>
      </c>
      <c r="R175" s="46">
        <v>8639</v>
      </c>
      <c r="S175" s="46">
        <v>12853</v>
      </c>
      <c r="T175" s="46">
        <v>13217</v>
      </c>
      <c r="U175" s="45">
        <v>16113</v>
      </c>
      <c r="V175" s="46">
        <v>8804</v>
      </c>
      <c r="W175" s="46">
        <v>16098</v>
      </c>
      <c r="X175" s="10">
        <v>2.213144191057648E-2</v>
      </c>
      <c r="Y175" s="9">
        <v>0.11603495981378199</v>
      </c>
      <c r="Z175" s="8">
        <v>3.2466254771554852E-3</v>
      </c>
      <c r="AA175" s="8">
        <v>6.3643673877655127E-2</v>
      </c>
    </row>
    <row r="176" spans="2:27" x14ac:dyDescent="0.3">
      <c r="B176" s="12">
        <v>1926</v>
      </c>
      <c r="C176" s="3" t="s">
        <v>712</v>
      </c>
      <c r="D176" s="3" t="str">
        <f>VLOOKUP(B176,기업리스트!$B:$G,2,FALSE)</f>
        <v>Raito Kogyo Co., Ltd.</v>
      </c>
      <c r="E176" s="3" t="s">
        <v>646</v>
      </c>
      <c r="F176" s="5">
        <v>6.3</v>
      </c>
      <c r="G176" s="4">
        <v>3341</v>
      </c>
      <c r="H176" s="4">
        <v>3819</v>
      </c>
      <c r="I176" s="4">
        <v>4058</v>
      </c>
      <c r="J176" s="4">
        <v>1640</v>
      </c>
      <c r="K176" s="4">
        <v>3355</v>
      </c>
      <c r="L176" s="46">
        <v>4311</v>
      </c>
      <c r="M176" s="46">
        <v>3480</v>
      </c>
      <c r="N176" s="46">
        <v>1731</v>
      </c>
      <c r="O176" s="46">
        <v>3532</v>
      </c>
      <c r="P176" s="46">
        <v>3210</v>
      </c>
      <c r="Q176" s="46">
        <v>2773</v>
      </c>
      <c r="R176" s="46">
        <v>2099</v>
      </c>
      <c r="S176" s="46">
        <v>3404</v>
      </c>
      <c r="T176" s="46">
        <v>3920</v>
      </c>
      <c r="U176" s="46">
        <v>3389</v>
      </c>
      <c r="V176" s="46">
        <v>2666</v>
      </c>
      <c r="W176" s="46">
        <v>4243</v>
      </c>
      <c r="X176" s="10">
        <v>6.1814382726797852E-2</v>
      </c>
      <c r="Y176" s="8">
        <v>5.0508363397835383E-2</v>
      </c>
      <c r="Z176" s="8">
        <v>4.4255385576022377E-2</v>
      </c>
      <c r="AA176" s="8">
        <v>6.2710217505045129E-2</v>
      </c>
    </row>
    <row r="177" spans="2:27" x14ac:dyDescent="0.3">
      <c r="B177" s="12">
        <v>3167</v>
      </c>
      <c r="C177" s="3" t="s">
        <v>712</v>
      </c>
      <c r="D177" s="3" t="str">
        <f>VLOOKUP(B177,기업리스트!$B:$G,2,FALSE)</f>
        <v>TOKAI Holdings Corporation</v>
      </c>
      <c r="E177" s="3" t="s">
        <v>646</v>
      </c>
      <c r="F177" s="5">
        <v>5.5</v>
      </c>
      <c r="G177" s="4">
        <v>1995</v>
      </c>
      <c r="H177" s="4">
        <v>4026</v>
      </c>
      <c r="I177" s="4">
        <v>6545</v>
      </c>
      <c r="J177" s="4">
        <v>3355</v>
      </c>
      <c r="K177" s="4">
        <v>899</v>
      </c>
      <c r="L177" s="46">
        <v>4212</v>
      </c>
      <c r="M177" s="46">
        <v>6454</v>
      </c>
      <c r="N177" s="46">
        <v>2485</v>
      </c>
      <c r="O177" s="46">
        <v>1771</v>
      </c>
      <c r="P177" s="46">
        <v>4542</v>
      </c>
      <c r="Q177" s="46">
        <v>6714</v>
      </c>
      <c r="R177" s="46">
        <v>3320</v>
      </c>
      <c r="S177" s="46">
        <v>1341</v>
      </c>
      <c r="T177" s="46">
        <v>5051</v>
      </c>
      <c r="U177" s="46">
        <v>7130</v>
      </c>
      <c r="V177" s="46">
        <v>3942</v>
      </c>
      <c r="W177" s="46">
        <v>2308</v>
      </c>
      <c r="X177" s="10">
        <v>3.1978387887164672E-2</v>
      </c>
      <c r="Y177" s="8">
        <v>2.532570315353699E-2</v>
      </c>
      <c r="Z177" s="8">
        <v>3.6931480821755118E-2</v>
      </c>
      <c r="AA177" s="8">
        <v>5.5371049015116913E-2</v>
      </c>
    </row>
    <row r="178" spans="2:27" x14ac:dyDescent="0.3">
      <c r="B178" s="12">
        <v>6590</v>
      </c>
      <c r="C178" s="3" t="s">
        <v>712</v>
      </c>
      <c r="D178" s="3" t="str">
        <f>VLOOKUP(B178,기업리스트!$B:$G,2,FALSE)</f>
        <v>Shibaura Mechatronics Corporation</v>
      </c>
      <c r="E178" s="3" t="s">
        <v>646</v>
      </c>
      <c r="F178" s="5">
        <v>5.5</v>
      </c>
      <c r="G178" s="4">
        <v>1189</v>
      </c>
      <c r="H178" s="4">
        <v>1128</v>
      </c>
      <c r="I178" s="4">
        <v>2077</v>
      </c>
      <c r="J178" s="4">
        <v>2122</v>
      </c>
      <c r="K178" s="6">
        <v>2478</v>
      </c>
      <c r="L178" s="45">
        <v>3717</v>
      </c>
      <c r="M178" s="46">
        <v>2590</v>
      </c>
      <c r="N178" s="46">
        <v>2129</v>
      </c>
      <c r="O178" s="46">
        <v>2888</v>
      </c>
      <c r="P178" s="46">
        <v>3088</v>
      </c>
      <c r="Q178" s="46">
        <v>3583</v>
      </c>
      <c r="R178" s="46">
        <v>3070</v>
      </c>
      <c r="S178" s="46">
        <v>2678</v>
      </c>
      <c r="T178" s="46">
        <v>3550</v>
      </c>
      <c r="U178" s="46">
        <v>4839</v>
      </c>
      <c r="V178" s="46">
        <v>4065</v>
      </c>
      <c r="W178" s="46">
        <v>3508</v>
      </c>
      <c r="X178" s="10">
        <v>3.7201062887511023E-2</v>
      </c>
      <c r="Y178" s="8">
        <v>9.7507957456719252E-2</v>
      </c>
      <c r="Z178" s="8">
        <v>7.0382683737709506E-2</v>
      </c>
      <c r="AA178" s="8">
        <v>5.4850647634152823E-2</v>
      </c>
    </row>
    <row r="179" spans="2:27" x14ac:dyDescent="0.3">
      <c r="B179" s="12">
        <v>4483</v>
      </c>
      <c r="C179" s="3" t="s">
        <v>712</v>
      </c>
      <c r="D179" s="3" t="str">
        <f>VLOOKUP(B179,기업리스트!$B:$G,2,FALSE)</f>
        <v>JMDC Inc.</v>
      </c>
      <c r="E179" s="3" t="s">
        <v>646</v>
      </c>
      <c r="F179" s="5">
        <v>5</v>
      </c>
      <c r="G179" s="4">
        <v>916</v>
      </c>
      <c r="H179" s="4">
        <v>1677</v>
      </c>
      <c r="I179" s="4">
        <v>1450</v>
      </c>
      <c r="J179" s="4">
        <v>1082</v>
      </c>
      <c r="K179" s="4">
        <v>1126</v>
      </c>
      <c r="L179" s="46">
        <v>1822</v>
      </c>
      <c r="M179" s="46">
        <v>1839</v>
      </c>
      <c r="N179" s="45">
        <v>2547</v>
      </c>
      <c r="O179" s="46">
        <v>1056</v>
      </c>
      <c r="P179" s="46">
        <v>2066</v>
      </c>
      <c r="Q179" s="46">
        <v>855</v>
      </c>
      <c r="R179" s="46">
        <v>1091</v>
      </c>
      <c r="S179" s="45">
        <v>2159</v>
      </c>
      <c r="T179" s="46">
        <v>2564</v>
      </c>
      <c r="U179" s="46">
        <v>0</v>
      </c>
      <c r="V179" s="46">
        <v>1553</v>
      </c>
      <c r="W179" s="46">
        <v>2473</v>
      </c>
      <c r="X179" s="10">
        <v>8.0700048614487097E-2</v>
      </c>
      <c r="Y179" s="8">
        <v>-0.12820512820512819</v>
      </c>
      <c r="Z179" s="8">
        <v>7.9463364293085759E-2</v>
      </c>
      <c r="AA179" s="8">
        <v>5.0031867431485022E-2</v>
      </c>
    </row>
    <row r="180" spans="2:27" x14ac:dyDescent="0.3">
      <c r="B180" s="12">
        <v>6479</v>
      </c>
      <c r="C180" s="3" t="s">
        <v>712</v>
      </c>
      <c r="D180" s="3" t="str">
        <f>VLOOKUP(B180,기업리스트!$B:$G,2,FALSE)</f>
        <v>MINEBEA MITSUMI Inc.</v>
      </c>
      <c r="E180" s="3" t="s">
        <v>650</v>
      </c>
      <c r="F180" s="5">
        <v>4.9000000000000004</v>
      </c>
      <c r="G180" s="4">
        <v>25832</v>
      </c>
      <c r="H180" s="4">
        <v>21181</v>
      </c>
      <c r="I180" s="4">
        <v>14255</v>
      </c>
      <c r="J180" s="4">
        <v>26394</v>
      </c>
      <c r="K180" s="4">
        <v>26432</v>
      </c>
      <c r="L180" s="46">
        <v>5420</v>
      </c>
      <c r="M180" s="46">
        <v>6052</v>
      </c>
      <c r="N180" s="46">
        <v>21174</v>
      </c>
      <c r="O180" s="46">
        <v>24027</v>
      </c>
      <c r="P180" s="45">
        <v>18873</v>
      </c>
      <c r="Q180" s="45">
        <v>20025</v>
      </c>
      <c r="R180" s="46">
        <v>28146</v>
      </c>
      <c r="S180" s="46">
        <v>26423</v>
      </c>
      <c r="T180" s="46">
        <v>19142</v>
      </c>
      <c r="U180" s="46">
        <v>17432</v>
      </c>
      <c r="V180" s="46">
        <v>26955</v>
      </c>
      <c r="W180" s="46">
        <v>30821</v>
      </c>
      <c r="X180" s="10">
        <v>2.8780211197534382E-3</v>
      </c>
      <c r="Y180" s="8">
        <v>-2.766279764444823E-2</v>
      </c>
      <c r="Z180" s="8">
        <v>-1.3067377637339121E-2</v>
      </c>
      <c r="AA180" s="8">
        <v>4.8892742796157851E-2</v>
      </c>
    </row>
    <row r="181" spans="2:27" x14ac:dyDescent="0.3">
      <c r="B181" s="12">
        <v>5411</v>
      </c>
      <c r="C181" s="3" t="s">
        <v>712</v>
      </c>
      <c r="D181" s="3" t="str">
        <f>VLOOKUP(B181,기업리스트!$B:$G,2,FALSE)</f>
        <v>JFE Holdings, Inc.</v>
      </c>
      <c r="E181" s="3" t="s">
        <v>646</v>
      </c>
      <c r="F181" s="5">
        <v>4.3</v>
      </c>
      <c r="G181" s="4">
        <v>84574</v>
      </c>
      <c r="H181" s="4">
        <v>94068</v>
      </c>
      <c r="I181" s="4">
        <v>75240</v>
      </c>
      <c r="J181" s="4">
        <v>95190</v>
      </c>
      <c r="K181" s="4">
        <v>68775</v>
      </c>
      <c r="L181" s="46">
        <v>44351</v>
      </c>
      <c r="M181" s="46">
        <v>14324</v>
      </c>
      <c r="N181" s="46">
        <v>67122</v>
      </c>
      <c r="O181" s="46">
        <v>70607</v>
      </c>
      <c r="P181" s="46">
        <v>62756</v>
      </c>
      <c r="Q181" s="45">
        <v>50770</v>
      </c>
      <c r="R181" s="46">
        <v>41897</v>
      </c>
      <c r="S181" s="46">
        <v>16550</v>
      </c>
      <c r="T181" s="46">
        <v>33436</v>
      </c>
      <c r="U181" s="46">
        <v>18779</v>
      </c>
      <c r="V181" s="46">
        <v>3266</v>
      </c>
      <c r="W181" s="46">
        <v>19680</v>
      </c>
      <c r="X181" s="10">
        <v>-0.17049187953923001</v>
      </c>
      <c r="Y181" s="8">
        <v>-0.22425746391593579</v>
      </c>
      <c r="Z181" s="8">
        <v>-0.349090021868392</v>
      </c>
      <c r="AA181" s="8">
        <v>4.3453513070761167E-2</v>
      </c>
    </row>
    <row r="182" spans="2:27" x14ac:dyDescent="0.3">
      <c r="B182" s="12">
        <v>9090</v>
      </c>
      <c r="C182" s="3" t="s">
        <v>712</v>
      </c>
      <c r="D182" s="3" t="str">
        <f>VLOOKUP(B182,기업리스트!$B:$G,2,FALSE)</f>
        <v>AZ-COM MARUWA Holdings Inc.</v>
      </c>
      <c r="E182" s="3" t="s">
        <v>646</v>
      </c>
      <c r="F182" s="5">
        <v>4.3</v>
      </c>
      <c r="G182" s="4">
        <v>2045</v>
      </c>
      <c r="H182" s="4">
        <v>2445</v>
      </c>
      <c r="I182" s="4">
        <v>1870</v>
      </c>
      <c r="J182" s="4">
        <v>2372</v>
      </c>
      <c r="K182" s="4">
        <v>2658</v>
      </c>
      <c r="L182" s="45">
        <v>3535</v>
      </c>
      <c r="M182" s="46">
        <v>2798</v>
      </c>
      <c r="N182" s="45">
        <v>3747</v>
      </c>
      <c r="O182" s="46">
        <v>3571</v>
      </c>
      <c r="P182" s="46">
        <v>4256</v>
      </c>
      <c r="Q182" s="46">
        <v>2272</v>
      </c>
      <c r="R182" s="46">
        <v>1857</v>
      </c>
      <c r="S182" s="46">
        <v>2471</v>
      </c>
      <c r="T182" s="46">
        <v>4617</v>
      </c>
      <c r="U182" s="46">
        <v>2025</v>
      </c>
      <c r="V182" s="45">
        <v>3078</v>
      </c>
      <c r="W182" s="46">
        <v>2990</v>
      </c>
      <c r="X182" s="10">
        <v>3.3253500368459747E-2</v>
      </c>
      <c r="Y182" s="8">
        <v>-2.2020147989658571E-2</v>
      </c>
      <c r="Z182" s="9">
        <v>0.1113035551504102</v>
      </c>
      <c r="AA182" s="8">
        <v>4.2572389467639971E-2</v>
      </c>
    </row>
    <row r="183" spans="2:27" x14ac:dyDescent="0.3">
      <c r="B183" s="12">
        <v>4452</v>
      </c>
      <c r="C183" s="3" t="s">
        <v>712</v>
      </c>
      <c r="D183" s="3" t="str">
        <f>VLOOKUP(B183,기업리스트!$B:$G,2,FALSE)</f>
        <v>Kao Corporation</v>
      </c>
      <c r="E183" s="3" t="s">
        <v>648</v>
      </c>
      <c r="F183" s="5">
        <v>3.3</v>
      </c>
      <c r="G183" s="4">
        <v>43749</v>
      </c>
      <c r="H183" s="4">
        <v>22952</v>
      </c>
      <c r="I183" s="4">
        <v>30709</v>
      </c>
      <c r="J183" s="4">
        <v>23256</v>
      </c>
      <c r="K183" s="4">
        <v>36812</v>
      </c>
      <c r="L183" s="46">
        <v>7287</v>
      </c>
      <c r="M183" s="46">
        <v>18613</v>
      </c>
      <c r="N183" s="46">
        <v>24805</v>
      </c>
      <c r="O183" s="45">
        <v>49505</v>
      </c>
      <c r="P183" s="45">
        <v>21984</v>
      </c>
      <c r="Q183" s="45">
        <v>35955</v>
      </c>
      <c r="R183" s="45">
        <v>43116</v>
      </c>
      <c r="S183" s="46">
        <v>43959</v>
      </c>
      <c r="T183" s="46">
        <v>31184</v>
      </c>
      <c r="U183" s="46">
        <v>38285</v>
      </c>
      <c r="V183" s="46">
        <v>45398</v>
      </c>
      <c r="W183" s="46">
        <v>49202</v>
      </c>
      <c r="X183" s="10">
        <v>6.3442150413063558E-2</v>
      </c>
      <c r="Y183" s="8">
        <v>1.5108874680638479E-2</v>
      </c>
      <c r="Z183" s="8">
        <v>1.4577371218315699E-2</v>
      </c>
      <c r="AA183" s="8">
        <v>3.3010967977535222E-2</v>
      </c>
    </row>
    <row r="184" spans="2:27" x14ac:dyDescent="0.3">
      <c r="B184" s="12">
        <v>2802</v>
      </c>
      <c r="C184" s="3" t="s">
        <v>712</v>
      </c>
      <c r="D184" s="3" t="str">
        <f>VLOOKUP(B184,기업리스트!$B:$G,2,FALSE)</f>
        <v>Ajinomoto Co., Inc.</v>
      </c>
      <c r="E184" s="3" t="s">
        <v>650</v>
      </c>
      <c r="F184" s="5">
        <v>3.3</v>
      </c>
      <c r="G184" s="4">
        <v>40469</v>
      </c>
      <c r="H184" s="4">
        <v>2237</v>
      </c>
      <c r="I184" s="4">
        <v>39442</v>
      </c>
      <c r="J184" s="4">
        <v>31381</v>
      </c>
      <c r="K184" s="4">
        <v>42918</v>
      </c>
      <c r="L184" s="45">
        <v>16863</v>
      </c>
      <c r="M184" s="46">
        <v>39847</v>
      </c>
      <c r="N184" s="46">
        <v>31526</v>
      </c>
      <c r="O184" s="46">
        <v>43296</v>
      </c>
      <c r="P184" s="46">
        <v>26444</v>
      </c>
      <c r="Q184" s="46">
        <v>38489</v>
      </c>
      <c r="R184" s="46">
        <v>38375</v>
      </c>
      <c r="S184" s="46">
        <v>50030</v>
      </c>
      <c r="T184" s="46">
        <v>19977</v>
      </c>
      <c r="U184" s="46">
        <v>46254</v>
      </c>
      <c r="V184" s="46">
        <v>31084</v>
      </c>
      <c r="W184" s="46">
        <v>54857</v>
      </c>
      <c r="X184" s="10">
        <v>-4.2174803375549463E-2</v>
      </c>
      <c r="Y184" s="8">
        <v>5.2869524957275482E-2</v>
      </c>
      <c r="Z184" s="8">
        <v>-4.7149434801727952E-2</v>
      </c>
      <c r="AA184" s="8">
        <v>3.2759849333197533E-2</v>
      </c>
    </row>
    <row r="185" spans="2:27" x14ac:dyDescent="0.3">
      <c r="B185" s="12">
        <v>9401</v>
      </c>
      <c r="C185" s="3" t="s">
        <v>712</v>
      </c>
      <c r="D185" s="3" t="str">
        <f>VLOOKUP(B185,기업리스트!$B:$G,2,FALSE)</f>
        <v>TBS Holdings,Inc.</v>
      </c>
      <c r="E185" s="3" t="s">
        <v>646</v>
      </c>
      <c r="F185" s="5">
        <v>3.1</v>
      </c>
      <c r="G185" s="4">
        <v>5828</v>
      </c>
      <c r="H185" s="4">
        <v>8604</v>
      </c>
      <c r="I185" s="4">
        <v>-2851</v>
      </c>
      <c r="J185" s="4">
        <v>7227</v>
      </c>
      <c r="K185" s="4">
        <v>2880</v>
      </c>
      <c r="L185" s="46">
        <v>10088</v>
      </c>
      <c r="M185" s="45">
        <v>588</v>
      </c>
      <c r="N185" s="46">
        <v>6875</v>
      </c>
      <c r="O185" s="46">
        <v>1869</v>
      </c>
      <c r="P185" s="46">
        <v>8297</v>
      </c>
      <c r="Q185" s="46">
        <v>-1865</v>
      </c>
      <c r="R185" s="46">
        <v>6179</v>
      </c>
      <c r="S185" s="45">
        <v>6622</v>
      </c>
      <c r="T185" s="46">
        <v>9334</v>
      </c>
      <c r="U185" s="46">
        <v>-2670</v>
      </c>
      <c r="V185" s="46">
        <v>8114</v>
      </c>
      <c r="W185" s="46">
        <v>7279</v>
      </c>
      <c r="X185" s="10">
        <v>5.3917745541517181E-2</v>
      </c>
      <c r="Y185" s="8">
        <v>-3.9713862851504689E-2</v>
      </c>
      <c r="Z185" s="8">
        <v>9.940919599280762E-2</v>
      </c>
      <c r="AA185" s="8">
        <v>3.0700934579439339E-2</v>
      </c>
    </row>
    <row r="186" spans="2:27" x14ac:dyDescent="0.3">
      <c r="B186" s="12">
        <v>5449</v>
      </c>
      <c r="C186" s="3" t="s">
        <v>712</v>
      </c>
      <c r="D186" s="3" t="str">
        <f>VLOOKUP(B186,기업리스트!$B:$G,2,FALSE)</f>
        <v>Osaka Steel Co., Ltd.</v>
      </c>
      <c r="E186" s="3" t="s">
        <v>646</v>
      </c>
      <c r="F186" s="5">
        <v>3.1</v>
      </c>
      <c r="G186" s="4">
        <v>944</v>
      </c>
      <c r="H186" s="4">
        <v>744</v>
      </c>
      <c r="I186" s="4">
        <v>385</v>
      </c>
      <c r="J186" s="4">
        <v>1909</v>
      </c>
      <c r="K186" s="6">
        <v>2254</v>
      </c>
      <c r="L186" s="46">
        <v>530</v>
      </c>
      <c r="M186" s="45">
        <v>1243</v>
      </c>
      <c r="N186" s="45">
        <v>2775</v>
      </c>
      <c r="O186" s="46">
        <v>837</v>
      </c>
      <c r="P186" s="45">
        <v>1513</v>
      </c>
      <c r="Q186" s="45">
        <v>1889</v>
      </c>
      <c r="R186" s="46">
        <v>2152</v>
      </c>
      <c r="S186" s="46">
        <v>243</v>
      </c>
      <c r="T186" s="46">
        <v>967</v>
      </c>
      <c r="U186" s="46">
        <v>1968</v>
      </c>
      <c r="V186" s="46">
        <v>-495</v>
      </c>
      <c r="W186" s="46">
        <v>325</v>
      </c>
      <c r="X186" s="10">
        <v>-9.4186648266344708E-2</v>
      </c>
      <c r="Y186" s="8">
        <v>1.5044753380308419E-2</v>
      </c>
      <c r="Z186" s="8">
        <v>-0.49662288930581611</v>
      </c>
      <c r="AA186" s="8">
        <v>3.0562802832650119E-2</v>
      </c>
    </row>
    <row r="187" spans="2:27" x14ac:dyDescent="0.3">
      <c r="B187" s="12">
        <v>3034</v>
      </c>
      <c r="C187" s="3" t="s">
        <v>712</v>
      </c>
      <c r="D187" s="3" t="str">
        <f>VLOOKUP(B187,기업리스트!$B:$G,2,FALSE)</f>
        <v>Qol Holdings Co., Ltd.</v>
      </c>
      <c r="E187" s="3" t="s">
        <v>646</v>
      </c>
      <c r="F187" s="5">
        <v>2.9</v>
      </c>
      <c r="G187" s="4">
        <v>2350</v>
      </c>
      <c r="H187" s="4">
        <v>2744</v>
      </c>
      <c r="I187" s="4">
        <v>2934</v>
      </c>
      <c r="J187" s="4">
        <v>1659</v>
      </c>
      <c r="K187" s="4">
        <v>2364</v>
      </c>
      <c r="L187" s="46">
        <v>2820</v>
      </c>
      <c r="M187" s="46">
        <v>2653</v>
      </c>
      <c r="N187" s="46">
        <v>1874</v>
      </c>
      <c r="O187" s="46">
        <v>1686</v>
      </c>
      <c r="P187" s="46">
        <v>2171</v>
      </c>
      <c r="Q187" s="46">
        <v>2594</v>
      </c>
      <c r="R187" s="45">
        <v>2916</v>
      </c>
      <c r="S187" s="45">
        <v>3180</v>
      </c>
      <c r="T187" s="45">
        <v>4939</v>
      </c>
      <c r="U187" s="46">
        <v>2430</v>
      </c>
      <c r="V187" s="46">
        <v>3593</v>
      </c>
      <c r="W187" s="46">
        <v>3591</v>
      </c>
      <c r="X187" s="7">
        <v>0.25485682717981772</v>
      </c>
      <c r="Y187" s="8">
        <v>-1.203316457553749E-2</v>
      </c>
      <c r="Z187" s="8">
        <v>5.0278499814333522E-2</v>
      </c>
      <c r="AA187" s="8">
        <v>2.9062367416206939E-2</v>
      </c>
    </row>
    <row r="188" spans="2:27" x14ac:dyDescent="0.3">
      <c r="B188" s="12">
        <v>4901</v>
      </c>
      <c r="C188" s="3" t="s">
        <v>712</v>
      </c>
      <c r="D188" s="3" t="str">
        <f>VLOOKUP(B188,기업리스트!$B:$G,2,FALSE)</f>
        <v>FUJIFILM Holdings Corporation</v>
      </c>
      <c r="E188" s="3" t="s">
        <v>646</v>
      </c>
      <c r="F188" s="5">
        <v>2.9</v>
      </c>
      <c r="G188" s="4">
        <v>51544</v>
      </c>
      <c r="H188" s="4">
        <v>78591</v>
      </c>
      <c r="I188" s="4">
        <v>43249</v>
      </c>
      <c r="J188" s="4">
        <v>49550</v>
      </c>
      <c r="K188" s="4">
        <v>71260</v>
      </c>
      <c r="L188" s="46">
        <v>81827</v>
      </c>
      <c r="M188" s="45">
        <v>70442</v>
      </c>
      <c r="N188" s="46">
        <v>52217</v>
      </c>
      <c r="O188" s="46">
        <v>73329</v>
      </c>
      <c r="P188" s="46">
        <v>79381</v>
      </c>
      <c r="Q188" s="46">
        <v>71798</v>
      </c>
      <c r="R188" s="46">
        <v>62193</v>
      </c>
      <c r="S188" s="46">
        <v>73411</v>
      </c>
      <c r="T188" s="46">
        <v>87675</v>
      </c>
      <c r="U188" s="45">
        <v>106876</v>
      </c>
      <c r="V188" s="46">
        <v>75291</v>
      </c>
      <c r="W188" s="46">
        <v>83195</v>
      </c>
      <c r="X188" s="10">
        <v>2.8920821666556181E-2</v>
      </c>
      <c r="Y188" s="9">
        <v>0.11887744554811119</v>
      </c>
      <c r="Z188" s="8">
        <v>3.9672275143493252E-2</v>
      </c>
      <c r="AA188" s="8">
        <v>2.8503756704238551E-2</v>
      </c>
    </row>
    <row r="189" spans="2:27" x14ac:dyDescent="0.3">
      <c r="B189" s="12">
        <v>4975</v>
      </c>
      <c r="C189" s="3" t="s">
        <v>712</v>
      </c>
      <c r="D189" s="3" t="str">
        <f>VLOOKUP(B189,기업리스트!$B:$G,2,FALSE)</f>
        <v>JCU Corporation</v>
      </c>
      <c r="E189" s="3" t="s">
        <v>646</v>
      </c>
      <c r="F189" s="5">
        <v>2.7</v>
      </c>
      <c r="G189" s="4">
        <v>2410</v>
      </c>
      <c r="H189" s="4">
        <v>2284</v>
      </c>
      <c r="I189" s="4">
        <v>2356</v>
      </c>
      <c r="J189" s="4">
        <v>2027</v>
      </c>
      <c r="K189" s="4">
        <v>2654</v>
      </c>
      <c r="L189" s="46">
        <v>2640</v>
      </c>
      <c r="M189" s="46">
        <v>1970</v>
      </c>
      <c r="N189" s="46">
        <v>1395</v>
      </c>
      <c r="O189" s="46">
        <v>1729</v>
      </c>
      <c r="P189" s="46">
        <v>2299</v>
      </c>
      <c r="Q189" s="46">
        <v>2675</v>
      </c>
      <c r="R189" s="46">
        <v>1997</v>
      </c>
      <c r="S189" s="45">
        <v>2670</v>
      </c>
      <c r="T189" s="46">
        <v>2969</v>
      </c>
      <c r="U189" s="46">
        <v>2877</v>
      </c>
      <c r="V189" s="46">
        <v>2804</v>
      </c>
      <c r="W189" s="46">
        <v>2977</v>
      </c>
      <c r="X189" s="10">
        <v>6.949486567783425E-2</v>
      </c>
      <c r="Y189" s="8">
        <v>1.9590728348365841E-2</v>
      </c>
      <c r="Z189" s="8">
        <v>7.676210406163797E-2</v>
      </c>
      <c r="AA189" s="8">
        <v>2.7120141342756199E-2</v>
      </c>
    </row>
    <row r="190" spans="2:27" x14ac:dyDescent="0.3">
      <c r="B190" s="12">
        <v>7701</v>
      </c>
      <c r="C190" s="3" t="s">
        <v>712</v>
      </c>
      <c r="D190" s="3" t="str">
        <f>VLOOKUP(B190,기업리스트!$B:$G,2,FALSE)</f>
        <v>Shimadzu Corporation</v>
      </c>
      <c r="E190" s="3" t="s">
        <v>650</v>
      </c>
      <c r="F190" s="5">
        <v>2.5</v>
      </c>
      <c r="G190" s="4">
        <v>16621</v>
      </c>
      <c r="H190" s="4">
        <v>18349</v>
      </c>
      <c r="I190" s="4">
        <v>9449</v>
      </c>
      <c r="J190" s="4">
        <v>19464</v>
      </c>
      <c r="K190" s="4">
        <v>16868</v>
      </c>
      <c r="L190" s="46">
        <v>22440</v>
      </c>
      <c r="M190" s="46">
        <v>13250</v>
      </c>
      <c r="N190" s="46">
        <v>19256</v>
      </c>
      <c r="O190" s="46">
        <v>18242</v>
      </c>
      <c r="P190" s="46">
        <v>22006</v>
      </c>
      <c r="Q190" s="46">
        <v>10962</v>
      </c>
      <c r="R190" s="46">
        <v>19260</v>
      </c>
      <c r="S190" s="46">
        <v>16823</v>
      </c>
      <c r="T190" s="46">
        <v>24676</v>
      </c>
      <c r="U190" s="46">
        <v>12185</v>
      </c>
      <c r="V190" s="46">
        <v>19396</v>
      </c>
      <c r="W190" s="46">
        <v>18655</v>
      </c>
      <c r="X190" s="10">
        <v>3.866707216405274E-2</v>
      </c>
      <c r="Y190" s="8">
        <v>1.7052188340932251E-2</v>
      </c>
      <c r="Z190" s="8">
        <v>1.864443957008133E-3</v>
      </c>
      <c r="AA190" s="8">
        <v>2.5068418171866561E-2</v>
      </c>
    </row>
    <row r="191" spans="2:27" x14ac:dyDescent="0.3">
      <c r="B191" s="12">
        <v>6758</v>
      </c>
      <c r="C191" s="3" t="s">
        <v>712</v>
      </c>
      <c r="D191" s="3" t="str">
        <f>VLOOKUP(B191,기업리스트!$B:$G,2,FALSE)</f>
        <v>Sony Group Corporation</v>
      </c>
      <c r="E191" s="3" t="s">
        <v>650</v>
      </c>
      <c r="F191" s="5">
        <v>2.5</v>
      </c>
      <c r="G191" s="4">
        <v>387506</v>
      </c>
      <c r="H191" s="4">
        <v>138952</v>
      </c>
      <c r="I191" s="4">
        <v>359588</v>
      </c>
      <c r="J191" s="4">
        <v>363473</v>
      </c>
      <c r="K191" s="4">
        <v>414226</v>
      </c>
      <c r="L191" s="46">
        <v>151569</v>
      </c>
      <c r="M191" s="46">
        <v>248402</v>
      </c>
      <c r="N191" s="46">
        <v>260066</v>
      </c>
      <c r="O191" s="46">
        <v>460017</v>
      </c>
      <c r="P191" s="46">
        <v>213863</v>
      </c>
      <c r="Q191" s="46">
        <v>247465</v>
      </c>
      <c r="R191" s="45">
        <v>392017</v>
      </c>
      <c r="S191" s="46">
        <v>473438</v>
      </c>
      <c r="T191" s="46">
        <v>219296</v>
      </c>
      <c r="U191" s="46">
        <v>341666</v>
      </c>
      <c r="V191" s="46">
        <v>462103</v>
      </c>
      <c r="W191" s="46">
        <v>510104</v>
      </c>
      <c r="X191" s="10">
        <v>4.0948670581397728E-3</v>
      </c>
      <c r="Y191" s="8">
        <v>7.0710004984176678E-2</v>
      </c>
      <c r="Z191" s="8">
        <v>4.9134299436980999E-2</v>
      </c>
      <c r="AA191" s="8">
        <v>2.450112027840912E-2</v>
      </c>
    </row>
    <row r="192" spans="2:27" x14ac:dyDescent="0.3">
      <c r="B192" s="12">
        <v>9003</v>
      </c>
      <c r="C192" s="3" t="s">
        <v>712</v>
      </c>
      <c r="D192" s="3" t="str">
        <f>VLOOKUP(B192,기업리스트!$B:$G,2,FALSE)</f>
        <v>Sotetsu Holdings, Inc.</v>
      </c>
      <c r="E192" s="3" t="s">
        <v>646</v>
      </c>
      <c r="F192" s="5">
        <v>1.1000000000000001</v>
      </c>
      <c r="G192" s="4">
        <v>632</v>
      </c>
      <c r="H192" s="4">
        <v>2272</v>
      </c>
      <c r="I192" s="4">
        <v>720</v>
      </c>
      <c r="J192" s="4">
        <v>2575</v>
      </c>
      <c r="K192" s="6">
        <v>1955</v>
      </c>
      <c r="L192" s="45">
        <v>5424</v>
      </c>
      <c r="M192" s="45">
        <v>4395</v>
      </c>
      <c r="N192" s="45">
        <v>6709</v>
      </c>
      <c r="O192" s="45">
        <v>6373</v>
      </c>
      <c r="P192" s="45">
        <v>8298</v>
      </c>
      <c r="Q192" s="45">
        <v>7586</v>
      </c>
      <c r="R192" s="45">
        <v>14363</v>
      </c>
      <c r="S192" s="46">
        <v>7500</v>
      </c>
      <c r="T192" s="46">
        <v>11189</v>
      </c>
      <c r="U192" s="46">
        <v>4768</v>
      </c>
      <c r="V192" s="46">
        <v>11106</v>
      </c>
      <c r="W192" s="46">
        <v>7877</v>
      </c>
      <c r="X192" s="10">
        <v>7.6588867989509035E-2</v>
      </c>
      <c r="Y192" s="8">
        <v>-6.9343963777744988E-2</v>
      </c>
      <c r="Z192" s="8">
        <v>-8.6118455843469111E-2</v>
      </c>
      <c r="AA192" s="8">
        <v>1.0907617972976791E-2</v>
      </c>
    </row>
    <row r="193" spans="2:27" x14ac:dyDescent="0.3">
      <c r="B193" s="12">
        <v>7211</v>
      </c>
      <c r="C193" s="3" t="s">
        <v>712</v>
      </c>
      <c r="D193" s="3" t="str">
        <f>VLOOKUP(B193,기업리스트!$B:$G,2,FALSE)</f>
        <v>Mitsubishi Motors Corporation</v>
      </c>
      <c r="E193" s="3" t="s">
        <v>650</v>
      </c>
      <c r="F193" s="5">
        <v>0.8</v>
      </c>
      <c r="G193" s="4">
        <v>30761</v>
      </c>
      <c r="H193" s="4">
        <v>31384</v>
      </c>
      <c r="I193" s="4">
        <v>30784</v>
      </c>
      <c r="J193" s="4">
        <v>53845</v>
      </c>
      <c r="K193" s="6">
        <v>69073</v>
      </c>
      <c r="L193" s="46">
        <v>36794</v>
      </c>
      <c r="M193" s="46">
        <v>45158</v>
      </c>
      <c r="N193" s="46">
        <v>59032</v>
      </c>
      <c r="O193" s="46">
        <v>55912</v>
      </c>
      <c r="P193" s="46">
        <v>30870</v>
      </c>
      <c r="Q193" s="46">
        <v>35521</v>
      </c>
      <c r="R193" s="46">
        <v>55217</v>
      </c>
      <c r="S193" s="46">
        <v>13856</v>
      </c>
      <c r="T193" s="46">
        <v>34231</v>
      </c>
      <c r="U193" s="46">
        <v>5643</v>
      </c>
      <c r="V193" s="46">
        <v>11611</v>
      </c>
      <c r="W193" s="46">
        <v>14375</v>
      </c>
      <c r="X193" s="10">
        <v>2.4811019901966661E-2</v>
      </c>
      <c r="Y193" s="8">
        <v>-0.21522060147667929</v>
      </c>
      <c r="Z193" s="8">
        <v>-0.40024966268001871</v>
      </c>
      <c r="AA193" s="8">
        <v>7.9429454706845259E-3</v>
      </c>
    </row>
    <row r="194" spans="2:27" x14ac:dyDescent="0.3">
      <c r="B194" s="12">
        <v>8001</v>
      </c>
      <c r="C194" s="3" t="s">
        <v>712</v>
      </c>
      <c r="D194" s="3" t="str">
        <f>VLOOKUP(B194,기업리스트!$B:$G,2,FALSE)</f>
        <v>ITOCHU Corporation</v>
      </c>
      <c r="E194" s="3" t="s">
        <v>650</v>
      </c>
      <c r="F194" s="5">
        <v>0.2</v>
      </c>
      <c r="G194" s="4">
        <v>160601</v>
      </c>
      <c r="H194" s="4">
        <v>117793</v>
      </c>
      <c r="I194" s="4">
        <v>183035</v>
      </c>
      <c r="J194" s="4">
        <v>205498</v>
      </c>
      <c r="K194" s="4">
        <v>185862</v>
      </c>
      <c r="L194" s="46">
        <v>127518</v>
      </c>
      <c r="M194" s="46">
        <v>167237</v>
      </c>
      <c r="N194" s="46">
        <v>183685</v>
      </c>
      <c r="O194" s="46">
        <v>188160</v>
      </c>
      <c r="P194" s="46">
        <v>164193</v>
      </c>
      <c r="Q194" s="46">
        <v>190539</v>
      </c>
      <c r="R194" s="46">
        <v>176205</v>
      </c>
      <c r="S194" s="46">
        <v>171011</v>
      </c>
      <c r="T194" s="46">
        <v>146740</v>
      </c>
      <c r="U194" s="46">
        <v>170735</v>
      </c>
      <c r="V194" s="46">
        <v>183405</v>
      </c>
      <c r="W194" s="46">
        <v>172298</v>
      </c>
      <c r="X194" s="10">
        <v>-2.4863665114794879E-2</v>
      </c>
      <c r="Y194" s="8">
        <v>-2.8932278541114239E-2</v>
      </c>
      <c r="Z194" s="8">
        <v>1.0832100931109419E-2</v>
      </c>
      <c r="AA194" s="8">
        <v>1.915489268348614E-3</v>
      </c>
    </row>
    <row r="195" spans="2:27" x14ac:dyDescent="0.3">
      <c r="B195" s="12">
        <v>5351</v>
      </c>
      <c r="C195" s="3" t="s">
        <v>712</v>
      </c>
      <c r="D195" s="3" t="str">
        <f>VLOOKUP(B195,기업리스트!$B:$G,2,FALSE)</f>
        <v>Shinagawa Refra Co., Ltd.</v>
      </c>
      <c r="E195" s="3" t="s">
        <v>646</v>
      </c>
      <c r="F195" s="5">
        <v>0</v>
      </c>
      <c r="G195" s="4">
        <v>2404</v>
      </c>
      <c r="H195" s="4">
        <v>3024</v>
      </c>
      <c r="I195" s="4">
        <v>1988</v>
      </c>
      <c r="J195" s="4">
        <v>2559</v>
      </c>
      <c r="K195" s="4">
        <v>2842</v>
      </c>
      <c r="L195" s="46">
        <v>2846</v>
      </c>
      <c r="M195" s="46">
        <v>2598</v>
      </c>
      <c r="N195" s="46">
        <v>3600</v>
      </c>
      <c r="O195" s="46">
        <v>3500</v>
      </c>
      <c r="P195" s="46">
        <v>3743</v>
      </c>
      <c r="Q195" s="46">
        <v>3046</v>
      </c>
      <c r="R195" s="46">
        <v>3052</v>
      </c>
      <c r="S195" s="46">
        <v>3286</v>
      </c>
      <c r="T195" s="46">
        <v>3605</v>
      </c>
      <c r="U195" s="46">
        <v>3336</v>
      </c>
      <c r="V195" s="46">
        <v>2891</v>
      </c>
      <c r="W195" s="46">
        <v>3286</v>
      </c>
      <c r="X195" s="10">
        <v>-1.0512683781519041E-2</v>
      </c>
      <c r="Y195" s="8">
        <v>2.2326584032642979E-2</v>
      </c>
      <c r="Z195" s="8">
        <v>-1.212440695835526E-2</v>
      </c>
      <c r="AA195" s="8">
        <v>0</v>
      </c>
    </row>
    <row r="196" spans="2:27" x14ac:dyDescent="0.3">
      <c r="B196" s="12">
        <v>2801</v>
      </c>
      <c r="C196" s="3" t="s">
        <v>712</v>
      </c>
      <c r="D196" s="3" t="str">
        <f>VLOOKUP(B196,기업리스트!$B:$G,2,FALSE)</f>
        <v>Kikkoman Corporation</v>
      </c>
      <c r="E196" s="3" t="s">
        <v>646</v>
      </c>
      <c r="F196" s="5">
        <v>-0.1</v>
      </c>
      <c r="G196" s="4">
        <v>12752</v>
      </c>
      <c r="H196" s="4">
        <v>16099</v>
      </c>
      <c r="I196" s="4">
        <v>6707</v>
      </c>
      <c r="J196" s="4">
        <v>15704</v>
      </c>
      <c r="K196" s="4">
        <v>14643</v>
      </c>
      <c r="L196" s="46">
        <v>15980</v>
      </c>
      <c r="M196" s="46">
        <v>11567</v>
      </c>
      <c r="N196" s="46">
        <v>13460</v>
      </c>
      <c r="O196" s="46">
        <v>20025</v>
      </c>
      <c r="P196" s="46">
        <v>19862</v>
      </c>
      <c r="Q196" s="46">
        <v>16355</v>
      </c>
      <c r="R196" s="45">
        <v>21475</v>
      </c>
      <c r="S196" s="46">
        <v>20521</v>
      </c>
      <c r="T196" s="46">
        <v>20959</v>
      </c>
      <c r="U196" s="46">
        <v>13778</v>
      </c>
      <c r="V196" s="46">
        <v>19209</v>
      </c>
      <c r="W196" s="46">
        <v>20424</v>
      </c>
      <c r="X196" s="10">
        <v>1.4025801337373521E-2</v>
      </c>
      <c r="Y196" s="8">
        <v>-3.2492749968478167E-2</v>
      </c>
      <c r="Z196" s="8">
        <v>-2.9530971029413711E-2</v>
      </c>
      <c r="AA196" s="8">
        <v>-1.302590409174575E-3</v>
      </c>
    </row>
    <row r="197" spans="2:27" x14ac:dyDescent="0.3">
      <c r="B197" s="12">
        <v>2001</v>
      </c>
      <c r="C197" s="3" t="s">
        <v>712</v>
      </c>
      <c r="D197" s="3" t="str">
        <f>VLOOKUP(B197,기업리스트!$B:$G,2,FALSE)</f>
        <v>Nippn Corporation</v>
      </c>
      <c r="E197" s="3" t="s">
        <v>646</v>
      </c>
      <c r="F197" s="5">
        <v>-0.4</v>
      </c>
      <c r="G197" s="4">
        <v>3235</v>
      </c>
      <c r="H197" s="4">
        <v>2817</v>
      </c>
      <c r="I197" s="4">
        <v>2596</v>
      </c>
      <c r="J197" s="4">
        <v>2502</v>
      </c>
      <c r="K197" s="4">
        <v>3328</v>
      </c>
      <c r="L197" s="46">
        <v>3735</v>
      </c>
      <c r="M197" s="46">
        <v>2723</v>
      </c>
      <c r="N197" s="45">
        <v>5449</v>
      </c>
      <c r="O197" s="45">
        <v>5588</v>
      </c>
      <c r="P197" s="45">
        <v>6964</v>
      </c>
      <c r="Q197" s="46">
        <v>2341</v>
      </c>
      <c r="R197" s="46">
        <v>5133</v>
      </c>
      <c r="S197" s="46">
        <v>5392</v>
      </c>
      <c r="T197" s="46">
        <v>6554</v>
      </c>
      <c r="U197" s="45">
        <v>4408</v>
      </c>
      <c r="V197" s="46">
        <v>5544</v>
      </c>
      <c r="W197" s="46">
        <v>5311</v>
      </c>
      <c r="X197" s="10">
        <v>-2.0675743822491151E-2</v>
      </c>
      <c r="Y197" s="9">
        <v>0.10643666323377959</v>
      </c>
      <c r="Z197" s="8">
        <v>1.9127844743333181E-2</v>
      </c>
      <c r="AA197" s="8">
        <v>-3.6989679422778639E-3</v>
      </c>
    </row>
    <row r="198" spans="2:27" x14ac:dyDescent="0.3">
      <c r="B198" s="12">
        <v>7917</v>
      </c>
      <c r="C198" s="3" t="s">
        <v>712</v>
      </c>
      <c r="D198" s="3" t="str">
        <f>VLOOKUP(B198,기업리스트!$B:$G,2,FALSE)</f>
        <v>ZACROS Corporation</v>
      </c>
      <c r="E198" s="3" t="s">
        <v>646</v>
      </c>
      <c r="F198" s="5">
        <v>-0.4</v>
      </c>
      <c r="G198" s="4">
        <v>2364</v>
      </c>
      <c r="H198" s="4">
        <v>2555</v>
      </c>
      <c r="I198" s="4">
        <v>2025</v>
      </c>
      <c r="J198" s="4">
        <v>2480</v>
      </c>
      <c r="K198" s="4">
        <v>1363</v>
      </c>
      <c r="L198" s="46">
        <v>1435</v>
      </c>
      <c r="M198" s="46">
        <v>605</v>
      </c>
      <c r="N198" s="46">
        <v>2065</v>
      </c>
      <c r="O198" s="46">
        <v>1801</v>
      </c>
      <c r="P198" s="45">
        <v>2514</v>
      </c>
      <c r="Q198" s="45">
        <v>1965</v>
      </c>
      <c r="R198" s="45">
        <v>3480</v>
      </c>
      <c r="S198" s="46">
        <v>2146</v>
      </c>
      <c r="T198" s="46">
        <v>2246</v>
      </c>
      <c r="U198" s="46">
        <v>1748</v>
      </c>
      <c r="V198" s="46">
        <v>3461</v>
      </c>
      <c r="W198" s="46">
        <v>2107</v>
      </c>
      <c r="X198" s="10">
        <v>-2.6521523998020768E-2</v>
      </c>
      <c r="Y198" s="8">
        <v>-2.2059571007420949E-2</v>
      </c>
      <c r="Z198" s="8">
        <v>-1.975051975051989E-3</v>
      </c>
      <c r="AA198" s="8">
        <v>-4.062076866993003E-3</v>
      </c>
    </row>
    <row r="199" spans="2:27" x14ac:dyDescent="0.3">
      <c r="B199" s="12">
        <v>4722</v>
      </c>
      <c r="C199" s="3" t="s">
        <v>712</v>
      </c>
      <c r="D199" s="3" t="str">
        <f>VLOOKUP(B199,기업리스트!$B:$G,2,FALSE)</f>
        <v>Future Corporation</v>
      </c>
      <c r="E199" s="3" t="s">
        <v>717</v>
      </c>
      <c r="F199" s="5">
        <v>-0.6</v>
      </c>
      <c r="G199" s="4">
        <v>2798</v>
      </c>
      <c r="H199" s="4">
        <v>2456</v>
      </c>
      <c r="I199" s="4">
        <v>3341</v>
      </c>
      <c r="J199" s="4">
        <v>2875</v>
      </c>
      <c r="K199" s="4">
        <v>3145</v>
      </c>
      <c r="L199" s="46">
        <v>2868</v>
      </c>
      <c r="M199" s="46">
        <v>3173</v>
      </c>
      <c r="N199" s="46">
        <v>3152</v>
      </c>
      <c r="O199" s="46">
        <v>4059</v>
      </c>
      <c r="P199" s="46">
        <v>3317</v>
      </c>
      <c r="Q199" s="46">
        <v>3418</v>
      </c>
      <c r="R199" s="46">
        <v>3485</v>
      </c>
      <c r="S199" s="46">
        <v>4697</v>
      </c>
      <c r="T199" s="46">
        <v>3068</v>
      </c>
      <c r="U199" s="46">
        <v>3340</v>
      </c>
      <c r="V199" s="46">
        <v>3770</v>
      </c>
      <c r="W199" s="46">
        <v>4604</v>
      </c>
      <c r="X199" s="10">
        <v>-1.6692364416437622E-2</v>
      </c>
      <c r="Y199" s="8">
        <v>-5.3176983910553366E-3</v>
      </c>
      <c r="Z199" s="8">
        <v>1.953392734749837E-2</v>
      </c>
      <c r="AA199" s="8">
        <v>-6.2521008403361167E-3</v>
      </c>
    </row>
    <row r="200" spans="2:27" x14ac:dyDescent="0.3">
      <c r="B200" s="12">
        <v>7164</v>
      </c>
      <c r="C200" s="3" t="s">
        <v>712</v>
      </c>
      <c r="D200" s="3" t="str">
        <f>VLOOKUP(B200,기업리스트!$B:$G,2,FALSE)</f>
        <v>ZENKOKU HOSHO Co.,Ltd.</v>
      </c>
      <c r="E200" s="3" t="s">
        <v>646</v>
      </c>
      <c r="F200" s="5">
        <v>-0.8</v>
      </c>
      <c r="G200" s="3"/>
      <c r="H200" s="3"/>
      <c r="I200" s="3"/>
      <c r="J200" s="4">
        <v>7605</v>
      </c>
      <c r="K200" s="4">
        <v>8262</v>
      </c>
      <c r="L200" s="46">
        <v>8036</v>
      </c>
      <c r="M200" s="46">
        <v>18843</v>
      </c>
      <c r="N200" s="46">
        <v>7813</v>
      </c>
      <c r="O200" s="46">
        <v>7628</v>
      </c>
      <c r="P200" s="46">
        <v>7783</v>
      </c>
      <c r="Q200" s="46">
        <v>15878</v>
      </c>
      <c r="R200" s="46">
        <v>8421</v>
      </c>
      <c r="S200" s="46">
        <v>6472</v>
      </c>
      <c r="T200" s="46">
        <v>8838</v>
      </c>
      <c r="U200" s="46">
        <v>15964</v>
      </c>
      <c r="V200" s="46">
        <v>8770</v>
      </c>
      <c r="W200" s="46">
        <v>6156</v>
      </c>
      <c r="X200" s="10">
        <v>2.7364216423717339E-2</v>
      </c>
      <c r="Y200" s="8">
        <v>2.1712237117825768E-3</v>
      </c>
      <c r="Z200" s="8">
        <v>8.7920392996598817E-3</v>
      </c>
      <c r="AA200" s="8">
        <v>-7.8913195484966447E-3</v>
      </c>
    </row>
    <row r="201" spans="2:27" x14ac:dyDescent="0.3">
      <c r="B201" s="12">
        <v>4536</v>
      </c>
      <c r="C201" s="3" t="s">
        <v>712</v>
      </c>
      <c r="D201" s="3" t="str">
        <f>VLOOKUP(B201,기업리스트!$B:$G,2,FALSE)</f>
        <v>Santen Pharmaceutical Co., Ltd.</v>
      </c>
      <c r="E201" s="3" t="s">
        <v>646</v>
      </c>
      <c r="F201" s="5">
        <v>-0.9</v>
      </c>
      <c r="G201" s="4">
        <v>9650</v>
      </c>
      <c r="H201" s="4">
        <v>7575</v>
      </c>
      <c r="I201" s="4">
        <v>9496</v>
      </c>
      <c r="J201" s="4">
        <v>8334</v>
      </c>
      <c r="K201" s="4">
        <v>-27354</v>
      </c>
      <c r="L201" s="46">
        <v>8873</v>
      </c>
      <c r="M201" s="46">
        <v>45447</v>
      </c>
      <c r="N201" s="45">
        <v>12750</v>
      </c>
      <c r="O201" s="45">
        <v>12349</v>
      </c>
      <c r="P201" s="46">
        <v>11059</v>
      </c>
      <c r="Q201" s="46">
        <v>16027</v>
      </c>
      <c r="R201" s="46">
        <v>13156</v>
      </c>
      <c r="S201" s="46">
        <v>10717</v>
      </c>
      <c r="T201" s="46">
        <v>11323</v>
      </c>
      <c r="U201" s="46">
        <v>13099</v>
      </c>
      <c r="V201" s="46">
        <v>7573</v>
      </c>
      <c r="W201" s="46">
        <v>10342</v>
      </c>
      <c r="X201" s="10">
        <v>5.1806354127827969E-3</v>
      </c>
      <c r="Y201" s="8">
        <v>-5.7161821837846238E-2</v>
      </c>
      <c r="Z201" s="8">
        <v>-0.1156020291955689</v>
      </c>
      <c r="AA201" s="8">
        <v>-8.7797340325903583E-3</v>
      </c>
    </row>
    <row r="202" spans="2:27" x14ac:dyDescent="0.3">
      <c r="B202" s="12">
        <v>6645</v>
      </c>
      <c r="C202" s="3" t="s">
        <v>712</v>
      </c>
      <c r="D202" s="3" t="str">
        <f>VLOOKUP(B202,기업리스트!$B:$G,2,FALSE)</f>
        <v>OMRON Corporation</v>
      </c>
      <c r="E202" s="3" t="s">
        <v>650</v>
      </c>
      <c r="F202" s="5">
        <v>-1</v>
      </c>
      <c r="G202" s="4">
        <v>21131</v>
      </c>
      <c r="H202" s="4">
        <v>22458</v>
      </c>
      <c r="I202" s="4">
        <v>11935</v>
      </c>
      <c r="J202" s="4">
        <v>29678</v>
      </c>
      <c r="K202" s="6">
        <v>31241</v>
      </c>
      <c r="L202" s="46">
        <v>27832</v>
      </c>
      <c r="M202" s="46">
        <v>14304</v>
      </c>
      <c r="N202" s="46">
        <v>6347</v>
      </c>
      <c r="O202" s="46">
        <v>5921</v>
      </c>
      <c r="P202" s="46">
        <v>7770</v>
      </c>
      <c r="Q202" s="46">
        <v>6267</v>
      </c>
      <c r="R202" s="45">
        <v>12959</v>
      </c>
      <c r="S202" s="45">
        <v>16678</v>
      </c>
      <c r="T202" s="45">
        <v>18134</v>
      </c>
      <c r="U202" s="46">
        <v>6376</v>
      </c>
      <c r="V202" s="46">
        <v>11343</v>
      </c>
      <c r="W202" s="46">
        <v>16136</v>
      </c>
      <c r="X202" s="7">
        <v>0.2373036589275084</v>
      </c>
      <c r="Y202" s="8">
        <v>2.0170990784262881E-3</v>
      </c>
      <c r="Z202" s="8">
        <v>-2.9844682069182001E-2</v>
      </c>
      <c r="AA202" s="8">
        <v>-1.0317717157487969E-2</v>
      </c>
    </row>
    <row r="203" spans="2:27" x14ac:dyDescent="0.3">
      <c r="B203" s="12">
        <v>9831</v>
      </c>
      <c r="C203" s="3" t="s">
        <v>712</v>
      </c>
      <c r="D203" s="3" t="str">
        <f>VLOOKUP(B203,기업리스트!$B:$G,2,FALSE)</f>
        <v>Yamada Holdings Co., Ltd.</v>
      </c>
      <c r="E203" s="3" t="s">
        <v>646</v>
      </c>
      <c r="F203" s="5">
        <v>-1.4</v>
      </c>
      <c r="G203" s="4">
        <v>13659</v>
      </c>
      <c r="H203" s="4">
        <v>22915</v>
      </c>
      <c r="I203" s="4">
        <v>7703</v>
      </c>
      <c r="J203" s="4">
        <v>12264</v>
      </c>
      <c r="K203" s="4">
        <v>7513</v>
      </c>
      <c r="L203" s="46">
        <v>19552</v>
      </c>
      <c r="M203" s="46">
        <v>4737</v>
      </c>
      <c r="N203" s="46">
        <v>11073</v>
      </c>
      <c r="O203" s="46">
        <v>9294</v>
      </c>
      <c r="P203" s="46">
        <v>18385</v>
      </c>
      <c r="Q203" s="46">
        <v>2739</v>
      </c>
      <c r="R203" s="46">
        <v>14347</v>
      </c>
      <c r="S203" s="46">
        <v>8881</v>
      </c>
      <c r="T203" s="46">
        <v>16104</v>
      </c>
      <c r="U203" s="46">
        <v>3489</v>
      </c>
      <c r="V203" s="46">
        <v>13393</v>
      </c>
      <c r="W203" s="46">
        <v>8278</v>
      </c>
      <c r="X203" s="10">
        <v>-5.1429473304473339E-2</v>
      </c>
      <c r="Y203" s="8">
        <v>1.7827006726723878E-2</v>
      </c>
      <c r="Z203" s="8">
        <v>-2.227878844492193E-2</v>
      </c>
      <c r="AA203" s="8">
        <v>-1.440275157044923E-2</v>
      </c>
    </row>
    <row r="204" spans="2:27" x14ac:dyDescent="0.3">
      <c r="B204" s="12">
        <v>6849</v>
      </c>
      <c r="C204" s="3" t="s">
        <v>712</v>
      </c>
      <c r="D204" s="3" t="str">
        <f>VLOOKUP(B204,기업리스트!$B:$G,2,FALSE)</f>
        <v>Nihon Kohden Corporation</v>
      </c>
      <c r="E204" s="3" t="s">
        <v>646</v>
      </c>
      <c r="F204" s="5">
        <v>-4.4000000000000004</v>
      </c>
      <c r="G204" s="4">
        <v>10990</v>
      </c>
      <c r="H204" s="4">
        <v>5902</v>
      </c>
      <c r="I204" s="4">
        <v>7676</v>
      </c>
      <c r="J204" s="4">
        <v>1818</v>
      </c>
      <c r="K204" s="4">
        <v>5400</v>
      </c>
      <c r="L204" s="46">
        <v>4160</v>
      </c>
      <c r="M204" s="45">
        <v>9743</v>
      </c>
      <c r="N204" s="46">
        <v>2206</v>
      </c>
      <c r="O204" s="46">
        <v>5285</v>
      </c>
      <c r="P204" s="46">
        <v>3025</v>
      </c>
      <c r="Q204" s="46">
        <v>9076</v>
      </c>
      <c r="R204" s="46">
        <v>-1248</v>
      </c>
      <c r="S204" s="46">
        <v>6364</v>
      </c>
      <c r="T204" s="45">
        <v>5820</v>
      </c>
      <c r="U204" s="46">
        <v>9778</v>
      </c>
      <c r="V204" s="45">
        <v>1423</v>
      </c>
      <c r="W204" s="46">
        <v>5340</v>
      </c>
      <c r="X204" s="7">
        <v>0.1623395481210432</v>
      </c>
      <c r="Y204" s="8">
        <v>3.5078952628422977E-2</v>
      </c>
      <c r="Z204" s="9">
        <v>0.12894660616008499</v>
      </c>
      <c r="AA204" s="8">
        <v>-4.3788753474449438E-2</v>
      </c>
    </row>
    <row r="205" spans="2:27" x14ac:dyDescent="0.3">
      <c r="B205" s="12">
        <v>8425</v>
      </c>
      <c r="C205" s="3" t="s">
        <v>712</v>
      </c>
      <c r="D205" s="3" t="str">
        <f>VLOOKUP(B205,기업리스트!$B:$G,2,FALSE)</f>
        <v>Mizuho Leasing Company, Limited</v>
      </c>
      <c r="E205" s="3" t="s">
        <v>646</v>
      </c>
      <c r="F205" s="5">
        <v>-4.7</v>
      </c>
      <c r="G205" s="4">
        <v>6894</v>
      </c>
      <c r="H205" s="4">
        <v>4467</v>
      </c>
      <c r="I205" s="4">
        <v>148</v>
      </c>
      <c r="J205" s="4">
        <v>8573</v>
      </c>
      <c r="K205" s="4">
        <v>8801</v>
      </c>
      <c r="L205" s="45">
        <v>9344</v>
      </c>
      <c r="M205" s="45">
        <v>5039</v>
      </c>
      <c r="N205" s="46">
        <v>7200</v>
      </c>
      <c r="O205" s="46">
        <v>11663</v>
      </c>
      <c r="P205" s="46">
        <v>11199</v>
      </c>
      <c r="Q205" s="45">
        <v>9450</v>
      </c>
      <c r="R205" s="46">
        <v>9971</v>
      </c>
      <c r="S205" s="46">
        <v>14206</v>
      </c>
      <c r="T205" s="46">
        <v>11451</v>
      </c>
      <c r="U205" s="46">
        <v>13338</v>
      </c>
      <c r="V205" s="46">
        <v>11641</v>
      </c>
      <c r="W205" s="46">
        <v>11817</v>
      </c>
      <c r="X205" s="10">
        <v>5.6217373845535157E-3</v>
      </c>
      <c r="Y205" s="8">
        <v>8.6250499134832959E-2</v>
      </c>
      <c r="Z205" s="8">
        <v>3.4105297553404412E-2</v>
      </c>
      <c r="AA205" s="8">
        <v>-4.7179872027806269E-2</v>
      </c>
    </row>
    <row r="206" spans="2:27" x14ac:dyDescent="0.3">
      <c r="B206" s="12">
        <v>7269</v>
      </c>
      <c r="C206" s="3" t="s">
        <v>712</v>
      </c>
      <c r="D206" s="3" t="str">
        <f>VLOOKUP(B206,기업리스트!$B:$G,2,FALSE)</f>
        <v>Suzuki Motor Corporation</v>
      </c>
      <c r="E206" s="3" t="s">
        <v>646</v>
      </c>
      <c r="F206" s="5">
        <v>-6.9</v>
      </c>
      <c r="G206" s="4">
        <v>44644</v>
      </c>
      <c r="H206" s="4">
        <v>47547</v>
      </c>
      <c r="I206" s="4">
        <v>44801</v>
      </c>
      <c r="J206" s="4">
        <v>74513</v>
      </c>
      <c r="K206" s="6">
        <v>89830</v>
      </c>
      <c r="L206" s="45">
        <v>102636</v>
      </c>
      <c r="M206" s="45">
        <v>83573</v>
      </c>
      <c r="N206" s="46">
        <v>99804</v>
      </c>
      <c r="O206" s="45">
        <v>129658</v>
      </c>
      <c r="P206" s="46">
        <v>117188</v>
      </c>
      <c r="Q206" s="46">
        <v>118913</v>
      </c>
      <c r="R206" s="45">
        <v>157557</v>
      </c>
      <c r="S206" s="46">
        <v>177393</v>
      </c>
      <c r="T206" s="46">
        <v>144771</v>
      </c>
      <c r="U206" s="46">
        <v>159735</v>
      </c>
      <c r="V206" s="46">
        <v>142136</v>
      </c>
      <c r="W206" s="46">
        <v>134344</v>
      </c>
      <c r="X206" s="10">
        <v>4.8302165655957241E-2</v>
      </c>
      <c r="Y206" s="8">
        <v>6.8191916930879337E-2</v>
      </c>
      <c r="Z206" s="8">
        <v>-2.411581093929838E-2</v>
      </c>
      <c r="AA206" s="8">
        <v>-6.8984912705216894E-2</v>
      </c>
    </row>
    <row r="207" spans="2:27" x14ac:dyDescent="0.3">
      <c r="B207" s="12">
        <v>5192</v>
      </c>
      <c r="C207" s="3" t="s">
        <v>712</v>
      </c>
      <c r="D207" s="3" t="str">
        <f>VLOOKUP(B207,기업리스트!$B:$G,2,FALSE)</f>
        <v>Mitsuboshi Belting Ltd.</v>
      </c>
      <c r="E207" s="3" t="s">
        <v>646</v>
      </c>
      <c r="F207" s="5">
        <v>-7.7</v>
      </c>
      <c r="G207" s="4">
        <v>1682</v>
      </c>
      <c r="H207" s="4">
        <v>2002</v>
      </c>
      <c r="I207" s="4">
        <v>1640</v>
      </c>
      <c r="J207" s="4">
        <v>2146</v>
      </c>
      <c r="K207" s="6">
        <v>2453</v>
      </c>
      <c r="L207" s="46">
        <v>2682</v>
      </c>
      <c r="M207" s="46">
        <v>1750</v>
      </c>
      <c r="N207" s="46">
        <v>2028</v>
      </c>
      <c r="O207" s="46">
        <v>2110</v>
      </c>
      <c r="P207" s="46">
        <v>2087</v>
      </c>
      <c r="Q207" s="46">
        <v>1535</v>
      </c>
      <c r="R207" s="46">
        <v>1592</v>
      </c>
      <c r="S207" s="45">
        <v>2957</v>
      </c>
      <c r="T207" s="46">
        <v>1975</v>
      </c>
      <c r="U207" s="45">
        <v>2405</v>
      </c>
      <c r="V207" s="46">
        <v>2395</v>
      </c>
      <c r="W207" s="46">
        <v>2204</v>
      </c>
      <c r="X207" s="10">
        <v>-1.370701260555629E-2</v>
      </c>
      <c r="Y207" s="9">
        <v>0.1079538404268521</v>
      </c>
      <c r="Z207" s="8">
        <v>8.9931683279202534E-2</v>
      </c>
      <c r="AA207" s="8">
        <v>-7.7373612823674498E-2</v>
      </c>
    </row>
    <row r="208" spans="2:27" x14ac:dyDescent="0.3">
      <c r="B208" s="12">
        <v>8058</v>
      </c>
      <c r="C208" s="3" t="s">
        <v>712</v>
      </c>
      <c r="D208" s="3" t="str">
        <f>VLOOKUP(B208,기업리스트!$B:$G,2,FALSE)</f>
        <v>Mitsubishi Corporation</v>
      </c>
      <c r="E208" s="3" t="s">
        <v>646</v>
      </c>
      <c r="F208" s="5">
        <v>-8.9</v>
      </c>
      <c r="G208" s="4">
        <v>116388</v>
      </c>
      <c r="H208" s="4">
        <v>240204</v>
      </c>
      <c r="I208" s="4">
        <v>288669</v>
      </c>
      <c r="J208" s="4">
        <v>407653</v>
      </c>
      <c r="K208" s="4">
        <v>133056</v>
      </c>
      <c r="L208" s="46">
        <v>205282</v>
      </c>
      <c r="M208" s="46">
        <v>195363</v>
      </c>
      <c r="N208" s="46">
        <v>222997</v>
      </c>
      <c r="O208" s="46">
        <v>117201</v>
      </c>
      <c r="P208" s="46">
        <v>231096</v>
      </c>
      <c r="Q208" s="46">
        <v>68651</v>
      </c>
      <c r="R208" s="46">
        <v>108930</v>
      </c>
      <c r="S208" s="46">
        <v>58262</v>
      </c>
      <c r="T208" s="46">
        <v>112339</v>
      </c>
      <c r="U208" s="46">
        <v>-724</v>
      </c>
      <c r="V208" s="46">
        <v>77980</v>
      </c>
      <c r="W208" s="46">
        <v>36299</v>
      </c>
      <c r="X208" s="10">
        <v>-0.25433086548778322</v>
      </c>
      <c r="Y208" s="8">
        <v>-0.19924924321188339</v>
      </c>
      <c r="Z208" s="8">
        <v>-0.1110086905995904</v>
      </c>
      <c r="AA208" s="8">
        <v>-8.8611578450477513E-2</v>
      </c>
    </row>
    <row r="209" spans="2:27" x14ac:dyDescent="0.3">
      <c r="B209" s="12">
        <v>5401</v>
      </c>
      <c r="C209" s="3" t="s">
        <v>712</v>
      </c>
      <c r="D209" s="3" t="str">
        <f>VLOOKUP(B209,기업리스트!$B:$G,2,FALSE)</f>
        <v>Nippon Steel Corporation</v>
      </c>
      <c r="E209" s="3" t="s">
        <v>650</v>
      </c>
      <c r="F209" s="5">
        <v>-10.4</v>
      </c>
      <c r="G209" s="4">
        <v>232986</v>
      </c>
      <c r="H209" s="4">
        <v>143289</v>
      </c>
      <c r="I209" s="4">
        <v>293662</v>
      </c>
      <c r="J209" s="4">
        <v>166696</v>
      </c>
      <c r="K209" s="4">
        <v>212355</v>
      </c>
      <c r="L209" s="46">
        <v>87819</v>
      </c>
      <c r="M209" s="46">
        <v>221450</v>
      </c>
      <c r="N209" s="46">
        <v>194884</v>
      </c>
      <c r="O209" s="46">
        <v>170211</v>
      </c>
      <c r="P209" s="46">
        <v>74632</v>
      </c>
      <c r="Q209" s="46">
        <v>184871</v>
      </c>
      <c r="R209" s="46">
        <v>106900</v>
      </c>
      <c r="S209" s="46">
        <v>161473</v>
      </c>
      <c r="T209" s="46">
        <v>117904</v>
      </c>
      <c r="U209" s="46">
        <v>64604</v>
      </c>
      <c r="V209" s="46">
        <v>137411</v>
      </c>
      <c r="W209" s="46">
        <v>111608</v>
      </c>
      <c r="X209" s="10">
        <v>8.1973796876539273E-2</v>
      </c>
      <c r="Y209" s="8">
        <v>-0.2105706401843305</v>
      </c>
      <c r="Z209" s="8">
        <v>6.7669739909199889E-2</v>
      </c>
      <c r="AA209" s="8">
        <v>-0.10358502010835249</v>
      </c>
    </row>
    <row r="210" spans="2:27" x14ac:dyDescent="0.3">
      <c r="B210" s="12">
        <v>7240</v>
      </c>
      <c r="C210" s="3" t="s">
        <v>712</v>
      </c>
      <c r="D210" s="3" t="str">
        <f>VLOOKUP(B210,기업리스트!$B:$G,2,FALSE)</f>
        <v>NOK Corporation</v>
      </c>
      <c r="E210" s="3" t="s">
        <v>646</v>
      </c>
      <c r="F210" s="5">
        <v>-12.2</v>
      </c>
      <c r="G210" s="4">
        <v>7986</v>
      </c>
      <c r="H210" s="4">
        <v>8371</v>
      </c>
      <c r="I210" s="4">
        <v>8097</v>
      </c>
      <c r="J210" s="4">
        <v>-1395</v>
      </c>
      <c r="K210" s="4">
        <v>7513</v>
      </c>
      <c r="L210" s="46">
        <v>8961</v>
      </c>
      <c r="M210" s="46">
        <v>301</v>
      </c>
      <c r="N210" s="46">
        <v>-1226</v>
      </c>
      <c r="O210" s="46">
        <v>6089</v>
      </c>
      <c r="P210" s="45">
        <v>12730</v>
      </c>
      <c r="Q210" s="45">
        <v>5320</v>
      </c>
      <c r="R210" s="45">
        <v>5653</v>
      </c>
      <c r="S210" s="45">
        <v>13432</v>
      </c>
      <c r="T210" s="46">
        <v>12089</v>
      </c>
      <c r="U210" s="46">
        <v>6091</v>
      </c>
      <c r="V210" s="46">
        <v>7003</v>
      </c>
      <c r="W210" s="46">
        <v>8712</v>
      </c>
      <c r="X210" s="10">
        <v>-1.726134374579236E-2</v>
      </c>
      <c r="Y210" s="8">
        <v>2.112676056338025E-2</v>
      </c>
      <c r="Z210" s="8">
        <v>3.6227022675432652E-2</v>
      </c>
      <c r="AA210" s="8">
        <v>-0.1222322931503301</v>
      </c>
    </row>
    <row r="211" spans="2:27" x14ac:dyDescent="0.3">
      <c r="B211" s="12">
        <v>6965</v>
      </c>
      <c r="C211" s="3" t="s">
        <v>712</v>
      </c>
      <c r="D211" s="3" t="str">
        <f>VLOOKUP(B211,기업리스트!$B:$G,2,FALSE)</f>
        <v>Hamamatsu Photonics K.K.</v>
      </c>
      <c r="E211" s="3" t="s">
        <v>648</v>
      </c>
      <c r="F211" s="5">
        <v>-15.4</v>
      </c>
      <c r="G211" s="4">
        <v>10829</v>
      </c>
      <c r="H211" s="4">
        <v>11186</v>
      </c>
      <c r="I211" s="4">
        <v>16912</v>
      </c>
      <c r="J211" s="4">
        <v>13297</v>
      </c>
      <c r="K211" s="4">
        <v>15589</v>
      </c>
      <c r="L211" s="46">
        <v>15507</v>
      </c>
      <c r="M211" s="46">
        <v>16013</v>
      </c>
      <c r="N211" s="46">
        <v>11437</v>
      </c>
      <c r="O211" s="46">
        <v>13719</v>
      </c>
      <c r="P211" s="46">
        <v>11481</v>
      </c>
      <c r="Q211" s="46">
        <v>8584</v>
      </c>
      <c r="R211" s="46">
        <v>5238</v>
      </c>
      <c r="S211" s="46">
        <v>6815</v>
      </c>
      <c r="T211" s="46">
        <v>4282</v>
      </c>
      <c r="U211" s="46">
        <v>6497</v>
      </c>
      <c r="V211" s="46">
        <v>1508</v>
      </c>
      <c r="W211" s="46">
        <v>3877</v>
      </c>
      <c r="X211" s="10">
        <v>-0.22414222554330909</v>
      </c>
      <c r="Y211" s="8">
        <v>-8.3751354388217791E-2</v>
      </c>
      <c r="Z211" s="8">
        <v>-0.1633672039243167</v>
      </c>
      <c r="AA211" s="8">
        <v>-0.15380588420060731</v>
      </c>
    </row>
    <row r="212" spans="2:27" x14ac:dyDescent="0.3">
      <c r="B212" s="12">
        <v>8584</v>
      </c>
      <c r="C212" s="3" t="s">
        <v>712</v>
      </c>
      <c r="D212" s="3" t="str">
        <f>VLOOKUP(B212,기업리스트!$B:$G,2,FALSE)</f>
        <v>JACCS Co., Ltd.</v>
      </c>
      <c r="E212" s="3" t="s">
        <v>646</v>
      </c>
      <c r="F212" s="5">
        <v>-25.2</v>
      </c>
      <c r="G212" s="4">
        <v>6594</v>
      </c>
      <c r="H212" s="4">
        <v>8162</v>
      </c>
      <c r="I212" s="4">
        <v>4644</v>
      </c>
      <c r="J212" s="4">
        <v>8942</v>
      </c>
      <c r="K212" s="4">
        <v>7444</v>
      </c>
      <c r="L212" s="46">
        <v>9827</v>
      </c>
      <c r="M212" s="46">
        <v>5466</v>
      </c>
      <c r="N212" s="46">
        <v>11154</v>
      </c>
      <c r="O212" s="46">
        <v>7266</v>
      </c>
      <c r="P212" s="46">
        <v>8718</v>
      </c>
      <c r="Q212" s="46">
        <v>5989</v>
      </c>
      <c r="R212" s="46">
        <v>8803</v>
      </c>
      <c r="S212" s="46">
        <v>7282</v>
      </c>
      <c r="T212" s="45">
        <v>25137</v>
      </c>
      <c r="U212" s="46">
        <v>-15490</v>
      </c>
      <c r="V212" s="45">
        <v>13710</v>
      </c>
      <c r="W212" s="46">
        <v>-428</v>
      </c>
      <c r="X212" s="7">
        <v>0.53322291504286823</v>
      </c>
      <c r="Y212" s="8">
        <v>-0.45495753108385761</v>
      </c>
      <c r="Z212" s="9">
        <v>0.19069640914037</v>
      </c>
      <c r="AA212" s="8">
        <v>-0.25164006658180749</v>
      </c>
    </row>
    <row r="213" spans="2:27" x14ac:dyDescent="0.3">
      <c r="B213" s="12">
        <v>2432</v>
      </c>
      <c r="C213" s="3" t="s">
        <v>712</v>
      </c>
      <c r="D213" s="3" t="str">
        <f>VLOOKUP(B213,기업리스트!$B:$G,2,FALSE)</f>
        <v>DeNA Co., Ltd.</v>
      </c>
      <c r="E213" s="3" t="s">
        <v>650</v>
      </c>
      <c r="F213" s="5">
        <v>-25.8</v>
      </c>
      <c r="G213" s="4">
        <v>2221</v>
      </c>
      <c r="H213" s="4">
        <v>-3389</v>
      </c>
      <c r="I213" s="4">
        <v>3964</v>
      </c>
      <c r="J213" s="4">
        <v>3112</v>
      </c>
      <c r="K213" s="4">
        <v>-2022</v>
      </c>
      <c r="L213" s="45">
        <v>-129</v>
      </c>
      <c r="M213" s="46">
        <v>1735</v>
      </c>
      <c r="N213" s="46">
        <v>3065</v>
      </c>
      <c r="O213" s="46">
        <v>-32428</v>
      </c>
      <c r="P213" s="46">
        <v>28288</v>
      </c>
      <c r="Q213" s="45">
        <v>1917</v>
      </c>
      <c r="R213" s="45">
        <v>3576</v>
      </c>
      <c r="S213" s="45">
        <v>15486</v>
      </c>
      <c r="T213" s="46">
        <v>12464</v>
      </c>
      <c r="U213" s="45">
        <v>13800</v>
      </c>
      <c r="V213" s="45">
        <v>11145</v>
      </c>
      <c r="W213" s="46">
        <v>1862</v>
      </c>
      <c r="X213" s="10">
        <v>-0.32118862524610792</v>
      </c>
      <c r="Y213" s="9">
        <v>0.35532099392997041</v>
      </c>
      <c r="Z213" s="9">
        <v>0.16699024842253901</v>
      </c>
      <c r="AA213" s="8">
        <v>-0.25756687777672749</v>
      </c>
    </row>
    <row r="214" spans="2:27" x14ac:dyDescent="0.3">
      <c r="B214" s="12">
        <v>7004</v>
      </c>
      <c r="C214" s="3" t="s">
        <v>712</v>
      </c>
      <c r="D214" s="3" t="str">
        <f>VLOOKUP(B214,기업리스트!$B:$G,2,FALSE)</f>
        <v>Kanadevia Corporation</v>
      </c>
      <c r="E214" s="3" t="s">
        <v>646</v>
      </c>
      <c r="F214" s="5">
        <v>-32.700000000000003</v>
      </c>
      <c r="G214" s="4">
        <v>614</v>
      </c>
      <c r="H214" s="4">
        <v>4011</v>
      </c>
      <c r="I214" s="4">
        <v>12945</v>
      </c>
      <c r="J214" s="4">
        <v>-923</v>
      </c>
      <c r="K214" s="4">
        <v>1072</v>
      </c>
      <c r="L214" s="46">
        <v>5677</v>
      </c>
      <c r="M214" s="46">
        <v>14231</v>
      </c>
      <c r="N214" s="46">
        <v>-3324</v>
      </c>
      <c r="O214" s="45">
        <v>4441</v>
      </c>
      <c r="P214" s="45">
        <v>8395</v>
      </c>
      <c r="Q214" s="46">
        <v>14812</v>
      </c>
      <c r="R214" s="45">
        <v>-878</v>
      </c>
      <c r="S214" s="46">
        <v>4042</v>
      </c>
      <c r="T214" s="46">
        <v>6583</v>
      </c>
      <c r="U214" s="46">
        <v>17200</v>
      </c>
      <c r="V214" s="46">
        <v>-4055</v>
      </c>
      <c r="W214" s="46">
        <v>-3725</v>
      </c>
      <c r="X214" s="10">
        <v>-6.8711842554321056E-2</v>
      </c>
      <c r="Y214" s="8">
        <v>9.7235229447452998E-2</v>
      </c>
      <c r="Z214" s="8">
        <v>-0.1178980962630348</v>
      </c>
      <c r="AA214" s="8">
        <v>-0.32675641564997893</v>
      </c>
    </row>
    <row r="215" spans="2:27" x14ac:dyDescent="0.3">
      <c r="B215" s="12">
        <v>8020</v>
      </c>
      <c r="C215" s="3" t="s">
        <v>712</v>
      </c>
      <c r="D215" s="3" t="str">
        <f>VLOOKUP(B215,기업리스트!$B:$G,2,FALSE)</f>
        <v>Kanematsu Corporation</v>
      </c>
      <c r="E215" s="3" t="s">
        <v>646</v>
      </c>
      <c r="F215" s="5">
        <v>-215.5</v>
      </c>
      <c r="G215" s="4">
        <v>9217</v>
      </c>
      <c r="H215" s="4">
        <v>6895</v>
      </c>
      <c r="I215" s="4">
        <v>88461</v>
      </c>
      <c r="J215" s="4">
        <v>-20153</v>
      </c>
      <c r="K215" s="4">
        <v>12687</v>
      </c>
      <c r="L215" s="46">
        <v>7855</v>
      </c>
      <c r="M215" s="45">
        <v>98727</v>
      </c>
      <c r="N215" s="46">
        <v>-23549</v>
      </c>
      <c r="O215" s="46">
        <v>12861</v>
      </c>
      <c r="P215" s="46">
        <v>10721</v>
      </c>
      <c r="Q215" s="45">
        <v>109356</v>
      </c>
      <c r="R215" s="45">
        <v>11777</v>
      </c>
      <c r="S215" s="46">
        <v>-62644</v>
      </c>
      <c r="T215" s="46">
        <v>8054</v>
      </c>
      <c r="U215" s="46">
        <v>8119</v>
      </c>
      <c r="V215" s="46">
        <v>10650</v>
      </c>
      <c r="W215" s="46">
        <v>14568</v>
      </c>
      <c r="X215" s="10">
        <v>-3.8534893801473791E-2</v>
      </c>
      <c r="Y215" s="8">
        <v>-1.521377154621824</v>
      </c>
      <c r="Z215" s="8">
        <v>3.2484002997636541E-2</v>
      </c>
      <c r="AA215" s="8">
        <v>-2.1554953798051422</v>
      </c>
    </row>
    <row r="216" spans="2:27" x14ac:dyDescent="0.3">
      <c r="B216" s="43">
        <v>7731</v>
      </c>
      <c r="C216" s="35" t="s">
        <v>712</v>
      </c>
      <c r="D216" s="35" t="str">
        <f>VLOOKUP(B216,기업리스트!$B:$G,2,FALSE)</f>
        <v>Nikon Corporation</v>
      </c>
      <c r="E216" s="35" t="s">
        <v>650</v>
      </c>
      <c r="F216" s="36">
        <v>-2225.6</v>
      </c>
      <c r="G216" s="37">
        <v>14847</v>
      </c>
      <c r="H216" s="37">
        <v>-800</v>
      </c>
      <c r="I216" s="37">
        <v>15356</v>
      </c>
      <c r="J216" s="37">
        <v>9061</v>
      </c>
      <c r="K216" s="38">
        <v>26204</v>
      </c>
      <c r="L216" s="48">
        <v>7149</v>
      </c>
      <c r="M216" s="47">
        <v>3289</v>
      </c>
      <c r="N216" s="47">
        <v>10340</v>
      </c>
      <c r="O216" s="47">
        <v>20809</v>
      </c>
      <c r="P216" s="47">
        <v>7626</v>
      </c>
      <c r="Q216" s="47">
        <v>2951</v>
      </c>
      <c r="R216" s="47">
        <v>2865</v>
      </c>
      <c r="S216" s="47">
        <v>2295</v>
      </c>
      <c r="T216" s="47">
        <v>7057</v>
      </c>
      <c r="U216" s="47">
        <v>-1192</v>
      </c>
      <c r="V216" s="47">
        <v>-3637</v>
      </c>
      <c r="W216" s="47">
        <v>-98371</v>
      </c>
      <c r="X216" s="39">
        <v>-3.615682785791452E-2</v>
      </c>
      <c r="Y216" s="40">
        <v>-0.27314082278481011</v>
      </c>
      <c r="Z216" s="40">
        <v>-0.58975056689342398</v>
      </c>
      <c r="AA216" s="40">
        <v>-22.256466946716781</v>
      </c>
    </row>
    <row r="217" spans="2:27" x14ac:dyDescent="0.3">
      <c r="B217" s="12" t="s">
        <v>747</v>
      </c>
      <c r="C217" s="3" t="s">
        <v>713</v>
      </c>
      <c r="D217" s="3" t="str">
        <f>VLOOKUP(B217,기업리스트!$B:$G,2,FALSE)</f>
        <v>Godrej Properties Limited</v>
      </c>
      <c r="E217" s="3" t="s">
        <v>650</v>
      </c>
      <c r="F217" s="33">
        <v>32.700000000000003</v>
      </c>
      <c r="G217" s="4">
        <v>-105.8</v>
      </c>
      <c r="H217" s="4">
        <v>2523</v>
      </c>
      <c r="I217" s="4">
        <v>-196.6</v>
      </c>
      <c r="J217" s="4">
        <v>-730.1</v>
      </c>
      <c r="K217" s="4">
        <v>-232.7</v>
      </c>
      <c r="L217" s="45">
        <v>3462</v>
      </c>
      <c r="M217" s="46">
        <v>-1561</v>
      </c>
      <c r="N217" s="46">
        <v>-690.5</v>
      </c>
      <c r="O217" s="46">
        <v>-557.29999999999995</v>
      </c>
      <c r="P217" s="46">
        <v>1467</v>
      </c>
      <c r="Q217" s="46">
        <v>-1417</v>
      </c>
      <c r="R217" s="46">
        <v>136.5</v>
      </c>
      <c r="S217" s="46">
        <v>98.6</v>
      </c>
      <c r="T217" s="46">
        <v>1093</v>
      </c>
      <c r="U217" s="45">
        <v>-2653</v>
      </c>
      <c r="V217" s="45">
        <v>-5391</v>
      </c>
      <c r="W217" s="45">
        <v>-2143</v>
      </c>
      <c r="X217" s="10">
        <v>-1.311820413889863</v>
      </c>
      <c r="Y217" s="9">
        <v>13.903262092238471</v>
      </c>
      <c r="Z217" s="9">
        <v>4.1720129821118572</v>
      </c>
      <c r="AA217" s="9">
        <v>0.32712626233144593</v>
      </c>
    </row>
    <row r="218" spans="2:27" x14ac:dyDescent="0.3">
      <c r="B218" s="12" t="s">
        <v>748</v>
      </c>
      <c r="C218" s="3" t="s">
        <v>713</v>
      </c>
      <c r="D218" s="3" t="str">
        <f>VLOOKUP(B218,기업리스트!$B:$G,2,FALSE)</f>
        <v>FSN E-Commerce Ventures Limited</v>
      </c>
      <c r="E218" s="3" t="s">
        <v>650</v>
      </c>
      <c r="F218" s="33">
        <v>28.3</v>
      </c>
      <c r="G218" s="4">
        <v>438.53</v>
      </c>
      <c r="H218" s="4">
        <v>80.349999999999994</v>
      </c>
      <c r="I218" s="4">
        <v>150.4</v>
      </c>
      <c r="J218" s="4">
        <v>226.35</v>
      </c>
      <c r="K218" s="4">
        <v>274.60000000000002</v>
      </c>
      <c r="L218" s="45">
        <v>176.52</v>
      </c>
      <c r="M218" s="46">
        <v>215.46</v>
      </c>
      <c r="N218" s="46">
        <v>259.93</v>
      </c>
      <c r="O218" s="45">
        <v>407.46</v>
      </c>
      <c r="P218" s="45">
        <v>336.25</v>
      </c>
      <c r="Q218" s="45">
        <v>360.6</v>
      </c>
      <c r="R218" s="45">
        <v>400.4</v>
      </c>
      <c r="S218" s="45">
        <v>709.6</v>
      </c>
      <c r="T218" s="45">
        <v>604.5</v>
      </c>
      <c r="U218" s="45">
        <v>645.4</v>
      </c>
      <c r="V218" s="45">
        <v>798.6</v>
      </c>
      <c r="W218" s="45">
        <v>1489</v>
      </c>
      <c r="X218" s="7">
        <v>0.14846279436588539</v>
      </c>
      <c r="Y218" s="9">
        <v>0.1372463977639633</v>
      </c>
      <c r="Z218" s="9">
        <v>0.16873596338827901</v>
      </c>
      <c r="AA218" s="9">
        <v>0.28258583807693699</v>
      </c>
    </row>
    <row r="219" spans="2:27" x14ac:dyDescent="0.3">
      <c r="B219" s="12" t="s">
        <v>749</v>
      </c>
      <c r="C219" s="3" t="s">
        <v>713</v>
      </c>
      <c r="D219" s="3" t="str">
        <f>VLOOKUP(B219,기업리스트!$B:$G,2,FALSE)</f>
        <v>Suzlon Energy Limited</v>
      </c>
      <c r="E219" s="3" t="s">
        <v>646</v>
      </c>
      <c r="F219" s="33">
        <v>23.2</v>
      </c>
      <c r="G219" s="4">
        <v>1308</v>
      </c>
      <c r="H219" s="4">
        <v>1813</v>
      </c>
      <c r="I219" s="4">
        <v>1502</v>
      </c>
      <c r="J219" s="4">
        <v>1263</v>
      </c>
      <c r="K219" s="4">
        <v>1451</v>
      </c>
      <c r="L219" s="46">
        <v>1548</v>
      </c>
      <c r="M219" s="46">
        <v>1541</v>
      </c>
      <c r="N219" s="46">
        <v>1524</v>
      </c>
      <c r="O219" s="46">
        <v>1730</v>
      </c>
      <c r="P219" s="46">
        <v>2078</v>
      </c>
      <c r="Q219" s="45">
        <v>3177</v>
      </c>
      <c r="R219" s="45">
        <v>3215</v>
      </c>
      <c r="S219" s="46">
        <v>2380</v>
      </c>
      <c r="T219" s="45">
        <v>4384</v>
      </c>
      <c r="U219" s="45">
        <v>5760</v>
      </c>
      <c r="V219" s="45">
        <v>5326</v>
      </c>
      <c r="W219" s="45">
        <v>6521</v>
      </c>
      <c r="X219" s="7">
        <v>0.21253456221198161</v>
      </c>
      <c r="Y219" s="9">
        <v>0.1963362724232289</v>
      </c>
      <c r="Z219" s="9">
        <v>0.1341254209289027</v>
      </c>
      <c r="AA219" s="9">
        <v>0.23198879551820739</v>
      </c>
    </row>
    <row r="220" spans="2:27" x14ac:dyDescent="0.3">
      <c r="B220" s="12" t="s">
        <v>504</v>
      </c>
      <c r="C220" s="3" t="s">
        <v>713</v>
      </c>
      <c r="D220" s="3" t="str">
        <f>VLOOKUP(B220,기업리스트!$B:$G,2,FALSE)</f>
        <v>PVR INOX Limited</v>
      </c>
      <c r="E220" s="3" t="s">
        <v>650</v>
      </c>
      <c r="F220" s="33">
        <v>16.7</v>
      </c>
      <c r="G220" s="4">
        <v>109.2</v>
      </c>
      <c r="H220" s="4">
        <v>-488.7</v>
      </c>
      <c r="I220" s="4">
        <v>1922</v>
      </c>
      <c r="J220" s="4">
        <v>11.2</v>
      </c>
      <c r="K220" s="6">
        <v>1335</v>
      </c>
      <c r="L220" s="45">
        <v>-196.5</v>
      </c>
      <c r="M220" s="46">
        <v>617</v>
      </c>
      <c r="N220" s="45">
        <v>3982</v>
      </c>
      <c r="O220" s="46">
        <v>1553</v>
      </c>
      <c r="P220" s="46">
        <v>31</v>
      </c>
      <c r="Q220" s="46">
        <v>-627</v>
      </c>
      <c r="R220" s="46">
        <v>1499</v>
      </c>
      <c r="S220" s="45">
        <v>2076</v>
      </c>
      <c r="T220" s="46">
        <v>-87</v>
      </c>
      <c r="U220" s="45">
        <v>888</v>
      </c>
      <c r="V220" s="45">
        <v>2950</v>
      </c>
      <c r="W220" s="45">
        <v>3051</v>
      </c>
      <c r="X220" s="10">
        <v>-3.9610607586438418E-2</v>
      </c>
      <c r="Y220" s="9">
        <v>0.52953512757776999</v>
      </c>
      <c r="Z220" s="9">
        <v>0.33158135283363799</v>
      </c>
      <c r="AA220" s="9">
        <v>0.16732452376866311</v>
      </c>
    </row>
    <row r="221" spans="2:27" x14ac:dyDescent="0.3">
      <c r="B221" s="12" t="s">
        <v>405</v>
      </c>
      <c r="C221" s="3" t="s">
        <v>713</v>
      </c>
      <c r="D221" s="3" t="str">
        <f>VLOOKUP(B221,기업리스트!$B:$G,2,FALSE)</f>
        <v>Wockhardt Limited</v>
      </c>
      <c r="E221" s="3" t="s">
        <v>646</v>
      </c>
      <c r="F221" s="33">
        <v>15.2</v>
      </c>
      <c r="G221" s="4">
        <v>480.7</v>
      </c>
      <c r="H221" s="4">
        <v>518.4</v>
      </c>
      <c r="I221" s="4">
        <v>-921.1</v>
      </c>
      <c r="J221" s="4">
        <v>-800</v>
      </c>
      <c r="K221" s="6">
        <v>-220</v>
      </c>
      <c r="L221" s="45">
        <v>-70</v>
      </c>
      <c r="M221" s="46">
        <v>-340</v>
      </c>
      <c r="N221" s="46">
        <v>-370</v>
      </c>
      <c r="O221" s="46">
        <v>170</v>
      </c>
      <c r="P221" s="46">
        <v>-30</v>
      </c>
      <c r="Q221" s="46">
        <v>20</v>
      </c>
      <c r="R221" s="46">
        <v>380</v>
      </c>
      <c r="S221" s="45">
        <v>750</v>
      </c>
      <c r="T221" s="45">
        <v>410</v>
      </c>
      <c r="U221" s="45">
        <v>490</v>
      </c>
      <c r="V221" s="46">
        <v>450</v>
      </c>
      <c r="W221" s="45">
        <v>1070</v>
      </c>
      <c r="X221" s="7">
        <v>0.39285714285714279</v>
      </c>
      <c r="Y221" s="9">
        <v>0.30128205128205132</v>
      </c>
      <c r="Z221" s="8">
        <v>3.4482758620689717E-2</v>
      </c>
      <c r="AA221" s="9">
        <v>0.15238095238095231</v>
      </c>
    </row>
    <row r="222" spans="2:27" x14ac:dyDescent="0.3">
      <c r="B222" s="12" t="s">
        <v>523</v>
      </c>
      <c r="C222" s="3" t="s">
        <v>713</v>
      </c>
      <c r="D222" s="3" t="str">
        <f>VLOOKUP(B222,기업리스트!$B:$G,2,FALSE)</f>
        <v>Balrampur Chini Mills Limited</v>
      </c>
      <c r="E222" s="3" t="s">
        <v>646</v>
      </c>
      <c r="F222" s="33">
        <v>14.1</v>
      </c>
      <c r="G222" s="4">
        <v>1067</v>
      </c>
      <c r="H222" s="4">
        <v>717.97</v>
      </c>
      <c r="I222" s="4">
        <v>3101</v>
      </c>
      <c r="J222" s="4">
        <v>161.99</v>
      </c>
      <c r="K222" s="4">
        <v>-442.82</v>
      </c>
      <c r="L222" s="46">
        <v>469.06</v>
      </c>
      <c r="M222" s="45">
        <v>3732</v>
      </c>
      <c r="N222" s="45">
        <v>1226</v>
      </c>
      <c r="O222" s="45">
        <v>1236</v>
      </c>
      <c r="P222" s="46">
        <v>714.16</v>
      </c>
      <c r="Q222" s="46">
        <v>3021</v>
      </c>
      <c r="R222" s="46">
        <v>1235</v>
      </c>
      <c r="S222" s="46">
        <v>58.91</v>
      </c>
      <c r="T222" s="46">
        <v>801.59</v>
      </c>
      <c r="U222" s="46">
        <v>3221</v>
      </c>
      <c r="V222" s="46">
        <v>905.44</v>
      </c>
      <c r="W222" s="45">
        <v>760.85</v>
      </c>
      <c r="X222" s="10">
        <v>1.7384924051564221E-2</v>
      </c>
      <c r="Y222" s="8">
        <v>3.9089221147268649E-2</v>
      </c>
      <c r="Z222" s="8">
        <v>-6.1988150098749029E-2</v>
      </c>
      <c r="AA222" s="9">
        <v>0.1407556537676409</v>
      </c>
    </row>
    <row r="223" spans="2:27" x14ac:dyDescent="0.3">
      <c r="B223" s="12" t="s">
        <v>166</v>
      </c>
      <c r="C223" s="3" t="s">
        <v>713</v>
      </c>
      <c r="D223" s="3" t="str">
        <f>VLOOKUP(B223,기업리스트!$B:$G,2,FALSE)</f>
        <v>Mazagon Dock Shipbuilders Limited</v>
      </c>
      <c r="E223" s="3" t="s">
        <v>646</v>
      </c>
      <c r="F223" s="33">
        <v>11.4</v>
      </c>
      <c r="G223" s="4">
        <v>678.5</v>
      </c>
      <c r="H223" s="4">
        <v>1849</v>
      </c>
      <c r="I223" s="4">
        <v>715.5</v>
      </c>
      <c r="J223" s="4">
        <v>1553</v>
      </c>
      <c r="K223" s="4">
        <v>993.1</v>
      </c>
      <c r="L223" s="45">
        <v>2774</v>
      </c>
      <c r="M223" s="45">
        <v>1942</v>
      </c>
      <c r="N223" s="46">
        <v>1520</v>
      </c>
      <c r="O223" s="46">
        <v>1564</v>
      </c>
      <c r="P223" s="45">
        <v>5189</v>
      </c>
      <c r="Q223" s="45">
        <v>5055</v>
      </c>
      <c r="R223" s="45">
        <v>6189</v>
      </c>
      <c r="S223" s="45">
        <v>4873</v>
      </c>
      <c r="T223" s="45">
        <v>7773</v>
      </c>
      <c r="U223" s="46">
        <v>684.3</v>
      </c>
      <c r="V223" s="46">
        <v>2786</v>
      </c>
      <c r="W223" s="45">
        <v>6711</v>
      </c>
      <c r="X223" s="7">
        <v>0.1212803905003286</v>
      </c>
      <c r="Y223" s="8">
        <v>-0.1829510255336961</v>
      </c>
      <c r="Z223" s="8">
        <v>-0.17434026834978711</v>
      </c>
      <c r="AA223" s="9">
        <v>0.1140460279344515</v>
      </c>
    </row>
    <row r="224" spans="2:27" x14ac:dyDescent="0.3">
      <c r="B224" s="12" t="s">
        <v>471</v>
      </c>
      <c r="C224" s="3" t="s">
        <v>713</v>
      </c>
      <c r="D224" s="3" t="str">
        <f>VLOOKUP(B224,기업리스트!$B:$G,2,FALSE)</f>
        <v>Data Patterns (India) Limited</v>
      </c>
      <c r="E224" s="3" t="s">
        <v>650</v>
      </c>
      <c r="F224" s="33">
        <v>10.5</v>
      </c>
      <c r="G224" s="4">
        <v>138.6</v>
      </c>
      <c r="H224" s="4">
        <v>874.1</v>
      </c>
      <c r="I224" s="4">
        <v>192.7</v>
      </c>
      <c r="J224" s="4">
        <v>280.3</v>
      </c>
      <c r="K224" s="6">
        <v>449.3</v>
      </c>
      <c r="L224" s="46">
        <v>738.9</v>
      </c>
      <c r="M224" s="46">
        <v>249.9</v>
      </c>
      <c r="N224" s="46">
        <v>376.9</v>
      </c>
      <c r="O224" s="46">
        <v>567.4</v>
      </c>
      <c r="P224" s="46">
        <v>860.7</v>
      </c>
      <c r="Q224" s="46">
        <v>340.9</v>
      </c>
      <c r="R224" s="46">
        <v>308.2</v>
      </c>
      <c r="S224" s="46">
        <v>505.6</v>
      </c>
      <c r="T224" s="45">
        <v>1456</v>
      </c>
      <c r="U224" s="46">
        <v>265.89999999999998</v>
      </c>
      <c r="V224" s="45">
        <v>628.29999999999995</v>
      </c>
      <c r="W224" s="45">
        <v>804.8</v>
      </c>
      <c r="X224" s="7">
        <v>0.29537560781978761</v>
      </c>
      <c r="Y224" s="8">
        <v>-2.8727927375799541E-2</v>
      </c>
      <c r="Z224" s="9">
        <v>0.12623733091454059</v>
      </c>
      <c r="AA224" s="9">
        <v>0.10476924154352529</v>
      </c>
    </row>
    <row r="225" spans="2:27" x14ac:dyDescent="0.3">
      <c r="B225" s="12" t="s">
        <v>465</v>
      </c>
      <c r="C225" s="3" t="s">
        <v>713</v>
      </c>
      <c r="D225" s="3" t="str">
        <f>VLOOKUP(B225,기업리스트!$B:$G,2,FALSE)</f>
        <v>Minda Corporation Limited</v>
      </c>
      <c r="E225" s="3" t="s">
        <v>650</v>
      </c>
      <c r="F225" s="5">
        <v>8.6999999999999993</v>
      </c>
      <c r="G225" s="4">
        <v>517.20000000000005</v>
      </c>
      <c r="H225" s="4">
        <v>780.2</v>
      </c>
      <c r="I225" s="4">
        <v>749.7</v>
      </c>
      <c r="J225" s="4">
        <v>900</v>
      </c>
      <c r="K225" s="4">
        <v>800.9</v>
      </c>
      <c r="L225" s="46">
        <v>844.4</v>
      </c>
      <c r="M225" s="46">
        <v>756.3</v>
      </c>
      <c r="N225" s="46">
        <v>899</v>
      </c>
      <c r="O225" s="46">
        <v>881.4</v>
      </c>
      <c r="P225" s="46">
        <v>978.3</v>
      </c>
      <c r="Q225" s="46">
        <v>858.6</v>
      </c>
      <c r="R225" s="46">
        <v>953.6</v>
      </c>
      <c r="S225" s="46">
        <v>932</v>
      </c>
      <c r="T225" s="46">
        <v>978.8</v>
      </c>
      <c r="U225" s="46">
        <v>1002</v>
      </c>
      <c r="V225" s="46">
        <v>1208</v>
      </c>
      <c r="W225" s="46">
        <v>1292</v>
      </c>
      <c r="X225" s="10">
        <v>1.343183344526544E-4</v>
      </c>
      <c r="Y225" s="8">
        <v>3.8517324738114533E-2</v>
      </c>
      <c r="Z225" s="8">
        <v>6.5797641216635672E-2</v>
      </c>
      <c r="AA225" s="8">
        <v>8.7361677344204969E-2</v>
      </c>
    </row>
    <row r="226" spans="2:27" x14ac:dyDescent="0.3">
      <c r="B226" s="12" t="s">
        <v>469</v>
      </c>
      <c r="C226" s="3" t="s">
        <v>713</v>
      </c>
      <c r="D226" s="3" t="str">
        <f>VLOOKUP(B226,기업리스트!$B:$G,2,FALSE)</f>
        <v>Aavas Financiers Limited</v>
      </c>
      <c r="E226" s="3" t="s">
        <v>650</v>
      </c>
      <c r="F226" s="5">
        <v>4</v>
      </c>
      <c r="G226" s="4">
        <v>1151</v>
      </c>
      <c r="H226" s="4">
        <v>1458</v>
      </c>
      <c r="I226" s="4">
        <v>1144</v>
      </c>
      <c r="J226" s="4">
        <v>1376</v>
      </c>
      <c r="K226" s="4">
        <v>1378</v>
      </c>
      <c r="L226" s="46">
        <v>1584</v>
      </c>
      <c r="M226" s="46">
        <v>1408</v>
      </c>
      <c r="N226" s="46">
        <v>1574</v>
      </c>
      <c r="O226" s="46">
        <v>1498</v>
      </c>
      <c r="P226" s="46">
        <v>1761</v>
      </c>
      <c r="Q226" s="46">
        <v>1609</v>
      </c>
      <c r="R226" s="46">
        <v>1900</v>
      </c>
      <c r="S226" s="46">
        <v>1884</v>
      </c>
      <c r="T226" s="46">
        <v>1927</v>
      </c>
      <c r="U226" s="46">
        <v>1791</v>
      </c>
      <c r="V226" s="46">
        <v>2112</v>
      </c>
      <c r="W226" s="46">
        <v>2193</v>
      </c>
      <c r="X226" s="10">
        <v>2.320380206877282E-2</v>
      </c>
      <c r="Y226" s="8">
        <v>2.4863387978142141E-2</v>
      </c>
      <c r="Z226" s="8">
        <v>2.8259130898427021E-2</v>
      </c>
      <c r="AA226" s="8">
        <v>4.0057039149598239E-2</v>
      </c>
    </row>
    <row r="227" spans="2:27" x14ac:dyDescent="0.3">
      <c r="B227" s="12" t="s">
        <v>324</v>
      </c>
      <c r="C227" s="3" t="s">
        <v>713</v>
      </c>
      <c r="D227" s="3" t="str">
        <f>VLOOKUP(B227,기업리스트!$B:$G,2,FALSE)</f>
        <v>Astral Limited</v>
      </c>
      <c r="E227" s="3" t="s">
        <v>650</v>
      </c>
      <c r="F227" s="5">
        <v>2.5</v>
      </c>
      <c r="G227" s="4">
        <v>1655</v>
      </c>
      <c r="H227" s="4">
        <v>1841</v>
      </c>
      <c r="I227" s="4">
        <v>1284</v>
      </c>
      <c r="J227" s="4">
        <v>992</v>
      </c>
      <c r="K227" s="4">
        <v>1409</v>
      </c>
      <c r="L227" s="46">
        <v>0</v>
      </c>
      <c r="M227" s="46">
        <v>1553</v>
      </c>
      <c r="N227" s="45">
        <v>1714</v>
      </c>
      <c r="O227" s="46">
        <v>1550</v>
      </c>
      <c r="P227" s="45">
        <v>2454</v>
      </c>
      <c r="Q227" s="46">
        <v>1588</v>
      </c>
      <c r="R227" s="46">
        <v>1502</v>
      </c>
      <c r="S227" s="46">
        <v>1564</v>
      </c>
      <c r="T227" s="46">
        <v>2371</v>
      </c>
      <c r="U227" s="46">
        <v>1130</v>
      </c>
      <c r="V227" s="46">
        <v>1845</v>
      </c>
      <c r="W227" s="46">
        <v>1734</v>
      </c>
      <c r="X227" s="10">
        <v>-1.167698368036019E-2</v>
      </c>
      <c r="Y227" s="8">
        <v>-6.519572953736652E-2</v>
      </c>
      <c r="Z227" s="8">
        <v>5.2230851225826047E-2</v>
      </c>
      <c r="AA227" s="8">
        <v>2.460202604920414E-2</v>
      </c>
    </row>
    <row r="228" spans="2:27" x14ac:dyDescent="0.3">
      <c r="B228" s="12" t="s">
        <v>293</v>
      </c>
      <c r="C228" s="3" t="s">
        <v>713</v>
      </c>
      <c r="D228" s="3" t="str">
        <f>VLOOKUP(B228,기업리스트!$B:$G,2,FALSE)</f>
        <v>Page Industries Limited</v>
      </c>
      <c r="E228" s="3" t="s">
        <v>650</v>
      </c>
      <c r="F228" s="5">
        <v>1.9</v>
      </c>
      <c r="G228" s="4">
        <v>2340</v>
      </c>
      <c r="H228" s="4">
        <v>2515</v>
      </c>
      <c r="I228" s="4">
        <v>2798</v>
      </c>
      <c r="J228" s="4">
        <v>2190</v>
      </c>
      <c r="K228" s="4">
        <v>1728</v>
      </c>
      <c r="L228" s="46">
        <v>1130</v>
      </c>
      <c r="M228" s="46">
        <v>2209</v>
      </c>
      <c r="N228" s="46">
        <v>2089</v>
      </c>
      <c r="O228" s="46">
        <v>2070</v>
      </c>
      <c r="P228" s="46">
        <v>1358</v>
      </c>
      <c r="Q228" s="46">
        <v>2213</v>
      </c>
      <c r="R228" s="46">
        <v>2588</v>
      </c>
      <c r="S228" s="46">
        <v>2729</v>
      </c>
      <c r="T228" s="46">
        <v>2104</v>
      </c>
      <c r="U228" s="46">
        <v>2681</v>
      </c>
      <c r="V228" s="46">
        <v>2541</v>
      </c>
      <c r="W228" s="46">
        <v>2916</v>
      </c>
      <c r="X228" s="10">
        <v>8.3933393339334028E-2</v>
      </c>
      <c r="Y228" s="8">
        <v>4.8577953082831637E-2</v>
      </c>
      <c r="Z228" s="8">
        <v>-4.6525440506830504E-3</v>
      </c>
      <c r="AA228" s="8">
        <v>1.859771258080567E-2</v>
      </c>
    </row>
    <row r="229" spans="2:27" x14ac:dyDescent="0.3">
      <c r="B229" s="12" t="s">
        <v>302</v>
      </c>
      <c r="C229" s="3" t="s">
        <v>713</v>
      </c>
      <c r="D229" s="3" t="str">
        <f>VLOOKUP(B229,기업리스트!$B:$G,2,FALSE)</f>
        <v>Anthem Biosciences Limited</v>
      </c>
      <c r="E229" s="3" t="s">
        <v>650</v>
      </c>
      <c r="F229" s="5">
        <v>-3.4</v>
      </c>
      <c r="G229" s="3"/>
      <c r="H229" s="3"/>
      <c r="I229" s="3"/>
      <c r="J229" s="3"/>
      <c r="K229" s="3"/>
      <c r="L229" s="46"/>
      <c r="M229" s="46">
        <v>896.28</v>
      </c>
      <c r="N229" s="46">
        <v>896.28</v>
      </c>
      <c r="O229" s="46">
        <v>1227</v>
      </c>
      <c r="P229" s="46">
        <v>1227</v>
      </c>
      <c r="Q229" s="46">
        <v>1022</v>
      </c>
      <c r="R229" s="45">
        <v>1752</v>
      </c>
      <c r="S229" s="46">
        <v>1392</v>
      </c>
      <c r="T229" s="46">
        <v>0</v>
      </c>
      <c r="U229" s="45">
        <v>1650</v>
      </c>
      <c r="V229" s="46">
        <v>1844</v>
      </c>
      <c r="W229" s="46">
        <v>1227</v>
      </c>
      <c r="X229" s="10">
        <v>-0.22751715186352681</v>
      </c>
      <c r="Y229" s="9">
        <v>0.1507441190590495</v>
      </c>
      <c r="Z229" s="8">
        <v>1.91906549853984E-2</v>
      </c>
      <c r="AA229" s="8">
        <v>-3.3769954973393412E-2</v>
      </c>
    </row>
    <row r="230" spans="2:27" x14ac:dyDescent="0.3">
      <c r="B230" s="43" t="s">
        <v>516</v>
      </c>
      <c r="C230" s="35" t="s">
        <v>713</v>
      </c>
      <c r="D230" s="35" t="str">
        <f>VLOOKUP(B230,기업리스트!$B:$G,2,FALSE)</f>
        <v>Aditya Birla Fashion and Retail Limited</v>
      </c>
      <c r="E230" s="35" t="s">
        <v>650</v>
      </c>
      <c r="F230" s="36">
        <v>-11.5</v>
      </c>
      <c r="G230" s="37">
        <v>3312</v>
      </c>
      <c r="H230" s="37">
        <v>1154</v>
      </c>
      <c r="I230" s="37">
        <v>1979</v>
      </c>
      <c r="J230" s="37">
        <v>1061</v>
      </c>
      <c r="K230" s="37">
        <v>1181</v>
      </c>
      <c r="L230" s="47">
        <v>-1476</v>
      </c>
      <c r="M230" s="47">
        <v>-746.5</v>
      </c>
      <c r="N230" s="47">
        <v>-654.70000000000005</v>
      </c>
      <c r="O230" s="47">
        <v>1092</v>
      </c>
      <c r="P230" s="47">
        <v>0</v>
      </c>
      <c r="Q230" s="47">
        <v>-775.6</v>
      </c>
      <c r="R230" s="48">
        <v>-996.7</v>
      </c>
      <c r="S230" s="47">
        <v>1626</v>
      </c>
      <c r="T230" s="48">
        <v>-966.8</v>
      </c>
      <c r="U230" s="48">
        <v>-2039</v>
      </c>
      <c r="V230" s="48">
        <v>-2564</v>
      </c>
      <c r="W230" s="47">
        <v>2081</v>
      </c>
      <c r="X230" s="41">
        <v>6.6083390293916571</v>
      </c>
      <c r="Y230" s="42">
        <v>1.135028299344174</v>
      </c>
      <c r="Z230" s="42">
        <v>0.65949926362297506</v>
      </c>
      <c r="AA230" s="40">
        <v>-0.1153709620163295</v>
      </c>
    </row>
    <row r="231" spans="2:27" x14ac:dyDescent="0.3">
      <c r="B231" s="12" t="s">
        <v>544</v>
      </c>
      <c r="C231" s="3" t="s">
        <v>715</v>
      </c>
      <c r="D231" s="3" t="str">
        <f>VLOOKUP(B231,기업리스트!$B:$G,2,FALSE)</f>
        <v>X-FAB Silicon Foundries SE</v>
      </c>
      <c r="E231" s="3" t="s">
        <v>648</v>
      </c>
      <c r="F231" s="5">
        <v>4.3</v>
      </c>
      <c r="G231" s="4">
        <v>4.04</v>
      </c>
      <c r="H231" s="4">
        <v>22.23</v>
      </c>
      <c r="I231" s="4">
        <v>23.85</v>
      </c>
      <c r="J231" s="4">
        <v>-9.94</v>
      </c>
      <c r="K231" s="6">
        <v>53.95</v>
      </c>
      <c r="L231" s="45">
        <v>37.39</v>
      </c>
      <c r="M231" s="45">
        <v>39.200000000000003</v>
      </c>
      <c r="N231" s="45">
        <v>43.9</v>
      </c>
      <c r="O231" s="46">
        <v>37.520000000000003</v>
      </c>
      <c r="P231" s="46">
        <v>27.19</v>
      </c>
      <c r="Q231" s="46">
        <v>19.05</v>
      </c>
      <c r="R231" s="46">
        <v>24.96</v>
      </c>
      <c r="S231" s="46">
        <v>6.67</v>
      </c>
      <c r="T231" s="46">
        <v>21.11</v>
      </c>
      <c r="U231" s="46">
        <v>21.58</v>
      </c>
      <c r="V231" s="46">
        <v>23.79</v>
      </c>
      <c r="W231" s="46">
        <v>9.83</v>
      </c>
      <c r="X231" s="10">
        <v>-7.8078849364325076E-2</v>
      </c>
      <c r="Y231" s="8">
        <v>3.5241677113803993E-2</v>
      </c>
      <c r="Z231" s="8">
        <v>-1.574273412271265E-2</v>
      </c>
      <c r="AA231" s="8">
        <v>4.3198906356801237E-2</v>
      </c>
    </row>
  </sheetData>
  <autoFilter ref="B2:AA231" xr:uid="{00000000-0009-0000-0000-000002000000}">
    <sortState xmlns:xlrd2="http://schemas.microsoft.com/office/spreadsheetml/2017/richdata2" ref="B3:AA231">
      <sortCondition descending="1" ref="C2:C231"/>
    </sortState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30"/>
  <sheetViews>
    <sheetView workbookViewId="0">
      <selection activeCell="I34" sqref="I34"/>
    </sheetView>
  </sheetViews>
  <sheetFormatPr defaultRowHeight="16.5" x14ac:dyDescent="0.3"/>
  <cols>
    <col min="1" max="1" width="9.25" customWidth="1"/>
    <col min="2" max="2" width="18" customWidth="1"/>
    <col min="3" max="7" width="9.75" hidden="1" customWidth="1"/>
    <col min="8" max="18" width="9.75" customWidth="1"/>
    <col min="19" max="19" width="10.125" customWidth="1"/>
    <col min="20" max="23" width="9.75" customWidth="1"/>
  </cols>
  <sheetData>
    <row r="2" spans="2:27" x14ac:dyDescent="0.3">
      <c r="B2" s="13" t="s">
        <v>727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2:27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Y3" s="12" t="s">
        <v>579</v>
      </c>
      <c r="Z3" s="12">
        <v>6723</v>
      </c>
      <c r="AA3" s="3" t="s">
        <v>106</v>
      </c>
    </row>
    <row r="4" spans="2:27" x14ac:dyDescent="0.3">
      <c r="B4" s="15">
        <v>3110</v>
      </c>
      <c r="C4" s="16">
        <v>6</v>
      </c>
      <c r="D4" s="16">
        <v>7</v>
      </c>
      <c r="E4" s="16">
        <v>8</v>
      </c>
      <c r="F4" s="16">
        <v>9</v>
      </c>
      <c r="G4" s="16">
        <v>10</v>
      </c>
      <c r="H4" s="16">
        <v>11</v>
      </c>
      <c r="I4" s="16">
        <v>12</v>
      </c>
      <c r="J4" s="16">
        <v>13</v>
      </c>
      <c r="K4" s="16">
        <v>14</v>
      </c>
      <c r="L4" s="16">
        <v>15</v>
      </c>
      <c r="M4" s="16">
        <v>16</v>
      </c>
      <c r="N4" s="16">
        <v>17</v>
      </c>
      <c r="O4" s="16">
        <v>18</v>
      </c>
      <c r="P4" s="16">
        <v>19</v>
      </c>
      <c r="Q4" s="16">
        <v>20</v>
      </c>
      <c r="R4" s="16">
        <v>21</v>
      </c>
      <c r="S4" s="16">
        <v>22</v>
      </c>
      <c r="Y4" s="12" t="s">
        <v>214</v>
      </c>
      <c r="Z4" s="12">
        <v>7287</v>
      </c>
      <c r="AA4" s="3" t="s">
        <v>529</v>
      </c>
    </row>
    <row r="5" spans="2:27" ht="18.75" customHeight="1" x14ac:dyDescent="0.3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Y5" s="12" t="s">
        <v>110</v>
      </c>
      <c r="Z5" s="12">
        <v>7752</v>
      </c>
      <c r="AA5" s="3" t="s">
        <v>295</v>
      </c>
    </row>
    <row r="6" spans="2:27" ht="18" customHeight="1" x14ac:dyDescent="0.3">
      <c r="B6" s="18"/>
      <c r="C6" s="19" t="s">
        <v>728</v>
      </c>
      <c r="D6" s="19" t="s">
        <v>729</v>
      </c>
      <c r="E6" s="19" t="s">
        <v>730</v>
      </c>
      <c r="F6" s="19" t="s">
        <v>731</v>
      </c>
      <c r="G6" s="19" t="s">
        <v>732</v>
      </c>
      <c r="H6" s="19" t="s">
        <v>630</v>
      </c>
      <c r="I6" s="19" t="s">
        <v>733</v>
      </c>
      <c r="J6" s="19" t="s">
        <v>734</v>
      </c>
      <c r="K6" s="19" t="s">
        <v>735</v>
      </c>
      <c r="L6" s="19" t="s">
        <v>634</v>
      </c>
      <c r="M6" s="19" t="s">
        <v>635</v>
      </c>
      <c r="N6" s="19" t="s">
        <v>636</v>
      </c>
      <c r="O6" s="19" t="s">
        <v>637</v>
      </c>
      <c r="P6" s="19" t="s">
        <v>638</v>
      </c>
      <c r="Q6" s="19" t="s">
        <v>639</v>
      </c>
      <c r="R6" s="19" t="s">
        <v>640</v>
      </c>
      <c r="S6" s="20" t="s">
        <v>641</v>
      </c>
      <c r="T6" s="19" t="s">
        <v>736</v>
      </c>
      <c r="U6" s="19" t="s">
        <v>737</v>
      </c>
      <c r="V6" s="19" t="s">
        <v>738</v>
      </c>
      <c r="W6" s="19" t="s">
        <v>739</v>
      </c>
      <c r="Y6" s="12" t="s">
        <v>436</v>
      </c>
      <c r="Z6" s="12">
        <v>3636</v>
      </c>
      <c r="AA6" s="3" t="s">
        <v>612</v>
      </c>
    </row>
    <row r="7" spans="2:27" x14ac:dyDescent="0.3">
      <c r="B7" s="21" t="s">
        <v>740</v>
      </c>
      <c r="C7" s="22">
        <f>VLOOKUP($B$4,Revenue!$B:$W,C4,FALSE)</f>
        <v>20568</v>
      </c>
      <c r="D7" s="22">
        <f>VLOOKUP($B$4,Revenue!$B:$W,D4,FALSE)</f>
        <v>21034</v>
      </c>
      <c r="E7" s="22">
        <f>VLOOKUP($B$4,Revenue!$B:$W,E4,FALSE)</f>
        <v>21931</v>
      </c>
      <c r="F7" s="22">
        <f>VLOOKUP($B$4,Revenue!$B:$W,F4,FALSE)</f>
        <v>23827</v>
      </c>
      <c r="G7" s="22">
        <f>VLOOKUP($B$4,Revenue!$B:$W,G4,FALSE)</f>
        <v>23210</v>
      </c>
      <c r="H7" s="22">
        <f>VLOOKUP($B$4,Revenue!$B:$W,H4,FALSE)</f>
        <v>21725</v>
      </c>
      <c r="I7" s="22">
        <f>VLOOKUP($B$4,Revenue!$B:$W,I4,FALSE)</f>
        <v>18767</v>
      </c>
      <c r="J7" s="22">
        <f>VLOOKUP($B$4,Revenue!$B:$W,J4,FALSE)</f>
        <v>20297</v>
      </c>
      <c r="K7" s="22">
        <f>VLOOKUP($B$4,Revenue!$B:$W,K4,FALSE)</f>
        <v>22437</v>
      </c>
      <c r="L7" s="22">
        <f>VLOOKUP($B$4,Revenue!$B:$W,L4,FALSE)</f>
        <v>25307</v>
      </c>
      <c r="M7" s="22">
        <f>VLOOKUP($B$4,Revenue!$B:$W,M4,FALSE)</f>
        <v>25212</v>
      </c>
      <c r="N7" s="22">
        <f>VLOOKUP($B$4,Revenue!$B:$W,N4,FALSE)</f>
        <v>26115</v>
      </c>
      <c r="O7" s="22">
        <f>VLOOKUP($B$4,Revenue!$B:$W,O4,FALSE)</f>
        <v>26936</v>
      </c>
      <c r="P7" s="22">
        <f>VLOOKUP($B$4,Revenue!$B:$W,P4,FALSE)</f>
        <v>28469</v>
      </c>
      <c r="Q7" s="22">
        <f>VLOOKUP($B$4,Revenue!$B:$W,Q4,FALSE)</f>
        <v>27515</v>
      </c>
      <c r="R7" s="22">
        <f>VLOOKUP($B$4,Revenue!$B:$W,R4,FALSE)</f>
        <v>28231</v>
      </c>
      <c r="S7" s="23">
        <f>VLOOKUP($B$4,Revenue!$B:$W,S4,FALSE)</f>
        <v>29181</v>
      </c>
      <c r="T7" s="22"/>
      <c r="U7" s="22"/>
      <c r="V7" s="22"/>
      <c r="W7" s="22"/>
      <c r="Y7" s="12" t="s">
        <v>77</v>
      </c>
      <c r="Z7" s="12">
        <v>8934</v>
      </c>
      <c r="AA7" s="3" t="s">
        <v>554</v>
      </c>
    </row>
    <row r="8" spans="2:27" x14ac:dyDescent="0.3">
      <c r="B8" s="21" t="s">
        <v>741</v>
      </c>
      <c r="C8" s="22">
        <f>VLOOKUP($B$4,'Operating Income'!$B:$W,C4,FALSE)</f>
        <v>2238</v>
      </c>
      <c r="D8" s="22">
        <f>VLOOKUP($B$4,'Operating Income'!$B:$W,D4,FALSE)</f>
        <v>1724</v>
      </c>
      <c r="E8" s="22">
        <f>VLOOKUP($B$4,'Operating Income'!$B:$W,E4,FALSE)</f>
        <v>1612</v>
      </c>
      <c r="F8" s="22">
        <f>VLOOKUP($B$4,'Operating Income'!$B:$W,F4,FALSE)</f>
        <v>2614</v>
      </c>
      <c r="G8" s="22">
        <f>VLOOKUP($B$4,'Operating Income'!$B:$W,G4,FALSE)</f>
        <v>1983</v>
      </c>
      <c r="H8" s="22">
        <f>VLOOKUP($B$4,'Operating Income'!$B:$W,H4,FALSE)</f>
        <v>1250</v>
      </c>
      <c r="I8" s="22">
        <f>VLOOKUP($B$4,'Operating Income'!$B:$W,I4,FALSE)</f>
        <v>-967</v>
      </c>
      <c r="J8" s="22">
        <f>VLOOKUP($B$4,'Operating Income'!$B:$W,J4,FALSE)</f>
        <v>886</v>
      </c>
      <c r="K8" s="22">
        <f>VLOOKUP($B$4,'Operating Income'!$B:$W,K4,FALSE)</f>
        <v>2234</v>
      </c>
      <c r="L8" s="22">
        <f>VLOOKUP($B$4,'Operating Income'!$B:$W,L4,FALSE)</f>
        <v>2585</v>
      </c>
      <c r="M8" s="22">
        <f>VLOOKUP($B$4,'Operating Income'!$B:$W,M4,FALSE)</f>
        <v>2684</v>
      </c>
      <c r="N8" s="22">
        <f>VLOOKUP($B$4,'Operating Income'!$B:$W,N4,FALSE)</f>
        <v>3908</v>
      </c>
      <c r="O8" s="22">
        <f>VLOOKUP($B$4,'Operating Income'!$B:$W,O4,FALSE)</f>
        <v>3438</v>
      </c>
      <c r="P8" s="22">
        <f>VLOOKUP($B$4,'Operating Income'!$B:$W,P4,FALSE)</f>
        <v>4466</v>
      </c>
      <c r="Q8" s="22">
        <f>VLOOKUP($B$4,'Operating Income'!$B:$W,Q4,FALSE)</f>
        <v>4633</v>
      </c>
      <c r="R8" s="22">
        <f>VLOOKUP($B$4,'Operating Income'!$B:$W,R4,FALSE)</f>
        <v>4299</v>
      </c>
      <c r="S8" s="23">
        <f>VLOOKUP($B$4,'Operating Income'!$B:$W,S4,FALSE)</f>
        <v>5157</v>
      </c>
      <c r="T8" s="22"/>
      <c r="U8" s="22"/>
      <c r="V8" s="22"/>
      <c r="W8" s="22"/>
      <c r="Y8" s="12" t="s">
        <v>216</v>
      </c>
      <c r="Z8" s="12">
        <v>7250</v>
      </c>
      <c r="AA8" s="3" t="s">
        <v>496</v>
      </c>
    </row>
    <row r="9" spans="2:27" x14ac:dyDescent="0.3">
      <c r="B9" s="21" t="s">
        <v>742</v>
      </c>
      <c r="C9" s="22">
        <f>AVERAGE(C8:C8)</f>
        <v>2238</v>
      </c>
      <c r="D9" s="22">
        <f>AVERAGE(C8:D8)</f>
        <v>1981</v>
      </c>
      <c r="E9" s="22">
        <f>AVERAGE(C8:E8)</f>
        <v>1858</v>
      </c>
      <c r="F9" s="22">
        <f t="shared" ref="F9:R9" si="0">AVERAGE(C8:F8)</f>
        <v>2047</v>
      </c>
      <c r="G9" s="22">
        <f t="shared" si="0"/>
        <v>1983.25</v>
      </c>
      <c r="H9" s="22">
        <f t="shared" si="0"/>
        <v>1864.75</v>
      </c>
      <c r="I9" s="22">
        <f t="shared" si="0"/>
        <v>1220</v>
      </c>
      <c r="J9" s="22">
        <f>AVERAGE(G8:J8)</f>
        <v>788</v>
      </c>
      <c r="K9" s="22">
        <f t="shared" si="0"/>
        <v>850.75</v>
      </c>
      <c r="L9" s="22">
        <f t="shared" si="0"/>
        <v>1184.5</v>
      </c>
      <c r="M9" s="22">
        <f t="shared" si="0"/>
        <v>2097.25</v>
      </c>
      <c r="N9" s="22">
        <f t="shared" si="0"/>
        <v>2852.75</v>
      </c>
      <c r="O9" s="22">
        <f t="shared" si="0"/>
        <v>3153.75</v>
      </c>
      <c r="P9" s="22">
        <f t="shared" si="0"/>
        <v>3624</v>
      </c>
      <c r="Q9" s="22">
        <f t="shared" si="0"/>
        <v>4111.25</v>
      </c>
      <c r="R9" s="22">
        <f t="shared" si="0"/>
        <v>4209</v>
      </c>
      <c r="S9" s="23">
        <f>AVERAGE(P8:S8)</f>
        <v>4638.75</v>
      </c>
      <c r="T9" s="22"/>
      <c r="U9" s="22"/>
      <c r="V9" s="22"/>
      <c r="W9" s="22"/>
      <c r="Y9" s="12" t="s">
        <v>66</v>
      </c>
      <c r="Z9" s="12">
        <v>7186</v>
      </c>
      <c r="AA9" s="3" t="s">
        <v>213</v>
      </c>
    </row>
    <row r="10" spans="2:27" x14ac:dyDescent="0.3">
      <c r="B10" s="21" t="s">
        <v>743</v>
      </c>
      <c r="C10" s="22">
        <f>SUM(C8:C8)</f>
        <v>2238</v>
      </c>
      <c r="D10" s="22">
        <f>SUM(C8:D8)</f>
        <v>3962</v>
      </c>
      <c r="E10" s="22">
        <f>SUM(C8:E8)</f>
        <v>5574</v>
      </c>
      <c r="F10" s="22">
        <f t="shared" ref="F10:S10" si="1">SUM(C8:F8)</f>
        <v>8188</v>
      </c>
      <c r="G10" s="22">
        <f t="shared" si="1"/>
        <v>7933</v>
      </c>
      <c r="H10" s="22">
        <f t="shared" si="1"/>
        <v>7459</v>
      </c>
      <c r="I10" s="22">
        <f t="shared" si="1"/>
        <v>4880</v>
      </c>
      <c r="J10" s="22">
        <f t="shared" si="1"/>
        <v>3152</v>
      </c>
      <c r="K10" s="22">
        <f t="shared" si="1"/>
        <v>3403</v>
      </c>
      <c r="L10" s="22">
        <f t="shared" si="1"/>
        <v>4738</v>
      </c>
      <c r="M10" s="22">
        <f t="shared" si="1"/>
        <v>8389</v>
      </c>
      <c r="N10" s="22">
        <f t="shared" si="1"/>
        <v>11411</v>
      </c>
      <c r="O10" s="22">
        <f t="shared" si="1"/>
        <v>12615</v>
      </c>
      <c r="P10" s="22">
        <f t="shared" si="1"/>
        <v>14496</v>
      </c>
      <c r="Q10" s="22">
        <f t="shared" si="1"/>
        <v>16445</v>
      </c>
      <c r="R10" s="22">
        <f t="shared" si="1"/>
        <v>16836</v>
      </c>
      <c r="S10" s="23">
        <f t="shared" si="1"/>
        <v>18555</v>
      </c>
      <c r="T10" s="22"/>
      <c r="U10" s="22"/>
      <c r="V10" s="22"/>
      <c r="W10" s="22"/>
      <c r="Y10" s="12" t="s">
        <v>434</v>
      </c>
      <c r="Z10" s="12">
        <v>6486</v>
      </c>
      <c r="AA10" s="3" t="s">
        <v>532</v>
      </c>
    </row>
    <row r="11" spans="2:27" x14ac:dyDescent="0.3">
      <c r="B11" s="21" t="s">
        <v>744</v>
      </c>
      <c r="C11" s="24"/>
      <c r="D11" s="24">
        <f t="shared" ref="D11:S11" si="2">D9/C9-1</f>
        <v>-0.11483467381590706</v>
      </c>
      <c r="E11" s="24">
        <f t="shared" si="2"/>
        <v>-6.2089853609288204E-2</v>
      </c>
      <c r="F11" s="24">
        <f t="shared" si="2"/>
        <v>0.10172228202368139</v>
      </c>
      <c r="G11" s="24">
        <f t="shared" si="2"/>
        <v>-3.1143136297020035E-2</v>
      </c>
      <c r="H11" s="24">
        <f>H9/G9-1</f>
        <v>-5.9750409681079031E-2</v>
      </c>
      <c r="I11" s="24">
        <f t="shared" si="2"/>
        <v>-0.34575680386110741</v>
      </c>
      <c r="J11" s="24">
        <f t="shared" si="2"/>
        <v>-0.35409836065573774</v>
      </c>
      <c r="K11" s="24">
        <f t="shared" si="2"/>
        <v>7.9631979695431454E-2</v>
      </c>
      <c r="L11" s="24">
        <f t="shared" si="2"/>
        <v>0.39230091096091679</v>
      </c>
      <c r="M11" s="24">
        <f t="shared" si="2"/>
        <v>0.77057830308146902</v>
      </c>
      <c r="N11" s="24">
        <f t="shared" si="2"/>
        <v>0.36023363928954577</v>
      </c>
      <c r="O11" s="24">
        <f t="shared" si="2"/>
        <v>0.10551222504600832</v>
      </c>
      <c r="P11" s="25">
        <f t="shared" si="2"/>
        <v>0.14910820451843043</v>
      </c>
      <c r="Q11" s="25">
        <f t="shared" si="2"/>
        <v>0.13445088300220753</v>
      </c>
      <c r="R11" s="25">
        <f t="shared" si="2"/>
        <v>2.3776223776223793E-2</v>
      </c>
      <c r="S11" s="26">
        <f t="shared" si="2"/>
        <v>0.10210263720598722</v>
      </c>
      <c r="T11" s="27"/>
      <c r="U11" s="27"/>
      <c r="V11" s="27"/>
      <c r="W11" s="27"/>
      <c r="Y11" s="12"/>
      <c r="Z11" s="12">
        <v>3110</v>
      </c>
      <c r="AA11" s="3" t="s">
        <v>388</v>
      </c>
    </row>
    <row r="12" spans="2:27" x14ac:dyDescent="0.3">
      <c r="B12" s="21" t="s">
        <v>726</v>
      </c>
      <c r="C12" s="28">
        <f t="shared" ref="C12:F12" si="3">IFERROR(C8/C7,"-")</f>
        <v>0.1088098016336056</v>
      </c>
      <c r="D12" s="28">
        <f t="shared" si="3"/>
        <v>8.1962536845107917E-2</v>
      </c>
      <c r="E12" s="28">
        <f t="shared" si="3"/>
        <v>7.3503260225251929E-2</v>
      </c>
      <c r="F12" s="28">
        <f t="shared" si="3"/>
        <v>0.10970747471356025</v>
      </c>
      <c r="G12" s="28">
        <f>IFERROR(G8/G7,"-")</f>
        <v>8.5437311503662211E-2</v>
      </c>
      <c r="H12" s="28">
        <f t="shared" ref="H12:S12" si="4">IFERROR(H8/H7,"-")</f>
        <v>5.7537399309551207E-2</v>
      </c>
      <c r="I12" s="28">
        <f t="shared" si="4"/>
        <v>-5.1526615868279425E-2</v>
      </c>
      <c r="J12" s="28">
        <f t="shared" si="4"/>
        <v>4.3651771197713948E-2</v>
      </c>
      <c r="K12" s="28">
        <f t="shared" si="4"/>
        <v>9.9567678388376338E-2</v>
      </c>
      <c r="L12" s="28">
        <f t="shared" si="4"/>
        <v>0.1021456514007982</v>
      </c>
      <c r="M12" s="28">
        <f t="shared" si="4"/>
        <v>0.10645724258289703</v>
      </c>
      <c r="N12" s="28">
        <f t="shared" si="4"/>
        <v>0.14964579743442466</v>
      </c>
      <c r="O12" s="28">
        <f t="shared" si="4"/>
        <v>0.12763587763587764</v>
      </c>
      <c r="P12" s="28">
        <f t="shared" si="4"/>
        <v>0.15687238750922056</v>
      </c>
      <c r="Q12" s="28">
        <f t="shared" si="4"/>
        <v>0.16838088315464292</v>
      </c>
      <c r="R12" s="28">
        <f t="shared" si="4"/>
        <v>0.1522794091601431</v>
      </c>
      <c r="S12" s="29">
        <f t="shared" si="4"/>
        <v>0.17672458106302047</v>
      </c>
      <c r="T12" s="30"/>
      <c r="U12" s="30"/>
      <c r="V12" s="30"/>
      <c r="W12" s="30"/>
      <c r="Y12" s="12" t="s">
        <v>144</v>
      </c>
    </row>
    <row r="13" spans="2:27" x14ac:dyDescent="0.3">
      <c r="B13" s="21" t="s">
        <v>745</v>
      </c>
      <c r="C13" s="30"/>
      <c r="D13" s="30"/>
      <c r="E13" s="30"/>
      <c r="F13" s="30"/>
      <c r="G13" s="30">
        <f t="shared" ref="G13:R13" si="5">G8/C8-1</f>
        <v>-0.113941018766756</v>
      </c>
      <c r="H13" s="30">
        <f t="shared" si="5"/>
        <v>-0.27494199535962882</v>
      </c>
      <c r="I13" s="30">
        <f t="shared" si="5"/>
        <v>-1.5998759305210917</v>
      </c>
      <c r="J13" s="30">
        <f t="shared" si="5"/>
        <v>-0.6610558530986993</v>
      </c>
      <c r="K13" s="30">
        <f t="shared" si="5"/>
        <v>0.12657589510842149</v>
      </c>
      <c r="L13" s="30">
        <f t="shared" si="5"/>
        <v>1.0680000000000001</v>
      </c>
      <c r="M13" s="30">
        <f t="shared" si="5"/>
        <v>-3.7755946225439505</v>
      </c>
      <c r="N13" s="30">
        <f t="shared" si="5"/>
        <v>3.4108352144469523</v>
      </c>
      <c r="O13" s="30">
        <f t="shared" si="5"/>
        <v>0.53894359892569388</v>
      </c>
      <c r="P13" s="31">
        <f t="shared" si="5"/>
        <v>0.72765957446808516</v>
      </c>
      <c r="Q13" s="31">
        <f t="shared" si="5"/>
        <v>0.72615499254843519</v>
      </c>
      <c r="R13" s="31">
        <f t="shared" si="5"/>
        <v>0.10005117707267153</v>
      </c>
      <c r="S13" s="32">
        <f>S8/O8-1</f>
        <v>0.5</v>
      </c>
      <c r="T13" s="30"/>
      <c r="U13" s="30"/>
      <c r="V13" s="30"/>
      <c r="W13" s="30"/>
      <c r="Y13" s="12" t="s">
        <v>36</v>
      </c>
    </row>
    <row r="14" spans="2:27" x14ac:dyDescent="0.3">
      <c r="B14" s="21" t="s">
        <v>746</v>
      </c>
      <c r="G14" s="30">
        <f>G7/C7-1</f>
        <v>0.12845196421625826</v>
      </c>
      <c r="H14" s="30">
        <f t="shared" ref="H14:S14" si="6">H7/D7-1</f>
        <v>3.285157364267377E-2</v>
      </c>
      <c r="I14" s="30">
        <f t="shared" si="6"/>
        <v>-0.1442706670922439</v>
      </c>
      <c r="J14" s="30">
        <f t="shared" si="6"/>
        <v>-0.14815125697737863</v>
      </c>
      <c r="K14" s="30">
        <f t="shared" si="6"/>
        <v>-3.3304610081861252E-2</v>
      </c>
      <c r="L14" s="30">
        <f t="shared" si="6"/>
        <v>0.16487917146144992</v>
      </c>
      <c r="M14" s="30">
        <f t="shared" si="6"/>
        <v>0.34342196408589554</v>
      </c>
      <c r="N14" s="30">
        <f t="shared" si="6"/>
        <v>0.28664334630733612</v>
      </c>
      <c r="O14" s="30">
        <f t="shared" si="6"/>
        <v>0.2005170031644159</v>
      </c>
      <c r="P14" s="30">
        <f t="shared" si="6"/>
        <v>0.12494566720670175</v>
      </c>
      <c r="Q14" s="30">
        <f t="shared" si="6"/>
        <v>9.1345391083611061E-2</v>
      </c>
      <c r="R14" s="30">
        <f t="shared" si="6"/>
        <v>8.1026230135937238E-2</v>
      </c>
      <c r="S14" s="32">
        <f t="shared" si="6"/>
        <v>8.3345708345708314E-2</v>
      </c>
      <c r="Y14" s="12" t="s">
        <v>384</v>
      </c>
    </row>
    <row r="15" spans="2:27" x14ac:dyDescent="0.3">
      <c r="Y15" s="12" t="s">
        <v>514</v>
      </c>
    </row>
    <row r="16" spans="2:27" x14ac:dyDescent="0.3">
      <c r="Y16" s="12"/>
    </row>
    <row r="17" spans="25:25" x14ac:dyDescent="0.3">
      <c r="Y17" s="12" t="s">
        <v>201</v>
      </c>
    </row>
    <row r="18" spans="25:25" x14ac:dyDescent="0.3">
      <c r="Y18" s="12" t="s">
        <v>552</v>
      </c>
    </row>
    <row r="19" spans="25:25" x14ac:dyDescent="0.3">
      <c r="Y19" s="12" t="s">
        <v>605</v>
      </c>
    </row>
    <row r="20" spans="25:25" x14ac:dyDescent="0.3">
      <c r="Y20" s="12" t="s">
        <v>168</v>
      </c>
    </row>
    <row r="21" spans="25:25" x14ac:dyDescent="0.3">
      <c r="Y21" s="12"/>
    </row>
    <row r="22" spans="25:25" x14ac:dyDescent="0.3">
      <c r="Y22" s="12" t="s">
        <v>26</v>
      </c>
    </row>
    <row r="23" spans="25:25" x14ac:dyDescent="0.3">
      <c r="Y23" s="12" t="s">
        <v>309</v>
      </c>
    </row>
    <row r="24" spans="25:25" x14ac:dyDescent="0.3">
      <c r="Y24" s="12"/>
    </row>
    <row r="25" spans="25:25" x14ac:dyDescent="0.3">
      <c r="Y25" s="12" t="s">
        <v>69</v>
      </c>
    </row>
    <row r="26" spans="25:25" x14ac:dyDescent="0.3">
      <c r="Y26" s="12" t="s">
        <v>104</v>
      </c>
    </row>
    <row r="27" spans="25:25" x14ac:dyDescent="0.3">
      <c r="Y27" s="12" t="s">
        <v>185</v>
      </c>
    </row>
    <row r="28" spans="25:25" x14ac:dyDescent="0.3">
      <c r="Y28" s="12"/>
    </row>
    <row r="29" spans="25:25" x14ac:dyDescent="0.3">
      <c r="Y29" s="12" t="s">
        <v>237</v>
      </c>
    </row>
    <row r="30" spans="25:25" x14ac:dyDescent="0.3">
      <c r="Y30" s="12" t="s">
        <v>267</v>
      </c>
    </row>
  </sheetData>
  <phoneticPr fontId="6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2026-02-06T10:15:18Z</dcterms:created>
  <dcterms:modified xsi:type="dcterms:W3CDTF">2026-02-06T12:14:28Z</dcterms:modified>
</cp:coreProperties>
</file>