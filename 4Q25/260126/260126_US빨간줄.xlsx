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user\Desktop\툴 개발\finchat 키인\260126\"/>
    </mc:Choice>
  </mc:AlternateContent>
  <xr:revisionPtr revIDLastSave="0" documentId="13_ncr:1_{6DC7FEEC-7802-4C5C-B3BD-C62E34FE60D2}" xr6:coauthVersionLast="47" xr6:coauthVersionMax="47" xr10:uidLastSave="{00000000-0000-0000-0000-000000000000}"/>
  <bookViews>
    <workbookView xWindow="4515" yWindow="1215" windowWidth="24465" windowHeight="13785" activeTab="3" xr2:uid="{00000000-000D-0000-FFFF-FFFF00000000}"/>
  </bookViews>
  <sheets>
    <sheet name="기업 정보" sheetId="3" r:id="rId1"/>
    <sheet name="매출 DATA" sheetId="4" r:id="rId2"/>
    <sheet name="영업이익 DATA" sheetId="1" r:id="rId3"/>
    <sheet name="빨간줄" sheetId="2" r:id="rId4"/>
  </sheets>
  <definedNames>
    <definedName name="_xlnm._FilterDatabase" localSheetId="0" hidden="1">'기업 정보'!$B$4:$G$4</definedName>
    <definedName name="_xlnm._FilterDatabase" localSheetId="1" hidden="1">'매출 DATA'!$B$2:$X$33</definedName>
    <definedName name="_xlnm._FilterDatabase" localSheetId="2" hidden="1">'영업이익 DATA'!$B$2:$W$33</definedName>
  </definedName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2" l="1"/>
  <c r="I14" i="2"/>
  <c r="J14" i="2"/>
  <c r="K14" i="2"/>
  <c r="L14" i="2"/>
  <c r="M14" i="2"/>
  <c r="N14" i="2"/>
  <c r="O14" i="2"/>
  <c r="P14" i="2"/>
  <c r="Q14" i="2"/>
  <c r="R14" i="2"/>
  <c r="S14" i="2"/>
  <c r="C7" i="2"/>
  <c r="G14" i="2" s="1"/>
  <c r="D7" i="2"/>
  <c r="E7" i="2"/>
  <c r="F7" i="2"/>
  <c r="G7" i="2" l="1"/>
  <c r="H7" i="2"/>
  <c r="I7" i="2"/>
  <c r="J7" i="2"/>
  <c r="K7" i="2"/>
  <c r="L7" i="2"/>
  <c r="M7" i="2"/>
  <c r="N7" i="2"/>
  <c r="O7" i="2"/>
  <c r="P7" i="2"/>
  <c r="Q7" i="2"/>
  <c r="S7" i="2"/>
  <c r="R7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S8" i="2"/>
  <c r="R8" i="2"/>
  <c r="L12" i="2" l="1"/>
  <c r="P10" i="2"/>
  <c r="K9" i="2"/>
  <c r="L9" i="2"/>
  <c r="M9" i="2"/>
  <c r="F10" i="2"/>
  <c r="R13" i="2"/>
  <c r="Q10" i="2"/>
  <c r="N9" i="2"/>
  <c r="G10" i="2"/>
  <c r="Q13" i="2"/>
  <c r="I10" i="2"/>
  <c r="S13" i="2"/>
  <c r="H10" i="2"/>
  <c r="G13" i="2"/>
  <c r="R10" i="2"/>
  <c r="S10" i="2"/>
  <c r="C9" i="2"/>
  <c r="O9" i="2"/>
  <c r="J10" i="2"/>
  <c r="M12" i="2"/>
  <c r="H13" i="2"/>
  <c r="D9" i="2"/>
  <c r="D11" i="2" s="1"/>
  <c r="P9" i="2"/>
  <c r="P11" i="2" s="1"/>
  <c r="K10" i="2"/>
  <c r="N12" i="2"/>
  <c r="I13" i="2"/>
  <c r="E9" i="2"/>
  <c r="Q9" i="2"/>
  <c r="L10" i="2"/>
  <c r="C12" i="2"/>
  <c r="O12" i="2"/>
  <c r="J13" i="2"/>
  <c r="F9" i="2"/>
  <c r="R9" i="2"/>
  <c r="M10" i="2"/>
  <c r="D12" i="2"/>
  <c r="P12" i="2"/>
  <c r="K13" i="2"/>
  <c r="G9" i="2"/>
  <c r="S9" i="2"/>
  <c r="N10" i="2"/>
  <c r="E12" i="2"/>
  <c r="Q12" i="2"/>
  <c r="L13" i="2"/>
  <c r="H9" i="2"/>
  <c r="C10" i="2"/>
  <c r="O10" i="2"/>
  <c r="F12" i="2"/>
  <c r="R12" i="2"/>
  <c r="M13" i="2"/>
  <c r="I9" i="2"/>
  <c r="D10" i="2"/>
  <c r="G12" i="2"/>
  <c r="S12" i="2"/>
  <c r="N13" i="2"/>
  <c r="J9" i="2"/>
  <c r="E10" i="2"/>
  <c r="H12" i="2"/>
  <c r="C13" i="2"/>
  <c r="O13" i="2"/>
  <c r="I12" i="2"/>
  <c r="D13" i="2"/>
  <c r="P13" i="2"/>
  <c r="J12" i="2"/>
  <c r="E13" i="2"/>
  <c r="K12" i="2"/>
  <c r="F13" i="2"/>
  <c r="N11" i="2" l="1"/>
  <c r="L11" i="2"/>
  <c r="M11" i="2"/>
  <c r="O11" i="2"/>
  <c r="H11" i="2"/>
  <c r="F11" i="2"/>
  <c r="R11" i="2"/>
  <c r="J11" i="2"/>
  <c r="S11" i="2"/>
  <c r="G11" i="2"/>
  <c r="Q11" i="2"/>
  <c r="I11" i="2"/>
  <c r="E11" i="2"/>
  <c r="K11" i="2"/>
</calcChain>
</file>

<file path=xl/sharedStrings.xml><?xml version="1.0" encoding="utf-8"?>
<sst xmlns="http://schemas.openxmlformats.org/spreadsheetml/2006/main" count="473" uniqueCount="224">
  <si>
    <t>Ticker</t>
  </si>
  <si>
    <t>Industry</t>
  </si>
  <si>
    <t>Latest_Date</t>
  </si>
  <si>
    <t>Recent_Avg</t>
  </si>
  <si>
    <t>4Q21</t>
  </si>
  <si>
    <t>1Q22</t>
  </si>
  <si>
    <t>2Q22</t>
  </si>
  <si>
    <t>3Q22</t>
  </si>
  <si>
    <t>4Q22</t>
  </si>
  <si>
    <t>1Q23</t>
  </si>
  <si>
    <t>2Q23</t>
  </si>
  <si>
    <t>3Q23</t>
  </si>
  <si>
    <t>4Q23</t>
  </si>
  <si>
    <t>1Q24</t>
  </si>
  <si>
    <t>2Q24</t>
  </si>
  <si>
    <t>3Q24</t>
  </si>
  <si>
    <t>4Q24</t>
  </si>
  <si>
    <t>1Q25</t>
  </si>
  <si>
    <t>2Q25</t>
  </si>
  <si>
    <t>3Q25</t>
  </si>
  <si>
    <t>4Q25</t>
  </si>
  <si>
    <t>Highlight_Quarters</t>
  </si>
  <si>
    <t>NUE</t>
  </si>
  <si>
    <t>Steel</t>
  </si>
  <si>
    <t>('Q4 2025', "Dec '25 Dec 31, 2025")</t>
  </si>
  <si>
    <t>{'3Q25'}</t>
  </si>
  <si>
    <t>FSBC</t>
  </si>
  <si>
    <t>Banks - Regional</t>
  </si>
  <si>
    <t>('Q3 2025', "Sep '25 Sep 30, 2025")</t>
  </si>
  <si>
    <t>{'1Q23'}</t>
  </si>
  <si>
    <t>HBT</t>
  </si>
  <si>
    <t>set()</t>
  </si>
  <si>
    <t>NBN</t>
  </si>
  <si>
    <t>('Q1 2026', "Sep '25 Sep 30, 2025")</t>
  </si>
  <si>
    <t>{'3Q25', '4Q23', '1Q25'}</t>
  </si>
  <si>
    <t>MAC</t>
  </si>
  <si>
    <t>REIT - Retail</t>
  </si>
  <si>
    <t>{'4Q25', '3Q23', '1Q25', '2Q25', '1Q23'}</t>
  </si>
  <si>
    <t>MRTN</t>
  </si>
  <si>
    <t>Trucking</t>
  </si>
  <si>
    <t>FSUN</t>
  </si>
  <si>
    <t>{'4Q22', '2Q23', '3Q23', '2Q25', '1Q23'}</t>
  </si>
  <si>
    <t>LKFN</t>
  </si>
  <si>
    <t>GABC</t>
  </si>
  <si>
    <t>{'3Q25', '4Q25', '2Q23'}</t>
  </si>
  <si>
    <t>NWBI</t>
  </si>
  <si>
    <t>{'3Q25', '2Q25'}</t>
  </si>
  <si>
    <t>EFSC</t>
  </si>
  <si>
    <t>{'4Q25', '4Q22'}</t>
  </si>
  <si>
    <t>FRME</t>
  </si>
  <si>
    <t>{'1Q23', '3Q23', '1Q25'}</t>
  </si>
  <si>
    <t>DX</t>
  </si>
  <si>
    <t>REIT - Mortgage</t>
  </si>
  <si>
    <t>{'4Q24', '3Q25', '4Q22', '4Q25', '3Q23', '3Q24'}</t>
  </si>
  <si>
    <t>NBTB</t>
  </si>
  <si>
    <t>{'4Q25', '4Q24'}</t>
  </si>
  <si>
    <t>NOTE</t>
  </si>
  <si>
    <t>Information Technology Services</t>
  </si>
  <si>
    <t>{'4Q22'}</t>
  </si>
  <si>
    <t>PRK</t>
  </si>
  <si>
    <t>{'1Q25'}</t>
  </si>
  <si>
    <t>AGYS</t>
  </si>
  <si>
    <t>Software - Application</t>
  </si>
  <si>
    <t>('Q3 2026', "Dec '25 Dec 31, 2025")</t>
  </si>
  <si>
    <t>{'3Q25', '4Q22', '4Q25', '2Q24', '1Q25', '4Q23'}</t>
  </si>
  <si>
    <t>WSFS</t>
  </si>
  <si>
    <t>{'4Q22', '1Q23'}</t>
  </si>
  <si>
    <t>PCH</t>
  </si>
  <si>
    <t>REIT - Specialty</t>
  </si>
  <si>
    <t>{'2Q25', '4Q25', '3Q24', '1Q25'}</t>
  </si>
  <si>
    <t>SANM</t>
  </si>
  <si>
    <t>Electronic Components</t>
  </si>
  <si>
    <t>('Q1 2026', "Dec '25 Dec 27, 2025")</t>
  </si>
  <si>
    <t>WAL</t>
  </si>
  <si>
    <t>CR</t>
  </si>
  <si>
    <t>Specialty Industrial Machinery</t>
  </si>
  <si>
    <t>{'4Q23', '3Q23'}</t>
  </si>
  <si>
    <t>AGNC</t>
  </si>
  <si>
    <t>{'3Q25', '1Q24', '4Q25', '3Q23', '3Q24'}</t>
  </si>
  <si>
    <t>STR</t>
  </si>
  <si>
    <t>N/A</t>
  </si>
  <si>
    <t>Jun '25 Jun 30, 2025</t>
  </si>
  <si>
    <t>{'4Q24', '4Q22', '3Q23', '2Q25', '1Q23'}</t>
  </si>
  <si>
    <t>GGG</t>
  </si>
  <si>
    <t>('Q4 2025', "Dec '25 Dec 26, 2025")</t>
  </si>
  <si>
    <t>ARE</t>
  </si>
  <si>
    <t>REIT - Office</t>
  </si>
  <si>
    <t>STLD</t>
  </si>
  <si>
    <t>WRB</t>
  </si>
  <si>
    <t>Insurance - Property &amp; Casualty</t>
  </si>
  <si>
    <t>{'2Q23'}</t>
  </si>
  <si>
    <t>BRO</t>
  </si>
  <si>
    <t>Insurance Brokers</t>
  </si>
  <si>
    <t>BOH</t>
  </si>
  <si>
    <t>{'4Q25'}</t>
  </si>
  <si>
    <t>STM</t>
  </si>
  <si>
    <t>Semiconductors</t>
  </si>
  <si>
    <t>('Q3 2025', "Sep '25 Sep 27, 2025")</t>
  </si>
  <si>
    <t>최근 분기 빨간줄</t>
    <phoneticPr fontId="2" type="noConversion"/>
  </si>
  <si>
    <t>(단위: mil $)</t>
    <phoneticPr fontId="2" type="noConversion"/>
  </si>
  <si>
    <t>4Q21</t>
    <phoneticPr fontId="9" type="noConversion"/>
  </si>
  <si>
    <t>1Q22</t>
    <phoneticPr fontId="9" type="noConversion"/>
  </si>
  <si>
    <t>2Q22</t>
    <phoneticPr fontId="9" type="noConversion"/>
  </si>
  <si>
    <t>3Q22</t>
    <phoneticPr fontId="9" type="noConversion"/>
  </si>
  <si>
    <t>4Q22</t>
    <phoneticPr fontId="9" type="noConversion"/>
  </si>
  <si>
    <t>2Q23</t>
    <phoneticPr fontId="9" type="noConversion"/>
  </si>
  <si>
    <t>3Q23</t>
    <phoneticPr fontId="9" type="noConversion"/>
  </si>
  <si>
    <t>4Q23</t>
    <phoneticPr fontId="9" type="noConversion"/>
  </si>
  <si>
    <t>1Q26</t>
    <phoneticPr fontId="9" type="noConversion"/>
  </si>
  <si>
    <t>2Q26</t>
    <phoneticPr fontId="9" type="noConversion"/>
  </si>
  <si>
    <t>3Q26</t>
    <phoneticPr fontId="9" type="noConversion"/>
  </si>
  <si>
    <t>4Q26</t>
    <phoneticPr fontId="9" type="noConversion"/>
  </si>
  <si>
    <t>Revenue</t>
    <phoneticPr fontId="9" type="noConversion"/>
  </si>
  <si>
    <t>OP</t>
    <phoneticPr fontId="9" type="noConversion"/>
  </si>
  <si>
    <t>Trailing 4Q OP avg.</t>
    <phoneticPr fontId="9" type="noConversion"/>
  </si>
  <si>
    <t>Trailing 4Q OP sum.</t>
    <phoneticPr fontId="9" type="noConversion"/>
  </si>
  <si>
    <t>Trailing OP Delta</t>
    <phoneticPr fontId="9" type="noConversion"/>
  </si>
  <si>
    <t>opm</t>
  </si>
  <si>
    <t>op yoy</t>
    <phoneticPr fontId="9" type="noConversion"/>
  </si>
  <si>
    <t>260126 실적 기업 정보</t>
    <phoneticPr fontId="2" type="noConversion"/>
  </si>
  <si>
    <t>Company</t>
  </si>
  <si>
    <t>Date</t>
  </si>
  <si>
    <t>Time</t>
  </si>
  <si>
    <t>Quarter Ending</t>
  </si>
  <si>
    <t>KFH</t>
  </si>
  <si>
    <t>Kuwait Finance House K.S.C.P.</t>
  </si>
  <si>
    <t>Nucor Corporation</t>
  </si>
  <si>
    <t>After Hours</t>
  </si>
  <si>
    <t>RYA</t>
  </si>
  <si>
    <t>Ryanair Holdings plc</t>
  </si>
  <si>
    <t>Pre Market</t>
  </si>
  <si>
    <t>EPI A</t>
  </si>
  <si>
    <t>Epiroc AB (publ)</t>
  </si>
  <si>
    <t>Brown &amp; Brown, Inc.</t>
  </si>
  <si>
    <t>W. R. Berkley Corporation</t>
  </si>
  <si>
    <t>Steel Dynamics, Inc.</t>
  </si>
  <si>
    <t>SRT3</t>
  </si>
  <si>
    <t>Sartorius Aktiengesellschaft</t>
  </si>
  <si>
    <t>Alexandria Real Estate Equities, Inc.</t>
  </si>
  <si>
    <t>Graco Inc.</t>
  </si>
  <si>
    <t>Strabag SE</t>
  </si>
  <si>
    <t>AGNC Investment Corp.</t>
  </si>
  <si>
    <t>Crane Company</t>
  </si>
  <si>
    <t>Western Alliance Bancorporation</t>
  </si>
  <si>
    <t>Sanmina Corporation</t>
  </si>
  <si>
    <t>SAVE</t>
  </si>
  <si>
    <t>Nordnet AB (publ)</t>
  </si>
  <si>
    <t>GETI B</t>
  </si>
  <si>
    <t>Getinge AB (publ)</t>
  </si>
  <si>
    <t>MOTILALOFS</t>
  </si>
  <si>
    <t>Motilal Oswal Financial Services Limited</t>
  </si>
  <si>
    <t>M44U</t>
  </si>
  <si>
    <t>Mapletree Logistics Trust</t>
  </si>
  <si>
    <t>QIIK</t>
  </si>
  <si>
    <t>Qatar International Islamic Bank (Q.P.S.C)</t>
  </si>
  <si>
    <t>APARINDS</t>
  </si>
  <si>
    <t>APAR Industries Limited</t>
  </si>
  <si>
    <t>FINN</t>
  </si>
  <si>
    <t>First National of Nebraska, Inc.</t>
  </si>
  <si>
    <t>PotlatchDeltic Corporation</t>
  </si>
  <si>
    <t>WSFS Financial Corporation</t>
  </si>
  <si>
    <t>HPOL B</t>
  </si>
  <si>
    <t>HEXPOL AB (publ)</t>
  </si>
  <si>
    <t>Agilysys, Inc.</t>
  </si>
  <si>
    <t>TURSG</t>
  </si>
  <si>
    <t>Türkiye Sigorta A.S.</t>
  </si>
  <si>
    <t>R A</t>
  </si>
  <si>
    <t>Regional S.A.B. de C.V.</t>
  </si>
  <si>
    <t>Bank of Hawaii Corporation</t>
  </si>
  <si>
    <t>Park National Corporation</t>
  </si>
  <si>
    <t>SUMICHEM</t>
  </si>
  <si>
    <t>Sumitomo Chemical India Limited</t>
  </si>
  <si>
    <t>HMS</t>
  </si>
  <si>
    <t>HMS Networks AB (publ)</t>
  </si>
  <si>
    <t>NBT Bancorp Inc.</t>
  </si>
  <si>
    <t>Dynex Capital, Inc.</t>
  </si>
  <si>
    <t>First Merchants Corporation</t>
  </si>
  <si>
    <t>Enterprise Financial Services Corp</t>
  </si>
  <si>
    <t>Northwest Bancshares, Inc.</t>
  </si>
  <si>
    <t>German American Bancorp, Inc.</t>
  </si>
  <si>
    <t>LTFOODS</t>
  </si>
  <si>
    <t>LT Foods Limited</t>
  </si>
  <si>
    <t>Lakeland Financial Corporation</t>
  </si>
  <si>
    <t>JUBLINGREA</t>
  </si>
  <si>
    <t>Jubilant Ingrevia Limited</t>
  </si>
  <si>
    <t>RITES</t>
  </si>
  <si>
    <t>RITES Limited</t>
  </si>
  <si>
    <t>RLH A</t>
  </si>
  <si>
    <t>RLH Properties, S.A.B. de C.V.</t>
  </si>
  <si>
    <t>ATX</t>
  </si>
  <si>
    <t>ATEX Resources Inc.</t>
  </si>
  <si>
    <t>FirstSun Capital Bancorp</t>
  </si>
  <si>
    <t>Marten Transport, Ltd.</t>
  </si>
  <si>
    <t>MAC Copper Limited</t>
  </si>
  <si>
    <t>Northeast Bank</t>
  </si>
  <si>
    <t>R4</t>
  </si>
  <si>
    <t>Renta 4 Banco, S.A.</t>
  </si>
  <si>
    <t>HBT Financial, Inc.</t>
  </si>
  <si>
    <t>Five Star Bancorp</t>
  </si>
  <si>
    <t>XVIVO</t>
  </si>
  <si>
    <t>Xvivo Perfusion AB (publ)</t>
  </si>
  <si>
    <t>FMCB</t>
  </si>
  <si>
    <t>Farmers &amp; Merchants Bancorp</t>
  </si>
  <si>
    <t>CSBBANK</t>
  </si>
  <si>
    <t>CSB Bank Limited</t>
  </si>
  <si>
    <t>AURIONPRO</t>
  </si>
  <si>
    <t>Aurionpro Solutions Limited</t>
  </si>
  <si>
    <t>FML</t>
  </si>
  <si>
    <t>Focus Minerals Limited</t>
  </si>
  <si>
    <t>LBIRD</t>
  </si>
  <si>
    <t>Lumibird SA</t>
  </si>
  <si>
    <t>NOTE AB (publ)</t>
  </si>
  <si>
    <t>Stabilus SE</t>
  </si>
  <si>
    <t>QNCD</t>
  </si>
  <si>
    <t>Qatar National Cement Company (Q.P.S.C.)</t>
  </si>
  <si>
    <t xml:space="preserve"> Market Cap (mil$)</t>
    <phoneticPr fontId="2" type="noConversion"/>
  </si>
  <si>
    <t>* 최근에 실적 안나온 기업은 제외, 비미국 기업 제외</t>
    <phoneticPr fontId="2" type="noConversion"/>
  </si>
  <si>
    <t>{'4Q22', '2Q23', '3Q23', '4Q23', '1Q23'}</t>
  </si>
  <si>
    <t>{'2Q23', '4Q22'}</t>
  </si>
  <si>
    <t>{'4Q24'}</t>
  </si>
  <si>
    <t>{'2Q25'}</t>
  </si>
  <si>
    <t>Growth_Rate</t>
  </si>
  <si>
    <t>agys</t>
    <phoneticPr fontId="2" type="noConversion"/>
  </si>
  <si>
    <t>rv yoy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</si>
</sst>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&quot;%&quot;"/>
    <numFmt numFmtId="177" formatCode="#,##0_);[Red]\(#,##0\)"/>
    <numFmt numFmtId="178" formatCode="#,##0.0_);[Red]\(#,##0.0\)"/>
    <numFmt numFmtId="179" formatCode="0.0%"/>
    <numFmt numFmtId="180" formatCode="#,###,,"/>
  </numFmts>
  <fonts count="13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name val="Pretendard"/>
      <family val="3"/>
      <charset val="129"/>
    </font>
    <font>
      <sz val="11"/>
      <color theme="1"/>
      <name val="Pretendard"/>
      <family val="3"/>
      <charset val="129"/>
    </font>
    <font>
      <b/>
      <sz val="11"/>
      <color theme="1"/>
      <name val="맑은 고딕"/>
      <family val="2"/>
      <scheme val="minor"/>
    </font>
    <font>
      <b/>
      <sz val="11"/>
      <color theme="1"/>
      <name val="Pretendard"/>
      <family val="3"/>
      <charset val="129"/>
    </font>
    <font>
      <sz val="11"/>
      <color theme="0"/>
      <name val="Pretendard"/>
      <family val="3"/>
      <charset val="129"/>
    </font>
    <font>
      <b/>
      <sz val="11"/>
      <color theme="0"/>
      <name val="Pretendard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4"/>
      <color theme="0"/>
      <name val="Pretendard"/>
      <family val="3"/>
      <charset val="129"/>
    </font>
    <font>
      <b/>
      <sz val="12"/>
      <color theme="1"/>
      <name val="Pretendard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FCCCC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42">
    <xf numFmtId="0" fontId="0" fillId="0" borderId="0" xfId="0"/>
    <xf numFmtId="0" fontId="3" fillId="0" borderId="1" xfId="0" applyFont="1" applyBorder="1" applyAlignment="1">
      <alignment horizontal="center" vertical="top"/>
    </xf>
    <xf numFmtId="0" fontId="4" fillId="0" borderId="0" xfId="0" applyFont="1"/>
    <xf numFmtId="0" fontId="4" fillId="2" borderId="0" xfId="0" applyFont="1" applyFill="1"/>
    <xf numFmtId="0" fontId="5" fillId="0" borderId="0" xfId="0" applyFont="1"/>
    <xf numFmtId="0" fontId="6" fillId="0" borderId="0" xfId="0" applyFont="1"/>
    <xf numFmtId="176" fontId="4" fillId="0" borderId="0" xfId="0" applyNumberFormat="1" applyFont="1"/>
    <xf numFmtId="176" fontId="4" fillId="3" borderId="0" xfId="0" applyNumberFormat="1" applyFont="1" applyFill="1"/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4" borderId="0" xfId="0" applyFont="1" applyFill="1" applyAlignment="1">
      <alignment vertical="center"/>
    </xf>
    <xf numFmtId="0" fontId="8" fillId="4" borderId="0" xfId="0" applyFont="1" applyFill="1" applyAlignment="1">
      <alignment horizontal="right" vertical="center"/>
    </xf>
    <xf numFmtId="0" fontId="8" fillId="4" borderId="2" xfId="0" applyFont="1" applyFill="1" applyBorder="1" applyAlignment="1">
      <alignment horizontal="right" vertical="center"/>
    </xf>
    <xf numFmtId="177" fontId="4" fillId="0" borderId="0" xfId="0" applyNumberFormat="1" applyFont="1" applyAlignment="1">
      <alignment vertical="center"/>
    </xf>
    <xf numFmtId="178" fontId="4" fillId="0" borderId="0" xfId="0" applyNumberFormat="1" applyFont="1" applyAlignment="1">
      <alignment vertical="center"/>
    </xf>
    <xf numFmtId="178" fontId="4" fillId="0" borderId="2" xfId="0" applyNumberFormat="1" applyFont="1" applyBorder="1" applyAlignment="1">
      <alignment vertical="center"/>
    </xf>
    <xf numFmtId="179" fontId="4" fillId="0" borderId="0" xfId="1" applyNumberFormat="1" applyFont="1" applyFill="1">
      <alignment vertical="center"/>
    </xf>
    <xf numFmtId="179" fontId="4" fillId="0" borderId="0" xfId="1" applyNumberFormat="1" applyFont="1" applyFill="1" applyBorder="1">
      <alignment vertical="center"/>
    </xf>
    <xf numFmtId="179" fontId="4" fillId="0" borderId="2" xfId="1" applyNumberFormat="1" applyFont="1" applyFill="1" applyBorder="1">
      <alignment vertical="center"/>
    </xf>
    <xf numFmtId="9" fontId="4" fillId="0" borderId="0" xfId="1" applyFont="1" applyFill="1">
      <alignment vertical="center"/>
    </xf>
    <xf numFmtId="9" fontId="4" fillId="0" borderId="0" xfId="1" applyFont="1" applyAlignment="1">
      <alignment horizontal="right" vertical="center"/>
    </xf>
    <xf numFmtId="9" fontId="4" fillId="0" borderId="2" xfId="1" applyFont="1" applyBorder="1" applyAlignment="1">
      <alignment horizontal="right" vertical="center"/>
    </xf>
    <xf numFmtId="9" fontId="4" fillId="0" borderId="0" xfId="1" applyFont="1">
      <alignment vertical="center"/>
    </xf>
    <xf numFmtId="9" fontId="4" fillId="0" borderId="0" xfId="1" applyFont="1" applyBorder="1">
      <alignment vertical="center"/>
    </xf>
    <xf numFmtId="9" fontId="4" fillId="0" borderId="2" xfId="1" applyFont="1" applyBorder="1">
      <alignment vertical="center"/>
    </xf>
    <xf numFmtId="0" fontId="10" fillId="0" borderId="0" xfId="0" applyFont="1"/>
    <xf numFmtId="0" fontId="6" fillId="0" borderId="4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15" fontId="4" fillId="0" borderId="0" xfId="0" applyNumberFormat="1" applyFont="1" applyAlignment="1">
      <alignment vertical="center"/>
    </xf>
    <xf numFmtId="16" fontId="4" fillId="0" borderId="0" xfId="0" applyNumberFormat="1" applyFont="1" applyAlignment="1">
      <alignment vertical="center"/>
    </xf>
    <xf numFmtId="180" fontId="4" fillId="0" borderId="8" xfId="0" applyNumberFormat="1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5" fontId="4" fillId="0" borderId="3" xfId="0" applyNumberFormat="1" applyFont="1" applyBorder="1" applyAlignment="1">
      <alignment vertical="center"/>
    </xf>
    <xf numFmtId="16" fontId="4" fillId="0" borderId="3" xfId="0" applyNumberFormat="1" applyFont="1" applyBorder="1" applyAlignment="1">
      <alignment vertical="center"/>
    </xf>
    <xf numFmtId="180" fontId="4" fillId="0" borderId="10" xfId="0" applyNumberFormat="1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12" fillId="0" borderId="0" xfId="0" applyFont="1"/>
    <xf numFmtId="1" fontId="4" fillId="0" borderId="0" xfId="0" applyNumberFormat="1" applyFont="1"/>
    <xf numFmtId="1" fontId="4" fillId="2" borderId="0" xfId="0" applyNumberFormat="1" applyFont="1" applyFill="1"/>
    <xf numFmtId="0" fontId="11" fillId="5" borderId="0" xfId="0" applyFont="1" applyFill="1" applyAlignment="1">
      <alignment horizontal="center" vertical="center"/>
    </xf>
  </cellXfs>
  <cellStyles count="2">
    <cellStyle name="백분율" xfId="1" builtinId="5"/>
    <cellStyle name="표준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76164-5FE9-4858-A90B-B510D1968B80}">
  <dimension ref="B2:G90"/>
  <sheetViews>
    <sheetView workbookViewId="0">
      <selection activeCell="C10" sqref="C10"/>
    </sheetView>
  </sheetViews>
  <sheetFormatPr defaultRowHeight="16.5" x14ac:dyDescent="0.3"/>
  <cols>
    <col min="2" max="2" width="12.625" customWidth="1"/>
    <col min="3" max="3" width="41.375" customWidth="1"/>
    <col min="4" max="4" width="10.75" bestFit="1" customWidth="1"/>
    <col min="5" max="5" width="11.5" bestFit="1" customWidth="1"/>
    <col min="6" max="6" width="17.5" bestFit="1" customWidth="1"/>
    <col min="7" max="7" width="18.625" customWidth="1"/>
  </cols>
  <sheetData>
    <row r="2" spans="2:7" x14ac:dyDescent="0.3">
      <c r="B2" s="41" t="s">
        <v>119</v>
      </c>
      <c r="C2" s="41"/>
      <c r="D2" s="2"/>
      <c r="E2" s="2"/>
      <c r="F2" s="2"/>
      <c r="G2" s="2"/>
    </row>
    <row r="3" spans="2:7" ht="17.25" thickBot="1" x14ac:dyDescent="0.35">
      <c r="B3" s="41"/>
      <c r="C3" s="41"/>
      <c r="D3" s="2"/>
      <c r="E3" s="2"/>
      <c r="F3" s="2"/>
      <c r="G3" s="2"/>
    </row>
    <row r="4" spans="2:7" x14ac:dyDescent="0.3">
      <c r="B4" s="26" t="s">
        <v>0</v>
      </c>
      <c r="C4" s="27" t="s">
        <v>120</v>
      </c>
      <c r="D4" s="27" t="s">
        <v>121</v>
      </c>
      <c r="E4" s="27" t="s">
        <v>122</v>
      </c>
      <c r="F4" s="27" t="s">
        <v>123</v>
      </c>
      <c r="G4" s="28" t="s">
        <v>215</v>
      </c>
    </row>
    <row r="5" spans="2:7" x14ac:dyDescent="0.3">
      <c r="B5" s="36" t="s">
        <v>124</v>
      </c>
      <c r="C5" s="8" t="s">
        <v>125</v>
      </c>
      <c r="D5" s="29">
        <v>46048</v>
      </c>
      <c r="E5" s="8"/>
      <c r="F5" s="30">
        <v>46381</v>
      </c>
      <c r="G5" s="31">
        <v>46335940000</v>
      </c>
    </row>
    <row r="6" spans="2:7" x14ac:dyDescent="0.3">
      <c r="B6" s="36" t="s">
        <v>22</v>
      </c>
      <c r="C6" s="8" t="s">
        <v>126</v>
      </c>
      <c r="D6" s="29">
        <v>46048</v>
      </c>
      <c r="E6" s="8" t="s">
        <v>127</v>
      </c>
      <c r="F6" s="30">
        <v>46381</v>
      </c>
      <c r="G6" s="31">
        <v>39910660000</v>
      </c>
    </row>
    <row r="7" spans="2:7" x14ac:dyDescent="0.3">
      <c r="B7" s="36" t="s">
        <v>128</v>
      </c>
      <c r="C7" s="8" t="s">
        <v>129</v>
      </c>
      <c r="D7" s="29">
        <v>46048</v>
      </c>
      <c r="E7" s="8" t="s">
        <v>130</v>
      </c>
      <c r="F7" s="30">
        <v>46381</v>
      </c>
      <c r="G7" s="31">
        <v>35084800000</v>
      </c>
    </row>
    <row r="8" spans="2:7" x14ac:dyDescent="0.3">
      <c r="B8" s="36" t="s">
        <v>131</v>
      </c>
      <c r="C8" s="8" t="s">
        <v>132</v>
      </c>
      <c r="D8" s="29">
        <v>46048</v>
      </c>
      <c r="E8" s="8"/>
      <c r="F8" s="30">
        <v>46381</v>
      </c>
      <c r="G8" s="31">
        <v>28793840000</v>
      </c>
    </row>
    <row r="9" spans="2:7" x14ac:dyDescent="0.3">
      <c r="B9" s="36" t="s">
        <v>91</v>
      </c>
      <c r="C9" s="8" t="s">
        <v>133</v>
      </c>
      <c r="D9" s="29">
        <v>46048</v>
      </c>
      <c r="E9" s="8" t="s">
        <v>127</v>
      </c>
      <c r="F9" s="30">
        <v>46381</v>
      </c>
      <c r="G9" s="31">
        <v>27317080000</v>
      </c>
    </row>
    <row r="10" spans="2:7" x14ac:dyDescent="0.3">
      <c r="B10" s="36" t="s">
        <v>88</v>
      </c>
      <c r="C10" s="8" t="s">
        <v>134</v>
      </c>
      <c r="D10" s="29">
        <v>46048</v>
      </c>
      <c r="E10" s="8"/>
      <c r="F10" s="30">
        <v>46381</v>
      </c>
      <c r="G10" s="31">
        <v>25795840000</v>
      </c>
    </row>
    <row r="11" spans="2:7" x14ac:dyDescent="0.3">
      <c r="B11" s="36" t="s">
        <v>87</v>
      </c>
      <c r="C11" s="8" t="s">
        <v>135</v>
      </c>
      <c r="D11" s="29">
        <v>46048</v>
      </c>
      <c r="E11" s="8" t="s">
        <v>130</v>
      </c>
      <c r="F11" s="30">
        <v>46381</v>
      </c>
      <c r="G11" s="31">
        <v>25348730000</v>
      </c>
    </row>
    <row r="12" spans="2:7" x14ac:dyDescent="0.3">
      <c r="B12" s="36" t="s">
        <v>136</v>
      </c>
      <c r="C12" s="8" t="s">
        <v>137</v>
      </c>
      <c r="D12" s="29">
        <v>46048</v>
      </c>
      <c r="E12" s="8"/>
      <c r="F12" s="30">
        <v>46381</v>
      </c>
      <c r="G12" s="31">
        <v>16651880000</v>
      </c>
    </row>
    <row r="13" spans="2:7" x14ac:dyDescent="0.3">
      <c r="B13" s="36" t="s">
        <v>85</v>
      </c>
      <c r="C13" s="8" t="s">
        <v>138</v>
      </c>
      <c r="D13" s="29">
        <v>46048</v>
      </c>
      <c r="E13" s="8" t="s">
        <v>127</v>
      </c>
      <c r="F13" s="30">
        <v>46381</v>
      </c>
      <c r="G13" s="31">
        <v>14493960000</v>
      </c>
    </row>
    <row r="14" spans="2:7" x14ac:dyDescent="0.3">
      <c r="B14" s="36" t="s">
        <v>83</v>
      </c>
      <c r="C14" s="8" t="s">
        <v>139</v>
      </c>
      <c r="D14" s="29">
        <v>46048</v>
      </c>
      <c r="E14" s="8" t="s">
        <v>127</v>
      </c>
      <c r="F14" s="30">
        <v>46381</v>
      </c>
      <c r="G14" s="31">
        <v>14044240000</v>
      </c>
    </row>
    <row r="15" spans="2:7" x14ac:dyDescent="0.3">
      <c r="B15" s="36" t="s">
        <v>79</v>
      </c>
      <c r="C15" s="8" t="s">
        <v>140</v>
      </c>
      <c r="D15" s="29">
        <v>46048</v>
      </c>
      <c r="E15" s="8"/>
      <c r="F15" s="30">
        <v>46381</v>
      </c>
      <c r="G15" s="31">
        <v>10642690000</v>
      </c>
    </row>
    <row r="16" spans="2:7" x14ac:dyDescent="0.3">
      <c r="B16" s="36" t="s">
        <v>77</v>
      </c>
      <c r="C16" s="8" t="s">
        <v>141</v>
      </c>
      <c r="D16" s="29">
        <v>46048</v>
      </c>
      <c r="E16" s="8" t="s">
        <v>127</v>
      </c>
      <c r="F16" s="30">
        <v>46381</v>
      </c>
      <c r="G16" s="31">
        <v>10479830000</v>
      </c>
    </row>
    <row r="17" spans="2:7" x14ac:dyDescent="0.3">
      <c r="B17" s="36" t="s">
        <v>74</v>
      </c>
      <c r="C17" s="8" t="s">
        <v>142</v>
      </c>
      <c r="D17" s="29">
        <v>46048</v>
      </c>
      <c r="E17" s="8" t="s">
        <v>127</v>
      </c>
      <c r="F17" s="30">
        <v>46381</v>
      </c>
      <c r="G17" s="31">
        <v>10354400000</v>
      </c>
    </row>
    <row r="18" spans="2:7" x14ac:dyDescent="0.3">
      <c r="B18" s="36" t="s">
        <v>73</v>
      </c>
      <c r="C18" s="8" t="s">
        <v>143</v>
      </c>
      <c r="D18" s="29">
        <v>46048</v>
      </c>
      <c r="E18" s="8" t="s">
        <v>127</v>
      </c>
      <c r="F18" s="30">
        <v>46381</v>
      </c>
      <c r="G18" s="31">
        <v>9453040000</v>
      </c>
    </row>
    <row r="19" spans="2:7" x14ac:dyDescent="0.3">
      <c r="B19" s="36" t="s">
        <v>70</v>
      </c>
      <c r="C19" s="8" t="s">
        <v>144</v>
      </c>
      <c r="D19" s="29">
        <v>46048</v>
      </c>
      <c r="E19" s="8" t="s">
        <v>127</v>
      </c>
      <c r="F19" s="30">
        <v>46381</v>
      </c>
      <c r="G19" s="31">
        <v>9047700000</v>
      </c>
    </row>
    <row r="20" spans="2:7" x14ac:dyDescent="0.3">
      <c r="B20" s="36" t="s">
        <v>145</v>
      </c>
      <c r="C20" s="8" t="s">
        <v>146</v>
      </c>
      <c r="D20" s="29">
        <v>46048</v>
      </c>
      <c r="E20" s="8"/>
      <c r="F20" s="30">
        <v>46381</v>
      </c>
      <c r="G20" s="31">
        <v>7445120000</v>
      </c>
    </row>
    <row r="21" spans="2:7" x14ac:dyDescent="0.3">
      <c r="B21" s="36" t="s">
        <v>147</v>
      </c>
      <c r="C21" s="8" t="s">
        <v>148</v>
      </c>
      <c r="D21" s="29">
        <v>46048</v>
      </c>
      <c r="E21" s="8"/>
      <c r="F21" s="30">
        <v>46381</v>
      </c>
      <c r="G21" s="31">
        <v>6468100000</v>
      </c>
    </row>
    <row r="22" spans="2:7" x14ac:dyDescent="0.3">
      <c r="B22" s="36" t="s">
        <v>149</v>
      </c>
      <c r="C22" s="8" t="s">
        <v>150</v>
      </c>
      <c r="D22" s="29">
        <v>46048</v>
      </c>
      <c r="E22" s="8"/>
      <c r="F22" s="30">
        <v>46381</v>
      </c>
      <c r="G22" s="31">
        <v>5714150000</v>
      </c>
    </row>
    <row r="23" spans="2:7" x14ac:dyDescent="0.3">
      <c r="B23" s="36" t="s">
        <v>151</v>
      </c>
      <c r="C23" s="8" t="s">
        <v>152</v>
      </c>
      <c r="D23" s="29">
        <v>46048</v>
      </c>
      <c r="E23" s="8"/>
      <c r="F23" s="30">
        <v>46381</v>
      </c>
      <c r="G23" s="31">
        <v>5127830000</v>
      </c>
    </row>
    <row r="24" spans="2:7" x14ac:dyDescent="0.3">
      <c r="B24" s="36" t="s">
        <v>153</v>
      </c>
      <c r="C24" s="8" t="s">
        <v>154</v>
      </c>
      <c r="D24" s="29">
        <v>46048</v>
      </c>
      <c r="E24" s="8"/>
      <c r="F24" s="30">
        <v>46381</v>
      </c>
      <c r="G24" s="31">
        <v>4465600000</v>
      </c>
    </row>
    <row r="25" spans="2:7" x14ac:dyDescent="0.3">
      <c r="B25" s="36" t="s">
        <v>155</v>
      </c>
      <c r="C25" s="8" t="s">
        <v>156</v>
      </c>
      <c r="D25" s="29">
        <v>46048</v>
      </c>
      <c r="E25" s="8"/>
      <c r="F25" s="30">
        <v>46381</v>
      </c>
      <c r="G25" s="31">
        <v>3938900000</v>
      </c>
    </row>
    <row r="26" spans="2:7" x14ac:dyDescent="0.3">
      <c r="B26" s="36" t="s">
        <v>157</v>
      </c>
      <c r="C26" s="8" t="s">
        <v>158</v>
      </c>
      <c r="D26" s="29">
        <v>46048</v>
      </c>
      <c r="E26" s="8"/>
      <c r="F26" s="30">
        <v>46381</v>
      </c>
      <c r="G26" s="31">
        <v>3880010000</v>
      </c>
    </row>
    <row r="27" spans="2:7" x14ac:dyDescent="0.3">
      <c r="B27" s="36" t="s">
        <v>67</v>
      </c>
      <c r="C27" s="8" t="s">
        <v>159</v>
      </c>
      <c r="D27" s="29">
        <v>46048</v>
      </c>
      <c r="E27" s="8"/>
      <c r="F27" s="30">
        <v>46381</v>
      </c>
      <c r="G27" s="31">
        <v>3159660000</v>
      </c>
    </row>
    <row r="28" spans="2:7" x14ac:dyDescent="0.3">
      <c r="B28" s="36" t="s">
        <v>65</v>
      </c>
      <c r="C28" s="8" t="s">
        <v>160</v>
      </c>
      <c r="D28" s="29">
        <v>46048</v>
      </c>
      <c r="E28" s="8" t="s">
        <v>127</v>
      </c>
      <c r="F28" s="30">
        <v>46381</v>
      </c>
      <c r="G28" s="31">
        <v>3113800000</v>
      </c>
    </row>
    <row r="29" spans="2:7" x14ac:dyDescent="0.3">
      <c r="B29" s="36" t="s">
        <v>161</v>
      </c>
      <c r="C29" s="8" t="s">
        <v>162</v>
      </c>
      <c r="D29" s="29">
        <v>46048</v>
      </c>
      <c r="E29" s="8"/>
      <c r="F29" s="30">
        <v>46381</v>
      </c>
      <c r="G29" s="31">
        <v>3058350000</v>
      </c>
    </row>
    <row r="30" spans="2:7" x14ac:dyDescent="0.3">
      <c r="B30" s="36" t="s">
        <v>61</v>
      </c>
      <c r="C30" s="8" t="s">
        <v>163</v>
      </c>
      <c r="D30" s="29">
        <v>46048</v>
      </c>
      <c r="E30" s="8" t="s">
        <v>127</v>
      </c>
      <c r="F30" s="30">
        <v>46381</v>
      </c>
      <c r="G30" s="31">
        <v>2923030000</v>
      </c>
    </row>
    <row r="31" spans="2:7" x14ac:dyDescent="0.3">
      <c r="B31" s="36" t="s">
        <v>164</v>
      </c>
      <c r="C31" s="8" t="s">
        <v>165</v>
      </c>
      <c r="D31" s="29">
        <v>46048</v>
      </c>
      <c r="E31" s="8"/>
      <c r="F31" s="30">
        <v>46381</v>
      </c>
      <c r="G31" s="31">
        <v>2921930000</v>
      </c>
    </row>
    <row r="32" spans="2:7" x14ac:dyDescent="0.3">
      <c r="B32" s="36" t="s">
        <v>166</v>
      </c>
      <c r="C32" s="8" t="s">
        <v>167</v>
      </c>
      <c r="D32" s="29">
        <v>46048</v>
      </c>
      <c r="E32" s="8"/>
      <c r="F32" s="30">
        <v>46381</v>
      </c>
      <c r="G32" s="31">
        <v>2819540000</v>
      </c>
    </row>
    <row r="33" spans="2:7" x14ac:dyDescent="0.3">
      <c r="B33" s="36" t="s">
        <v>93</v>
      </c>
      <c r="C33" s="8" t="s">
        <v>168</v>
      </c>
      <c r="D33" s="29">
        <v>46048</v>
      </c>
      <c r="E33" s="8" t="s">
        <v>130</v>
      </c>
      <c r="F33" s="30">
        <v>46381</v>
      </c>
      <c r="G33" s="31">
        <v>2751140000</v>
      </c>
    </row>
    <row r="34" spans="2:7" x14ac:dyDescent="0.3">
      <c r="B34" s="36" t="s">
        <v>59</v>
      </c>
      <c r="C34" s="8" t="s">
        <v>169</v>
      </c>
      <c r="D34" s="29">
        <v>46048</v>
      </c>
      <c r="E34" s="8"/>
      <c r="F34" s="30">
        <v>46381</v>
      </c>
      <c r="G34" s="31">
        <v>2640690000</v>
      </c>
    </row>
    <row r="35" spans="2:7" x14ac:dyDescent="0.3">
      <c r="B35" s="36" t="s">
        <v>170</v>
      </c>
      <c r="C35" s="8" t="s">
        <v>171</v>
      </c>
      <c r="D35" s="29">
        <v>46048</v>
      </c>
      <c r="E35" s="8"/>
      <c r="F35" s="30">
        <v>46381</v>
      </c>
      <c r="G35" s="31">
        <v>2537120000</v>
      </c>
    </row>
    <row r="36" spans="2:7" x14ac:dyDescent="0.3">
      <c r="B36" s="36" t="s">
        <v>172</v>
      </c>
      <c r="C36" s="8" t="s">
        <v>173</v>
      </c>
      <c r="D36" s="29">
        <v>46048</v>
      </c>
      <c r="E36" s="8"/>
      <c r="F36" s="30">
        <v>46381</v>
      </c>
      <c r="G36" s="31">
        <v>2378660000</v>
      </c>
    </row>
    <row r="37" spans="2:7" x14ac:dyDescent="0.3">
      <c r="B37" s="36" t="s">
        <v>54</v>
      </c>
      <c r="C37" s="8" t="s">
        <v>174</v>
      </c>
      <c r="D37" s="29">
        <v>46048</v>
      </c>
      <c r="E37" s="8" t="s">
        <v>127</v>
      </c>
      <c r="F37" s="30">
        <v>46381</v>
      </c>
      <c r="G37" s="31">
        <v>2159570000</v>
      </c>
    </row>
    <row r="38" spans="2:7" x14ac:dyDescent="0.3">
      <c r="B38" s="36" t="s">
        <v>51</v>
      </c>
      <c r="C38" s="8" t="s">
        <v>175</v>
      </c>
      <c r="D38" s="29">
        <v>46048</v>
      </c>
      <c r="E38" s="8"/>
      <c r="F38" s="30">
        <v>46381</v>
      </c>
      <c r="G38" s="31">
        <v>2146530000</v>
      </c>
    </row>
    <row r="39" spans="2:7" x14ac:dyDescent="0.3">
      <c r="B39" s="36" t="s">
        <v>49</v>
      </c>
      <c r="C39" s="8" t="s">
        <v>176</v>
      </c>
      <c r="D39" s="29">
        <v>46048</v>
      </c>
      <c r="E39" s="8" t="s">
        <v>127</v>
      </c>
      <c r="F39" s="30">
        <v>46381</v>
      </c>
      <c r="G39" s="31">
        <v>2130850000</v>
      </c>
    </row>
    <row r="40" spans="2:7" x14ac:dyDescent="0.3">
      <c r="B40" s="36" t="s">
        <v>47</v>
      </c>
      <c r="C40" s="8" t="s">
        <v>177</v>
      </c>
      <c r="D40" s="29">
        <v>46048</v>
      </c>
      <c r="E40" s="8"/>
      <c r="F40" s="30">
        <v>46381</v>
      </c>
      <c r="G40" s="31">
        <v>2001180000</v>
      </c>
    </row>
    <row r="41" spans="2:7" x14ac:dyDescent="0.3">
      <c r="B41" s="36" t="s">
        <v>45</v>
      </c>
      <c r="C41" s="8" t="s">
        <v>178</v>
      </c>
      <c r="D41" s="29">
        <v>46048</v>
      </c>
      <c r="E41" s="8" t="s">
        <v>127</v>
      </c>
      <c r="F41" s="30">
        <v>46381</v>
      </c>
      <c r="G41" s="31">
        <v>1719560000</v>
      </c>
    </row>
    <row r="42" spans="2:7" x14ac:dyDescent="0.3">
      <c r="B42" s="36" t="s">
        <v>43</v>
      </c>
      <c r="C42" s="8" t="s">
        <v>179</v>
      </c>
      <c r="D42" s="29">
        <v>46048</v>
      </c>
      <c r="E42" s="8"/>
      <c r="F42" s="30">
        <v>46381</v>
      </c>
      <c r="G42" s="31">
        <v>1509040000</v>
      </c>
    </row>
    <row r="43" spans="2:7" x14ac:dyDescent="0.3">
      <c r="B43" s="36" t="s">
        <v>180</v>
      </c>
      <c r="C43" s="8" t="s">
        <v>181</v>
      </c>
      <c r="D43" s="29">
        <v>46048</v>
      </c>
      <c r="E43" s="8"/>
      <c r="F43" s="30">
        <v>46381</v>
      </c>
      <c r="G43" s="31">
        <v>1468770000</v>
      </c>
    </row>
    <row r="44" spans="2:7" x14ac:dyDescent="0.3">
      <c r="B44" s="36" t="s">
        <v>42</v>
      </c>
      <c r="C44" s="8" t="s">
        <v>182</v>
      </c>
      <c r="D44" s="29">
        <v>46048</v>
      </c>
      <c r="E44" s="8" t="s">
        <v>130</v>
      </c>
      <c r="F44" s="30">
        <v>46381</v>
      </c>
      <c r="G44" s="31">
        <v>1467900000</v>
      </c>
    </row>
    <row r="45" spans="2:7" x14ac:dyDescent="0.3">
      <c r="B45" s="36" t="s">
        <v>183</v>
      </c>
      <c r="C45" s="8" t="s">
        <v>184</v>
      </c>
      <c r="D45" s="29">
        <v>46048</v>
      </c>
      <c r="E45" s="8"/>
      <c r="F45" s="30">
        <v>46381</v>
      </c>
      <c r="G45" s="31">
        <v>1223330000</v>
      </c>
    </row>
    <row r="46" spans="2:7" x14ac:dyDescent="0.3">
      <c r="B46" s="36" t="s">
        <v>185</v>
      </c>
      <c r="C46" s="8" t="s">
        <v>186</v>
      </c>
      <c r="D46" s="29">
        <v>46048</v>
      </c>
      <c r="E46" s="8"/>
      <c r="F46" s="30">
        <v>46381</v>
      </c>
      <c r="G46" s="31">
        <v>1214830000</v>
      </c>
    </row>
    <row r="47" spans="2:7" x14ac:dyDescent="0.3">
      <c r="B47" s="36" t="s">
        <v>187</v>
      </c>
      <c r="C47" s="8" t="s">
        <v>188</v>
      </c>
      <c r="D47" s="29">
        <v>46048</v>
      </c>
      <c r="E47" s="8"/>
      <c r="F47" s="30">
        <v>46381</v>
      </c>
      <c r="G47" s="31">
        <v>1150020000</v>
      </c>
    </row>
    <row r="48" spans="2:7" x14ac:dyDescent="0.3">
      <c r="B48" s="36" t="s">
        <v>189</v>
      </c>
      <c r="C48" s="8" t="s">
        <v>190</v>
      </c>
      <c r="D48" s="29">
        <v>46048</v>
      </c>
      <c r="E48" s="8"/>
      <c r="F48" s="30">
        <v>46381</v>
      </c>
      <c r="G48" s="31">
        <v>1097220000</v>
      </c>
    </row>
    <row r="49" spans="2:7" x14ac:dyDescent="0.3">
      <c r="B49" s="36" t="s">
        <v>40</v>
      </c>
      <c r="C49" s="8" t="s">
        <v>191</v>
      </c>
      <c r="D49" s="29">
        <v>46048</v>
      </c>
      <c r="E49" s="8"/>
      <c r="F49" s="30">
        <v>46381</v>
      </c>
      <c r="G49" s="31">
        <v>1053580000</v>
      </c>
    </row>
    <row r="50" spans="2:7" x14ac:dyDescent="0.3">
      <c r="B50" s="36" t="s">
        <v>38</v>
      </c>
      <c r="C50" s="8" t="s">
        <v>192</v>
      </c>
      <c r="D50" s="29">
        <v>46048</v>
      </c>
      <c r="E50" s="8"/>
      <c r="F50" s="30">
        <v>46381</v>
      </c>
      <c r="G50" s="31">
        <v>1032050000</v>
      </c>
    </row>
    <row r="51" spans="2:7" x14ac:dyDescent="0.3">
      <c r="B51" s="36" t="s">
        <v>35</v>
      </c>
      <c r="C51" s="8" t="s">
        <v>193</v>
      </c>
      <c r="D51" s="29">
        <v>46048</v>
      </c>
      <c r="E51" s="8"/>
      <c r="F51" s="30">
        <v>46381</v>
      </c>
      <c r="G51" s="31">
        <v>991320000</v>
      </c>
    </row>
    <row r="52" spans="2:7" x14ac:dyDescent="0.3">
      <c r="B52" s="36" t="s">
        <v>32</v>
      </c>
      <c r="C52" s="8" t="s">
        <v>194</v>
      </c>
      <c r="D52" s="29">
        <v>46048</v>
      </c>
      <c r="E52" s="8" t="s">
        <v>127</v>
      </c>
      <c r="F52" s="30">
        <v>46381</v>
      </c>
      <c r="G52" s="31">
        <v>977290000</v>
      </c>
    </row>
    <row r="53" spans="2:7" x14ac:dyDescent="0.3">
      <c r="B53" s="36" t="s">
        <v>195</v>
      </c>
      <c r="C53" s="8" t="s">
        <v>196</v>
      </c>
      <c r="D53" s="29">
        <v>46048</v>
      </c>
      <c r="E53" s="8"/>
      <c r="F53" s="30">
        <v>46381</v>
      </c>
      <c r="G53" s="31">
        <v>875540000</v>
      </c>
    </row>
    <row r="54" spans="2:7" x14ac:dyDescent="0.3">
      <c r="B54" s="36" t="s">
        <v>30</v>
      </c>
      <c r="C54" s="8" t="s">
        <v>197</v>
      </c>
      <c r="D54" s="29">
        <v>46048</v>
      </c>
      <c r="E54" s="8" t="s">
        <v>130</v>
      </c>
      <c r="F54" s="30">
        <v>46381</v>
      </c>
      <c r="G54" s="31">
        <v>866580000</v>
      </c>
    </row>
    <row r="55" spans="2:7" x14ac:dyDescent="0.3">
      <c r="B55" s="36" t="s">
        <v>26</v>
      </c>
      <c r="C55" s="8" t="s">
        <v>198</v>
      </c>
      <c r="D55" s="29">
        <v>46048</v>
      </c>
      <c r="E55" s="8" t="s">
        <v>127</v>
      </c>
      <c r="F55" s="30">
        <v>46381</v>
      </c>
      <c r="G55" s="31">
        <v>816880000</v>
      </c>
    </row>
    <row r="56" spans="2:7" x14ac:dyDescent="0.3">
      <c r="B56" s="36" t="s">
        <v>199</v>
      </c>
      <c r="C56" s="8" t="s">
        <v>200</v>
      </c>
      <c r="D56" s="29">
        <v>46048</v>
      </c>
      <c r="E56" s="8"/>
      <c r="F56" s="30">
        <v>46381</v>
      </c>
      <c r="G56" s="31">
        <v>792010000</v>
      </c>
    </row>
    <row r="57" spans="2:7" x14ac:dyDescent="0.3">
      <c r="B57" s="36" t="s">
        <v>201</v>
      </c>
      <c r="C57" s="8" t="s">
        <v>202</v>
      </c>
      <c r="D57" s="29">
        <v>46048</v>
      </c>
      <c r="E57" s="8"/>
      <c r="F57" s="30">
        <v>46381</v>
      </c>
      <c r="G57" s="31">
        <v>778080000</v>
      </c>
    </row>
    <row r="58" spans="2:7" x14ac:dyDescent="0.3">
      <c r="B58" s="36" t="s">
        <v>203</v>
      </c>
      <c r="C58" s="8" t="s">
        <v>204</v>
      </c>
      <c r="D58" s="29">
        <v>46048</v>
      </c>
      <c r="E58" s="8"/>
      <c r="F58" s="30">
        <v>46381</v>
      </c>
      <c r="G58" s="31">
        <v>752900000</v>
      </c>
    </row>
    <row r="59" spans="2:7" x14ac:dyDescent="0.3">
      <c r="B59" s="36" t="s">
        <v>205</v>
      </c>
      <c r="C59" s="8" t="s">
        <v>206</v>
      </c>
      <c r="D59" s="29">
        <v>46048</v>
      </c>
      <c r="E59" s="8"/>
      <c r="F59" s="30">
        <v>46381</v>
      </c>
      <c r="G59" s="31">
        <v>658960000</v>
      </c>
    </row>
    <row r="60" spans="2:7" x14ac:dyDescent="0.3">
      <c r="B60" s="36" t="s">
        <v>207</v>
      </c>
      <c r="C60" s="8" t="s">
        <v>208</v>
      </c>
      <c r="D60" s="29">
        <v>46048</v>
      </c>
      <c r="E60" s="8"/>
      <c r="F60" s="30">
        <v>46381</v>
      </c>
      <c r="G60" s="31">
        <v>609420000</v>
      </c>
    </row>
    <row r="61" spans="2:7" x14ac:dyDescent="0.3">
      <c r="B61" s="36" t="s">
        <v>209</v>
      </c>
      <c r="C61" s="8" t="s">
        <v>210</v>
      </c>
      <c r="D61" s="29">
        <v>46048</v>
      </c>
      <c r="E61" s="8"/>
      <c r="F61" s="30">
        <v>46381</v>
      </c>
      <c r="G61" s="31">
        <v>596160000</v>
      </c>
    </row>
    <row r="62" spans="2:7" x14ac:dyDescent="0.3">
      <c r="B62" s="36" t="s">
        <v>56</v>
      </c>
      <c r="C62" s="8" t="s">
        <v>211</v>
      </c>
      <c r="D62" s="29">
        <v>46048</v>
      </c>
      <c r="E62" s="8"/>
      <c r="F62" s="30">
        <v>46381</v>
      </c>
      <c r="G62" s="31">
        <v>541570000</v>
      </c>
    </row>
    <row r="63" spans="2:7" x14ac:dyDescent="0.3">
      <c r="B63" s="36" t="s">
        <v>95</v>
      </c>
      <c r="C63" s="8" t="s">
        <v>212</v>
      </c>
      <c r="D63" s="29">
        <v>46048</v>
      </c>
      <c r="E63" s="8"/>
      <c r="F63" s="30">
        <v>46381</v>
      </c>
      <c r="G63" s="31">
        <v>538270000</v>
      </c>
    </row>
    <row r="64" spans="2:7" ht="17.25" thickBot="1" x14ac:dyDescent="0.35">
      <c r="B64" s="37" t="s">
        <v>213</v>
      </c>
      <c r="C64" s="32" t="s">
        <v>214</v>
      </c>
      <c r="D64" s="33">
        <v>46048</v>
      </c>
      <c r="E64" s="32"/>
      <c r="F64" s="34">
        <v>46381</v>
      </c>
      <c r="G64" s="35">
        <v>515170000</v>
      </c>
    </row>
    <row r="87" spans="2:7" x14ac:dyDescent="0.3">
      <c r="B87" s="8"/>
      <c r="C87" s="8"/>
      <c r="D87" s="8"/>
      <c r="E87" s="8"/>
      <c r="F87" s="8"/>
      <c r="G87" s="8"/>
    </row>
    <row r="88" spans="2:7" x14ac:dyDescent="0.3">
      <c r="B88" s="8"/>
      <c r="C88" s="8"/>
      <c r="D88" s="8"/>
      <c r="E88" s="8"/>
      <c r="F88" s="8"/>
      <c r="G88" s="8"/>
    </row>
    <row r="89" spans="2:7" x14ac:dyDescent="0.3">
      <c r="B89" s="8"/>
      <c r="C89" s="8"/>
      <c r="D89" s="8"/>
      <c r="E89" s="8"/>
      <c r="F89" s="8"/>
      <c r="G89" s="8"/>
    </row>
    <row r="90" spans="2:7" x14ac:dyDescent="0.3">
      <c r="B90" s="8"/>
      <c r="C90" s="8"/>
      <c r="D90" s="8"/>
      <c r="E90" s="8"/>
      <c r="F90" s="8"/>
      <c r="G90" s="8"/>
    </row>
  </sheetData>
  <autoFilter ref="B4:G4" xr:uid="{D3376164-5FE9-4858-A90B-B510D1968B80}">
    <sortState xmlns:xlrd2="http://schemas.microsoft.com/office/spreadsheetml/2017/richdata2" ref="B5:G64">
      <sortCondition descending="1" ref="G4"/>
    </sortState>
  </autoFilter>
  <mergeCells count="1">
    <mergeCell ref="B2:C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8B214-1F32-4539-AA75-3A21C5117947}">
  <sheetPr filterMode="1"/>
  <dimension ref="B1:X33"/>
  <sheetViews>
    <sheetView workbookViewId="0">
      <selection activeCell="O32" sqref="O32"/>
    </sheetView>
  </sheetViews>
  <sheetFormatPr defaultRowHeight="16.5" x14ac:dyDescent="0.3"/>
  <cols>
    <col min="2" max="2" width="9" style="4"/>
    <col min="3" max="3" width="31.375" bestFit="1" customWidth="1"/>
    <col min="4" max="4" width="34.5" hidden="1" customWidth="1"/>
    <col min="5" max="5" width="14.5" customWidth="1"/>
    <col min="6" max="6" width="16.375" hidden="1" customWidth="1"/>
    <col min="24" max="24" width="0" hidden="1" customWidth="1"/>
  </cols>
  <sheetData>
    <row r="1" spans="2:24" x14ac:dyDescent="0.3">
      <c r="B1" s="25">
        <v>1</v>
      </c>
      <c r="C1" s="25">
        <v>2</v>
      </c>
      <c r="D1" s="25">
        <v>3</v>
      </c>
      <c r="E1" s="25">
        <v>4</v>
      </c>
      <c r="F1" s="25">
        <v>5</v>
      </c>
      <c r="G1" s="25">
        <v>6</v>
      </c>
      <c r="H1" s="25">
        <v>7</v>
      </c>
      <c r="I1" s="25">
        <v>8</v>
      </c>
      <c r="J1" s="25">
        <v>9</v>
      </c>
      <c r="K1" s="25">
        <v>10</v>
      </c>
      <c r="L1" s="25">
        <v>11</v>
      </c>
      <c r="M1" s="25">
        <v>12</v>
      </c>
      <c r="N1" s="25">
        <v>13</v>
      </c>
      <c r="O1" s="25">
        <v>14</v>
      </c>
      <c r="P1" s="25">
        <v>15</v>
      </c>
      <c r="Q1" s="25">
        <v>16</v>
      </c>
      <c r="R1" s="25">
        <v>17</v>
      </c>
      <c r="S1" s="25">
        <v>18</v>
      </c>
      <c r="T1" s="25">
        <v>19</v>
      </c>
      <c r="U1" s="25">
        <v>20</v>
      </c>
      <c r="V1" s="25">
        <v>21</v>
      </c>
      <c r="W1" s="25">
        <v>22</v>
      </c>
    </row>
    <row r="2" spans="2:24" x14ac:dyDescent="0.3">
      <c r="B2" s="1" t="s">
        <v>0</v>
      </c>
      <c r="C2" s="1" t="s">
        <v>1</v>
      </c>
      <c r="D2" s="1" t="s">
        <v>2</v>
      </c>
      <c r="E2" s="1" t="s">
        <v>221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Q2" s="1" t="s">
        <v>14</v>
      </c>
      <c r="R2" s="1" t="s">
        <v>15</v>
      </c>
      <c r="S2" s="1" t="s">
        <v>16</v>
      </c>
      <c r="T2" s="1" t="s">
        <v>17</v>
      </c>
      <c r="U2" s="1" t="s">
        <v>18</v>
      </c>
      <c r="V2" s="1" t="s">
        <v>19</v>
      </c>
      <c r="W2" s="1" t="s">
        <v>20</v>
      </c>
      <c r="X2" s="1" t="s">
        <v>21</v>
      </c>
    </row>
    <row r="3" spans="2:24" x14ac:dyDescent="0.3">
      <c r="B3" s="5" t="s">
        <v>22</v>
      </c>
      <c r="C3" s="2" t="s">
        <v>23</v>
      </c>
      <c r="D3" s="2" t="s">
        <v>24</v>
      </c>
      <c r="E3" s="6">
        <v>1.9163817708496731</v>
      </c>
      <c r="F3" s="2">
        <v>8123.5</v>
      </c>
      <c r="G3" s="2">
        <v>10364</v>
      </c>
      <c r="H3" s="2">
        <v>10493</v>
      </c>
      <c r="I3" s="2">
        <v>11794</v>
      </c>
      <c r="J3" s="2">
        <v>10501</v>
      </c>
      <c r="K3" s="2">
        <v>8724</v>
      </c>
      <c r="L3" s="2">
        <v>8710</v>
      </c>
      <c r="M3" s="2">
        <v>9523</v>
      </c>
      <c r="N3" s="2">
        <v>8776</v>
      </c>
      <c r="O3" s="2">
        <v>7705</v>
      </c>
      <c r="P3" s="2">
        <v>8137</v>
      </c>
      <c r="Q3" s="2">
        <v>8077</v>
      </c>
      <c r="R3" s="2">
        <v>7444</v>
      </c>
      <c r="S3" s="2">
        <v>7076</v>
      </c>
      <c r="T3" s="2">
        <v>7830</v>
      </c>
      <c r="U3" s="2">
        <v>8456</v>
      </c>
      <c r="V3" s="2">
        <v>8521</v>
      </c>
      <c r="W3" s="2">
        <v>7687</v>
      </c>
      <c r="X3" s="2" t="s">
        <v>31</v>
      </c>
    </row>
    <row r="4" spans="2:24" hidden="1" x14ac:dyDescent="0.3">
      <c r="B4" s="5" t="s">
        <v>26</v>
      </c>
      <c r="C4" s="2" t="s">
        <v>27</v>
      </c>
      <c r="D4" s="2" t="s">
        <v>28</v>
      </c>
      <c r="E4" s="2">
        <v>6.7852062588904749</v>
      </c>
      <c r="F4" s="2">
        <v>37.534999999999997</v>
      </c>
      <c r="G4" s="2">
        <v>21.94</v>
      </c>
      <c r="H4" s="2">
        <v>23.15</v>
      </c>
      <c r="I4" s="2">
        <v>24.05</v>
      </c>
      <c r="J4" s="2">
        <v>26.49</v>
      </c>
      <c r="K4" s="2">
        <v>28.96</v>
      </c>
      <c r="L4" s="2">
        <v>30.74</v>
      </c>
      <c r="M4" s="2">
        <v>30.52</v>
      </c>
      <c r="N4" s="2">
        <v>30.4</v>
      </c>
      <c r="O4" s="2">
        <v>28.86</v>
      </c>
      <c r="P4" s="2">
        <v>28.61</v>
      </c>
      <c r="Q4" s="2">
        <v>28.58</v>
      </c>
      <c r="R4" s="2">
        <v>30.67</v>
      </c>
      <c r="S4" s="2">
        <v>31.77</v>
      </c>
      <c r="T4" s="2">
        <v>35.159999999999997</v>
      </c>
      <c r="U4" s="2">
        <v>35.340000000000003</v>
      </c>
      <c r="V4" s="2">
        <v>38.33</v>
      </c>
      <c r="W4" s="2">
        <v>41.31</v>
      </c>
      <c r="X4" s="2" t="s">
        <v>31</v>
      </c>
    </row>
    <row r="5" spans="2:24" x14ac:dyDescent="0.3">
      <c r="B5" s="5" t="s">
        <v>30</v>
      </c>
      <c r="C5" s="2" t="s">
        <v>27</v>
      </c>
      <c r="D5" s="2" t="s">
        <v>24</v>
      </c>
      <c r="E5" s="6">
        <v>0.59826883910387707</v>
      </c>
      <c r="F5" s="2">
        <v>59.272500000000001</v>
      </c>
      <c r="G5" s="2">
        <v>42.21</v>
      </c>
      <c r="H5" s="2">
        <v>41.97</v>
      </c>
      <c r="I5" s="2">
        <v>42.92</v>
      </c>
      <c r="J5" s="2">
        <v>45.62</v>
      </c>
      <c r="K5" s="2">
        <v>50.07</v>
      </c>
      <c r="L5" s="2">
        <v>54.27</v>
      </c>
      <c r="M5" s="2">
        <v>58.79</v>
      </c>
      <c r="N5" s="2">
        <v>57.77</v>
      </c>
      <c r="O5" s="2">
        <v>56.29</v>
      </c>
      <c r="P5" s="2">
        <v>52.31</v>
      </c>
      <c r="Q5" s="2">
        <v>56.64</v>
      </c>
      <c r="R5" s="2">
        <v>56.44</v>
      </c>
      <c r="S5" s="2">
        <v>59.03</v>
      </c>
      <c r="T5" s="2">
        <v>58.01</v>
      </c>
      <c r="U5" s="2">
        <v>58.8</v>
      </c>
      <c r="V5" s="2">
        <v>59.84</v>
      </c>
      <c r="W5" s="2">
        <v>60.44</v>
      </c>
      <c r="X5" s="2" t="s">
        <v>31</v>
      </c>
    </row>
    <row r="6" spans="2:24" x14ac:dyDescent="0.3">
      <c r="B6" s="5" t="s">
        <v>32</v>
      </c>
      <c r="C6" s="2" t="s">
        <v>27</v>
      </c>
      <c r="D6" s="2" t="s">
        <v>33</v>
      </c>
      <c r="E6" s="6">
        <v>4.5858196682798669</v>
      </c>
      <c r="F6" s="2">
        <v>55.647500000000001</v>
      </c>
      <c r="G6" s="2">
        <v>27.2</v>
      </c>
      <c r="H6" s="2">
        <v>26.55</v>
      </c>
      <c r="I6" s="2">
        <v>26.36</v>
      </c>
      <c r="J6" s="2">
        <v>27.76</v>
      </c>
      <c r="K6" s="2">
        <v>25.31</v>
      </c>
      <c r="L6" s="2">
        <v>30.05</v>
      </c>
      <c r="M6" s="2">
        <v>33.43</v>
      </c>
      <c r="N6" s="2">
        <v>35.270000000000003</v>
      </c>
      <c r="O6" s="3">
        <v>37.9</v>
      </c>
      <c r="P6" s="2">
        <v>38.47</v>
      </c>
      <c r="Q6" s="2">
        <v>38.049999999999997</v>
      </c>
      <c r="R6" s="2">
        <v>40.03</v>
      </c>
      <c r="S6" s="2">
        <v>43.12</v>
      </c>
      <c r="T6" s="3">
        <v>54.44</v>
      </c>
      <c r="U6" s="2">
        <v>52.57</v>
      </c>
      <c r="V6" s="3">
        <v>62.7</v>
      </c>
      <c r="W6" s="2">
        <v>52.88</v>
      </c>
      <c r="X6" s="2" t="s">
        <v>34</v>
      </c>
    </row>
    <row r="7" spans="2:24" hidden="1" x14ac:dyDescent="0.3">
      <c r="B7" s="5" t="s">
        <v>35</v>
      </c>
      <c r="C7" s="2" t="s">
        <v>36</v>
      </c>
      <c r="D7" s="2" t="s">
        <v>28</v>
      </c>
      <c r="E7" s="2">
        <v>3.6353070317040048</v>
      </c>
      <c r="F7" s="2">
        <v>240.75</v>
      </c>
      <c r="G7" s="2">
        <v>197.14</v>
      </c>
      <c r="H7" s="2">
        <v>213.89</v>
      </c>
      <c r="I7" s="2">
        <v>203.41</v>
      </c>
      <c r="J7" s="2">
        <v>188.59</v>
      </c>
      <c r="K7" s="2">
        <v>195.59</v>
      </c>
      <c r="L7" s="2">
        <v>212.95</v>
      </c>
      <c r="M7" s="2">
        <v>199.05</v>
      </c>
      <c r="N7" s="2">
        <v>192.65</v>
      </c>
      <c r="O7" s="2">
        <v>197.31</v>
      </c>
      <c r="P7" s="2">
        <v>220.02</v>
      </c>
      <c r="Q7" s="2">
        <v>191.65</v>
      </c>
      <c r="R7" s="2">
        <v>197.96</v>
      </c>
      <c r="S7" s="2">
        <v>203.45</v>
      </c>
      <c r="T7" s="2">
        <v>257.39</v>
      </c>
      <c r="U7" s="2">
        <v>235.65</v>
      </c>
      <c r="V7" s="2">
        <v>232.73</v>
      </c>
      <c r="W7" s="2">
        <v>237.23</v>
      </c>
      <c r="X7" s="2" t="s">
        <v>31</v>
      </c>
    </row>
    <row r="8" spans="2:24" hidden="1" x14ac:dyDescent="0.3">
      <c r="B8" s="5" t="s">
        <v>38</v>
      </c>
      <c r="C8" s="2" t="s">
        <v>39</v>
      </c>
      <c r="D8" s="2" t="s">
        <v>28</v>
      </c>
      <c r="E8" s="2">
        <v>-1.8352210409721239</v>
      </c>
      <c r="F8" s="2">
        <v>225.99250000000001</v>
      </c>
      <c r="G8" s="2">
        <v>251.28</v>
      </c>
      <c r="H8" s="2">
        <v>266.88</v>
      </c>
      <c r="I8" s="2">
        <v>287.27999999999997</v>
      </c>
      <c r="J8" s="2">
        <v>329.57</v>
      </c>
      <c r="K8" s="2">
        <v>324.45</v>
      </c>
      <c r="L8" s="2">
        <v>322.58</v>
      </c>
      <c r="M8" s="2">
        <v>298.02</v>
      </c>
      <c r="N8" s="2">
        <v>285.67</v>
      </c>
      <c r="O8" s="2">
        <v>279.54000000000002</v>
      </c>
      <c r="P8" s="2">
        <v>268.22000000000003</v>
      </c>
      <c r="Q8" s="2">
        <v>249.67</v>
      </c>
      <c r="R8" s="2">
        <v>246.24</v>
      </c>
      <c r="S8" s="2">
        <v>237.37</v>
      </c>
      <c r="T8" s="2">
        <v>230.43</v>
      </c>
      <c r="U8" s="2">
        <v>223.15</v>
      </c>
      <c r="V8" s="2">
        <v>229.92</v>
      </c>
      <c r="W8" s="2">
        <v>220.47</v>
      </c>
      <c r="X8" s="2" t="s">
        <v>31</v>
      </c>
    </row>
    <row r="9" spans="2:24" hidden="1" x14ac:dyDescent="0.3">
      <c r="B9" s="5" t="s">
        <v>40</v>
      </c>
      <c r="C9" s="2" t="s">
        <v>27</v>
      </c>
      <c r="D9" s="2" t="s">
        <v>28</v>
      </c>
      <c r="E9" s="2">
        <v>2.2724422483633822</v>
      </c>
      <c r="F9" s="2">
        <v>101.9375</v>
      </c>
      <c r="G9" s="2">
        <v>68.650000000000006</v>
      </c>
      <c r="H9" s="2">
        <v>69.849999999999994</v>
      </c>
      <c r="I9" s="2">
        <v>64.98</v>
      </c>
      <c r="J9" s="2">
        <v>80.89</v>
      </c>
      <c r="K9" s="2">
        <v>93.44</v>
      </c>
      <c r="L9" s="2">
        <v>91.89</v>
      </c>
      <c r="M9" s="2">
        <v>93.05</v>
      </c>
      <c r="N9" s="2">
        <v>98.13</v>
      </c>
      <c r="O9" s="2">
        <v>92.06</v>
      </c>
      <c r="P9" s="2">
        <v>89.29</v>
      </c>
      <c r="Q9" s="2">
        <v>93.61</v>
      </c>
      <c r="R9" s="2">
        <v>96.17</v>
      </c>
      <c r="S9" s="2">
        <v>98.23</v>
      </c>
      <c r="T9" s="2">
        <v>98.68</v>
      </c>
      <c r="U9" s="2">
        <v>96.21</v>
      </c>
      <c r="V9" s="2">
        <v>105.57</v>
      </c>
      <c r="W9" s="2">
        <v>107.29</v>
      </c>
      <c r="X9" s="2" t="s">
        <v>31</v>
      </c>
    </row>
    <row r="10" spans="2:24" x14ac:dyDescent="0.3">
      <c r="B10" s="5" t="s">
        <v>42</v>
      </c>
      <c r="C10" s="2" t="s">
        <v>27</v>
      </c>
      <c r="D10" s="2" t="s">
        <v>24</v>
      </c>
      <c r="E10" s="6">
        <v>2.370984929212971</v>
      </c>
      <c r="F10" s="2">
        <v>67.247500000000002</v>
      </c>
      <c r="G10" s="2">
        <v>54.72</v>
      </c>
      <c r="H10" s="2">
        <v>55.57</v>
      </c>
      <c r="I10" s="2">
        <v>59.17</v>
      </c>
      <c r="J10" s="2">
        <v>62.66</v>
      </c>
      <c r="K10" s="2">
        <v>67.36</v>
      </c>
      <c r="L10" s="2">
        <v>61.83</v>
      </c>
      <c r="M10" s="2">
        <v>60.03</v>
      </c>
      <c r="N10" s="2">
        <v>59.23</v>
      </c>
      <c r="O10" s="2">
        <v>65.81</v>
      </c>
      <c r="P10" s="2">
        <v>59.03</v>
      </c>
      <c r="Q10" s="2">
        <v>68.739999999999995</v>
      </c>
      <c r="R10" s="2">
        <v>61.19</v>
      </c>
      <c r="S10" s="2">
        <v>63.57</v>
      </c>
      <c r="T10" s="2">
        <v>63.8</v>
      </c>
      <c r="U10" s="2">
        <v>66.36</v>
      </c>
      <c r="V10" s="2">
        <v>69.03</v>
      </c>
      <c r="W10" s="2">
        <v>69.8</v>
      </c>
      <c r="X10" s="2" t="s">
        <v>31</v>
      </c>
    </row>
    <row r="11" spans="2:24" hidden="1" x14ac:dyDescent="0.3">
      <c r="B11" s="5" t="s">
        <v>43</v>
      </c>
      <c r="C11" s="2" t="s">
        <v>27</v>
      </c>
      <c r="D11" s="2" t="s">
        <v>28</v>
      </c>
      <c r="E11" s="2">
        <v>10.624058892420949</v>
      </c>
      <c r="F11" s="2">
        <v>82.65</v>
      </c>
      <c r="G11" s="2">
        <v>56.84</v>
      </c>
      <c r="H11" s="2">
        <v>55.7</v>
      </c>
      <c r="I11" s="2">
        <v>63.1</v>
      </c>
      <c r="J11" s="2">
        <v>64.78</v>
      </c>
      <c r="K11" s="2">
        <v>65.8</v>
      </c>
      <c r="L11" s="2">
        <v>66.05</v>
      </c>
      <c r="M11" s="2">
        <v>63.98</v>
      </c>
      <c r="N11" s="2">
        <v>63.15</v>
      </c>
      <c r="O11" s="2">
        <v>62.36</v>
      </c>
      <c r="P11" s="2">
        <v>61.2</v>
      </c>
      <c r="Q11" s="2">
        <v>60.82</v>
      </c>
      <c r="R11" s="2">
        <v>64.89</v>
      </c>
      <c r="S11" s="2">
        <v>62.4</v>
      </c>
      <c r="T11" s="2">
        <v>65.150000000000006</v>
      </c>
      <c r="U11" s="2">
        <v>81.41</v>
      </c>
      <c r="V11" s="2">
        <v>89.89</v>
      </c>
      <c r="W11" s="3">
        <v>94.15</v>
      </c>
      <c r="X11" s="2" t="s">
        <v>94</v>
      </c>
    </row>
    <row r="12" spans="2:24" hidden="1" x14ac:dyDescent="0.3">
      <c r="B12" s="5" t="s">
        <v>45</v>
      </c>
      <c r="C12" s="2" t="s">
        <v>27</v>
      </c>
      <c r="D12" s="2" t="s">
        <v>28</v>
      </c>
      <c r="E12" s="2">
        <v>4.8387365613801192</v>
      </c>
      <c r="F12" s="2">
        <v>157.245</v>
      </c>
      <c r="G12" s="2">
        <v>127.61</v>
      </c>
      <c r="H12" s="2">
        <v>123.7</v>
      </c>
      <c r="I12" s="2">
        <v>116.36</v>
      </c>
      <c r="J12" s="2">
        <v>130.71</v>
      </c>
      <c r="K12" s="2">
        <v>139.55000000000001</v>
      </c>
      <c r="L12" s="2">
        <v>144.9</v>
      </c>
      <c r="M12" s="2">
        <v>136.43</v>
      </c>
      <c r="N12" s="2">
        <v>138.35</v>
      </c>
      <c r="O12" s="2">
        <v>139.26</v>
      </c>
      <c r="P12" s="2">
        <v>135.47</v>
      </c>
      <c r="Q12" s="2">
        <v>131.19999999999999</v>
      </c>
      <c r="R12" s="2">
        <v>97.99</v>
      </c>
      <c r="S12" s="2">
        <v>139.13999999999999</v>
      </c>
      <c r="T12" s="2">
        <v>154.26</v>
      </c>
      <c r="U12" s="2">
        <v>156.16999999999999</v>
      </c>
      <c r="V12" s="2">
        <v>150.38</v>
      </c>
      <c r="W12" s="2">
        <v>168.17</v>
      </c>
      <c r="X12" s="2" t="s">
        <v>31</v>
      </c>
    </row>
    <row r="13" spans="2:24" hidden="1" x14ac:dyDescent="0.3">
      <c r="B13" s="5" t="s">
        <v>47</v>
      </c>
      <c r="C13" s="2" t="s">
        <v>27</v>
      </c>
      <c r="D13" s="2" t="s">
        <v>28</v>
      </c>
      <c r="E13" s="2">
        <v>2.048176270980107</v>
      </c>
      <c r="F13" s="2">
        <v>167.6575</v>
      </c>
      <c r="G13" s="2">
        <v>111.57</v>
      </c>
      <c r="H13" s="2">
        <v>120.32</v>
      </c>
      <c r="I13" s="2">
        <v>117.2</v>
      </c>
      <c r="J13" s="2">
        <v>122.62</v>
      </c>
      <c r="K13" s="2">
        <v>137.37</v>
      </c>
      <c r="L13" s="2">
        <v>153.32</v>
      </c>
      <c r="M13" s="2">
        <v>154.61000000000001</v>
      </c>
      <c r="N13" s="2">
        <v>154.61000000000001</v>
      </c>
      <c r="O13" s="2">
        <v>156.4</v>
      </c>
      <c r="P13" s="2">
        <v>156.5</v>
      </c>
      <c r="Q13" s="2">
        <v>152.08000000000001</v>
      </c>
      <c r="R13" s="2">
        <v>154.15</v>
      </c>
      <c r="S13" s="2">
        <v>161.63999999999999</v>
      </c>
      <c r="T13" s="2">
        <v>160.97999999999999</v>
      </c>
      <c r="U13" s="2">
        <v>163.38999999999999</v>
      </c>
      <c r="V13" s="2">
        <v>171.16</v>
      </c>
      <c r="W13" s="2">
        <v>175.1</v>
      </c>
      <c r="X13" s="2" t="s">
        <v>31</v>
      </c>
    </row>
    <row r="14" spans="2:24" hidden="1" x14ac:dyDescent="0.3">
      <c r="B14" s="5" t="s">
        <v>49</v>
      </c>
      <c r="C14" s="2" t="s">
        <v>27</v>
      </c>
      <c r="D14" s="2" t="s">
        <v>28</v>
      </c>
      <c r="E14" s="2">
        <v>1.5447067945813631</v>
      </c>
      <c r="F14" s="2">
        <v>166.9725</v>
      </c>
      <c r="G14" s="2">
        <v>133.22</v>
      </c>
      <c r="H14" s="2">
        <v>127.12</v>
      </c>
      <c r="I14" s="2">
        <v>128.18</v>
      </c>
      <c r="J14" s="2">
        <v>156.94</v>
      </c>
      <c r="K14" s="2">
        <v>169.92</v>
      </c>
      <c r="L14" s="2">
        <v>173.11</v>
      </c>
      <c r="M14" s="2">
        <v>169.12</v>
      </c>
      <c r="N14" s="2">
        <v>164.15</v>
      </c>
      <c r="O14" s="2">
        <v>161.22999999999999</v>
      </c>
      <c r="P14" s="2">
        <v>156.51</v>
      </c>
      <c r="Q14" s="2">
        <v>153.69999999999999</v>
      </c>
      <c r="R14" s="2">
        <v>159.91</v>
      </c>
      <c r="S14" s="2">
        <v>155.97999999999999</v>
      </c>
      <c r="T14" s="2">
        <v>177.11</v>
      </c>
      <c r="U14" s="2">
        <v>160.32</v>
      </c>
      <c r="V14" s="2">
        <v>164.32</v>
      </c>
      <c r="W14" s="2">
        <v>166.14</v>
      </c>
      <c r="X14" s="2" t="s">
        <v>31</v>
      </c>
    </row>
    <row r="15" spans="2:24" x14ac:dyDescent="0.3">
      <c r="B15" s="5" t="s">
        <v>51</v>
      </c>
      <c r="C15" s="2" t="s">
        <v>52</v>
      </c>
      <c r="D15" s="2" t="s">
        <v>24</v>
      </c>
      <c r="E15" s="6">
        <v>-88.36003770028276</v>
      </c>
      <c r="F15" s="2">
        <v>3.7050000000000001</v>
      </c>
      <c r="G15" s="2">
        <v>17.54</v>
      </c>
      <c r="H15" s="2">
        <v>314.37</v>
      </c>
      <c r="I15" s="2">
        <v>150.47999999999999</v>
      </c>
      <c r="J15" s="2">
        <v>282.45999999999998</v>
      </c>
      <c r="K15" s="2">
        <v>2.0499999999999998</v>
      </c>
      <c r="L15" s="2">
        <v>-110.63</v>
      </c>
      <c r="M15" s="2">
        <v>170.01</v>
      </c>
      <c r="N15" s="2">
        <v>216.75</v>
      </c>
      <c r="O15" s="2">
        <v>-286.97000000000003</v>
      </c>
      <c r="P15" s="2">
        <v>139.81</v>
      </c>
      <c r="Q15" s="2">
        <v>64.209999999999994</v>
      </c>
      <c r="R15" s="2">
        <v>-216.19</v>
      </c>
      <c r="S15" s="2">
        <v>186.28</v>
      </c>
      <c r="T15" s="2">
        <v>-44.35</v>
      </c>
      <c r="U15" s="3">
        <v>6.32</v>
      </c>
      <c r="V15" s="2">
        <v>-20.93</v>
      </c>
      <c r="W15" s="2">
        <v>73.78</v>
      </c>
      <c r="X15" s="2" t="s">
        <v>220</v>
      </c>
    </row>
    <row r="16" spans="2:24" hidden="1" x14ac:dyDescent="0.3">
      <c r="B16" s="5" t="s">
        <v>54</v>
      </c>
      <c r="C16" s="2" t="s">
        <v>27</v>
      </c>
      <c r="D16" s="2" t="s">
        <v>28</v>
      </c>
      <c r="E16" s="2">
        <v>6.2126085558057431</v>
      </c>
      <c r="F16" s="2">
        <v>165.10749999999999</v>
      </c>
      <c r="G16" s="2">
        <v>118</v>
      </c>
      <c r="H16" s="2">
        <v>126.29</v>
      </c>
      <c r="I16" s="2">
        <v>123.01</v>
      </c>
      <c r="J16" s="2">
        <v>129.24</v>
      </c>
      <c r="K16" s="2">
        <v>131.65</v>
      </c>
      <c r="L16" s="2">
        <v>133.87</v>
      </c>
      <c r="M16" s="2">
        <v>126.48</v>
      </c>
      <c r="N16" s="2">
        <v>121.13</v>
      </c>
      <c r="O16" s="2">
        <v>135.13</v>
      </c>
      <c r="P16" s="2">
        <v>132.91</v>
      </c>
      <c r="Q16" s="2">
        <v>140.57</v>
      </c>
      <c r="R16" s="2">
        <v>140.41</v>
      </c>
      <c r="S16" s="2">
        <v>147.44</v>
      </c>
      <c r="T16" s="2">
        <v>148.53</v>
      </c>
      <c r="U16" s="2">
        <v>154.68</v>
      </c>
      <c r="V16" s="2">
        <v>171.15</v>
      </c>
      <c r="W16" s="2">
        <v>186.07</v>
      </c>
      <c r="X16" s="2" t="s">
        <v>31</v>
      </c>
    </row>
    <row r="17" spans="2:24" hidden="1" x14ac:dyDescent="0.3">
      <c r="B17" s="5" t="s">
        <v>56</v>
      </c>
      <c r="C17" s="2" t="s">
        <v>57</v>
      </c>
      <c r="D17" s="2" t="s">
        <v>28</v>
      </c>
      <c r="E17" s="2">
        <v>-6.3913202042304889</v>
      </c>
      <c r="F17" s="2">
        <v>25.6675</v>
      </c>
      <c r="G17" s="2">
        <v>21.77</v>
      </c>
      <c r="H17" s="2">
        <v>24.46</v>
      </c>
      <c r="I17" s="2">
        <v>26.07</v>
      </c>
      <c r="J17" s="2">
        <v>27.17</v>
      </c>
      <c r="K17" s="2">
        <v>29.07</v>
      </c>
      <c r="L17" s="2">
        <v>31.45</v>
      </c>
      <c r="M17" s="2">
        <v>31.53</v>
      </c>
      <c r="N17" s="2">
        <v>32.840000000000003</v>
      </c>
      <c r="O17" s="2">
        <v>34.01</v>
      </c>
      <c r="P17" s="2">
        <v>34.270000000000003</v>
      </c>
      <c r="Q17" s="2">
        <v>32.11</v>
      </c>
      <c r="R17" s="2">
        <v>29.25</v>
      </c>
      <c r="S17" s="2">
        <v>29.44</v>
      </c>
      <c r="T17" s="2">
        <v>29.47</v>
      </c>
      <c r="U17" s="2">
        <v>27.51</v>
      </c>
      <c r="V17" s="2">
        <v>23.26</v>
      </c>
      <c r="W17" s="2">
        <v>22.43</v>
      </c>
      <c r="X17" s="2" t="s">
        <v>31</v>
      </c>
    </row>
    <row r="18" spans="2:24" hidden="1" x14ac:dyDescent="0.3">
      <c r="B18" s="5" t="s">
        <v>59</v>
      </c>
      <c r="C18" s="2" t="s">
        <v>27</v>
      </c>
      <c r="D18" s="2" t="s">
        <v>28</v>
      </c>
      <c r="E18" s="2">
        <v>0.72683779556534933</v>
      </c>
      <c r="F18" s="2">
        <v>136.85</v>
      </c>
      <c r="G18" s="2">
        <v>114.01</v>
      </c>
      <c r="H18" s="2">
        <v>115.91</v>
      </c>
      <c r="I18" s="2">
        <v>109.34</v>
      </c>
      <c r="J18" s="2">
        <v>115.13</v>
      </c>
      <c r="K18" s="2">
        <v>137.52000000000001</v>
      </c>
      <c r="L18" s="2">
        <v>121</v>
      </c>
      <c r="M18" s="2">
        <v>116.59</v>
      </c>
      <c r="N18" s="2">
        <v>116.59</v>
      </c>
      <c r="O18" s="2">
        <v>121.98</v>
      </c>
      <c r="P18" s="2">
        <v>110.59</v>
      </c>
      <c r="Q18" s="2">
        <v>121.82</v>
      </c>
      <c r="R18" s="2">
        <v>126.63</v>
      </c>
      <c r="S18" s="2">
        <v>137.63999999999999</v>
      </c>
      <c r="T18" s="2">
        <v>134.51</v>
      </c>
      <c r="U18" s="2">
        <v>130.12</v>
      </c>
      <c r="V18" s="2">
        <v>141.18</v>
      </c>
      <c r="W18" s="2">
        <v>141.59</v>
      </c>
      <c r="X18" s="2" t="s">
        <v>31</v>
      </c>
    </row>
    <row r="19" spans="2:24" x14ac:dyDescent="0.3">
      <c r="B19" s="5" t="s">
        <v>61</v>
      </c>
      <c r="C19" s="2" t="s">
        <v>62</v>
      </c>
      <c r="D19" s="2" t="s">
        <v>63</v>
      </c>
      <c r="E19" s="6">
        <v>3.612287782262102</v>
      </c>
      <c r="F19" s="2">
        <v>77.66</v>
      </c>
      <c r="G19" s="2">
        <v>39.46</v>
      </c>
      <c r="H19" s="2">
        <v>46.56</v>
      </c>
      <c r="I19" s="2">
        <v>47.51</v>
      </c>
      <c r="J19" s="2">
        <v>47.74</v>
      </c>
      <c r="K19" s="2">
        <v>49.92</v>
      </c>
      <c r="L19" s="2">
        <v>52.9</v>
      </c>
      <c r="M19" s="2">
        <v>56.06</v>
      </c>
      <c r="N19" s="2">
        <v>58.62</v>
      </c>
      <c r="O19" s="2">
        <v>60.57</v>
      </c>
      <c r="P19" s="2">
        <v>62.22</v>
      </c>
      <c r="Q19" s="2">
        <v>63.51</v>
      </c>
      <c r="R19" s="2">
        <v>68.28</v>
      </c>
      <c r="S19" s="2">
        <v>69.56</v>
      </c>
      <c r="T19" s="2">
        <v>74.27</v>
      </c>
      <c r="U19" s="2">
        <v>76.680000000000007</v>
      </c>
      <c r="V19" s="2">
        <v>79.3</v>
      </c>
      <c r="W19" s="2">
        <v>80.39</v>
      </c>
      <c r="X19" s="2" t="s">
        <v>31</v>
      </c>
    </row>
    <row r="20" spans="2:24" x14ac:dyDescent="0.3">
      <c r="B20" s="5" t="s">
        <v>65</v>
      </c>
      <c r="C20" s="2" t="s">
        <v>27</v>
      </c>
      <c r="D20" s="2" t="s">
        <v>24</v>
      </c>
      <c r="E20" s="6">
        <v>0.98142306344197738</v>
      </c>
      <c r="F20" s="2">
        <v>266.49250000000001</v>
      </c>
      <c r="G20" s="2">
        <v>154.25</v>
      </c>
      <c r="H20" s="2">
        <v>199.13</v>
      </c>
      <c r="I20" s="2">
        <v>225.64</v>
      </c>
      <c r="J20" s="2">
        <v>239.48</v>
      </c>
      <c r="K20" s="3">
        <v>258.77</v>
      </c>
      <c r="L20" s="2">
        <v>245.66</v>
      </c>
      <c r="M20" s="2">
        <v>248.71</v>
      </c>
      <c r="N20" s="2">
        <v>255.27</v>
      </c>
      <c r="O20" s="2">
        <v>265.33</v>
      </c>
      <c r="P20" s="2">
        <v>251.14</v>
      </c>
      <c r="Q20" s="2">
        <v>266.05</v>
      </c>
      <c r="R20" s="2">
        <v>267.66000000000003</v>
      </c>
      <c r="S20" s="2">
        <v>261.51</v>
      </c>
      <c r="T20" s="2">
        <v>256.11</v>
      </c>
      <c r="U20" s="2">
        <v>267.5</v>
      </c>
      <c r="V20" s="2">
        <v>270.49</v>
      </c>
      <c r="W20" s="2">
        <v>271.87</v>
      </c>
      <c r="X20" s="2" t="s">
        <v>58</v>
      </c>
    </row>
    <row r="21" spans="2:24" hidden="1" x14ac:dyDescent="0.3">
      <c r="B21" s="5" t="s">
        <v>67</v>
      </c>
      <c r="C21" s="2" t="s">
        <v>68</v>
      </c>
      <c r="D21" s="2" t="s">
        <v>28</v>
      </c>
      <c r="E21" s="2">
        <v>5.5890509498073948</v>
      </c>
      <c r="F21" s="2">
        <v>278.89499999999998</v>
      </c>
      <c r="G21" s="2">
        <v>287.33</v>
      </c>
      <c r="H21" s="2">
        <v>248.41</v>
      </c>
      <c r="I21" s="2">
        <v>411.35</v>
      </c>
      <c r="J21" s="2">
        <v>359.6</v>
      </c>
      <c r="K21" s="2">
        <v>306.69</v>
      </c>
      <c r="L21" s="2">
        <v>253.14</v>
      </c>
      <c r="M21" s="2">
        <v>257.95999999999998</v>
      </c>
      <c r="N21" s="2">
        <v>246.1</v>
      </c>
      <c r="O21" s="2">
        <v>265.51</v>
      </c>
      <c r="P21" s="2">
        <v>254.5</v>
      </c>
      <c r="Q21" s="2">
        <v>228.13</v>
      </c>
      <c r="R21" s="2">
        <v>320.67</v>
      </c>
      <c r="S21" s="2">
        <v>255.13</v>
      </c>
      <c r="T21" s="2">
        <v>258.14999999999998</v>
      </c>
      <c r="U21" s="2">
        <v>268.26</v>
      </c>
      <c r="V21" s="2">
        <v>274.99</v>
      </c>
      <c r="W21" s="2">
        <v>314.18</v>
      </c>
      <c r="X21" s="2" t="s">
        <v>31</v>
      </c>
    </row>
    <row r="22" spans="2:24" x14ac:dyDescent="0.3">
      <c r="B22" s="5" t="s">
        <v>70</v>
      </c>
      <c r="C22" s="2" t="s">
        <v>71</v>
      </c>
      <c r="D22" s="2" t="s">
        <v>72</v>
      </c>
      <c r="E22" s="6">
        <v>14.56692913385826</v>
      </c>
      <c r="F22" s="2">
        <v>2328</v>
      </c>
      <c r="G22" s="2">
        <v>1756</v>
      </c>
      <c r="H22" s="2">
        <v>1915</v>
      </c>
      <c r="I22" s="2">
        <v>2023</v>
      </c>
      <c r="J22" s="2">
        <v>2225</v>
      </c>
      <c r="K22" s="2">
        <v>2356</v>
      </c>
      <c r="L22" s="2">
        <v>2320</v>
      </c>
      <c r="M22" s="2">
        <v>2207</v>
      </c>
      <c r="N22" s="2">
        <v>2052</v>
      </c>
      <c r="O22" s="2">
        <v>1875</v>
      </c>
      <c r="P22" s="2">
        <v>1835</v>
      </c>
      <c r="Q22" s="2">
        <v>1841</v>
      </c>
      <c r="R22" s="2">
        <v>2018</v>
      </c>
      <c r="S22" s="2">
        <v>2006</v>
      </c>
      <c r="T22" s="2">
        <v>1984</v>
      </c>
      <c r="U22" s="2">
        <v>2042</v>
      </c>
      <c r="V22" s="2">
        <v>2096</v>
      </c>
      <c r="W22" s="3">
        <v>3190</v>
      </c>
      <c r="X22" s="2" t="s">
        <v>94</v>
      </c>
    </row>
    <row r="23" spans="2:24" hidden="1" x14ac:dyDescent="0.3">
      <c r="B23" s="5" t="s">
        <v>73</v>
      </c>
      <c r="C23" s="2" t="s">
        <v>27</v>
      </c>
      <c r="D23" s="2" t="s">
        <v>28</v>
      </c>
      <c r="E23" s="2">
        <v>3.503378584038463</v>
      </c>
      <c r="F23" s="2">
        <v>850.125</v>
      </c>
      <c r="G23" s="2">
        <v>548.5</v>
      </c>
      <c r="H23" s="2">
        <v>561</v>
      </c>
      <c r="I23" s="2">
        <v>555.79999999999995</v>
      </c>
      <c r="J23" s="2">
        <v>620</v>
      </c>
      <c r="K23" s="2">
        <v>663.9</v>
      </c>
      <c r="L23" s="2">
        <v>701.2</v>
      </c>
      <c r="M23" s="2">
        <v>551.9</v>
      </c>
      <c r="N23" s="2">
        <v>669.3</v>
      </c>
      <c r="O23" s="2">
        <v>716.2</v>
      </c>
      <c r="P23" s="2">
        <v>682.2</v>
      </c>
      <c r="Q23" s="2">
        <v>728.8</v>
      </c>
      <c r="R23" s="2">
        <v>771.8</v>
      </c>
      <c r="S23" s="2">
        <v>823.1</v>
      </c>
      <c r="T23" s="2">
        <v>838.4</v>
      </c>
      <c r="U23" s="2">
        <v>778</v>
      </c>
      <c r="V23" s="2">
        <v>845.9</v>
      </c>
      <c r="W23" s="2">
        <v>938.2</v>
      </c>
      <c r="X23" s="2" t="s">
        <v>31</v>
      </c>
    </row>
    <row r="24" spans="2:24" x14ac:dyDescent="0.3">
      <c r="B24" s="5" t="s">
        <v>74</v>
      </c>
      <c r="C24" s="2" t="s">
        <v>75</v>
      </c>
      <c r="D24" s="2" t="s">
        <v>24</v>
      </c>
      <c r="E24" s="6">
        <v>1.6269123936334171</v>
      </c>
      <c r="F24" s="2">
        <v>576.25</v>
      </c>
      <c r="G24" s="2">
        <v>825.2</v>
      </c>
      <c r="H24" s="2">
        <v>538.79999999999995</v>
      </c>
      <c r="I24" s="2">
        <v>530.29999999999995</v>
      </c>
      <c r="J24" s="2">
        <v>480</v>
      </c>
      <c r="K24" s="2">
        <v>485.9</v>
      </c>
      <c r="L24" s="2">
        <v>513.79999999999995</v>
      </c>
      <c r="M24" s="2">
        <v>509.6</v>
      </c>
      <c r="N24" s="2">
        <v>530.1</v>
      </c>
      <c r="O24" s="2">
        <v>308.60000000000002</v>
      </c>
      <c r="P24" s="2">
        <v>510.2</v>
      </c>
      <c r="Q24" s="2">
        <v>528.6</v>
      </c>
      <c r="R24" s="2">
        <v>548.29999999999995</v>
      </c>
      <c r="S24" s="3">
        <v>544.1</v>
      </c>
      <c r="T24" s="2">
        <v>557.6</v>
      </c>
      <c r="U24" s="2">
        <v>577.20000000000005</v>
      </c>
      <c r="V24" s="2">
        <v>589.20000000000005</v>
      </c>
      <c r="W24" s="2">
        <v>581</v>
      </c>
      <c r="X24" s="2" t="s">
        <v>219</v>
      </c>
    </row>
    <row r="25" spans="2:24" x14ac:dyDescent="0.3">
      <c r="B25" s="5" t="s">
        <v>77</v>
      </c>
      <c r="C25" s="2" t="s">
        <v>52</v>
      </c>
      <c r="D25" s="2" t="s">
        <v>24</v>
      </c>
      <c r="E25" s="6">
        <v>-892.70072992700739</v>
      </c>
      <c r="F25" s="2">
        <v>-271.5</v>
      </c>
      <c r="G25" s="2">
        <v>-148</v>
      </c>
      <c r="H25" s="2">
        <v>-161</v>
      </c>
      <c r="I25" s="2">
        <v>383</v>
      </c>
      <c r="J25" s="2">
        <v>10</v>
      </c>
      <c r="K25" s="3">
        <v>-86</v>
      </c>
      <c r="L25" s="2">
        <v>-312</v>
      </c>
      <c r="M25" s="3">
        <v>174</v>
      </c>
      <c r="N25" s="2">
        <v>863</v>
      </c>
      <c r="O25" s="2">
        <v>-1042</v>
      </c>
      <c r="P25" s="2">
        <v>410</v>
      </c>
      <c r="Q25" s="2">
        <v>208</v>
      </c>
      <c r="R25" s="2">
        <v>-360</v>
      </c>
      <c r="S25" s="2">
        <v>724</v>
      </c>
      <c r="T25" s="2">
        <v>-450</v>
      </c>
      <c r="U25" s="2">
        <v>-128</v>
      </c>
      <c r="V25" s="2">
        <v>-9</v>
      </c>
      <c r="W25" s="2">
        <v>-499</v>
      </c>
      <c r="X25" s="2" t="s">
        <v>218</v>
      </c>
    </row>
    <row r="26" spans="2:24" hidden="1" x14ac:dyDescent="0.3">
      <c r="B26" s="5" t="s">
        <v>79</v>
      </c>
      <c r="C26" s="2" t="s">
        <v>80</v>
      </c>
      <c r="D26" s="2" t="s">
        <v>81</v>
      </c>
      <c r="E26" s="2">
        <v>-3.5959469012646239</v>
      </c>
      <c r="F26" s="2">
        <v>153.41499999999999</v>
      </c>
      <c r="G26" s="2">
        <v>19.670000000000002</v>
      </c>
      <c r="H26" s="2">
        <v>33.71</v>
      </c>
      <c r="I26" s="2">
        <v>50.16</v>
      </c>
      <c r="J26" s="2">
        <v>66.36</v>
      </c>
      <c r="K26" s="3">
        <v>87.8</v>
      </c>
      <c r="L26" s="3">
        <v>115.5</v>
      </c>
      <c r="M26" s="3">
        <v>99.95</v>
      </c>
      <c r="N26" s="3">
        <v>150.83000000000001</v>
      </c>
      <c r="O26" s="3">
        <v>136.47</v>
      </c>
      <c r="P26" s="2">
        <v>156.71</v>
      </c>
      <c r="Q26" s="2">
        <v>149.35</v>
      </c>
      <c r="R26" s="2">
        <v>151.38999999999999</v>
      </c>
      <c r="S26" s="2">
        <v>168.55</v>
      </c>
      <c r="T26" s="2">
        <v>149.38</v>
      </c>
      <c r="U26" s="2">
        <v>155.1</v>
      </c>
      <c r="V26" s="2">
        <v>163.52000000000001</v>
      </c>
      <c r="W26" s="2">
        <v>145.66</v>
      </c>
      <c r="X26" s="2" t="s">
        <v>217</v>
      </c>
    </row>
    <row r="27" spans="2:24" x14ac:dyDescent="0.3">
      <c r="B27" s="5" t="s">
        <v>83</v>
      </c>
      <c r="C27" s="2" t="s">
        <v>75</v>
      </c>
      <c r="D27" s="2" t="s">
        <v>84</v>
      </c>
      <c r="E27" s="6">
        <v>2.029542178347898</v>
      </c>
      <c r="F27" s="2">
        <v>559.15249999999992</v>
      </c>
      <c r="G27" s="2">
        <v>539.62</v>
      </c>
      <c r="H27" s="2">
        <v>494.29</v>
      </c>
      <c r="I27" s="2">
        <v>548.54999999999995</v>
      </c>
      <c r="J27" s="2">
        <v>545.64</v>
      </c>
      <c r="K27" s="2">
        <v>555.04999999999995</v>
      </c>
      <c r="L27" s="2">
        <v>529.65</v>
      </c>
      <c r="M27" s="2">
        <v>559.64</v>
      </c>
      <c r="N27" s="2">
        <v>539.66999999999996</v>
      </c>
      <c r="O27" s="2">
        <v>566.64</v>
      </c>
      <c r="P27" s="2">
        <v>492.19</v>
      </c>
      <c r="Q27" s="2">
        <v>553.24</v>
      </c>
      <c r="R27" s="2">
        <v>519.21</v>
      </c>
      <c r="S27" s="2">
        <v>548.66999999999996</v>
      </c>
      <c r="T27" s="2">
        <v>528.28</v>
      </c>
      <c r="U27" s="2">
        <v>571.80999999999995</v>
      </c>
      <c r="V27" s="2">
        <v>543.36</v>
      </c>
      <c r="W27" s="2">
        <v>593.16</v>
      </c>
      <c r="X27" s="2" t="s">
        <v>31</v>
      </c>
    </row>
    <row r="28" spans="2:24" x14ac:dyDescent="0.3">
      <c r="B28" s="5" t="s">
        <v>85</v>
      </c>
      <c r="C28" s="2" t="s">
        <v>86</v>
      </c>
      <c r="D28" s="2" t="s">
        <v>24</v>
      </c>
      <c r="E28" s="6">
        <v>-1.1538616440011309</v>
      </c>
      <c r="F28" s="2">
        <v>736.29499999999996</v>
      </c>
      <c r="G28" s="2">
        <v>574.66</v>
      </c>
      <c r="H28" s="2">
        <v>612.54999999999995</v>
      </c>
      <c r="I28" s="2">
        <v>640.96</v>
      </c>
      <c r="J28" s="2">
        <v>656.85</v>
      </c>
      <c r="K28" s="2">
        <v>665.67</v>
      </c>
      <c r="L28" s="2">
        <v>687.95</v>
      </c>
      <c r="M28" s="2">
        <v>704.34</v>
      </c>
      <c r="N28" s="2">
        <v>707.53</v>
      </c>
      <c r="O28" s="2">
        <v>742.64</v>
      </c>
      <c r="P28" s="2">
        <v>755.55</v>
      </c>
      <c r="Q28" s="2">
        <v>755.16</v>
      </c>
      <c r="R28" s="2">
        <v>775.74</v>
      </c>
      <c r="S28" s="2">
        <v>763.25</v>
      </c>
      <c r="T28" s="2">
        <v>743.18</v>
      </c>
      <c r="U28" s="2">
        <v>737.28</v>
      </c>
      <c r="V28" s="2">
        <v>735.85</v>
      </c>
      <c r="W28" s="2">
        <v>728.87</v>
      </c>
      <c r="X28" s="2" t="s">
        <v>31</v>
      </c>
    </row>
    <row r="29" spans="2:24" x14ac:dyDescent="0.3">
      <c r="B29" s="5" t="s">
        <v>87</v>
      </c>
      <c r="C29" s="2" t="s">
        <v>23</v>
      </c>
      <c r="D29" s="2" t="s">
        <v>24</v>
      </c>
      <c r="E29" s="6">
        <v>3.0736078031076359</v>
      </c>
      <c r="F29" s="2">
        <v>4544</v>
      </c>
      <c r="G29" s="2">
        <v>5311</v>
      </c>
      <c r="H29" s="2">
        <v>5570</v>
      </c>
      <c r="I29" s="2">
        <v>6213</v>
      </c>
      <c r="J29" s="2">
        <v>5652</v>
      </c>
      <c r="K29" s="2">
        <v>4826</v>
      </c>
      <c r="L29" s="2">
        <v>4893</v>
      </c>
      <c r="M29" s="2">
        <v>5082</v>
      </c>
      <c r="N29" s="2">
        <v>4587</v>
      </c>
      <c r="O29" s="2">
        <v>4233</v>
      </c>
      <c r="P29" s="2">
        <v>4694</v>
      </c>
      <c r="Q29" s="2">
        <v>4633</v>
      </c>
      <c r="R29" s="2">
        <v>4342</v>
      </c>
      <c r="S29" s="2">
        <v>3872</v>
      </c>
      <c r="T29" s="2">
        <v>4369</v>
      </c>
      <c r="U29" s="2">
        <v>4565</v>
      </c>
      <c r="V29" s="2">
        <v>4828</v>
      </c>
      <c r="W29" s="2">
        <v>4414</v>
      </c>
      <c r="X29" s="2" t="s">
        <v>31</v>
      </c>
    </row>
    <row r="30" spans="2:24" x14ac:dyDescent="0.3">
      <c r="B30" s="5" t="s">
        <v>88</v>
      </c>
      <c r="C30" s="2" t="s">
        <v>89</v>
      </c>
      <c r="D30" s="2" t="s">
        <v>24</v>
      </c>
      <c r="E30" s="6">
        <v>1.3765577909912841</v>
      </c>
      <c r="F30" s="2">
        <v>3111.5</v>
      </c>
      <c r="G30" s="2">
        <v>2203</v>
      </c>
      <c r="H30" s="2">
        <v>2249</v>
      </c>
      <c r="I30" s="2">
        <v>2357</v>
      </c>
      <c r="J30" s="2">
        <v>2442</v>
      </c>
      <c r="K30" s="2">
        <v>2513</v>
      </c>
      <c r="L30" s="2">
        <v>2491</v>
      </c>
      <c r="M30" s="2">
        <v>2553</v>
      </c>
      <c r="N30" s="2">
        <v>2642</v>
      </c>
      <c r="O30" s="2">
        <v>2715</v>
      </c>
      <c r="P30" s="2">
        <v>2764</v>
      </c>
      <c r="Q30" s="2">
        <v>2846</v>
      </c>
      <c r="R30" s="2">
        <v>2927</v>
      </c>
      <c r="S30" s="2">
        <v>3011</v>
      </c>
      <c r="T30" s="2">
        <v>3012</v>
      </c>
      <c r="U30" s="2">
        <v>3098</v>
      </c>
      <c r="V30" s="2">
        <v>3156</v>
      </c>
      <c r="W30" s="2">
        <v>3180</v>
      </c>
      <c r="X30" s="2" t="s">
        <v>31</v>
      </c>
    </row>
    <row r="31" spans="2:24" hidden="1" x14ac:dyDescent="0.3">
      <c r="B31" s="5" t="s">
        <v>91</v>
      </c>
      <c r="C31" s="2" t="s">
        <v>92</v>
      </c>
      <c r="D31" s="2" t="s">
        <v>28</v>
      </c>
      <c r="E31" s="2">
        <v>7.9814103859365604</v>
      </c>
      <c r="F31" s="2">
        <v>1336</v>
      </c>
      <c r="G31" s="2">
        <v>769.7</v>
      </c>
      <c r="H31" s="2">
        <v>737.9</v>
      </c>
      <c r="I31" s="2">
        <v>904.3</v>
      </c>
      <c r="J31" s="2">
        <v>838.7</v>
      </c>
      <c r="K31" s="2">
        <v>925.2</v>
      </c>
      <c r="L31" s="2">
        <v>895</v>
      </c>
      <c r="M31" s="2">
        <v>1108</v>
      </c>
      <c r="N31" s="2">
        <v>1036</v>
      </c>
      <c r="O31" s="2">
        <v>1049</v>
      </c>
      <c r="P31" s="2">
        <v>1006</v>
      </c>
      <c r="Q31" s="2">
        <v>1237</v>
      </c>
      <c r="R31" s="2">
        <v>1154</v>
      </c>
      <c r="S31" s="2">
        <v>1155</v>
      </c>
      <c r="T31" s="2">
        <v>1160</v>
      </c>
      <c r="U31" s="2">
        <v>1385</v>
      </c>
      <c r="V31" s="2">
        <v>1249</v>
      </c>
      <c r="W31" s="2">
        <v>1550</v>
      </c>
      <c r="X31" s="2" t="s">
        <v>31</v>
      </c>
    </row>
    <row r="32" spans="2:24" x14ac:dyDescent="0.3">
      <c r="B32" s="5" t="s">
        <v>93</v>
      </c>
      <c r="C32" s="2" t="s">
        <v>27</v>
      </c>
      <c r="D32" s="2" t="s">
        <v>24</v>
      </c>
      <c r="E32" s="6">
        <v>3.8277650604155111</v>
      </c>
      <c r="F32" s="2">
        <v>179.16</v>
      </c>
      <c r="G32" s="2">
        <v>164.85</v>
      </c>
      <c r="H32" s="2">
        <v>168.81</v>
      </c>
      <c r="I32" s="2">
        <v>175.06</v>
      </c>
      <c r="J32" s="2">
        <v>172.32</v>
      </c>
      <c r="K32" s="2">
        <v>178.89</v>
      </c>
      <c r="L32" s="2">
        <v>176.69</v>
      </c>
      <c r="M32" s="2">
        <v>167.6</v>
      </c>
      <c r="N32" s="2">
        <v>171.27</v>
      </c>
      <c r="O32" s="2">
        <v>158.07</v>
      </c>
      <c r="P32" s="2">
        <v>156.22</v>
      </c>
      <c r="Q32" s="2">
        <v>156.93</v>
      </c>
      <c r="R32" s="2">
        <v>162.72999999999999</v>
      </c>
      <c r="S32" s="2">
        <v>163.22999999999999</v>
      </c>
      <c r="T32" s="2">
        <v>169.87</v>
      </c>
      <c r="U32" s="2">
        <v>174.48</v>
      </c>
      <c r="V32" s="2">
        <v>182.64</v>
      </c>
      <c r="W32" s="2">
        <v>189.65</v>
      </c>
      <c r="X32" s="2" t="s">
        <v>31</v>
      </c>
    </row>
    <row r="33" spans="2:24" hidden="1" x14ac:dyDescent="0.3">
      <c r="B33" s="5" t="s">
        <v>95</v>
      </c>
      <c r="C33" s="2" t="s">
        <v>96</v>
      </c>
      <c r="D33" s="2" t="s">
        <v>97</v>
      </c>
      <c r="E33" s="2">
        <v>-0.52520118593816223</v>
      </c>
      <c r="F33" s="2">
        <v>2935.75</v>
      </c>
      <c r="G33" s="2">
        <v>3192</v>
      </c>
      <c r="H33" s="2">
        <v>3542</v>
      </c>
      <c r="I33" s="2">
        <v>3540</v>
      </c>
      <c r="J33" s="2">
        <v>3830</v>
      </c>
      <c r="K33" s="2">
        <v>4305</v>
      </c>
      <c r="L33" s="2">
        <v>4408</v>
      </c>
      <c r="M33" s="2">
        <v>4241</v>
      </c>
      <c r="N33" s="2">
        <v>4320</v>
      </c>
      <c r="O33" s="2">
        <v>4416</v>
      </c>
      <c r="P33" s="2">
        <v>4262</v>
      </c>
      <c r="Q33" s="2">
        <v>3444</v>
      </c>
      <c r="R33" s="2">
        <v>3227</v>
      </c>
      <c r="S33" s="2">
        <v>3245</v>
      </c>
      <c r="T33" s="2">
        <v>3302</v>
      </c>
      <c r="U33" s="2">
        <v>2513</v>
      </c>
      <c r="V33" s="2">
        <v>2745</v>
      </c>
      <c r="W33" s="2">
        <v>3183</v>
      </c>
      <c r="X33" s="2" t="s">
        <v>31</v>
      </c>
    </row>
  </sheetData>
  <autoFilter ref="B2:X33" xr:uid="{00000000-0001-0000-0000-000000000000}">
    <filterColumn colId="2">
      <filters>
        <filter val="('Q1 2026', &quot;Dec '25 Dec 27, 2025&quot;)"/>
        <filter val="('Q1 2026', &quot;Sep '25 Sep 30, 2025&quot;)"/>
        <filter val="('Q3 2026', &quot;Dec '25 Dec 31, 2025&quot;)"/>
        <filter val="('Q4 2025', &quot;Dec '25 Dec 26, 2025&quot;)"/>
        <filter val="('Q4 2025', &quot;Dec '25 Dec 31, 2025&quot;)"/>
      </filters>
    </filterColumn>
  </autoFilter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B1:X35"/>
  <sheetViews>
    <sheetView workbookViewId="0">
      <selection activeCell="W3" sqref="W3"/>
    </sheetView>
  </sheetViews>
  <sheetFormatPr defaultRowHeight="16.5" x14ac:dyDescent="0.3"/>
  <cols>
    <col min="1" max="1" width="6" customWidth="1"/>
    <col min="2" max="2" width="12.25" style="4" customWidth="1"/>
    <col min="3" max="3" width="29.125" customWidth="1"/>
    <col min="4" max="4" width="0" hidden="1" customWidth="1"/>
    <col min="5" max="5" width="16.875" customWidth="1"/>
    <col min="6" max="6" width="3.875" hidden="1" customWidth="1"/>
    <col min="24" max="24" width="0" hidden="1" customWidth="1"/>
  </cols>
  <sheetData>
    <row r="1" spans="2:24" x14ac:dyDescent="0.3">
      <c r="B1" s="25">
        <v>1</v>
      </c>
      <c r="C1" s="25">
        <v>2</v>
      </c>
      <c r="D1" s="4">
        <v>3</v>
      </c>
      <c r="E1" s="25">
        <v>4</v>
      </c>
      <c r="F1" s="4">
        <v>5</v>
      </c>
      <c r="G1" s="25">
        <v>6</v>
      </c>
      <c r="H1" s="25">
        <v>7</v>
      </c>
      <c r="I1" s="25">
        <v>8</v>
      </c>
      <c r="J1" s="25">
        <v>9</v>
      </c>
      <c r="K1" s="25">
        <v>10</v>
      </c>
      <c r="L1" s="25">
        <v>11</v>
      </c>
      <c r="M1" s="25">
        <v>12</v>
      </c>
      <c r="N1" s="25">
        <v>13</v>
      </c>
      <c r="O1" s="25">
        <v>14</v>
      </c>
      <c r="P1" s="25">
        <v>15</v>
      </c>
      <c r="Q1" s="25">
        <v>16</v>
      </c>
      <c r="R1" s="25">
        <v>17</v>
      </c>
      <c r="S1" s="25">
        <v>18</v>
      </c>
      <c r="T1" s="25">
        <v>19</v>
      </c>
      <c r="U1" s="25">
        <v>20</v>
      </c>
      <c r="V1" s="25">
        <v>21</v>
      </c>
      <c r="W1" s="25">
        <v>22</v>
      </c>
      <c r="X1" s="4">
        <v>23</v>
      </c>
    </row>
    <row r="2" spans="2:24" x14ac:dyDescent="0.3">
      <c r="B2" s="1" t="s">
        <v>0</v>
      </c>
      <c r="C2" s="1" t="s">
        <v>1</v>
      </c>
      <c r="D2" s="1" t="s">
        <v>2</v>
      </c>
      <c r="E2" s="1" t="s">
        <v>98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Q2" s="1" t="s">
        <v>14</v>
      </c>
      <c r="R2" s="1" t="s">
        <v>15</v>
      </c>
      <c r="S2" s="1" t="s">
        <v>16</v>
      </c>
      <c r="T2" s="1" t="s">
        <v>17</v>
      </c>
      <c r="U2" s="1" t="s">
        <v>18</v>
      </c>
      <c r="V2" s="1" t="s">
        <v>19</v>
      </c>
      <c r="W2" s="1" t="s">
        <v>20</v>
      </c>
      <c r="X2" s="1" t="s">
        <v>21</v>
      </c>
    </row>
    <row r="3" spans="2:24" x14ac:dyDescent="0.3">
      <c r="B3" s="5" t="s">
        <v>77</v>
      </c>
      <c r="C3" s="2" t="s">
        <v>52</v>
      </c>
      <c r="D3" s="2" t="s">
        <v>24</v>
      </c>
      <c r="E3" s="7">
        <v>99.28400954653938</v>
      </c>
      <c r="F3" s="2">
        <v>417.5</v>
      </c>
      <c r="G3" s="39">
        <v>-27</v>
      </c>
      <c r="H3" s="39">
        <v>-651</v>
      </c>
      <c r="I3" s="39">
        <v>-434</v>
      </c>
      <c r="J3" s="39">
        <v>-666</v>
      </c>
      <c r="K3" s="39">
        <v>561</v>
      </c>
      <c r="L3" s="39">
        <v>-151</v>
      </c>
      <c r="M3" s="39">
        <v>286</v>
      </c>
      <c r="N3" s="40">
        <v>-392</v>
      </c>
      <c r="O3" s="39">
        <v>412</v>
      </c>
      <c r="P3" s="40">
        <v>443</v>
      </c>
      <c r="Q3" s="39">
        <v>-48</v>
      </c>
      <c r="R3" s="40">
        <v>346</v>
      </c>
      <c r="S3" s="39">
        <v>122</v>
      </c>
      <c r="T3" s="39">
        <v>50</v>
      </c>
      <c r="U3" s="39">
        <v>-140</v>
      </c>
      <c r="V3" s="40">
        <v>806</v>
      </c>
      <c r="W3" s="40">
        <v>954</v>
      </c>
      <c r="X3" s="2" t="s">
        <v>25</v>
      </c>
    </row>
    <row r="4" spans="2:24" hidden="1" x14ac:dyDescent="0.3">
      <c r="B4" s="5" t="s">
        <v>26</v>
      </c>
      <c r="C4" s="2" t="s">
        <v>27</v>
      </c>
      <c r="D4" s="2" t="s">
        <v>28</v>
      </c>
      <c r="E4" s="2">
        <v>9.5622435020519703</v>
      </c>
      <c r="F4" s="2">
        <v>20.022500000000001</v>
      </c>
      <c r="G4" s="2">
        <v>13.3</v>
      </c>
      <c r="H4" s="2">
        <v>12.63</v>
      </c>
      <c r="I4" s="2">
        <v>13.52</v>
      </c>
      <c r="J4" s="2">
        <v>14.03</v>
      </c>
      <c r="K4" s="2">
        <v>16.53</v>
      </c>
      <c r="L4" s="3">
        <v>18.77</v>
      </c>
      <c r="M4" s="2">
        <v>18.5</v>
      </c>
      <c r="N4" s="2">
        <v>17.170000000000002</v>
      </c>
      <c r="O4" s="2">
        <v>15.8</v>
      </c>
      <c r="P4" s="2">
        <v>15.15</v>
      </c>
      <c r="Q4" s="2">
        <v>14.96</v>
      </c>
      <c r="R4" s="2">
        <v>15.15</v>
      </c>
      <c r="S4" s="2">
        <v>15.24</v>
      </c>
      <c r="T4" s="2">
        <v>19.37</v>
      </c>
      <c r="U4" s="2">
        <v>18.39</v>
      </c>
      <c r="V4" s="2">
        <v>20.100000000000001</v>
      </c>
      <c r="W4" s="2">
        <v>22.23</v>
      </c>
      <c r="X4" s="2" t="s">
        <v>29</v>
      </c>
    </row>
    <row r="5" spans="2:24" x14ac:dyDescent="0.3">
      <c r="B5" s="5" t="s">
        <v>51</v>
      </c>
      <c r="C5" s="2" t="s">
        <v>52</v>
      </c>
      <c r="D5" s="2" t="s">
        <v>24</v>
      </c>
      <c r="E5" s="7">
        <v>72.660858271551504</v>
      </c>
      <c r="F5" s="2">
        <v>79.765000000000001</v>
      </c>
      <c r="G5" s="39">
        <v>14.06</v>
      </c>
      <c r="H5" s="39">
        <v>117.21</v>
      </c>
      <c r="I5" s="39">
        <v>29.34</v>
      </c>
      <c r="J5" s="39">
        <v>-46.67</v>
      </c>
      <c r="K5" s="40">
        <v>43.29</v>
      </c>
      <c r="L5" s="39">
        <v>-41.72</v>
      </c>
      <c r="M5" s="39">
        <v>54.34</v>
      </c>
      <c r="N5" s="40">
        <v>-43.05</v>
      </c>
      <c r="O5" s="39">
        <v>24.31</v>
      </c>
      <c r="P5" s="39">
        <v>40.119999999999997</v>
      </c>
      <c r="Q5" s="39">
        <v>-8.3000000000000007</v>
      </c>
      <c r="R5" s="40">
        <v>31</v>
      </c>
      <c r="S5" s="40">
        <v>51.09</v>
      </c>
      <c r="T5" s="39">
        <v>-3.08</v>
      </c>
      <c r="U5" s="39">
        <v>-13.61</v>
      </c>
      <c r="V5" s="40">
        <v>150.38999999999999</v>
      </c>
      <c r="W5" s="40">
        <v>185.36</v>
      </c>
      <c r="X5" s="2" t="s">
        <v>31</v>
      </c>
    </row>
    <row r="6" spans="2:24" x14ac:dyDescent="0.3">
      <c r="B6" s="5" t="s">
        <v>61</v>
      </c>
      <c r="C6" s="2" t="s">
        <v>62</v>
      </c>
      <c r="D6" s="2" t="s">
        <v>63</v>
      </c>
      <c r="E6" s="7">
        <v>16.97318007662836</v>
      </c>
      <c r="F6" s="2">
        <v>7.6325000000000003</v>
      </c>
      <c r="G6" s="39">
        <v>1.62</v>
      </c>
      <c r="H6" s="39">
        <v>2.64</v>
      </c>
      <c r="I6" s="39">
        <v>3.25</v>
      </c>
      <c r="J6" s="39">
        <v>2.99</v>
      </c>
      <c r="K6" s="40">
        <v>3.68</v>
      </c>
      <c r="L6" s="39">
        <v>3.51</v>
      </c>
      <c r="M6" s="39">
        <v>1.72</v>
      </c>
      <c r="N6" s="39">
        <v>3.56</v>
      </c>
      <c r="O6" s="40">
        <v>7.75</v>
      </c>
      <c r="P6" s="39">
        <v>3.51</v>
      </c>
      <c r="Q6" s="40">
        <v>6.01</v>
      </c>
      <c r="R6" s="39">
        <v>4.2300000000000004</v>
      </c>
      <c r="S6" s="39">
        <v>7.24</v>
      </c>
      <c r="T6" s="40">
        <v>5.76</v>
      </c>
      <c r="U6" s="39">
        <v>4.54</v>
      </c>
      <c r="V6" s="40">
        <v>8.56</v>
      </c>
      <c r="W6" s="40">
        <v>11.67</v>
      </c>
      <c r="X6" s="2" t="s">
        <v>34</v>
      </c>
    </row>
    <row r="7" spans="2:24" hidden="1" x14ac:dyDescent="0.3">
      <c r="B7" s="5" t="s">
        <v>35</v>
      </c>
      <c r="C7" s="2" t="s">
        <v>36</v>
      </c>
      <c r="D7" s="2" t="s">
        <v>28</v>
      </c>
      <c r="E7" s="2">
        <v>11.25822007891275</v>
      </c>
      <c r="F7" s="2">
        <v>63.445</v>
      </c>
      <c r="G7" s="2">
        <v>35.840000000000003</v>
      </c>
      <c r="H7" s="2">
        <v>38.479999999999997</v>
      </c>
      <c r="I7" s="2">
        <v>9.85</v>
      </c>
      <c r="J7" s="2">
        <v>35.92</v>
      </c>
      <c r="K7" s="2">
        <v>37.56</v>
      </c>
      <c r="L7" s="3">
        <v>73.05</v>
      </c>
      <c r="M7" s="2">
        <v>-24.43</v>
      </c>
      <c r="N7" s="3">
        <v>81.790000000000006</v>
      </c>
      <c r="O7" s="2">
        <v>40.07</v>
      </c>
      <c r="P7" s="2">
        <v>52.49</v>
      </c>
      <c r="Q7" s="2">
        <v>-44.4</v>
      </c>
      <c r="R7" s="2">
        <v>34.229999999999997</v>
      </c>
      <c r="S7" s="2">
        <v>29.15</v>
      </c>
      <c r="T7" s="3">
        <v>127.18</v>
      </c>
      <c r="U7" s="3">
        <v>31.09</v>
      </c>
      <c r="V7" s="2">
        <v>40.68</v>
      </c>
      <c r="W7" s="3">
        <v>54.83</v>
      </c>
      <c r="X7" s="2" t="s">
        <v>37</v>
      </c>
    </row>
    <row r="8" spans="2:24" hidden="1" x14ac:dyDescent="0.3">
      <c r="B8" s="5" t="s">
        <v>38</v>
      </c>
      <c r="C8" s="2" t="s">
        <v>39</v>
      </c>
      <c r="D8" s="2" t="s">
        <v>28</v>
      </c>
      <c r="E8" s="2">
        <v>-13.806172171088249</v>
      </c>
      <c r="F8" s="2">
        <v>3.98</v>
      </c>
      <c r="G8" s="2">
        <v>23.96</v>
      </c>
      <c r="H8" s="2">
        <v>26.24</v>
      </c>
      <c r="I8" s="2">
        <v>31.32</v>
      </c>
      <c r="J8" s="2">
        <v>36.130000000000003</v>
      </c>
      <c r="K8" s="2">
        <v>32.700000000000003</v>
      </c>
      <c r="L8" s="2">
        <v>29.83</v>
      </c>
      <c r="M8" s="2">
        <v>23.76</v>
      </c>
      <c r="N8" s="2">
        <v>24.66</v>
      </c>
      <c r="O8" s="2">
        <v>14.22</v>
      </c>
      <c r="P8" s="2">
        <v>13.86</v>
      </c>
      <c r="Q8" s="2">
        <v>11.08</v>
      </c>
      <c r="R8" s="2">
        <v>7.44</v>
      </c>
      <c r="S8" s="2">
        <v>3.39</v>
      </c>
      <c r="T8" s="2">
        <v>6.34</v>
      </c>
      <c r="U8" s="2">
        <v>4.1900000000000004</v>
      </c>
      <c r="V8" s="2">
        <v>4.55</v>
      </c>
      <c r="W8" s="2">
        <v>0.84</v>
      </c>
      <c r="X8" s="2" t="s">
        <v>31</v>
      </c>
    </row>
    <row r="9" spans="2:24" hidden="1" x14ac:dyDescent="0.3">
      <c r="B9" s="5" t="s">
        <v>40</v>
      </c>
      <c r="C9" s="2" t="s">
        <v>27</v>
      </c>
      <c r="D9" s="2" t="s">
        <v>28</v>
      </c>
      <c r="E9" s="2">
        <v>-0.2513916322499532</v>
      </c>
      <c r="F9" s="2">
        <v>27.774999999999999</v>
      </c>
      <c r="G9" s="2">
        <v>10.58</v>
      </c>
      <c r="H9" s="2">
        <v>10.34</v>
      </c>
      <c r="I9" s="2">
        <v>8.81</v>
      </c>
      <c r="J9" s="2">
        <v>0.22</v>
      </c>
      <c r="K9" s="3">
        <v>34.14</v>
      </c>
      <c r="L9" s="3">
        <v>30.85</v>
      </c>
      <c r="M9" s="3">
        <v>33.42</v>
      </c>
      <c r="N9" s="3">
        <v>35.659999999999997</v>
      </c>
      <c r="O9" s="2">
        <v>31.99</v>
      </c>
      <c r="P9" s="2">
        <v>30.41</v>
      </c>
      <c r="Q9" s="2">
        <v>15.29</v>
      </c>
      <c r="R9" s="2">
        <v>31.1</v>
      </c>
      <c r="S9" s="2">
        <v>28.57</v>
      </c>
      <c r="T9" s="2">
        <v>20.16</v>
      </c>
      <c r="U9" s="3">
        <v>29.69</v>
      </c>
      <c r="V9" s="2">
        <v>32.96</v>
      </c>
      <c r="W9" s="2">
        <v>28.29</v>
      </c>
      <c r="X9" s="2" t="s">
        <v>41</v>
      </c>
    </row>
    <row r="10" spans="2:24" x14ac:dyDescent="0.3">
      <c r="B10" s="5" t="s">
        <v>93</v>
      </c>
      <c r="C10" s="2" t="s">
        <v>27</v>
      </c>
      <c r="D10" s="2" t="s">
        <v>24</v>
      </c>
      <c r="E10" s="7">
        <v>11.059771089444689</v>
      </c>
      <c r="F10" s="2">
        <v>65.497500000000002</v>
      </c>
      <c r="G10" s="39">
        <v>76.98</v>
      </c>
      <c r="H10" s="39">
        <v>70.44</v>
      </c>
      <c r="I10" s="39">
        <v>74.62</v>
      </c>
      <c r="J10" s="39">
        <v>66.569999999999993</v>
      </c>
      <c r="K10" s="39">
        <v>79.010000000000005</v>
      </c>
      <c r="L10" s="39">
        <v>62.77</v>
      </c>
      <c r="M10" s="39">
        <v>61.07</v>
      </c>
      <c r="N10" s="39">
        <v>63.67</v>
      </c>
      <c r="O10" s="39">
        <v>39.61</v>
      </c>
      <c r="P10" s="39">
        <v>48.36</v>
      </c>
      <c r="Q10" s="39">
        <v>45.31</v>
      </c>
      <c r="R10" s="39">
        <v>52.64</v>
      </c>
      <c r="S10" s="39">
        <v>51.54</v>
      </c>
      <c r="T10" s="39">
        <v>56.16</v>
      </c>
      <c r="U10" s="39">
        <v>60.45</v>
      </c>
      <c r="V10" s="39">
        <v>67.75</v>
      </c>
      <c r="W10" s="40">
        <v>77.63</v>
      </c>
      <c r="X10" s="2" t="s">
        <v>31</v>
      </c>
    </row>
    <row r="11" spans="2:24" hidden="1" x14ac:dyDescent="0.3">
      <c r="B11" s="5" t="s">
        <v>43</v>
      </c>
      <c r="C11" s="2" t="s">
        <v>27</v>
      </c>
      <c r="D11" s="2" t="s">
        <v>28</v>
      </c>
      <c r="E11" s="2">
        <v>16.95375397865568</v>
      </c>
      <c r="F11" s="2">
        <v>31.232500000000002</v>
      </c>
      <c r="G11" s="2">
        <v>26.4</v>
      </c>
      <c r="H11" s="2">
        <v>22.43</v>
      </c>
      <c r="I11" s="2">
        <v>9.74</v>
      </c>
      <c r="J11" s="2">
        <v>28.78</v>
      </c>
      <c r="K11" s="2">
        <v>30.73</v>
      </c>
      <c r="L11" s="2">
        <v>29.94</v>
      </c>
      <c r="M11" s="3">
        <v>25.26</v>
      </c>
      <c r="N11" s="2">
        <v>26.88</v>
      </c>
      <c r="O11" s="2">
        <v>26.04</v>
      </c>
      <c r="P11" s="2">
        <v>25.47</v>
      </c>
      <c r="Q11" s="2">
        <v>23.18</v>
      </c>
      <c r="R11" s="2">
        <v>26.6</v>
      </c>
      <c r="S11" s="2">
        <v>25.64</v>
      </c>
      <c r="T11" s="2">
        <v>28.68</v>
      </c>
      <c r="U11" s="2">
        <v>13.33</v>
      </c>
      <c r="V11" s="3">
        <v>39.17</v>
      </c>
      <c r="W11" s="3">
        <v>43.75</v>
      </c>
      <c r="X11" s="2" t="s">
        <v>44</v>
      </c>
    </row>
    <row r="12" spans="2:24" hidden="1" x14ac:dyDescent="0.3">
      <c r="B12" s="5" t="s">
        <v>45</v>
      </c>
      <c r="C12" s="2" t="s">
        <v>27</v>
      </c>
      <c r="D12" s="2" t="s">
        <v>28</v>
      </c>
      <c r="E12" s="2">
        <v>-21.459595688776879</v>
      </c>
      <c r="F12" s="2">
        <v>36.6175</v>
      </c>
      <c r="G12" s="2">
        <v>45.86</v>
      </c>
      <c r="H12" s="2">
        <v>39.32</v>
      </c>
      <c r="I12" s="2">
        <v>35.9</v>
      </c>
      <c r="J12" s="2">
        <v>43.28</v>
      </c>
      <c r="K12" s="2">
        <v>49.29</v>
      </c>
      <c r="L12" s="2">
        <v>45.23</v>
      </c>
      <c r="M12" s="2">
        <v>43.99</v>
      </c>
      <c r="N12" s="2">
        <v>43.56</v>
      </c>
      <c r="O12" s="2">
        <v>50.68</v>
      </c>
      <c r="P12" s="2">
        <v>36.85</v>
      </c>
      <c r="Q12" s="2">
        <v>37.74</v>
      </c>
      <c r="R12" s="2">
        <v>5.94</v>
      </c>
      <c r="S12" s="2">
        <v>43.49</v>
      </c>
      <c r="T12" s="2">
        <v>42.37</v>
      </c>
      <c r="U12" s="3">
        <v>56.53</v>
      </c>
      <c r="V12" s="3">
        <v>44.1</v>
      </c>
      <c r="W12" s="2">
        <v>3.47</v>
      </c>
      <c r="X12" s="2" t="s">
        <v>46</v>
      </c>
    </row>
    <row r="13" spans="2:24" hidden="1" x14ac:dyDescent="0.3">
      <c r="B13" s="5" t="s">
        <v>47</v>
      </c>
      <c r="C13" s="2" t="s">
        <v>27</v>
      </c>
      <c r="D13" s="2" t="s">
        <v>28</v>
      </c>
      <c r="E13" s="2">
        <v>10.41222602051077</v>
      </c>
      <c r="F13" s="2">
        <v>68.635000000000005</v>
      </c>
      <c r="G13" s="2">
        <v>18.34</v>
      </c>
      <c r="H13" s="2">
        <v>64.66</v>
      </c>
      <c r="I13" s="2">
        <v>61.07</v>
      </c>
      <c r="J13" s="2">
        <v>57.73</v>
      </c>
      <c r="K13" s="3">
        <v>64.23</v>
      </c>
      <c r="L13" s="2">
        <v>76.44</v>
      </c>
      <c r="M13" s="2">
        <v>71.260000000000005</v>
      </c>
      <c r="N13" s="2">
        <v>62.69</v>
      </c>
      <c r="O13" s="2">
        <v>57.05</v>
      </c>
      <c r="P13" s="2">
        <v>55.53</v>
      </c>
      <c r="Q13" s="2">
        <v>50.63</v>
      </c>
      <c r="R13" s="2">
        <v>57.19</v>
      </c>
      <c r="S13" s="2">
        <v>62.78</v>
      </c>
      <c r="T13" s="2">
        <v>60.65</v>
      </c>
      <c r="U13" s="2">
        <v>61.03</v>
      </c>
      <c r="V13" s="2">
        <v>64.19</v>
      </c>
      <c r="W13" s="3">
        <v>88.67</v>
      </c>
      <c r="X13" s="2" t="s">
        <v>48</v>
      </c>
    </row>
    <row r="14" spans="2:24" hidden="1" x14ac:dyDescent="0.3">
      <c r="B14" s="5" t="s">
        <v>49</v>
      </c>
      <c r="C14" s="2" t="s">
        <v>27</v>
      </c>
      <c r="D14" s="2" t="s">
        <v>28</v>
      </c>
      <c r="E14" s="2">
        <v>3.417396961463393</v>
      </c>
      <c r="F14" s="2">
        <v>67.56</v>
      </c>
      <c r="G14" s="2">
        <v>61.83</v>
      </c>
      <c r="H14" s="2">
        <v>54.68</v>
      </c>
      <c r="I14" s="2">
        <v>55.85</v>
      </c>
      <c r="J14" s="2">
        <v>42.87</v>
      </c>
      <c r="K14" s="2">
        <v>73.55</v>
      </c>
      <c r="L14" s="3">
        <v>83.41</v>
      </c>
      <c r="M14" s="2">
        <v>75.400000000000006</v>
      </c>
      <c r="N14" s="3">
        <v>71.56</v>
      </c>
      <c r="O14" s="2">
        <v>65.37</v>
      </c>
      <c r="P14" s="2">
        <v>46.9</v>
      </c>
      <c r="Q14" s="2">
        <v>54.77</v>
      </c>
      <c r="R14" s="2">
        <v>43.99</v>
      </c>
      <c r="S14" s="2">
        <v>56.35</v>
      </c>
      <c r="T14" s="3">
        <v>76.62</v>
      </c>
      <c r="U14" s="2">
        <v>63.22</v>
      </c>
      <c r="V14" s="2">
        <v>65.12</v>
      </c>
      <c r="W14" s="2">
        <v>65.28</v>
      </c>
      <c r="X14" s="2" t="s">
        <v>50</v>
      </c>
    </row>
    <row r="15" spans="2:24" x14ac:dyDescent="0.3">
      <c r="B15" s="5" t="s">
        <v>70</v>
      </c>
      <c r="C15" s="2" t="s">
        <v>71</v>
      </c>
      <c r="D15" s="2" t="s">
        <v>72</v>
      </c>
      <c r="E15" s="6">
        <v>6.9812180428289414</v>
      </c>
      <c r="F15" s="2">
        <v>105.66</v>
      </c>
      <c r="G15" s="39">
        <v>75.05</v>
      </c>
      <c r="H15" s="39">
        <v>79.209999999999994</v>
      </c>
      <c r="I15" s="39">
        <v>95.61</v>
      </c>
      <c r="J15" s="39">
        <v>104.44</v>
      </c>
      <c r="K15" s="40">
        <v>129.06</v>
      </c>
      <c r="L15" s="40">
        <v>121.41</v>
      </c>
      <c r="M15" s="39">
        <v>107.66</v>
      </c>
      <c r="N15" s="39">
        <v>103.59</v>
      </c>
      <c r="O15" s="39">
        <v>89.77</v>
      </c>
      <c r="P15" s="39">
        <v>79.239999999999995</v>
      </c>
      <c r="Q15" s="39">
        <v>84.16</v>
      </c>
      <c r="R15" s="39">
        <v>92.56</v>
      </c>
      <c r="S15" s="39">
        <v>90.05</v>
      </c>
      <c r="T15" s="39">
        <v>92.61</v>
      </c>
      <c r="U15" s="39">
        <v>103.43</v>
      </c>
      <c r="V15" s="39">
        <v>108.97</v>
      </c>
      <c r="W15" s="39">
        <v>117.63</v>
      </c>
      <c r="X15" s="2" t="s">
        <v>53</v>
      </c>
    </row>
    <row r="16" spans="2:24" hidden="1" x14ac:dyDescent="0.3">
      <c r="B16" s="5" t="s">
        <v>54</v>
      </c>
      <c r="C16" s="2" t="s">
        <v>27</v>
      </c>
      <c r="D16" s="2" t="s">
        <v>28</v>
      </c>
      <c r="E16" s="2">
        <v>13.3809357947289</v>
      </c>
      <c r="F16" s="2">
        <v>48.827500000000001</v>
      </c>
      <c r="G16" s="2">
        <v>48.48</v>
      </c>
      <c r="H16" s="2">
        <v>48.09</v>
      </c>
      <c r="I16" s="2">
        <v>50.27</v>
      </c>
      <c r="J16" s="2">
        <v>48.73</v>
      </c>
      <c r="K16" s="2">
        <v>50.47</v>
      </c>
      <c r="L16" s="2">
        <v>46.68</v>
      </c>
      <c r="M16" s="2">
        <v>43.24</v>
      </c>
      <c r="N16" s="2">
        <v>38.729999999999997</v>
      </c>
      <c r="O16" s="2">
        <v>31.7</v>
      </c>
      <c r="P16" s="2">
        <v>39.78</v>
      </c>
      <c r="Q16" s="2">
        <v>43.21</v>
      </c>
      <c r="R16" s="2">
        <v>41.92</v>
      </c>
      <c r="S16" s="3">
        <v>48.78</v>
      </c>
      <c r="T16" s="2">
        <v>45.55</v>
      </c>
      <c r="U16" s="2">
        <v>47.22</v>
      </c>
      <c r="V16" s="2">
        <v>30.71</v>
      </c>
      <c r="W16" s="3">
        <v>71.83</v>
      </c>
      <c r="X16" s="2" t="s">
        <v>55</v>
      </c>
    </row>
    <row r="17" spans="2:24" hidden="1" x14ac:dyDescent="0.3">
      <c r="B17" s="5" t="s">
        <v>56</v>
      </c>
      <c r="C17" s="2" t="s">
        <v>57</v>
      </c>
      <c r="D17" s="2" t="s">
        <v>28</v>
      </c>
      <c r="E17" s="2">
        <v>8.6866291135487614</v>
      </c>
      <c r="F17" s="2">
        <v>-9.1649999999999991</v>
      </c>
      <c r="G17" s="2">
        <v>-13.16</v>
      </c>
      <c r="H17" s="2">
        <v>-14.56</v>
      </c>
      <c r="I17" s="2">
        <v>-13.08</v>
      </c>
      <c r="J17" s="2">
        <v>-10.71</v>
      </c>
      <c r="K17" s="3">
        <v>-42.85</v>
      </c>
      <c r="L17" s="2">
        <v>-19.149999999999999</v>
      </c>
      <c r="M17" s="2">
        <v>-20.13</v>
      </c>
      <c r="N17" s="2">
        <v>-16.670000000000002</v>
      </c>
      <c r="O17" s="2">
        <v>-14.04</v>
      </c>
      <c r="P17" s="2">
        <v>-15.61</v>
      </c>
      <c r="Q17" s="2">
        <v>-11.45</v>
      </c>
      <c r="R17" s="2">
        <v>-7.96</v>
      </c>
      <c r="S17" s="2">
        <v>-6.81</v>
      </c>
      <c r="T17" s="2">
        <v>-5.73</v>
      </c>
      <c r="U17" s="2">
        <v>-13.76</v>
      </c>
      <c r="V17" s="2">
        <v>-7.43</v>
      </c>
      <c r="W17" s="2">
        <v>-9.74</v>
      </c>
      <c r="X17" s="2" t="s">
        <v>58</v>
      </c>
    </row>
    <row r="18" spans="2:24" hidden="1" x14ac:dyDescent="0.3">
      <c r="B18" s="5" t="s">
        <v>59</v>
      </c>
      <c r="C18" s="2" t="s">
        <v>27</v>
      </c>
      <c r="D18" s="2" t="s">
        <v>28</v>
      </c>
      <c r="E18" s="2">
        <v>5.5982007529457922</v>
      </c>
      <c r="F18" s="2">
        <v>53.994999999999997</v>
      </c>
      <c r="G18" s="2">
        <v>43.55</v>
      </c>
      <c r="H18" s="2">
        <v>45.14</v>
      </c>
      <c r="I18" s="2">
        <v>46.57</v>
      </c>
      <c r="J18" s="2">
        <v>42.09</v>
      </c>
      <c r="K18" s="2">
        <v>51.43</v>
      </c>
      <c r="L18" s="2">
        <v>40.36</v>
      </c>
      <c r="M18" s="2">
        <v>39.9</v>
      </c>
      <c r="N18" s="2">
        <v>38.21</v>
      </c>
      <c r="O18" s="2">
        <v>45.75</v>
      </c>
      <c r="P18" s="2">
        <v>29.74</v>
      </c>
      <c r="Q18" s="2">
        <v>42.42</v>
      </c>
      <c r="R18" s="2">
        <v>48.33</v>
      </c>
      <c r="S18" s="2">
        <v>46.65</v>
      </c>
      <c r="T18" s="3">
        <v>47.33</v>
      </c>
      <c r="U18" s="2">
        <v>51.2</v>
      </c>
      <c r="V18" s="2">
        <v>59.35</v>
      </c>
      <c r="W18" s="2">
        <v>58.1</v>
      </c>
      <c r="X18" s="2" t="s">
        <v>60</v>
      </c>
    </row>
    <row r="19" spans="2:24" x14ac:dyDescent="0.3">
      <c r="B19" s="5" t="s">
        <v>42</v>
      </c>
      <c r="C19" s="2" t="s">
        <v>27</v>
      </c>
      <c r="D19" s="2" t="s">
        <v>24</v>
      </c>
      <c r="E19" s="6">
        <v>6.0104676684112679</v>
      </c>
      <c r="F19" s="2">
        <v>31.395</v>
      </c>
      <c r="G19" s="39">
        <v>29.79</v>
      </c>
      <c r="H19" s="39">
        <v>28.18</v>
      </c>
      <c r="I19" s="39">
        <v>31.26</v>
      </c>
      <c r="J19" s="39">
        <v>34.76</v>
      </c>
      <c r="K19" s="39">
        <v>30.96</v>
      </c>
      <c r="L19" s="39">
        <v>28.05</v>
      </c>
      <c r="M19" s="39">
        <v>16.489999999999998</v>
      </c>
      <c r="N19" s="39">
        <v>29.73</v>
      </c>
      <c r="O19" s="39">
        <v>36.06</v>
      </c>
      <c r="P19" s="39">
        <v>27.8</v>
      </c>
      <c r="Q19" s="39">
        <v>26.92</v>
      </c>
      <c r="R19" s="39">
        <v>27.74</v>
      </c>
      <c r="S19" s="39">
        <v>29.23</v>
      </c>
      <c r="T19" s="39">
        <v>24.24</v>
      </c>
      <c r="U19" s="39">
        <v>32.93</v>
      </c>
      <c r="V19" s="39">
        <v>32.06</v>
      </c>
      <c r="W19" s="39">
        <v>36.35</v>
      </c>
      <c r="X19" s="2" t="s">
        <v>64</v>
      </c>
    </row>
    <row r="20" spans="2:24" x14ac:dyDescent="0.3">
      <c r="B20" s="5" t="s">
        <v>22</v>
      </c>
      <c r="C20" s="2" t="s">
        <v>23</v>
      </c>
      <c r="D20" s="2" t="s">
        <v>24</v>
      </c>
      <c r="E20" s="6">
        <v>5.6013598309742729</v>
      </c>
      <c r="F20" s="2">
        <v>664.75</v>
      </c>
      <c r="G20" s="39">
        <v>3021</v>
      </c>
      <c r="H20" s="39">
        <v>2934</v>
      </c>
      <c r="I20" s="39">
        <v>3541</v>
      </c>
      <c r="J20" s="39">
        <v>2357</v>
      </c>
      <c r="K20" s="39">
        <v>1579</v>
      </c>
      <c r="L20" s="39">
        <v>1608</v>
      </c>
      <c r="M20" s="39">
        <v>2048</v>
      </c>
      <c r="N20" s="39">
        <v>1535</v>
      </c>
      <c r="O20" s="39">
        <v>1038</v>
      </c>
      <c r="P20" s="39">
        <v>1178</v>
      </c>
      <c r="Q20" s="39">
        <v>900</v>
      </c>
      <c r="R20" s="39">
        <v>514</v>
      </c>
      <c r="S20" s="39">
        <v>386.96</v>
      </c>
      <c r="T20" s="39">
        <v>324</v>
      </c>
      <c r="U20" s="39">
        <v>919</v>
      </c>
      <c r="V20" s="40">
        <v>888</v>
      </c>
      <c r="W20" s="39">
        <v>528</v>
      </c>
      <c r="X20" s="2" t="s">
        <v>66</v>
      </c>
    </row>
    <row r="21" spans="2:24" hidden="1" x14ac:dyDescent="0.3">
      <c r="B21" s="5" t="s">
        <v>67</v>
      </c>
      <c r="C21" s="2" t="s">
        <v>68</v>
      </c>
      <c r="D21" s="2" t="s">
        <v>28</v>
      </c>
      <c r="E21" s="2">
        <v>47.490661036218953</v>
      </c>
      <c r="F21" s="2">
        <v>22.702500000000001</v>
      </c>
      <c r="G21" s="2">
        <v>74.95</v>
      </c>
      <c r="H21" s="2">
        <v>48.32</v>
      </c>
      <c r="I21" s="2">
        <v>213.28</v>
      </c>
      <c r="J21" s="2">
        <v>146.04</v>
      </c>
      <c r="K21" s="2">
        <v>65.13</v>
      </c>
      <c r="L21" s="2">
        <v>9.31</v>
      </c>
      <c r="M21" s="2">
        <v>15.15</v>
      </c>
      <c r="N21" s="2">
        <v>13.22</v>
      </c>
      <c r="O21" s="2">
        <v>19.68</v>
      </c>
      <c r="P21" s="2">
        <v>-0.2</v>
      </c>
      <c r="Q21" s="2">
        <v>-4.5599999999999996</v>
      </c>
      <c r="R21" s="3">
        <v>17.649999999999999</v>
      </c>
      <c r="S21" s="2">
        <v>7.37</v>
      </c>
      <c r="T21" s="3">
        <v>13.54</v>
      </c>
      <c r="U21" s="3">
        <v>27.16</v>
      </c>
      <c r="V21" s="2">
        <v>13.5</v>
      </c>
      <c r="W21" s="3">
        <v>36.61</v>
      </c>
      <c r="X21" s="2" t="s">
        <v>69</v>
      </c>
    </row>
    <row r="22" spans="2:24" x14ac:dyDescent="0.3">
      <c r="B22" s="5" t="s">
        <v>87</v>
      </c>
      <c r="C22" s="2" t="s">
        <v>23</v>
      </c>
      <c r="D22" s="2" t="s">
        <v>24</v>
      </c>
      <c r="E22" s="6">
        <v>5.1829311745506867</v>
      </c>
      <c r="F22" s="2">
        <v>368.9975</v>
      </c>
      <c r="G22" s="39">
        <v>1429</v>
      </c>
      <c r="H22" s="39">
        <v>1495</v>
      </c>
      <c r="I22" s="39">
        <v>1618</v>
      </c>
      <c r="J22" s="39">
        <v>1220</v>
      </c>
      <c r="K22" s="39">
        <v>759.05</v>
      </c>
      <c r="L22" s="39">
        <v>835.36</v>
      </c>
      <c r="M22" s="39">
        <v>1064</v>
      </c>
      <c r="N22" s="39">
        <v>733.55</v>
      </c>
      <c r="O22" s="39">
        <v>518.54</v>
      </c>
      <c r="P22" s="39">
        <v>750.98</v>
      </c>
      <c r="Q22" s="39">
        <v>559.12</v>
      </c>
      <c r="R22" s="39">
        <v>395.44</v>
      </c>
      <c r="S22" s="39">
        <v>237.5</v>
      </c>
      <c r="T22" s="39">
        <v>275.14</v>
      </c>
      <c r="U22" s="39">
        <v>382.86</v>
      </c>
      <c r="V22" s="39">
        <v>507.76</v>
      </c>
      <c r="W22" s="39">
        <v>310.23</v>
      </c>
      <c r="X22" s="2" t="s">
        <v>66</v>
      </c>
    </row>
    <row r="23" spans="2:24" hidden="1" x14ac:dyDescent="0.3">
      <c r="B23" s="5" t="s">
        <v>73</v>
      </c>
      <c r="C23" s="2" t="s">
        <v>27</v>
      </c>
      <c r="D23" s="2" t="s">
        <v>28</v>
      </c>
      <c r="E23" s="2">
        <v>5.8806709874190011</v>
      </c>
      <c r="F23" s="2">
        <v>277.72500000000002</v>
      </c>
      <c r="G23" s="2">
        <v>302.39999999999998</v>
      </c>
      <c r="H23" s="2">
        <v>310</v>
      </c>
      <c r="I23" s="2">
        <v>298.2</v>
      </c>
      <c r="J23" s="2">
        <v>323.60000000000002</v>
      </c>
      <c r="K23" s="2">
        <v>329.6</v>
      </c>
      <c r="L23" s="2">
        <v>364.7</v>
      </c>
      <c r="M23" s="2">
        <v>184.6</v>
      </c>
      <c r="N23" s="2">
        <v>260.10000000000002</v>
      </c>
      <c r="O23" s="2">
        <v>277.89999999999998</v>
      </c>
      <c r="P23" s="2">
        <v>211</v>
      </c>
      <c r="Q23" s="2">
        <v>231.8</v>
      </c>
      <c r="R23" s="2">
        <v>247.9</v>
      </c>
      <c r="S23" s="2">
        <v>252.1</v>
      </c>
      <c r="T23" s="2">
        <v>259.39999999999998</v>
      </c>
      <c r="U23" s="2">
        <v>246.4</v>
      </c>
      <c r="V23" s="2">
        <v>291.3</v>
      </c>
      <c r="W23" s="2">
        <v>313.8</v>
      </c>
      <c r="X23" s="2" t="s">
        <v>31</v>
      </c>
    </row>
    <row r="24" spans="2:24" x14ac:dyDescent="0.3">
      <c r="B24" s="5" t="s">
        <v>32</v>
      </c>
      <c r="C24" s="2" t="s">
        <v>27</v>
      </c>
      <c r="D24" s="2" t="s">
        <v>33</v>
      </c>
      <c r="E24" s="6">
        <v>5.0994431185362066</v>
      </c>
      <c r="F24" s="2">
        <v>33.027500000000003</v>
      </c>
      <c r="G24" s="39">
        <v>14.09</v>
      </c>
      <c r="H24" s="39">
        <v>16.43</v>
      </c>
      <c r="I24" s="39">
        <v>15.25</v>
      </c>
      <c r="J24" s="39">
        <v>15.79</v>
      </c>
      <c r="K24" s="39">
        <v>11.82</v>
      </c>
      <c r="L24" s="39">
        <v>16.02</v>
      </c>
      <c r="M24" s="39">
        <v>18.920000000000002</v>
      </c>
      <c r="N24" s="39">
        <v>18.45</v>
      </c>
      <c r="O24" s="40">
        <v>22.32</v>
      </c>
      <c r="P24" s="39">
        <v>22.36</v>
      </c>
      <c r="Q24" s="39">
        <v>21.03</v>
      </c>
      <c r="R24" s="39">
        <v>22.4</v>
      </c>
      <c r="S24" s="39">
        <v>25.01</v>
      </c>
      <c r="T24" s="40">
        <v>33.43</v>
      </c>
      <c r="U24" s="39">
        <v>29.52</v>
      </c>
      <c r="V24" s="40">
        <v>37.74</v>
      </c>
      <c r="W24" s="39">
        <v>31.42</v>
      </c>
      <c r="X24" s="2" t="s">
        <v>76</v>
      </c>
    </row>
    <row r="25" spans="2:24" x14ac:dyDescent="0.3">
      <c r="B25" s="5" t="s">
        <v>83</v>
      </c>
      <c r="C25" s="2" t="s">
        <v>75</v>
      </c>
      <c r="D25" s="2" t="s">
        <v>84</v>
      </c>
      <c r="E25" s="6">
        <v>4.967046546752707</v>
      </c>
      <c r="F25" s="2">
        <v>152.89500000000001</v>
      </c>
      <c r="G25" s="39">
        <v>134.03</v>
      </c>
      <c r="H25" s="39">
        <v>119.35</v>
      </c>
      <c r="I25" s="39">
        <v>149.08000000000001</v>
      </c>
      <c r="J25" s="39">
        <v>144.15</v>
      </c>
      <c r="K25" s="39">
        <v>149.52000000000001</v>
      </c>
      <c r="L25" s="39">
        <v>156.13</v>
      </c>
      <c r="M25" s="39">
        <v>156.52000000000001</v>
      </c>
      <c r="N25" s="39">
        <v>161.94</v>
      </c>
      <c r="O25" s="39">
        <v>127.46</v>
      </c>
      <c r="P25" s="39">
        <v>131.80000000000001</v>
      </c>
      <c r="Q25" s="39">
        <v>160.84</v>
      </c>
      <c r="R25" s="39">
        <v>144.82</v>
      </c>
      <c r="S25" s="39">
        <v>129.63999999999999</v>
      </c>
      <c r="T25" s="39">
        <v>144.41</v>
      </c>
      <c r="U25" s="39">
        <v>157.38999999999999</v>
      </c>
      <c r="V25" s="39">
        <v>151.19999999999999</v>
      </c>
      <c r="W25" s="39">
        <v>158.58000000000001</v>
      </c>
      <c r="X25" s="2" t="s">
        <v>78</v>
      </c>
    </row>
    <row r="26" spans="2:24" hidden="1" x14ac:dyDescent="0.3">
      <c r="B26" s="5" t="s">
        <v>79</v>
      </c>
      <c r="C26" s="2" t="s">
        <v>80</v>
      </c>
      <c r="D26" s="2" t="s">
        <v>81</v>
      </c>
      <c r="E26" s="2">
        <v>-9.4930086559497635</v>
      </c>
      <c r="F26" s="2">
        <v>47.575000000000003</v>
      </c>
      <c r="G26" s="2">
        <v>5.26</v>
      </c>
      <c r="H26" s="2">
        <v>14.19</v>
      </c>
      <c r="I26" s="2">
        <v>25.57</v>
      </c>
      <c r="J26" s="2">
        <v>41.19</v>
      </c>
      <c r="K26" s="3">
        <v>52.9</v>
      </c>
      <c r="L26" s="3">
        <v>62.9</v>
      </c>
      <c r="M26" s="2">
        <v>37</v>
      </c>
      <c r="N26" s="3">
        <v>60.93</v>
      </c>
      <c r="O26" s="2">
        <v>12.2</v>
      </c>
      <c r="P26" s="2">
        <v>51.83</v>
      </c>
      <c r="Q26" s="2">
        <v>-89.57</v>
      </c>
      <c r="R26" s="2">
        <v>50.04</v>
      </c>
      <c r="S26" s="3">
        <v>57.17</v>
      </c>
      <c r="T26" s="2">
        <v>46.7</v>
      </c>
      <c r="U26" s="3">
        <v>49.1</v>
      </c>
      <c r="V26" s="2">
        <v>57.29</v>
      </c>
      <c r="W26" s="2">
        <v>37.21</v>
      </c>
      <c r="X26" s="2" t="s">
        <v>82</v>
      </c>
    </row>
    <row r="27" spans="2:24" x14ac:dyDescent="0.3">
      <c r="B27" s="5" t="s">
        <v>74</v>
      </c>
      <c r="C27" s="2" t="s">
        <v>75</v>
      </c>
      <c r="D27" s="2" t="s">
        <v>24</v>
      </c>
      <c r="E27" s="6">
        <v>3.8786673296867362</v>
      </c>
      <c r="F27" s="2">
        <v>104.45</v>
      </c>
      <c r="G27" s="39">
        <v>58.1</v>
      </c>
      <c r="H27" s="39">
        <v>66.900000000000006</v>
      </c>
      <c r="I27" s="39">
        <v>47.7</v>
      </c>
      <c r="J27" s="39">
        <v>50.8</v>
      </c>
      <c r="K27" s="39">
        <v>20.9</v>
      </c>
      <c r="L27" s="39">
        <v>76</v>
      </c>
      <c r="M27" s="39">
        <v>61.6</v>
      </c>
      <c r="N27" s="40">
        <v>74.900000000000006</v>
      </c>
      <c r="O27" s="40">
        <v>65.099999999999994</v>
      </c>
      <c r="P27" s="39">
        <v>81.3</v>
      </c>
      <c r="Q27" s="39">
        <v>89.3</v>
      </c>
      <c r="R27" s="39">
        <v>99.5</v>
      </c>
      <c r="S27" s="39">
        <v>86.2</v>
      </c>
      <c r="T27" s="39">
        <v>97.1</v>
      </c>
      <c r="U27" s="39">
        <v>101.7</v>
      </c>
      <c r="V27" s="39">
        <v>117.2</v>
      </c>
      <c r="W27" s="39">
        <v>101.8</v>
      </c>
      <c r="X27" s="2" t="s">
        <v>31</v>
      </c>
    </row>
    <row r="28" spans="2:24" x14ac:dyDescent="0.3">
      <c r="B28" s="5" t="s">
        <v>65</v>
      </c>
      <c r="C28" s="2" t="s">
        <v>27</v>
      </c>
      <c r="D28" s="2" t="s">
        <v>24</v>
      </c>
      <c r="E28" s="6">
        <v>3.5025698202485471</v>
      </c>
      <c r="F28" s="2">
        <v>95.152500000000003</v>
      </c>
      <c r="G28" s="39">
        <v>71.89</v>
      </c>
      <c r="H28" s="39">
        <v>5.7</v>
      </c>
      <c r="I28" s="39">
        <v>83.33</v>
      </c>
      <c r="J28" s="39">
        <v>99.11</v>
      </c>
      <c r="K28" s="40">
        <v>112.47</v>
      </c>
      <c r="L28" s="40">
        <v>83.6</v>
      </c>
      <c r="M28" s="39">
        <v>91.63</v>
      </c>
      <c r="N28" s="39">
        <v>97.17</v>
      </c>
      <c r="O28" s="39">
        <v>92.87</v>
      </c>
      <c r="P28" s="39">
        <v>86.93</v>
      </c>
      <c r="Q28" s="39">
        <v>90.47</v>
      </c>
      <c r="R28" s="39">
        <v>85.52</v>
      </c>
      <c r="S28" s="39">
        <v>84.35</v>
      </c>
      <c r="T28" s="39">
        <v>86.97</v>
      </c>
      <c r="U28" s="39">
        <v>95.54</v>
      </c>
      <c r="V28" s="39">
        <v>100.87</v>
      </c>
      <c r="W28" s="39">
        <v>97.23</v>
      </c>
      <c r="X28" s="2" t="s">
        <v>31</v>
      </c>
    </row>
    <row r="29" spans="2:24" x14ac:dyDescent="0.3">
      <c r="B29" s="5" t="s">
        <v>85</v>
      </c>
      <c r="C29" s="2" t="s">
        <v>86</v>
      </c>
      <c r="D29" s="2" t="s">
        <v>24</v>
      </c>
      <c r="E29" s="6">
        <v>-0.64473827996940347</v>
      </c>
      <c r="F29" s="2">
        <v>159.11000000000001</v>
      </c>
      <c r="G29" s="39">
        <v>123.32</v>
      </c>
      <c r="H29" s="39">
        <v>152.37</v>
      </c>
      <c r="I29" s="39">
        <v>162.22</v>
      </c>
      <c r="J29" s="39">
        <v>153.82</v>
      </c>
      <c r="K29" s="39">
        <v>158.63</v>
      </c>
      <c r="L29" s="39">
        <v>180.56</v>
      </c>
      <c r="M29" s="39">
        <v>182.81</v>
      </c>
      <c r="N29" s="39">
        <v>180.99</v>
      </c>
      <c r="O29" s="39">
        <v>190.32</v>
      </c>
      <c r="P29" s="39">
        <v>216.34</v>
      </c>
      <c r="Q29" s="39">
        <v>214.26</v>
      </c>
      <c r="R29" s="39">
        <v>220.54</v>
      </c>
      <c r="S29" s="39">
        <v>185.25</v>
      </c>
      <c r="T29" s="39">
        <v>158.52000000000001</v>
      </c>
      <c r="U29" s="39">
        <v>153.34</v>
      </c>
      <c r="V29" s="39">
        <v>143.46</v>
      </c>
      <c r="W29" s="39">
        <v>181.12</v>
      </c>
      <c r="X29" s="2" t="s">
        <v>31</v>
      </c>
    </row>
    <row r="30" spans="2:24" x14ac:dyDescent="0.3">
      <c r="B30" s="5" t="s">
        <v>30</v>
      </c>
      <c r="C30" s="2" t="s">
        <v>27</v>
      </c>
      <c r="D30" s="2" t="s">
        <v>24</v>
      </c>
      <c r="E30" s="6">
        <v>-1.4057929993395499</v>
      </c>
      <c r="F30" s="2">
        <v>26.125</v>
      </c>
      <c r="G30" s="39">
        <v>18.68</v>
      </c>
      <c r="H30" s="39">
        <v>18.399999999999999</v>
      </c>
      <c r="I30" s="39">
        <v>18.940000000000001</v>
      </c>
      <c r="J30" s="39">
        <v>21.24</v>
      </c>
      <c r="K30" s="39">
        <v>17.62</v>
      </c>
      <c r="L30" s="39">
        <v>12.13</v>
      </c>
      <c r="M30" s="39">
        <v>25.04</v>
      </c>
      <c r="N30" s="39">
        <v>26.62</v>
      </c>
      <c r="O30" s="39">
        <v>24.79</v>
      </c>
      <c r="P30" s="39">
        <v>20.52</v>
      </c>
      <c r="Q30" s="39">
        <v>24.95</v>
      </c>
      <c r="R30" s="39">
        <v>24.51</v>
      </c>
      <c r="S30" s="39">
        <v>27.4</v>
      </c>
      <c r="T30" s="39">
        <v>25.5</v>
      </c>
      <c r="U30" s="39">
        <v>26.36</v>
      </c>
      <c r="V30" s="39">
        <v>26.73</v>
      </c>
      <c r="W30" s="39">
        <v>25.91</v>
      </c>
      <c r="X30" s="2" t="s">
        <v>90</v>
      </c>
    </row>
    <row r="31" spans="2:24" hidden="1" x14ac:dyDescent="0.3">
      <c r="B31" s="5" t="s">
        <v>91</v>
      </c>
      <c r="C31" s="2" t="s">
        <v>92</v>
      </c>
      <c r="D31" s="2" t="s">
        <v>28</v>
      </c>
      <c r="E31" s="2">
        <v>6.6438356164383539</v>
      </c>
      <c r="F31" s="2">
        <v>389.25</v>
      </c>
      <c r="G31" s="2">
        <v>235.1</v>
      </c>
      <c r="H31" s="2">
        <v>171.3</v>
      </c>
      <c r="I31" s="2">
        <v>283.89999999999998</v>
      </c>
      <c r="J31" s="2">
        <v>231.8</v>
      </c>
      <c r="K31" s="2">
        <v>233.8</v>
      </c>
      <c r="L31" s="2">
        <v>229.2</v>
      </c>
      <c r="M31" s="2">
        <v>329</v>
      </c>
      <c r="N31" s="2">
        <v>297</v>
      </c>
      <c r="O31" s="2">
        <v>302</v>
      </c>
      <c r="P31" s="2">
        <v>233</v>
      </c>
      <c r="Q31" s="2">
        <v>391</v>
      </c>
      <c r="R31" s="2">
        <v>341</v>
      </c>
      <c r="S31" s="2">
        <v>327</v>
      </c>
      <c r="T31" s="2">
        <v>309</v>
      </c>
      <c r="U31" s="2">
        <v>450</v>
      </c>
      <c r="V31" s="2">
        <v>374</v>
      </c>
      <c r="W31" s="2">
        <v>424</v>
      </c>
      <c r="X31" s="2" t="s">
        <v>31</v>
      </c>
    </row>
    <row r="32" spans="2:24" x14ac:dyDescent="0.3">
      <c r="B32" s="5" t="s">
        <v>88</v>
      </c>
      <c r="C32" s="2" t="s">
        <v>89</v>
      </c>
      <c r="D32" s="2" t="s">
        <v>24</v>
      </c>
      <c r="E32" s="6">
        <v>-3.9938436664386678</v>
      </c>
      <c r="F32" s="2">
        <v>617.54999999999995</v>
      </c>
      <c r="G32" s="39">
        <v>385.44</v>
      </c>
      <c r="H32" s="39">
        <v>763.24</v>
      </c>
      <c r="I32" s="39">
        <v>214.46</v>
      </c>
      <c r="J32" s="39">
        <v>276.98</v>
      </c>
      <c r="K32" s="39">
        <v>544.45000000000005</v>
      </c>
      <c r="L32" s="39">
        <v>417.4</v>
      </c>
      <c r="M32" s="40">
        <v>500.27</v>
      </c>
      <c r="N32" s="39">
        <v>429.34</v>
      </c>
      <c r="O32" s="39">
        <v>566.65</v>
      </c>
      <c r="P32" s="39">
        <v>592.62</v>
      </c>
      <c r="Q32" s="39">
        <v>509.26</v>
      </c>
      <c r="R32" s="39">
        <v>530.79</v>
      </c>
      <c r="S32" s="39">
        <v>706.35</v>
      </c>
      <c r="T32" s="39">
        <v>589.71</v>
      </c>
      <c r="U32" s="39">
        <v>609.04</v>
      </c>
      <c r="V32" s="39">
        <v>667.86</v>
      </c>
      <c r="W32" s="39">
        <v>603.59</v>
      </c>
      <c r="X32" s="2" t="s">
        <v>94</v>
      </c>
    </row>
    <row r="33" spans="2:24" hidden="1" x14ac:dyDescent="0.3">
      <c r="B33" s="5" t="s">
        <v>95</v>
      </c>
      <c r="C33" s="2" t="s">
        <v>96</v>
      </c>
      <c r="D33" s="2" t="s">
        <v>97</v>
      </c>
      <c r="E33" s="2">
        <v>-20.38961038961039</v>
      </c>
      <c r="F33" s="2">
        <v>153.25</v>
      </c>
      <c r="G33" s="2">
        <v>606</v>
      </c>
      <c r="H33" s="2">
        <v>894</v>
      </c>
      <c r="I33" s="2">
        <v>880</v>
      </c>
      <c r="J33" s="2">
        <v>999</v>
      </c>
      <c r="K33" s="3">
        <v>1268</v>
      </c>
      <c r="L33" s="3">
        <v>1322</v>
      </c>
      <c r="M33" s="2">
        <v>1195</v>
      </c>
      <c r="N33" s="2">
        <v>1136</v>
      </c>
      <c r="O33" s="2">
        <v>1233</v>
      </c>
      <c r="P33" s="2">
        <v>1025</v>
      </c>
      <c r="Q33" s="2">
        <v>546</v>
      </c>
      <c r="R33" s="2">
        <v>372</v>
      </c>
      <c r="S33" s="2">
        <v>368</v>
      </c>
      <c r="T33" s="2">
        <v>364</v>
      </c>
      <c r="U33" s="2">
        <v>-1</v>
      </c>
      <c r="V33" s="2">
        <v>39</v>
      </c>
      <c r="W33" s="2">
        <v>211</v>
      </c>
      <c r="X33" s="2" t="s">
        <v>66</v>
      </c>
    </row>
    <row r="35" spans="2:24" x14ac:dyDescent="0.3">
      <c r="B35" s="38" t="s">
        <v>216</v>
      </c>
    </row>
  </sheetData>
  <autoFilter ref="B2:W33" xr:uid="{00000000-0001-0000-0000-000000000000}">
    <filterColumn colId="2">
      <filters>
        <filter val="('Q1 2026', &quot;Dec '25 Dec 27, 2025&quot;)"/>
        <filter val="('Q1 2026', &quot;Sep '25 Sep 30, 2025&quot;)"/>
        <filter val="('Q3 2026', &quot;Dec '25 Dec 31, 2025&quot;)"/>
        <filter val="('Q4 2025', &quot;Dec '25 Dec 26, 2025&quot;)"/>
        <filter val="('Q4 2025', &quot;Dec '25 Dec 31, 2025&quot;)"/>
      </filters>
    </filterColumn>
    <sortState xmlns:xlrd2="http://schemas.microsoft.com/office/spreadsheetml/2017/richdata2" ref="B3:W32">
      <sortCondition descending="1" ref="E2:E33"/>
    </sortState>
  </autoFilter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B793D-1284-4417-A833-CF43653B33D4}">
  <dimension ref="B2:W14"/>
  <sheetViews>
    <sheetView tabSelected="1" workbookViewId="0">
      <selection activeCell="I16" sqref="I16"/>
    </sheetView>
  </sheetViews>
  <sheetFormatPr defaultRowHeight="16.5" x14ac:dyDescent="0.3"/>
  <cols>
    <col min="2" max="2" width="19.25" customWidth="1"/>
    <col min="3" max="6" width="9" hidden="1" customWidth="1"/>
    <col min="7" max="7" width="10.25" bestFit="1" customWidth="1"/>
    <col min="18" max="18" width="10.625" bestFit="1" customWidth="1"/>
  </cols>
  <sheetData>
    <row r="2" spans="2:23" x14ac:dyDescent="0.3">
      <c r="B2" s="5" t="s">
        <v>99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2:23" x14ac:dyDescent="0.3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8"/>
      <c r="U3" s="8"/>
      <c r="V3" s="8"/>
      <c r="W3" s="8"/>
    </row>
    <row r="4" spans="2:23" x14ac:dyDescent="0.3">
      <c r="B4" s="9" t="s">
        <v>222</v>
      </c>
      <c r="C4" s="25">
        <v>6</v>
      </c>
      <c r="D4" s="25">
        <v>7</v>
      </c>
      <c r="E4" s="25">
        <v>8</v>
      </c>
      <c r="F4" s="25">
        <v>9</v>
      </c>
      <c r="G4" s="25">
        <v>10</v>
      </c>
      <c r="H4" s="25">
        <v>11</v>
      </c>
      <c r="I4" s="25">
        <v>12</v>
      </c>
      <c r="J4" s="25">
        <v>13</v>
      </c>
      <c r="K4" s="25">
        <v>14</v>
      </c>
      <c r="L4" s="25">
        <v>15</v>
      </c>
      <c r="M4" s="25">
        <v>16</v>
      </c>
      <c r="N4" s="25">
        <v>17</v>
      </c>
      <c r="O4" s="25">
        <v>18</v>
      </c>
      <c r="P4" s="25">
        <v>19</v>
      </c>
      <c r="Q4" s="25">
        <v>20</v>
      </c>
      <c r="R4" s="25">
        <v>21</v>
      </c>
      <c r="S4" s="25">
        <v>22</v>
      </c>
      <c r="T4" s="8"/>
      <c r="U4" s="8"/>
      <c r="V4" s="8"/>
      <c r="W4" s="8"/>
    </row>
    <row r="5" spans="2:23" x14ac:dyDescent="0.3"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 spans="2:23" x14ac:dyDescent="0.3">
      <c r="B6" s="10"/>
      <c r="C6" s="11" t="s">
        <v>100</v>
      </c>
      <c r="D6" s="11" t="s">
        <v>101</v>
      </c>
      <c r="E6" s="11" t="s">
        <v>102</v>
      </c>
      <c r="F6" s="11" t="s">
        <v>103</v>
      </c>
      <c r="G6" s="11" t="s">
        <v>104</v>
      </c>
      <c r="H6" s="11" t="s">
        <v>9</v>
      </c>
      <c r="I6" s="11" t="s">
        <v>105</v>
      </c>
      <c r="J6" s="11" t="s">
        <v>106</v>
      </c>
      <c r="K6" s="11" t="s">
        <v>107</v>
      </c>
      <c r="L6" s="11" t="s">
        <v>13</v>
      </c>
      <c r="M6" s="11" t="s">
        <v>14</v>
      </c>
      <c r="N6" s="11" t="s">
        <v>15</v>
      </c>
      <c r="O6" s="11" t="s">
        <v>16</v>
      </c>
      <c r="P6" s="11" t="s">
        <v>17</v>
      </c>
      <c r="Q6" s="11" t="s">
        <v>18</v>
      </c>
      <c r="R6" s="11" t="s">
        <v>19</v>
      </c>
      <c r="S6" s="12" t="s">
        <v>20</v>
      </c>
      <c r="T6" s="11" t="s">
        <v>108</v>
      </c>
      <c r="U6" s="11" t="s">
        <v>109</v>
      </c>
      <c r="V6" s="11" t="s">
        <v>110</v>
      </c>
      <c r="W6" s="11" t="s">
        <v>111</v>
      </c>
    </row>
    <row r="7" spans="2:23" x14ac:dyDescent="0.3">
      <c r="B7" s="8" t="s">
        <v>112</v>
      </c>
      <c r="C7" s="13">
        <f>VLOOKUP($B$4,'매출 DATA'!$B$1:$W$32,C4,FALSE)</f>
        <v>39.46</v>
      </c>
      <c r="D7" s="13">
        <f>VLOOKUP($B$4,'매출 DATA'!$B$1:$W$32,D4,FALSE)</f>
        <v>46.56</v>
      </c>
      <c r="E7" s="13">
        <f>VLOOKUP($B$4,'매출 DATA'!$B$1:$W$32,E4,FALSE)</f>
        <v>47.51</v>
      </c>
      <c r="F7" s="13">
        <f>VLOOKUP($B$4,'매출 DATA'!$B$1:$W$32,F4,FALSE)</f>
        <v>47.74</v>
      </c>
      <c r="G7" s="13">
        <f>VLOOKUP($B$4,'매출 DATA'!$B$1:$W$32,G4,FALSE)</f>
        <v>49.92</v>
      </c>
      <c r="H7" s="13">
        <f>VLOOKUP($B$4,'매출 DATA'!$B$1:$W$32,H4,FALSE)</f>
        <v>52.9</v>
      </c>
      <c r="I7" s="13">
        <f>VLOOKUP($B$4,'매출 DATA'!$B$1:$W$32,I4,FALSE)</f>
        <v>56.06</v>
      </c>
      <c r="J7" s="13">
        <f>VLOOKUP($B$4,'매출 DATA'!$B$1:$W$32,J4,FALSE)</f>
        <v>58.62</v>
      </c>
      <c r="K7" s="13">
        <f>VLOOKUP($B$4,'매출 DATA'!$B$1:$W$32,K4,FALSE)</f>
        <v>60.57</v>
      </c>
      <c r="L7" s="13">
        <f>VLOOKUP($B$4,'매출 DATA'!$B$1:$W$32,L4,FALSE)</f>
        <v>62.22</v>
      </c>
      <c r="M7" s="13">
        <f>VLOOKUP($B$4,'매출 DATA'!$B$1:$W$32,M4,FALSE)</f>
        <v>63.51</v>
      </c>
      <c r="N7" s="13">
        <f>VLOOKUP($B$4,'매출 DATA'!$B$1:$W$32,N4,FALSE)</f>
        <v>68.28</v>
      </c>
      <c r="O7" s="13">
        <f>VLOOKUP($B$4,'매출 DATA'!$B$1:$W$32,O4,FALSE)</f>
        <v>69.56</v>
      </c>
      <c r="P7" s="13">
        <f>VLOOKUP($B$4,'매출 DATA'!$B$1:$W$32,P4,FALSE)</f>
        <v>74.27</v>
      </c>
      <c r="Q7" s="13">
        <f>VLOOKUP($B$4,'매출 DATA'!$B$1:$W$32,Q4,FALSE)</f>
        <v>76.680000000000007</v>
      </c>
      <c r="R7" s="13">
        <f>VLOOKUP($B$4,'매출 DATA'!$B$1:$W$32,R4,FALSE)</f>
        <v>79.3</v>
      </c>
      <c r="S7" s="13">
        <f>VLOOKUP($B$4,'매출 DATA'!$B$1:$W$32,S4,FALSE)</f>
        <v>80.39</v>
      </c>
      <c r="T7" s="13"/>
      <c r="U7" s="13"/>
      <c r="V7" s="13"/>
      <c r="W7" s="13"/>
    </row>
    <row r="8" spans="2:23" x14ac:dyDescent="0.3">
      <c r="B8" s="8" t="s">
        <v>113</v>
      </c>
      <c r="C8" s="14">
        <f>VLOOKUP($B$4,'영업이익 DATA'!$B$1:$W$32,C4,FALSE)</f>
        <v>1.62</v>
      </c>
      <c r="D8" s="14">
        <f>VLOOKUP($B$4,'영업이익 DATA'!$B$1:$W$32,D4,FALSE)</f>
        <v>2.64</v>
      </c>
      <c r="E8" s="14">
        <f>VLOOKUP($B$4,'영업이익 DATA'!$B$1:$W$32,E4,FALSE)</f>
        <v>3.25</v>
      </c>
      <c r="F8" s="14">
        <f>VLOOKUP($B$4,'영업이익 DATA'!$B$1:$W$32,F4,FALSE)</f>
        <v>2.99</v>
      </c>
      <c r="G8" s="14">
        <f>VLOOKUP($B$4,'영업이익 DATA'!$B$1:$W$32,G4,FALSE)</f>
        <v>3.68</v>
      </c>
      <c r="H8" s="14">
        <f>VLOOKUP($B$4,'영업이익 DATA'!$B$1:$W$32,H4,FALSE)</f>
        <v>3.51</v>
      </c>
      <c r="I8" s="14">
        <f>VLOOKUP($B$4,'영업이익 DATA'!$B$1:$W$32,I4,FALSE)</f>
        <v>1.72</v>
      </c>
      <c r="J8" s="14">
        <f>VLOOKUP($B$4,'영업이익 DATA'!$B$1:$W$32,J4,FALSE)</f>
        <v>3.56</v>
      </c>
      <c r="K8" s="14">
        <f>VLOOKUP($B$4,'영업이익 DATA'!$B$1:$W$32,K4,FALSE)</f>
        <v>7.75</v>
      </c>
      <c r="L8" s="14">
        <f>VLOOKUP($B$4,'영업이익 DATA'!$B$1:$W$32,L4,FALSE)</f>
        <v>3.51</v>
      </c>
      <c r="M8" s="14">
        <f>VLOOKUP($B$4,'영업이익 DATA'!$B$1:$W$32,M4,FALSE)</f>
        <v>6.01</v>
      </c>
      <c r="N8" s="14">
        <f>VLOOKUP($B$4,'영업이익 DATA'!$B$1:$W$32,N4,FALSE)</f>
        <v>4.2300000000000004</v>
      </c>
      <c r="O8" s="14">
        <f>VLOOKUP($B$4,'영업이익 DATA'!$B$1:$W$32,O4,FALSE)</f>
        <v>7.24</v>
      </c>
      <c r="P8" s="14">
        <f>VLOOKUP($B$4,'영업이익 DATA'!$B$1:$W$32,P4,FALSE)</f>
        <v>5.76</v>
      </c>
      <c r="Q8" s="14">
        <f>VLOOKUP($B$4,'영업이익 DATA'!$B$1:$W$32,Q4,FALSE)</f>
        <v>4.54</v>
      </c>
      <c r="R8" s="14">
        <f>VLOOKUP($B$4,'영업이익 DATA'!$B$1:$W$32,R4,FALSE)</f>
        <v>8.56</v>
      </c>
      <c r="S8" s="15">
        <f>VLOOKUP($B$4,'영업이익 DATA'!$B$1:$W$32,S4,FALSE)</f>
        <v>11.67</v>
      </c>
      <c r="T8" s="13"/>
      <c r="U8" s="13"/>
      <c r="V8" s="13"/>
      <c r="W8" s="13"/>
    </row>
    <row r="9" spans="2:23" x14ac:dyDescent="0.3">
      <c r="B9" s="8" t="s">
        <v>114</v>
      </c>
      <c r="C9" s="14">
        <f>AVERAGE(C8:C8)</f>
        <v>1.62</v>
      </c>
      <c r="D9" s="14">
        <f>AVERAGE(C8:D8)</f>
        <v>2.13</v>
      </c>
      <c r="E9" s="14">
        <f>AVERAGE(C8:E8)</f>
        <v>2.5033333333333334</v>
      </c>
      <c r="F9" s="14">
        <f t="shared" ref="F9:R9" si="0">AVERAGE(C8:F8)</f>
        <v>2.625</v>
      </c>
      <c r="G9" s="14">
        <f t="shared" si="0"/>
        <v>3.14</v>
      </c>
      <c r="H9" s="14">
        <f t="shared" si="0"/>
        <v>3.3574999999999999</v>
      </c>
      <c r="I9" s="14">
        <f t="shared" si="0"/>
        <v>2.9750000000000001</v>
      </c>
      <c r="J9" s="14">
        <f t="shared" si="0"/>
        <v>3.1175000000000002</v>
      </c>
      <c r="K9" s="14">
        <f t="shared" si="0"/>
        <v>4.1349999999999998</v>
      </c>
      <c r="L9" s="14">
        <f t="shared" si="0"/>
        <v>4.1349999999999998</v>
      </c>
      <c r="M9" s="14">
        <f t="shared" si="0"/>
        <v>5.2074999999999996</v>
      </c>
      <c r="N9" s="14">
        <f t="shared" si="0"/>
        <v>5.375</v>
      </c>
      <c r="O9" s="14">
        <f t="shared" si="0"/>
        <v>5.2475000000000005</v>
      </c>
      <c r="P9" s="14">
        <f t="shared" si="0"/>
        <v>5.8100000000000005</v>
      </c>
      <c r="Q9" s="14">
        <f t="shared" si="0"/>
        <v>5.4424999999999999</v>
      </c>
      <c r="R9" s="14">
        <f t="shared" si="0"/>
        <v>6.5250000000000004</v>
      </c>
      <c r="S9" s="15">
        <f>AVERAGE(P8:S8)</f>
        <v>7.6325000000000003</v>
      </c>
      <c r="T9" s="13"/>
      <c r="U9" s="13"/>
      <c r="V9" s="13"/>
      <c r="W9" s="13"/>
    </row>
    <row r="10" spans="2:23" x14ac:dyDescent="0.3">
      <c r="B10" s="8" t="s">
        <v>115</v>
      </c>
      <c r="C10" s="14">
        <f>SUM(C8:C8)</f>
        <v>1.62</v>
      </c>
      <c r="D10" s="14">
        <f>SUM(C8:D8)</f>
        <v>4.26</v>
      </c>
      <c r="E10" s="14">
        <f>SUM(C8:E8)</f>
        <v>7.51</v>
      </c>
      <c r="F10" s="14">
        <f t="shared" ref="F10:S10" si="1">SUM(C8:F8)</f>
        <v>10.5</v>
      </c>
      <c r="G10" s="14">
        <f t="shared" si="1"/>
        <v>12.56</v>
      </c>
      <c r="H10" s="14">
        <f t="shared" si="1"/>
        <v>13.43</v>
      </c>
      <c r="I10" s="14">
        <f t="shared" si="1"/>
        <v>11.9</v>
      </c>
      <c r="J10" s="14">
        <f t="shared" si="1"/>
        <v>12.47</v>
      </c>
      <c r="K10" s="14">
        <f t="shared" si="1"/>
        <v>16.54</v>
      </c>
      <c r="L10" s="14">
        <f t="shared" si="1"/>
        <v>16.54</v>
      </c>
      <c r="M10" s="14">
        <f t="shared" si="1"/>
        <v>20.83</v>
      </c>
      <c r="N10" s="14">
        <f t="shared" si="1"/>
        <v>21.5</v>
      </c>
      <c r="O10" s="14">
        <f t="shared" si="1"/>
        <v>20.990000000000002</v>
      </c>
      <c r="P10" s="14">
        <f t="shared" si="1"/>
        <v>23.240000000000002</v>
      </c>
      <c r="Q10" s="14">
        <f t="shared" si="1"/>
        <v>21.77</v>
      </c>
      <c r="R10" s="14">
        <f t="shared" si="1"/>
        <v>26.1</v>
      </c>
      <c r="S10" s="15">
        <f t="shared" si="1"/>
        <v>30.53</v>
      </c>
      <c r="T10" s="13"/>
      <c r="U10" s="13"/>
      <c r="V10" s="13"/>
      <c r="W10" s="13"/>
    </row>
    <row r="11" spans="2:23" x14ac:dyDescent="0.3">
      <c r="B11" s="8" t="s">
        <v>116</v>
      </c>
      <c r="C11" s="16"/>
      <c r="D11" s="16">
        <f t="shared" ref="D11:S11" si="2">D9/C9-1</f>
        <v>0.31481481481481466</v>
      </c>
      <c r="E11" s="16">
        <f t="shared" si="2"/>
        <v>0.17527386541471057</v>
      </c>
      <c r="F11" s="16">
        <f t="shared" si="2"/>
        <v>4.8601864181091914E-2</v>
      </c>
      <c r="G11" s="16">
        <f t="shared" si="2"/>
        <v>0.19619047619047625</v>
      </c>
      <c r="H11" s="16">
        <f t="shared" si="2"/>
        <v>6.9267515923566725E-2</v>
      </c>
      <c r="I11" s="16">
        <f t="shared" si="2"/>
        <v>-0.11392405063291133</v>
      </c>
      <c r="J11" s="16">
        <f t="shared" si="2"/>
        <v>4.7899159663865598E-2</v>
      </c>
      <c r="K11" s="16">
        <f t="shared" si="2"/>
        <v>0.32638331996792291</v>
      </c>
      <c r="L11" s="16">
        <f t="shared" si="2"/>
        <v>0</v>
      </c>
      <c r="M11" s="16">
        <f t="shared" si="2"/>
        <v>0.25937122128174117</v>
      </c>
      <c r="N11" s="16">
        <f t="shared" si="2"/>
        <v>3.2165146423427826E-2</v>
      </c>
      <c r="O11" s="16">
        <f t="shared" si="2"/>
        <v>-2.3720930232558057E-2</v>
      </c>
      <c r="P11" s="17">
        <f t="shared" si="2"/>
        <v>0.10719390185802768</v>
      </c>
      <c r="Q11" s="17">
        <f t="shared" si="2"/>
        <v>-6.3253012048192891E-2</v>
      </c>
      <c r="R11" s="17">
        <f t="shared" si="2"/>
        <v>0.19889756545705106</v>
      </c>
      <c r="S11" s="18">
        <f t="shared" si="2"/>
        <v>0.16973180076628358</v>
      </c>
      <c r="T11" s="19"/>
      <c r="U11" s="19"/>
      <c r="V11" s="19"/>
      <c r="W11" s="19"/>
    </row>
    <row r="12" spans="2:23" x14ac:dyDescent="0.3">
      <c r="B12" s="8" t="s">
        <v>117</v>
      </c>
      <c r="C12" s="20">
        <f t="shared" ref="C12:F12" si="3">IFERROR(C8/C7,"-")</f>
        <v>4.1054232133806386E-2</v>
      </c>
      <c r="D12" s="20">
        <f t="shared" si="3"/>
        <v>5.6701030927835051E-2</v>
      </c>
      <c r="E12" s="20">
        <f t="shared" si="3"/>
        <v>6.8406651231319726E-2</v>
      </c>
      <c r="F12" s="20">
        <f t="shared" si="3"/>
        <v>6.2630917469627151E-2</v>
      </c>
      <c r="G12" s="20">
        <f>IFERROR(G8/G7,"-")</f>
        <v>7.371794871794872E-2</v>
      </c>
      <c r="H12" s="20">
        <f t="shared" ref="H12:S12" si="4">IFERROR(H8/H7,"-")</f>
        <v>6.6351606805293006E-2</v>
      </c>
      <c r="I12" s="20">
        <f t="shared" si="4"/>
        <v>3.0681412772029966E-2</v>
      </c>
      <c r="J12" s="20">
        <f t="shared" si="4"/>
        <v>6.0730126236779258E-2</v>
      </c>
      <c r="K12" s="20">
        <f t="shared" si="4"/>
        <v>0.12795113092289911</v>
      </c>
      <c r="L12" s="20">
        <f t="shared" si="4"/>
        <v>5.641272902603664E-2</v>
      </c>
      <c r="M12" s="20">
        <f t="shared" si="4"/>
        <v>9.4630766808376635E-2</v>
      </c>
      <c r="N12" s="20">
        <f t="shared" si="4"/>
        <v>6.1950790861159934E-2</v>
      </c>
      <c r="O12" s="20">
        <f t="shared" si="4"/>
        <v>0.10408280621046578</v>
      </c>
      <c r="P12" s="20">
        <f t="shared" si="4"/>
        <v>7.7554867375791037E-2</v>
      </c>
      <c r="Q12" s="20">
        <f t="shared" si="4"/>
        <v>5.920709441836202E-2</v>
      </c>
      <c r="R12" s="20">
        <f t="shared" si="4"/>
        <v>0.10794451450189156</v>
      </c>
      <c r="S12" s="21">
        <f t="shared" si="4"/>
        <v>0.14516730936683667</v>
      </c>
      <c r="T12" s="22"/>
      <c r="U12" s="22"/>
      <c r="V12" s="22"/>
      <c r="W12" s="22"/>
    </row>
    <row r="13" spans="2:23" x14ac:dyDescent="0.3">
      <c r="B13" s="8" t="s">
        <v>118</v>
      </c>
      <c r="C13" s="22" t="e">
        <f>C8/#REF!-1</f>
        <v>#REF!</v>
      </c>
      <c r="D13" s="22" t="e">
        <f>D8/#REF!-1</f>
        <v>#REF!</v>
      </c>
      <c r="E13" s="22" t="e">
        <f>E8/#REF!-1</f>
        <v>#REF!</v>
      </c>
      <c r="F13" s="22" t="e">
        <f>F8/#REF!-1</f>
        <v>#REF!</v>
      </c>
      <c r="G13" s="22">
        <f t="shared" ref="G13:S13" si="5">G8/C8-1</f>
        <v>1.2716049382716048</v>
      </c>
      <c r="H13" s="22">
        <f t="shared" si="5"/>
        <v>0.32954545454545436</v>
      </c>
      <c r="I13" s="22">
        <f t="shared" si="5"/>
        <v>-0.47076923076923083</v>
      </c>
      <c r="J13" s="22">
        <f t="shared" si="5"/>
        <v>0.1906354515050166</v>
      </c>
      <c r="K13" s="22">
        <f t="shared" si="5"/>
        <v>1.105978260869565</v>
      </c>
      <c r="L13" s="22">
        <f t="shared" si="5"/>
        <v>0</v>
      </c>
      <c r="M13" s="22">
        <f t="shared" si="5"/>
        <v>2.4941860465116279</v>
      </c>
      <c r="N13" s="22">
        <f t="shared" si="5"/>
        <v>0.18820224719101142</v>
      </c>
      <c r="O13" s="22">
        <f t="shared" si="5"/>
        <v>-6.5806451612903216E-2</v>
      </c>
      <c r="P13" s="23">
        <f t="shared" si="5"/>
        <v>0.64102564102564097</v>
      </c>
      <c r="Q13" s="23">
        <f t="shared" si="5"/>
        <v>-0.24459234608985025</v>
      </c>
      <c r="R13" s="23">
        <f t="shared" si="5"/>
        <v>1.0236406619385341</v>
      </c>
      <c r="S13" s="24">
        <f t="shared" si="5"/>
        <v>0.61187845303867405</v>
      </c>
      <c r="T13" s="22"/>
      <c r="U13" s="22"/>
      <c r="V13" s="22"/>
      <c r="W13" s="22"/>
    </row>
    <row r="14" spans="2:23" x14ac:dyDescent="0.3">
      <c r="B14" s="8" t="s">
        <v>223</v>
      </c>
      <c r="G14" s="22">
        <f>G7/C7-1</f>
        <v>0.26507856056766355</v>
      </c>
      <c r="H14" s="22">
        <f t="shared" ref="H14" si="6">H9/D9-1</f>
        <v>0.57629107981220651</v>
      </c>
      <c r="I14" s="22">
        <f t="shared" ref="I14" si="7">I9/E9-1</f>
        <v>0.18841544607190408</v>
      </c>
      <c r="J14" s="22">
        <f t="shared" ref="J14" si="8">J9/F9-1</f>
        <v>0.18761904761904757</v>
      </c>
      <c r="K14" s="22">
        <f t="shared" ref="K14" si="9">K9/G9-1</f>
        <v>0.31687898089171962</v>
      </c>
      <c r="L14" s="22">
        <f t="shared" ref="L14" si="10">L9/H9-1</f>
        <v>0.23157110945644077</v>
      </c>
      <c r="M14" s="22">
        <f t="shared" ref="M14" si="11">M9/I9-1</f>
        <v>0.75042016806722667</v>
      </c>
      <c r="N14" s="22">
        <f t="shared" ref="N14" si="12">N9/J9-1</f>
        <v>0.72413793103448265</v>
      </c>
      <c r="O14" s="22">
        <f t="shared" ref="O14" si="13">O9/K9-1</f>
        <v>0.26904474002418399</v>
      </c>
      <c r="P14" s="23">
        <f t="shared" ref="P14" si="14">P9/L9-1</f>
        <v>0.40507859733978258</v>
      </c>
      <c r="Q14" s="23">
        <f t="shared" ref="Q14" si="15">Q9/M9-1</f>
        <v>4.5127220355256847E-2</v>
      </c>
      <c r="R14" s="23">
        <f t="shared" ref="R14" si="16">R9/N9-1</f>
        <v>0.21395348837209305</v>
      </c>
      <c r="S14" s="24">
        <f t="shared" ref="S14" si="17">S9/O9-1</f>
        <v>0.454502143878037</v>
      </c>
    </row>
  </sheetData>
  <phoneticPr fontId="2" type="noConversion"/>
  <conditionalFormatting sqref="B10:P10">
    <cfRule type="top10" dxfId="2" priority="14" percent="1" rank="5"/>
  </conditionalFormatting>
  <conditionalFormatting sqref="B8:W8">
    <cfRule type="top10" dxfId="1" priority="15" percent="1" rank="10"/>
  </conditionalFormatting>
  <conditionalFormatting sqref="B10:W10">
    <cfRule type="top10" priority="16" rank="10"/>
  </conditionalFormatting>
  <conditionalFormatting sqref="B11:W11">
    <cfRule type="cellIs" dxfId="0" priority="13" operator="greaterThan">
      <formula>0.1</formula>
    </cfRule>
  </conditionalFormatting>
  <conditionalFormatting sqref="C13:P13">
    <cfRule type="iconSet" priority="18">
      <iconSet iconSet="3Arrows">
        <cfvo type="percent" val="0"/>
        <cfvo type="percent" val="33"/>
        <cfvo type="percent" val="67"/>
      </iconSet>
    </cfRule>
  </conditionalFormatting>
  <conditionalFormatting sqref="C12:W12">
    <cfRule type="iconSet" priority="19">
      <iconSet iconSet="3Arrows">
        <cfvo type="percent" val="0"/>
        <cfvo type="percent" val="33"/>
        <cfvo type="percent" val="67"/>
      </iconSet>
    </cfRule>
  </conditionalFormatting>
  <conditionalFormatting sqref="H12:S12 H13:O13 C12:G13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P13:P14">
    <cfRule type="iconSet" priority="11">
      <iconSet iconSet="3Arrows">
        <cfvo type="percent" val="0"/>
        <cfvo type="percent" val="33"/>
        <cfvo type="percent" val="67"/>
      </iconSet>
    </cfRule>
  </conditionalFormatting>
  <conditionalFormatting sqref="P12:W12">
    <cfRule type="iconSet" priority="12">
      <iconSet iconSet="3Arrows">
        <cfvo type="percent" val="0"/>
        <cfvo type="percent" val="33"/>
        <cfvo type="percent" val="67"/>
      </iconSet>
    </cfRule>
  </conditionalFormatting>
  <conditionalFormatting sqref="Q13:Q14">
    <cfRule type="iconSet" priority="9">
      <iconSet iconSet="3Arrows">
        <cfvo type="percent" val="0"/>
        <cfvo type="percent" val="33"/>
        <cfvo type="percent" val="67"/>
      </iconSet>
    </cfRule>
    <cfRule type="iconSet" priority="10">
      <iconSet iconSet="3Arrows">
        <cfvo type="percent" val="0"/>
        <cfvo type="percent" val="33"/>
        <cfvo type="percent" val="67"/>
      </iconSet>
    </cfRule>
  </conditionalFormatting>
  <conditionalFormatting sqref="R13:R14">
    <cfRule type="iconSet" priority="7">
      <iconSet iconSet="3Arrows">
        <cfvo type="percent" val="0"/>
        <cfvo type="percent" val="33"/>
        <cfvo type="percent" val="67"/>
      </iconSet>
    </cfRule>
    <cfRule type="iconSet" priority="8">
      <iconSet iconSet="3Arrows">
        <cfvo type="percent" val="0"/>
        <cfvo type="percent" val="33"/>
        <cfvo type="percent" val="67"/>
      </iconSet>
    </cfRule>
  </conditionalFormatting>
  <conditionalFormatting sqref="S13:S14">
    <cfRule type="iconSet" priority="5">
      <iconSet iconSet="3Arrows">
        <cfvo type="percent" val="0"/>
        <cfvo type="percent" val="33"/>
        <cfvo type="percent" val="67"/>
      </iconSet>
    </cfRule>
    <cfRule type="iconSet" priority="6">
      <iconSet iconSet="3Arrows">
        <cfvo type="percent" val="0"/>
        <cfvo type="percent" val="33"/>
        <cfvo type="percent" val="67"/>
      </iconSet>
    </cfRule>
  </conditionalFormatting>
  <conditionalFormatting sqref="T13:W13">
    <cfRule type="iconSet" priority="3">
      <iconSet iconSet="3Arrows">
        <cfvo type="percent" val="0"/>
        <cfvo type="percent" val="33"/>
        <cfvo type="percent" val="67"/>
      </iconSet>
    </cfRule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G14:P14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G14:O14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기업 정보</vt:lpstr>
      <vt:lpstr>매출 DATA</vt:lpstr>
      <vt:lpstr>영업이익 DATA</vt:lpstr>
      <vt:lpstr>빨간줄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임지후[ 학부재학 / 수학과 ]</cp:lastModifiedBy>
  <dcterms:created xsi:type="dcterms:W3CDTF">2026-01-27T00:04:04Z</dcterms:created>
  <dcterms:modified xsi:type="dcterms:W3CDTF">2026-01-27T02:09:45Z</dcterms:modified>
</cp:coreProperties>
</file>