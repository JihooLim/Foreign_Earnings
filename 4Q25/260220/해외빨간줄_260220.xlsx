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63924cf84bb7f716/바탕 화면/툴 개발/finchat 키인/"/>
    </mc:Choice>
  </mc:AlternateContent>
  <xr:revisionPtr revIDLastSave="112" documentId="11_8E592A14697C6FEF8140EA065C98D57B97001FEC" xr6:coauthVersionLast="47" xr6:coauthVersionMax="47" xr10:uidLastSave="{10FC8D02-37FF-4B02-AAE0-D0637E7CE12F}"/>
  <bookViews>
    <workbookView xWindow="28680" yWindow="465" windowWidth="29040" windowHeight="15720" activeTab="2" xr2:uid="{00000000-000D-0000-FFFF-FFFF00000000}"/>
  </bookViews>
  <sheets>
    <sheet name="기업리스트" sheetId="1" r:id="rId1"/>
    <sheet name="Revenue" sheetId="2" r:id="rId2"/>
    <sheet name="Operating Income" sheetId="3" r:id="rId3"/>
    <sheet name="빨간줄" sheetId="4" r:id="rId4"/>
  </sheets>
  <definedNames>
    <definedName name="_xlnm._FilterDatabase" localSheetId="2" hidden="1">'Operating Income'!$B$2:$AA$22</definedName>
    <definedName name="_xlnm._FilterDatabase" localSheetId="1" hidden="1">Revenue!$B$2:$AA$22</definedName>
    <definedName name="_xlnm._FilterDatabase" localSheetId="0" hidden="1">기업리스트!$B$3:$G$43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4" l="1"/>
  <c r="E7" i="4"/>
  <c r="F7" i="4"/>
  <c r="J14" i="4" s="1"/>
  <c r="G7" i="4"/>
  <c r="H7" i="4"/>
  <c r="I7" i="4"/>
  <c r="J7" i="4"/>
  <c r="K7" i="4"/>
  <c r="L7" i="4"/>
  <c r="L14" i="4" s="1"/>
  <c r="M7" i="4"/>
  <c r="M12" i="4" s="1"/>
  <c r="N7" i="4"/>
  <c r="N14" i="4" s="1"/>
  <c r="O7" i="4"/>
  <c r="O14" i="4" s="1"/>
  <c r="P7" i="4"/>
  <c r="Q7" i="4"/>
  <c r="R7" i="4"/>
  <c r="S7" i="4"/>
  <c r="D8" i="4"/>
  <c r="E8" i="4"/>
  <c r="F8" i="4"/>
  <c r="G8" i="4"/>
  <c r="H8" i="4"/>
  <c r="H10" i="4" s="1"/>
  <c r="I8" i="4"/>
  <c r="J8" i="4"/>
  <c r="K8" i="4"/>
  <c r="N9" i="4" s="1"/>
  <c r="L8" i="4"/>
  <c r="M8" i="4"/>
  <c r="N8" i="4"/>
  <c r="O8" i="4"/>
  <c r="S13" i="4" s="1"/>
  <c r="P8" i="4"/>
  <c r="Q8" i="4"/>
  <c r="R8" i="4"/>
  <c r="S8" i="4"/>
  <c r="C7" i="4"/>
  <c r="C8" i="4"/>
  <c r="C9" i="4" s="1"/>
  <c r="R13" i="4"/>
  <c r="D22" i="3"/>
  <c r="D21" i="3"/>
  <c r="AA22" i="3"/>
  <c r="F22" i="3" s="1"/>
  <c r="AA21" i="3"/>
  <c r="F21" i="3" s="1"/>
  <c r="AA22" i="2"/>
  <c r="F22" i="2" s="1"/>
  <c r="AA21" i="2"/>
  <c r="F21" i="2" s="1"/>
  <c r="O9" i="4" l="1"/>
  <c r="K14" i="4"/>
  <c r="M9" i="4"/>
  <c r="N11" i="4" s="1"/>
  <c r="Q13" i="4"/>
  <c r="P14" i="4"/>
  <c r="Q14" i="4"/>
  <c r="L9" i="4"/>
  <c r="R14" i="4"/>
  <c r="G14" i="4"/>
  <c r="S14" i="4"/>
  <c r="Q10" i="4"/>
  <c r="H14" i="4"/>
  <c r="R10" i="4"/>
  <c r="I14" i="4"/>
  <c r="G10" i="4"/>
  <c r="S10" i="4"/>
  <c r="J10" i="4"/>
  <c r="I10" i="4"/>
  <c r="M14" i="4"/>
  <c r="H13" i="4"/>
  <c r="Q9" i="4"/>
  <c r="O11" i="4"/>
  <c r="E9" i="4"/>
  <c r="L10" i="4"/>
  <c r="C12" i="4"/>
  <c r="O12" i="4"/>
  <c r="J13" i="4"/>
  <c r="D9" i="4"/>
  <c r="D11" i="4" s="1"/>
  <c r="P9" i="4"/>
  <c r="K10" i="4"/>
  <c r="N12" i="4"/>
  <c r="I13" i="4"/>
  <c r="F9" i="4"/>
  <c r="R9" i="4"/>
  <c r="R11" i="4" s="1"/>
  <c r="M10" i="4"/>
  <c r="D12" i="4"/>
  <c r="P12" i="4"/>
  <c r="K13" i="4"/>
  <c r="G9" i="4"/>
  <c r="S9" i="4"/>
  <c r="N10" i="4"/>
  <c r="E12" i="4"/>
  <c r="Q12" i="4"/>
  <c r="L13" i="4"/>
  <c r="H9" i="4"/>
  <c r="C10" i="4"/>
  <c r="O10" i="4"/>
  <c r="F12" i="4"/>
  <c r="R12" i="4"/>
  <c r="M13" i="4"/>
  <c r="I9" i="4"/>
  <c r="D10" i="4"/>
  <c r="P10" i="4"/>
  <c r="G12" i="4"/>
  <c r="S12" i="4"/>
  <c r="N13" i="4"/>
  <c r="J9" i="4"/>
  <c r="E10" i="4"/>
  <c r="H12" i="4"/>
  <c r="C13" i="4"/>
  <c r="O13" i="4"/>
  <c r="K9" i="4"/>
  <c r="F10" i="4"/>
  <c r="I12" i="4"/>
  <c r="D13" i="4"/>
  <c r="P13" i="4"/>
  <c r="J12" i="4"/>
  <c r="E13" i="4"/>
  <c r="K12" i="4"/>
  <c r="F13" i="4"/>
  <c r="L12" i="4"/>
  <c r="G13" i="4"/>
  <c r="M11" i="4" l="1"/>
  <c r="P11" i="4"/>
  <c r="I11" i="4"/>
  <c r="K11" i="4"/>
  <c r="G11" i="4"/>
  <c r="S11" i="4"/>
  <c r="E11" i="4"/>
  <c r="Q11" i="4"/>
  <c r="H11" i="4"/>
  <c r="F11" i="4"/>
  <c r="L11" i="4"/>
  <c r="J11" i="4"/>
</calcChain>
</file>

<file path=xl/sharedStrings.xml><?xml version="1.0" encoding="utf-8"?>
<sst xmlns="http://schemas.openxmlformats.org/spreadsheetml/2006/main" count="406" uniqueCount="155">
  <si>
    <t>실적 기업 정보</t>
  </si>
  <si>
    <t>Ticker</t>
  </si>
  <si>
    <t>Company</t>
  </si>
  <si>
    <t>Date</t>
  </si>
  <si>
    <t>Time</t>
  </si>
  <si>
    <t>Quarter Ending</t>
  </si>
  <si>
    <t>Market Cap (mil$)</t>
  </si>
  <si>
    <t>AI</t>
  </si>
  <si>
    <t>L'Air Liquide S.A.</t>
  </si>
  <si>
    <t>20-Feb-26</t>
  </si>
  <si>
    <t>Dec-25</t>
  </si>
  <si>
    <t>BN</t>
  </si>
  <si>
    <t>Danone S.A.</t>
  </si>
  <si>
    <t>AAL</t>
  </si>
  <si>
    <t>Anglo American plc</t>
  </si>
  <si>
    <t>TS Financial Holding Co., Ltd.</t>
  </si>
  <si>
    <t>LAMR</t>
  </si>
  <si>
    <t>Lamar Advertising Company</t>
  </si>
  <si>
    <t>SGRO</t>
  </si>
  <si>
    <t>SEGRO Plc</t>
  </si>
  <si>
    <t>HBM</t>
  </si>
  <si>
    <t>Hudbay Minerals Inc.</t>
  </si>
  <si>
    <t>SSW</t>
  </si>
  <si>
    <t>Sibanye Stillwater Limited</t>
  </si>
  <si>
    <t>ALK B</t>
  </si>
  <si>
    <t>ALK-Abelló A/S</t>
  </si>
  <si>
    <t>TXNM</t>
  </si>
  <si>
    <t>TXNM Energy, Inc.</t>
  </si>
  <si>
    <t>MOL</t>
  </si>
  <si>
    <t>MOL Magyar Olaj- és Gázipari Nyilvánosan Muködo Részvénytársaság</t>
  </si>
  <si>
    <t>ONEX</t>
  </si>
  <si>
    <t>Onex Corporation</t>
  </si>
  <si>
    <t>PTGX</t>
  </si>
  <si>
    <t>Protagonist Therapeutics, Inc.</t>
  </si>
  <si>
    <t>BCPC</t>
  </si>
  <si>
    <t>Balchem Corporation</t>
  </si>
  <si>
    <t>SFZN</t>
  </si>
  <si>
    <t>Siegfried Holding AG</t>
  </si>
  <si>
    <t>UMI</t>
  </si>
  <si>
    <t>Umicore SA</t>
  </si>
  <si>
    <t>TDS</t>
  </si>
  <si>
    <t>Telephone and Data Systems, Inc.</t>
  </si>
  <si>
    <t>AD</t>
  </si>
  <si>
    <t>Array Digital Infrastructure, Inc.</t>
  </si>
  <si>
    <t>EREGL</t>
  </si>
  <si>
    <t>Eregli Demir ve Çelik Fabrikalari T.A.S.</t>
  </si>
  <si>
    <t>COFB</t>
  </si>
  <si>
    <t>Cofinimmo SA</t>
  </si>
  <si>
    <t>WU</t>
  </si>
  <si>
    <t>The Western Union Company</t>
  </si>
  <si>
    <t>LLBN</t>
  </si>
  <si>
    <t>Liechtensteinische Landesbank Aktiengesellschaft</t>
  </si>
  <si>
    <t>SES</t>
  </si>
  <si>
    <t>SECURE Waste Infrastructure Corp.</t>
  </si>
  <si>
    <t>A036460</t>
  </si>
  <si>
    <t>Korea Gas Corporation</t>
  </si>
  <si>
    <t>CNU</t>
  </si>
  <si>
    <t>Chorus Limited</t>
  </si>
  <si>
    <t>21-Feb-26</t>
  </si>
  <si>
    <t>RSG</t>
  </si>
  <si>
    <t>Resolute Mining Limited</t>
  </si>
  <si>
    <t>TCAP</t>
  </si>
  <si>
    <t>Thanachart Capital Public Company Limited</t>
  </si>
  <si>
    <t>CCOI</t>
  </si>
  <si>
    <t>Cogent Communications Holdings, Inc.</t>
  </si>
  <si>
    <t>ASB</t>
  </si>
  <si>
    <t>Austal Limited</t>
  </si>
  <si>
    <t>Saudi Kayan Petrochemical Company</t>
  </si>
  <si>
    <t>MP1</t>
  </si>
  <si>
    <t>Megaport Limited</t>
  </si>
  <si>
    <t>Japan Excellent, Inc.</t>
  </si>
  <si>
    <t>SYNSAM</t>
  </si>
  <si>
    <t>Synsam AB (publ)</t>
  </si>
  <si>
    <t>SCANFL</t>
  </si>
  <si>
    <t>Scanfil Oyj</t>
  </si>
  <si>
    <t>RCL</t>
  </si>
  <si>
    <t>Regional Container Lines Public Company Limited</t>
  </si>
  <si>
    <t>MTHH</t>
  </si>
  <si>
    <t>MT Højgaard Holding A/S</t>
  </si>
  <si>
    <t>EA</t>
  </si>
  <si>
    <t>Energy Absolute Public Company Limited</t>
  </si>
  <si>
    <t>A006730</t>
  </si>
  <si>
    <t>Seobu T&amp;D Co., Ltd.</t>
  </si>
  <si>
    <t>A019170</t>
  </si>
  <si>
    <t>Shinpoong Pharmaceutical Co.,Ltd</t>
  </si>
  <si>
    <t>OIS</t>
  </si>
  <si>
    <t>Oil States International, Inc.</t>
  </si>
  <si>
    <t>Country</t>
  </si>
  <si>
    <t>Industry</t>
  </si>
  <si>
    <t>Latest_Date</t>
  </si>
  <si>
    <t>Growth_Rate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</si>
  <si>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</si>
  <si>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</si>
  <si>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</si>
  <si>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</si>
  <si>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</si>
  <si>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</si>
  <si>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</si>
  <si>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</si>
  <si>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</si>
  <si>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</si>
  <si>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</si>
  <si>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</si>
  <si>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</si>
  <si>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</si>
  <si>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</si>
  <si>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3Q25</t>
  </si>
  <si>
    <t>4Q25</t>
  </si>
  <si>
    <t>United States</t>
  </si>
  <si>
    <t>Banks - Regional</t>
  </si>
  <si>
    <t>Dec'25</t>
  </si>
  <si>
    <t>Copper</t>
  </si>
  <si>
    <t>Travel Services</t>
  </si>
  <si>
    <t>Specialty Chemicals</t>
  </si>
  <si>
    <t>Oil &amp; Gas Equipment &amp; Services</t>
  </si>
  <si>
    <t>Asset Management</t>
  </si>
  <si>
    <t>Airlines</t>
  </si>
  <si>
    <t>REIT - Specialty</t>
  </si>
  <si>
    <t>Waste Management</t>
  </si>
  <si>
    <t>Electronic Gaming &amp; Multimedia</t>
  </si>
  <si>
    <t>Sep'26</t>
  </si>
  <si>
    <t>Telecom Services</t>
  </si>
  <si>
    <t>Credit Services</t>
  </si>
  <si>
    <t>Software - Infrastructure</t>
  </si>
  <si>
    <t>Jun'26</t>
  </si>
  <si>
    <t>Auto Parts</t>
  </si>
  <si>
    <t>Sep'25</t>
  </si>
  <si>
    <t>Utilities - Regulated Electric</t>
  </si>
  <si>
    <t>Biotechnology</t>
  </si>
  <si>
    <t>Japan</t>
  </si>
  <si>
    <t>H2 2025</t>
  </si>
  <si>
    <t>Hong Kong</t>
  </si>
  <si>
    <t>H1 2026</t>
  </si>
  <si>
    <t>opm</t>
  </si>
  <si>
    <t>(단위: mil $)</t>
    <phoneticPr fontId="6" type="noConversion"/>
  </si>
  <si>
    <t>4Q21</t>
    <phoneticPr fontId="12" type="noConversion"/>
  </si>
  <si>
    <t>1Q22</t>
    <phoneticPr fontId="12" type="noConversion"/>
  </si>
  <si>
    <t>2Q22</t>
    <phoneticPr fontId="12" type="noConversion"/>
  </si>
  <si>
    <t>3Q22</t>
    <phoneticPr fontId="12" type="noConversion"/>
  </si>
  <si>
    <t>4Q22</t>
    <phoneticPr fontId="12" type="noConversion"/>
  </si>
  <si>
    <t>2Q23</t>
    <phoneticPr fontId="12" type="noConversion"/>
  </si>
  <si>
    <t>3Q23</t>
    <phoneticPr fontId="12" type="noConversion"/>
  </si>
  <si>
    <t>4Q23</t>
    <phoneticPr fontId="12" type="noConversion"/>
  </si>
  <si>
    <t>1Q26</t>
    <phoneticPr fontId="12" type="noConversion"/>
  </si>
  <si>
    <t>2Q26</t>
    <phoneticPr fontId="12" type="noConversion"/>
  </si>
  <si>
    <t>3Q26</t>
    <phoneticPr fontId="12" type="noConversion"/>
  </si>
  <si>
    <t>4Q26</t>
    <phoneticPr fontId="12" type="noConversion"/>
  </si>
  <si>
    <t>Revenue</t>
    <phoneticPr fontId="12" type="noConversion"/>
  </si>
  <si>
    <t>OP</t>
    <phoneticPr fontId="12" type="noConversion"/>
  </si>
  <si>
    <t>Trailing 4Q OP avg.</t>
    <phoneticPr fontId="12" type="noConversion"/>
  </si>
  <si>
    <t>Trailing 4Q OP sum.</t>
    <phoneticPr fontId="12" type="noConversion"/>
  </si>
  <si>
    <t>Trailing OP Delta</t>
    <phoneticPr fontId="12" type="noConversion"/>
  </si>
  <si>
    <t>op yoy</t>
    <phoneticPr fontId="12" type="noConversion"/>
  </si>
  <si>
    <t>rv yoy</t>
    <phoneticPr fontId="6" type="noConversion"/>
  </si>
  <si>
    <t>HBM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</si>
</sst>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&quot;%&quot;"/>
    <numFmt numFmtId="177" formatCode="0.0%"/>
    <numFmt numFmtId="178" formatCode="#,##0_);[Red]\(#,##0\)"/>
  </numFmts>
  <fonts count="13" x14ac:knownFonts="1">
    <font>
      <sz val="11"/>
      <color theme="1"/>
      <name val="맑은 고딕"/>
      <family val="2"/>
      <scheme val="minor"/>
    </font>
    <font>
      <b/>
      <sz val="14"/>
      <name val="Pretendard"/>
      <family val="3"/>
      <charset val="129"/>
    </font>
    <font>
      <b/>
      <sz val="10"/>
      <name val="Pretendard"/>
      <family val="3"/>
      <charset val="129"/>
    </font>
    <font>
      <sz val="10"/>
      <name val="Pretendard"/>
      <family val="3"/>
      <charset val="129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Pretendard"/>
      <family val="3"/>
      <charset val="129"/>
    </font>
    <font>
      <sz val="11"/>
      <color theme="1"/>
      <name val="Pretendard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Pretendard"/>
      <family val="3"/>
      <charset val="129"/>
    </font>
    <font>
      <b/>
      <sz val="11"/>
      <color theme="0"/>
      <name val="Pretendard"/>
      <family val="3"/>
      <charset val="129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-0.499984740745262"/>
        <bgColor indexed="64"/>
      </patternFill>
    </fill>
  </fills>
  <borders count="7">
    <border>
      <left/>
      <right/>
      <top/>
      <bottom/>
      <diagonal/>
    </border>
    <border>
      <left style="dotted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tted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>
      <alignment vertical="center"/>
    </xf>
  </cellStyleXfs>
  <cellXfs count="6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3" fontId="3" fillId="0" borderId="0" xfId="0" applyNumberFormat="1" applyFont="1"/>
    <xf numFmtId="176" fontId="3" fillId="0" borderId="0" xfId="0" applyNumberFormat="1" applyFont="1"/>
    <xf numFmtId="3" fontId="3" fillId="3" borderId="0" xfId="0" applyNumberFormat="1" applyFont="1" applyFill="1"/>
    <xf numFmtId="177" fontId="3" fillId="0" borderId="1" xfId="0" applyNumberFormat="1" applyFont="1" applyBorder="1"/>
    <xf numFmtId="177" fontId="3" fillId="0" borderId="0" xfId="0" applyNumberFormat="1" applyFont="1"/>
    <xf numFmtId="177" fontId="3" fillId="3" borderId="0" xfId="0" applyNumberFormat="1" applyFont="1" applyFill="1"/>
    <xf numFmtId="0" fontId="3" fillId="0" borderId="1" xfId="0" applyFont="1" applyBorder="1"/>
    <xf numFmtId="177" fontId="3" fillId="3" borderId="1" xfId="0" applyNumberFormat="1" applyFont="1" applyFill="1" applyBorder="1"/>
    <xf numFmtId="0" fontId="2" fillId="0" borderId="0" xfId="0" applyFont="1"/>
    <xf numFmtId="0" fontId="5" fillId="0" borderId="0" xfId="0" applyFont="1"/>
    <xf numFmtId="0" fontId="2" fillId="2" borderId="2" xfId="0" applyFont="1" applyFill="1" applyBorder="1" applyAlignment="1">
      <alignment horizontal="center"/>
    </xf>
    <xf numFmtId="176" fontId="2" fillId="4" borderId="0" xfId="0" applyNumberFormat="1" applyFont="1" applyFill="1"/>
    <xf numFmtId="0" fontId="3" fillId="0" borderId="3" xfId="0" applyFont="1" applyBorder="1"/>
    <xf numFmtId="176" fontId="3" fillId="0" borderId="3" xfId="0" applyNumberFormat="1" applyFont="1" applyBorder="1"/>
    <xf numFmtId="3" fontId="3" fillId="0" borderId="3" xfId="0" applyNumberFormat="1" applyFont="1" applyBorder="1"/>
    <xf numFmtId="177" fontId="3" fillId="0" borderId="4" xfId="0" applyNumberFormat="1" applyFont="1" applyBorder="1"/>
    <xf numFmtId="177" fontId="3" fillId="0" borderId="3" xfId="0" applyNumberFormat="1" applyFont="1" applyBorder="1"/>
    <xf numFmtId="0" fontId="0" fillId="0" borderId="3" xfId="0" applyBorder="1"/>
    <xf numFmtId="177" fontId="3" fillId="0" borderId="1" xfId="0" applyNumberFormat="1" applyFont="1" applyFill="1" applyBorder="1"/>
    <xf numFmtId="177" fontId="3" fillId="0" borderId="0" xfId="0" applyNumberFormat="1" applyFont="1" applyFill="1"/>
    <xf numFmtId="177" fontId="3" fillId="4" borderId="0" xfId="0" applyNumberFormat="1" applyFont="1" applyFill="1"/>
    <xf numFmtId="177" fontId="3" fillId="3" borderId="4" xfId="0" applyNumberFormat="1" applyFont="1" applyFill="1" applyBorder="1"/>
    <xf numFmtId="177" fontId="3" fillId="3" borderId="3" xfId="0" applyNumberFormat="1" applyFont="1" applyFill="1" applyBorder="1"/>
    <xf numFmtId="177" fontId="3" fillId="0" borderId="4" xfId="0" applyNumberFormat="1" applyFont="1" applyFill="1" applyBorder="1"/>
    <xf numFmtId="177" fontId="3" fillId="4" borderId="3" xfId="0" applyNumberFormat="1" applyFont="1" applyFill="1" applyBorder="1"/>
    <xf numFmtId="177" fontId="3" fillId="0" borderId="3" xfId="0" applyNumberFormat="1" applyFont="1" applyFill="1" applyBorder="1"/>
    <xf numFmtId="178" fontId="3" fillId="0" borderId="0" xfId="0" applyNumberFormat="1" applyFont="1"/>
    <xf numFmtId="178" fontId="3" fillId="3" borderId="0" xfId="0" applyNumberFormat="1" applyFont="1" applyFill="1"/>
    <xf numFmtId="178" fontId="3" fillId="0" borderId="3" xfId="0" applyNumberFormat="1" applyFont="1" applyBorder="1"/>
    <xf numFmtId="178" fontId="3" fillId="3" borderId="3" xfId="0" applyNumberFormat="1" applyFont="1" applyFill="1" applyBorder="1"/>
    <xf numFmtId="178" fontId="0" fillId="0" borderId="3" xfId="0" applyNumberFormat="1" applyBorder="1"/>
    <xf numFmtId="178" fontId="0" fillId="0" borderId="3" xfId="0" applyNumberFormat="1" applyFill="1" applyBorder="1"/>
    <xf numFmtId="178" fontId="3" fillId="0" borderId="3" xfId="0" applyNumberFormat="1" applyFont="1" applyFill="1" applyBorder="1"/>
    <xf numFmtId="178" fontId="0" fillId="0" borderId="0" xfId="0" applyNumberFormat="1"/>
    <xf numFmtId="178" fontId="0" fillId="0" borderId="0" xfId="0" applyNumberFormat="1" applyFill="1"/>
    <xf numFmtId="178" fontId="3" fillId="0" borderId="0" xfId="0" applyNumberFormat="1" applyFont="1" applyFill="1"/>
    <xf numFmtId="0" fontId="2" fillId="0" borderId="3" xfId="0" applyFont="1" applyBorder="1"/>
    <xf numFmtId="0" fontId="7" fillId="0" borderId="0" xfId="0" applyFont="1"/>
    <xf numFmtId="0" fontId="8" fillId="0" borderId="0" xfId="0" applyFont="1"/>
    <xf numFmtId="0" fontId="7" fillId="0" borderId="0" xfId="0" quotePrefix="1" applyFont="1" applyAlignment="1">
      <alignment vertical="center"/>
    </xf>
    <xf numFmtId="0" fontId="9" fillId="0" borderId="0" xfId="0" applyFont="1"/>
    <xf numFmtId="0" fontId="8" fillId="0" borderId="0" xfId="0" applyFont="1" applyAlignment="1">
      <alignment vertical="center"/>
    </xf>
    <xf numFmtId="0" fontId="10" fillId="5" borderId="5" xfId="0" applyFont="1" applyFill="1" applyBorder="1" applyAlignment="1">
      <alignment vertical="center"/>
    </xf>
    <xf numFmtId="0" fontId="11" fillId="5" borderId="0" xfId="0" applyFont="1" applyFill="1" applyAlignment="1">
      <alignment horizontal="right" vertical="center"/>
    </xf>
    <xf numFmtId="0" fontId="11" fillId="5" borderId="5" xfId="0" applyFont="1" applyFill="1" applyBorder="1" applyAlignment="1">
      <alignment horizontal="right" vertical="center"/>
    </xf>
    <xf numFmtId="0" fontId="8" fillId="0" borderId="5" xfId="0" applyFont="1" applyBorder="1" applyAlignment="1">
      <alignment vertical="center"/>
    </xf>
    <xf numFmtId="178" fontId="8" fillId="0" borderId="0" xfId="0" applyNumberFormat="1" applyFont="1" applyAlignment="1">
      <alignment vertical="center"/>
    </xf>
    <xf numFmtId="178" fontId="8" fillId="0" borderId="5" xfId="0" applyNumberFormat="1" applyFont="1" applyBorder="1" applyAlignment="1">
      <alignment vertical="center"/>
    </xf>
    <xf numFmtId="177" fontId="8" fillId="0" borderId="0" xfId="1" applyNumberFormat="1" applyFont="1" applyFill="1">
      <alignment vertical="center"/>
    </xf>
    <xf numFmtId="177" fontId="8" fillId="0" borderId="0" xfId="1" applyNumberFormat="1" applyFont="1" applyFill="1" applyBorder="1">
      <alignment vertical="center"/>
    </xf>
    <xf numFmtId="177" fontId="8" fillId="0" borderId="5" xfId="1" applyNumberFormat="1" applyFont="1" applyFill="1" applyBorder="1">
      <alignment vertical="center"/>
    </xf>
    <xf numFmtId="9" fontId="8" fillId="0" borderId="0" xfId="1" applyFont="1" applyFill="1">
      <alignment vertical="center"/>
    </xf>
    <xf numFmtId="9" fontId="8" fillId="0" borderId="0" xfId="1" applyFont="1" applyAlignment="1">
      <alignment horizontal="right" vertical="center"/>
    </xf>
    <xf numFmtId="9" fontId="8" fillId="0" borderId="5" xfId="1" applyFont="1" applyBorder="1" applyAlignment="1">
      <alignment horizontal="right" vertical="center"/>
    </xf>
    <xf numFmtId="9" fontId="8" fillId="0" borderId="0" xfId="1" applyFont="1">
      <alignment vertical="center"/>
    </xf>
    <xf numFmtId="9" fontId="8" fillId="0" borderId="0" xfId="1" applyFont="1" applyBorder="1">
      <alignment vertical="center"/>
    </xf>
    <xf numFmtId="9" fontId="8" fillId="0" borderId="5" xfId="1" applyFont="1" applyBorder="1">
      <alignment vertical="center"/>
    </xf>
    <xf numFmtId="178" fontId="8" fillId="0" borderId="6" xfId="0" applyNumberFormat="1" applyFont="1" applyBorder="1" applyAlignment="1">
      <alignment vertical="center"/>
    </xf>
    <xf numFmtId="178" fontId="8" fillId="0" borderId="0" xfId="0" applyNumberFormat="1" applyFont="1" applyBorder="1" applyAlignment="1">
      <alignment vertical="center"/>
    </xf>
  </cellXfs>
  <cellStyles count="2">
    <cellStyle name="백분율" xfId="1" builtinId="5"/>
    <cellStyle name="표준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43"/>
  <sheetViews>
    <sheetView workbookViewId="0">
      <selection activeCell="J10" sqref="J10"/>
    </sheetView>
  </sheetViews>
  <sheetFormatPr defaultRowHeight="16.5" x14ac:dyDescent="0.3"/>
  <cols>
    <col min="1" max="1" width="3" customWidth="1"/>
    <col min="2" max="2" width="12" style="13" customWidth="1"/>
    <col min="3" max="3" width="45" customWidth="1"/>
    <col min="4" max="5" width="12" customWidth="1"/>
    <col min="6" max="6" width="14" customWidth="1"/>
    <col min="7" max="7" width="16" customWidth="1"/>
  </cols>
  <sheetData>
    <row r="2" spans="2:7" ht="18.75" x14ac:dyDescent="0.3">
      <c r="B2" s="1" t="s">
        <v>0</v>
      </c>
    </row>
    <row r="3" spans="2:7" x14ac:dyDescent="0.3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2:7" x14ac:dyDescent="0.3">
      <c r="B4" s="12" t="s">
        <v>7</v>
      </c>
      <c r="C4" s="3" t="s">
        <v>8</v>
      </c>
      <c r="D4" s="3" t="s">
        <v>9</v>
      </c>
      <c r="E4" s="3"/>
      <c r="F4" s="3" t="s">
        <v>10</v>
      </c>
      <c r="G4" s="4">
        <v>116220</v>
      </c>
    </row>
    <row r="5" spans="2:7" x14ac:dyDescent="0.3">
      <c r="B5" s="12" t="s">
        <v>11</v>
      </c>
      <c r="C5" s="3" t="s">
        <v>12</v>
      </c>
      <c r="D5" s="3" t="s">
        <v>9</v>
      </c>
      <c r="E5" s="3"/>
      <c r="F5" s="3" t="s">
        <v>10</v>
      </c>
      <c r="G5" s="4">
        <v>54962.67</v>
      </c>
    </row>
    <row r="6" spans="2:7" x14ac:dyDescent="0.3">
      <c r="B6" s="12" t="s">
        <v>13</v>
      </c>
      <c r="C6" s="3" t="s">
        <v>14</v>
      </c>
      <c r="D6" s="3" t="s">
        <v>9</v>
      </c>
      <c r="E6" s="3"/>
      <c r="F6" s="3" t="s">
        <v>10</v>
      </c>
      <c r="G6" s="4">
        <v>52846.51</v>
      </c>
    </row>
    <row r="7" spans="2:7" x14ac:dyDescent="0.3">
      <c r="B7" s="12">
        <v>2887</v>
      </c>
      <c r="C7" s="3" t="s">
        <v>15</v>
      </c>
      <c r="D7" s="3" t="s">
        <v>9</v>
      </c>
      <c r="E7" s="3"/>
      <c r="F7" s="3" t="s">
        <v>10</v>
      </c>
      <c r="G7" s="4">
        <v>14923.53</v>
      </c>
    </row>
    <row r="8" spans="2:7" x14ac:dyDescent="0.3">
      <c r="B8" s="12" t="s">
        <v>16</v>
      </c>
      <c r="C8" s="3" t="s">
        <v>17</v>
      </c>
      <c r="D8" s="3" t="s">
        <v>9</v>
      </c>
      <c r="E8" s="3"/>
      <c r="F8" s="3" t="s">
        <v>10</v>
      </c>
      <c r="G8" s="4">
        <v>12472.17</v>
      </c>
    </row>
    <row r="9" spans="2:7" x14ac:dyDescent="0.3">
      <c r="B9" s="12" t="s">
        <v>18</v>
      </c>
      <c r="C9" s="3" t="s">
        <v>19</v>
      </c>
      <c r="D9" s="3" t="s">
        <v>9</v>
      </c>
      <c r="E9" s="3"/>
      <c r="F9" s="3" t="s">
        <v>10</v>
      </c>
      <c r="G9" s="4">
        <v>12118.75</v>
      </c>
    </row>
    <row r="10" spans="2:7" x14ac:dyDescent="0.3">
      <c r="B10" s="12" t="s">
        <v>20</v>
      </c>
      <c r="C10" s="3" t="s">
        <v>21</v>
      </c>
      <c r="D10" s="3" t="s">
        <v>9</v>
      </c>
      <c r="E10" s="3"/>
      <c r="F10" s="3" t="s">
        <v>10</v>
      </c>
      <c r="G10" s="4">
        <v>8459.2999999999993</v>
      </c>
    </row>
    <row r="11" spans="2:7" x14ac:dyDescent="0.3">
      <c r="B11" s="12" t="s">
        <v>22</v>
      </c>
      <c r="C11" s="3" t="s">
        <v>23</v>
      </c>
      <c r="D11" s="3" t="s">
        <v>9</v>
      </c>
      <c r="E11" s="3"/>
      <c r="F11" s="3" t="s">
        <v>10</v>
      </c>
      <c r="G11" s="4">
        <v>8043.25</v>
      </c>
    </row>
    <row r="12" spans="2:7" x14ac:dyDescent="0.3">
      <c r="B12" s="12" t="s">
        <v>24</v>
      </c>
      <c r="C12" s="3" t="s">
        <v>25</v>
      </c>
      <c r="D12" s="3" t="s">
        <v>9</v>
      </c>
      <c r="E12" s="3"/>
      <c r="F12" s="3" t="s">
        <v>10</v>
      </c>
      <c r="G12" s="4">
        <v>7860.82</v>
      </c>
    </row>
    <row r="13" spans="2:7" x14ac:dyDescent="0.3">
      <c r="B13" s="12" t="s">
        <v>26</v>
      </c>
      <c r="C13" s="3" t="s">
        <v>27</v>
      </c>
      <c r="D13" s="3" t="s">
        <v>9</v>
      </c>
      <c r="E13" s="3"/>
      <c r="F13" s="3" t="s">
        <v>10</v>
      </c>
      <c r="G13" s="4">
        <v>6422</v>
      </c>
    </row>
    <row r="14" spans="2:7" x14ac:dyDescent="0.3">
      <c r="B14" s="12" t="s">
        <v>28</v>
      </c>
      <c r="C14" s="3" t="s">
        <v>29</v>
      </c>
      <c r="D14" s="3" t="s">
        <v>9</v>
      </c>
      <c r="E14" s="3"/>
      <c r="F14" s="3" t="s">
        <v>10</v>
      </c>
      <c r="G14" s="4">
        <v>5827.09</v>
      </c>
    </row>
    <row r="15" spans="2:7" x14ac:dyDescent="0.3">
      <c r="B15" s="12" t="s">
        <v>30</v>
      </c>
      <c r="C15" s="3" t="s">
        <v>31</v>
      </c>
      <c r="D15" s="3" t="s">
        <v>9</v>
      </c>
      <c r="E15" s="3"/>
      <c r="F15" s="3" t="s">
        <v>10</v>
      </c>
      <c r="G15" s="4">
        <v>5366.84</v>
      </c>
    </row>
    <row r="16" spans="2:7" x14ac:dyDescent="0.3">
      <c r="B16" s="12" t="s">
        <v>32</v>
      </c>
      <c r="C16" s="3" t="s">
        <v>33</v>
      </c>
      <c r="D16" s="3" t="s">
        <v>9</v>
      </c>
      <c r="E16" s="3"/>
      <c r="F16" s="3" t="s">
        <v>10</v>
      </c>
      <c r="G16" s="4">
        <v>5262.57</v>
      </c>
    </row>
    <row r="17" spans="2:7" x14ac:dyDescent="0.3">
      <c r="B17" s="12" t="s">
        <v>34</v>
      </c>
      <c r="C17" s="3" t="s">
        <v>35</v>
      </c>
      <c r="D17" s="3" t="s">
        <v>9</v>
      </c>
      <c r="E17" s="3"/>
      <c r="F17" s="3" t="s">
        <v>10</v>
      </c>
      <c r="G17" s="4">
        <v>4712.17</v>
      </c>
    </row>
    <row r="18" spans="2:7" x14ac:dyDescent="0.3">
      <c r="B18" s="12" t="s">
        <v>36</v>
      </c>
      <c r="C18" s="3" t="s">
        <v>37</v>
      </c>
      <c r="D18" s="3" t="s">
        <v>9</v>
      </c>
      <c r="E18" s="3"/>
      <c r="F18" s="3" t="s">
        <v>10</v>
      </c>
      <c r="G18" s="4">
        <v>4640.5</v>
      </c>
    </row>
    <row r="19" spans="2:7" x14ac:dyDescent="0.3">
      <c r="B19" s="12" t="s">
        <v>38</v>
      </c>
      <c r="C19" s="3" t="s">
        <v>39</v>
      </c>
      <c r="D19" s="3" t="s">
        <v>9</v>
      </c>
      <c r="E19" s="3"/>
      <c r="F19" s="3" t="s">
        <v>10</v>
      </c>
      <c r="G19" s="4">
        <v>4424.03</v>
      </c>
    </row>
    <row r="20" spans="2:7" x14ac:dyDescent="0.3">
      <c r="B20" s="12" t="s">
        <v>40</v>
      </c>
      <c r="C20" s="3" t="s">
        <v>41</v>
      </c>
      <c r="D20" s="3" t="s">
        <v>9</v>
      </c>
      <c r="E20" s="3"/>
      <c r="F20" s="3" t="s">
        <v>10</v>
      </c>
      <c r="G20" s="4">
        <v>4382.58</v>
      </c>
    </row>
    <row r="21" spans="2:7" x14ac:dyDescent="0.3">
      <c r="B21" s="12" t="s">
        <v>42</v>
      </c>
      <c r="C21" s="3" t="s">
        <v>43</v>
      </c>
      <c r="D21" s="3" t="s">
        <v>9</v>
      </c>
      <c r="E21" s="3"/>
      <c r="F21" s="3" t="s">
        <v>10</v>
      </c>
      <c r="G21" s="4">
        <v>4379.42</v>
      </c>
    </row>
    <row r="22" spans="2:7" x14ac:dyDescent="0.3">
      <c r="B22" s="12" t="s">
        <v>44</v>
      </c>
      <c r="C22" s="3" t="s">
        <v>45</v>
      </c>
      <c r="D22" s="3" t="s">
        <v>9</v>
      </c>
      <c r="E22" s="3"/>
      <c r="F22" s="3" t="s">
        <v>10</v>
      </c>
      <c r="G22" s="4">
        <v>3965.87</v>
      </c>
    </row>
    <row r="23" spans="2:7" x14ac:dyDescent="0.3">
      <c r="B23" s="12" t="s">
        <v>46</v>
      </c>
      <c r="C23" s="3" t="s">
        <v>47</v>
      </c>
      <c r="D23" s="3" t="s">
        <v>9</v>
      </c>
      <c r="E23" s="3"/>
      <c r="F23" s="3" t="s">
        <v>10</v>
      </c>
      <c r="G23" s="4">
        <v>3319.93</v>
      </c>
    </row>
    <row r="24" spans="2:7" x14ac:dyDescent="0.3">
      <c r="B24" s="12" t="s">
        <v>48</v>
      </c>
      <c r="C24" s="3" t="s">
        <v>49</v>
      </c>
      <c r="D24" s="3" t="s">
        <v>9</v>
      </c>
      <c r="E24" s="3"/>
      <c r="F24" s="3" t="s">
        <v>10</v>
      </c>
      <c r="G24" s="4">
        <v>2870.14</v>
      </c>
    </row>
    <row r="25" spans="2:7" x14ac:dyDescent="0.3">
      <c r="B25" s="12" t="s">
        <v>50</v>
      </c>
      <c r="C25" s="3" t="s">
        <v>51</v>
      </c>
      <c r="D25" s="3" t="s">
        <v>9</v>
      </c>
      <c r="E25" s="3"/>
      <c r="F25" s="3" t="s">
        <v>10</v>
      </c>
      <c r="G25" s="4">
        <v>2860.47</v>
      </c>
    </row>
    <row r="26" spans="2:7" x14ac:dyDescent="0.3">
      <c r="B26" s="12" t="s">
        <v>52</v>
      </c>
      <c r="C26" s="3" t="s">
        <v>53</v>
      </c>
      <c r="D26" s="3" t="s">
        <v>9</v>
      </c>
      <c r="E26" s="3"/>
      <c r="F26" s="3" t="s">
        <v>10</v>
      </c>
      <c r="G26" s="4">
        <v>2716.21</v>
      </c>
    </row>
    <row r="27" spans="2:7" x14ac:dyDescent="0.3">
      <c r="B27" s="12" t="s">
        <v>54</v>
      </c>
      <c r="C27" s="3" t="s">
        <v>55</v>
      </c>
      <c r="D27" s="3" t="s">
        <v>9</v>
      </c>
      <c r="E27" s="3"/>
      <c r="F27" s="3" t="s">
        <v>10</v>
      </c>
      <c r="G27" s="4">
        <v>2409.79</v>
      </c>
    </row>
    <row r="28" spans="2:7" x14ac:dyDescent="0.3">
      <c r="B28" s="12" t="s">
        <v>56</v>
      </c>
      <c r="C28" s="3" t="s">
        <v>57</v>
      </c>
      <c r="D28" s="3" t="s">
        <v>58</v>
      </c>
      <c r="E28" s="3"/>
      <c r="F28" s="3" t="s">
        <v>10</v>
      </c>
      <c r="G28" s="4">
        <v>2254.84</v>
      </c>
    </row>
    <row r="29" spans="2:7" x14ac:dyDescent="0.3">
      <c r="B29" s="12" t="s">
        <v>59</v>
      </c>
      <c r="C29" s="3" t="s">
        <v>60</v>
      </c>
      <c r="D29" s="3" t="s">
        <v>9</v>
      </c>
      <c r="E29" s="3"/>
      <c r="F29" s="3" t="s">
        <v>10</v>
      </c>
      <c r="G29" s="4">
        <v>1991.7</v>
      </c>
    </row>
    <row r="30" spans="2:7" x14ac:dyDescent="0.3">
      <c r="B30" s="12" t="s">
        <v>61</v>
      </c>
      <c r="C30" s="3" t="s">
        <v>62</v>
      </c>
      <c r="D30" s="3" t="s">
        <v>9</v>
      </c>
      <c r="E30" s="3"/>
      <c r="F30" s="3" t="s">
        <v>10</v>
      </c>
      <c r="G30" s="4">
        <v>1902.99</v>
      </c>
    </row>
    <row r="31" spans="2:7" x14ac:dyDescent="0.3">
      <c r="B31" s="12" t="s">
        <v>63</v>
      </c>
      <c r="C31" s="3" t="s">
        <v>64</v>
      </c>
      <c r="D31" s="3" t="s">
        <v>9</v>
      </c>
      <c r="E31" s="3"/>
      <c r="F31" s="3" t="s">
        <v>10</v>
      </c>
      <c r="G31" s="4">
        <v>1899.12</v>
      </c>
    </row>
    <row r="32" spans="2:7" x14ac:dyDescent="0.3">
      <c r="B32" s="12" t="s">
        <v>65</v>
      </c>
      <c r="C32" s="3" t="s">
        <v>66</v>
      </c>
      <c r="D32" s="3" t="s">
        <v>9</v>
      </c>
      <c r="E32" s="3"/>
      <c r="F32" s="3" t="s">
        <v>10</v>
      </c>
      <c r="G32" s="4">
        <v>1897.86</v>
      </c>
    </row>
    <row r="33" spans="2:7" x14ac:dyDescent="0.3">
      <c r="B33" s="12">
        <v>2350</v>
      </c>
      <c r="C33" s="3" t="s">
        <v>67</v>
      </c>
      <c r="D33" s="3" t="s">
        <v>9</v>
      </c>
      <c r="E33" s="3"/>
      <c r="F33" s="3" t="s">
        <v>10</v>
      </c>
      <c r="G33" s="4">
        <v>1876.05</v>
      </c>
    </row>
    <row r="34" spans="2:7" x14ac:dyDescent="0.3">
      <c r="B34" s="12" t="s">
        <v>68</v>
      </c>
      <c r="C34" s="3" t="s">
        <v>69</v>
      </c>
      <c r="D34" s="3" t="s">
        <v>9</v>
      </c>
      <c r="E34" s="3"/>
      <c r="F34" s="3" t="s">
        <v>10</v>
      </c>
      <c r="G34" s="4">
        <v>1834.7</v>
      </c>
    </row>
    <row r="35" spans="2:7" x14ac:dyDescent="0.3">
      <c r="B35" s="12">
        <v>8987</v>
      </c>
      <c r="C35" s="3" t="s">
        <v>70</v>
      </c>
      <c r="D35" s="3" t="s">
        <v>9</v>
      </c>
      <c r="E35" s="3"/>
      <c r="F35" s="3" t="s">
        <v>10</v>
      </c>
      <c r="G35" s="4">
        <v>1238.54</v>
      </c>
    </row>
    <row r="36" spans="2:7" x14ac:dyDescent="0.3">
      <c r="B36" s="12" t="s">
        <v>71</v>
      </c>
      <c r="C36" s="3" t="s">
        <v>72</v>
      </c>
      <c r="D36" s="3" t="s">
        <v>9</v>
      </c>
      <c r="E36" s="3"/>
      <c r="F36" s="3" t="s">
        <v>10</v>
      </c>
      <c r="G36" s="4">
        <v>1029.4000000000001</v>
      </c>
    </row>
    <row r="37" spans="2:7" x14ac:dyDescent="0.3">
      <c r="B37" s="12" t="s">
        <v>73</v>
      </c>
      <c r="C37" s="3" t="s">
        <v>74</v>
      </c>
      <c r="D37" s="3" t="s">
        <v>9</v>
      </c>
      <c r="E37" s="3"/>
      <c r="F37" s="3" t="s">
        <v>10</v>
      </c>
      <c r="G37" s="4">
        <v>821.55</v>
      </c>
    </row>
    <row r="38" spans="2:7" x14ac:dyDescent="0.3">
      <c r="B38" s="12" t="s">
        <v>75</v>
      </c>
      <c r="C38" s="3" t="s">
        <v>76</v>
      </c>
      <c r="D38" s="3" t="s">
        <v>9</v>
      </c>
      <c r="E38" s="3"/>
      <c r="F38" s="3" t="s">
        <v>10</v>
      </c>
      <c r="G38" s="4">
        <v>756.28</v>
      </c>
    </row>
    <row r="39" spans="2:7" x14ac:dyDescent="0.3">
      <c r="B39" s="12" t="s">
        <v>77</v>
      </c>
      <c r="C39" s="3" t="s">
        <v>78</v>
      </c>
      <c r="D39" s="3" t="s">
        <v>9</v>
      </c>
      <c r="E39" s="3"/>
      <c r="F39" s="3" t="s">
        <v>10</v>
      </c>
      <c r="G39" s="4">
        <v>664.68</v>
      </c>
    </row>
    <row r="40" spans="2:7" x14ac:dyDescent="0.3">
      <c r="B40" s="12" t="s">
        <v>79</v>
      </c>
      <c r="C40" s="3" t="s">
        <v>80</v>
      </c>
      <c r="D40" s="3" t="s">
        <v>9</v>
      </c>
      <c r="E40" s="3"/>
      <c r="F40" s="3" t="s">
        <v>10</v>
      </c>
      <c r="G40" s="4">
        <v>637.88</v>
      </c>
    </row>
    <row r="41" spans="2:7" x14ac:dyDescent="0.3">
      <c r="B41" s="12" t="s">
        <v>81</v>
      </c>
      <c r="C41" s="3" t="s">
        <v>82</v>
      </c>
      <c r="D41" s="3" t="s">
        <v>9</v>
      </c>
      <c r="E41" s="3"/>
      <c r="F41" s="3" t="s">
        <v>10</v>
      </c>
      <c r="G41" s="4">
        <v>552.15</v>
      </c>
    </row>
    <row r="42" spans="2:7" x14ac:dyDescent="0.3">
      <c r="B42" s="12" t="s">
        <v>83</v>
      </c>
      <c r="C42" s="3" t="s">
        <v>84</v>
      </c>
      <c r="D42" s="3" t="s">
        <v>9</v>
      </c>
      <c r="E42" s="3"/>
      <c r="F42" s="3" t="s">
        <v>10</v>
      </c>
      <c r="G42" s="4">
        <v>516.94000000000005</v>
      </c>
    </row>
    <row r="43" spans="2:7" x14ac:dyDescent="0.3">
      <c r="B43" s="12" t="s">
        <v>85</v>
      </c>
      <c r="C43" s="3" t="s">
        <v>86</v>
      </c>
      <c r="D43" s="3" t="s">
        <v>9</v>
      </c>
      <c r="E43" s="3"/>
      <c r="F43" s="3" t="s">
        <v>10</v>
      </c>
      <c r="G43" s="4">
        <v>505.45</v>
      </c>
    </row>
  </sheetData>
  <autoFilter ref="B3:G43" xr:uid="{00000000-0009-0000-0000-000000000000}">
    <sortState xmlns:xlrd2="http://schemas.microsoft.com/office/spreadsheetml/2017/richdata2" ref="B4:G43">
      <sortCondition descending="1" ref="G3:G43"/>
    </sortState>
  </autoFilter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B2:AA22"/>
  <sheetViews>
    <sheetView workbookViewId="0">
      <selection activeCell="B3" sqref="B3:AA22"/>
    </sheetView>
  </sheetViews>
  <sheetFormatPr defaultRowHeight="16.5" x14ac:dyDescent="0.3"/>
  <cols>
    <col min="1" max="1" width="3" customWidth="1"/>
    <col min="2" max="2" width="12" style="13" customWidth="1"/>
    <col min="3" max="3" width="14" customWidth="1"/>
    <col min="4" max="4" width="30.625" bestFit="1" customWidth="1"/>
    <col min="5" max="6" width="12" customWidth="1"/>
    <col min="7" max="23" width="9" customWidth="1"/>
    <col min="24" max="27" width="10" customWidth="1"/>
  </cols>
  <sheetData>
    <row r="2" spans="2:27" x14ac:dyDescent="0.3">
      <c r="B2" s="14" t="s">
        <v>1</v>
      </c>
      <c r="C2" s="14" t="s">
        <v>87</v>
      </c>
      <c r="D2" s="14" t="s">
        <v>88</v>
      </c>
      <c r="E2" s="14" t="s">
        <v>89</v>
      </c>
      <c r="F2" s="14" t="s">
        <v>90</v>
      </c>
      <c r="G2" s="14" t="s">
        <v>91</v>
      </c>
      <c r="H2" s="14" t="s">
        <v>92</v>
      </c>
      <c r="I2" s="14" t="s">
        <v>93</v>
      </c>
      <c r="J2" s="14" t="s">
        <v>94</v>
      </c>
      <c r="K2" s="14" t="s">
        <v>95</v>
      </c>
      <c r="L2" s="14" t="s">
        <v>96</v>
      </c>
      <c r="M2" s="14" t="s">
        <v>97</v>
      </c>
      <c r="N2" s="14" t="s">
        <v>98</v>
      </c>
      <c r="O2" s="14" t="s">
        <v>99</v>
      </c>
      <c r="P2" s="14" t="s">
        <v>100</v>
      </c>
      <c r="Q2" s="14" t="s">
        <v>101</v>
      </c>
      <c r="R2" s="14" t="s">
        <v>102</v>
      </c>
      <c r="S2" s="14" t="s">
        <v>103</v>
      </c>
      <c r="T2" s="14" t="s">
        <v>104</v>
      </c>
      <c r="U2" s="14" t="s">
        <v>105</v>
      </c>
      <c r="V2" s="14" t="s">
        <v>106</v>
      </c>
      <c r="W2" s="14" t="s">
        <v>107</v>
      </c>
      <c r="X2" s="14" t="s">
        <v>104</v>
      </c>
      <c r="Y2" s="14" t="s">
        <v>105</v>
      </c>
      <c r="Z2" s="14" t="s">
        <v>106</v>
      </c>
      <c r="AA2" s="14" t="s">
        <v>107</v>
      </c>
    </row>
    <row r="3" spans="2:27" x14ac:dyDescent="0.3">
      <c r="B3" s="12" t="s">
        <v>65</v>
      </c>
      <c r="C3" s="3" t="s">
        <v>108</v>
      </c>
      <c r="D3" s="3" t="s">
        <v>109</v>
      </c>
      <c r="E3" s="3" t="s">
        <v>110</v>
      </c>
      <c r="F3" s="15">
        <v>30.6</v>
      </c>
      <c r="G3" s="4">
        <v>270.3</v>
      </c>
      <c r="H3" s="4">
        <v>266.20999999999998</v>
      </c>
      <c r="I3" s="4">
        <v>291.61</v>
      </c>
      <c r="J3" s="4">
        <v>318.23</v>
      </c>
      <c r="K3" s="4">
        <v>330.65</v>
      </c>
      <c r="L3" s="4">
        <v>318.11</v>
      </c>
      <c r="M3" s="4">
        <v>301.36</v>
      </c>
      <c r="N3" s="4">
        <v>298.88</v>
      </c>
      <c r="O3" s="4">
        <v>101.38</v>
      </c>
      <c r="P3" s="4">
        <v>298.83999999999997</v>
      </c>
      <c r="Q3" s="4">
        <v>298.74</v>
      </c>
      <c r="R3" s="4">
        <v>308.74</v>
      </c>
      <c r="S3" s="4">
        <v>46.53</v>
      </c>
      <c r="T3" s="4">
        <v>331.72</v>
      </c>
      <c r="U3" s="4">
        <v>348.98</v>
      </c>
      <c r="V3" s="4">
        <v>370.49</v>
      </c>
      <c r="W3" s="6">
        <v>382.37</v>
      </c>
      <c r="X3" s="7">
        <v>3.4507005299889697E-2</v>
      </c>
      <c r="Y3" s="8">
        <v>5.0967303419800603E-2</v>
      </c>
      <c r="Z3" s="8">
        <v>5.9605973145940627E-2</v>
      </c>
      <c r="AA3" s="9">
        <v>0.30594322778121907</v>
      </c>
    </row>
    <row r="4" spans="2:27" x14ac:dyDescent="0.3">
      <c r="B4" s="12" t="s">
        <v>20</v>
      </c>
      <c r="C4" s="3" t="s">
        <v>108</v>
      </c>
      <c r="D4" s="3" t="s">
        <v>111</v>
      </c>
      <c r="E4" s="3" t="s">
        <v>110</v>
      </c>
      <c r="F4" s="5">
        <v>7.2</v>
      </c>
      <c r="G4" s="4">
        <v>425.17</v>
      </c>
      <c r="H4" s="4">
        <v>378.62</v>
      </c>
      <c r="I4" s="4">
        <v>415.45</v>
      </c>
      <c r="J4" s="4">
        <v>346.17</v>
      </c>
      <c r="K4" s="4">
        <v>321.2</v>
      </c>
      <c r="L4" s="4">
        <v>295.22000000000003</v>
      </c>
      <c r="M4" s="4">
        <v>312.17</v>
      </c>
      <c r="N4" s="6">
        <v>480.46</v>
      </c>
      <c r="O4" s="6">
        <v>602.16</v>
      </c>
      <c r="P4" s="6">
        <v>525</v>
      </c>
      <c r="Q4" s="4">
        <v>425.5</v>
      </c>
      <c r="R4" s="4">
        <v>485.8</v>
      </c>
      <c r="S4" s="4">
        <v>584.9</v>
      </c>
      <c r="T4" s="4">
        <v>594.9</v>
      </c>
      <c r="U4" s="4">
        <v>536.4</v>
      </c>
      <c r="V4" s="4">
        <v>346.8</v>
      </c>
      <c r="W4" s="4">
        <v>732.9</v>
      </c>
      <c r="X4" s="7">
        <v>3.4583415792598382E-2</v>
      </c>
      <c r="Y4" s="8">
        <v>5.3034288173688493E-2</v>
      </c>
      <c r="Z4" s="8">
        <v>-6.3124432334241587E-2</v>
      </c>
      <c r="AA4" s="8">
        <v>7.1740184197770285E-2</v>
      </c>
    </row>
    <row r="5" spans="2:27" x14ac:dyDescent="0.3">
      <c r="B5" s="12" t="s">
        <v>75</v>
      </c>
      <c r="C5" s="3" t="s">
        <v>108</v>
      </c>
      <c r="D5" s="3" t="s">
        <v>112</v>
      </c>
      <c r="E5" s="3" t="s">
        <v>110</v>
      </c>
      <c r="F5" s="5">
        <v>2.9</v>
      </c>
      <c r="G5" s="4">
        <v>982.25</v>
      </c>
      <c r="H5" s="4">
        <v>1059</v>
      </c>
      <c r="I5" s="4">
        <v>2184</v>
      </c>
      <c r="J5" s="4">
        <v>2993</v>
      </c>
      <c r="K5" s="6">
        <v>2603</v>
      </c>
      <c r="L5" s="6">
        <v>2886</v>
      </c>
      <c r="M5" s="6">
        <v>3523</v>
      </c>
      <c r="N5" s="4">
        <v>4160</v>
      </c>
      <c r="O5" s="4">
        <v>3331</v>
      </c>
      <c r="P5" s="4">
        <v>3728</v>
      </c>
      <c r="Q5" s="4">
        <v>4110</v>
      </c>
      <c r="R5" s="4">
        <v>4886</v>
      </c>
      <c r="S5" s="4">
        <v>3760</v>
      </c>
      <c r="T5" s="4">
        <v>3999</v>
      </c>
      <c r="U5" s="4">
        <v>4538</v>
      </c>
      <c r="V5" s="4">
        <v>5139</v>
      </c>
      <c r="W5" s="4">
        <v>4259</v>
      </c>
      <c r="X5" s="7">
        <v>1.6440184421256939E-2</v>
      </c>
      <c r="Y5" s="8">
        <v>2.554461354819448E-2</v>
      </c>
      <c r="Z5" s="8">
        <v>1.472385497293827E-2</v>
      </c>
      <c r="AA5" s="8">
        <v>2.861894930029818E-2</v>
      </c>
    </row>
    <row r="6" spans="2:27" x14ac:dyDescent="0.3">
      <c r="B6" s="12" t="s">
        <v>34</v>
      </c>
      <c r="C6" s="3" t="s">
        <v>108</v>
      </c>
      <c r="D6" s="3" t="s">
        <v>113</v>
      </c>
      <c r="E6" s="3" t="s">
        <v>110</v>
      </c>
      <c r="F6" s="5">
        <v>2.2999999999999998</v>
      </c>
      <c r="G6" s="4">
        <v>213.13</v>
      </c>
      <c r="H6" s="4">
        <v>228.87</v>
      </c>
      <c r="I6" s="4">
        <v>236.69</v>
      </c>
      <c r="J6" s="4">
        <v>244.27</v>
      </c>
      <c r="K6" s="4">
        <v>232.53</v>
      </c>
      <c r="L6" s="4">
        <v>232.54</v>
      </c>
      <c r="M6" s="4">
        <v>231.25</v>
      </c>
      <c r="N6" s="4">
        <v>229.95</v>
      </c>
      <c r="O6" s="4">
        <v>228.7</v>
      </c>
      <c r="P6" s="4">
        <v>239.66</v>
      </c>
      <c r="Q6" s="4">
        <v>234.08</v>
      </c>
      <c r="R6" s="4">
        <v>239.94</v>
      </c>
      <c r="S6" s="4">
        <v>240</v>
      </c>
      <c r="T6" s="4">
        <v>250.52</v>
      </c>
      <c r="U6" s="4">
        <v>255.47</v>
      </c>
      <c r="V6" s="4">
        <v>267.56</v>
      </c>
      <c r="W6" s="4">
        <v>263.62</v>
      </c>
      <c r="X6" s="7">
        <v>1.138746749433772E-2</v>
      </c>
      <c r="Y6" s="8">
        <v>2.2176374230203019E-2</v>
      </c>
      <c r="Z6" s="8">
        <v>2.8014159220228541E-2</v>
      </c>
      <c r="AA6" s="8">
        <v>2.330422771446905E-2</v>
      </c>
    </row>
    <row r="7" spans="2:27" x14ac:dyDescent="0.3">
      <c r="B7" s="12" t="s">
        <v>85</v>
      </c>
      <c r="C7" s="3" t="s">
        <v>108</v>
      </c>
      <c r="D7" s="3" t="s">
        <v>114</v>
      </c>
      <c r="E7" s="3" t="s">
        <v>110</v>
      </c>
      <c r="F7" s="5">
        <v>2.1</v>
      </c>
      <c r="G7" s="4">
        <v>161.32</v>
      </c>
      <c r="H7" s="4">
        <v>164.04</v>
      </c>
      <c r="I7" s="4">
        <v>181.83</v>
      </c>
      <c r="J7" s="4">
        <v>189.39</v>
      </c>
      <c r="K7" s="4">
        <v>202.43</v>
      </c>
      <c r="L7" s="4">
        <v>196.2</v>
      </c>
      <c r="M7" s="4">
        <v>183.53</v>
      </c>
      <c r="N7" s="4">
        <v>194.29</v>
      </c>
      <c r="O7" s="4">
        <v>208.27</v>
      </c>
      <c r="P7" s="4">
        <v>167.26</v>
      </c>
      <c r="Q7" s="4">
        <v>186.38</v>
      </c>
      <c r="R7" s="4">
        <v>174.35</v>
      </c>
      <c r="S7" s="4">
        <v>164.6</v>
      </c>
      <c r="T7" s="4">
        <v>159.94</v>
      </c>
      <c r="U7" s="4">
        <v>165.41</v>
      </c>
      <c r="V7" s="4">
        <v>165.18</v>
      </c>
      <c r="W7" s="4">
        <v>178.46</v>
      </c>
      <c r="X7" s="7">
        <v>-1.0569023520408781E-2</v>
      </c>
      <c r="Y7" s="8">
        <v>-3.060107694777248E-2</v>
      </c>
      <c r="Z7" s="8">
        <v>-1.380400421496308E-2</v>
      </c>
      <c r="AA7" s="8">
        <v>2.1156106421626349E-2</v>
      </c>
    </row>
    <row r="8" spans="2:27" x14ac:dyDescent="0.3">
      <c r="B8" s="12" t="s">
        <v>11</v>
      </c>
      <c r="C8" s="3" t="s">
        <v>108</v>
      </c>
      <c r="D8" s="3" t="s">
        <v>115</v>
      </c>
      <c r="E8" s="3" t="s">
        <v>110</v>
      </c>
      <c r="F8" s="5">
        <v>0.9</v>
      </c>
      <c r="G8" s="4">
        <v>22420</v>
      </c>
      <c r="H8" s="4">
        <v>22725</v>
      </c>
      <c r="I8" s="4">
        <v>23820</v>
      </c>
      <c r="J8" s="4">
        <v>24351</v>
      </c>
      <c r="K8" s="4">
        <v>24486</v>
      </c>
      <c r="L8" s="4">
        <v>23726</v>
      </c>
      <c r="M8" s="4">
        <v>24069</v>
      </c>
      <c r="N8" s="4">
        <v>25250</v>
      </c>
      <c r="O8" s="4">
        <v>24947</v>
      </c>
      <c r="P8" s="4">
        <v>23593</v>
      </c>
      <c r="Q8" s="4">
        <v>23875</v>
      </c>
      <c r="R8" s="4">
        <v>20807</v>
      </c>
      <c r="S8" s="4">
        <v>20460</v>
      </c>
      <c r="T8" s="4">
        <v>18463</v>
      </c>
      <c r="U8" s="4">
        <v>18550</v>
      </c>
      <c r="V8" s="4">
        <v>19460</v>
      </c>
      <c r="W8" s="4">
        <v>21184</v>
      </c>
      <c r="X8" s="7">
        <v>-5.7812588043049562E-2</v>
      </c>
      <c r="Y8" s="8">
        <v>-6.3692362896955901E-2</v>
      </c>
      <c r="Z8" s="8">
        <v>-1.7207460398569241E-2</v>
      </c>
      <c r="AA8" s="8">
        <v>9.4107860086047879E-3</v>
      </c>
    </row>
    <row r="9" spans="2:27" x14ac:dyDescent="0.3">
      <c r="B9" s="12" t="s">
        <v>13</v>
      </c>
      <c r="C9" s="3" t="s">
        <v>108</v>
      </c>
      <c r="D9" s="3" t="s">
        <v>116</v>
      </c>
      <c r="E9" s="3" t="s">
        <v>110</v>
      </c>
      <c r="F9" s="5">
        <v>0.6</v>
      </c>
      <c r="G9" s="4">
        <v>9427</v>
      </c>
      <c r="H9" s="4">
        <v>8899</v>
      </c>
      <c r="I9" s="4">
        <v>13422</v>
      </c>
      <c r="J9" s="4">
        <v>13462</v>
      </c>
      <c r="K9" s="4">
        <v>13188</v>
      </c>
      <c r="L9" s="4">
        <v>12189</v>
      </c>
      <c r="M9" s="4">
        <v>14055</v>
      </c>
      <c r="N9" s="4">
        <v>13482</v>
      </c>
      <c r="O9" s="4">
        <v>13062</v>
      </c>
      <c r="P9" s="4">
        <v>12570</v>
      </c>
      <c r="Q9" s="4">
        <v>14334</v>
      </c>
      <c r="R9" s="4">
        <v>13647</v>
      </c>
      <c r="S9" s="4">
        <v>13660</v>
      </c>
      <c r="T9" s="4">
        <v>12551</v>
      </c>
      <c r="U9" s="4">
        <v>14392</v>
      </c>
      <c r="V9" s="4">
        <v>13691</v>
      </c>
      <c r="W9" s="4">
        <v>13999</v>
      </c>
      <c r="X9" s="7">
        <v>-3.5048237442580898E-4</v>
      </c>
      <c r="Y9" s="8">
        <v>1.070268674343122E-3</v>
      </c>
      <c r="Z9" s="8">
        <v>8.1105990783414406E-4</v>
      </c>
      <c r="AA9" s="8">
        <v>6.2437838435185364E-3</v>
      </c>
    </row>
    <row r="10" spans="2:27" x14ac:dyDescent="0.3">
      <c r="B10" s="12" t="s">
        <v>16</v>
      </c>
      <c r="C10" s="3" t="s">
        <v>108</v>
      </c>
      <c r="D10" s="3" t="s">
        <v>117</v>
      </c>
      <c r="E10" s="3" t="s">
        <v>110</v>
      </c>
      <c r="F10" s="5">
        <v>0.6</v>
      </c>
      <c r="G10" s="4">
        <v>496.82</v>
      </c>
      <c r="H10" s="4">
        <v>452.13</v>
      </c>
      <c r="I10" s="4">
        <v>518.21</v>
      </c>
      <c r="J10" s="4">
        <v>528.94000000000005</v>
      </c>
      <c r="K10" s="4">
        <v>537.16999999999996</v>
      </c>
      <c r="L10" s="4">
        <v>471.51</v>
      </c>
      <c r="M10" s="4">
        <v>541.59</v>
      </c>
      <c r="N10" s="4">
        <v>543.30999999999995</v>
      </c>
      <c r="O10" s="4">
        <v>558.28</v>
      </c>
      <c r="P10" s="4">
        <v>497.59</v>
      </c>
      <c r="Q10" s="4">
        <v>565.26</v>
      </c>
      <c r="R10" s="4">
        <v>566.78</v>
      </c>
      <c r="S10" s="4">
        <v>582.57000000000005</v>
      </c>
      <c r="T10" s="4">
        <v>505.81</v>
      </c>
      <c r="U10" s="4">
        <v>579.14</v>
      </c>
      <c r="V10" s="4">
        <v>585.54</v>
      </c>
      <c r="W10" s="4">
        <v>595.92999999999995</v>
      </c>
      <c r="X10" s="7">
        <v>3.715758068890906E-3</v>
      </c>
      <c r="Y10" s="8">
        <v>6.2510696174598026E-3</v>
      </c>
      <c r="Z10" s="8">
        <v>8.3963657521370916E-3</v>
      </c>
      <c r="AA10" s="8">
        <v>5.9297133675979552E-3</v>
      </c>
    </row>
    <row r="11" spans="2:27" x14ac:dyDescent="0.3">
      <c r="B11" s="12" t="s">
        <v>59</v>
      </c>
      <c r="C11" s="3" t="s">
        <v>108</v>
      </c>
      <c r="D11" s="3" t="s">
        <v>118</v>
      </c>
      <c r="E11" s="3" t="s">
        <v>110</v>
      </c>
      <c r="F11" s="5">
        <v>0.5</v>
      </c>
      <c r="G11" s="4">
        <v>2953</v>
      </c>
      <c r="H11" s="4">
        <v>2970</v>
      </c>
      <c r="I11" s="4">
        <v>3414</v>
      </c>
      <c r="J11" s="4">
        <v>3598</v>
      </c>
      <c r="K11" s="4">
        <v>3530</v>
      </c>
      <c r="L11" s="4">
        <v>3581</v>
      </c>
      <c r="M11" s="4">
        <v>3726</v>
      </c>
      <c r="N11" s="4">
        <v>3826</v>
      </c>
      <c r="O11" s="4">
        <v>3832</v>
      </c>
      <c r="P11" s="4">
        <v>3862</v>
      </c>
      <c r="Q11" s="4">
        <v>4048</v>
      </c>
      <c r="R11" s="4">
        <v>4076</v>
      </c>
      <c r="S11" s="4">
        <v>4046</v>
      </c>
      <c r="T11" s="4">
        <v>4009</v>
      </c>
      <c r="U11" s="4">
        <v>4235</v>
      </c>
      <c r="V11" s="4">
        <v>4212</v>
      </c>
      <c r="W11" s="4">
        <v>4135</v>
      </c>
      <c r="X11" s="7">
        <v>9.1691616766467199E-3</v>
      </c>
      <c r="Y11" s="8">
        <v>1.155819271895675E-2</v>
      </c>
      <c r="Z11" s="8">
        <v>8.3099107906636771E-3</v>
      </c>
      <c r="AA11" s="8">
        <v>5.3932856623439829E-3</v>
      </c>
    </row>
    <row r="12" spans="2:27" x14ac:dyDescent="0.3">
      <c r="B12" s="12" t="s">
        <v>79</v>
      </c>
      <c r="C12" s="3" t="s">
        <v>108</v>
      </c>
      <c r="D12" s="3" t="s">
        <v>119</v>
      </c>
      <c r="E12" s="3" t="s">
        <v>120</v>
      </c>
      <c r="F12" s="5">
        <v>0.2</v>
      </c>
      <c r="G12" s="4">
        <v>1789</v>
      </c>
      <c r="H12" s="4">
        <v>1825</v>
      </c>
      <c r="I12" s="4">
        <v>1767</v>
      </c>
      <c r="J12" s="4">
        <v>1904</v>
      </c>
      <c r="K12" s="4">
        <v>1881</v>
      </c>
      <c r="L12" s="4">
        <v>1874</v>
      </c>
      <c r="M12" s="4">
        <v>1924</v>
      </c>
      <c r="N12" s="4">
        <v>1914</v>
      </c>
      <c r="O12" s="4">
        <v>1945</v>
      </c>
      <c r="P12" s="4">
        <v>1779</v>
      </c>
      <c r="Q12" s="4">
        <v>1660</v>
      </c>
      <c r="R12" s="4">
        <v>2025</v>
      </c>
      <c r="S12" s="4">
        <v>1883</v>
      </c>
      <c r="T12" s="4">
        <v>1895</v>
      </c>
      <c r="U12" s="4">
        <v>1671</v>
      </c>
      <c r="V12" s="4">
        <v>1839</v>
      </c>
      <c r="W12" s="4">
        <v>1901</v>
      </c>
      <c r="X12" s="7">
        <v>1.5788757315911232E-2</v>
      </c>
      <c r="Y12" s="8">
        <v>1.473938094600058E-3</v>
      </c>
      <c r="Z12" s="8">
        <v>-2.488627241102492E-2</v>
      </c>
      <c r="AA12" s="8">
        <v>2.4698133918770182E-3</v>
      </c>
    </row>
    <row r="13" spans="2:27" x14ac:dyDescent="0.3">
      <c r="B13" s="12" t="s">
        <v>63</v>
      </c>
      <c r="C13" s="3" t="s">
        <v>108</v>
      </c>
      <c r="D13" s="3" t="s">
        <v>121</v>
      </c>
      <c r="E13" s="3" t="s">
        <v>110</v>
      </c>
      <c r="F13" s="5">
        <v>-1.2</v>
      </c>
      <c r="G13" s="4">
        <v>142.91</v>
      </c>
      <c r="H13" s="4">
        <v>145.47999999999999</v>
      </c>
      <c r="I13" s="4">
        <v>145.05000000000001</v>
      </c>
      <c r="J13" s="4">
        <v>145.9</v>
      </c>
      <c r="K13" s="4">
        <v>147.88</v>
      </c>
      <c r="L13" s="4">
        <v>149.38999999999999</v>
      </c>
      <c r="M13" s="6">
        <v>228.81</v>
      </c>
      <c r="N13" s="6">
        <v>260.83</v>
      </c>
      <c r="O13" s="6">
        <v>251.7</v>
      </c>
      <c r="P13" s="6">
        <v>245.67</v>
      </c>
      <c r="Q13" s="4">
        <v>241.24</v>
      </c>
      <c r="R13" s="4">
        <v>237.4</v>
      </c>
      <c r="S13" s="4">
        <v>231.39</v>
      </c>
      <c r="T13" s="4">
        <v>226.85</v>
      </c>
      <c r="U13" s="4">
        <v>226.25</v>
      </c>
      <c r="V13" s="4">
        <v>222.75</v>
      </c>
      <c r="W13" s="4">
        <v>220.72</v>
      </c>
      <c r="X13" s="7">
        <v>-1.9692372083289781E-2</v>
      </c>
      <c r="Y13" s="8">
        <v>-1.5999914610195561E-2</v>
      </c>
      <c r="Z13" s="8">
        <v>-1.589126685396303E-2</v>
      </c>
      <c r="AA13" s="8">
        <v>-1.1760945284599479E-2</v>
      </c>
    </row>
    <row r="14" spans="2:27" x14ac:dyDescent="0.3">
      <c r="B14" s="12" t="s">
        <v>48</v>
      </c>
      <c r="C14" s="3" t="s">
        <v>108</v>
      </c>
      <c r="D14" s="3" t="s">
        <v>122</v>
      </c>
      <c r="E14" s="3" t="s">
        <v>110</v>
      </c>
      <c r="F14" s="5">
        <v>-1.2</v>
      </c>
      <c r="G14" s="4">
        <v>1285</v>
      </c>
      <c r="H14" s="4">
        <v>1156</v>
      </c>
      <c r="I14" s="4">
        <v>1138</v>
      </c>
      <c r="J14" s="4">
        <v>1090</v>
      </c>
      <c r="K14" s="4">
        <v>1092</v>
      </c>
      <c r="L14" s="4">
        <v>1037</v>
      </c>
      <c r="M14" s="4">
        <v>1170</v>
      </c>
      <c r="N14" s="4">
        <v>1098</v>
      </c>
      <c r="O14" s="4">
        <v>1052</v>
      </c>
      <c r="P14" s="4">
        <v>1049</v>
      </c>
      <c r="Q14" s="4">
        <v>1066</v>
      </c>
      <c r="R14" s="4">
        <v>1036</v>
      </c>
      <c r="S14" s="4">
        <v>1058</v>
      </c>
      <c r="T14" s="4">
        <v>983.6</v>
      </c>
      <c r="U14" s="4">
        <v>1026</v>
      </c>
      <c r="V14" s="4">
        <v>1033</v>
      </c>
      <c r="W14" s="4">
        <v>1008</v>
      </c>
      <c r="X14" s="7">
        <v>-1.5538132573057689E-2</v>
      </c>
      <c r="Y14" s="8">
        <v>-9.6534414518776313E-3</v>
      </c>
      <c r="Z14" s="8">
        <v>-7.3106540598499858E-4</v>
      </c>
      <c r="AA14" s="8">
        <v>-1.219333756035712E-2</v>
      </c>
    </row>
    <row r="15" spans="2:27" x14ac:dyDescent="0.3">
      <c r="B15" s="12" t="s">
        <v>7</v>
      </c>
      <c r="C15" s="3" t="s">
        <v>108</v>
      </c>
      <c r="D15" s="3" t="s">
        <v>123</v>
      </c>
      <c r="E15" s="3" t="s">
        <v>124</v>
      </c>
      <c r="F15" s="5">
        <v>-5.2</v>
      </c>
      <c r="G15" s="4">
        <v>58.26</v>
      </c>
      <c r="H15" s="4">
        <v>69.77</v>
      </c>
      <c r="I15" s="4">
        <v>72.319999999999993</v>
      </c>
      <c r="J15" s="4">
        <v>65.31</v>
      </c>
      <c r="K15" s="4">
        <v>62.41</v>
      </c>
      <c r="L15" s="4">
        <v>66.67</v>
      </c>
      <c r="M15" s="4">
        <v>72.41</v>
      </c>
      <c r="N15" s="4">
        <v>72.36</v>
      </c>
      <c r="O15" s="4">
        <v>73.23</v>
      </c>
      <c r="P15" s="4">
        <v>78.400000000000006</v>
      </c>
      <c r="Q15" s="4">
        <v>86.59</v>
      </c>
      <c r="R15" s="4">
        <v>87.21</v>
      </c>
      <c r="S15" s="4">
        <v>94.34</v>
      </c>
      <c r="T15" s="4">
        <v>98.78</v>
      </c>
      <c r="U15" s="4">
        <v>108.72</v>
      </c>
      <c r="V15" s="4">
        <v>70.260000000000005</v>
      </c>
      <c r="W15" s="4">
        <v>75.150000000000006</v>
      </c>
      <c r="X15" s="7">
        <v>5.8809949789346172E-2</v>
      </c>
      <c r="Y15" s="8">
        <v>6.031287474108793E-2</v>
      </c>
      <c r="Z15" s="8">
        <v>-4.3567664824572638E-2</v>
      </c>
      <c r="AA15" s="8">
        <v>-5.1572158022037073E-2</v>
      </c>
    </row>
    <row r="16" spans="2:27" x14ac:dyDescent="0.3">
      <c r="B16" s="12" t="s">
        <v>40</v>
      </c>
      <c r="C16" s="3" t="s">
        <v>108</v>
      </c>
      <c r="D16" s="3" t="s">
        <v>121</v>
      </c>
      <c r="E16" s="3" t="s">
        <v>110</v>
      </c>
      <c r="F16" s="5">
        <v>-33.6</v>
      </c>
      <c r="G16" s="4">
        <v>1372</v>
      </c>
      <c r="H16" s="4">
        <v>1315</v>
      </c>
      <c r="I16" s="4">
        <v>1349</v>
      </c>
      <c r="J16" s="4">
        <v>1392</v>
      </c>
      <c r="K16" s="4">
        <v>1357</v>
      </c>
      <c r="L16" s="4">
        <v>1303</v>
      </c>
      <c r="M16" s="4">
        <v>1267</v>
      </c>
      <c r="N16" s="4">
        <v>1278</v>
      </c>
      <c r="O16" s="4">
        <v>1312</v>
      </c>
      <c r="P16" s="4">
        <v>1262</v>
      </c>
      <c r="Q16" s="4">
        <v>0</v>
      </c>
      <c r="R16" s="4">
        <v>327.5</v>
      </c>
      <c r="S16" s="4">
        <v>1240</v>
      </c>
      <c r="T16" s="4">
        <v>1154</v>
      </c>
      <c r="U16" s="4">
        <v>0</v>
      </c>
      <c r="V16" s="4">
        <v>308.52</v>
      </c>
      <c r="W16" s="4">
        <v>330.71</v>
      </c>
      <c r="X16" s="7">
        <v>-3.816928786004592E-2</v>
      </c>
      <c r="Y16" s="8">
        <v>0</v>
      </c>
      <c r="Z16" s="8">
        <v>-6.974095168105876E-3</v>
      </c>
      <c r="AA16" s="8">
        <v>-0.33646004469902169</v>
      </c>
    </row>
    <row r="17" spans="2:27" x14ac:dyDescent="0.3">
      <c r="B17" s="40" t="s">
        <v>42</v>
      </c>
      <c r="C17" s="16" t="s">
        <v>108</v>
      </c>
      <c r="D17" s="16" t="s">
        <v>121</v>
      </c>
      <c r="E17" s="16" t="s">
        <v>110</v>
      </c>
      <c r="F17" s="17">
        <v>-47.7</v>
      </c>
      <c r="G17" s="18">
        <v>1069</v>
      </c>
      <c r="H17" s="18">
        <v>1010</v>
      </c>
      <c r="I17" s="18">
        <v>1027</v>
      </c>
      <c r="J17" s="18">
        <v>1083</v>
      </c>
      <c r="K17" s="18">
        <v>1049</v>
      </c>
      <c r="L17" s="18">
        <v>986</v>
      </c>
      <c r="M17" s="18">
        <v>957</v>
      </c>
      <c r="N17" s="18">
        <v>963</v>
      </c>
      <c r="O17" s="18">
        <v>1000</v>
      </c>
      <c r="P17" s="18">
        <v>950</v>
      </c>
      <c r="Q17" s="18">
        <v>0</v>
      </c>
      <c r="R17" s="18">
        <v>25.74</v>
      </c>
      <c r="S17" s="18">
        <v>971</v>
      </c>
      <c r="T17" s="18">
        <v>891</v>
      </c>
      <c r="U17" s="18">
        <v>0</v>
      </c>
      <c r="V17" s="18">
        <v>47.12</v>
      </c>
      <c r="W17" s="18">
        <v>60.33</v>
      </c>
      <c r="X17" s="19">
        <v>-3.0307077473108901E-2</v>
      </c>
      <c r="Y17" s="20">
        <v>0</v>
      </c>
      <c r="Z17" s="20">
        <v>1.132571222731937E-2</v>
      </c>
      <c r="AA17" s="20">
        <v>-0.47701035031847128</v>
      </c>
    </row>
    <row r="18" spans="2:27" hidden="1" x14ac:dyDescent="0.3">
      <c r="B18" s="3" t="s">
        <v>52</v>
      </c>
      <c r="C18" s="3" t="s">
        <v>108</v>
      </c>
      <c r="D18" s="3" t="s">
        <v>125</v>
      </c>
      <c r="E18" s="3" t="s">
        <v>126</v>
      </c>
      <c r="F18" s="5">
        <v>62.7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2.04</v>
      </c>
      <c r="U18" s="6">
        <v>5.79</v>
      </c>
      <c r="V18" s="6">
        <v>3.53</v>
      </c>
      <c r="W18" s="6">
        <v>7.12</v>
      </c>
      <c r="X18" s="10"/>
      <c r="Y18" s="9">
        <v>2.8382352941176472</v>
      </c>
      <c r="Z18" s="9">
        <v>0.45083014048531278</v>
      </c>
      <c r="AA18" s="9">
        <v>0.62676056338028174</v>
      </c>
    </row>
    <row r="19" spans="2:27" hidden="1" x14ac:dyDescent="0.3">
      <c r="B19" s="3" t="s">
        <v>26</v>
      </c>
      <c r="C19" s="3" t="s">
        <v>108</v>
      </c>
      <c r="D19" s="3" t="s">
        <v>127</v>
      </c>
      <c r="E19" s="3" t="s">
        <v>126</v>
      </c>
      <c r="F19" s="5">
        <v>3.8</v>
      </c>
      <c r="G19" s="4">
        <v>554.54999999999995</v>
      </c>
      <c r="H19" s="4">
        <v>434.08</v>
      </c>
      <c r="I19" s="4">
        <v>444.12</v>
      </c>
      <c r="J19" s="4">
        <v>499.73</v>
      </c>
      <c r="K19" s="4">
        <v>729.89</v>
      </c>
      <c r="L19" s="4">
        <v>575.82000000000005</v>
      </c>
      <c r="M19" s="4">
        <v>544.08000000000004</v>
      </c>
      <c r="N19" s="4">
        <v>477.16</v>
      </c>
      <c r="O19" s="4">
        <v>505.85</v>
      </c>
      <c r="P19" s="4">
        <v>412.11</v>
      </c>
      <c r="Q19" s="4">
        <v>436.88</v>
      </c>
      <c r="R19" s="4">
        <v>488.1</v>
      </c>
      <c r="S19" s="4">
        <v>569.26</v>
      </c>
      <c r="T19" s="4">
        <v>476.96</v>
      </c>
      <c r="U19" s="4">
        <v>482.79</v>
      </c>
      <c r="V19" s="4">
        <v>502.42</v>
      </c>
      <c r="W19" s="4">
        <v>647.16</v>
      </c>
      <c r="X19" s="7">
        <v>3.4017887586225148E-2</v>
      </c>
      <c r="Y19" s="8">
        <v>2.3290381493506599E-2</v>
      </c>
      <c r="Z19" s="8">
        <v>7.0992657812414262E-3</v>
      </c>
      <c r="AA19" s="8">
        <v>3.8347371063733433E-2</v>
      </c>
    </row>
    <row r="20" spans="2:27" hidden="1" x14ac:dyDescent="0.3">
      <c r="B20" s="3" t="s">
        <v>32</v>
      </c>
      <c r="C20" s="3" t="s">
        <v>108</v>
      </c>
      <c r="D20" s="3" t="s">
        <v>128</v>
      </c>
      <c r="E20" s="3" t="s">
        <v>126</v>
      </c>
      <c r="F20" s="5">
        <v>0</v>
      </c>
      <c r="G20" s="4">
        <v>10.29</v>
      </c>
      <c r="H20" s="4">
        <v>8.6199999999999992</v>
      </c>
      <c r="I20" s="4">
        <v>25.72</v>
      </c>
      <c r="J20" s="4">
        <v>0.86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60</v>
      </c>
      <c r="Q20" s="6">
        <v>254.95</v>
      </c>
      <c r="R20" s="4">
        <v>4.17</v>
      </c>
      <c r="S20" s="4">
        <v>4.68</v>
      </c>
      <c r="T20" s="6">
        <v>170.64</v>
      </c>
      <c r="U20" s="4">
        <v>28.32</v>
      </c>
      <c r="V20" s="4">
        <v>5.55</v>
      </c>
      <c r="W20" s="4">
        <v>4.71</v>
      </c>
      <c r="X20" s="11">
        <v>0.34169240271772677</v>
      </c>
      <c r="Y20" s="8">
        <v>-0.52166006813368937</v>
      </c>
      <c r="Z20" s="8">
        <v>6.640681391655967E-3</v>
      </c>
      <c r="AA20" s="8">
        <v>1.4341029685938089E-4</v>
      </c>
    </row>
    <row r="21" spans="2:27" x14ac:dyDescent="0.3">
      <c r="B21" s="40">
        <v>8987</v>
      </c>
      <c r="C21" s="16" t="s">
        <v>129</v>
      </c>
      <c r="D21" s="16" t="s">
        <v>70</v>
      </c>
      <c r="E21" s="16" t="s">
        <v>130</v>
      </c>
      <c r="F21" s="17">
        <f>AA21*100</f>
        <v>-4.5024388210280542</v>
      </c>
      <c r="G21" s="18">
        <v>10666</v>
      </c>
      <c r="H21" s="21"/>
      <c r="I21" s="18">
        <v>11065</v>
      </c>
      <c r="J21" s="21"/>
      <c r="K21" s="18">
        <v>10672</v>
      </c>
      <c r="L21" s="21"/>
      <c r="M21" s="18">
        <v>13763</v>
      </c>
      <c r="N21" s="21"/>
      <c r="O21" s="18">
        <v>10799</v>
      </c>
      <c r="P21" s="21"/>
      <c r="Q21" s="18">
        <v>11460</v>
      </c>
      <c r="R21" s="21"/>
      <c r="S21" s="18">
        <v>12752</v>
      </c>
      <c r="T21" s="21"/>
      <c r="U21" s="18">
        <v>11235</v>
      </c>
      <c r="V21" s="21"/>
      <c r="W21" s="18">
        <v>11672</v>
      </c>
      <c r="X21" s="19">
        <v>-9.3762722905300855E-2</v>
      </c>
      <c r="Y21" s="20">
        <v>8.7739790646480076E-2</v>
      </c>
      <c r="Z21" s="20">
        <v>-9.2929126053197253E-3</v>
      </c>
      <c r="AA21" s="20">
        <f>SUM(U21,W21)/SUM(S21,U21)-1</f>
        <v>-4.5024388210280542E-2</v>
      </c>
    </row>
    <row r="22" spans="2:27" x14ac:dyDescent="0.3">
      <c r="B22" s="12">
        <v>2350</v>
      </c>
      <c r="C22" s="3" t="s">
        <v>131</v>
      </c>
      <c r="D22" s="3" t="s">
        <v>67</v>
      </c>
      <c r="E22" s="3" t="s">
        <v>132</v>
      </c>
      <c r="F22" s="15">
        <f>AA22*100</f>
        <v>15.090926401980397</v>
      </c>
      <c r="G22" s="4">
        <v>261.8</v>
      </c>
      <c r="I22" s="4">
        <v>369.71</v>
      </c>
      <c r="K22" s="4">
        <v>406.14</v>
      </c>
      <c r="M22" s="4">
        <v>346.41</v>
      </c>
      <c r="O22" s="4">
        <v>360.06</v>
      </c>
      <c r="Q22" s="4">
        <v>268.01</v>
      </c>
      <c r="S22" s="4">
        <v>220.28</v>
      </c>
      <c r="U22" s="4">
        <v>409.9</v>
      </c>
      <c r="W22" s="4">
        <v>315.38</v>
      </c>
      <c r="X22" s="7">
        <v>-0.11097428057808556</v>
      </c>
      <c r="Y22" s="8">
        <v>-0.22255481076950023</v>
      </c>
      <c r="Z22" s="8">
        <v>0.29058551270761224</v>
      </c>
      <c r="AA22" s="8">
        <f>SUM(U22,W22)/SUM(S22,U22)-1</f>
        <v>0.15090926401980398</v>
      </c>
    </row>
  </sheetData>
  <autoFilter ref="B2:AA22" xr:uid="{00000000-0009-0000-0000-000001000000}">
    <filterColumn colId="3">
      <filters>
        <filter val="Dec'25"/>
        <filter val="H1 2026"/>
        <filter val="H2 2025"/>
        <filter val="Jun'26"/>
        <filter val="Sep'26"/>
      </filters>
    </filterColumn>
    <sortState xmlns:xlrd2="http://schemas.microsoft.com/office/spreadsheetml/2017/richdata2" ref="B3:AA22">
      <sortCondition descending="1" ref="C2:C22"/>
    </sortState>
  </autoFilter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B2:AA22"/>
  <sheetViews>
    <sheetView tabSelected="1" workbookViewId="0">
      <selection activeCell="D28" sqref="D28"/>
    </sheetView>
  </sheetViews>
  <sheetFormatPr defaultRowHeight="16.5" x14ac:dyDescent="0.3"/>
  <cols>
    <col min="1" max="1" width="3" customWidth="1"/>
    <col min="2" max="2" width="12" style="13" customWidth="1"/>
    <col min="3" max="3" width="14" customWidth="1"/>
    <col min="4" max="4" width="30.625" bestFit="1" customWidth="1"/>
    <col min="5" max="5" width="12" hidden="1" customWidth="1"/>
    <col min="6" max="6" width="12" customWidth="1"/>
    <col min="7" max="11" width="9" hidden="1" customWidth="1"/>
    <col min="12" max="23" width="9" customWidth="1"/>
    <col min="24" max="27" width="10" customWidth="1"/>
  </cols>
  <sheetData>
    <row r="2" spans="2:27" x14ac:dyDescent="0.3">
      <c r="B2" s="14" t="s">
        <v>1</v>
      </c>
      <c r="C2" s="14" t="s">
        <v>87</v>
      </c>
      <c r="D2" s="14" t="s">
        <v>88</v>
      </c>
      <c r="E2" s="2" t="s">
        <v>89</v>
      </c>
      <c r="F2" s="14" t="s">
        <v>90</v>
      </c>
      <c r="G2" s="2" t="s">
        <v>91</v>
      </c>
      <c r="H2" s="2" t="s">
        <v>92</v>
      </c>
      <c r="I2" s="2" t="s">
        <v>93</v>
      </c>
      <c r="J2" s="2" t="s">
        <v>94</v>
      </c>
      <c r="K2" s="2" t="s">
        <v>95</v>
      </c>
      <c r="L2" s="14" t="s">
        <v>96</v>
      </c>
      <c r="M2" s="14" t="s">
        <v>97</v>
      </c>
      <c r="N2" s="14" t="s">
        <v>98</v>
      </c>
      <c r="O2" s="14" t="s">
        <v>99</v>
      </c>
      <c r="P2" s="14" t="s">
        <v>100</v>
      </c>
      <c r="Q2" s="14" t="s">
        <v>101</v>
      </c>
      <c r="R2" s="14" t="s">
        <v>102</v>
      </c>
      <c r="S2" s="14" t="s">
        <v>103</v>
      </c>
      <c r="T2" s="14" t="s">
        <v>104</v>
      </c>
      <c r="U2" s="14" t="s">
        <v>105</v>
      </c>
      <c r="V2" s="14" t="s">
        <v>106</v>
      </c>
      <c r="W2" s="14" t="s">
        <v>107</v>
      </c>
      <c r="X2" s="14" t="s">
        <v>104</v>
      </c>
      <c r="Y2" s="14" t="s">
        <v>105</v>
      </c>
      <c r="Z2" s="14" t="s">
        <v>106</v>
      </c>
      <c r="AA2" s="14" t="s">
        <v>107</v>
      </c>
    </row>
    <row r="3" spans="2:27" x14ac:dyDescent="0.3">
      <c r="B3" s="12" t="s">
        <v>40</v>
      </c>
      <c r="C3" s="3" t="s">
        <v>108</v>
      </c>
      <c r="D3" s="3" t="s">
        <v>121</v>
      </c>
      <c r="E3" s="3" t="s">
        <v>110</v>
      </c>
      <c r="F3" s="15">
        <v>355.8</v>
      </c>
      <c r="G3" s="30">
        <v>32</v>
      </c>
      <c r="H3" s="30">
        <v>96</v>
      </c>
      <c r="I3" s="30">
        <v>73</v>
      </c>
      <c r="J3" s="30">
        <v>-7</v>
      </c>
      <c r="K3" s="30">
        <v>-11</v>
      </c>
      <c r="L3" s="30">
        <v>40</v>
      </c>
      <c r="M3" s="30">
        <v>38</v>
      </c>
      <c r="N3" s="31">
        <v>54</v>
      </c>
      <c r="O3" s="31">
        <v>26</v>
      </c>
      <c r="P3" s="31">
        <v>73</v>
      </c>
      <c r="Q3" s="30">
        <v>0</v>
      </c>
      <c r="R3" s="30">
        <v>-24.6</v>
      </c>
      <c r="S3" s="30">
        <v>-13</v>
      </c>
      <c r="T3" s="30">
        <v>37</v>
      </c>
      <c r="U3" s="30">
        <v>0</v>
      </c>
      <c r="V3" s="30">
        <v>-18.05</v>
      </c>
      <c r="W3" s="31">
        <v>8.17</v>
      </c>
      <c r="X3" s="7">
        <v>-1.0169491525423731</v>
      </c>
      <c r="Y3" s="8">
        <v>0</v>
      </c>
      <c r="Z3" s="8">
        <v>-10.916666666666639</v>
      </c>
      <c r="AA3" s="9">
        <v>3.5579831932773112</v>
      </c>
    </row>
    <row r="4" spans="2:27" x14ac:dyDescent="0.3">
      <c r="B4" s="12" t="s">
        <v>65</v>
      </c>
      <c r="C4" s="3" t="s">
        <v>108</v>
      </c>
      <c r="D4" s="3" t="s">
        <v>109</v>
      </c>
      <c r="E4" s="3" t="s">
        <v>110</v>
      </c>
      <c r="F4" s="15">
        <v>143.6</v>
      </c>
      <c r="G4" s="30">
        <v>92.05</v>
      </c>
      <c r="H4" s="30">
        <v>92.91</v>
      </c>
      <c r="I4" s="30">
        <v>110.19</v>
      </c>
      <c r="J4" s="30">
        <v>122.44</v>
      </c>
      <c r="K4" s="31">
        <v>134.09</v>
      </c>
      <c r="L4" s="30">
        <v>130.69999999999999</v>
      </c>
      <c r="M4" s="30">
        <v>110.69</v>
      </c>
      <c r="N4" s="30">
        <v>102.67</v>
      </c>
      <c r="O4" s="30">
        <v>-138.01</v>
      </c>
      <c r="P4" s="30">
        <v>101.19</v>
      </c>
      <c r="Q4" s="30">
        <v>102.88</v>
      </c>
      <c r="R4" s="30">
        <v>108.14</v>
      </c>
      <c r="S4" s="30">
        <v>-177.75</v>
      </c>
      <c r="T4" s="31">
        <v>121.1</v>
      </c>
      <c r="U4" s="31">
        <v>139.63</v>
      </c>
      <c r="V4" s="31">
        <v>154.29</v>
      </c>
      <c r="W4" s="31">
        <v>162.9</v>
      </c>
      <c r="X4" s="11">
        <v>0.14807377658783311</v>
      </c>
      <c r="Y4" s="9">
        <v>0.2380643907494979</v>
      </c>
      <c r="Z4" s="9">
        <v>0.24147132691502701</v>
      </c>
      <c r="AA4" s="9">
        <v>1.4357061575420409</v>
      </c>
    </row>
    <row r="5" spans="2:27" x14ac:dyDescent="0.3">
      <c r="B5" s="12" t="s">
        <v>42</v>
      </c>
      <c r="C5" s="3" t="s">
        <v>108</v>
      </c>
      <c r="D5" s="3" t="s">
        <v>121</v>
      </c>
      <c r="E5" s="3" t="s">
        <v>110</v>
      </c>
      <c r="F5" s="15">
        <v>52.8</v>
      </c>
      <c r="G5" s="30">
        <v>12</v>
      </c>
      <c r="H5" s="30">
        <v>72</v>
      </c>
      <c r="I5" s="30">
        <v>49</v>
      </c>
      <c r="J5" s="30">
        <v>-14</v>
      </c>
      <c r="K5" s="30">
        <v>-17</v>
      </c>
      <c r="L5" s="30">
        <v>36</v>
      </c>
      <c r="M5" s="30">
        <v>37</v>
      </c>
      <c r="N5" s="31">
        <v>58</v>
      </c>
      <c r="O5" s="31">
        <v>23</v>
      </c>
      <c r="P5" s="31">
        <v>56</v>
      </c>
      <c r="Q5" s="30">
        <v>0</v>
      </c>
      <c r="R5" s="30">
        <v>-25.94</v>
      </c>
      <c r="S5" s="30">
        <v>-6</v>
      </c>
      <c r="T5" s="30">
        <v>42</v>
      </c>
      <c r="U5" s="30">
        <v>0</v>
      </c>
      <c r="V5" s="31">
        <v>-6.25</v>
      </c>
      <c r="W5" s="31">
        <v>9.7200000000000006</v>
      </c>
      <c r="X5" s="7">
        <v>-0.58187863674147966</v>
      </c>
      <c r="Y5" s="8">
        <v>0</v>
      </c>
      <c r="Z5" s="9">
        <v>1.9572564612326051</v>
      </c>
      <c r="AA5" s="9">
        <v>0.5284033613445378</v>
      </c>
    </row>
    <row r="6" spans="2:27" x14ac:dyDescent="0.3">
      <c r="B6" s="12" t="s">
        <v>16</v>
      </c>
      <c r="C6" s="3" t="s">
        <v>108</v>
      </c>
      <c r="D6" s="3" t="s">
        <v>117</v>
      </c>
      <c r="E6" s="3" t="s">
        <v>110</v>
      </c>
      <c r="F6" s="15">
        <v>29</v>
      </c>
      <c r="G6" s="30">
        <v>151.99</v>
      </c>
      <c r="H6" s="30">
        <v>120.64</v>
      </c>
      <c r="I6" s="30">
        <v>165.49</v>
      </c>
      <c r="J6" s="30">
        <v>182.49</v>
      </c>
      <c r="K6" s="30">
        <v>97.98</v>
      </c>
      <c r="L6" s="30">
        <v>116.29</v>
      </c>
      <c r="M6" s="30">
        <v>175.56</v>
      </c>
      <c r="N6" s="30">
        <v>187.95</v>
      </c>
      <c r="O6" s="31">
        <v>193.85</v>
      </c>
      <c r="P6" s="30">
        <v>121.85</v>
      </c>
      <c r="Q6" s="30">
        <v>183.41</v>
      </c>
      <c r="R6" s="30">
        <v>186.72</v>
      </c>
      <c r="S6" s="30">
        <v>39.090000000000003</v>
      </c>
      <c r="T6" s="30">
        <v>121.83</v>
      </c>
      <c r="U6" s="30">
        <v>193.33</v>
      </c>
      <c r="V6" s="30">
        <v>186.93</v>
      </c>
      <c r="W6" s="31">
        <v>196.24</v>
      </c>
      <c r="X6" s="7">
        <v>-3.7659818856283778E-5</v>
      </c>
      <c r="Y6" s="8">
        <v>1.867997363713414E-2</v>
      </c>
      <c r="Z6" s="8">
        <v>3.881915817882664E-4</v>
      </c>
      <c r="AA6" s="9">
        <v>0.29038397575667968</v>
      </c>
    </row>
    <row r="7" spans="2:27" x14ac:dyDescent="0.3">
      <c r="B7" s="12" t="s">
        <v>20</v>
      </c>
      <c r="C7" s="3" t="s">
        <v>108</v>
      </c>
      <c r="D7" s="3" t="s">
        <v>111</v>
      </c>
      <c r="E7" s="3" t="s">
        <v>110</v>
      </c>
      <c r="F7" s="15">
        <v>13.7</v>
      </c>
      <c r="G7" s="30">
        <v>26.48</v>
      </c>
      <c r="H7" s="30">
        <v>128.13999999999999</v>
      </c>
      <c r="I7" s="30">
        <v>137.93</v>
      </c>
      <c r="J7" s="30">
        <v>17.829999999999998</v>
      </c>
      <c r="K7" s="30">
        <v>21.06</v>
      </c>
      <c r="L7" s="30">
        <v>52.48</v>
      </c>
      <c r="M7" s="30">
        <v>5.13</v>
      </c>
      <c r="N7" s="31">
        <v>114.94</v>
      </c>
      <c r="O7" s="31">
        <v>130.06</v>
      </c>
      <c r="P7" s="31">
        <v>121.8</v>
      </c>
      <c r="Q7" s="31">
        <v>44.4</v>
      </c>
      <c r="R7" s="30">
        <v>105.2</v>
      </c>
      <c r="S7" s="30">
        <v>149.69999999999999</v>
      </c>
      <c r="T7" s="31">
        <v>186.4</v>
      </c>
      <c r="U7" s="31">
        <v>150.69999999999999</v>
      </c>
      <c r="V7" s="30">
        <v>11.5</v>
      </c>
      <c r="W7" s="31">
        <v>218.1</v>
      </c>
      <c r="X7" s="11">
        <v>0.1534077416290669</v>
      </c>
      <c r="Y7" s="9">
        <v>0.21885937821700649</v>
      </c>
      <c r="Z7" s="8">
        <v>-0.15827702702702709</v>
      </c>
      <c r="AA7" s="9">
        <v>0.1372667068031308</v>
      </c>
    </row>
    <row r="8" spans="2:27" x14ac:dyDescent="0.3">
      <c r="B8" s="12" t="s">
        <v>7</v>
      </c>
      <c r="C8" s="3" t="s">
        <v>108</v>
      </c>
      <c r="D8" s="3" t="s">
        <v>123</v>
      </c>
      <c r="E8" s="3" t="s">
        <v>124</v>
      </c>
      <c r="F8" s="5">
        <v>9.8000000000000007</v>
      </c>
      <c r="G8" s="30">
        <v>-55.68</v>
      </c>
      <c r="H8" s="30">
        <v>-47.41</v>
      </c>
      <c r="I8" s="30">
        <v>-56.52</v>
      </c>
      <c r="J8" s="30">
        <v>-73.209999999999994</v>
      </c>
      <c r="K8" s="30">
        <v>-71.97</v>
      </c>
      <c r="L8" s="30">
        <v>-72.040000000000006</v>
      </c>
      <c r="M8" s="30">
        <v>-73.28</v>
      </c>
      <c r="N8" s="30">
        <v>-74.09</v>
      </c>
      <c r="O8" s="30">
        <v>-79.400000000000006</v>
      </c>
      <c r="P8" s="30">
        <v>-82.55</v>
      </c>
      <c r="Q8" s="30">
        <v>-82.31</v>
      </c>
      <c r="R8" s="30">
        <v>-72.59</v>
      </c>
      <c r="S8" s="30">
        <v>-75.290000000000006</v>
      </c>
      <c r="T8" s="30">
        <v>-87.59</v>
      </c>
      <c r="U8" s="30">
        <v>-88.97</v>
      </c>
      <c r="V8" s="31">
        <v>-124.82</v>
      </c>
      <c r="W8" s="30">
        <v>-112.11</v>
      </c>
      <c r="X8" s="7">
        <v>1.611562320138149E-2</v>
      </c>
      <c r="Y8" s="8">
        <v>2.095789539933279E-2</v>
      </c>
      <c r="Z8" s="9">
        <v>0.16098508198742459</v>
      </c>
      <c r="AA8" s="8">
        <v>9.7751347333209448E-2</v>
      </c>
    </row>
    <row r="9" spans="2:27" x14ac:dyDescent="0.3">
      <c r="B9" s="12" t="s">
        <v>75</v>
      </c>
      <c r="C9" s="3" t="s">
        <v>108</v>
      </c>
      <c r="D9" s="3" t="s">
        <v>112</v>
      </c>
      <c r="E9" s="3" t="s">
        <v>110</v>
      </c>
      <c r="F9" s="5">
        <v>6.6</v>
      </c>
      <c r="G9" s="30">
        <v>-987.85</v>
      </c>
      <c r="H9" s="30">
        <v>-859.21</v>
      </c>
      <c r="I9" s="30">
        <v>-217.74</v>
      </c>
      <c r="J9" s="30">
        <v>303</v>
      </c>
      <c r="K9" s="30">
        <v>18.98</v>
      </c>
      <c r="L9" s="30">
        <v>272</v>
      </c>
      <c r="M9" s="31">
        <v>776</v>
      </c>
      <c r="N9" s="31">
        <v>1265</v>
      </c>
      <c r="O9" s="31">
        <v>591</v>
      </c>
      <c r="P9" s="31">
        <v>750</v>
      </c>
      <c r="Q9" s="30">
        <v>1108</v>
      </c>
      <c r="R9" s="30">
        <v>1636</v>
      </c>
      <c r="S9" s="30">
        <v>633</v>
      </c>
      <c r="T9" s="30">
        <v>949</v>
      </c>
      <c r="U9" s="30">
        <v>1333</v>
      </c>
      <c r="V9" s="30">
        <v>1703</v>
      </c>
      <c r="W9" s="30">
        <v>936</v>
      </c>
      <c r="X9" s="7">
        <v>4.8219045311364228E-2</v>
      </c>
      <c r="Y9" s="8">
        <v>5.2011095700416073E-2</v>
      </c>
      <c r="Z9" s="8">
        <v>1.472203911228309E-2</v>
      </c>
      <c r="AA9" s="8">
        <v>6.5612819402338651E-2</v>
      </c>
    </row>
    <row r="10" spans="2:27" x14ac:dyDescent="0.3">
      <c r="B10" s="12" t="s">
        <v>34</v>
      </c>
      <c r="C10" s="3" t="s">
        <v>108</v>
      </c>
      <c r="D10" s="3" t="s">
        <v>113</v>
      </c>
      <c r="E10" s="3" t="s">
        <v>110</v>
      </c>
      <c r="F10" s="5">
        <v>2.6</v>
      </c>
      <c r="G10" s="30">
        <v>33.82</v>
      </c>
      <c r="H10" s="30">
        <v>38.340000000000003</v>
      </c>
      <c r="I10" s="30">
        <v>40.450000000000003</v>
      </c>
      <c r="J10" s="30">
        <v>33.630000000000003</v>
      </c>
      <c r="K10" s="30">
        <v>35.6</v>
      </c>
      <c r="L10" s="30">
        <v>34.97</v>
      </c>
      <c r="M10" s="30">
        <v>48.98</v>
      </c>
      <c r="N10" s="30">
        <v>45.23</v>
      </c>
      <c r="O10" s="30">
        <v>28.25</v>
      </c>
      <c r="P10" s="30">
        <v>42.12</v>
      </c>
      <c r="Q10" s="30">
        <v>45.8</v>
      </c>
      <c r="R10" s="30">
        <v>48.51</v>
      </c>
      <c r="S10" s="31">
        <v>48.04</v>
      </c>
      <c r="T10" s="30">
        <v>51.5</v>
      </c>
      <c r="U10" s="30">
        <v>51.44</v>
      </c>
      <c r="V10" s="30">
        <v>54.58</v>
      </c>
      <c r="W10" s="30">
        <v>53.34</v>
      </c>
      <c r="X10" s="7">
        <v>5.0848376429771802E-2</v>
      </c>
      <c r="Y10" s="8">
        <v>2.9094660820221829E-2</v>
      </c>
      <c r="Z10" s="8">
        <v>3.042759035540632E-2</v>
      </c>
      <c r="AA10" s="8">
        <v>2.5783226308620399E-2</v>
      </c>
    </row>
    <row r="11" spans="2:27" x14ac:dyDescent="0.3">
      <c r="B11" s="12" t="s">
        <v>11</v>
      </c>
      <c r="C11" s="3" t="s">
        <v>108</v>
      </c>
      <c r="D11" s="3" t="s">
        <v>115</v>
      </c>
      <c r="E11" s="3" t="s">
        <v>110</v>
      </c>
      <c r="F11" s="5">
        <v>0.7</v>
      </c>
      <c r="G11" s="30">
        <v>4020</v>
      </c>
      <c r="H11" s="30">
        <v>3997</v>
      </c>
      <c r="I11" s="30">
        <v>3953</v>
      </c>
      <c r="J11" s="30">
        <v>4553</v>
      </c>
      <c r="K11" s="30">
        <v>4246</v>
      </c>
      <c r="L11" s="30">
        <v>3892</v>
      </c>
      <c r="M11" s="30">
        <v>4140</v>
      </c>
      <c r="N11" s="30">
        <v>4146</v>
      </c>
      <c r="O11" s="30">
        <v>4336</v>
      </c>
      <c r="P11" s="30">
        <v>4530</v>
      </c>
      <c r="Q11" s="30">
        <v>4704</v>
      </c>
      <c r="R11" s="30">
        <v>5443</v>
      </c>
      <c r="S11" s="30">
        <v>6046</v>
      </c>
      <c r="T11" s="30">
        <v>4995</v>
      </c>
      <c r="U11" s="30">
        <v>4615</v>
      </c>
      <c r="V11" s="30">
        <v>4810</v>
      </c>
      <c r="W11" s="30">
        <v>6186</v>
      </c>
      <c r="X11" s="7">
        <v>2.2438836075857841E-2</v>
      </c>
      <c r="Y11" s="8">
        <v>-4.2004908438738608E-3</v>
      </c>
      <c r="Z11" s="8">
        <v>-3.0001421868334991E-2</v>
      </c>
      <c r="AA11" s="8">
        <v>6.8406137007719359E-3</v>
      </c>
    </row>
    <row r="12" spans="2:27" x14ac:dyDescent="0.3">
      <c r="B12" s="12" t="s">
        <v>59</v>
      </c>
      <c r="C12" s="3" t="s">
        <v>108</v>
      </c>
      <c r="D12" s="3" t="s">
        <v>118</v>
      </c>
      <c r="E12" s="3" t="s">
        <v>110</v>
      </c>
      <c r="F12" s="5">
        <v>0.1</v>
      </c>
      <c r="G12" s="30">
        <v>510.7</v>
      </c>
      <c r="H12" s="30">
        <v>571.4</v>
      </c>
      <c r="I12" s="30">
        <v>649.6</v>
      </c>
      <c r="J12" s="30">
        <v>674.6</v>
      </c>
      <c r="K12" s="30">
        <v>593</v>
      </c>
      <c r="L12" s="30">
        <v>657.2</v>
      </c>
      <c r="M12" s="30">
        <v>733.3</v>
      </c>
      <c r="N12" s="30">
        <v>738.8</v>
      </c>
      <c r="O12" s="30">
        <v>719.7</v>
      </c>
      <c r="P12" s="30">
        <v>739</v>
      </c>
      <c r="Q12" s="30">
        <v>818</v>
      </c>
      <c r="R12" s="30">
        <v>863</v>
      </c>
      <c r="S12" s="30">
        <v>804</v>
      </c>
      <c r="T12" s="30">
        <v>806</v>
      </c>
      <c r="U12" s="30">
        <v>870</v>
      </c>
      <c r="V12" s="30">
        <v>839</v>
      </c>
      <c r="W12" s="30">
        <v>806</v>
      </c>
      <c r="X12" s="7">
        <v>2.0781637717121489E-2</v>
      </c>
      <c r="Y12" s="8">
        <v>1.580066848982065E-2</v>
      </c>
      <c r="Z12" s="8">
        <v>-7.1791803769070128E-3</v>
      </c>
      <c r="AA12" s="8">
        <v>6.025911419103025E-4</v>
      </c>
    </row>
    <row r="13" spans="2:27" x14ac:dyDescent="0.3">
      <c r="B13" s="12" t="s">
        <v>48</v>
      </c>
      <c r="C13" s="3" t="s">
        <v>108</v>
      </c>
      <c r="D13" s="3" t="s">
        <v>122</v>
      </c>
      <c r="E13" s="3" t="s">
        <v>110</v>
      </c>
      <c r="F13" s="5">
        <v>-0.1</v>
      </c>
      <c r="G13" s="30">
        <v>316</v>
      </c>
      <c r="H13" s="30">
        <v>256.2</v>
      </c>
      <c r="I13" s="30">
        <v>264.2</v>
      </c>
      <c r="J13" s="30">
        <v>231.2</v>
      </c>
      <c r="K13" s="30">
        <v>172.8</v>
      </c>
      <c r="L13" s="30">
        <v>211.8</v>
      </c>
      <c r="M13" s="30">
        <v>250.9</v>
      </c>
      <c r="N13" s="30">
        <v>215</v>
      </c>
      <c r="O13" s="30">
        <v>169.3</v>
      </c>
      <c r="P13" s="30">
        <v>206.1</v>
      </c>
      <c r="Q13" s="30">
        <v>200.1</v>
      </c>
      <c r="R13" s="30">
        <v>164.9</v>
      </c>
      <c r="S13" s="30">
        <v>197</v>
      </c>
      <c r="T13" s="30">
        <v>177.4</v>
      </c>
      <c r="U13" s="30">
        <v>192.7</v>
      </c>
      <c r="V13" s="30">
        <v>201.9</v>
      </c>
      <c r="W13" s="30">
        <v>196.2</v>
      </c>
      <c r="X13" s="7">
        <v>-3.7364926441869617E-2</v>
      </c>
      <c r="Y13" s="8">
        <v>-1.000811468758445E-2</v>
      </c>
      <c r="Z13" s="8">
        <v>5.0546448087431577E-2</v>
      </c>
      <c r="AA13" s="8">
        <v>-1.0403120936279819E-3</v>
      </c>
    </row>
    <row r="14" spans="2:27" x14ac:dyDescent="0.3">
      <c r="B14" s="12" t="s">
        <v>63</v>
      </c>
      <c r="C14" s="3" t="s">
        <v>108</v>
      </c>
      <c r="D14" s="3" t="s">
        <v>121</v>
      </c>
      <c r="E14" s="3" t="s">
        <v>110</v>
      </c>
      <c r="F14" s="5">
        <v>-17.3</v>
      </c>
      <c r="G14" s="30">
        <v>28.8</v>
      </c>
      <c r="H14" s="30">
        <v>28.41</v>
      </c>
      <c r="I14" s="30">
        <v>29.48</v>
      </c>
      <c r="J14" s="30">
        <v>30.77</v>
      </c>
      <c r="K14" s="30">
        <v>27.55</v>
      </c>
      <c r="L14" s="30">
        <v>24.71</v>
      </c>
      <c r="M14" s="30">
        <v>-33.869999999999997</v>
      </c>
      <c r="N14" s="30">
        <v>-50.21</v>
      </c>
      <c r="O14" s="31">
        <v>-51.48</v>
      </c>
      <c r="P14" s="31">
        <v>-50.35</v>
      </c>
      <c r="Q14" s="30">
        <v>-38.11</v>
      </c>
      <c r="R14" s="30">
        <v>-57.83</v>
      </c>
      <c r="S14" s="30">
        <v>-33.229999999999997</v>
      </c>
      <c r="T14" s="30">
        <v>-40.29</v>
      </c>
      <c r="U14" s="30">
        <v>-31.46</v>
      </c>
      <c r="V14" s="30">
        <v>-20.58</v>
      </c>
      <c r="W14" s="30">
        <v>-11.48</v>
      </c>
      <c r="X14" s="7">
        <v>-5.6038324420677348E-2</v>
      </c>
      <c r="Y14" s="8">
        <v>-3.924229906762644E-2</v>
      </c>
      <c r="Z14" s="8">
        <v>-0.22879430010441609</v>
      </c>
      <c r="AA14" s="8">
        <v>-0.17322395667410009</v>
      </c>
    </row>
    <row r="15" spans="2:27" x14ac:dyDescent="0.3">
      <c r="B15" s="12" t="s">
        <v>79</v>
      </c>
      <c r="C15" s="3" t="s">
        <v>108</v>
      </c>
      <c r="D15" s="3" t="s">
        <v>119</v>
      </c>
      <c r="E15" s="3" t="s">
        <v>120</v>
      </c>
      <c r="F15" s="5">
        <v>-17.899999999999999</v>
      </c>
      <c r="G15" s="30">
        <v>116</v>
      </c>
      <c r="H15" s="30">
        <v>384</v>
      </c>
      <c r="I15" s="30">
        <v>441</v>
      </c>
      <c r="J15" s="30">
        <v>445</v>
      </c>
      <c r="K15" s="31">
        <v>311</v>
      </c>
      <c r="L15" s="30">
        <v>330</v>
      </c>
      <c r="M15" s="30">
        <v>543</v>
      </c>
      <c r="N15" s="30">
        <v>379</v>
      </c>
      <c r="O15" s="30">
        <v>365</v>
      </c>
      <c r="P15" s="30">
        <v>363</v>
      </c>
      <c r="Q15" s="30">
        <v>366</v>
      </c>
      <c r="R15" s="30">
        <v>435</v>
      </c>
      <c r="S15" s="30">
        <v>388</v>
      </c>
      <c r="T15" s="30">
        <v>399</v>
      </c>
      <c r="U15" s="30">
        <v>271</v>
      </c>
      <c r="V15" s="30">
        <v>200</v>
      </c>
      <c r="W15" s="30">
        <v>163</v>
      </c>
      <c r="X15" s="7">
        <v>2.3195876288659711E-2</v>
      </c>
      <c r="Y15" s="8">
        <v>-5.9823677581864021E-2</v>
      </c>
      <c r="Z15" s="8">
        <v>-0.15740120562625581</v>
      </c>
      <c r="AA15" s="8">
        <v>-0.1788553259141494</v>
      </c>
    </row>
    <row r="16" spans="2:27" x14ac:dyDescent="0.3">
      <c r="B16" s="12" t="s">
        <v>13</v>
      </c>
      <c r="C16" s="3" t="s">
        <v>108</v>
      </c>
      <c r="D16" s="3" t="s">
        <v>116</v>
      </c>
      <c r="E16" s="3" t="s">
        <v>110</v>
      </c>
      <c r="F16" s="5">
        <v>-28.8</v>
      </c>
      <c r="G16" s="30">
        <v>-715</v>
      </c>
      <c r="H16" s="30">
        <v>-1460</v>
      </c>
      <c r="I16" s="30">
        <v>1117</v>
      </c>
      <c r="J16" s="30">
        <v>1072</v>
      </c>
      <c r="K16" s="31">
        <v>1498</v>
      </c>
      <c r="L16" s="31">
        <v>459</v>
      </c>
      <c r="M16" s="31">
        <v>2177</v>
      </c>
      <c r="N16" s="30">
        <v>744</v>
      </c>
      <c r="O16" s="30">
        <v>665</v>
      </c>
      <c r="P16" s="30">
        <v>101</v>
      </c>
      <c r="Q16" s="30">
        <v>1396</v>
      </c>
      <c r="R16" s="30">
        <v>670</v>
      </c>
      <c r="S16" s="31">
        <v>1189</v>
      </c>
      <c r="T16" s="30">
        <v>-189</v>
      </c>
      <c r="U16" s="30">
        <v>1193</v>
      </c>
      <c r="V16" s="30">
        <v>175</v>
      </c>
      <c r="W16" s="30">
        <v>507</v>
      </c>
      <c r="X16" s="7">
        <v>-8.6412395709177581E-2</v>
      </c>
      <c r="Y16" s="8">
        <v>-6.6210045662100425E-2</v>
      </c>
      <c r="Z16" s="8">
        <v>-0.1728955640936081</v>
      </c>
      <c r="AA16" s="8">
        <v>-0.2880067567567568</v>
      </c>
    </row>
    <row r="17" spans="2:27" x14ac:dyDescent="0.3">
      <c r="B17" s="40" t="s">
        <v>85</v>
      </c>
      <c r="C17" s="16" t="s">
        <v>108</v>
      </c>
      <c r="D17" s="16" t="s">
        <v>114</v>
      </c>
      <c r="E17" s="16" t="s">
        <v>110</v>
      </c>
      <c r="F17" s="17">
        <v>-41.8</v>
      </c>
      <c r="G17" s="32">
        <v>-9.06</v>
      </c>
      <c r="H17" s="32">
        <v>-4.34</v>
      </c>
      <c r="I17" s="32">
        <v>-1.0900000000000001</v>
      </c>
      <c r="J17" s="32">
        <v>-1.04</v>
      </c>
      <c r="K17" s="32">
        <v>0.42</v>
      </c>
      <c r="L17" s="32">
        <v>5.88</v>
      </c>
      <c r="M17" s="33">
        <v>3.27</v>
      </c>
      <c r="N17" s="33">
        <v>7.84</v>
      </c>
      <c r="O17" s="33">
        <v>4.6100000000000003</v>
      </c>
      <c r="P17" s="32">
        <v>1.33</v>
      </c>
      <c r="Q17" s="33">
        <v>5.51</v>
      </c>
      <c r="R17" s="32">
        <v>7.17</v>
      </c>
      <c r="S17" s="32">
        <v>-7.88</v>
      </c>
      <c r="T17" s="33">
        <v>6.87</v>
      </c>
      <c r="U17" s="33">
        <v>8.94</v>
      </c>
      <c r="V17" s="32">
        <v>8.31</v>
      </c>
      <c r="W17" s="32">
        <v>-14.67</v>
      </c>
      <c r="X17" s="25">
        <v>0.90375203915171287</v>
      </c>
      <c r="Y17" s="26">
        <v>0.29391602399314493</v>
      </c>
      <c r="Z17" s="20">
        <v>7.5496688741722107E-2</v>
      </c>
      <c r="AA17" s="20">
        <v>-0.41810344827586221</v>
      </c>
    </row>
    <row r="18" spans="2:27" hidden="1" x14ac:dyDescent="0.3">
      <c r="B18" s="3" t="s">
        <v>26</v>
      </c>
      <c r="C18" s="3" t="s">
        <v>108</v>
      </c>
      <c r="D18" s="3" t="s">
        <v>127</v>
      </c>
      <c r="E18" s="3" t="s">
        <v>126</v>
      </c>
      <c r="F18" s="5">
        <v>2.7</v>
      </c>
      <c r="G18" s="4">
        <v>150.66</v>
      </c>
      <c r="H18" s="4">
        <v>36.68</v>
      </c>
      <c r="I18" s="4">
        <v>68.02</v>
      </c>
      <c r="J18" s="4">
        <v>85.81</v>
      </c>
      <c r="K18" s="4">
        <v>182.18</v>
      </c>
      <c r="L18" s="4">
        <v>55.81</v>
      </c>
      <c r="M18" s="4">
        <v>98.39</v>
      </c>
      <c r="N18" s="4">
        <v>91.46</v>
      </c>
      <c r="O18" s="4">
        <v>85.79</v>
      </c>
      <c r="P18" s="4">
        <v>-46.91</v>
      </c>
      <c r="Q18" s="4">
        <v>81.06</v>
      </c>
      <c r="R18" s="4">
        <v>106.16</v>
      </c>
      <c r="S18" s="6">
        <v>191.37</v>
      </c>
      <c r="T18" s="6">
        <v>77.12</v>
      </c>
      <c r="U18" s="4">
        <v>71.67</v>
      </c>
      <c r="V18" s="4">
        <v>72.48</v>
      </c>
      <c r="W18" s="4">
        <v>202.47</v>
      </c>
      <c r="X18" s="11">
        <v>0.37394476603955629</v>
      </c>
      <c r="Y18" s="8">
        <v>-2.060520945338051E-2</v>
      </c>
      <c r="Z18" s="8">
        <v>-7.5461552249507124E-2</v>
      </c>
      <c r="AA18" s="8">
        <v>2.6899961225281151E-2</v>
      </c>
    </row>
    <row r="19" spans="2:27" hidden="1" x14ac:dyDescent="0.3">
      <c r="B19" s="3" t="s">
        <v>52</v>
      </c>
      <c r="C19" s="3" t="s">
        <v>108</v>
      </c>
      <c r="D19" s="3" t="s">
        <v>125</v>
      </c>
      <c r="E19" s="3" t="s">
        <v>126</v>
      </c>
      <c r="F19" s="5">
        <v>-14.2</v>
      </c>
      <c r="G19" s="4">
        <v>-10.69</v>
      </c>
      <c r="H19" s="4">
        <v>-10.17</v>
      </c>
      <c r="I19" s="4">
        <v>-19.2</v>
      </c>
      <c r="J19" s="4">
        <v>-19.059999999999999</v>
      </c>
      <c r="K19" s="6">
        <v>-21.73</v>
      </c>
      <c r="L19" s="6">
        <v>-19.59</v>
      </c>
      <c r="M19" s="4">
        <v>-21.61</v>
      </c>
      <c r="N19" s="4">
        <v>-19.27</v>
      </c>
      <c r="O19" s="4">
        <v>-19.36</v>
      </c>
      <c r="P19" s="4">
        <v>-17.920000000000002</v>
      </c>
      <c r="Q19" s="4">
        <v>-21.27</v>
      </c>
      <c r="R19" s="4">
        <v>-24.63</v>
      </c>
      <c r="S19" s="6">
        <v>-34.22</v>
      </c>
      <c r="T19" s="6">
        <v>-29.13</v>
      </c>
      <c r="U19" s="4">
        <v>-23.27</v>
      </c>
      <c r="V19" s="4">
        <v>-23.01</v>
      </c>
      <c r="W19" s="4">
        <v>-18.649999999999999</v>
      </c>
      <c r="X19" s="11">
        <v>0.1143410852713178</v>
      </c>
      <c r="Y19" s="8">
        <v>1.8306636155606348E-2</v>
      </c>
      <c r="Z19" s="8">
        <v>-1.456179775280908E-2</v>
      </c>
      <c r="AA19" s="8">
        <v>-0.1420231688406457</v>
      </c>
    </row>
    <row r="20" spans="2:27" hidden="1" x14ac:dyDescent="0.3">
      <c r="B20" s="3" t="s">
        <v>32</v>
      </c>
      <c r="C20" s="3" t="s">
        <v>108</v>
      </c>
      <c r="D20" s="3" t="s">
        <v>128</v>
      </c>
      <c r="E20" s="3" t="s">
        <v>126</v>
      </c>
      <c r="F20" s="5">
        <v>-20.7</v>
      </c>
      <c r="G20" s="4">
        <v>-33.93</v>
      </c>
      <c r="H20" s="4">
        <v>-37.020000000000003</v>
      </c>
      <c r="I20" s="4">
        <v>-21.11</v>
      </c>
      <c r="J20" s="4">
        <v>-41.44</v>
      </c>
      <c r="K20" s="4">
        <v>-32.299999999999997</v>
      </c>
      <c r="L20" s="4">
        <v>-36.520000000000003</v>
      </c>
      <c r="M20" s="6">
        <v>-36.020000000000003</v>
      </c>
      <c r="N20" s="4">
        <v>-42.35</v>
      </c>
      <c r="O20" s="4">
        <v>-38.33</v>
      </c>
      <c r="P20" s="4">
        <v>23.05</v>
      </c>
      <c r="Q20" s="4">
        <v>206.31</v>
      </c>
      <c r="R20" s="4">
        <v>-38.79</v>
      </c>
      <c r="S20" s="4">
        <v>-41.45</v>
      </c>
      <c r="T20" s="6">
        <v>126.78</v>
      </c>
      <c r="U20" s="4">
        <v>-19.309999999999999</v>
      </c>
      <c r="V20" s="4">
        <v>-42.04</v>
      </c>
      <c r="W20" s="4">
        <v>-46.42</v>
      </c>
      <c r="X20" s="11">
        <v>0.695614270386266</v>
      </c>
      <c r="Y20" s="8">
        <v>-0.89230769230769225</v>
      </c>
      <c r="Z20" s="8">
        <v>-0.1193536540580242</v>
      </c>
      <c r="AA20" s="8">
        <v>-0.20725604670558789</v>
      </c>
    </row>
    <row r="21" spans="2:27" x14ac:dyDescent="0.3">
      <c r="B21" s="40">
        <v>8987</v>
      </c>
      <c r="C21" s="16" t="s">
        <v>129</v>
      </c>
      <c r="D21" s="16" t="str">
        <f>VLOOKUP(B21,기업리스트!B:G,2,FALSE)</f>
        <v>Japan Excellent, Inc.</v>
      </c>
      <c r="E21" s="16" t="s">
        <v>130</v>
      </c>
      <c r="F21" s="17">
        <f>AA21*100</f>
        <v>-8.0237474138706517</v>
      </c>
      <c r="G21" s="32">
        <v>4486</v>
      </c>
      <c r="H21" s="34"/>
      <c r="I21" s="32">
        <v>4711</v>
      </c>
      <c r="J21" s="34"/>
      <c r="K21" s="32">
        <v>4105</v>
      </c>
      <c r="L21" s="35"/>
      <c r="M21" s="36">
        <v>7121</v>
      </c>
      <c r="N21" s="35"/>
      <c r="O21" s="36">
        <v>4608</v>
      </c>
      <c r="P21" s="35"/>
      <c r="Q21" s="36">
        <v>4836</v>
      </c>
      <c r="R21" s="35"/>
      <c r="S21" s="36">
        <v>6098</v>
      </c>
      <c r="T21" s="35"/>
      <c r="U21" s="36">
        <v>5019</v>
      </c>
      <c r="V21" s="35"/>
      <c r="W21" s="36">
        <v>5206</v>
      </c>
      <c r="X21" s="27">
        <v>-0.1948162673714724</v>
      </c>
      <c r="Y21" s="28">
        <v>0.15777213045319782</v>
      </c>
      <c r="Z21" s="29">
        <v>1.6736784342418209E-2</v>
      </c>
      <c r="AA21" s="29">
        <f>SUM(U21,W21)/SUM(S21,U21)-1</f>
        <v>-8.0237474138706522E-2</v>
      </c>
    </row>
    <row r="22" spans="2:27" x14ac:dyDescent="0.3">
      <c r="B22" s="12">
        <v>2350</v>
      </c>
      <c r="C22" s="3" t="s">
        <v>131</v>
      </c>
      <c r="D22" s="16" t="str">
        <f>VLOOKUP(B22,기업리스트!B:G,2,FALSE)</f>
        <v>Saudi Kayan Petrochemical Company</v>
      </c>
      <c r="E22" s="3" t="s">
        <v>132</v>
      </c>
      <c r="F22" s="5">
        <f>AA22*100</f>
        <v>-44.034090909090907</v>
      </c>
      <c r="G22" s="30">
        <v>23.15</v>
      </c>
      <c r="H22" s="37"/>
      <c r="I22" s="30">
        <v>41.52</v>
      </c>
      <c r="J22" s="37"/>
      <c r="K22" s="30">
        <v>40.770000000000003</v>
      </c>
      <c r="L22" s="38"/>
      <c r="M22" s="39">
        <v>16.02</v>
      </c>
      <c r="N22" s="38"/>
      <c r="O22" s="39">
        <v>2.59</v>
      </c>
      <c r="P22" s="38"/>
      <c r="Q22" s="39">
        <v>-16.579999999999998</v>
      </c>
      <c r="R22" s="38"/>
      <c r="S22" s="39">
        <v>-17.61</v>
      </c>
      <c r="T22" s="38"/>
      <c r="U22" s="39">
        <v>10.57</v>
      </c>
      <c r="V22" s="38"/>
      <c r="W22" s="39">
        <v>-14.51</v>
      </c>
      <c r="X22" s="22">
        <v>-1.7517463729177862</v>
      </c>
      <c r="Y22" s="24">
        <v>1.4438884917798429</v>
      </c>
      <c r="Z22" s="23">
        <v>-0.79409183971921615</v>
      </c>
      <c r="AA22" s="23">
        <f>SUM(U22,W22)/SUM(S22,U22)-1</f>
        <v>-0.44034090909090906</v>
      </c>
    </row>
  </sheetData>
  <autoFilter ref="B2:AA22" xr:uid="{00000000-0009-0000-0000-000002000000}">
    <filterColumn colId="3">
      <filters>
        <filter val="Dec'25"/>
        <filter val="H1 2026"/>
        <filter val="H2 2025"/>
        <filter val="Jun'26"/>
        <filter val="Sep'26"/>
      </filters>
    </filterColumn>
    <sortState xmlns:xlrd2="http://schemas.microsoft.com/office/spreadsheetml/2017/richdata2" ref="B3:AA22">
      <sortCondition descending="1" ref="C2:C22"/>
    </sortState>
  </autoFilter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Y14"/>
  <sheetViews>
    <sheetView workbookViewId="0">
      <selection activeCell="B2" sqref="B2:W14"/>
    </sheetView>
  </sheetViews>
  <sheetFormatPr defaultRowHeight="16.5" x14ac:dyDescent="0.3"/>
  <cols>
    <col min="1" max="1" width="3" customWidth="1"/>
    <col min="2" max="2" width="20.75" customWidth="1"/>
    <col min="3" max="7" width="8" hidden="1" customWidth="1"/>
    <col min="8" max="23" width="9.75" customWidth="1"/>
  </cols>
  <sheetData>
    <row r="2" spans="2:25" x14ac:dyDescent="0.3">
      <c r="B2" s="41" t="s">
        <v>134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</row>
    <row r="3" spans="2:25" x14ac:dyDescent="0.3"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Y3" s="12" t="s">
        <v>40</v>
      </c>
    </row>
    <row r="4" spans="2:25" x14ac:dyDescent="0.3">
      <c r="B4" s="43" t="s">
        <v>154</v>
      </c>
      <c r="C4" s="44">
        <v>6</v>
      </c>
      <c r="D4" s="44">
        <v>7</v>
      </c>
      <c r="E4" s="44">
        <v>8</v>
      </c>
      <c r="F4" s="44">
        <v>9</v>
      </c>
      <c r="G4" s="44">
        <v>10</v>
      </c>
      <c r="H4" s="44">
        <v>11</v>
      </c>
      <c r="I4" s="44">
        <v>12</v>
      </c>
      <c r="J4" s="44">
        <v>13</v>
      </c>
      <c r="K4" s="44">
        <v>14</v>
      </c>
      <c r="L4" s="44">
        <v>15</v>
      </c>
      <c r="M4" s="44">
        <v>16</v>
      </c>
      <c r="N4" s="44">
        <v>17</v>
      </c>
      <c r="O4" s="44">
        <v>18</v>
      </c>
      <c r="P4" s="44">
        <v>19</v>
      </c>
      <c r="Q4" s="44">
        <v>20</v>
      </c>
      <c r="R4" s="44">
        <v>21</v>
      </c>
      <c r="S4" s="44">
        <v>22</v>
      </c>
      <c r="Y4" s="12" t="s">
        <v>65</v>
      </c>
    </row>
    <row r="5" spans="2:25" x14ac:dyDescent="0.3"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Y5" s="12" t="s">
        <v>42</v>
      </c>
    </row>
    <row r="6" spans="2:25" ht="18" customHeight="1" x14ac:dyDescent="0.3">
      <c r="B6" s="46"/>
      <c r="C6" s="47" t="s">
        <v>135</v>
      </c>
      <c r="D6" s="47" t="s">
        <v>136</v>
      </c>
      <c r="E6" s="47" t="s">
        <v>137</v>
      </c>
      <c r="F6" s="47" t="s">
        <v>138</v>
      </c>
      <c r="G6" s="47" t="s">
        <v>139</v>
      </c>
      <c r="H6" s="47" t="s">
        <v>96</v>
      </c>
      <c r="I6" s="47" t="s">
        <v>140</v>
      </c>
      <c r="J6" s="47" t="s">
        <v>141</v>
      </c>
      <c r="K6" s="47" t="s">
        <v>142</v>
      </c>
      <c r="L6" s="47" t="s">
        <v>100</v>
      </c>
      <c r="M6" s="47" t="s">
        <v>101</v>
      </c>
      <c r="N6" s="47" t="s">
        <v>102</v>
      </c>
      <c r="O6" s="47" t="s">
        <v>103</v>
      </c>
      <c r="P6" s="47" t="s">
        <v>104</v>
      </c>
      <c r="Q6" s="47" t="s">
        <v>105</v>
      </c>
      <c r="R6" s="47" t="s">
        <v>106</v>
      </c>
      <c r="S6" s="48" t="s">
        <v>107</v>
      </c>
      <c r="T6" s="47" t="s">
        <v>143</v>
      </c>
      <c r="U6" s="47" t="s">
        <v>144</v>
      </c>
      <c r="V6" s="47" t="s">
        <v>145</v>
      </c>
      <c r="W6" s="47" t="s">
        <v>146</v>
      </c>
      <c r="Y6" s="12" t="s">
        <v>16</v>
      </c>
    </row>
    <row r="7" spans="2:25" x14ac:dyDescent="0.3">
      <c r="B7" s="49" t="s">
        <v>147</v>
      </c>
      <c r="C7" s="61">
        <f>VLOOKUP($B$4,Revenue!$B:$W,C4,FALSE)</f>
        <v>425.17</v>
      </c>
      <c r="D7" s="62">
        <f>VLOOKUP($B$4,Revenue!$B:$W,D4,FALSE)</f>
        <v>378.62</v>
      </c>
      <c r="E7" s="62">
        <f>VLOOKUP($B$4,Revenue!$B:$W,E4,FALSE)</f>
        <v>415.45</v>
      </c>
      <c r="F7" s="62">
        <f>VLOOKUP($B$4,Revenue!$B:$W,F4,FALSE)</f>
        <v>346.17</v>
      </c>
      <c r="G7" s="62">
        <f>VLOOKUP($B$4,Revenue!$B:$W,G4,FALSE)</f>
        <v>321.2</v>
      </c>
      <c r="H7" s="62">
        <f>VLOOKUP($B$4,Revenue!$B:$W,H4,FALSE)</f>
        <v>295.22000000000003</v>
      </c>
      <c r="I7" s="62">
        <f>VLOOKUP($B$4,Revenue!$B:$W,I4,FALSE)</f>
        <v>312.17</v>
      </c>
      <c r="J7" s="62">
        <f>VLOOKUP($B$4,Revenue!$B:$W,J4,FALSE)</f>
        <v>480.46</v>
      </c>
      <c r="K7" s="62">
        <f>VLOOKUP($B$4,Revenue!$B:$W,K4,FALSE)</f>
        <v>602.16</v>
      </c>
      <c r="L7" s="62">
        <f>VLOOKUP($B$4,Revenue!$B:$W,L4,FALSE)</f>
        <v>525</v>
      </c>
      <c r="M7" s="62">
        <f>VLOOKUP($B$4,Revenue!$B:$W,M4,FALSE)</f>
        <v>425.5</v>
      </c>
      <c r="N7" s="62">
        <f>VLOOKUP($B$4,Revenue!$B:$W,N4,FALSE)</f>
        <v>485.8</v>
      </c>
      <c r="O7" s="62">
        <f>VLOOKUP($B$4,Revenue!$B:$W,O4,FALSE)</f>
        <v>584.9</v>
      </c>
      <c r="P7" s="62">
        <f>VLOOKUP($B$4,Revenue!$B:$W,P4,FALSE)</f>
        <v>594.9</v>
      </c>
      <c r="Q7" s="62">
        <f>VLOOKUP($B$4,Revenue!$B:$W,Q4,FALSE)</f>
        <v>536.4</v>
      </c>
      <c r="R7" s="62">
        <f>VLOOKUP($B$4,Revenue!$B:$W,R4,FALSE)</f>
        <v>346.8</v>
      </c>
      <c r="S7" s="51">
        <f>VLOOKUP($B$4,Revenue!$B:$W,S4,FALSE)</f>
        <v>732.9</v>
      </c>
      <c r="T7" s="50"/>
      <c r="U7" s="50"/>
      <c r="V7" s="50"/>
      <c r="W7" s="50"/>
      <c r="Y7" s="12" t="s">
        <v>20</v>
      </c>
    </row>
    <row r="8" spans="2:25" x14ac:dyDescent="0.3">
      <c r="B8" s="49" t="s">
        <v>148</v>
      </c>
      <c r="C8" s="61">
        <f>VLOOKUP($B$4,'Operating Income'!$B:$W,C4,FALSE)</f>
        <v>26.48</v>
      </c>
      <c r="D8" s="62">
        <f>VLOOKUP($B$4,'Operating Income'!$B:$W,D4,FALSE)</f>
        <v>128.13999999999999</v>
      </c>
      <c r="E8" s="62">
        <f>VLOOKUP($B$4,'Operating Income'!$B:$W,E4,FALSE)</f>
        <v>137.93</v>
      </c>
      <c r="F8" s="62">
        <f>VLOOKUP($B$4,'Operating Income'!$B:$W,F4,FALSE)</f>
        <v>17.829999999999998</v>
      </c>
      <c r="G8" s="62">
        <f>VLOOKUP($B$4,'Operating Income'!$B:$W,G4,FALSE)</f>
        <v>21.06</v>
      </c>
      <c r="H8" s="62">
        <f>VLOOKUP($B$4,'Operating Income'!$B:$W,H4,FALSE)</f>
        <v>52.48</v>
      </c>
      <c r="I8" s="62">
        <f>VLOOKUP($B$4,'Operating Income'!$B:$W,I4,FALSE)</f>
        <v>5.13</v>
      </c>
      <c r="J8" s="62">
        <f>VLOOKUP($B$4,'Operating Income'!$B:$W,J4,FALSE)</f>
        <v>114.94</v>
      </c>
      <c r="K8" s="62">
        <f>VLOOKUP($B$4,'Operating Income'!$B:$W,K4,FALSE)</f>
        <v>130.06</v>
      </c>
      <c r="L8" s="62">
        <f>VLOOKUP($B$4,'Operating Income'!$B:$W,L4,FALSE)</f>
        <v>121.8</v>
      </c>
      <c r="M8" s="62">
        <f>VLOOKUP($B$4,'Operating Income'!$B:$W,M4,FALSE)</f>
        <v>44.4</v>
      </c>
      <c r="N8" s="62">
        <f>VLOOKUP($B$4,'Operating Income'!$B:$W,N4,FALSE)</f>
        <v>105.2</v>
      </c>
      <c r="O8" s="62">
        <f>VLOOKUP($B$4,'Operating Income'!$B:$W,O4,FALSE)</f>
        <v>149.69999999999999</v>
      </c>
      <c r="P8" s="62">
        <f>VLOOKUP($B$4,'Operating Income'!$B:$W,P4,FALSE)</f>
        <v>186.4</v>
      </c>
      <c r="Q8" s="62">
        <f>VLOOKUP($B$4,'Operating Income'!$B:$W,Q4,FALSE)</f>
        <v>150.69999999999999</v>
      </c>
      <c r="R8" s="62">
        <f>VLOOKUP($B$4,'Operating Income'!$B:$W,R4,FALSE)</f>
        <v>11.5</v>
      </c>
      <c r="S8" s="51">
        <f>VLOOKUP($B$4,'Operating Income'!$B:$W,S4,FALSE)</f>
        <v>218.1</v>
      </c>
      <c r="T8" s="50"/>
      <c r="U8" s="50"/>
      <c r="V8" s="50"/>
      <c r="W8" s="50"/>
    </row>
    <row r="9" spans="2:25" x14ac:dyDescent="0.3">
      <c r="B9" s="49" t="s">
        <v>149</v>
      </c>
      <c r="C9" s="50">
        <f>AVERAGE(C8:C8)</f>
        <v>26.48</v>
      </c>
      <c r="D9" s="50">
        <f>AVERAGE(C8:D8)</f>
        <v>77.309999999999988</v>
      </c>
      <c r="E9" s="50">
        <f>AVERAGE(C8:E8)</f>
        <v>97.516666666666652</v>
      </c>
      <c r="F9" s="50">
        <f t="shared" ref="F9:R9" si="0">AVERAGE(C8:F8)</f>
        <v>77.594999999999985</v>
      </c>
      <c r="G9" s="50">
        <f t="shared" si="0"/>
        <v>76.239999999999995</v>
      </c>
      <c r="H9" s="50">
        <f t="shared" si="0"/>
        <v>57.324999999999996</v>
      </c>
      <c r="I9" s="50">
        <f t="shared" si="0"/>
        <v>24.125</v>
      </c>
      <c r="J9" s="50">
        <f>AVERAGE(G8:J8)</f>
        <v>48.402499999999996</v>
      </c>
      <c r="K9" s="50">
        <f t="shared" si="0"/>
        <v>75.652500000000003</v>
      </c>
      <c r="L9" s="50">
        <f t="shared" si="0"/>
        <v>92.982500000000002</v>
      </c>
      <c r="M9" s="50">
        <f t="shared" si="0"/>
        <v>102.8</v>
      </c>
      <c r="N9" s="50">
        <f t="shared" si="0"/>
        <v>100.36499999999999</v>
      </c>
      <c r="O9" s="50">
        <f t="shared" si="0"/>
        <v>105.27499999999999</v>
      </c>
      <c r="P9" s="50">
        <f t="shared" si="0"/>
        <v>121.42499999999998</v>
      </c>
      <c r="Q9" s="50">
        <f t="shared" si="0"/>
        <v>148</v>
      </c>
      <c r="R9" s="50">
        <f t="shared" si="0"/>
        <v>124.575</v>
      </c>
      <c r="S9" s="51">
        <f>AVERAGE(P8:S8)</f>
        <v>141.67500000000001</v>
      </c>
      <c r="T9" s="50"/>
      <c r="U9" s="50"/>
      <c r="V9" s="50"/>
      <c r="W9" s="50"/>
    </row>
    <row r="10" spans="2:25" x14ac:dyDescent="0.3">
      <c r="B10" s="49" t="s">
        <v>150</v>
      </c>
      <c r="C10" s="50">
        <f>SUM(C8:C8)</f>
        <v>26.48</v>
      </c>
      <c r="D10" s="50">
        <f>SUM(C8:D8)</f>
        <v>154.61999999999998</v>
      </c>
      <c r="E10" s="50">
        <f>SUM(C8:E8)</f>
        <v>292.54999999999995</v>
      </c>
      <c r="F10" s="50">
        <f t="shared" ref="F10:S10" si="1">SUM(C8:F8)</f>
        <v>310.37999999999994</v>
      </c>
      <c r="G10" s="50">
        <f t="shared" si="1"/>
        <v>304.95999999999998</v>
      </c>
      <c r="H10" s="50">
        <f t="shared" si="1"/>
        <v>229.29999999999998</v>
      </c>
      <c r="I10" s="50">
        <f t="shared" si="1"/>
        <v>96.5</v>
      </c>
      <c r="J10" s="50">
        <f t="shared" si="1"/>
        <v>193.60999999999999</v>
      </c>
      <c r="K10" s="50">
        <f t="shared" si="1"/>
        <v>302.61</v>
      </c>
      <c r="L10" s="50">
        <f t="shared" si="1"/>
        <v>371.93</v>
      </c>
      <c r="M10" s="50">
        <f t="shared" si="1"/>
        <v>411.2</v>
      </c>
      <c r="N10" s="50">
        <f t="shared" si="1"/>
        <v>401.46</v>
      </c>
      <c r="O10" s="50">
        <f t="shared" si="1"/>
        <v>421.09999999999997</v>
      </c>
      <c r="P10" s="50">
        <f t="shared" si="1"/>
        <v>485.69999999999993</v>
      </c>
      <c r="Q10" s="50">
        <f t="shared" si="1"/>
        <v>592</v>
      </c>
      <c r="R10" s="50">
        <f t="shared" si="1"/>
        <v>498.3</v>
      </c>
      <c r="S10" s="51">
        <f t="shared" si="1"/>
        <v>566.70000000000005</v>
      </c>
      <c r="T10" s="50"/>
      <c r="U10" s="50"/>
      <c r="V10" s="50"/>
      <c r="W10" s="50"/>
    </row>
    <row r="11" spans="2:25" x14ac:dyDescent="0.3">
      <c r="B11" s="49" t="s">
        <v>151</v>
      </c>
      <c r="C11" s="52"/>
      <c r="D11" s="52">
        <f t="shared" ref="D11:S11" si="2">D9/C9-1</f>
        <v>1.9195619335347427</v>
      </c>
      <c r="E11" s="52">
        <f t="shared" si="2"/>
        <v>0.26137196567929988</v>
      </c>
      <c r="F11" s="52">
        <f t="shared" si="2"/>
        <v>-0.20428986498034529</v>
      </c>
      <c r="G11" s="52">
        <f t="shared" si="2"/>
        <v>-1.7462465365036262E-2</v>
      </c>
      <c r="H11" s="52">
        <f t="shared" si="2"/>
        <v>-0.24809811122770198</v>
      </c>
      <c r="I11" s="52">
        <f t="shared" si="2"/>
        <v>-0.5791539467945922</v>
      </c>
      <c r="J11" s="52">
        <f t="shared" si="2"/>
        <v>1.006321243523316</v>
      </c>
      <c r="K11" s="52">
        <f t="shared" si="2"/>
        <v>0.56298744899540343</v>
      </c>
      <c r="L11" s="52">
        <f t="shared" si="2"/>
        <v>0.22907372525693126</v>
      </c>
      <c r="M11" s="52">
        <f t="shared" si="2"/>
        <v>0.10558438415830929</v>
      </c>
      <c r="N11" s="52">
        <f t="shared" si="2"/>
        <v>-2.3686770428015591E-2</v>
      </c>
      <c r="O11" s="52">
        <f t="shared" si="2"/>
        <v>4.8921436755841041E-2</v>
      </c>
      <c r="P11" s="53">
        <f t="shared" si="2"/>
        <v>0.15340774162906667</v>
      </c>
      <c r="Q11" s="53">
        <f t="shared" si="2"/>
        <v>0.21885937821700652</v>
      </c>
      <c r="R11" s="53">
        <f t="shared" si="2"/>
        <v>-0.15827702702702706</v>
      </c>
      <c r="S11" s="54">
        <f t="shared" si="2"/>
        <v>0.1372667068031308</v>
      </c>
      <c r="T11" s="55"/>
      <c r="U11" s="55"/>
      <c r="V11" s="55"/>
      <c r="W11" s="55"/>
    </row>
    <row r="12" spans="2:25" x14ac:dyDescent="0.3">
      <c r="B12" s="49" t="s">
        <v>133</v>
      </c>
      <c r="C12" s="56">
        <f t="shared" ref="C12:F12" si="3">IFERROR(C8/C7,"-")</f>
        <v>6.2280969964955191E-2</v>
      </c>
      <c r="D12" s="56">
        <f t="shared" si="3"/>
        <v>0.33843959642913735</v>
      </c>
      <c r="E12" s="56">
        <f t="shared" si="3"/>
        <v>0.33200144421711397</v>
      </c>
      <c r="F12" s="56">
        <f t="shared" si="3"/>
        <v>5.1506485252910413E-2</v>
      </c>
      <c r="G12" s="56">
        <f>IFERROR(G8/G7,"-")</f>
        <v>6.5566625155666247E-2</v>
      </c>
      <c r="H12" s="56">
        <f t="shared" ref="H12:S12" si="4">IFERROR(H8/H7,"-")</f>
        <v>0.17776573402885981</v>
      </c>
      <c r="I12" s="56">
        <f t="shared" si="4"/>
        <v>1.6433353621424222E-2</v>
      </c>
      <c r="J12" s="56">
        <f t="shared" si="4"/>
        <v>0.23922907213919994</v>
      </c>
      <c r="K12" s="56">
        <f t="shared" si="4"/>
        <v>0.21598910588547895</v>
      </c>
      <c r="L12" s="56">
        <f t="shared" si="4"/>
        <v>0.23199999999999998</v>
      </c>
      <c r="M12" s="56">
        <f t="shared" si="4"/>
        <v>0.10434782608695652</v>
      </c>
      <c r="N12" s="56">
        <f t="shared" si="4"/>
        <v>0.21655002058460271</v>
      </c>
      <c r="O12" s="56">
        <f t="shared" si="4"/>
        <v>0.25594118652761155</v>
      </c>
      <c r="P12" s="56">
        <f t="shared" si="4"/>
        <v>0.31332997142376873</v>
      </c>
      <c r="Q12" s="56">
        <f t="shared" si="4"/>
        <v>0.28094705443698731</v>
      </c>
      <c r="R12" s="56">
        <f t="shared" si="4"/>
        <v>3.3160322952710493E-2</v>
      </c>
      <c r="S12" s="57">
        <f t="shared" si="4"/>
        <v>0.29758493655341794</v>
      </c>
      <c r="T12" s="58"/>
      <c r="U12" s="58"/>
      <c r="V12" s="58"/>
      <c r="W12" s="58"/>
    </row>
    <row r="13" spans="2:25" x14ac:dyDescent="0.3">
      <c r="B13" s="49" t="s">
        <v>152</v>
      </c>
      <c r="C13" s="58" t="e">
        <f>C8/#REF!-1</f>
        <v>#REF!</v>
      </c>
      <c r="D13" s="58" t="e">
        <f>D8/#REF!-1</f>
        <v>#REF!</v>
      </c>
      <c r="E13" s="58" t="e">
        <f>E8/#REF!-1</f>
        <v>#REF!</v>
      </c>
      <c r="F13" s="58" t="e">
        <f>F8/#REF!-1</f>
        <v>#REF!</v>
      </c>
      <c r="G13" s="58">
        <f t="shared" ref="G13:S13" si="5">G8/C8-1</f>
        <v>-0.2046827794561934</v>
      </c>
      <c r="H13" s="58">
        <f t="shared" si="5"/>
        <v>-0.59044794755735919</v>
      </c>
      <c r="I13" s="58">
        <f t="shared" si="5"/>
        <v>-0.96280722105415795</v>
      </c>
      <c r="J13" s="58">
        <f t="shared" si="5"/>
        <v>5.4464385866517109</v>
      </c>
      <c r="K13" s="58">
        <f t="shared" si="5"/>
        <v>5.1756885090218425</v>
      </c>
      <c r="L13" s="58">
        <f t="shared" si="5"/>
        <v>1.3208841463414633</v>
      </c>
      <c r="M13" s="58">
        <f t="shared" si="5"/>
        <v>7.6549707602339172</v>
      </c>
      <c r="N13" s="58">
        <f t="shared" si="5"/>
        <v>-8.4739864277014076E-2</v>
      </c>
      <c r="O13" s="58">
        <f t="shared" si="5"/>
        <v>0.15100722743349215</v>
      </c>
      <c r="P13" s="59">
        <f t="shared" si="5"/>
        <v>0.53037766830870292</v>
      </c>
      <c r="Q13" s="59">
        <f t="shared" si="5"/>
        <v>2.394144144144144</v>
      </c>
      <c r="R13" s="59">
        <f t="shared" si="5"/>
        <v>-0.89068441064638781</v>
      </c>
      <c r="S13" s="60">
        <f t="shared" si="5"/>
        <v>0.45691382765531063</v>
      </c>
      <c r="T13" s="58"/>
      <c r="U13" s="58"/>
      <c r="V13" s="58"/>
      <c r="W13" s="58"/>
    </row>
    <row r="14" spans="2:25" x14ac:dyDescent="0.3">
      <c r="B14" s="49" t="s">
        <v>153</v>
      </c>
      <c r="G14" s="58">
        <f>G7/C7-1</f>
        <v>-0.24453747912599677</v>
      </c>
      <c r="H14" s="58">
        <f>H7/D7-1</f>
        <v>-0.22027362527071992</v>
      </c>
      <c r="I14" s="58">
        <f t="shared" ref="I14:S14" si="6">I7/E7-1</f>
        <v>-0.24859790588518471</v>
      </c>
      <c r="J14" s="58">
        <f t="shared" si="6"/>
        <v>0.38793078545223425</v>
      </c>
      <c r="K14" s="58">
        <f t="shared" si="6"/>
        <v>0.87471980074719791</v>
      </c>
      <c r="L14" s="58">
        <f t="shared" si="6"/>
        <v>0.77833480116523246</v>
      </c>
      <c r="M14" s="58">
        <f t="shared" si="6"/>
        <v>0.36303936957427041</v>
      </c>
      <c r="N14" s="58">
        <f t="shared" si="6"/>
        <v>1.1114348749115432E-2</v>
      </c>
      <c r="O14" s="58">
        <f t="shared" si="6"/>
        <v>-2.8663478145343424E-2</v>
      </c>
      <c r="P14" s="58">
        <f t="shared" si="6"/>
        <v>0.13314285714285701</v>
      </c>
      <c r="Q14" s="58">
        <f t="shared" si="6"/>
        <v>0.26063454759106919</v>
      </c>
      <c r="R14" s="58">
        <f t="shared" si="6"/>
        <v>-0.28612597776862903</v>
      </c>
      <c r="S14" s="58">
        <f t="shared" si="6"/>
        <v>0.25303470678748496</v>
      </c>
    </row>
  </sheetData>
  <phoneticPr fontId="6" type="noConversion"/>
  <conditionalFormatting sqref="B10:P10">
    <cfRule type="top10" dxfId="3" priority="18" percent="1" rank="5"/>
  </conditionalFormatting>
  <conditionalFormatting sqref="B8:S8">
    <cfRule type="top10" dxfId="2" priority="19" percent="1" rank="10"/>
  </conditionalFormatting>
  <conditionalFormatting sqref="B10:S10">
    <cfRule type="top10" priority="20" rank="10"/>
  </conditionalFormatting>
  <conditionalFormatting sqref="B11:W11">
    <cfRule type="cellIs" dxfId="1" priority="4" operator="greaterThan">
      <formula>0.1</formula>
    </cfRule>
  </conditionalFormatting>
  <conditionalFormatting sqref="C13:P13">
    <cfRule type="iconSet" priority="22">
      <iconSet iconSet="3Arrows">
        <cfvo type="percent" val="0"/>
        <cfvo type="percent" val="33"/>
        <cfvo type="percent" val="67"/>
      </iconSet>
    </cfRule>
  </conditionalFormatting>
  <conditionalFormatting sqref="C12:S12">
    <cfRule type="iconSet" priority="23">
      <iconSet iconSet="3Arrows">
        <cfvo type="percent" val="0"/>
        <cfvo type="percent" val="33"/>
        <cfvo type="percent" val="67"/>
      </iconSet>
    </cfRule>
  </conditionalFormatting>
  <conditionalFormatting sqref="G14:S14">
    <cfRule type="iconSet" priority="8">
      <iconSet iconSet="3Arrows">
        <cfvo type="percent" val="0"/>
        <cfvo type="percent" val="33"/>
        <cfvo type="percent" val="67"/>
      </iconSet>
    </cfRule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H12:S12 H13:O13 C12:G13">
    <cfRule type="iconSet" priority="21">
      <iconSet iconSet="3Arrows">
        <cfvo type="percent" val="0"/>
        <cfvo type="percent" val="33"/>
        <cfvo type="percent" val="67"/>
      </iconSet>
    </cfRule>
  </conditionalFormatting>
  <conditionalFormatting sqref="P13">
    <cfRule type="iconSet" priority="16">
      <iconSet iconSet="3Arrows">
        <cfvo type="percent" val="0"/>
        <cfvo type="percent" val="33"/>
        <cfvo type="percent" val="67"/>
      </iconSet>
    </cfRule>
  </conditionalFormatting>
  <conditionalFormatting sqref="P12:S12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Q13">
    <cfRule type="iconSet" priority="14">
      <iconSet iconSet="3Arrows">
        <cfvo type="percent" val="0"/>
        <cfvo type="percent" val="33"/>
        <cfvo type="percent" val="67"/>
      </iconSet>
    </cfRule>
    <cfRule type="iconSet" priority="15">
      <iconSet iconSet="3Arrows">
        <cfvo type="percent" val="0"/>
        <cfvo type="percent" val="33"/>
        <cfvo type="percent" val="67"/>
      </iconSet>
    </cfRule>
  </conditionalFormatting>
  <conditionalFormatting sqref="R13">
    <cfRule type="iconSet" priority="12">
      <iconSet iconSet="3Arrows">
        <cfvo type="percent" val="0"/>
        <cfvo type="percent" val="33"/>
        <cfvo type="percent" val="67"/>
      </iconSet>
    </cfRule>
    <cfRule type="iconSet" priority="13">
      <iconSet iconSet="3Arrows">
        <cfvo type="percent" val="0"/>
        <cfvo type="percent" val="33"/>
        <cfvo type="percent" val="67"/>
      </iconSet>
    </cfRule>
  </conditionalFormatting>
  <conditionalFormatting sqref="S13">
    <cfRule type="iconSet" priority="10">
      <iconSet iconSet="3Arrows">
        <cfvo type="percent" val="0"/>
        <cfvo type="percent" val="33"/>
        <cfvo type="percent" val="67"/>
      </iconSet>
    </cfRule>
    <cfRule type="iconSet" priority="11">
      <iconSet iconSet="3Arrows">
        <cfvo type="percent" val="0"/>
        <cfvo type="percent" val="33"/>
        <cfvo type="percent" val="67"/>
      </iconSet>
    </cfRule>
  </conditionalFormatting>
  <conditionalFormatting sqref="T8:W8">
    <cfRule type="top10" dxfId="0" priority="5" percent="1" rank="10"/>
  </conditionalFormatting>
  <conditionalFormatting sqref="T10:W10">
    <cfRule type="top10" priority="6" rank="10"/>
  </conditionalFormatting>
  <conditionalFormatting sqref="T12:W12">
    <cfRule type="iconSet" priority="3">
      <iconSet iconSet="3Arrows">
        <cfvo type="percent" val="0"/>
        <cfvo type="percent" val="33"/>
        <cfvo type="percent" val="67"/>
      </iconSet>
    </cfRule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T13:W13">
    <cfRule type="iconSet" priority="1">
      <iconSet iconSet="3Arrows">
        <cfvo type="percent" val="0"/>
        <cfvo type="percent" val="33"/>
        <cfvo type="percent" val="67"/>
      </iconSet>
    </cfRule>
    <cfRule type="iconSet" priority="2">
      <iconSet iconSet="3Arrows">
        <cfvo type="percent" val="0"/>
        <cfvo type="percent" val="33"/>
        <cfvo type="percent" val="67"/>
      </iconSet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기업리스트</vt:lpstr>
      <vt:lpstr>Revenue</vt:lpstr>
      <vt:lpstr>Operating Income</vt:lpstr>
      <vt:lpstr>빨간줄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지후 임</cp:lastModifiedBy>
  <dcterms:created xsi:type="dcterms:W3CDTF">2026-02-22T08:00:54Z</dcterms:created>
  <dcterms:modified xsi:type="dcterms:W3CDTF">2026-02-22T08:27:26Z</dcterms:modified>
</cp:coreProperties>
</file>