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"/>
    </mc:Choice>
  </mc:AlternateContent>
  <xr:revisionPtr revIDLastSave="0" documentId="13_ncr:1_{2F149F5B-D683-4159-8345-17E0A94F1EE1}" xr6:coauthVersionLast="47" xr6:coauthVersionMax="47" xr10:uidLastSave="{00000000-0000-0000-0000-000000000000}"/>
  <bookViews>
    <workbookView xWindow="28680" yWindow="465" windowWidth="29040" windowHeight="15720" xr2:uid="{00000000-000D-0000-FFFF-FFFF00000000}"/>
  </bookViews>
  <sheets>
    <sheet name="실적 기업 정보" sheetId="3" r:id="rId1"/>
    <sheet name="Revenue" sheetId="1" r:id="rId2"/>
    <sheet name="Operating Income" sheetId="2" r:id="rId3"/>
    <sheet name="빨간줄" sheetId="4" r:id="rId4"/>
  </sheets>
  <externalReferences>
    <externalReference r:id="rId5"/>
  </externalReferences>
  <definedNames>
    <definedName name="_xlnm._FilterDatabase" localSheetId="2" hidden="1">'Operating Income'!$B$2:$W$597</definedName>
    <definedName name="_xlnm._FilterDatabase" localSheetId="1" hidden="1">Revenue!$B$2:$W$597</definedName>
    <definedName name="_xlnm._FilterDatabase" localSheetId="0" hidden="1">'실적 기업 정보'!$B$4:$G$707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8" i="1" l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24" i="1"/>
  <c r="AA8" i="1"/>
  <c r="X485" i="2" l="1"/>
  <c r="Y485" i="2"/>
  <c r="Z485" i="2"/>
  <c r="AA485" i="2"/>
  <c r="X486" i="2"/>
  <c r="Y486" i="2"/>
  <c r="Z486" i="2"/>
  <c r="AA486" i="2"/>
  <c r="X487" i="2"/>
  <c r="Y487" i="2"/>
  <c r="Z487" i="2"/>
  <c r="AA487" i="2"/>
  <c r="X488" i="2"/>
  <c r="Y488" i="2"/>
  <c r="Z488" i="2"/>
  <c r="AA488" i="2"/>
  <c r="X489" i="2"/>
  <c r="Y489" i="2"/>
  <c r="Z489" i="2"/>
  <c r="AA489" i="2"/>
  <c r="X490" i="2"/>
  <c r="Y490" i="2"/>
  <c r="Z490" i="2"/>
  <c r="AA490" i="2"/>
  <c r="X491" i="2"/>
  <c r="Y491" i="2"/>
  <c r="Z491" i="2"/>
  <c r="AA491" i="2"/>
  <c r="X492" i="2"/>
  <c r="Y492" i="2"/>
  <c r="Z492" i="2"/>
  <c r="AA492" i="2"/>
  <c r="X493" i="2"/>
  <c r="Y493" i="2"/>
  <c r="Z493" i="2"/>
  <c r="AA493" i="2"/>
  <c r="X494" i="2"/>
  <c r="Y494" i="2"/>
  <c r="Z494" i="2"/>
  <c r="AA494" i="2"/>
  <c r="X495" i="2"/>
  <c r="Y495" i="2"/>
  <c r="Z495" i="2"/>
  <c r="AA495" i="2"/>
  <c r="X496" i="2"/>
  <c r="Y496" i="2"/>
  <c r="Z496" i="2"/>
  <c r="AA496" i="2"/>
  <c r="X497" i="2"/>
  <c r="Y497" i="2"/>
  <c r="Z497" i="2"/>
  <c r="AA497" i="2"/>
  <c r="X498" i="2"/>
  <c r="Y498" i="2"/>
  <c r="Z498" i="2"/>
  <c r="AA498" i="2"/>
  <c r="X499" i="2"/>
  <c r="Y499" i="2"/>
  <c r="Z499" i="2"/>
  <c r="AA499" i="2"/>
  <c r="X500" i="2"/>
  <c r="Y500" i="2"/>
  <c r="Z500" i="2"/>
  <c r="AA500" i="2"/>
  <c r="X501" i="2"/>
  <c r="Y501" i="2"/>
  <c r="Z501" i="2"/>
  <c r="AA501" i="2"/>
  <c r="X502" i="2"/>
  <c r="Y502" i="2"/>
  <c r="Z502" i="2"/>
  <c r="AA502" i="2"/>
  <c r="X503" i="2"/>
  <c r="Y503" i="2"/>
  <c r="Z503" i="2"/>
  <c r="AA503" i="2"/>
  <c r="X504" i="2"/>
  <c r="Y504" i="2"/>
  <c r="Z504" i="2"/>
  <c r="AA504" i="2"/>
  <c r="X505" i="2"/>
  <c r="Y505" i="2"/>
  <c r="Z505" i="2"/>
  <c r="AA505" i="2"/>
  <c r="X506" i="2"/>
  <c r="Y506" i="2"/>
  <c r="Z506" i="2"/>
  <c r="AA506" i="2"/>
  <c r="X507" i="2"/>
  <c r="Y507" i="2"/>
  <c r="Z507" i="2"/>
  <c r="AA507" i="2"/>
  <c r="X508" i="2"/>
  <c r="Y508" i="2"/>
  <c r="Z508" i="2"/>
  <c r="AA508" i="2"/>
  <c r="X509" i="2"/>
  <c r="Y509" i="2"/>
  <c r="Z509" i="2"/>
  <c r="AA509" i="2"/>
  <c r="X510" i="2"/>
  <c r="Y510" i="2"/>
  <c r="Z510" i="2"/>
  <c r="AA510" i="2"/>
  <c r="X511" i="2"/>
  <c r="Y511" i="2"/>
  <c r="Z511" i="2"/>
  <c r="AA511" i="2"/>
  <c r="X512" i="2"/>
  <c r="Y512" i="2"/>
  <c r="Z512" i="2"/>
  <c r="AA512" i="2"/>
  <c r="X513" i="2"/>
  <c r="Y513" i="2"/>
  <c r="Z513" i="2"/>
  <c r="AA513" i="2"/>
  <c r="X514" i="2"/>
  <c r="Y514" i="2"/>
  <c r="Z514" i="2"/>
  <c r="AA514" i="2"/>
  <c r="X515" i="2"/>
  <c r="Y515" i="2"/>
  <c r="Z515" i="2"/>
  <c r="AA515" i="2"/>
  <c r="X516" i="2"/>
  <c r="Y516" i="2"/>
  <c r="Z516" i="2"/>
  <c r="AA516" i="2"/>
  <c r="X517" i="2"/>
  <c r="Y517" i="2"/>
  <c r="Z517" i="2"/>
  <c r="AA517" i="2"/>
  <c r="X518" i="2"/>
  <c r="Y518" i="2"/>
  <c r="Z518" i="2"/>
  <c r="AA518" i="2"/>
  <c r="X519" i="2"/>
  <c r="Y519" i="2"/>
  <c r="Z519" i="2"/>
  <c r="AA519" i="2"/>
  <c r="X520" i="2"/>
  <c r="Y520" i="2"/>
  <c r="Z520" i="2"/>
  <c r="AA520" i="2"/>
  <c r="X521" i="2"/>
  <c r="Y521" i="2"/>
  <c r="Z521" i="2"/>
  <c r="AA521" i="2"/>
  <c r="X522" i="2"/>
  <c r="Y522" i="2"/>
  <c r="Z522" i="2"/>
  <c r="AA522" i="2"/>
  <c r="X523" i="2"/>
  <c r="Y523" i="2"/>
  <c r="Z523" i="2"/>
  <c r="AA523" i="2"/>
  <c r="D578" i="2" l="1"/>
  <c r="AA671" i="1"/>
  <c r="Z671" i="1"/>
  <c r="Y671" i="1"/>
  <c r="X671" i="1"/>
  <c r="AA670" i="1"/>
  <c r="Z670" i="1"/>
  <c r="Y670" i="1"/>
  <c r="X670" i="1"/>
  <c r="AA669" i="1"/>
  <c r="Z669" i="1"/>
  <c r="Y669" i="1"/>
  <c r="X669" i="1"/>
  <c r="AA668" i="1"/>
  <c r="Z668" i="1"/>
  <c r="Y668" i="1"/>
  <c r="X668" i="1"/>
  <c r="AA667" i="1"/>
  <c r="Z667" i="1"/>
  <c r="Y667" i="1"/>
  <c r="X667" i="1"/>
  <c r="AA666" i="1"/>
  <c r="Z666" i="1"/>
  <c r="Y666" i="1"/>
  <c r="X666" i="1"/>
  <c r="AA665" i="1"/>
  <c r="Z665" i="1"/>
  <c r="Y665" i="1"/>
  <c r="X665" i="1"/>
  <c r="AA664" i="1"/>
  <c r="Z664" i="1"/>
  <c r="Y664" i="1"/>
  <c r="X664" i="1"/>
  <c r="AA663" i="1"/>
  <c r="Z663" i="1"/>
  <c r="Y663" i="1"/>
  <c r="X663" i="1"/>
  <c r="AA662" i="1"/>
  <c r="Z662" i="1"/>
  <c r="Y662" i="1"/>
  <c r="X662" i="1"/>
  <c r="AA661" i="1"/>
  <c r="Z661" i="1"/>
  <c r="Y661" i="1"/>
  <c r="X661" i="1"/>
  <c r="AA660" i="1"/>
  <c r="Z660" i="1"/>
  <c r="Y660" i="1"/>
  <c r="X660" i="1"/>
  <c r="AA659" i="1"/>
  <c r="Z659" i="1"/>
  <c r="Y659" i="1"/>
  <c r="X659" i="1"/>
  <c r="AA658" i="1"/>
  <c r="Z658" i="1"/>
  <c r="Y658" i="1"/>
  <c r="X658" i="1"/>
  <c r="AA657" i="1"/>
  <c r="Z657" i="1"/>
  <c r="Y657" i="1"/>
  <c r="X657" i="1"/>
  <c r="AA656" i="1"/>
  <c r="Z656" i="1"/>
  <c r="Y656" i="1"/>
  <c r="X656" i="1"/>
  <c r="AA655" i="1"/>
  <c r="Z655" i="1"/>
  <c r="Y655" i="1"/>
  <c r="X655" i="1"/>
  <c r="AA654" i="1"/>
  <c r="Z654" i="1"/>
  <c r="Y654" i="1"/>
  <c r="X654" i="1"/>
  <c r="AA653" i="1"/>
  <c r="Z653" i="1"/>
  <c r="Y653" i="1"/>
  <c r="X653" i="1"/>
  <c r="AA652" i="1"/>
  <c r="Z652" i="1"/>
  <c r="Y652" i="1"/>
  <c r="X652" i="1"/>
  <c r="AA651" i="1"/>
  <c r="Z651" i="1"/>
  <c r="Y651" i="1"/>
  <c r="X651" i="1"/>
  <c r="AA650" i="1"/>
  <c r="Z650" i="1"/>
  <c r="Y650" i="1"/>
  <c r="X650" i="1"/>
  <c r="AA649" i="1"/>
  <c r="Z649" i="1"/>
  <c r="Y649" i="1"/>
  <c r="X649" i="1"/>
  <c r="AA648" i="1"/>
  <c r="Z648" i="1"/>
  <c r="Y648" i="1"/>
  <c r="X648" i="1"/>
  <c r="AA647" i="1"/>
  <c r="Z647" i="1"/>
  <c r="Y647" i="1"/>
  <c r="X647" i="1"/>
  <c r="AA646" i="1"/>
  <c r="Z646" i="1"/>
  <c r="Y646" i="1"/>
  <c r="X646" i="1"/>
  <c r="AA645" i="1"/>
  <c r="Z645" i="1"/>
  <c r="Y645" i="1"/>
  <c r="X645" i="1"/>
  <c r="AA644" i="1"/>
  <c r="Z644" i="1"/>
  <c r="Y644" i="1"/>
  <c r="X644" i="1"/>
  <c r="AA643" i="1"/>
  <c r="Z643" i="1"/>
  <c r="Y643" i="1"/>
  <c r="X643" i="1"/>
  <c r="AA642" i="1"/>
  <c r="Z642" i="1"/>
  <c r="Y642" i="1"/>
  <c r="X642" i="1"/>
  <c r="AA641" i="1"/>
  <c r="Z641" i="1"/>
  <c r="Y641" i="1"/>
  <c r="X641" i="1"/>
  <c r="AA640" i="1"/>
  <c r="Z640" i="1"/>
  <c r="Y640" i="1"/>
  <c r="X640" i="1"/>
  <c r="AA639" i="1"/>
  <c r="Z639" i="1"/>
  <c r="Y639" i="1"/>
  <c r="X639" i="1"/>
  <c r="AA638" i="1"/>
  <c r="Z638" i="1"/>
  <c r="Y638" i="1"/>
  <c r="X638" i="1"/>
  <c r="AA637" i="1"/>
  <c r="Z637" i="1"/>
  <c r="Y637" i="1"/>
  <c r="X637" i="1"/>
  <c r="AA636" i="1"/>
  <c r="Z636" i="1"/>
  <c r="Y636" i="1"/>
  <c r="X636" i="1"/>
  <c r="AA635" i="1"/>
  <c r="Z635" i="1"/>
  <c r="Y635" i="1"/>
  <c r="X635" i="1"/>
  <c r="AA634" i="1"/>
  <c r="Z634" i="1"/>
  <c r="Y634" i="1"/>
  <c r="X634" i="1"/>
  <c r="AA633" i="1"/>
  <c r="Z633" i="1"/>
  <c r="Y633" i="1"/>
  <c r="X633" i="1"/>
  <c r="AA632" i="1"/>
  <c r="Z632" i="1"/>
  <c r="Y632" i="1"/>
  <c r="X632" i="1"/>
  <c r="AA631" i="1"/>
  <c r="Z631" i="1"/>
  <c r="Y631" i="1"/>
  <c r="X631" i="1"/>
  <c r="AA630" i="1"/>
  <c r="Z630" i="1"/>
  <c r="Y630" i="1"/>
  <c r="X630" i="1"/>
  <c r="AA629" i="1"/>
  <c r="Z629" i="1"/>
  <c r="Y629" i="1"/>
  <c r="X629" i="1"/>
  <c r="AA628" i="1"/>
  <c r="Z628" i="1"/>
  <c r="Y628" i="1"/>
  <c r="X628" i="1"/>
  <c r="AA627" i="1"/>
  <c r="Z627" i="1"/>
  <c r="Y627" i="1"/>
  <c r="X627" i="1"/>
  <c r="AA626" i="1"/>
  <c r="Z626" i="1"/>
  <c r="Y626" i="1"/>
  <c r="X626" i="1"/>
  <c r="AA625" i="1"/>
  <c r="Z625" i="1"/>
  <c r="Y625" i="1"/>
  <c r="X625" i="1"/>
  <c r="AA624" i="1"/>
  <c r="Z624" i="1"/>
  <c r="Y624" i="1"/>
  <c r="X624" i="1"/>
  <c r="AA623" i="1"/>
  <c r="Z623" i="1"/>
  <c r="Y623" i="1"/>
  <c r="X623" i="1"/>
  <c r="AA622" i="1"/>
  <c r="Z622" i="1"/>
  <c r="Y622" i="1"/>
  <c r="X622" i="1"/>
  <c r="AA621" i="1"/>
  <c r="Z621" i="1"/>
  <c r="Y621" i="1"/>
  <c r="X621" i="1"/>
  <c r="AA620" i="1"/>
  <c r="Z620" i="1"/>
  <c r="Y620" i="1"/>
  <c r="X620" i="1"/>
  <c r="AA619" i="1"/>
  <c r="Z619" i="1"/>
  <c r="Y619" i="1"/>
  <c r="X619" i="1"/>
  <c r="AA618" i="1"/>
  <c r="Z618" i="1"/>
  <c r="Y618" i="1"/>
  <c r="X618" i="1"/>
  <c r="AA617" i="1"/>
  <c r="Z617" i="1"/>
  <c r="Y617" i="1"/>
  <c r="X617" i="1"/>
  <c r="AA616" i="1"/>
  <c r="Z616" i="1"/>
  <c r="Y616" i="1"/>
  <c r="X616" i="1"/>
  <c r="AA615" i="1"/>
  <c r="Z615" i="1"/>
  <c r="Y615" i="1"/>
  <c r="X615" i="1"/>
  <c r="AA614" i="1"/>
  <c r="Z614" i="1"/>
  <c r="Y614" i="1"/>
  <c r="X614" i="1"/>
  <c r="AA613" i="1"/>
  <c r="Z613" i="1"/>
  <c r="Y613" i="1"/>
  <c r="X613" i="1"/>
  <c r="AA612" i="1"/>
  <c r="Z612" i="1"/>
  <c r="Y612" i="1"/>
  <c r="X612" i="1"/>
  <c r="AA611" i="1"/>
  <c r="Z611" i="1"/>
  <c r="Y611" i="1"/>
  <c r="X611" i="1"/>
  <c r="AA610" i="1"/>
  <c r="Z610" i="1"/>
  <c r="Y610" i="1"/>
  <c r="X610" i="1"/>
  <c r="AA609" i="1"/>
  <c r="Z609" i="1"/>
  <c r="Y609" i="1"/>
  <c r="X609" i="1"/>
  <c r="AA608" i="1"/>
  <c r="Z608" i="1"/>
  <c r="Y608" i="1"/>
  <c r="X608" i="1"/>
  <c r="AA607" i="1"/>
  <c r="Z607" i="1"/>
  <c r="Y607" i="1"/>
  <c r="X607" i="1"/>
  <c r="AA606" i="1"/>
  <c r="Z606" i="1"/>
  <c r="Y606" i="1"/>
  <c r="X606" i="1"/>
  <c r="AA605" i="1"/>
  <c r="Z605" i="1"/>
  <c r="Y605" i="1"/>
  <c r="X605" i="1"/>
  <c r="AA604" i="1"/>
  <c r="Z604" i="1"/>
  <c r="Y604" i="1"/>
  <c r="X604" i="1"/>
  <c r="AA603" i="1"/>
  <c r="Z603" i="1"/>
  <c r="Y603" i="1"/>
  <c r="X603" i="1"/>
  <c r="AA602" i="1"/>
  <c r="Z602" i="1"/>
  <c r="Y602" i="1"/>
  <c r="X602" i="1"/>
  <c r="AA601" i="1"/>
  <c r="Z601" i="1"/>
  <c r="Y601" i="1"/>
  <c r="X601" i="1"/>
  <c r="AA600" i="1"/>
  <c r="Z600" i="1"/>
  <c r="Y600" i="1"/>
  <c r="X600" i="1"/>
  <c r="AA599" i="1"/>
  <c r="Z599" i="1"/>
  <c r="Y599" i="1"/>
  <c r="X599" i="1"/>
  <c r="AA598" i="1"/>
  <c r="Z598" i="1"/>
  <c r="Y598" i="1"/>
  <c r="X598" i="1"/>
  <c r="G7" i="4" l="1"/>
  <c r="F7" i="4"/>
  <c r="E7" i="4"/>
  <c r="D7" i="4"/>
  <c r="C7" i="4"/>
  <c r="G8" i="4"/>
  <c r="F8" i="4"/>
  <c r="E8" i="4"/>
  <c r="D8" i="4"/>
  <c r="C8" i="4"/>
  <c r="AA808" i="2"/>
  <c r="Z808" i="2"/>
  <c r="Y808" i="2"/>
  <c r="X808" i="2"/>
  <c r="AA807" i="2"/>
  <c r="Z807" i="2"/>
  <c r="Y807" i="2"/>
  <c r="X807" i="2"/>
  <c r="AA806" i="2"/>
  <c r="Z806" i="2"/>
  <c r="Y806" i="2"/>
  <c r="X806" i="2"/>
  <c r="AA805" i="2"/>
  <c r="Z805" i="2"/>
  <c r="Y805" i="2"/>
  <c r="X805" i="2"/>
  <c r="AA804" i="2"/>
  <c r="Z804" i="2"/>
  <c r="Y804" i="2"/>
  <c r="X804" i="2"/>
  <c r="AA803" i="2"/>
  <c r="Z803" i="2"/>
  <c r="Y803" i="2"/>
  <c r="X803" i="2"/>
  <c r="AA802" i="2"/>
  <c r="Z802" i="2"/>
  <c r="Y802" i="2"/>
  <c r="X802" i="2"/>
  <c r="AA801" i="2"/>
  <c r="Z801" i="2"/>
  <c r="Y801" i="2"/>
  <c r="X801" i="2"/>
  <c r="AA800" i="2"/>
  <c r="Z800" i="2"/>
  <c r="Y800" i="2"/>
  <c r="X800" i="2"/>
  <c r="AA799" i="2"/>
  <c r="Z799" i="2"/>
  <c r="Y799" i="2"/>
  <c r="X799" i="2"/>
  <c r="AA798" i="2"/>
  <c r="Z798" i="2"/>
  <c r="Y798" i="2"/>
  <c r="X798" i="2"/>
  <c r="AA797" i="2"/>
  <c r="Z797" i="2"/>
  <c r="Y797" i="2"/>
  <c r="X797" i="2"/>
  <c r="AA796" i="2"/>
  <c r="Z796" i="2"/>
  <c r="Y796" i="2"/>
  <c r="X796" i="2"/>
  <c r="AA795" i="2"/>
  <c r="Z795" i="2"/>
  <c r="Y795" i="2"/>
  <c r="X795" i="2"/>
  <c r="AA794" i="2"/>
  <c r="Z794" i="2"/>
  <c r="Y794" i="2"/>
  <c r="X794" i="2"/>
  <c r="AA793" i="2"/>
  <c r="Z793" i="2"/>
  <c r="Y793" i="2"/>
  <c r="X793" i="2"/>
  <c r="AA792" i="2"/>
  <c r="Z792" i="2"/>
  <c r="Y792" i="2"/>
  <c r="X792" i="2"/>
  <c r="AA791" i="2"/>
  <c r="Z791" i="2"/>
  <c r="Y791" i="2"/>
  <c r="X791" i="2"/>
  <c r="AA790" i="2"/>
  <c r="Z790" i="2"/>
  <c r="Y790" i="2"/>
  <c r="X790" i="2"/>
  <c r="AA789" i="2"/>
  <c r="Z789" i="2"/>
  <c r="Y789" i="2"/>
  <c r="X789" i="2"/>
  <c r="AA788" i="2"/>
  <c r="Z788" i="2"/>
  <c r="Y788" i="2"/>
  <c r="X788" i="2"/>
  <c r="AA787" i="2"/>
  <c r="Z787" i="2"/>
  <c r="Y787" i="2"/>
  <c r="X787" i="2"/>
  <c r="AA786" i="2"/>
  <c r="Z786" i="2"/>
  <c r="Y786" i="2"/>
  <c r="X786" i="2"/>
  <c r="AA785" i="2"/>
  <c r="Z785" i="2"/>
  <c r="Y785" i="2"/>
  <c r="X785" i="2"/>
  <c r="AA784" i="2"/>
  <c r="Z784" i="2"/>
  <c r="Y784" i="2"/>
  <c r="X784" i="2"/>
  <c r="AA783" i="2"/>
  <c r="Z783" i="2"/>
  <c r="Y783" i="2"/>
  <c r="X783" i="2"/>
  <c r="AA782" i="2"/>
  <c r="Z782" i="2"/>
  <c r="Y782" i="2"/>
  <c r="X782" i="2"/>
  <c r="AA781" i="2"/>
  <c r="Z781" i="2"/>
  <c r="Y781" i="2"/>
  <c r="X781" i="2"/>
  <c r="AA780" i="2"/>
  <c r="Z780" i="2"/>
  <c r="Y780" i="2"/>
  <c r="X780" i="2"/>
  <c r="AA779" i="2"/>
  <c r="Z779" i="2"/>
  <c r="Y779" i="2"/>
  <c r="X779" i="2"/>
  <c r="AA778" i="2"/>
  <c r="Z778" i="2"/>
  <c r="Y778" i="2"/>
  <c r="X778" i="2"/>
  <c r="AA777" i="2"/>
  <c r="Z777" i="2"/>
  <c r="Y777" i="2"/>
  <c r="X777" i="2"/>
  <c r="AA776" i="2"/>
  <c r="Z776" i="2"/>
  <c r="Y776" i="2"/>
  <c r="X776" i="2"/>
  <c r="AA775" i="2"/>
  <c r="Z775" i="2"/>
  <c r="Y775" i="2"/>
  <c r="X775" i="2"/>
  <c r="AA774" i="2"/>
  <c r="Z774" i="2"/>
  <c r="Y774" i="2"/>
  <c r="X774" i="2"/>
  <c r="AA773" i="2"/>
  <c r="Z773" i="2"/>
  <c r="Y773" i="2"/>
  <c r="X773" i="2"/>
  <c r="AA772" i="2"/>
  <c r="Z772" i="2"/>
  <c r="Y772" i="2"/>
  <c r="X772" i="2"/>
  <c r="AA771" i="2"/>
  <c r="Z771" i="2"/>
  <c r="Y771" i="2"/>
  <c r="X771" i="2"/>
  <c r="AA770" i="2"/>
  <c r="Z770" i="2"/>
  <c r="Y770" i="2"/>
  <c r="X770" i="2"/>
  <c r="AA769" i="2"/>
  <c r="Z769" i="2"/>
  <c r="Y769" i="2"/>
  <c r="X769" i="2"/>
  <c r="AA768" i="2"/>
  <c r="Z768" i="2"/>
  <c r="Y768" i="2"/>
  <c r="X768" i="2"/>
  <c r="AA767" i="2"/>
  <c r="Z767" i="2"/>
  <c r="Y767" i="2"/>
  <c r="X767" i="2"/>
  <c r="AA766" i="2"/>
  <c r="Z766" i="2"/>
  <c r="Y766" i="2"/>
  <c r="X766" i="2"/>
  <c r="AA765" i="2"/>
  <c r="Z765" i="2"/>
  <c r="Y765" i="2"/>
  <c r="X765" i="2"/>
  <c r="AA764" i="2"/>
  <c r="Z764" i="2"/>
  <c r="Y764" i="2"/>
  <c r="X764" i="2"/>
  <c r="AA763" i="2"/>
  <c r="Z763" i="2"/>
  <c r="Y763" i="2"/>
  <c r="X763" i="2"/>
  <c r="AA762" i="2"/>
  <c r="Z762" i="2"/>
  <c r="Y762" i="2"/>
  <c r="X762" i="2"/>
  <c r="AA761" i="2"/>
  <c r="Z761" i="2"/>
  <c r="Y761" i="2"/>
  <c r="X761" i="2"/>
  <c r="AA760" i="2"/>
  <c r="Z760" i="2"/>
  <c r="Y760" i="2"/>
  <c r="X760" i="2"/>
  <c r="AA759" i="2"/>
  <c r="Z759" i="2"/>
  <c r="Y759" i="2"/>
  <c r="X759" i="2"/>
  <c r="AA758" i="2"/>
  <c r="Z758" i="2"/>
  <c r="Y758" i="2"/>
  <c r="X758" i="2"/>
  <c r="AA757" i="2"/>
  <c r="Z757" i="2"/>
  <c r="Y757" i="2"/>
  <c r="X757" i="2"/>
  <c r="AA756" i="2"/>
  <c r="Z756" i="2"/>
  <c r="Y756" i="2"/>
  <c r="X756" i="2"/>
  <c r="AA755" i="2"/>
  <c r="Z755" i="2"/>
  <c r="Y755" i="2"/>
  <c r="X755" i="2"/>
  <c r="AA754" i="2"/>
  <c r="Z754" i="2"/>
  <c r="Y754" i="2"/>
  <c r="X754" i="2"/>
  <c r="AA753" i="2"/>
  <c r="Z753" i="2"/>
  <c r="Y753" i="2"/>
  <c r="X753" i="2"/>
  <c r="AA752" i="2"/>
  <c r="Z752" i="2"/>
  <c r="Y752" i="2"/>
  <c r="X752" i="2"/>
  <c r="AA751" i="2"/>
  <c r="Z751" i="2"/>
  <c r="Y751" i="2"/>
  <c r="X751" i="2"/>
  <c r="AA750" i="2"/>
  <c r="Z750" i="2"/>
  <c r="Y750" i="2"/>
  <c r="X750" i="2"/>
  <c r="AA749" i="2"/>
  <c r="Z749" i="2"/>
  <c r="Y749" i="2"/>
  <c r="X749" i="2"/>
  <c r="AA748" i="2"/>
  <c r="Z748" i="2"/>
  <c r="Y748" i="2"/>
  <c r="X748" i="2"/>
  <c r="AA747" i="2"/>
  <c r="Z747" i="2"/>
  <c r="Y747" i="2"/>
  <c r="X747" i="2"/>
  <c r="AA746" i="2"/>
  <c r="Z746" i="2"/>
  <c r="Y746" i="2"/>
  <c r="X746" i="2"/>
  <c r="AA745" i="2"/>
  <c r="Z745" i="2"/>
  <c r="Y745" i="2"/>
  <c r="X745" i="2"/>
  <c r="AA744" i="2"/>
  <c r="Z744" i="2"/>
  <c r="Y744" i="2"/>
  <c r="X744" i="2"/>
  <c r="AA743" i="2"/>
  <c r="Z743" i="2"/>
  <c r="Y743" i="2"/>
  <c r="X743" i="2"/>
  <c r="AA742" i="2"/>
  <c r="Z742" i="2"/>
  <c r="Y742" i="2"/>
  <c r="X742" i="2"/>
  <c r="AA741" i="2"/>
  <c r="Z741" i="2"/>
  <c r="Y741" i="2"/>
  <c r="X741" i="2"/>
  <c r="AA740" i="2"/>
  <c r="Z740" i="2"/>
  <c r="Y740" i="2"/>
  <c r="X740" i="2"/>
  <c r="AA739" i="2"/>
  <c r="Z739" i="2"/>
  <c r="Y739" i="2"/>
  <c r="X739" i="2"/>
  <c r="AA738" i="2"/>
  <c r="Z738" i="2"/>
  <c r="Y738" i="2"/>
  <c r="X738" i="2"/>
  <c r="AA737" i="2"/>
  <c r="Z737" i="2"/>
  <c r="Y737" i="2"/>
  <c r="X737" i="2"/>
  <c r="AA736" i="2"/>
  <c r="Z736" i="2"/>
  <c r="Y736" i="2"/>
  <c r="X736" i="2"/>
  <c r="AA735" i="2"/>
  <c r="Z735" i="2"/>
  <c r="Y735" i="2"/>
  <c r="X735" i="2"/>
  <c r="AA734" i="2"/>
  <c r="Z734" i="2"/>
  <c r="Y734" i="2"/>
  <c r="X734" i="2"/>
  <c r="AA733" i="2"/>
  <c r="Z733" i="2"/>
  <c r="Y733" i="2"/>
  <c r="X733" i="2"/>
  <c r="AA732" i="2"/>
  <c r="Z732" i="2"/>
  <c r="Y732" i="2"/>
  <c r="X732" i="2"/>
  <c r="AA731" i="2"/>
  <c r="Z731" i="2"/>
  <c r="Y731" i="2"/>
  <c r="X731" i="2"/>
  <c r="AA730" i="2"/>
  <c r="Z730" i="2"/>
  <c r="Y730" i="2"/>
  <c r="X730" i="2"/>
  <c r="AA729" i="2"/>
  <c r="Z729" i="2"/>
  <c r="Y729" i="2"/>
  <c r="X729" i="2"/>
  <c r="AA728" i="2"/>
  <c r="Z728" i="2"/>
  <c r="Y728" i="2"/>
  <c r="X728" i="2"/>
  <c r="AA727" i="2"/>
  <c r="Z727" i="2"/>
  <c r="Y727" i="2"/>
  <c r="X727" i="2"/>
  <c r="AA726" i="2"/>
  <c r="Z726" i="2"/>
  <c r="Y726" i="2"/>
  <c r="X726" i="2"/>
  <c r="AA725" i="2"/>
  <c r="Z725" i="2"/>
  <c r="Y725" i="2"/>
  <c r="X725" i="2"/>
  <c r="AA724" i="2"/>
  <c r="Z724" i="2"/>
  <c r="Y724" i="2"/>
  <c r="X724" i="2"/>
  <c r="AA723" i="2"/>
  <c r="Z723" i="2"/>
  <c r="Y723" i="2"/>
  <c r="X723" i="2"/>
  <c r="AA722" i="2"/>
  <c r="Z722" i="2"/>
  <c r="Y722" i="2"/>
  <c r="X722" i="2"/>
  <c r="AA721" i="2"/>
  <c r="Z721" i="2"/>
  <c r="Y721" i="2"/>
  <c r="X721" i="2"/>
  <c r="AA720" i="2"/>
  <c r="Z720" i="2"/>
  <c r="Y720" i="2"/>
  <c r="X720" i="2"/>
  <c r="AA719" i="2"/>
  <c r="Z719" i="2"/>
  <c r="Y719" i="2"/>
  <c r="X719" i="2"/>
  <c r="AA718" i="2"/>
  <c r="Z718" i="2"/>
  <c r="Y718" i="2"/>
  <c r="X718" i="2"/>
  <c r="AA717" i="2"/>
  <c r="Z717" i="2"/>
  <c r="Y717" i="2"/>
  <c r="X717" i="2"/>
  <c r="AA716" i="2"/>
  <c r="Z716" i="2"/>
  <c r="Y716" i="2"/>
  <c r="X716" i="2"/>
  <c r="AA715" i="2"/>
  <c r="Z715" i="2"/>
  <c r="Y715" i="2"/>
  <c r="X715" i="2"/>
  <c r="AA714" i="2"/>
  <c r="Z714" i="2"/>
  <c r="Y714" i="2"/>
  <c r="X714" i="2"/>
  <c r="AA713" i="2"/>
  <c r="Z713" i="2"/>
  <c r="Y713" i="2"/>
  <c r="X713" i="2"/>
  <c r="AA712" i="2"/>
  <c r="Z712" i="2"/>
  <c r="Y712" i="2"/>
  <c r="X712" i="2"/>
  <c r="AA711" i="2"/>
  <c r="Z711" i="2"/>
  <c r="Y711" i="2"/>
  <c r="X711" i="2"/>
  <c r="AA710" i="2"/>
  <c r="Z710" i="2"/>
  <c r="Y710" i="2"/>
  <c r="X710" i="2"/>
  <c r="AA709" i="2"/>
  <c r="Z709" i="2"/>
  <c r="Y709" i="2"/>
  <c r="X709" i="2"/>
  <c r="AA708" i="2"/>
  <c r="Z708" i="2"/>
  <c r="Y708" i="2"/>
  <c r="X708" i="2"/>
  <c r="AA707" i="2"/>
  <c r="Z707" i="2"/>
  <c r="Y707" i="2"/>
  <c r="X707" i="2"/>
  <c r="AA706" i="2"/>
  <c r="Z706" i="2"/>
  <c r="Y706" i="2"/>
  <c r="X706" i="2"/>
  <c r="AA705" i="2"/>
  <c r="Z705" i="2"/>
  <c r="Y705" i="2"/>
  <c r="X705" i="2"/>
  <c r="AA704" i="2"/>
  <c r="Z704" i="2"/>
  <c r="Y704" i="2"/>
  <c r="X704" i="2"/>
  <c r="AA703" i="2"/>
  <c r="Z703" i="2"/>
  <c r="Y703" i="2"/>
  <c r="X703" i="2"/>
  <c r="AA702" i="2"/>
  <c r="Z702" i="2"/>
  <c r="Y702" i="2"/>
  <c r="X702" i="2"/>
  <c r="AA701" i="2"/>
  <c r="Z701" i="2"/>
  <c r="Y701" i="2"/>
  <c r="X701" i="2"/>
  <c r="AA700" i="2"/>
  <c r="Z700" i="2"/>
  <c r="Y700" i="2"/>
  <c r="X700" i="2"/>
  <c r="AA699" i="2"/>
  <c r="Z699" i="2"/>
  <c r="Y699" i="2"/>
  <c r="X699" i="2"/>
  <c r="AA698" i="2"/>
  <c r="Z698" i="2"/>
  <c r="Y698" i="2"/>
  <c r="X698" i="2"/>
  <c r="AA697" i="2"/>
  <c r="Z697" i="2"/>
  <c r="Y697" i="2"/>
  <c r="X697" i="2"/>
  <c r="AA696" i="2"/>
  <c r="Z696" i="2"/>
  <c r="Y696" i="2"/>
  <c r="X696" i="2"/>
  <c r="AA695" i="2"/>
  <c r="Z695" i="2"/>
  <c r="Y695" i="2"/>
  <c r="X695" i="2"/>
  <c r="AA694" i="2"/>
  <c r="Z694" i="2"/>
  <c r="Y694" i="2"/>
  <c r="X694" i="2"/>
  <c r="AA693" i="2"/>
  <c r="Z693" i="2"/>
  <c r="Y693" i="2"/>
  <c r="X693" i="2"/>
  <c r="AA692" i="2"/>
  <c r="Z692" i="2"/>
  <c r="Y692" i="2"/>
  <c r="X692" i="2"/>
  <c r="AA691" i="2"/>
  <c r="Z691" i="2"/>
  <c r="Y691" i="2"/>
  <c r="X691" i="2"/>
  <c r="AA690" i="2"/>
  <c r="Z690" i="2"/>
  <c r="Y690" i="2"/>
  <c r="X690" i="2"/>
  <c r="AA689" i="2"/>
  <c r="Z689" i="2"/>
  <c r="Y689" i="2"/>
  <c r="X689" i="2"/>
  <c r="AA688" i="2"/>
  <c r="Z688" i="2"/>
  <c r="Y688" i="2"/>
  <c r="X688" i="2"/>
  <c r="AA687" i="2"/>
  <c r="Z687" i="2"/>
  <c r="Y687" i="2"/>
  <c r="X687" i="2"/>
  <c r="AA686" i="2"/>
  <c r="Z686" i="2"/>
  <c r="Y686" i="2"/>
  <c r="X686" i="2"/>
  <c r="AA685" i="2"/>
  <c r="Z685" i="2"/>
  <c r="Y685" i="2"/>
  <c r="X685" i="2"/>
  <c r="AA684" i="2"/>
  <c r="Z684" i="2"/>
  <c r="Y684" i="2"/>
  <c r="X684" i="2"/>
  <c r="AA683" i="2"/>
  <c r="Z683" i="2"/>
  <c r="Y683" i="2"/>
  <c r="X683" i="2"/>
  <c r="AA682" i="2"/>
  <c r="Z682" i="2"/>
  <c r="Y682" i="2"/>
  <c r="X682" i="2"/>
  <c r="AA681" i="2"/>
  <c r="Z681" i="2"/>
  <c r="Y681" i="2"/>
  <c r="X681" i="2"/>
  <c r="AA680" i="2"/>
  <c r="Z680" i="2"/>
  <c r="Y680" i="2"/>
  <c r="X680" i="2"/>
  <c r="AA679" i="2"/>
  <c r="Z679" i="2"/>
  <c r="Y679" i="2"/>
  <c r="X679" i="2"/>
  <c r="AA678" i="2"/>
  <c r="Z678" i="2"/>
  <c r="Y678" i="2"/>
  <c r="X678" i="2"/>
  <c r="AA677" i="2"/>
  <c r="Z677" i="2"/>
  <c r="Y677" i="2"/>
  <c r="X677" i="2"/>
  <c r="AA676" i="2"/>
  <c r="Z676" i="2"/>
  <c r="Y676" i="2"/>
  <c r="X676" i="2"/>
  <c r="AA675" i="2"/>
  <c r="Z675" i="2"/>
  <c r="Y675" i="2"/>
  <c r="X675" i="2"/>
  <c r="AA674" i="2"/>
  <c r="Z674" i="2"/>
  <c r="Y674" i="2"/>
  <c r="X674" i="2"/>
  <c r="AA673" i="2"/>
  <c r="Z673" i="2"/>
  <c r="Y673" i="2"/>
  <c r="X673" i="2"/>
  <c r="AA672" i="2"/>
  <c r="Z672" i="2"/>
  <c r="Y672" i="2"/>
  <c r="X672" i="2"/>
  <c r="AA671" i="2"/>
  <c r="Z671" i="2"/>
  <c r="Y671" i="2"/>
  <c r="X671" i="2"/>
  <c r="AA670" i="2"/>
  <c r="Z670" i="2"/>
  <c r="Y670" i="2"/>
  <c r="X670" i="2"/>
  <c r="AA669" i="2"/>
  <c r="Z669" i="2"/>
  <c r="Y669" i="2"/>
  <c r="X669" i="2"/>
  <c r="AA668" i="2"/>
  <c r="Z668" i="2"/>
  <c r="Y668" i="2"/>
  <c r="X668" i="2"/>
  <c r="AA667" i="2"/>
  <c r="Z667" i="2"/>
  <c r="Y667" i="2"/>
  <c r="X667" i="2"/>
  <c r="AA666" i="2"/>
  <c r="Z666" i="2"/>
  <c r="Y666" i="2"/>
  <c r="X666" i="2"/>
  <c r="AA665" i="2"/>
  <c r="Z665" i="2"/>
  <c r="Y665" i="2"/>
  <c r="X665" i="2"/>
  <c r="AA664" i="2"/>
  <c r="Z664" i="2"/>
  <c r="Y664" i="2"/>
  <c r="X664" i="2"/>
  <c r="AA663" i="2"/>
  <c r="Z663" i="2"/>
  <c r="Y663" i="2"/>
  <c r="X663" i="2"/>
  <c r="AA662" i="2"/>
  <c r="Z662" i="2"/>
  <c r="Y662" i="2"/>
  <c r="X662" i="2"/>
  <c r="AA661" i="2"/>
  <c r="Z661" i="2"/>
  <c r="Y661" i="2"/>
  <c r="X661" i="2"/>
  <c r="AA660" i="2"/>
  <c r="Z660" i="2"/>
  <c r="Y660" i="2"/>
  <c r="X660" i="2"/>
  <c r="AA659" i="2"/>
  <c r="Z659" i="2"/>
  <c r="Y659" i="2"/>
  <c r="X659" i="2"/>
  <c r="AA658" i="2"/>
  <c r="Z658" i="2"/>
  <c r="Y658" i="2"/>
  <c r="X658" i="2"/>
  <c r="AA657" i="2"/>
  <c r="Z657" i="2"/>
  <c r="Y657" i="2"/>
  <c r="X657" i="2"/>
  <c r="AA656" i="2"/>
  <c r="Z656" i="2"/>
  <c r="Y656" i="2"/>
  <c r="X656" i="2"/>
  <c r="AA655" i="2"/>
  <c r="Z655" i="2"/>
  <c r="Y655" i="2"/>
  <c r="X655" i="2"/>
  <c r="AA654" i="2"/>
  <c r="Z654" i="2"/>
  <c r="Y654" i="2"/>
  <c r="X654" i="2"/>
  <c r="AA653" i="2"/>
  <c r="Z653" i="2"/>
  <c r="Y653" i="2"/>
  <c r="X653" i="2"/>
  <c r="AA652" i="2"/>
  <c r="Z652" i="2"/>
  <c r="Y652" i="2"/>
  <c r="X652" i="2"/>
  <c r="AA651" i="2"/>
  <c r="Z651" i="2"/>
  <c r="Y651" i="2"/>
  <c r="X651" i="2"/>
  <c r="AA650" i="2"/>
  <c r="Z650" i="2"/>
  <c r="Y650" i="2"/>
  <c r="X650" i="2"/>
  <c r="AA649" i="2"/>
  <c r="Z649" i="2"/>
  <c r="Y649" i="2"/>
  <c r="X649" i="2"/>
  <c r="AA648" i="2"/>
  <c r="Z648" i="2"/>
  <c r="Y648" i="2"/>
  <c r="X648" i="2"/>
  <c r="AA647" i="2"/>
  <c r="Z647" i="2"/>
  <c r="Y647" i="2"/>
  <c r="X647" i="2"/>
  <c r="AA646" i="2"/>
  <c r="Z646" i="2"/>
  <c r="Y646" i="2"/>
  <c r="X646" i="2"/>
  <c r="AA645" i="2"/>
  <c r="Z645" i="2"/>
  <c r="Y645" i="2"/>
  <c r="X645" i="2"/>
  <c r="AA644" i="2"/>
  <c r="Z644" i="2"/>
  <c r="Y644" i="2"/>
  <c r="X644" i="2"/>
  <c r="AA643" i="2"/>
  <c r="Z643" i="2"/>
  <c r="Y643" i="2"/>
  <c r="X643" i="2"/>
  <c r="AA642" i="2"/>
  <c r="Z642" i="2"/>
  <c r="Y642" i="2"/>
  <c r="X642" i="2"/>
  <c r="AA641" i="2"/>
  <c r="Z641" i="2"/>
  <c r="Y641" i="2"/>
  <c r="X641" i="2"/>
  <c r="AA640" i="2"/>
  <c r="Z640" i="2"/>
  <c r="Y640" i="2"/>
  <c r="X640" i="2"/>
  <c r="AA639" i="2"/>
  <c r="Z639" i="2"/>
  <c r="Y639" i="2"/>
  <c r="X639" i="2"/>
  <c r="AA638" i="2"/>
  <c r="Z638" i="2"/>
  <c r="Y638" i="2"/>
  <c r="X638" i="2"/>
  <c r="AA637" i="2"/>
  <c r="Z637" i="2"/>
  <c r="Y637" i="2"/>
  <c r="X637" i="2"/>
  <c r="AA636" i="2"/>
  <c r="Z636" i="2"/>
  <c r="Y636" i="2"/>
  <c r="X636" i="2"/>
  <c r="AA635" i="2"/>
  <c r="Z635" i="2"/>
  <c r="Y635" i="2"/>
  <c r="X635" i="2"/>
  <c r="AA634" i="2"/>
  <c r="Z634" i="2"/>
  <c r="Y634" i="2"/>
  <c r="X634" i="2"/>
  <c r="AA633" i="2"/>
  <c r="Z633" i="2"/>
  <c r="Y633" i="2"/>
  <c r="X633" i="2"/>
  <c r="AA632" i="2"/>
  <c r="Z632" i="2"/>
  <c r="Y632" i="2"/>
  <c r="X632" i="2"/>
  <c r="AA631" i="2"/>
  <c r="Z631" i="2"/>
  <c r="Y631" i="2"/>
  <c r="X631" i="2"/>
  <c r="AA630" i="2"/>
  <c r="Z630" i="2"/>
  <c r="Y630" i="2"/>
  <c r="X630" i="2"/>
  <c r="AA629" i="2"/>
  <c r="Z629" i="2"/>
  <c r="Y629" i="2"/>
  <c r="X629" i="2"/>
  <c r="AA628" i="2"/>
  <c r="Z628" i="2"/>
  <c r="Y628" i="2"/>
  <c r="X628" i="2"/>
  <c r="AA627" i="2"/>
  <c r="Z627" i="2"/>
  <c r="Y627" i="2"/>
  <c r="X627" i="2"/>
  <c r="AA626" i="2"/>
  <c r="Z626" i="2"/>
  <c r="Y626" i="2"/>
  <c r="X626" i="2"/>
  <c r="AA625" i="2"/>
  <c r="Z625" i="2"/>
  <c r="Y625" i="2"/>
  <c r="X625" i="2"/>
  <c r="AA624" i="2"/>
  <c r="Z624" i="2"/>
  <c r="Y624" i="2"/>
  <c r="X624" i="2"/>
  <c r="AA623" i="2"/>
  <c r="Z623" i="2"/>
  <c r="Y623" i="2"/>
  <c r="X623" i="2"/>
  <c r="AA622" i="2"/>
  <c r="Z622" i="2"/>
  <c r="Y622" i="2"/>
  <c r="X622" i="2"/>
  <c r="AA621" i="2"/>
  <c r="Z621" i="2"/>
  <c r="Y621" i="2"/>
  <c r="X621" i="2"/>
  <c r="AA620" i="2"/>
  <c r="Z620" i="2"/>
  <c r="Y620" i="2"/>
  <c r="X620" i="2"/>
  <c r="AA619" i="2"/>
  <c r="Z619" i="2"/>
  <c r="Y619" i="2"/>
  <c r="X619" i="2"/>
  <c r="AA618" i="2"/>
  <c r="Z618" i="2"/>
  <c r="Y618" i="2"/>
  <c r="X618" i="2"/>
  <c r="AA617" i="2"/>
  <c r="Z617" i="2"/>
  <c r="Y617" i="2"/>
  <c r="X617" i="2"/>
  <c r="AA616" i="2"/>
  <c r="Z616" i="2"/>
  <c r="Y616" i="2"/>
  <c r="X616" i="2"/>
  <c r="AA615" i="2"/>
  <c r="Z615" i="2"/>
  <c r="Y615" i="2"/>
  <c r="X615" i="2"/>
  <c r="AA614" i="2"/>
  <c r="Z614" i="2"/>
  <c r="Y614" i="2"/>
  <c r="X614" i="2"/>
  <c r="AA613" i="2"/>
  <c r="Z613" i="2"/>
  <c r="Y613" i="2"/>
  <c r="X613" i="2"/>
  <c r="AA612" i="2"/>
  <c r="Z612" i="2"/>
  <c r="Y612" i="2"/>
  <c r="X612" i="2"/>
  <c r="AA611" i="2"/>
  <c r="Z611" i="2"/>
  <c r="Y611" i="2"/>
  <c r="X611" i="2"/>
  <c r="AA610" i="2"/>
  <c r="Z610" i="2"/>
  <c r="Y610" i="2"/>
  <c r="X610" i="2"/>
  <c r="AA609" i="2"/>
  <c r="Z609" i="2"/>
  <c r="Y609" i="2"/>
  <c r="X609" i="2"/>
  <c r="AA608" i="2"/>
  <c r="Z608" i="2"/>
  <c r="Y608" i="2"/>
  <c r="X608" i="2"/>
  <c r="AA607" i="2"/>
  <c r="Z607" i="2"/>
  <c r="Y607" i="2"/>
  <c r="X607" i="2"/>
  <c r="AA606" i="2"/>
  <c r="Z606" i="2"/>
  <c r="Y606" i="2"/>
  <c r="X606" i="2"/>
  <c r="AA605" i="2"/>
  <c r="Z605" i="2"/>
  <c r="Y605" i="2"/>
  <c r="X605" i="2"/>
  <c r="AA604" i="2"/>
  <c r="Z604" i="2"/>
  <c r="Y604" i="2"/>
  <c r="X604" i="2"/>
  <c r="AA603" i="2"/>
  <c r="Z603" i="2"/>
  <c r="Y603" i="2"/>
  <c r="X603" i="2"/>
  <c r="AA602" i="2"/>
  <c r="Z602" i="2"/>
  <c r="Y602" i="2"/>
  <c r="X602" i="2"/>
  <c r="AA601" i="2"/>
  <c r="Z601" i="2"/>
  <c r="Y601" i="2"/>
  <c r="X601" i="2"/>
  <c r="AA600" i="2"/>
  <c r="Z600" i="2"/>
  <c r="Y600" i="2"/>
  <c r="X600" i="2"/>
  <c r="AA599" i="2"/>
  <c r="Z599" i="2"/>
  <c r="Y599" i="2"/>
  <c r="X599" i="2"/>
  <c r="AA598" i="2"/>
  <c r="Z598" i="2"/>
  <c r="Y598" i="2"/>
  <c r="X598" i="2"/>
  <c r="S8" i="4" l="1"/>
  <c r="R8" i="4"/>
  <c r="Q8" i="4"/>
  <c r="P8" i="4"/>
  <c r="O8" i="4"/>
  <c r="N8" i="4"/>
  <c r="M8" i="4"/>
  <c r="L8" i="4"/>
  <c r="K8" i="4"/>
  <c r="J8" i="4"/>
  <c r="I8" i="4"/>
  <c r="H8" i="4"/>
  <c r="S7" i="4"/>
  <c r="R7" i="4"/>
  <c r="Q7" i="4"/>
  <c r="P7" i="4"/>
  <c r="O7" i="4"/>
  <c r="N7" i="4"/>
  <c r="M7" i="4"/>
  <c r="L7" i="4"/>
  <c r="K7" i="4"/>
  <c r="J7" i="4"/>
  <c r="I7" i="4"/>
  <c r="H7" i="4"/>
  <c r="AA551" i="2"/>
  <c r="F551" i="2" s="1"/>
  <c r="Z551" i="2"/>
  <c r="Y551" i="2"/>
  <c r="X551" i="2"/>
  <c r="D596" i="1"/>
  <c r="D595" i="1"/>
  <c r="D594" i="1"/>
  <c r="D593" i="1"/>
  <c r="D591" i="1"/>
  <c r="D590" i="1"/>
  <c r="D589" i="1"/>
  <c r="D587" i="1"/>
  <c r="D586" i="1"/>
  <c r="D585" i="1"/>
  <c r="D582" i="1"/>
  <c r="D581" i="1"/>
  <c r="D580" i="1"/>
  <c r="D578" i="1"/>
  <c r="D577" i="1"/>
  <c r="D596" i="2"/>
  <c r="D595" i="2"/>
  <c r="D594" i="2"/>
  <c r="D593" i="2"/>
  <c r="D591" i="2"/>
  <c r="D590" i="2"/>
  <c r="D589" i="2"/>
  <c r="D587" i="2"/>
  <c r="D586" i="2"/>
  <c r="D585" i="2"/>
  <c r="D582" i="2"/>
  <c r="D581" i="2"/>
  <c r="D580" i="2"/>
  <c r="D577" i="2"/>
  <c r="C9" i="4"/>
  <c r="AA597" i="2"/>
  <c r="Z597" i="2"/>
  <c r="Y597" i="2"/>
  <c r="X597" i="2"/>
  <c r="AA596" i="2"/>
  <c r="Z596" i="2"/>
  <c r="Y596" i="2"/>
  <c r="X596" i="2"/>
  <c r="AA595" i="2"/>
  <c r="Z595" i="2"/>
  <c r="Y595" i="2"/>
  <c r="X595" i="2"/>
  <c r="AA594" i="2"/>
  <c r="Z594" i="2"/>
  <c r="Y594" i="2"/>
  <c r="X594" i="2"/>
  <c r="AA593" i="2"/>
  <c r="Z593" i="2"/>
  <c r="Y593" i="2"/>
  <c r="X593" i="2"/>
  <c r="AA592" i="2"/>
  <c r="Z592" i="2"/>
  <c r="Y592" i="2"/>
  <c r="X592" i="2"/>
  <c r="AA591" i="2"/>
  <c r="Z591" i="2"/>
  <c r="Y591" i="2"/>
  <c r="X591" i="2"/>
  <c r="AA590" i="2"/>
  <c r="Z590" i="2"/>
  <c r="Y590" i="2"/>
  <c r="X590" i="2"/>
  <c r="AA589" i="2"/>
  <c r="Z589" i="2"/>
  <c r="Y589" i="2"/>
  <c r="X589" i="2"/>
  <c r="AA588" i="2"/>
  <c r="Z588" i="2"/>
  <c r="Y588" i="2"/>
  <c r="X588" i="2"/>
  <c r="AA587" i="2"/>
  <c r="Z587" i="2"/>
  <c r="Y587" i="2"/>
  <c r="X587" i="2"/>
  <c r="AA586" i="2"/>
  <c r="Z586" i="2"/>
  <c r="Y586" i="2"/>
  <c r="X586" i="2"/>
  <c r="AA585" i="2"/>
  <c r="Z585" i="2"/>
  <c r="Y585" i="2"/>
  <c r="X585" i="2"/>
  <c r="AA584" i="2"/>
  <c r="Z584" i="2"/>
  <c r="Y584" i="2"/>
  <c r="X584" i="2"/>
  <c r="AA583" i="2"/>
  <c r="Z583" i="2"/>
  <c r="Y583" i="2"/>
  <c r="X583" i="2"/>
  <c r="AA582" i="2"/>
  <c r="Z582" i="2"/>
  <c r="Y582" i="2"/>
  <c r="X582" i="2"/>
  <c r="AA581" i="2"/>
  <c r="Z581" i="2"/>
  <c r="Y581" i="2"/>
  <c r="X581" i="2"/>
  <c r="AA580" i="2"/>
  <c r="Z580" i="2"/>
  <c r="Y580" i="2"/>
  <c r="X580" i="2"/>
  <c r="AA579" i="2"/>
  <c r="Z579" i="2"/>
  <c r="Y579" i="2"/>
  <c r="X579" i="2"/>
  <c r="AA578" i="2"/>
  <c r="Z578" i="2"/>
  <c r="Y578" i="2"/>
  <c r="X578" i="2"/>
  <c r="AA577" i="2"/>
  <c r="Z577" i="2"/>
  <c r="Y577" i="2"/>
  <c r="X577" i="2"/>
  <c r="AA576" i="2"/>
  <c r="Z576" i="2"/>
  <c r="Y576" i="2"/>
  <c r="X576" i="2"/>
  <c r="AA575" i="2"/>
  <c r="Z575" i="2"/>
  <c r="Y575" i="2"/>
  <c r="X575" i="2"/>
  <c r="AA574" i="2"/>
  <c r="Z574" i="2"/>
  <c r="Y574" i="2"/>
  <c r="X574" i="2"/>
  <c r="AA573" i="2"/>
  <c r="Z573" i="2"/>
  <c r="Y573" i="2"/>
  <c r="X573" i="2"/>
  <c r="AA572" i="2"/>
  <c r="Z572" i="2"/>
  <c r="Y572" i="2"/>
  <c r="X572" i="2"/>
  <c r="AA571" i="2"/>
  <c r="Z571" i="2"/>
  <c r="Y571" i="2"/>
  <c r="X571" i="2"/>
  <c r="AA570" i="2"/>
  <c r="Z570" i="2"/>
  <c r="Y570" i="2"/>
  <c r="X570" i="2"/>
  <c r="AA569" i="2"/>
  <c r="Z569" i="2"/>
  <c r="Y569" i="2"/>
  <c r="X569" i="2"/>
  <c r="AA568" i="2"/>
  <c r="Z568" i="2"/>
  <c r="Y568" i="2"/>
  <c r="X568" i="2"/>
  <c r="AA567" i="2"/>
  <c r="Z567" i="2"/>
  <c r="Y567" i="2"/>
  <c r="X567" i="2"/>
  <c r="AA566" i="2"/>
  <c r="Z566" i="2"/>
  <c r="Y566" i="2"/>
  <c r="X566" i="2"/>
  <c r="AA565" i="2"/>
  <c r="Z565" i="2"/>
  <c r="Y565" i="2"/>
  <c r="X565" i="2"/>
  <c r="AA564" i="2"/>
  <c r="Z564" i="2"/>
  <c r="Y564" i="2"/>
  <c r="X564" i="2"/>
  <c r="AA563" i="2"/>
  <c r="Z563" i="2"/>
  <c r="Y563" i="2"/>
  <c r="X563" i="2"/>
  <c r="AA562" i="2"/>
  <c r="Z562" i="2"/>
  <c r="Y562" i="2"/>
  <c r="X562" i="2"/>
  <c r="AA561" i="2"/>
  <c r="Z561" i="2"/>
  <c r="Y561" i="2"/>
  <c r="X561" i="2"/>
  <c r="AA560" i="2"/>
  <c r="Z560" i="2"/>
  <c r="Y560" i="2"/>
  <c r="X560" i="2"/>
  <c r="AA559" i="2"/>
  <c r="Z559" i="2"/>
  <c r="Y559" i="2"/>
  <c r="X559" i="2"/>
  <c r="AA558" i="2"/>
  <c r="Z558" i="2"/>
  <c r="Y558" i="2"/>
  <c r="X558" i="2"/>
  <c r="AA557" i="2"/>
  <c r="Z557" i="2"/>
  <c r="Y557" i="2"/>
  <c r="X557" i="2"/>
  <c r="AA556" i="2"/>
  <c r="Z556" i="2"/>
  <c r="Y556" i="2"/>
  <c r="X556" i="2"/>
  <c r="AA555" i="2"/>
  <c r="Z555" i="2"/>
  <c r="Y555" i="2"/>
  <c r="X555" i="2"/>
  <c r="AA554" i="2"/>
  <c r="Z554" i="2"/>
  <c r="Y554" i="2"/>
  <c r="X554" i="2"/>
  <c r="AA553" i="2"/>
  <c r="Z553" i="2"/>
  <c r="Y553" i="2"/>
  <c r="X553" i="2"/>
  <c r="AA552" i="2"/>
  <c r="Z552" i="2"/>
  <c r="Y552" i="2"/>
  <c r="X552" i="2"/>
  <c r="AA550" i="2"/>
  <c r="Z550" i="2"/>
  <c r="Y550" i="2"/>
  <c r="X550" i="2"/>
  <c r="AA549" i="2"/>
  <c r="Z549" i="2"/>
  <c r="Y549" i="2"/>
  <c r="X549" i="2"/>
  <c r="AA548" i="2"/>
  <c r="Z548" i="2"/>
  <c r="Y548" i="2"/>
  <c r="X548" i="2"/>
  <c r="AA547" i="2"/>
  <c r="Z547" i="2"/>
  <c r="Y547" i="2"/>
  <c r="X547" i="2"/>
  <c r="AA546" i="2"/>
  <c r="Z546" i="2"/>
  <c r="Y546" i="2"/>
  <c r="X546" i="2"/>
  <c r="AA545" i="2"/>
  <c r="Z545" i="2"/>
  <c r="Y545" i="2"/>
  <c r="X545" i="2"/>
  <c r="AA544" i="2"/>
  <c r="Z544" i="2"/>
  <c r="Y544" i="2"/>
  <c r="X544" i="2"/>
  <c r="AA543" i="2"/>
  <c r="Z543" i="2"/>
  <c r="Y543" i="2"/>
  <c r="X543" i="2"/>
  <c r="AA542" i="2"/>
  <c r="Z542" i="2"/>
  <c r="Y542" i="2"/>
  <c r="X542" i="2"/>
  <c r="AA541" i="2"/>
  <c r="Z541" i="2"/>
  <c r="Y541" i="2"/>
  <c r="X541" i="2"/>
  <c r="AA540" i="2"/>
  <c r="Z540" i="2"/>
  <c r="Y540" i="2"/>
  <c r="X540" i="2"/>
  <c r="AA539" i="2"/>
  <c r="Z539" i="2"/>
  <c r="Y539" i="2"/>
  <c r="X539" i="2"/>
  <c r="AA538" i="2"/>
  <c r="Z538" i="2"/>
  <c r="Y538" i="2"/>
  <c r="X538" i="2"/>
  <c r="AA537" i="2"/>
  <c r="Z537" i="2"/>
  <c r="Y537" i="2"/>
  <c r="X537" i="2"/>
  <c r="AA536" i="2"/>
  <c r="Z536" i="2"/>
  <c r="Y536" i="2"/>
  <c r="X536" i="2"/>
  <c r="AA535" i="2"/>
  <c r="Z535" i="2"/>
  <c r="Y535" i="2"/>
  <c r="X535" i="2"/>
  <c r="AA534" i="2"/>
  <c r="Z534" i="2"/>
  <c r="Y534" i="2"/>
  <c r="X534" i="2"/>
  <c r="AA533" i="2"/>
  <c r="Z533" i="2"/>
  <c r="Y533" i="2"/>
  <c r="X533" i="2"/>
  <c r="AA532" i="2"/>
  <c r="Z532" i="2"/>
  <c r="Y532" i="2"/>
  <c r="X532" i="2"/>
  <c r="AA531" i="2"/>
  <c r="Z531" i="2"/>
  <c r="Y531" i="2"/>
  <c r="X531" i="2"/>
  <c r="AA530" i="2"/>
  <c r="Z530" i="2"/>
  <c r="Y530" i="2"/>
  <c r="X530" i="2"/>
  <c r="AA529" i="2"/>
  <c r="Z529" i="2"/>
  <c r="Y529" i="2"/>
  <c r="X529" i="2"/>
  <c r="AA528" i="2"/>
  <c r="Z528" i="2"/>
  <c r="Y528" i="2"/>
  <c r="X528" i="2"/>
  <c r="AA527" i="2"/>
  <c r="Z527" i="2"/>
  <c r="Y527" i="2"/>
  <c r="X527" i="2"/>
  <c r="AA526" i="2"/>
  <c r="Z526" i="2"/>
  <c r="Y526" i="2"/>
  <c r="X526" i="2"/>
  <c r="AA525" i="2"/>
  <c r="Z525" i="2"/>
  <c r="Y525" i="2"/>
  <c r="X525" i="2"/>
  <c r="AA524" i="2"/>
  <c r="Z524" i="2"/>
  <c r="Y524" i="2"/>
  <c r="X524" i="2"/>
  <c r="X509" i="1"/>
  <c r="Y509" i="1"/>
  <c r="Z509" i="1"/>
  <c r="AA509" i="1"/>
  <c r="X510" i="1"/>
  <c r="Y510" i="1"/>
  <c r="Z510" i="1"/>
  <c r="AA510" i="1"/>
  <c r="X511" i="1"/>
  <c r="Y511" i="1"/>
  <c r="Z511" i="1"/>
  <c r="AA511" i="1"/>
  <c r="X512" i="1"/>
  <c r="Y512" i="1"/>
  <c r="Z512" i="1"/>
  <c r="AA512" i="1"/>
  <c r="X513" i="1"/>
  <c r="Y513" i="1"/>
  <c r="Z513" i="1"/>
  <c r="AA513" i="1"/>
  <c r="X514" i="1"/>
  <c r="Y514" i="1"/>
  <c r="Z514" i="1"/>
  <c r="AA514" i="1"/>
  <c r="X515" i="1"/>
  <c r="Y515" i="1"/>
  <c r="Z515" i="1"/>
  <c r="AA515" i="1"/>
  <c r="X516" i="1"/>
  <c r="Y516" i="1"/>
  <c r="Z516" i="1"/>
  <c r="AA516" i="1"/>
  <c r="X517" i="1"/>
  <c r="Y517" i="1"/>
  <c r="Z517" i="1"/>
  <c r="AA517" i="1"/>
  <c r="X518" i="1"/>
  <c r="Y518" i="1"/>
  <c r="Z518" i="1"/>
  <c r="AA518" i="1"/>
  <c r="X519" i="1"/>
  <c r="Y519" i="1"/>
  <c r="Z519" i="1"/>
  <c r="AA519" i="1"/>
  <c r="X520" i="1"/>
  <c r="Y520" i="1"/>
  <c r="Z520" i="1"/>
  <c r="AA520" i="1"/>
  <c r="X521" i="1"/>
  <c r="Y521" i="1"/>
  <c r="Z521" i="1"/>
  <c r="AA521" i="1"/>
  <c r="X522" i="1"/>
  <c r="Y522" i="1"/>
  <c r="Z522" i="1"/>
  <c r="AA522" i="1"/>
  <c r="X523" i="1"/>
  <c r="Y523" i="1"/>
  <c r="Z523" i="1"/>
  <c r="AA523" i="1"/>
  <c r="X524" i="1"/>
  <c r="Y524" i="1"/>
  <c r="Z524" i="1"/>
  <c r="AA524" i="1"/>
  <c r="X525" i="1"/>
  <c r="Y525" i="1"/>
  <c r="Z525" i="1"/>
  <c r="AA525" i="1"/>
  <c r="X526" i="1"/>
  <c r="Y526" i="1"/>
  <c r="Z526" i="1"/>
  <c r="AA526" i="1"/>
  <c r="X527" i="1"/>
  <c r="Y527" i="1"/>
  <c r="Z527" i="1"/>
  <c r="AA527" i="1"/>
  <c r="X528" i="1"/>
  <c r="Y528" i="1"/>
  <c r="Z528" i="1"/>
  <c r="AA528" i="1"/>
  <c r="X529" i="1"/>
  <c r="Y529" i="1"/>
  <c r="Z529" i="1"/>
  <c r="AA529" i="1"/>
  <c r="X530" i="1"/>
  <c r="Y530" i="1"/>
  <c r="Z530" i="1"/>
  <c r="AA530" i="1"/>
  <c r="X531" i="1"/>
  <c r="Y531" i="1"/>
  <c r="Z531" i="1"/>
  <c r="AA531" i="1"/>
  <c r="X532" i="1"/>
  <c r="Y532" i="1"/>
  <c r="Z532" i="1"/>
  <c r="AA532" i="1"/>
  <c r="X533" i="1"/>
  <c r="Y533" i="1"/>
  <c r="Z533" i="1"/>
  <c r="AA533" i="1"/>
  <c r="X534" i="1"/>
  <c r="Y534" i="1"/>
  <c r="Z534" i="1"/>
  <c r="AA534" i="1"/>
  <c r="X535" i="1"/>
  <c r="Y535" i="1"/>
  <c r="Z535" i="1"/>
  <c r="AA535" i="1"/>
  <c r="X536" i="1"/>
  <c r="Y536" i="1"/>
  <c r="Z536" i="1"/>
  <c r="AA536" i="1"/>
  <c r="X537" i="1"/>
  <c r="Y537" i="1"/>
  <c r="Z537" i="1"/>
  <c r="AA537" i="1"/>
  <c r="X538" i="1"/>
  <c r="Y538" i="1"/>
  <c r="Z538" i="1"/>
  <c r="AA538" i="1"/>
  <c r="X539" i="1"/>
  <c r="Y539" i="1"/>
  <c r="Z539" i="1"/>
  <c r="AA539" i="1"/>
  <c r="X540" i="1"/>
  <c r="Y540" i="1"/>
  <c r="Z540" i="1"/>
  <c r="AA540" i="1"/>
  <c r="X541" i="1"/>
  <c r="Y541" i="1"/>
  <c r="Z541" i="1"/>
  <c r="AA541" i="1"/>
  <c r="X542" i="1"/>
  <c r="Y542" i="1"/>
  <c r="Z542" i="1"/>
  <c r="AA542" i="1"/>
  <c r="X543" i="1"/>
  <c r="Y543" i="1"/>
  <c r="Z543" i="1"/>
  <c r="AA543" i="1"/>
  <c r="X544" i="1"/>
  <c r="Y544" i="1"/>
  <c r="Z544" i="1"/>
  <c r="AA544" i="1"/>
  <c r="X545" i="1"/>
  <c r="Y545" i="1"/>
  <c r="Z545" i="1"/>
  <c r="AA545" i="1"/>
  <c r="X546" i="1"/>
  <c r="Y546" i="1"/>
  <c r="Z546" i="1"/>
  <c r="AA546" i="1"/>
  <c r="X547" i="1"/>
  <c r="Y547" i="1"/>
  <c r="Z547" i="1"/>
  <c r="AA547" i="1"/>
  <c r="X548" i="1"/>
  <c r="Y548" i="1"/>
  <c r="Z548" i="1"/>
  <c r="AA548" i="1"/>
  <c r="X549" i="1"/>
  <c r="Y549" i="1"/>
  <c r="Z549" i="1"/>
  <c r="AA549" i="1"/>
  <c r="X550" i="1"/>
  <c r="Y550" i="1"/>
  <c r="Z550" i="1"/>
  <c r="AA550" i="1"/>
  <c r="X552" i="1"/>
  <c r="Y552" i="1"/>
  <c r="Z552" i="1"/>
  <c r="AA552" i="1"/>
  <c r="X553" i="1"/>
  <c r="Y553" i="1"/>
  <c r="Z553" i="1"/>
  <c r="AA553" i="1"/>
  <c r="X554" i="1"/>
  <c r="Y554" i="1"/>
  <c r="Z554" i="1"/>
  <c r="AA554" i="1"/>
  <c r="X555" i="1"/>
  <c r="Y555" i="1"/>
  <c r="Z555" i="1"/>
  <c r="AA555" i="1"/>
  <c r="X556" i="1"/>
  <c r="Y556" i="1"/>
  <c r="Z556" i="1"/>
  <c r="AA556" i="1"/>
  <c r="X557" i="1"/>
  <c r="Y557" i="1"/>
  <c r="Z557" i="1"/>
  <c r="AA557" i="1"/>
  <c r="X558" i="1"/>
  <c r="Y558" i="1"/>
  <c r="Z558" i="1"/>
  <c r="AA558" i="1"/>
  <c r="X559" i="1"/>
  <c r="Y559" i="1"/>
  <c r="Z559" i="1"/>
  <c r="AA559" i="1"/>
  <c r="X560" i="1"/>
  <c r="Y560" i="1"/>
  <c r="Z560" i="1"/>
  <c r="AA560" i="1"/>
  <c r="X561" i="1"/>
  <c r="Y561" i="1"/>
  <c r="Z561" i="1"/>
  <c r="AA561" i="1"/>
  <c r="X562" i="1"/>
  <c r="Y562" i="1"/>
  <c r="Z562" i="1"/>
  <c r="AA562" i="1"/>
  <c r="X563" i="1"/>
  <c r="Y563" i="1"/>
  <c r="Z563" i="1"/>
  <c r="AA563" i="1"/>
  <c r="X564" i="1"/>
  <c r="Y564" i="1"/>
  <c r="Z564" i="1"/>
  <c r="AA564" i="1"/>
  <c r="X565" i="1"/>
  <c r="Y565" i="1"/>
  <c r="Z565" i="1"/>
  <c r="AA565" i="1"/>
  <c r="X566" i="1"/>
  <c r="Y566" i="1"/>
  <c r="Z566" i="1"/>
  <c r="AA566" i="1"/>
  <c r="X567" i="1"/>
  <c r="Y567" i="1"/>
  <c r="Z567" i="1"/>
  <c r="AA567" i="1"/>
  <c r="X568" i="1"/>
  <c r="Y568" i="1"/>
  <c r="Z568" i="1"/>
  <c r="AA568" i="1"/>
  <c r="X569" i="1"/>
  <c r="Y569" i="1"/>
  <c r="Z569" i="1"/>
  <c r="AA569" i="1"/>
  <c r="X570" i="1"/>
  <c r="Y570" i="1"/>
  <c r="Z570" i="1"/>
  <c r="AA570" i="1"/>
  <c r="X571" i="1"/>
  <c r="Y571" i="1"/>
  <c r="Z571" i="1"/>
  <c r="AA571" i="1"/>
  <c r="X572" i="1"/>
  <c r="Y572" i="1"/>
  <c r="Z572" i="1"/>
  <c r="AA572" i="1"/>
  <c r="X573" i="1"/>
  <c r="Y573" i="1"/>
  <c r="Z573" i="1"/>
  <c r="AA573" i="1"/>
  <c r="X574" i="1"/>
  <c r="Y574" i="1"/>
  <c r="Z574" i="1"/>
  <c r="AA574" i="1"/>
  <c r="X575" i="1"/>
  <c r="Y575" i="1"/>
  <c r="Z575" i="1"/>
  <c r="AA575" i="1"/>
  <c r="X576" i="1"/>
  <c r="Y576" i="1"/>
  <c r="Z576" i="1"/>
  <c r="AA576" i="1"/>
  <c r="X577" i="1"/>
  <c r="Y577" i="1"/>
  <c r="Z577" i="1"/>
  <c r="AA577" i="1"/>
  <c r="X578" i="1"/>
  <c r="Y578" i="1"/>
  <c r="Z578" i="1"/>
  <c r="AA578" i="1"/>
  <c r="X579" i="1"/>
  <c r="Y579" i="1"/>
  <c r="Z579" i="1"/>
  <c r="AA579" i="1"/>
  <c r="X580" i="1"/>
  <c r="Y580" i="1"/>
  <c r="Z580" i="1"/>
  <c r="AA580" i="1"/>
  <c r="X581" i="1"/>
  <c r="Y581" i="1"/>
  <c r="Z581" i="1"/>
  <c r="AA581" i="1"/>
  <c r="X582" i="1"/>
  <c r="Y582" i="1"/>
  <c r="Z582" i="1"/>
  <c r="AA582" i="1"/>
  <c r="X583" i="1"/>
  <c r="Y583" i="1"/>
  <c r="Z583" i="1"/>
  <c r="AA583" i="1"/>
  <c r="X584" i="1"/>
  <c r="Y584" i="1"/>
  <c r="Z584" i="1"/>
  <c r="AA584" i="1"/>
  <c r="X585" i="1"/>
  <c r="Y585" i="1"/>
  <c r="Z585" i="1"/>
  <c r="AA585" i="1"/>
  <c r="X586" i="1"/>
  <c r="Y586" i="1"/>
  <c r="Z586" i="1"/>
  <c r="AA586" i="1"/>
  <c r="X587" i="1"/>
  <c r="Y587" i="1"/>
  <c r="Z587" i="1"/>
  <c r="AA587" i="1"/>
  <c r="X588" i="1"/>
  <c r="Y588" i="1"/>
  <c r="Z588" i="1"/>
  <c r="AA588" i="1"/>
  <c r="X589" i="1"/>
  <c r="Y589" i="1"/>
  <c r="Z589" i="1"/>
  <c r="AA589" i="1"/>
  <c r="X590" i="1"/>
  <c r="Y590" i="1"/>
  <c r="Z590" i="1"/>
  <c r="AA590" i="1"/>
  <c r="X591" i="1"/>
  <c r="Y591" i="1"/>
  <c r="Z591" i="1"/>
  <c r="AA591" i="1"/>
  <c r="X592" i="1"/>
  <c r="Y592" i="1"/>
  <c r="Z592" i="1"/>
  <c r="AA592" i="1"/>
  <c r="X593" i="1"/>
  <c r="Y593" i="1"/>
  <c r="Z593" i="1"/>
  <c r="AA593" i="1"/>
  <c r="X594" i="1"/>
  <c r="Y594" i="1"/>
  <c r="Z594" i="1"/>
  <c r="AA594" i="1"/>
  <c r="X595" i="1"/>
  <c r="Y595" i="1"/>
  <c r="Z595" i="1"/>
  <c r="AA595" i="1"/>
  <c r="X596" i="1"/>
  <c r="Y596" i="1"/>
  <c r="Z596" i="1"/>
  <c r="AA596" i="1"/>
  <c r="X597" i="1"/>
  <c r="Y597" i="1"/>
  <c r="Z597" i="1"/>
  <c r="AA597" i="1"/>
  <c r="X486" i="1"/>
  <c r="Y486" i="1"/>
  <c r="Z486" i="1"/>
  <c r="AA486" i="1"/>
  <c r="X487" i="1"/>
  <c r="Y487" i="1"/>
  <c r="Z487" i="1"/>
  <c r="AA487" i="1"/>
  <c r="X488" i="1"/>
  <c r="Y488" i="1"/>
  <c r="Z488" i="1"/>
  <c r="AA488" i="1"/>
  <c r="X489" i="1"/>
  <c r="Y489" i="1"/>
  <c r="Z489" i="1"/>
  <c r="AA489" i="1"/>
  <c r="X490" i="1"/>
  <c r="Y490" i="1"/>
  <c r="Z490" i="1"/>
  <c r="AA490" i="1"/>
  <c r="X491" i="1"/>
  <c r="Y491" i="1"/>
  <c r="Z491" i="1"/>
  <c r="AA491" i="1"/>
  <c r="X492" i="1"/>
  <c r="Y492" i="1"/>
  <c r="Z492" i="1"/>
  <c r="AA492" i="1"/>
  <c r="X493" i="1"/>
  <c r="Y493" i="1"/>
  <c r="Z493" i="1"/>
  <c r="AA493" i="1"/>
  <c r="X494" i="1"/>
  <c r="Y494" i="1"/>
  <c r="Z494" i="1"/>
  <c r="AA494" i="1"/>
  <c r="X495" i="1"/>
  <c r="Y495" i="1"/>
  <c r="Z495" i="1"/>
  <c r="AA495" i="1"/>
  <c r="X496" i="1"/>
  <c r="Y496" i="1"/>
  <c r="Z496" i="1"/>
  <c r="AA496" i="1"/>
  <c r="X497" i="1"/>
  <c r="Y497" i="1"/>
  <c r="Z497" i="1"/>
  <c r="AA497" i="1"/>
  <c r="X498" i="1"/>
  <c r="Y498" i="1"/>
  <c r="Z498" i="1"/>
  <c r="AA498" i="1"/>
  <c r="X499" i="1"/>
  <c r="Y499" i="1"/>
  <c r="Z499" i="1"/>
  <c r="AA499" i="1"/>
  <c r="X500" i="1"/>
  <c r="Y500" i="1"/>
  <c r="Z500" i="1"/>
  <c r="AA500" i="1"/>
  <c r="X501" i="1"/>
  <c r="Y501" i="1"/>
  <c r="Z501" i="1"/>
  <c r="AA501" i="1"/>
  <c r="X502" i="1"/>
  <c r="Y502" i="1"/>
  <c r="Z502" i="1"/>
  <c r="AA502" i="1"/>
  <c r="X503" i="1"/>
  <c r="Y503" i="1"/>
  <c r="Z503" i="1"/>
  <c r="AA503" i="1"/>
  <c r="X504" i="1"/>
  <c r="Y504" i="1"/>
  <c r="Z504" i="1"/>
  <c r="AA504" i="1"/>
  <c r="X505" i="1"/>
  <c r="Y505" i="1"/>
  <c r="Z505" i="1"/>
  <c r="AA505" i="1"/>
  <c r="X506" i="1"/>
  <c r="Y506" i="1"/>
  <c r="Z506" i="1"/>
  <c r="AA506" i="1"/>
  <c r="X507" i="1"/>
  <c r="Y507" i="1"/>
  <c r="Z507" i="1"/>
  <c r="AA507" i="1"/>
  <c r="X508" i="1"/>
  <c r="Y508" i="1"/>
  <c r="Z508" i="1"/>
  <c r="AA508" i="1"/>
  <c r="Y485" i="1"/>
  <c r="Z485" i="1"/>
  <c r="AA485" i="1"/>
  <c r="X485" i="1"/>
  <c r="J9" i="4" l="1"/>
  <c r="L9" i="4"/>
  <c r="J10" i="4"/>
  <c r="R10" i="4"/>
  <c r="I10" i="4"/>
  <c r="G10" i="4"/>
  <c r="H10" i="4"/>
  <c r="S10" i="4"/>
  <c r="Q10" i="4"/>
  <c r="O9" i="4"/>
  <c r="Q13" i="4"/>
  <c r="R13" i="4"/>
  <c r="M9" i="4"/>
  <c r="N9" i="4"/>
  <c r="M12" i="4"/>
  <c r="S13" i="4"/>
  <c r="H13" i="4"/>
  <c r="G14" i="4"/>
  <c r="D9" i="4"/>
  <c r="D11" i="4" s="1"/>
  <c r="P9" i="4"/>
  <c r="K10" i="4"/>
  <c r="N12" i="4"/>
  <c r="I13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E10" i="4"/>
  <c r="H12" i="4"/>
  <c r="C13" i="4"/>
  <c r="O13" i="4"/>
  <c r="K9" i="4"/>
  <c r="F10" i="4"/>
  <c r="I12" i="4"/>
  <c r="D13" i="4"/>
  <c r="P13" i="4"/>
  <c r="J12" i="4"/>
  <c r="E13" i="4"/>
  <c r="K12" i="4"/>
  <c r="F13" i="4"/>
  <c r="L12" i="4"/>
  <c r="G13" i="4"/>
  <c r="M11" i="4" l="1"/>
  <c r="M14" i="4"/>
  <c r="N11" i="4"/>
  <c r="O11" i="4"/>
  <c r="O14" i="4"/>
  <c r="F11" i="4"/>
  <c r="P11" i="4"/>
  <c r="P14" i="4"/>
  <c r="R11" i="4"/>
  <c r="R14" i="4"/>
  <c r="J11" i="4"/>
  <c r="J14" i="4"/>
  <c r="H11" i="4"/>
  <c r="H14" i="4"/>
  <c r="N14" i="4"/>
  <c r="S14" i="4"/>
  <c r="S11" i="4"/>
  <c r="Q11" i="4"/>
  <c r="Q14" i="4"/>
  <c r="I11" i="4"/>
  <c r="I14" i="4"/>
  <c r="G11" i="4"/>
  <c r="E11" i="4"/>
  <c r="L14" i="4"/>
  <c r="K11" i="4"/>
  <c r="K14" i="4"/>
  <c r="L11" i="4"/>
</calcChain>
</file>

<file path=xl/sharedStrings.xml><?xml version="1.0" encoding="utf-8"?>
<sst xmlns="http://schemas.openxmlformats.org/spreadsheetml/2006/main" count="7664" uniqueCount="1716">
  <si>
    <t>Ticker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</si>
  <si>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</si>
  <si>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</si>
  <si>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</si>
  <si>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</si>
  <si>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</si>
  <si>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</si>
  <si>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</si>
  <si>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</si>
  <si>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</si>
  <si>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</si>
  <si>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</si>
  <si>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</si>
  <si>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</si>
  <si>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</si>
  <si>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</si>
  <si>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</si>
  <si>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</si>
  <si>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</si>
  <si>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</si>
  <si>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</si>
  <si>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</si>
  <si>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MSFT</t>
  </si>
  <si>
    <t>United States</t>
  </si>
  <si>
    <t>Software - Infrastructure</t>
  </si>
  <si>
    <t>Dec '25 Dec 31, 2025</t>
  </si>
  <si>
    <t>CCS</t>
  </si>
  <si>
    <t>Real Estate - Development</t>
  </si>
  <si>
    <t>BBT</t>
  </si>
  <si>
    <t>Banks - Regional</t>
  </si>
  <si>
    <t>SUNDRMFAST</t>
  </si>
  <si>
    <t>India</t>
  </si>
  <si>
    <t>N/A</t>
  </si>
  <si>
    <t>CIA</t>
  </si>
  <si>
    <t>Insurance - Life</t>
  </si>
  <si>
    <t>Sep '25 Sep 30, 2025</t>
  </si>
  <si>
    <t>EXTR</t>
  </si>
  <si>
    <t>Communication Equipment</t>
  </si>
  <si>
    <t>LC</t>
  </si>
  <si>
    <t>FFBC</t>
  </si>
  <si>
    <t>HWKN</t>
  </si>
  <si>
    <t>Specialty Chemicals</t>
  </si>
  <si>
    <t>Dec '25 Dec 28, 2025</t>
  </si>
  <si>
    <t>PPLPHARMA</t>
  </si>
  <si>
    <t>STARHEALTH</t>
  </si>
  <si>
    <t>LBRT</t>
  </si>
  <si>
    <t>Oil &amp; Gas Equipment &amp; Services</t>
  </si>
  <si>
    <t>CMPR</t>
  </si>
  <si>
    <t>Specialty Business Services</t>
  </si>
  <si>
    <t>SLG</t>
  </si>
  <si>
    <t>REIT - Office</t>
  </si>
  <si>
    <t>ATGE</t>
  </si>
  <si>
    <t>Education &amp; Training Services</t>
  </si>
  <si>
    <t>MHO</t>
  </si>
  <si>
    <t>Residential Construction</t>
  </si>
  <si>
    <t>FIBK</t>
  </si>
  <si>
    <t>AJANTPHARM</t>
  </si>
  <si>
    <t>CALX</t>
  </si>
  <si>
    <t>VIAV</t>
  </si>
  <si>
    <t>Dec '25 Dec 27, 2025</t>
  </si>
  <si>
    <t>AVT</t>
  </si>
  <si>
    <t>Electronics &amp; Computer Distribution</t>
  </si>
  <si>
    <t>MUR</t>
  </si>
  <si>
    <t>Oil &amp; Gas E&amp;P</t>
  </si>
  <si>
    <t>PLXS</t>
  </si>
  <si>
    <t>Electronic Components</t>
  </si>
  <si>
    <t>Sep '25 Sep 27, 2025</t>
  </si>
  <si>
    <t>Japan</t>
  </si>
  <si>
    <t>WHR</t>
  </si>
  <si>
    <t>Furnishings, Fixtures &amp; Appliances</t>
  </si>
  <si>
    <t>SMG</t>
  </si>
  <si>
    <t>Agricultural Inputs</t>
  </si>
  <si>
    <t>MTH</t>
  </si>
  <si>
    <t>MBIN</t>
  </si>
  <si>
    <t>HONE</t>
  </si>
  <si>
    <t>Jun '25 Jun 30, 2025</t>
  </si>
  <si>
    <t>WASH</t>
  </si>
  <si>
    <t>6345</t>
  </si>
  <si>
    <t>MNRO</t>
  </si>
  <si>
    <t>Auto Parts</t>
  </si>
  <si>
    <t>ALRS</t>
  </si>
  <si>
    <t>ETD</t>
  </si>
  <si>
    <t>6104</t>
  </si>
  <si>
    <t>5440</t>
  </si>
  <si>
    <t>GREENLAM</t>
  </si>
  <si>
    <t>VOLTAMP</t>
  </si>
  <si>
    <t>Nov '25 Nov 20, 2025</t>
  </si>
  <si>
    <t>CARTRADE</t>
  </si>
  <si>
    <t>CPF</t>
  </si>
  <si>
    <t>UVSP</t>
  </si>
  <si>
    <t>9551</t>
  </si>
  <si>
    <t>8336</t>
  </si>
  <si>
    <t>DLX</t>
  </si>
  <si>
    <t>Conglomerates</t>
  </si>
  <si>
    <t>ASA</t>
  </si>
  <si>
    <t>Asset Management</t>
  </si>
  <si>
    <t>Aug '25 Aug 31, 2025</t>
  </si>
  <si>
    <t>OBK</t>
  </si>
  <si>
    <t>NAVI</t>
  </si>
  <si>
    <t>Credit Services</t>
  </si>
  <si>
    <t>CNMD</t>
  </si>
  <si>
    <t>Medical Devices</t>
  </si>
  <si>
    <t>MANYAVAR</t>
  </si>
  <si>
    <t>BSOFT</t>
  </si>
  <si>
    <t>CFFN</t>
  </si>
  <si>
    <t>EAT</t>
  </si>
  <si>
    <t>Restaurants</t>
  </si>
  <si>
    <t>Dec '25 Dec 24, 2025</t>
  </si>
  <si>
    <t>LSTR</t>
  </si>
  <si>
    <t>Integrated Freight &amp; Logistics</t>
  </si>
  <si>
    <t>BMI</t>
  </si>
  <si>
    <t>Scientific &amp; Technical Instruments</t>
  </si>
  <si>
    <t>TEVA</t>
  </si>
  <si>
    <t>Drug Manufacturers - Specialty &amp; Generic</t>
  </si>
  <si>
    <t>FICO</t>
  </si>
  <si>
    <t>Software - Application</t>
  </si>
  <si>
    <t>LVS</t>
  </si>
  <si>
    <t>Resorts &amp; Casinos</t>
  </si>
  <si>
    <t>MSCI</t>
  </si>
  <si>
    <t>Financial Data &amp; Stock Exchanges</t>
  </si>
  <si>
    <t>MARUTI</t>
  </si>
  <si>
    <t>URI</t>
  </si>
  <si>
    <t>Rental &amp; Leasing Services</t>
  </si>
  <si>
    <t>CP</t>
  </si>
  <si>
    <t>Railroads</t>
  </si>
  <si>
    <t>GLW</t>
  </si>
  <si>
    <t>ELV</t>
  </si>
  <si>
    <t>Healthcare Plans</t>
  </si>
  <si>
    <t>WM</t>
  </si>
  <si>
    <t>Waste Management</t>
  </si>
  <si>
    <t>GD</t>
  </si>
  <si>
    <t>Aerospace &amp; Defense</t>
  </si>
  <si>
    <t>CLS</t>
  </si>
  <si>
    <t>ADP</t>
  </si>
  <si>
    <t>SBUX</t>
  </si>
  <si>
    <t>PGR</t>
  </si>
  <si>
    <t>Insurance - Property &amp; Casualty</t>
  </si>
  <si>
    <t>NOW</t>
  </si>
  <si>
    <t>DHR</t>
  </si>
  <si>
    <t>Diagnostics &amp; Research</t>
  </si>
  <si>
    <t>T</t>
  </si>
  <si>
    <t>Telecom Services</t>
  </si>
  <si>
    <t>APH</t>
  </si>
  <si>
    <t>IBM</t>
  </si>
  <si>
    <t>Information Technology Services</t>
  </si>
  <si>
    <t>LRCX</t>
  </si>
  <si>
    <t>Semiconductor Equipment &amp; Materials</t>
  </si>
  <si>
    <t>ASML</t>
  </si>
  <si>
    <t>TSLA</t>
  </si>
  <si>
    <t>Auto Manufacturers</t>
  </si>
  <si>
    <t>META</t>
  </si>
  <si>
    <t>Internet Content &amp; Information</t>
  </si>
  <si>
    <t>OTIS</t>
  </si>
  <si>
    <t>Specialty Industrial Machinery</t>
  </si>
  <si>
    <t>RJF</t>
  </si>
  <si>
    <t>SBILIFE</t>
  </si>
  <si>
    <t>KALYANKJIL</t>
  </si>
  <si>
    <t>HXL</t>
  </si>
  <si>
    <t>LFUS</t>
  </si>
  <si>
    <t>1942</t>
  </si>
  <si>
    <t>PB</t>
  </si>
  <si>
    <t>VFC</t>
  </si>
  <si>
    <t>Apparel Manufacturing</t>
  </si>
  <si>
    <t>SAVE</t>
  </si>
  <si>
    <t>Sweden</t>
  </si>
  <si>
    <t>NFG</t>
  </si>
  <si>
    <t>Oil &amp; Gas Integrated</t>
  </si>
  <si>
    <t>AXS</t>
  </si>
  <si>
    <t>Insurance - Specialty</t>
  </si>
  <si>
    <t>EDU</t>
  </si>
  <si>
    <t>Nov '25 Nov 30, 2025</t>
  </si>
  <si>
    <t>TTEK</t>
  </si>
  <si>
    <t>Engineering &amp; Construction</t>
  </si>
  <si>
    <t>SBICARD</t>
  </si>
  <si>
    <t>LEVI</t>
  </si>
  <si>
    <t>SEIC</t>
  </si>
  <si>
    <t>SF</t>
  </si>
  <si>
    <t>Capital Markets</t>
  </si>
  <si>
    <t>ELS</t>
  </si>
  <si>
    <t>REIT - Residential</t>
  </si>
  <si>
    <t>LODHA</t>
  </si>
  <si>
    <t>NLY</t>
  </si>
  <si>
    <t>REIT - Mortgage</t>
  </si>
  <si>
    <t>HLI</t>
  </si>
  <si>
    <t>TXT</t>
  </si>
  <si>
    <t>Jan '26 Jan 3, 2026</t>
  </si>
  <si>
    <t>CHRW</t>
  </si>
  <si>
    <t>EVO</t>
  </si>
  <si>
    <t>LUV</t>
  </si>
  <si>
    <t>Airlines</t>
  </si>
  <si>
    <t>LII</t>
  </si>
  <si>
    <t>Building Products &amp; Equipment</t>
  </si>
  <si>
    <t>CARERATING</t>
  </si>
  <si>
    <t>Company</t>
  </si>
  <si>
    <t>Date</t>
  </si>
  <si>
    <t>Time</t>
  </si>
  <si>
    <t>Quarter Ending</t>
  </si>
  <si>
    <t xml:space="preserve"> Market Cap (mil$)</t>
    <phoneticPr fontId="5" type="noConversion"/>
  </si>
  <si>
    <t>Microsoft Corporation</t>
  </si>
  <si>
    <t>After Hours</t>
  </si>
  <si>
    <t>Meta Platforms, Inc.</t>
  </si>
  <si>
    <t>Tesla, Inc.</t>
  </si>
  <si>
    <t>ASML Holding N.V.</t>
  </si>
  <si>
    <t>Pre Market</t>
  </si>
  <si>
    <t>A000660</t>
  </si>
  <si>
    <t>SK hynix Inc.</t>
  </si>
  <si>
    <t>Lam Research Corporation</t>
  </si>
  <si>
    <t>International Business Machines Corporation</t>
  </si>
  <si>
    <t>Amphenol Corporation</t>
  </si>
  <si>
    <t>GEV</t>
  </si>
  <si>
    <t>GE Vernova Inc.</t>
  </si>
  <si>
    <t>AT&amp;T Inc.</t>
  </si>
  <si>
    <t>Danaher Corporation</t>
  </si>
  <si>
    <t>ServiceNow, Inc.</t>
  </si>
  <si>
    <t>The Progressive Corporation</t>
  </si>
  <si>
    <t>Starbucks Corporation</t>
  </si>
  <si>
    <t>Advantest Corporation</t>
  </si>
  <si>
    <t>Automatic Data Processing, Inc.</t>
  </si>
  <si>
    <t>General Dynamics Corporation</t>
  </si>
  <si>
    <t>Waste Management, Inc.</t>
  </si>
  <si>
    <t>Elevance Health, Inc.</t>
  </si>
  <si>
    <t>Corning Incorporated</t>
  </si>
  <si>
    <t>VOLV B</t>
  </si>
  <si>
    <t>AB Volvo (publ)</t>
  </si>
  <si>
    <t>NDA FI</t>
  </si>
  <si>
    <t>Nordea Bank Abp</t>
  </si>
  <si>
    <t>Canadian Pacific Kansas City Limited</t>
  </si>
  <si>
    <t>United Rentals, Inc.</t>
  </si>
  <si>
    <t>Larsen &amp; Toubro Limited</t>
  </si>
  <si>
    <t>Maruti Suzuki India Limited</t>
  </si>
  <si>
    <t>LONN</t>
  </si>
  <si>
    <t>Lonza Group AG</t>
  </si>
  <si>
    <t>MSCI Inc.</t>
  </si>
  <si>
    <t>Las Vegas Sands Corp.</t>
  </si>
  <si>
    <t>Fair Isaac Corporation</t>
  </si>
  <si>
    <t>Teva Pharmaceutical Industries Limited</t>
  </si>
  <si>
    <t>Celestica Inc.</t>
  </si>
  <si>
    <t>Otis Worldwide Corporation</t>
  </si>
  <si>
    <t>Raymond James Financial, Inc.</t>
  </si>
  <si>
    <t>Bharat Electronics Limited</t>
  </si>
  <si>
    <t>GIB.A</t>
  </si>
  <si>
    <t>CGI Inc.</t>
  </si>
  <si>
    <t>SBI Life Insurance Company Limited</t>
  </si>
  <si>
    <t>A012330</t>
  </si>
  <si>
    <t>Hyundai Mobis Co.,Ltd</t>
  </si>
  <si>
    <t>TVS Motor Company Limited</t>
  </si>
  <si>
    <t>KPN</t>
  </si>
  <si>
    <t>Koninklijke KPN N.V.</t>
  </si>
  <si>
    <t>United Microelectronics Corporation</t>
  </si>
  <si>
    <t>Lennox International Inc.</t>
  </si>
  <si>
    <t>Southwest Airlines Co.</t>
  </si>
  <si>
    <t>Evolution AB (publ)</t>
  </si>
  <si>
    <t>C.H. Robinson Worldwide, Inc.</t>
  </si>
  <si>
    <t>Textron Inc.</t>
  </si>
  <si>
    <t>Houlihan Lokey, Inc.</t>
  </si>
  <si>
    <t>Annaly Capital Management, Inc.</t>
  </si>
  <si>
    <t>Lodha Developers Limited</t>
  </si>
  <si>
    <t>Equity LifeStyle Properties, Inc.</t>
  </si>
  <si>
    <t>TEL2 B</t>
  </si>
  <si>
    <t>Tele2 AB (publ)</t>
  </si>
  <si>
    <t>Stifel Financial Corp.</t>
  </si>
  <si>
    <t>SEI Investments Company</t>
  </si>
  <si>
    <t>LARGAN Precision Co.,Ltd</t>
  </si>
  <si>
    <t>Levi Strauss &amp; Co.</t>
  </si>
  <si>
    <t>SBI Cards and Payment Services Limited</t>
  </si>
  <si>
    <t>Tetra Tech, Inc.</t>
  </si>
  <si>
    <t>SCC</t>
  </si>
  <si>
    <t>The Siam Cement Public Company Limited</t>
  </si>
  <si>
    <t>New Oriental Education &amp; Technology Group Inc.</t>
  </si>
  <si>
    <t>SSAB A</t>
  </si>
  <si>
    <t>SSAB AB (publ)</t>
  </si>
  <si>
    <t>AXIS Capital Holdings Limited</t>
  </si>
  <si>
    <t>National Fuel Gas Company</t>
  </si>
  <si>
    <t>Nordnet AB (publ)</t>
  </si>
  <si>
    <t>V.F. Corporation</t>
  </si>
  <si>
    <t>The Phoenix Mills Limited</t>
  </si>
  <si>
    <t>Prosperity Bancshares, Inc.</t>
  </si>
  <si>
    <t>Kandenko Co.,Ltd.</t>
  </si>
  <si>
    <t>Littelfuse, Inc.</t>
  </si>
  <si>
    <t>Hexcel Corporation</t>
  </si>
  <si>
    <t>Kalyan Jewellers India Limited</t>
  </si>
  <si>
    <t>Badger Meter, Inc.</t>
  </si>
  <si>
    <t>Balkrishna Industries Limited</t>
  </si>
  <si>
    <t>Landstar System, Inc.</t>
  </si>
  <si>
    <t>Nomura Real Estate Holdings, Inc.</t>
  </si>
  <si>
    <t>Brinker International, Inc.</t>
  </si>
  <si>
    <t>ME8U</t>
  </si>
  <si>
    <t>Mapletree Industrial Trust</t>
  </si>
  <si>
    <t>Meritage Homes Corporation</t>
  </si>
  <si>
    <t>A034220</t>
  </si>
  <si>
    <t>LG Display Co., Ltd.</t>
  </si>
  <si>
    <t>Whirlpool Corporation</t>
  </si>
  <si>
    <t>Jarir Marketing Company</t>
  </si>
  <si>
    <t>Canon Marketing Japan Inc.</t>
  </si>
  <si>
    <t>Plexus Corp.</t>
  </si>
  <si>
    <t>MPHC</t>
  </si>
  <si>
    <t>Mesaieed Petrochemical Holding Company Q.P.S.C.</t>
  </si>
  <si>
    <t>Murphy Oil Corporation</t>
  </si>
  <si>
    <t>Avnet, Inc.</t>
  </si>
  <si>
    <t>PROT</t>
  </si>
  <si>
    <t>Protector Forsikring ASA</t>
  </si>
  <si>
    <t>Viavi Solutions Inc.</t>
  </si>
  <si>
    <t>Q *</t>
  </si>
  <si>
    <t>Quálitas Controladora, S.A.B. de C.V.</t>
  </si>
  <si>
    <t>DFM</t>
  </si>
  <si>
    <t>Dubai Financial Market P.J.S.C.</t>
  </si>
  <si>
    <t>ACC</t>
  </si>
  <si>
    <t>ACC Limited</t>
  </si>
  <si>
    <t>Calix, Inc.</t>
  </si>
  <si>
    <t>Ajanta Pharma Limited</t>
  </si>
  <si>
    <t>First Interstate BancSystem, Inc.</t>
  </si>
  <si>
    <t>M/I Homes, Inc.</t>
  </si>
  <si>
    <t>Adtalem Global Education Inc.</t>
  </si>
  <si>
    <t>The Scotts Miracle-Gro Company</t>
  </si>
  <si>
    <t>SL Green Realty Corp.</t>
  </si>
  <si>
    <t>Liberty Energy Inc.</t>
  </si>
  <si>
    <t>Star Health and Allied Insurance Company Limited</t>
  </si>
  <si>
    <t>BAIN</t>
  </si>
  <si>
    <t>Société Anonyme des Bains de Mer et du Cercle des Étrangers à Monaco</t>
  </si>
  <si>
    <t>Piramal Pharma Limited</t>
  </si>
  <si>
    <t>Hawkins, Inc.</t>
  </si>
  <si>
    <t>East Buy Holding Limited</t>
  </si>
  <si>
    <t>COLBUN</t>
  </si>
  <si>
    <t>Colbún S.A.</t>
  </si>
  <si>
    <t>ENA</t>
  </si>
  <si>
    <t>ENEA S.A.</t>
  </si>
  <si>
    <t>First Financial Bancorp.</t>
  </si>
  <si>
    <t>A035250</t>
  </si>
  <si>
    <t>Kangwon Land, Inc.</t>
  </si>
  <si>
    <t>LendingClub Corporation</t>
  </si>
  <si>
    <t>Extreme Networks, Inc.</t>
  </si>
  <si>
    <t>Champion Iron Limited</t>
  </si>
  <si>
    <t>Sundram Fasteners Limited</t>
  </si>
  <si>
    <t>Beacon Financial Corporation</t>
  </si>
  <si>
    <t>Century Communities, Inc.</t>
  </si>
  <si>
    <t>MFF</t>
  </si>
  <si>
    <t>MFF Capital Investments Limited</t>
  </si>
  <si>
    <t>Cimpress plc</t>
  </si>
  <si>
    <t>LMW Limited</t>
  </si>
  <si>
    <t>DOM</t>
  </si>
  <si>
    <t>Dometic Group AB (publ)</t>
  </si>
  <si>
    <t>SNI</t>
  </si>
  <si>
    <t>Stolt-Nielsen Limited</t>
  </si>
  <si>
    <t>RRKABEL</t>
  </si>
  <si>
    <t>R R Kabel Limited</t>
  </si>
  <si>
    <t>Merchants Bancorp</t>
  </si>
  <si>
    <t>Welspun Living Limited</t>
  </si>
  <si>
    <t>CarTrade Tech Limited</t>
  </si>
  <si>
    <t>EXEDY Corporation</t>
  </si>
  <si>
    <t>ENTEL</t>
  </si>
  <si>
    <t>Empresa Nacional de Telecomunicaciones S.A.</t>
  </si>
  <si>
    <t>Birlasoft Limited</t>
  </si>
  <si>
    <t>Vedant Fashions Limited</t>
  </si>
  <si>
    <t>CONMED Corporation</t>
  </si>
  <si>
    <t>Navient Corporation</t>
  </si>
  <si>
    <t>Origin Bancorp, Inc.</t>
  </si>
  <si>
    <t>Japan Aviation Electronics Industry, Limited</t>
  </si>
  <si>
    <t>ASA Gold and Precious Metals Limited</t>
  </si>
  <si>
    <t>Deluxe Corporation</t>
  </si>
  <si>
    <t>The Musashino Bank, Ltd.</t>
  </si>
  <si>
    <t>METAWATER Co., Ltd.</t>
  </si>
  <si>
    <t>Star Cement Limited</t>
  </si>
  <si>
    <t>Univest Financial Corporation</t>
  </si>
  <si>
    <t>STAR</t>
  </si>
  <si>
    <t>Strides Pharma Science Limited</t>
  </si>
  <si>
    <t>ASIC</t>
  </si>
  <si>
    <t>Ategrity Specialty Insurance Company Holdings</t>
  </si>
  <si>
    <t>Capitol Federal Financial, Inc.</t>
  </si>
  <si>
    <t>Central Pacific Financial Corp.</t>
  </si>
  <si>
    <t>ASKUL Corporation</t>
  </si>
  <si>
    <t>Voltamp Transformers Limited</t>
  </si>
  <si>
    <t>Greenlam Industries Limited</t>
  </si>
  <si>
    <t>Kyoei Steel Ltd.</t>
  </si>
  <si>
    <t>Shibaura Machine Co.,Ltd.</t>
  </si>
  <si>
    <t>Ethan Allen Interiors Inc.</t>
  </si>
  <si>
    <t>Subros Limited</t>
  </si>
  <si>
    <t>NIITMTS</t>
  </si>
  <si>
    <t>NIIT Learning Systems Limited</t>
  </si>
  <si>
    <t>Alerus Financial Corporation</t>
  </si>
  <si>
    <t>Monro, Inc.</t>
  </si>
  <si>
    <t>Aichi Corporation</t>
  </si>
  <si>
    <t>Washington Trust Bancorp, Inc.</t>
  </si>
  <si>
    <t>HarborOne Bancorp, Inc.</t>
  </si>
  <si>
    <t>JCR Pharmaceuticals Co., Ltd.</t>
  </si>
  <si>
    <t>SAMS</t>
  </si>
  <si>
    <t>Samse SA</t>
  </si>
  <si>
    <t>CARE Ratings Limited</t>
  </si>
  <si>
    <t>1Q25</t>
    <phoneticPr fontId="5" type="noConversion"/>
  </si>
  <si>
    <t>2Q25</t>
    <phoneticPr fontId="5" type="noConversion"/>
  </si>
  <si>
    <t>3Q25</t>
    <phoneticPr fontId="5" type="noConversion"/>
  </si>
  <si>
    <t>4Q25</t>
    <phoneticPr fontId="5" type="noConversion"/>
  </si>
  <si>
    <t>4Q21</t>
    <phoneticPr fontId="15" type="noConversion"/>
  </si>
  <si>
    <t>1Q22</t>
    <phoneticPr fontId="15" type="noConversion"/>
  </si>
  <si>
    <t>2Q22</t>
    <phoneticPr fontId="15" type="noConversion"/>
  </si>
  <si>
    <t>3Q22</t>
    <phoneticPr fontId="15" type="noConversion"/>
  </si>
  <si>
    <t>4Q22</t>
    <phoneticPr fontId="15" type="noConversion"/>
  </si>
  <si>
    <t>2Q23</t>
    <phoneticPr fontId="15" type="noConversion"/>
  </si>
  <si>
    <t>3Q23</t>
    <phoneticPr fontId="15" type="noConversion"/>
  </si>
  <si>
    <t>4Q23</t>
    <phoneticPr fontId="15" type="noConversion"/>
  </si>
  <si>
    <t>Revenue</t>
    <phoneticPr fontId="15" type="noConversion"/>
  </si>
  <si>
    <t>OP</t>
    <phoneticPr fontId="15" type="noConversion"/>
  </si>
  <si>
    <t>Trailing 4Q OP avg.</t>
    <phoneticPr fontId="15" type="noConversion"/>
  </si>
  <si>
    <t>Trailing 4Q OP sum.</t>
    <phoneticPr fontId="15" type="noConversion"/>
  </si>
  <si>
    <t>Trailing OP Delta</t>
    <phoneticPr fontId="15" type="noConversion"/>
  </si>
  <si>
    <t>opm</t>
  </si>
  <si>
    <t>op yoy</t>
    <phoneticPr fontId="15" type="noConversion"/>
  </si>
  <si>
    <t>rv yoy</t>
    <phoneticPr fontId="5" type="noConversion"/>
  </si>
  <si>
    <t>1Q26</t>
    <phoneticPr fontId="15" type="noConversion"/>
  </si>
  <si>
    <t>2Q26</t>
    <phoneticPr fontId="15" type="noConversion"/>
  </si>
  <si>
    <t>3Q26</t>
    <phoneticPr fontId="15" type="noConversion"/>
  </si>
  <si>
    <t>4Q26</t>
    <phoneticPr fontId="15" type="noConversion"/>
  </si>
  <si>
    <t>SBILIFE</t>
    <phoneticPr fontId="5" type="noConversion"/>
  </si>
  <si>
    <t>Industry</t>
    <phoneticPr fontId="5" type="noConversion"/>
  </si>
  <si>
    <t>GEV</t>
    <phoneticPr fontId="5" type="noConversion"/>
  </si>
  <si>
    <t>United States</t>
    <phoneticPr fontId="5" type="noConversion"/>
  </si>
  <si>
    <t>Ticker</t>
    <phoneticPr fontId="5" type="noConversion"/>
  </si>
  <si>
    <t>(단위: mil $)</t>
    <phoneticPr fontId="5" type="noConversion"/>
  </si>
  <si>
    <t>FFIC</t>
  </si>
  <si>
    <t>CCNE</t>
  </si>
  <si>
    <t>BUSE</t>
  </si>
  <si>
    <t>RNST</t>
  </si>
  <si>
    <t>UMBF</t>
  </si>
  <si>
    <t>WSBC</t>
  </si>
  <si>
    <t>BA</t>
  </si>
  <si>
    <t>CAC</t>
  </si>
  <si>
    <t>BWB</t>
  </si>
  <si>
    <t>NXT</t>
  </si>
  <si>
    <t>Solar</t>
  </si>
  <si>
    <t>ENVA</t>
  </si>
  <si>
    <t>STX</t>
  </si>
  <si>
    <t>Computer Hardware</t>
  </si>
  <si>
    <t>CVLT</t>
  </si>
  <si>
    <t>QCRH</t>
  </si>
  <si>
    <t>NEE</t>
  </si>
  <si>
    <t>Utilities - Regulated Electric</t>
  </si>
  <si>
    <t>HAFC</t>
  </si>
  <si>
    <t>FCF</t>
  </si>
  <si>
    <t>PFS</t>
  </si>
  <si>
    <t>RTX</t>
  </si>
  <si>
    <t>UNH</t>
  </si>
  <si>
    <t>CBU</t>
  </si>
  <si>
    <t>NOC</t>
  </si>
  <si>
    <t>PKG</t>
  </si>
  <si>
    <t>Packaging &amp; Containers</t>
  </si>
  <si>
    <t>TXN</t>
  </si>
  <si>
    <t>Semiconductors</t>
  </si>
  <si>
    <t>ROP</t>
  </si>
  <si>
    <t>PII</t>
  </si>
  <si>
    <t>Recreational Vehicles</t>
  </si>
  <si>
    <t>BPOP</t>
  </si>
  <si>
    <t>TRMK</t>
  </si>
  <si>
    <t>QRVO</t>
  </si>
  <si>
    <t>ORRF</t>
  </si>
  <si>
    <t>AIT</t>
  </si>
  <si>
    <t>Industrial Distribution</t>
  </si>
  <si>
    <t>FCBC</t>
  </si>
  <si>
    <t>FFIV</t>
  </si>
  <si>
    <t>LRN</t>
  </si>
  <si>
    <t>HCA</t>
  </si>
  <si>
    <t>Medical Care Facilities</t>
  </si>
  <si>
    <t>IVZ</t>
  </si>
  <si>
    <t>MANH</t>
  </si>
  <si>
    <t>FBP</t>
  </si>
  <si>
    <t>PPG</t>
  </si>
  <si>
    <t>SYF</t>
  </si>
  <si>
    <t>CCBG</t>
  </si>
  <si>
    <t>BXP</t>
  </si>
  <si>
    <t>WRLD</t>
  </si>
  <si>
    <t>UNP</t>
  </si>
  <si>
    <t>JBLU</t>
  </si>
  <si>
    <t>UPS</t>
  </si>
  <si>
    <t>GM</t>
  </si>
  <si>
    <t>NBHC</t>
  </si>
  <si>
    <t>PCAR</t>
  </si>
  <si>
    <t>Farm &amp; Heavy Construction Machinery</t>
  </si>
  <si>
    <t>KMB</t>
  </si>
  <si>
    <t>Household &amp; Personal Products</t>
  </si>
  <si>
    <t>GEF</t>
  </si>
  <si>
    <t>BHG</t>
  </si>
  <si>
    <t>SAND</t>
  </si>
  <si>
    <t>CGPOWER</t>
  </si>
  <si>
    <t>TATACONSUM</t>
  </si>
  <si>
    <t>ASIANPAINT</t>
  </si>
  <si>
    <t>NUE</t>
  </si>
  <si>
    <t>Steel</t>
  </si>
  <si>
    <t>HBT</t>
  </si>
  <si>
    <t>NBN</t>
  </si>
  <si>
    <t>LKFN</t>
  </si>
  <si>
    <t>DX</t>
  </si>
  <si>
    <t>AGYS</t>
  </si>
  <si>
    <t>WSFS</t>
  </si>
  <si>
    <t>SANM</t>
  </si>
  <si>
    <t>CR</t>
  </si>
  <si>
    <t>AGNC</t>
  </si>
  <si>
    <t>GGG</t>
  </si>
  <si>
    <t>ARE</t>
  </si>
  <si>
    <t>STLD</t>
  </si>
  <si>
    <t>WRB</t>
  </si>
  <si>
    <t>BOH</t>
  </si>
  <si>
    <t>NWFL</t>
  </si>
  <si>
    <t>ASB</t>
  </si>
  <si>
    <t>KEY</t>
  </si>
  <si>
    <t>DCOM</t>
  </si>
  <si>
    <t>LOB</t>
  </si>
  <si>
    <t>ALLY</t>
  </si>
  <si>
    <t>CASS</t>
  </si>
  <si>
    <t>EQBK</t>
  </si>
  <si>
    <t>BVFL</t>
  </si>
  <si>
    <t>CUBI</t>
  </si>
  <si>
    <t>AUB</t>
  </si>
  <si>
    <t>SLM</t>
  </si>
  <si>
    <t>NKSH</t>
  </si>
  <si>
    <t>EBC</t>
  </si>
  <si>
    <t>ATLO</t>
  </si>
  <si>
    <t>MPB</t>
  </si>
  <si>
    <t>SFST</t>
  </si>
  <si>
    <t>FBK</t>
  </si>
  <si>
    <t>MBLY</t>
  </si>
  <si>
    <t>RLI</t>
  </si>
  <si>
    <t>SSB</t>
  </si>
  <si>
    <t>COLB</t>
  </si>
  <si>
    <t>INDB</t>
  </si>
  <si>
    <t>HFWA</t>
  </si>
  <si>
    <t>HTBK</t>
  </si>
  <si>
    <t>ACNB</t>
  </si>
  <si>
    <t>ORI</t>
  </si>
  <si>
    <t>CWBC</t>
  </si>
  <si>
    <t>ONB</t>
  </si>
  <si>
    <t>NG</t>
  </si>
  <si>
    <t>KRNY</t>
  </si>
  <si>
    <t>PKBK</t>
  </si>
  <si>
    <t>MCB</t>
  </si>
  <si>
    <t>FNB</t>
  </si>
  <si>
    <t>BANC</t>
  </si>
  <si>
    <t>FCAP</t>
    <phoneticPr fontId="5" type="noConversion"/>
  </si>
  <si>
    <t>FNLC</t>
  </si>
  <si>
    <t>TCBI</t>
  </si>
  <si>
    <t>ASRV</t>
  </si>
  <si>
    <t>RMBI</t>
  </si>
  <si>
    <t>PLBC</t>
  </si>
  <si>
    <t>SFBS</t>
  </si>
  <si>
    <t>OPBK</t>
  </si>
  <si>
    <t>EGBN</t>
  </si>
  <si>
    <t>TRST</t>
  </si>
  <si>
    <t>COF</t>
  </si>
  <si>
    <t>SCHW</t>
  </si>
  <si>
    <t>CFG</t>
  </si>
  <si>
    <t>FBNC</t>
  </si>
  <si>
    <t>SMBK</t>
  </si>
  <si>
    <t>FULT</t>
  </si>
  <si>
    <t>LSBK</t>
  </si>
  <si>
    <t>CATY</t>
  </si>
  <si>
    <t>COSO</t>
  </si>
  <si>
    <t>UBSI</t>
  </si>
  <si>
    <t>SRCE</t>
  </si>
  <si>
    <t>EWBC</t>
  </si>
  <si>
    <t>TRV</t>
  </si>
  <si>
    <t>TEL</t>
  </si>
  <si>
    <t>ZION</t>
  </si>
  <si>
    <t>UBFO</t>
  </si>
  <si>
    <t>BFST</t>
  </si>
  <si>
    <t>ABT</t>
  </si>
  <si>
    <t>IBKR</t>
  </si>
  <si>
    <t>NFLX</t>
  </si>
  <si>
    <t>WBS</t>
  </si>
  <si>
    <t>NVEC</t>
  </si>
  <si>
    <t>KMI</t>
  </si>
  <si>
    <t>TCBK</t>
  </si>
  <si>
    <t>FITB</t>
  </si>
  <si>
    <t>USB</t>
  </si>
  <si>
    <t>WTFC</t>
  </si>
  <si>
    <t>FFIN</t>
  </si>
  <si>
    <t>SMBC</t>
  </si>
  <si>
    <t>BCML</t>
  </si>
  <si>
    <t>MMYT</t>
  </si>
  <si>
    <t>TDY</t>
  </si>
  <si>
    <t>NRIM</t>
  </si>
  <si>
    <t>KNX</t>
  </si>
  <si>
    <t>BY</t>
  </si>
  <si>
    <t>NIC</t>
  </si>
  <si>
    <t>ISRG</t>
  </si>
  <si>
    <t>CHCO</t>
  </si>
  <si>
    <t>MYFW</t>
  </si>
  <si>
    <t>CACI</t>
  </si>
  <si>
    <t>KARO</t>
  </si>
  <si>
    <t>CASH</t>
  </si>
  <si>
    <t>CADE</t>
  </si>
  <si>
    <t>PNFP</t>
  </si>
  <si>
    <t>MBWM</t>
  </si>
  <si>
    <t>ESQ</t>
  </si>
  <si>
    <t>BHB</t>
  </si>
  <si>
    <t>FAST</t>
  </si>
  <si>
    <t>CVBF</t>
  </si>
  <si>
    <t>HTB</t>
  </si>
  <si>
    <t>GSBC</t>
  </si>
  <si>
    <t>NTRS</t>
  </si>
  <si>
    <t>LYTS</t>
  </si>
  <si>
    <t>CBSH</t>
  </si>
  <si>
    <t>HWC</t>
  </si>
  <si>
    <t>BANR</t>
  </si>
  <si>
    <t>FSBW</t>
  </si>
  <si>
    <t>BANF</t>
  </si>
  <si>
    <t>GBCI</t>
  </si>
  <si>
    <t>MSBI</t>
  </si>
  <si>
    <t>MKC</t>
  </si>
  <si>
    <t>STBA</t>
  </si>
  <si>
    <t>CMA</t>
  </si>
  <si>
    <t>TFC</t>
  </si>
  <si>
    <t>PRGS</t>
  </si>
  <si>
    <t>ISTR</t>
  </si>
  <si>
    <t>FOR</t>
  </si>
  <si>
    <t>PG</t>
  </si>
  <si>
    <t>PLD</t>
  </si>
  <si>
    <t>OZK</t>
  </si>
  <si>
    <t>BKU</t>
  </si>
  <si>
    <t>HBAN</t>
  </si>
  <si>
    <t>INTC</t>
  </si>
  <si>
    <t>OFG</t>
  </si>
  <si>
    <t>SLB</t>
  </si>
  <si>
    <t>HAL</t>
  </si>
  <si>
    <t>CSX</t>
  </si>
  <si>
    <t>IBCP</t>
  </si>
  <si>
    <t>BAH</t>
  </si>
  <si>
    <t>UAL</t>
  </si>
  <si>
    <t>CNS</t>
  </si>
  <si>
    <t>MMM</t>
  </si>
  <si>
    <t>FCX</t>
  </si>
  <si>
    <t>DHI</t>
  </si>
  <si>
    <t>SFNC</t>
  </si>
  <si>
    <t>ALK</t>
  </si>
  <si>
    <t>PAPL</t>
  </si>
  <si>
    <t>USCB</t>
  </si>
  <si>
    <t>AA</t>
  </si>
  <si>
    <t>AMTB</t>
  </si>
  <si>
    <t>26013주차</t>
    <phoneticPr fontId="5" type="noConversion"/>
  </si>
  <si>
    <t>United States</t>
    <phoneticPr fontId="5" type="noConversion"/>
  </si>
  <si>
    <t>FISI</t>
  </si>
  <si>
    <t>IVR</t>
  </si>
  <si>
    <t>WDC</t>
  </si>
  <si>
    <t>PFSI</t>
  </si>
  <si>
    <t>Mortgage Finance</t>
  </si>
  <si>
    <t>SNDK</t>
  </si>
  <si>
    <t>CNX</t>
  </si>
  <si>
    <t>PMT</t>
  </si>
  <si>
    <t>BX</t>
  </si>
  <si>
    <t>MXL</t>
  </si>
  <si>
    <t>LPLA</t>
  </si>
  <si>
    <t>AJG</t>
  </si>
  <si>
    <t>Insurance Brokers</t>
  </si>
  <si>
    <t>IP</t>
  </si>
  <si>
    <t>VLY</t>
  </si>
  <si>
    <t>SBCF</t>
  </si>
  <si>
    <t>FFWM</t>
  </si>
  <si>
    <t>ALGM</t>
  </si>
  <si>
    <t>TAL</t>
  </si>
  <si>
    <t>AX</t>
  </si>
  <si>
    <t>APPF</t>
  </si>
  <si>
    <t>AAPL</t>
  </si>
  <si>
    <t>Consumer Electronics</t>
  </si>
  <si>
    <t>VIRT</t>
  </si>
  <si>
    <t>CAT</t>
  </si>
  <si>
    <t>MA</t>
  </si>
  <si>
    <t>CSW</t>
  </si>
  <si>
    <t>SXI</t>
  </si>
  <si>
    <t>BFH</t>
  </si>
  <si>
    <t>MO</t>
  </si>
  <si>
    <t>Tobacco</t>
  </si>
  <si>
    <t>V</t>
  </si>
  <si>
    <t>BC</t>
  </si>
  <si>
    <t>FHI</t>
  </si>
  <si>
    <t>LAZ</t>
  </si>
  <si>
    <t>SYK</t>
  </si>
  <si>
    <t>RCL</t>
  </si>
  <si>
    <t>Travel Services</t>
  </si>
  <si>
    <t>CVCO</t>
  </si>
  <si>
    <t>RMD</t>
  </si>
  <si>
    <t>Medical Instruments &amp; Supplies</t>
  </si>
  <si>
    <t>TFSL</t>
  </si>
  <si>
    <t>OSIS</t>
  </si>
  <si>
    <t>DECK</t>
  </si>
  <si>
    <t>Footwear &amp; Accessories</t>
  </si>
  <si>
    <t>LMT</t>
  </si>
  <si>
    <t>CFR</t>
  </si>
  <si>
    <t>PH</t>
  </si>
  <si>
    <t>AMP</t>
  </si>
  <si>
    <t>DOV</t>
  </si>
  <si>
    <t>SIGI</t>
  </si>
  <si>
    <t>SKYW</t>
  </si>
  <si>
    <t>MRSH</t>
  </si>
  <si>
    <t>TMO</t>
  </si>
  <si>
    <t>MAN</t>
  </si>
  <si>
    <t>Staffing &amp; Employment Services</t>
  </si>
  <si>
    <t>KLAC</t>
  </si>
  <si>
    <t>HIG</t>
  </si>
  <si>
    <t>Insurance - Diversified</t>
  </si>
  <si>
    <t>HZO</t>
  </si>
  <si>
    <t>Specialty Retail</t>
  </si>
  <si>
    <t>CVLG</t>
  </si>
  <si>
    <t>Trucking</t>
  </si>
  <si>
    <t>KEX</t>
  </si>
  <si>
    <t>Marine Shipping</t>
  </si>
  <si>
    <t>TT</t>
  </si>
  <si>
    <t>SHW</t>
  </si>
  <si>
    <t>FMBH</t>
  </si>
  <si>
    <t>JBSS</t>
  </si>
  <si>
    <t>Packaged Foods</t>
  </si>
  <si>
    <t>HTH</t>
  </si>
  <si>
    <t>Financial Conglomerates</t>
  </si>
  <si>
    <t>SNDR</t>
  </si>
  <si>
    <t>VLO</t>
  </si>
  <si>
    <t>Oil &amp; Gas Refining &amp; Marketing</t>
  </si>
  <si>
    <t>OSK</t>
  </si>
  <si>
    <t>SAP</t>
  </si>
  <si>
    <t>TSCO</t>
  </si>
  <si>
    <t>ABCB</t>
  </si>
  <si>
    <t>HOLX</t>
  </si>
  <si>
    <t>NDAQ</t>
  </si>
  <si>
    <t>LHX</t>
  </si>
  <si>
    <t>TBBK</t>
  </si>
  <si>
    <t>CACC</t>
  </si>
  <si>
    <t>CMCSA</t>
  </si>
  <si>
    <t>GPI</t>
  </si>
  <si>
    <t>Auto &amp; Truck Dealerships</t>
  </si>
  <si>
    <t>MTX</t>
  </si>
  <si>
    <t>AOS</t>
  </si>
  <si>
    <t>OLN</t>
  </si>
  <si>
    <t>Chemicals</t>
  </si>
  <si>
    <t>EXP</t>
  </si>
  <si>
    <t>Building Materials</t>
  </si>
  <si>
    <t>DXC</t>
  </si>
  <si>
    <t>NSC</t>
  </si>
  <si>
    <t>DLB</t>
  </si>
  <si>
    <t>HON</t>
  </si>
  <si>
    <t>SBSI</t>
  </si>
  <si>
    <t>RHI</t>
  </si>
  <si>
    <t>PHM</t>
  </si>
  <si>
    <t>DOW</t>
  </si>
  <si>
    <t>WY</t>
  </si>
  <si>
    <t>REIT - Specialty</t>
  </si>
  <si>
    <t>EMN</t>
  </si>
  <si>
    <t>BZH</t>
  </si>
  <si>
    <t>GRNG</t>
  </si>
  <si>
    <t>Gränges AB (publ)</t>
  </si>
  <si>
    <t>AXFO</t>
  </si>
  <si>
    <t>Axfood AB (publ)</t>
  </si>
  <si>
    <t>INDT</t>
  </si>
  <si>
    <t>Indutrade AB (publ)</t>
  </si>
  <si>
    <t>Shinkin Central Bank</t>
  </si>
  <si>
    <t>Casio Computer Co.,Ltd.</t>
  </si>
  <si>
    <t>Simplex Holdings, Inc.</t>
  </si>
  <si>
    <t>Chugai Pharmaceutical Co., Ltd.</t>
  </si>
  <si>
    <t>Keyence Corporation</t>
  </si>
  <si>
    <t>Juroku Financial Group,Inc.</t>
  </si>
  <si>
    <t>Prestige International Inc.</t>
  </si>
  <si>
    <t>Nankai Electric Railway Co., Ltd.</t>
  </si>
  <si>
    <t>Nomura Research Institute, Ltd.</t>
  </si>
  <si>
    <t>Anritsu Corporation</t>
  </si>
  <si>
    <t>Kinden Corporation</t>
  </si>
  <si>
    <t>Fuji Electric Co., Ltd.</t>
  </si>
  <si>
    <t>Okinawa Cellular Telephone Company</t>
  </si>
  <si>
    <t>Makita Corporation</t>
  </si>
  <si>
    <t>Takeda Pharmaceutical Company Limited</t>
  </si>
  <si>
    <t>Canon Inc.</t>
  </si>
  <si>
    <t>Oriental Land Co., Ltd.</t>
  </si>
  <si>
    <t>NGK Insulators, Ltd.</t>
  </si>
  <si>
    <t>NEC Corporation</t>
  </si>
  <si>
    <t>Konami Group Corporation</t>
  </si>
  <si>
    <t>Sekisui Chemical Co., Ltd.</t>
  </si>
  <si>
    <t>FP Corporation</t>
  </si>
  <si>
    <t>Hitachi Construction Machinery Co., Ltd.</t>
  </si>
  <si>
    <t>Stanley Electric Co., Ltd.</t>
  </si>
  <si>
    <t>Daido Steel Co., Ltd.</t>
  </si>
  <si>
    <t>Konishi Co., Ltd.</t>
  </si>
  <si>
    <t>Hogy Medical Co.,Ltd.</t>
  </si>
  <si>
    <t>Fujitsu Limited</t>
  </si>
  <si>
    <t>Hino Motors, Ltd.</t>
  </si>
  <si>
    <t>Hokuriku Electric Power Company</t>
  </si>
  <si>
    <t>Financial Partners Group Co.,Ltd.</t>
  </si>
  <si>
    <t>PRESTIGE</t>
    <phoneticPr fontId="5" type="noConversion"/>
  </si>
  <si>
    <t>Prestige Estates Projects Limited</t>
  </si>
  <si>
    <t>PAYTM</t>
    <phoneticPr fontId="5" type="noConversion"/>
  </si>
  <si>
    <t>One97 Communications Limited</t>
  </si>
  <si>
    <t>COROMANDEL</t>
  </si>
  <si>
    <t>Coromandel International Limited</t>
  </si>
  <si>
    <t>CONCOR</t>
  </si>
  <si>
    <t>Container Corporation of India Limited</t>
  </si>
  <si>
    <t>EQUITASBNK</t>
  </si>
  <si>
    <t>Equitas Small Finance Bank Limited</t>
  </si>
  <si>
    <t>JSWHL</t>
  </si>
  <si>
    <t>JSW Holdings Limited</t>
  </si>
  <si>
    <t>CARBORUNIV</t>
  </si>
  <si>
    <t>Carborundum Universal Limited</t>
  </si>
  <si>
    <t>VOLTAS</t>
  </si>
  <si>
    <t>Voltas Limited</t>
  </si>
  <si>
    <t>ADANIPOWER</t>
  </si>
  <si>
    <t>Adani Power Limited</t>
  </si>
  <si>
    <t>CANBK</t>
  </si>
  <si>
    <t>Canara Bank</t>
  </si>
  <si>
    <t>Jan '26 Jan 2, 2026</t>
  </si>
  <si>
    <t>Dec '25 Dec 26, 2025</t>
  </si>
  <si>
    <t>Dec '25 Dec 25, 2025</t>
  </si>
  <si>
    <t>Dec '25 Dec 20, 2025</t>
  </si>
  <si>
    <t>CANBK</t>
    <phoneticPr fontId="5" type="noConversion"/>
  </si>
  <si>
    <t>PAYTM</t>
  </si>
  <si>
    <t>Oil &amp; Gas Refining &amp; Marketing</t>
    <phoneticPr fontId="5" type="noConversion"/>
  </si>
  <si>
    <t>TMP</t>
  </si>
  <si>
    <t>Dec'25</t>
  </si>
  <si>
    <t>JHG</t>
  </si>
  <si>
    <t>MCHB</t>
  </si>
  <si>
    <t>LPG</t>
  </si>
  <si>
    <t>Oil &amp; Gas Midstream</t>
  </si>
  <si>
    <t>Jun'26</t>
  </si>
  <si>
    <t>SOFI</t>
  </si>
  <si>
    <t>WT</t>
  </si>
  <si>
    <t>OPY</t>
  </si>
  <si>
    <t>TOWN</t>
  </si>
  <si>
    <t>SAIL</t>
  </si>
  <si>
    <t>Sep'26</t>
  </si>
  <si>
    <t>GNTX</t>
  </si>
  <si>
    <t>FLG</t>
  </si>
  <si>
    <t>IESC</t>
  </si>
  <si>
    <t>Mar'26</t>
  </si>
  <si>
    <t>FHB</t>
  </si>
  <si>
    <t>RRBI</t>
  </si>
  <si>
    <t>AXP</t>
  </si>
  <si>
    <t>BDL</t>
  </si>
  <si>
    <t>ALV</t>
  </si>
  <si>
    <t>APD</t>
  </si>
  <si>
    <t>CL</t>
  </si>
  <si>
    <t>BEPC</t>
  </si>
  <si>
    <t>Utilities - Renewable</t>
  </si>
  <si>
    <t>CHD</t>
  </si>
  <si>
    <t>AON</t>
  </si>
  <si>
    <t>BEN</t>
  </si>
  <si>
    <t>REGN</t>
  </si>
  <si>
    <t>Biotechnology</t>
  </si>
  <si>
    <t>VZ</t>
  </si>
  <si>
    <t>XOM</t>
  </si>
  <si>
    <t>CHTR</t>
  </si>
  <si>
    <t>ARCB</t>
  </si>
  <si>
    <t>BBU</t>
  </si>
  <si>
    <t>CVX</t>
  </si>
  <si>
    <t>IMO</t>
  </si>
  <si>
    <t>The Tochigi Bank, Ltd.</t>
  </si>
  <si>
    <t>santec Holdings Corporation</t>
  </si>
  <si>
    <t>Mitsubishi Kakoki Kaisha, Ltd.</t>
  </si>
  <si>
    <t>The Bank of Iwate, Ltd.</t>
  </si>
  <si>
    <t>Nippon Avionics Co., Ltd.</t>
  </si>
  <si>
    <t>Sumitomo Mitsui Financial Group, Inc.</t>
  </si>
  <si>
    <t>SCSK Corporation</t>
  </si>
  <si>
    <t>Nihon M&amp;A Center Holdings Inc.</t>
  </si>
  <si>
    <t>Heiwa Real Estate Co., Ltd.</t>
  </si>
  <si>
    <t>Enplas Corporation</t>
  </si>
  <si>
    <t>Strike Company,Limited</t>
  </si>
  <si>
    <t>Resona Holdings, Inc.</t>
  </si>
  <si>
    <t>The 77 Bank, Ltd.</t>
  </si>
  <si>
    <t>Socionext Inc.</t>
  </si>
  <si>
    <t>MIXI, Inc.</t>
  </si>
  <si>
    <t>Daishi Hokuetsu Financial Group, Inc.</t>
  </si>
  <si>
    <t>The Awa Bank, Ltd.</t>
  </si>
  <si>
    <t>Hokuhoku Financial Group, Inc.</t>
  </si>
  <si>
    <t>Makino Milling Machine Co., Ltd.</t>
  </si>
  <si>
    <t>Digital Arts Inc.</t>
  </si>
  <si>
    <t>Kissei Pharmaceutical Co., Ltd.</t>
  </si>
  <si>
    <t>NS Solutions Corporation</t>
  </si>
  <si>
    <t>Imperial Hotel, Ltd.</t>
  </si>
  <si>
    <t>Kyoto Financial Group,Inc.</t>
  </si>
  <si>
    <t>ANA Holdings Inc.</t>
  </si>
  <si>
    <t>Nippon Densetsu Kogyo Co., Ltd.</t>
  </si>
  <si>
    <t>MISUMI Group Inc.</t>
  </si>
  <si>
    <t>TechMatrix Corporation</t>
  </si>
  <si>
    <t>Tokyo Gas Co.,Ltd.</t>
  </si>
  <si>
    <t>Nomura Holdings, Inc.</t>
  </si>
  <si>
    <t>NSD Co., Ltd.</t>
  </si>
  <si>
    <t>Belluna Co., Ltd.</t>
  </si>
  <si>
    <t>Niterra Co., Ltd.</t>
  </si>
  <si>
    <t>ZOZO, Inc.</t>
  </si>
  <si>
    <t>Yellow Hat Ltd.</t>
  </si>
  <si>
    <t>Autobacs Seven Co., Ltd.</t>
  </si>
  <si>
    <t>Sumitomo Pharma Co., Ltd.</t>
  </si>
  <si>
    <t>transcosmos inc.</t>
  </si>
  <si>
    <t>Max Co., Ltd.</t>
  </si>
  <si>
    <t>Acom Co., Ltd.</t>
  </si>
  <si>
    <t>TOTO LTD.</t>
  </si>
  <si>
    <t>S&amp;B Foods Inc.</t>
  </si>
  <si>
    <t>Morita Holdings Corporation</t>
  </si>
  <si>
    <t>SMS Co., Ltd.</t>
  </si>
  <si>
    <t>Koito Manufacturing Co., Ltd.</t>
  </si>
  <si>
    <t>Ryoden Corporation</t>
  </si>
  <si>
    <t>Hankyu Hanshin Holdings, Inc.</t>
  </si>
  <si>
    <t>Ohsho Food Service Corp.</t>
  </si>
  <si>
    <t>AS ONE Corporation</t>
  </si>
  <si>
    <t>Nippon Light Metal Holdings Company, Ltd.</t>
  </si>
  <si>
    <t>Komatsu Ltd.</t>
  </si>
  <si>
    <t>Keisei Electric Railway Co., Ltd.</t>
  </si>
  <si>
    <t>Orient Corporation</t>
  </si>
  <si>
    <t>Amano Corporation</t>
  </si>
  <si>
    <t>Meidensha Corporation</t>
  </si>
  <si>
    <t>Nisshin Seifun Group Inc.</t>
  </si>
  <si>
    <t>Alps Alpine Co., Ltd.</t>
  </si>
  <si>
    <t>Japan Lifeline Co., Ltd.</t>
  </si>
  <si>
    <t>Keihanshin Building Co., Ltd.</t>
  </si>
  <si>
    <t>Kraftia Corporation</t>
  </si>
  <si>
    <t>Chori Co., Ltd.</t>
  </si>
  <si>
    <t>Zeon Corporation</t>
  </si>
  <si>
    <t>MEISEI INDUSTRIAL Co.,Ltd.</t>
  </si>
  <si>
    <t>Eiken Chemical Co., Ltd.</t>
  </si>
  <si>
    <t>Sankyu Inc.</t>
  </si>
  <si>
    <t>Wacom Co., Ltd.</t>
  </si>
  <si>
    <t>Tokuyama Corporation</t>
  </si>
  <si>
    <t>Mitsui DM Sugar Co.,Ltd.</t>
  </si>
  <si>
    <t>Tokyo Kiraboshi Financial Group, Inc.</t>
  </si>
  <si>
    <t>Krosaki Harima Corporation</t>
  </si>
  <si>
    <t>NS United Kaiun Kaisha, Ltd.</t>
  </si>
  <si>
    <t>EIZO Corporation</t>
  </si>
  <si>
    <t>Chudenko Corporation</t>
  </si>
  <si>
    <t>Maxell, Ltd.</t>
  </si>
  <si>
    <t>Nichiha Corporation</t>
  </si>
  <si>
    <t>Shoei Co., Ltd.</t>
  </si>
  <si>
    <t>Sumitomo Mitsui Trust Group, Inc.</t>
  </si>
  <si>
    <t>Toei Animation Co.,Ltd.</t>
  </si>
  <si>
    <t>The Chugoku Electric Power Co., Inc.</t>
  </si>
  <si>
    <t>Kyushu Electric Power Company, Incorporated</t>
  </si>
  <si>
    <t>ARGO GRAPHICS Inc.</t>
  </si>
  <si>
    <t>Asahi Yukizai Corporation</t>
  </si>
  <si>
    <t>Electric Power Development Co., Ltd.</t>
  </si>
  <si>
    <t>Tohoku Electric Power Company, Incorporated</t>
  </si>
  <si>
    <t>Hokkaido Electric Power Company, Incorporated</t>
  </si>
  <si>
    <t>Shikoku Electric Power Company, Incorporated</t>
  </si>
  <si>
    <t>Mitsubishi Logistics Corporation</t>
  </si>
  <si>
    <t>SCREEN Holdings Co., Ltd.</t>
  </si>
  <si>
    <t>M&amp;A Capital Partners Co.,Ltd.</t>
  </si>
  <si>
    <t>Lasertec Corporation</t>
  </si>
  <si>
    <t>GOLDCREST Co.,Ltd.</t>
  </si>
  <si>
    <t>Kinsus Interconnect Technology Corp.</t>
  </si>
  <si>
    <t>ES-CON JAPAN Ltd.</t>
  </si>
  <si>
    <t>Seria Co., Ltd.</t>
  </si>
  <si>
    <t>RRKABEL</t>
    <phoneticPr fontId="5" type="noConversion"/>
  </si>
  <si>
    <t>MSUMI</t>
  </si>
  <si>
    <t>Motherson Sumi Wiring India Limited</t>
  </si>
  <si>
    <t>INTELLECT</t>
  </si>
  <si>
    <t>Intellect Design Arena Limited</t>
  </si>
  <si>
    <t>JPPOWER</t>
  </si>
  <si>
    <t>Jaiprakash Power Ventures Limited</t>
  </si>
  <si>
    <t>AADHARHFC</t>
  </si>
  <si>
    <t>Aadhar Housing Finance Limited</t>
  </si>
  <si>
    <t>MEDPLUS</t>
  </si>
  <si>
    <t>MedPlus Health Services Limited</t>
  </si>
  <si>
    <t>SUNPHARMA</t>
  </si>
  <si>
    <t>Sun Pharmaceutical Industries Limited</t>
  </si>
  <si>
    <t>ASTERDM</t>
  </si>
  <si>
    <t>Aster DM Healthcare Limited</t>
  </si>
  <si>
    <t>NIACL</t>
  </si>
  <si>
    <t>The New India Assurance Company Limited</t>
  </si>
  <si>
    <t>JINDALSTEL</t>
  </si>
  <si>
    <t>Jindal Steel Limited</t>
  </si>
  <si>
    <t>POWERGRID</t>
  </si>
  <si>
    <t>Power Grid Corporation of India Limited</t>
  </si>
  <si>
    <t>LALPATHLAB</t>
  </si>
  <si>
    <t>Dr. Lal PathLabs Limited</t>
  </si>
  <si>
    <t>BANKBARODA</t>
  </si>
  <si>
    <t>Bank of Baroda Limited</t>
  </si>
  <si>
    <t>NATIONALUM</t>
  </si>
  <si>
    <t>National Aluminium Company Limited</t>
  </si>
  <si>
    <t>AEGISLOG</t>
  </si>
  <si>
    <t>Aegis Logistics Limited</t>
  </si>
  <si>
    <t>AIAENG</t>
  </si>
  <si>
    <t>AIA Engineering Limited</t>
  </si>
  <si>
    <t>LICHSGFIN</t>
  </si>
  <si>
    <t>LIC Housing Finance Limited</t>
  </si>
  <si>
    <t>CLEAN</t>
  </si>
  <si>
    <t>Clean Science and Technology Limited</t>
  </si>
  <si>
    <t>FINPIPE</t>
  </si>
  <si>
    <t>Finolex Industries Limited</t>
  </si>
  <si>
    <t>France</t>
  </si>
  <si>
    <t>H1 2026</t>
  </si>
  <si>
    <t>NIACL</t>
    <phoneticPr fontId="5" type="noConversion"/>
  </si>
  <si>
    <t>XOM</t>
    <phoneticPr fontId="5" type="noConversion"/>
  </si>
  <si>
    <t>실적 기업 정보</t>
    <phoneticPr fontId="5" type="noConversion"/>
  </si>
  <si>
    <t>Wacom Co., Ltd.</t>
    <phoneticPr fontId="5" type="noConversion"/>
  </si>
  <si>
    <t>Exxon Mobil Corporation</t>
  </si>
  <si>
    <t>30-Jan-26</t>
  </si>
  <si>
    <t>25-Dec</t>
  </si>
  <si>
    <t>Chevron Corporation</t>
  </si>
  <si>
    <t>American Express Company</t>
  </si>
  <si>
    <t>Verizon Communications Inc.</t>
  </si>
  <si>
    <t>CABK</t>
  </si>
  <si>
    <t>CaixaBank, S.A.</t>
  </si>
  <si>
    <t>Regeneron Pharmaceuticals, Inc.</t>
  </si>
  <si>
    <t>Aon plc</t>
  </si>
  <si>
    <t>Colgate-Palmolive Company</t>
  </si>
  <si>
    <t>Air Products and Chemicals, Inc.</t>
  </si>
  <si>
    <t>CNR</t>
  </si>
  <si>
    <t>Canadian National Railway Company</t>
  </si>
  <si>
    <t>Imperial Oil Limited</t>
  </si>
  <si>
    <t>31-Jan-26</t>
  </si>
  <si>
    <t>NTPC</t>
  </si>
  <si>
    <t>NTPC Limited</t>
  </si>
  <si>
    <t>SoFi Technologies, Inc.</t>
  </si>
  <si>
    <t>HEXA B</t>
  </si>
  <si>
    <t>Hexagon AB (publ)</t>
  </si>
  <si>
    <t>BAJAJ-AUTO</t>
  </si>
  <si>
    <t>Bajaj Auto Limited</t>
  </si>
  <si>
    <t>Charter Communications, Inc.</t>
  </si>
  <si>
    <t>Church &amp; Dwight Co., Inc.</t>
  </si>
  <si>
    <t>BEP.UN</t>
  </si>
  <si>
    <t>Brookfield Renewable Partners L.P.</t>
  </si>
  <si>
    <t>A086790</t>
  </si>
  <si>
    <t>Hana Financial Group Inc.</t>
  </si>
  <si>
    <t>A064350</t>
  </si>
  <si>
    <t>Hyundai Rotem Company</t>
  </si>
  <si>
    <t>Ambuja Cements Limited</t>
  </si>
  <si>
    <t>LYB</t>
  </si>
  <si>
    <t>LyondellBasell Industries N.V.</t>
  </si>
  <si>
    <t>The Kansai Electric Power Company, Incorporated</t>
  </si>
  <si>
    <t>AAF</t>
  </si>
  <si>
    <t>Airtel Africa Plc</t>
  </si>
  <si>
    <t>Cholamandalam Investment and Finance Company Limited</t>
  </si>
  <si>
    <t>Beijing Compass Technology Development Co., Ltd.</t>
  </si>
  <si>
    <t>A010140</t>
  </si>
  <si>
    <t>Samsung Heavy Industries Co., Ltd.</t>
  </si>
  <si>
    <t>GAIL</t>
  </si>
  <si>
    <t>GAIL (India) Limited</t>
  </si>
  <si>
    <t>LTM</t>
  </si>
  <si>
    <t>LATAM Airlines Group S.A.</t>
  </si>
  <si>
    <t>RBI</t>
  </si>
  <si>
    <t>Raiffeisen Bank International AG</t>
  </si>
  <si>
    <t>Franklin Resources, Inc.</t>
  </si>
  <si>
    <t>Brookfield Renewable Corporation</t>
  </si>
  <si>
    <t>SKF B</t>
  </si>
  <si>
    <t>AB SKF (publ)</t>
  </si>
  <si>
    <t>UHR</t>
  </si>
  <si>
    <t>The Swatch Group AG</t>
  </si>
  <si>
    <t>Autoliv, Inc.</t>
  </si>
  <si>
    <t>BCI</t>
  </si>
  <si>
    <t>Banco de Crédito e Inversiones</t>
  </si>
  <si>
    <t>SCA B</t>
  </si>
  <si>
    <t>Svenska Cellulosa Aktiebolaget SCA (publ)</t>
  </si>
  <si>
    <t>A298040</t>
  </si>
  <si>
    <t>Hyosung Heavy Industries Corporation</t>
  </si>
  <si>
    <t>A066570</t>
  </si>
  <si>
    <t>LG Electronics Inc.</t>
  </si>
  <si>
    <t>MOG.A</t>
  </si>
  <si>
    <t>Moog Inc.</t>
  </si>
  <si>
    <t>ELISA</t>
  </si>
  <si>
    <t>Elisa Oyj</t>
  </si>
  <si>
    <t>BEIJ B</t>
  </si>
  <si>
    <t>Beijer Ref AB (publ)</t>
  </si>
  <si>
    <t>IDFC First Bank Limited</t>
  </si>
  <si>
    <t>IES Holdings, Inc.</t>
  </si>
  <si>
    <t>Janus Henderson Group plc</t>
  </si>
  <si>
    <t>Steel Authority of India Limited</t>
  </si>
  <si>
    <t>KBCA</t>
  </si>
  <si>
    <t>KBC Ancora SA</t>
  </si>
  <si>
    <t>Brookfield Business Partners L.P.</t>
  </si>
  <si>
    <t>Bharat Dynamics Limited</t>
  </si>
  <si>
    <t>A307950</t>
  </si>
  <si>
    <t>Hyundai Autoever Corporation</t>
  </si>
  <si>
    <t>HOLM B</t>
  </si>
  <si>
    <t>Holmen AB (publ)</t>
  </si>
  <si>
    <t>Hang Lung Properties Limited</t>
  </si>
  <si>
    <t>Godfrey Phillips India Limited</t>
  </si>
  <si>
    <t>Gentex Corporation</t>
  </si>
  <si>
    <t>Procter &amp; Gamble Hygiene and Health Care Limited</t>
  </si>
  <si>
    <t>Flagstar Bank, National Association</t>
  </si>
  <si>
    <t>Exide Industries Limited</t>
  </si>
  <si>
    <t>First Hawaiian, Inc.</t>
  </si>
  <si>
    <t>25-Sep</t>
  </si>
  <si>
    <t>Mechanics Bancorp</t>
  </si>
  <si>
    <t>HMN</t>
  </si>
  <si>
    <t>CapitaLand Ascott Trust</t>
  </si>
  <si>
    <t>A004020</t>
  </si>
  <si>
    <t>Hyundai Steel Company</t>
  </si>
  <si>
    <t>Asahi India Glass Limited</t>
  </si>
  <si>
    <t>LIGHT</t>
  </si>
  <si>
    <t>Signify N.V.</t>
  </si>
  <si>
    <t>TowneBank</t>
  </si>
  <si>
    <t>Hang Lung Group Limited</t>
  </si>
  <si>
    <t>Brigade Enterprises Limited</t>
  </si>
  <si>
    <t>Welspun Corp Limited</t>
  </si>
  <si>
    <t>WisdomTree, Inc.</t>
  </si>
  <si>
    <t>ATRLJ B</t>
  </si>
  <si>
    <t>Atrium Ljungberg AB (publ)</t>
  </si>
  <si>
    <t>SCATC</t>
  </si>
  <si>
    <t>Scatec ASA</t>
  </si>
  <si>
    <t>Kajaria Ceramics Limited</t>
  </si>
  <si>
    <t>SBNOR</t>
  </si>
  <si>
    <t>Sparebanken Norge</t>
  </si>
  <si>
    <t>NISP</t>
  </si>
  <si>
    <t>PT Bank OCBC NISP Tbk</t>
  </si>
  <si>
    <t>ELUX B</t>
  </si>
  <si>
    <t>AB Electrolux (publ)</t>
  </si>
  <si>
    <t>DOMS</t>
  </si>
  <si>
    <t>DOMS Industries Limited</t>
  </si>
  <si>
    <t>JBM Auto Limited</t>
  </si>
  <si>
    <t>Vinati Organics Limited</t>
  </si>
  <si>
    <t>ArcBest Corporation</t>
  </si>
  <si>
    <t>Sumitomo Riko Company Limited</t>
  </si>
  <si>
    <t>ARCLK</t>
  </si>
  <si>
    <t>Arçelik Anonim Sirketi</t>
  </si>
  <si>
    <t>RBCA.A</t>
  </si>
  <si>
    <t>Republic Bancorp, Inc.</t>
  </si>
  <si>
    <t>Blue Dart Express Limited</t>
  </si>
  <si>
    <t>SFA</t>
  </si>
  <si>
    <t>Sopharma AD</t>
  </si>
  <si>
    <t>Relaxo Footwears Limited</t>
  </si>
  <si>
    <t>A007810</t>
  </si>
  <si>
    <t>Korea Circuit Co., Ltd.</t>
  </si>
  <si>
    <t>Tompkins Financial Corporation</t>
  </si>
  <si>
    <t>Dorian LPG Ltd.</t>
  </si>
  <si>
    <t>JLHL</t>
  </si>
  <si>
    <t>Jupiter Life Line Hospitals Limited</t>
  </si>
  <si>
    <t>JM</t>
  </si>
  <si>
    <t>JM AB (publ)</t>
  </si>
  <si>
    <t>PLAZ B</t>
  </si>
  <si>
    <t>Platzer Fastigheter Holding AB (publ)</t>
  </si>
  <si>
    <t>ARJO B</t>
  </si>
  <si>
    <t>Arjo AB (publ)</t>
  </si>
  <si>
    <t>Birla Corporation Limited</t>
  </si>
  <si>
    <t>A000080</t>
  </si>
  <si>
    <t>HITEJINRO Co., Ltd.</t>
  </si>
  <si>
    <t>Arvind Limited</t>
  </si>
  <si>
    <t>Oppenheimer Holdings Inc.</t>
  </si>
  <si>
    <t>A085620</t>
  </si>
  <si>
    <t>MIRAE ASSET Life Insurance Co., Ltd.</t>
  </si>
  <si>
    <t>MOIL Limited</t>
  </si>
  <si>
    <t>Pegavision Corporation</t>
  </si>
  <si>
    <t>GAEL</t>
  </si>
  <si>
    <t>Gujarat Ambuja Exports Limited</t>
  </si>
  <si>
    <t>Red River Bancshares, Inc.</t>
  </si>
  <si>
    <t>PLTR</t>
  </si>
  <si>
    <t>TER</t>
  </si>
  <si>
    <t>FN</t>
  </si>
  <si>
    <t>WWD</t>
  </si>
  <si>
    <t>NJR</t>
  </si>
  <si>
    <t>Utilities - Regulated Gas</t>
  </si>
  <si>
    <t>CSWC</t>
  </si>
  <si>
    <t>RMBS</t>
  </si>
  <si>
    <t>TWST</t>
  </si>
  <si>
    <t>SPG</t>
  </si>
  <si>
    <t>REIT - Retail</t>
  </si>
  <si>
    <t>IDXX</t>
  </si>
  <si>
    <t>NSSC</t>
  </si>
  <si>
    <t>Security &amp; Protection Services</t>
  </si>
  <si>
    <t>DVA</t>
  </si>
  <si>
    <t>USLM</t>
  </si>
  <si>
    <t>NXPI</t>
  </si>
  <si>
    <t>RVTY</t>
  </si>
  <si>
    <t>DIS</t>
  </si>
  <si>
    <t>Entertainment</t>
  </si>
  <si>
    <t>TSN</t>
  </si>
  <si>
    <t>Farm Products</t>
  </si>
  <si>
    <t>APTV</t>
  </si>
  <si>
    <t>DOC</t>
  </si>
  <si>
    <t>REIT - Healthcare Facilities</t>
  </si>
  <si>
    <t>HESM</t>
  </si>
  <si>
    <t>MTG</t>
  </si>
  <si>
    <t>KFRC</t>
  </si>
  <si>
    <t>ASH</t>
  </si>
  <si>
    <t>ARLP</t>
  </si>
  <si>
    <t>Thermal Coal</t>
  </si>
  <si>
    <t>TWO</t>
  </si>
  <si>
    <t>The Kiyo Bank, Ltd.</t>
  </si>
  <si>
    <t>Daiwa Securities Group Inc.</t>
  </si>
  <si>
    <t>The Chiba Bank, Ltd.</t>
  </si>
  <si>
    <t>Hirogin Holdings, Inc.</t>
  </si>
  <si>
    <t>The Hyakujushi Bank, Ltd.</t>
  </si>
  <si>
    <t>Macnica Holdings, Inc.</t>
  </si>
  <si>
    <t>TDK Corporation</t>
  </si>
  <si>
    <t>The Toho Bank, Ltd.</t>
  </si>
  <si>
    <t>Otsuka Corporation</t>
  </si>
  <si>
    <t>Kotobuki Spirits Co., Ltd.</t>
  </si>
  <si>
    <t>Central Japan Railway Company</t>
  </si>
  <si>
    <t>Kyocera Corporation</t>
  </si>
  <si>
    <t>East Japan Railway Company</t>
  </si>
  <si>
    <t>Yamato Holdings Co., Ltd.</t>
  </si>
  <si>
    <t>Mizuho Financial Group, Inc.</t>
  </si>
  <si>
    <t>Prima Meat Packers, Ltd.</t>
  </si>
  <si>
    <t>Takara Standard Co.,Ltd.</t>
  </si>
  <si>
    <t>Murata Manufacturing Co., Ltd.</t>
  </si>
  <si>
    <t>NH Foods Ltd.</t>
  </si>
  <si>
    <t>Nippon Kayaku Co., Ltd.</t>
  </si>
  <si>
    <t>Futaba Industrial Co., Ltd.</t>
  </si>
  <si>
    <t>TOCALO Co.,Ltd.</t>
  </si>
  <si>
    <t>Chuo Spring Co.,Ltd.</t>
  </si>
  <si>
    <t>ShinMaywa Industries, Ltd.</t>
  </si>
  <si>
    <t>Osaka Gas Co., Ltd.</t>
  </si>
  <si>
    <t>Kagome Co., Ltd.</t>
  </si>
  <si>
    <t>Chubu Electric Power Company, Incorporated</t>
  </si>
  <si>
    <t>APOLLO</t>
    <phoneticPr fontId="5" type="noConversion"/>
  </si>
  <si>
    <t>Apollo Micro Systems Limited</t>
  </si>
  <si>
    <t>POLICYBZR</t>
    <phoneticPr fontId="5" type="noConversion"/>
  </si>
  <si>
    <t>PB Fintech Limited</t>
  </si>
  <si>
    <t>PCJEWELLER</t>
    <phoneticPr fontId="5" type="noConversion"/>
  </si>
  <si>
    <t>PC Jeweller Limited</t>
  </si>
  <si>
    <t>SHRIPISTON</t>
    <phoneticPr fontId="5" type="noConversion"/>
  </si>
  <si>
    <t>Shriram Pistons &amp; Rings Limited</t>
  </si>
  <si>
    <t>SUNDARMFIN</t>
    <phoneticPr fontId="5" type="noConversion"/>
  </si>
  <si>
    <t>Sundaram Finance Limited</t>
  </si>
  <si>
    <t>APLLTD</t>
    <phoneticPr fontId="5" type="noConversion"/>
  </si>
  <si>
    <t>Alembic Pharmaceuticals Limited</t>
  </si>
  <si>
    <t>INDUSTOWER</t>
    <phoneticPr fontId="5" type="noConversion"/>
  </si>
  <si>
    <t>Indus Towers Limited</t>
  </si>
  <si>
    <t>THERMAX</t>
    <phoneticPr fontId="5" type="noConversion"/>
  </si>
  <si>
    <t>Thermax Limited</t>
  </si>
  <si>
    <t>RELIGARE</t>
    <phoneticPr fontId="5" type="noConversion"/>
  </si>
  <si>
    <t>Religare Enterprises Limited</t>
  </si>
  <si>
    <t>GICRE</t>
    <phoneticPr fontId="5" type="noConversion"/>
  </si>
  <si>
    <t>General Insurance Corporation of India</t>
  </si>
  <si>
    <t>FINEORG</t>
    <phoneticPr fontId="5" type="noConversion"/>
  </si>
  <si>
    <t>Fine Organic Industries Limited</t>
  </si>
  <si>
    <t>MIDHANI</t>
    <phoneticPr fontId="5" type="noConversion"/>
  </si>
  <si>
    <t>Mishra Dhatu Nigam Limited</t>
  </si>
  <si>
    <t>Hong Kong</t>
  </si>
  <si>
    <t>Saudi Awwal Bank</t>
  </si>
  <si>
    <t>Bank Albilad</t>
  </si>
  <si>
    <t>SHRIPISTON</t>
  </si>
  <si>
    <t>APLLTD</t>
  </si>
  <si>
    <t>SUNDARMFIN</t>
  </si>
  <si>
    <t>GICRE</t>
  </si>
  <si>
    <t>FINEORG</t>
  </si>
  <si>
    <t>RELIGARE</t>
  </si>
  <si>
    <t>MIDHANI</t>
  </si>
  <si>
    <t>INDUSTOWER</t>
  </si>
  <si>
    <t>SMCI</t>
  </si>
  <si>
    <t>LITE</t>
  </si>
  <si>
    <t>AMCR</t>
  </si>
  <si>
    <t>BDN</t>
  </si>
  <si>
    <t>SIMO</t>
  </si>
  <si>
    <t>AMD</t>
  </si>
  <si>
    <t>Dec'25</t>
    <phoneticPr fontId="5" type="noConversion"/>
  </si>
  <si>
    <t>RES</t>
  </si>
  <si>
    <t>TRNS</t>
  </si>
  <si>
    <t>MSGE</t>
  </si>
  <si>
    <t>Leisure</t>
  </si>
  <si>
    <t>TTWO</t>
  </si>
  <si>
    <t>Electronic Gaming &amp; Multimedia</t>
  </si>
  <si>
    <t>ATS</t>
  </si>
  <si>
    <t>PGC</t>
  </si>
  <si>
    <t>HLNE</t>
  </si>
  <si>
    <t>SR</t>
  </si>
  <si>
    <t>BALL</t>
  </si>
  <si>
    <t>INTA</t>
  </si>
  <si>
    <t>ATO</t>
  </si>
  <si>
    <t>INNV</t>
  </si>
  <si>
    <t>PJT</t>
  </si>
  <si>
    <t>APAM</t>
  </si>
  <si>
    <t>AME</t>
  </si>
  <si>
    <t>APPS</t>
  </si>
  <si>
    <t>TDG</t>
  </si>
  <si>
    <t>MPLX</t>
  </si>
  <si>
    <t>ETN</t>
  </si>
  <si>
    <t>J</t>
  </si>
  <si>
    <t>PRU</t>
  </si>
  <si>
    <t>HUBB</t>
  </si>
  <si>
    <t>Electrical Equipment &amp; Parts</t>
  </si>
  <si>
    <t>VRNS</t>
  </si>
  <si>
    <t>BR</t>
  </si>
  <si>
    <t>MDLZ</t>
  </si>
  <si>
    <t>Confectioners</t>
  </si>
  <si>
    <t>ZWS</t>
  </si>
  <si>
    <t>Pollution &amp; Treatment Controls</t>
  </si>
  <si>
    <t>AMGN</t>
  </si>
  <si>
    <t>Drug Manufacturers - General</t>
  </si>
  <si>
    <t>SWKS</t>
  </si>
  <si>
    <t>JKHY</t>
  </si>
  <si>
    <t>BHE</t>
  </si>
  <si>
    <t>PEP</t>
  </si>
  <si>
    <t>Beverages - Non-Alcoholic</t>
  </si>
  <si>
    <t>CB</t>
  </si>
  <si>
    <t>THG</t>
  </si>
  <si>
    <t>CRUS</t>
  </si>
  <si>
    <t>VOYA</t>
  </si>
  <si>
    <t>MRK</t>
  </si>
  <si>
    <t>CMG</t>
  </si>
  <si>
    <t>PNR</t>
  </si>
  <si>
    <t>THFF</t>
  </si>
  <si>
    <t>GWW</t>
  </si>
  <si>
    <t>MRCY</t>
  </si>
  <si>
    <t>DOX</t>
  </si>
  <si>
    <t>ITW</t>
  </si>
  <si>
    <t>EMR</t>
  </si>
  <si>
    <t>PYPL</t>
  </si>
  <si>
    <t>MLI</t>
  </si>
  <si>
    <t>Metal Fabrication</t>
  </si>
  <si>
    <t>VLTO</t>
  </si>
  <si>
    <t>POWL</t>
  </si>
  <si>
    <t>CRVL</t>
  </si>
  <si>
    <t>FUBO</t>
  </si>
  <si>
    <t>Broadcasting</t>
  </si>
  <si>
    <t>IT</t>
  </si>
  <si>
    <t>BV</t>
  </si>
  <si>
    <t>HRB</t>
  </si>
  <si>
    <t>Personal Services</t>
  </si>
  <si>
    <t>MTCH</t>
  </si>
  <si>
    <t>MZTI</t>
  </si>
  <si>
    <t>SKY</t>
  </si>
  <si>
    <t>BRBR</t>
  </si>
  <si>
    <t>GPK</t>
  </si>
  <si>
    <t>ATI</t>
  </si>
  <si>
    <t>MPC</t>
  </si>
  <si>
    <t>CLX</t>
  </si>
  <si>
    <t>ATKR</t>
  </si>
  <si>
    <t>AFG</t>
  </si>
  <si>
    <t>PFE</t>
  </si>
  <si>
    <t>SONO</t>
  </si>
  <si>
    <t>CTVA</t>
  </si>
  <si>
    <t>AAT</t>
  </si>
  <si>
    <t>REIT - Diversified</t>
  </si>
  <si>
    <t>INGR</t>
  </si>
  <si>
    <t>EPD</t>
  </si>
  <si>
    <t>COLM</t>
  </si>
  <si>
    <t>WTW</t>
  </si>
  <si>
    <t>WFRD</t>
  </si>
  <si>
    <t>JJSF</t>
  </si>
  <si>
    <t>EA</t>
  </si>
  <si>
    <t>ENPH</t>
  </si>
  <si>
    <t>CBT</t>
  </si>
  <si>
    <t>ADM</t>
  </si>
  <si>
    <t>PAX</t>
  </si>
  <si>
    <t>CPRI</t>
  </si>
  <si>
    <t>Luxury Goods</t>
  </si>
  <si>
    <t>HTLD</t>
  </si>
  <si>
    <t>MATW</t>
  </si>
  <si>
    <t>RITM</t>
  </si>
  <si>
    <t>IAC</t>
  </si>
  <si>
    <t>NGL</t>
  </si>
  <si>
    <t>KREF</t>
  </si>
  <si>
    <t>NAZARA</t>
  </si>
  <si>
    <t>BAJFINANCE</t>
  </si>
  <si>
    <t>ABCAPITAL</t>
  </si>
  <si>
    <t>SOLARINDS</t>
  </si>
  <si>
    <t>ADANIPORTS</t>
  </si>
  <si>
    <t>BECTORFOOD</t>
  </si>
  <si>
    <t>PILANIINVS</t>
  </si>
  <si>
    <t>PIDILITIND</t>
  </si>
  <si>
    <t>RPOWER</t>
  </si>
  <si>
    <t>CMSINFO</t>
  </si>
  <si>
    <t>HGINFRA</t>
  </si>
  <si>
    <t>Fuji Media Holdings, Inc.</t>
  </si>
  <si>
    <t>ARE Holdings, Inc.</t>
  </si>
  <si>
    <t>NSK Ltd.</t>
  </si>
  <si>
    <t>Aichi Steel Corporation</t>
  </si>
  <si>
    <t>The Hyakugo Bank, Ltd.</t>
  </si>
  <si>
    <t>The Nanto Bank, Ltd.</t>
  </si>
  <si>
    <t>Ibiden Co.,Ltd.</t>
  </si>
  <si>
    <t>Eagle Industry Co.,Ltd.</t>
  </si>
  <si>
    <t>Alsok Co.,Ltd.</t>
  </si>
  <si>
    <t>Sumitomo Electric Industries, Ltd.</t>
  </si>
  <si>
    <t>NTN Corporation</t>
  </si>
  <si>
    <t>Nintendo Co., Ltd.</t>
  </si>
  <si>
    <t>MonotaRO Co., Ltd.</t>
  </si>
  <si>
    <t>Fuji Kyuko Co., Ltd.</t>
  </si>
  <si>
    <t>Nippon Gas Co., Ltd.</t>
  </si>
  <si>
    <t>Chugoku Marine Paints, Ltd.</t>
  </si>
  <si>
    <t>JTEKT Corporation</t>
  </si>
  <si>
    <t>Riso Kagaku Corporation</t>
  </si>
  <si>
    <t>Parade Technologies, Ltd.</t>
  </si>
  <si>
    <t>West Japan Railway Company</t>
  </si>
  <si>
    <t>Toyota Boshoku Corporation</t>
  </si>
  <si>
    <t>Toyota Tsusho Corporation</t>
  </si>
  <si>
    <t>Fujimi Incorporated</t>
  </si>
  <si>
    <t>Nichirei Corporation</t>
  </si>
  <si>
    <t>Hirose Electric Co.,Ltd.</t>
  </si>
  <si>
    <t>Aica Kogyo Company, Limited</t>
  </si>
  <si>
    <t>Yokogawa Electric Corporation</t>
  </si>
  <si>
    <t>Seiko Epson Corporation</t>
  </si>
  <si>
    <t>Mitsubishi Electric Corporation</t>
  </si>
  <si>
    <t>DAIHEN Corporation</t>
  </si>
  <si>
    <t>House Foods Group Inc.</t>
  </si>
  <si>
    <t>JVCKENWOOD Corporation</t>
  </si>
  <si>
    <t>Kawasaki Kisen Kaisha, Ltd.</t>
  </si>
  <si>
    <t>NAZARA</t>
    <phoneticPr fontId="5" type="noConversion"/>
  </si>
  <si>
    <t>Nazara Technologies Limited</t>
  </si>
  <si>
    <t>SOLARINDS</t>
    <phoneticPr fontId="5" type="noConversion"/>
  </si>
  <si>
    <t>Solar Industries India Limited</t>
  </si>
  <si>
    <t>Aditya Birla Capital Limited</t>
  </si>
  <si>
    <t>Reliance Power Limited</t>
  </si>
  <si>
    <t>Adani Ports and Special Economic Zone Limited</t>
  </si>
  <si>
    <t>Pidilite Industries Limited</t>
  </si>
  <si>
    <t>Pilani Investment and Industries Corporation Limited</t>
  </si>
  <si>
    <t>Bajaj Finance Limited</t>
  </si>
  <si>
    <t>Mrs. Bectors Food Specialities Limited</t>
  </si>
  <si>
    <t>CMS Info Systems Limited</t>
  </si>
  <si>
    <t>H.G. Infra Engineering Limited</t>
  </si>
  <si>
    <t>Advanced Micro Devices, Inc.</t>
  </si>
  <si>
    <t>03-Feb-26</t>
  </si>
  <si>
    <t>Dec-25</t>
  </si>
  <si>
    <t>Merck &amp; Co., Inc.</t>
  </si>
  <si>
    <t>PepsiCo, Inc.</t>
  </si>
  <si>
    <t>Amgen Inc.</t>
  </si>
  <si>
    <t>Pfizer Inc.</t>
  </si>
  <si>
    <t>Eaton Corporation plc</t>
  </si>
  <si>
    <t>Chubb Limited</t>
  </si>
  <si>
    <t>Emerson Electric Co.</t>
  </si>
  <si>
    <t>TransDigm Group Incorporated</t>
  </si>
  <si>
    <t>Illinois Tool Works Inc.</t>
  </si>
  <si>
    <t>Mondelez International, Inc.</t>
  </si>
  <si>
    <t>Enterprise Products Partners L.P.</t>
  </si>
  <si>
    <t>SU</t>
  </si>
  <si>
    <t>Suncor Energy Inc.</t>
  </si>
  <si>
    <t>MPLX LP</t>
  </si>
  <si>
    <t>Marathon Petroleum Corporation</t>
  </si>
  <si>
    <t>AMETEK, Inc.</t>
  </si>
  <si>
    <t>Chipotle Mexican Grill, Inc.</t>
  </si>
  <si>
    <t>W.W. Grainger, Inc.</t>
  </si>
  <si>
    <t>Electronic Arts Inc.</t>
  </si>
  <si>
    <t>PayPal Holdings, Inc.</t>
  </si>
  <si>
    <t>Corteva, Inc.</t>
  </si>
  <si>
    <t>Take-Two Interactive Software, Inc.</t>
  </si>
  <si>
    <t>Prudential Financial, Inc.</t>
  </si>
  <si>
    <t>Chunghwa Telecom Co., Ltd.</t>
  </si>
  <si>
    <t>ADVANC</t>
  </si>
  <si>
    <t>Advanced Info Service Public Company Limited</t>
  </si>
  <si>
    <t>Willis Towers Watson Public Limited Company</t>
  </si>
  <si>
    <t>Archer-Daniels-Midland Company</t>
  </si>
  <si>
    <t>Adani Enterprises Limited</t>
  </si>
  <si>
    <t>Atmos Energy Corporation</t>
  </si>
  <si>
    <t>Hubbell Incorporated</t>
  </si>
  <si>
    <t>Broadridge Financial Solutions, Inc.</t>
  </si>
  <si>
    <t>Veralto Corporation</t>
  </si>
  <si>
    <t>Jan-26</t>
  </si>
  <si>
    <t>PUB</t>
  </si>
  <si>
    <t>Publicis Groupe S.A.</t>
  </si>
  <si>
    <t>DIM</t>
  </si>
  <si>
    <t>Sartorius Stedim Biotech S.A.</t>
  </si>
  <si>
    <t>ALFA</t>
  </si>
  <si>
    <t>Alfa Laval AB (publ)</t>
  </si>
  <si>
    <t>Super Micro Computer, Inc.</t>
  </si>
  <si>
    <t>Amcor plc</t>
  </si>
  <si>
    <t>Jacobs Solutions Inc.</t>
  </si>
  <si>
    <t>Pentair plc</t>
  </si>
  <si>
    <t>Gartner, Inc.</t>
  </si>
  <si>
    <t>FORTUM</t>
  </si>
  <si>
    <t>Fortum Oyj</t>
  </si>
  <si>
    <t>VBL</t>
  </si>
  <si>
    <t>Varun Beverages Limited</t>
  </si>
  <si>
    <t>AMUN</t>
  </si>
  <si>
    <t>Amundi S.A.</t>
  </si>
  <si>
    <t>CHILE</t>
  </si>
  <si>
    <t>Banco de Chile</t>
  </si>
  <si>
    <t>The Clorox Company</t>
  </si>
  <si>
    <t>OMC</t>
  </si>
  <si>
    <t>Omnicom Group Inc.</t>
  </si>
  <si>
    <t>BMED</t>
  </si>
  <si>
    <t>Banca Mediolanum S.p.A.</t>
  </si>
  <si>
    <t>CSL</t>
  </si>
  <si>
    <t>Carlisle Companies Incorporated</t>
  </si>
  <si>
    <t>Ball Corporation</t>
  </si>
  <si>
    <t>Arab National Bank</t>
  </si>
  <si>
    <t>BOL</t>
  </si>
  <si>
    <t>Boliden AB (publ)</t>
  </si>
  <si>
    <t>American Financial Group, Inc.</t>
  </si>
  <si>
    <t>RNR</t>
  </si>
  <si>
    <t>RenaissanceRe Holdings Ltd.</t>
  </si>
  <si>
    <t>Lumentum Holdings Inc.</t>
  </si>
  <si>
    <t>Skyworks Solutions, Inc.</t>
  </si>
  <si>
    <t>ATI Inc.</t>
  </si>
  <si>
    <t>Mueller Industries, Inc.</t>
  </si>
  <si>
    <t>Jack Henry &amp; Associates, Inc.</t>
  </si>
  <si>
    <t>BPSO</t>
  </si>
  <si>
    <t>Banca Popolare di Sondrio S.p.A</t>
  </si>
  <si>
    <t>BBNI</t>
  </si>
  <si>
    <t>PT Bank Negara Indonesia (Persero) Tbk</t>
  </si>
  <si>
    <t>Amdocs Limited</t>
  </si>
  <si>
    <t>Match Group, Inc.</t>
  </si>
  <si>
    <t>NMDC Limited</t>
  </si>
  <si>
    <t>Zurn Elkay Water Solutions Corporation</t>
  </si>
  <si>
    <t>UNI</t>
  </si>
  <si>
    <t>Unicaja Banco, S.A.</t>
  </si>
  <si>
    <t>DEMANT</t>
  </si>
  <si>
    <t>Demant A/S</t>
  </si>
  <si>
    <t>Ingredion Incorporated</t>
  </si>
  <si>
    <t>Voya Financial, Inc.</t>
  </si>
  <si>
    <t>A003230</t>
  </si>
  <si>
    <t>Samyang Foods Co., Ltd.</t>
  </si>
  <si>
    <t>HLUN B</t>
  </si>
  <si>
    <t>H. Lundbeck A/S</t>
  </si>
  <si>
    <t>The Hanover Insurance Group, Inc.</t>
  </si>
  <si>
    <t>Hamilton Lane Incorporated</t>
  </si>
  <si>
    <t>Rithm Capital Corp.</t>
  </si>
  <si>
    <t>Cirrus Logic, Inc.</t>
  </si>
  <si>
    <t>H&amp;R Block, Inc.</t>
  </si>
  <si>
    <t>ACT</t>
  </si>
  <si>
    <t>Enact Holdings, Inc.</t>
  </si>
  <si>
    <t>Champion Homes, Inc.</t>
  </si>
  <si>
    <t>Spire Inc.</t>
  </si>
  <si>
    <t>Enphase Energy, Inc.</t>
  </si>
  <si>
    <t>Weatherford International plc</t>
  </si>
  <si>
    <t>The Marzetti Company</t>
  </si>
  <si>
    <t>Graphic Packaging Holding Company</t>
  </si>
  <si>
    <t>MONET</t>
  </si>
  <si>
    <t>MONETA Money Bank, a.s.</t>
  </si>
  <si>
    <t>A039490</t>
  </si>
  <si>
    <t>Kiwoom Securities Co., Ltd.</t>
  </si>
  <si>
    <t>Powell Industries, Inc.</t>
  </si>
  <si>
    <t>BellRing Brands, Inc.</t>
  </si>
  <si>
    <t>Mercury Systems, Inc.</t>
  </si>
  <si>
    <t>PJT Partners Inc.</t>
  </si>
  <si>
    <t>Varonis Systems, Inc.</t>
  </si>
  <si>
    <t>EXCL</t>
  </si>
  <si>
    <t>PT XLSMART Telecom Sejahtera Tbk</t>
  </si>
  <si>
    <t>SPNO</t>
  </si>
  <si>
    <t>Spar Nord Bank A/S</t>
  </si>
  <si>
    <t>Cabot Corporation</t>
  </si>
  <si>
    <t>CorVel Corporation</t>
  </si>
  <si>
    <t>Intapp, Inc.</t>
  </si>
  <si>
    <t>A006260</t>
  </si>
  <si>
    <t>LS Corp.</t>
  </si>
  <si>
    <t>Silicon Motion Technology Corporation</t>
  </si>
  <si>
    <t>IAC Inc.</t>
  </si>
  <si>
    <t>Columbia Sportswear Company</t>
  </si>
  <si>
    <t>Artisan Partners Asset Management Inc.</t>
  </si>
  <si>
    <t>A001440</t>
  </si>
  <si>
    <t>Taihan Cable &amp; Solution Co., Ltd.</t>
  </si>
  <si>
    <t>A302440</t>
  </si>
  <si>
    <t>SK bioscience Co.,Ltd.</t>
  </si>
  <si>
    <t>FSL</t>
  </si>
  <si>
    <t>Firstsource Solutions Limited</t>
  </si>
  <si>
    <t>Capri Holdings Limited</t>
  </si>
  <si>
    <t>KINV B</t>
  </si>
  <si>
    <t>Kinnevik AB</t>
  </si>
  <si>
    <t>PNI</t>
  </si>
  <si>
    <t>Pinnacle Investment Management Group Limited</t>
  </si>
  <si>
    <t>Atkore Inc.</t>
  </si>
  <si>
    <t>Madison Square Garden Entertainment Corp.</t>
  </si>
  <si>
    <t>NETC</t>
  </si>
  <si>
    <t>Netcompany Group A/S</t>
  </si>
  <si>
    <t>Patria Investments Limited</t>
  </si>
  <si>
    <t>EMBLA</t>
  </si>
  <si>
    <t>Embla Medical hf.</t>
  </si>
  <si>
    <t>Kansai Nerolac Paints Limited</t>
  </si>
  <si>
    <t>Castrol India Limited</t>
  </si>
  <si>
    <t>VITR</t>
  </si>
  <si>
    <t>Vitrolife AB (publ)</t>
  </si>
  <si>
    <t>J&amp;J Snack Foods Corp.</t>
  </si>
  <si>
    <t>Horace Mann Educators Corporation</t>
  </si>
  <si>
    <t>Sonos, Inc.</t>
  </si>
  <si>
    <t>Benchmark Electronics, Inc.</t>
  </si>
  <si>
    <t>CRLA</t>
  </si>
  <si>
    <t>Caisse Régionale de Crédit Agricole Mutuel du Languedoc Société coopérative</t>
  </si>
  <si>
    <t>XIOR</t>
  </si>
  <si>
    <t>Xior Student Housing NV</t>
  </si>
  <si>
    <t>A004170</t>
  </si>
  <si>
    <t>SHINSEGAE Inc.</t>
  </si>
  <si>
    <t>Zydus Wellness Limited</t>
  </si>
  <si>
    <t>ANOD B</t>
  </si>
  <si>
    <t>Addnode Group AB (publ)</t>
  </si>
  <si>
    <t>BDB</t>
  </si>
  <si>
    <t>Banco di Desio e della Brianza S.p.A.</t>
  </si>
  <si>
    <t>CCL Products (India) Limited</t>
  </si>
  <si>
    <t>AT &amp; S Austria Technologie &amp; Systemtechnik Aktiengesellschaft</t>
  </si>
  <si>
    <t>RPC, Inc.</t>
  </si>
  <si>
    <t>BrightView Holdings, Inc.</t>
  </si>
  <si>
    <t>A006360</t>
  </si>
  <si>
    <t>GS Engineering &amp; Construction Corporation</t>
  </si>
  <si>
    <t>NGL Energy Partners LP</t>
  </si>
  <si>
    <t>American Assets Trust, Inc.</t>
  </si>
  <si>
    <t>A064760</t>
  </si>
  <si>
    <t>Tokai Carbon Korea Co., Ltd.</t>
  </si>
  <si>
    <t>ATX</t>
  </si>
  <si>
    <t>ATEX Resources Inc.</t>
  </si>
  <si>
    <t>HFCL</t>
  </si>
  <si>
    <t>HFCL Limited</t>
  </si>
  <si>
    <t>SSII</t>
  </si>
  <si>
    <t>SS Innovations International, Inc.</t>
  </si>
  <si>
    <t>AU8U</t>
  </si>
  <si>
    <t>CapitaLand China Trust</t>
  </si>
  <si>
    <t>INWI</t>
  </si>
  <si>
    <t>Inwido AB (publ)</t>
  </si>
  <si>
    <t>CHBB.F</t>
  </si>
  <si>
    <t>SNCY</t>
  </si>
  <si>
    <t>Sun Country Airlines Holdings, Inc.</t>
  </si>
  <si>
    <t>ALBAV</t>
  </si>
  <si>
    <t>Ålandsbanken Abp</t>
  </si>
  <si>
    <t>fuboTV Inc.</t>
  </si>
  <si>
    <t>Heartland Express, Inc.</t>
  </si>
  <si>
    <t>Matthews International Corporation</t>
  </si>
  <si>
    <t>ACGP</t>
  </si>
  <si>
    <t>Associated Capital Group, Inc.</t>
  </si>
  <si>
    <t>First Financial Corporation</t>
  </si>
  <si>
    <t>InnovAge Holding Corp.</t>
  </si>
  <si>
    <t>SNT</t>
  </si>
  <si>
    <t>Synektik Spólka Akcyjna</t>
  </si>
  <si>
    <t>FTC</t>
  </si>
  <si>
    <t>Filtronic plc</t>
  </si>
  <si>
    <t>Nov-25</t>
  </si>
  <si>
    <t>KKR Real Estate Finance Trust Inc.</t>
  </si>
  <si>
    <t>Digital Turbine, Inc.</t>
  </si>
  <si>
    <t>Transcat, Inc.</t>
  </si>
  <si>
    <t>Brandywine Realty Trust</t>
  </si>
  <si>
    <t>EQV1V</t>
  </si>
  <si>
    <t>eQ Oyj</t>
  </si>
  <si>
    <t>Peapack-Gladstone Financial Corporation</t>
  </si>
  <si>
    <t>A214320</t>
  </si>
  <si>
    <t>Innocean Worldwide Inc.</t>
  </si>
  <si>
    <t>Palantir Technologies Inc.</t>
  </si>
  <si>
    <t>02-Feb-26</t>
  </si>
  <si>
    <t>The Walt Disney Company</t>
  </si>
  <si>
    <t>ISP</t>
  </si>
  <si>
    <t>Intesa Sanpaolo S.p.A.</t>
  </si>
  <si>
    <t>ITUB4</t>
  </si>
  <si>
    <t>Itaú Unibanco Holding S.A.</t>
  </si>
  <si>
    <t>Simon Property Group, Inc.</t>
  </si>
  <si>
    <t>NXP Semiconductors N.V.</t>
  </si>
  <si>
    <t>IDEXX Laboratories, Inc.</t>
  </si>
  <si>
    <t>Teradyne, Inc.</t>
  </si>
  <si>
    <t>Riyad Bank</t>
  </si>
  <si>
    <t>Tyson Foods, Inc.</t>
  </si>
  <si>
    <t>Alinma Bank</t>
  </si>
  <si>
    <t>Aptiv PLC</t>
  </si>
  <si>
    <t>Woodward, Inc.</t>
  </si>
  <si>
    <t>BAER</t>
  </si>
  <si>
    <t>Julius Bär Gruppe AG</t>
  </si>
  <si>
    <t>Healthpeak Properties, Inc.</t>
  </si>
  <si>
    <t>A000810</t>
  </si>
  <si>
    <t>Samsung Fire &amp; Marine Insurance Co., Ltd.</t>
  </si>
  <si>
    <t>Fabrinet</t>
  </si>
  <si>
    <t>Revvity, Inc.</t>
  </si>
  <si>
    <t>Rambus Inc.</t>
  </si>
  <si>
    <t>DaVita Inc.</t>
  </si>
  <si>
    <t>POLICYBZR</t>
  </si>
  <si>
    <t>CHMF</t>
  </si>
  <si>
    <t>Public Joint Stock Company Severstal</t>
  </si>
  <si>
    <t>AKBNK</t>
  </si>
  <si>
    <t>Akbank T.A.S.</t>
  </si>
  <si>
    <t>UPL Limited</t>
  </si>
  <si>
    <t>MGIC Investment Corporation</t>
  </si>
  <si>
    <t>The National Shipping Company of Saudi Arabia</t>
  </si>
  <si>
    <t>New Jersey Resources Corporation</t>
  </si>
  <si>
    <t>ARG</t>
  </si>
  <si>
    <t>Argo Investments Limited</t>
  </si>
  <si>
    <t>Hess Midstream LP</t>
  </si>
  <si>
    <t>Bank AlJazira</t>
  </si>
  <si>
    <t>NLC India Limited</t>
  </si>
  <si>
    <t>United States Lime &amp; Minerals, Inc.</t>
  </si>
  <si>
    <t>THERMAX</t>
  </si>
  <si>
    <t>Honeywell Automation India Limited</t>
  </si>
  <si>
    <t>PCH</t>
  </si>
  <si>
    <t>PotlatchDeltic Corporation</t>
  </si>
  <si>
    <t>ZUGER</t>
  </si>
  <si>
    <t>Zuger Kantonalbank</t>
  </si>
  <si>
    <t>F&amp;N</t>
  </si>
  <si>
    <t>Fraser &amp; Neave Holdings Bhd</t>
  </si>
  <si>
    <t>Alliance Resource Partners, L.P.</t>
  </si>
  <si>
    <t>VFQS</t>
  </si>
  <si>
    <t>Vodafone Qatar P.Q.S.C.</t>
  </si>
  <si>
    <t>ERIS</t>
  </si>
  <si>
    <t>Eris Lifesciences Limited</t>
  </si>
  <si>
    <t>Ashland Inc.</t>
  </si>
  <si>
    <t>CUB</t>
  </si>
  <si>
    <t>City Union Bank Limited</t>
  </si>
  <si>
    <t>Tata Chemicals Limited</t>
  </si>
  <si>
    <t>BASF</t>
  </si>
  <si>
    <t>BASF India Limited</t>
  </si>
  <si>
    <t>Poly Medicure Limited</t>
  </si>
  <si>
    <t>A204320</t>
  </si>
  <si>
    <t>HL Mando Corporation</t>
  </si>
  <si>
    <t>C2PU</t>
  </si>
  <si>
    <t>Parkway Life Real Estate Investment Trust</t>
  </si>
  <si>
    <t>Mitsubishi Shokuhin Co., Ltd.</t>
  </si>
  <si>
    <t>Twist Bioscience Corporation</t>
  </si>
  <si>
    <t>A000240</t>
  </si>
  <si>
    <t>Hankook &amp; Company Co., Ltd.</t>
  </si>
  <si>
    <t>RHLD</t>
  </si>
  <si>
    <t>Resolute Holdings Management, Inc.</t>
  </si>
  <si>
    <t>Aarti Industries Limited</t>
  </si>
  <si>
    <t>A030000</t>
  </si>
  <si>
    <t>Cheil Worldwide Inc.</t>
  </si>
  <si>
    <t>GCHE</t>
  </si>
  <si>
    <t>Public Joint Stock Company Cherkizovo Group""</t>
  </si>
  <si>
    <t>JK Tyre &amp; Industries Limited</t>
  </si>
  <si>
    <t>A004800</t>
  </si>
  <si>
    <t>Hyosung Corporation</t>
  </si>
  <si>
    <t>Napco Security Technologies, Inc.</t>
  </si>
  <si>
    <t>GISS</t>
  </si>
  <si>
    <t>Gulf International Services Q.P.S.C.</t>
  </si>
  <si>
    <t>A097230</t>
  </si>
  <si>
    <t>HJ Shipbuilding &amp; Construction Co., Ltd.</t>
  </si>
  <si>
    <t>Capital Southwest Corporation</t>
  </si>
  <si>
    <t>Safari Industries (India) Limited</t>
  </si>
  <si>
    <t>A098460</t>
  </si>
  <si>
    <t>Koh Young Technology Inc.</t>
  </si>
  <si>
    <t>A089030</t>
  </si>
  <si>
    <t>Techwing, Inc.</t>
  </si>
  <si>
    <t>ACAD</t>
  </si>
  <si>
    <t>AcadeMedia AB (publ)</t>
  </si>
  <si>
    <t>Two Harbors Investment Corp.</t>
  </si>
  <si>
    <t>BESALCO</t>
  </si>
  <si>
    <t>Besalco S.A.</t>
  </si>
  <si>
    <t>APOLLO</t>
  </si>
  <si>
    <t>PCJEWELLER</t>
  </si>
  <si>
    <t>TSKB</t>
  </si>
  <si>
    <t>Türkiye Sinai Kalkinma Bankasi A.S.</t>
  </si>
  <si>
    <t>CRLO</t>
  </si>
  <si>
    <t>Caisse Régionale de Crédit Agricole Mutuel Loire Haute-Loire Société coopérative</t>
  </si>
  <si>
    <t>A100090</t>
  </si>
  <si>
    <t>SK oceanplant Co.,Ltd</t>
  </si>
  <si>
    <t>Kirloskar Ferrous Industries Limited</t>
  </si>
  <si>
    <t>A185750</t>
  </si>
  <si>
    <t>Chong Kun Dang Pharmaceutical Corp.</t>
  </si>
  <si>
    <t>Thomas Cook (India) Limited</t>
  </si>
  <si>
    <t>GMO Financial Holdings, Inc.</t>
  </si>
  <si>
    <t>RattanIndia Enterprises Limited</t>
  </si>
  <si>
    <t>AvenuesAI Limited</t>
  </si>
  <si>
    <t>Sharda Motor Industries Limited</t>
  </si>
  <si>
    <t>India Glycols Limited</t>
  </si>
  <si>
    <t>Proto Corporation</t>
  </si>
  <si>
    <t>Kforce Inc.</t>
  </si>
  <si>
    <t>Dhanuka Agritech Limited</t>
  </si>
  <si>
    <t>A003850</t>
  </si>
  <si>
    <t>Boryung Corporation</t>
  </si>
  <si>
    <t>A001680</t>
  </si>
  <si>
    <t>Daesang Corporation</t>
  </si>
  <si>
    <t>Sky Gold and Diamonds Limited</t>
  </si>
  <si>
    <t>Bannari Amman Sugars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</si>
</sst>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7" formatCode="0.0%"/>
    <numFmt numFmtId="178" formatCode="0.0&quot;%&quot;"/>
    <numFmt numFmtId="179" formatCode="#,##0_);[Red]\(#,##0\)"/>
    <numFmt numFmtId="180" formatCode="0.00&quot;%&quot;"/>
    <numFmt numFmtId="181" formatCode="#,##0.0"/>
  </numFmts>
  <fonts count="20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pretendard"/>
      <family val="2"/>
    </font>
    <font>
      <sz val="11"/>
      <color theme="1"/>
      <name val="맑은 고딕"/>
      <family val="2"/>
      <scheme val="minor"/>
    </font>
    <font>
      <b/>
      <sz val="14"/>
      <color theme="0"/>
      <name val="Pretendard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  <font>
      <sz val="10"/>
      <name val="Pretendard"/>
      <family val="3"/>
      <charset val="129"/>
    </font>
    <font>
      <sz val="10"/>
      <color theme="1"/>
      <name val="Pretendard"/>
      <family val="3"/>
      <charset val="129"/>
    </font>
    <font>
      <b/>
      <sz val="10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i/>
      <sz val="10"/>
      <name val="pretendard"/>
      <family val="3"/>
      <charset val="129"/>
    </font>
    <font>
      <b/>
      <sz val="10"/>
      <color theme="1"/>
      <name val="Pretendard"/>
      <family val="3"/>
      <charset val="129"/>
    </font>
    <font>
      <b/>
      <sz val="10"/>
      <name val="pretendard"/>
      <family val="2"/>
    </font>
    <font>
      <b/>
      <sz val="11"/>
      <color theme="1"/>
      <name val="맑은 고딕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rgb="FFFFCCCC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indexed="64"/>
      </right>
      <top style="thin">
        <color auto="1"/>
      </top>
      <bottom style="thin">
        <color auto="1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thin">
        <color indexed="64"/>
      </top>
      <bottom/>
      <diagonal/>
    </border>
    <border>
      <left style="dotted">
        <color rgb="FF000000"/>
      </left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9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6" fillId="0" borderId="0" xfId="0" applyFont="1"/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1" xfId="0" applyFont="1" applyBorder="1" applyAlignment="1">
      <alignment horizontal="center" vertical="top"/>
    </xf>
    <xf numFmtId="0" fontId="9" fillId="0" borderId="0" xfId="0" applyFont="1"/>
    <xf numFmtId="0" fontId="9" fillId="2" borderId="0" xfId="0" applyFont="1" applyFill="1"/>
    <xf numFmtId="177" fontId="7" fillId="0" borderId="1" xfId="0" applyNumberFormat="1" applyFont="1" applyBorder="1" applyAlignment="1">
      <alignment horizontal="center"/>
    </xf>
    <xf numFmtId="177" fontId="10" fillId="0" borderId="0" xfId="0" applyNumberFormat="1" applyFont="1"/>
    <xf numFmtId="177" fontId="7" fillId="0" borderId="11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 vertical="top"/>
    </xf>
    <xf numFmtId="0" fontId="9" fillId="0" borderId="13" xfId="0" applyFont="1" applyBorder="1"/>
    <xf numFmtId="0" fontId="9" fillId="2" borderId="13" xfId="0" applyFont="1" applyFill="1" applyBorder="1"/>
    <xf numFmtId="0" fontId="2" fillId="0" borderId="13" xfId="0" applyFont="1" applyBorder="1"/>
    <xf numFmtId="0" fontId="2" fillId="2" borderId="13" xfId="0" applyFont="1" applyFill="1" applyBorder="1"/>
    <xf numFmtId="0" fontId="11" fillId="0" borderId="0" xfId="0" applyFont="1"/>
    <xf numFmtId="178" fontId="11" fillId="4" borderId="0" xfId="0" applyNumberFormat="1" applyFont="1" applyFill="1"/>
    <xf numFmtId="0" fontId="12" fillId="0" borderId="0" xfId="0" applyFont="1"/>
    <xf numFmtId="0" fontId="7" fillId="0" borderId="0" xfId="0" applyFont="1"/>
    <xf numFmtId="0" fontId="14" fillId="5" borderId="0" xfId="0" applyFont="1" applyFill="1" applyAlignment="1">
      <alignment horizontal="right" vertical="center"/>
    </xf>
    <xf numFmtId="0" fontId="14" fillId="5" borderId="10" xfId="0" applyFont="1" applyFill="1" applyBorder="1" applyAlignment="1">
      <alignment horizontal="right" vertical="center"/>
    </xf>
    <xf numFmtId="179" fontId="6" fillId="0" borderId="0" xfId="0" applyNumberFormat="1" applyFont="1" applyAlignment="1">
      <alignment vertical="center"/>
    </xf>
    <xf numFmtId="177" fontId="6" fillId="0" borderId="0" xfId="1" applyNumberFormat="1" applyFont="1" applyFill="1">
      <alignment vertical="center"/>
    </xf>
    <xf numFmtId="177" fontId="6" fillId="0" borderId="0" xfId="1" applyNumberFormat="1" applyFont="1" applyFill="1" applyBorder="1">
      <alignment vertical="center"/>
    </xf>
    <xf numFmtId="177" fontId="6" fillId="0" borderId="10" xfId="1" applyNumberFormat="1" applyFont="1" applyFill="1" applyBorder="1">
      <alignment vertical="center"/>
    </xf>
    <xf numFmtId="9" fontId="6" fillId="0" borderId="0" xfId="1" applyFont="1" applyAlignment="1">
      <alignment horizontal="right" vertical="center"/>
    </xf>
    <xf numFmtId="9" fontId="6" fillId="0" borderId="10" xfId="1" applyFont="1" applyBorder="1" applyAlignment="1">
      <alignment horizontal="right" vertical="center"/>
    </xf>
    <xf numFmtId="9" fontId="6" fillId="0" borderId="0" xfId="1" applyFont="1">
      <alignment vertical="center"/>
    </xf>
    <xf numFmtId="9" fontId="6" fillId="0" borderId="0" xfId="1" applyFont="1" applyBorder="1">
      <alignment vertical="center"/>
    </xf>
    <xf numFmtId="9" fontId="6" fillId="0" borderId="10" xfId="1" applyFont="1" applyBorder="1">
      <alignment vertical="center"/>
    </xf>
    <xf numFmtId="9" fontId="6" fillId="0" borderId="0" xfId="1" applyFont="1" applyFill="1">
      <alignment vertical="center"/>
    </xf>
    <xf numFmtId="179" fontId="6" fillId="0" borderId="10" xfId="0" applyNumberFormat="1" applyFont="1" applyBorder="1" applyAlignment="1">
      <alignment vertical="center"/>
    </xf>
    <xf numFmtId="0" fontId="16" fillId="0" borderId="0" xfId="0" applyFont="1"/>
    <xf numFmtId="178" fontId="9" fillId="0" borderId="0" xfId="0" applyNumberFormat="1" applyFont="1"/>
    <xf numFmtId="177" fontId="7" fillId="0" borderId="1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13" fillId="5" borderId="10" xfId="0" applyFont="1" applyFill="1" applyBorder="1" applyAlignment="1">
      <alignment vertical="center"/>
    </xf>
    <xf numFmtId="0" fontId="7" fillId="0" borderId="0" xfId="0" quotePrefix="1" applyFont="1" applyAlignment="1">
      <alignment vertical="center"/>
    </xf>
    <xf numFmtId="178" fontId="9" fillId="6" borderId="0" xfId="0" applyNumberFormat="1" applyFont="1" applyFill="1"/>
    <xf numFmtId="3" fontId="6" fillId="0" borderId="0" xfId="0" applyNumberFormat="1" applyFont="1"/>
    <xf numFmtId="0" fontId="10" fillId="0" borderId="0" xfId="0" applyFont="1"/>
    <xf numFmtId="177" fontId="6" fillId="0" borderId="0" xfId="0" applyNumberFormat="1" applyFont="1"/>
    <xf numFmtId="0" fontId="17" fillId="0" borderId="0" xfId="0" applyFont="1"/>
    <xf numFmtId="179" fontId="9" fillId="0" borderId="0" xfId="0" applyNumberFormat="1" applyFont="1"/>
    <xf numFmtId="179" fontId="9" fillId="2" borderId="0" xfId="0" applyNumberFormat="1" applyFont="1" applyFill="1"/>
    <xf numFmtId="179" fontId="9" fillId="2" borderId="13" xfId="0" applyNumberFormat="1" applyFont="1" applyFill="1" applyBorder="1"/>
    <xf numFmtId="179" fontId="9" fillId="0" borderId="13" xfId="0" applyNumberFormat="1" applyFont="1" applyBorder="1"/>
    <xf numFmtId="179" fontId="6" fillId="0" borderId="0" xfId="0" applyNumberFormat="1" applyFont="1"/>
    <xf numFmtId="179" fontId="10" fillId="0" borderId="0" xfId="0" applyNumberFormat="1" applyFont="1"/>
    <xf numFmtId="3" fontId="9" fillId="0" borderId="0" xfId="0" applyNumberFormat="1" applyFont="1"/>
    <xf numFmtId="3" fontId="9" fillId="2" borderId="0" xfId="0" applyNumberFormat="1" applyFont="1" applyFill="1"/>
    <xf numFmtId="3" fontId="9" fillId="2" borderId="13" xfId="0" applyNumberFormat="1" applyFont="1" applyFill="1" applyBorder="1"/>
    <xf numFmtId="3" fontId="9" fillId="0" borderId="13" xfId="0" applyNumberFormat="1" applyFont="1" applyBorder="1"/>
    <xf numFmtId="0" fontId="18" fillId="0" borderId="0" xfId="0" applyFont="1"/>
    <xf numFmtId="178" fontId="2" fillId="0" borderId="0" xfId="0" applyNumberFormat="1" applyFont="1"/>
    <xf numFmtId="0" fontId="7" fillId="0" borderId="0" xfId="0" applyFont="1" applyAlignment="1">
      <alignment horizontal="center"/>
    </xf>
    <xf numFmtId="178" fontId="9" fillId="7" borderId="0" xfId="0" applyNumberFormat="1" applyFont="1" applyFill="1"/>
    <xf numFmtId="41" fontId="9" fillId="0" borderId="0" xfId="2" applyFont="1" applyAlignment="1"/>
    <xf numFmtId="41" fontId="9" fillId="2" borderId="0" xfId="2" applyFont="1" applyFill="1" applyAlignment="1"/>
    <xf numFmtId="178" fontId="6" fillId="0" borderId="0" xfId="0" applyNumberFormat="1" applyFont="1"/>
    <xf numFmtId="0" fontId="6" fillId="2" borderId="0" xfId="0" applyFont="1" applyFill="1"/>
    <xf numFmtId="178" fontId="6" fillId="7" borderId="0" xfId="0" applyNumberFormat="1" applyFont="1" applyFill="1"/>
    <xf numFmtId="1" fontId="6" fillId="0" borderId="0" xfId="0" applyNumberFormat="1" applyFont="1"/>
    <xf numFmtId="1" fontId="6" fillId="2" borderId="0" xfId="0" applyNumberFormat="1" applyFont="1" applyFill="1"/>
    <xf numFmtId="180" fontId="6" fillId="7" borderId="0" xfId="0" applyNumberFormat="1" applyFont="1" applyFill="1"/>
    <xf numFmtId="181" fontId="6" fillId="0" borderId="0" xfId="0" applyNumberFormat="1" applyFont="1"/>
    <xf numFmtId="181" fontId="6" fillId="2" borderId="0" xfId="0" applyNumberFormat="1" applyFont="1" applyFill="1"/>
    <xf numFmtId="180" fontId="6" fillId="0" borderId="0" xfId="0" applyNumberFormat="1" applyFont="1"/>
    <xf numFmtId="0" fontId="6" fillId="0" borderId="14" xfId="0" applyFont="1" applyBorder="1"/>
    <xf numFmtId="0" fontId="7" fillId="0" borderId="14" xfId="0" applyFont="1" applyBorder="1"/>
    <xf numFmtId="180" fontId="6" fillId="0" borderId="14" xfId="0" applyNumberFormat="1" applyFont="1" applyBorder="1"/>
    <xf numFmtId="181" fontId="6" fillId="0" borderId="14" xfId="0" applyNumberFormat="1" applyFont="1" applyBorder="1"/>
    <xf numFmtId="180" fontId="6" fillId="7" borderId="14" xfId="0" applyNumberFormat="1" applyFont="1" applyFill="1" applyBorder="1"/>
    <xf numFmtId="181" fontId="6" fillId="2" borderId="14" xfId="0" applyNumberFormat="1" applyFont="1" applyFill="1" applyBorder="1"/>
    <xf numFmtId="178" fontId="6" fillId="7" borderId="14" xfId="0" applyNumberFormat="1" applyFont="1" applyFill="1" applyBorder="1"/>
    <xf numFmtId="1" fontId="6" fillId="0" borderId="14" xfId="0" applyNumberFormat="1" applyFont="1" applyBorder="1"/>
    <xf numFmtId="1" fontId="6" fillId="2" borderId="14" xfId="0" applyNumberFormat="1" applyFont="1" applyFill="1" applyBorder="1"/>
    <xf numFmtId="0" fontId="11" fillId="0" borderId="14" xfId="0" applyFont="1" applyBorder="1"/>
    <xf numFmtId="0" fontId="9" fillId="0" borderId="14" xfId="0" applyFont="1" applyBorder="1"/>
    <xf numFmtId="178" fontId="9" fillId="7" borderId="14" xfId="0" applyNumberFormat="1" applyFont="1" applyFill="1" applyBorder="1"/>
    <xf numFmtId="41" fontId="9" fillId="0" borderId="14" xfId="2" applyFont="1" applyBorder="1" applyAlignment="1"/>
    <xf numFmtId="41" fontId="9" fillId="2" borderId="14" xfId="2" applyFont="1" applyFill="1" applyBorder="1" applyAlignment="1"/>
    <xf numFmtId="41" fontId="9" fillId="0" borderId="0" xfId="2" applyFont="1" applyBorder="1" applyAlignment="1"/>
    <xf numFmtId="41" fontId="9" fillId="2" borderId="15" xfId="2" applyFont="1" applyFill="1" applyBorder="1" applyAlignment="1"/>
    <xf numFmtId="41" fontId="9" fillId="2" borderId="13" xfId="2" applyFont="1" applyFill="1" applyBorder="1" applyAlignment="1"/>
    <xf numFmtId="41" fontId="9" fillId="0" borderId="13" xfId="2" applyFont="1" applyBorder="1" applyAlignment="1"/>
    <xf numFmtId="1" fontId="6" fillId="2" borderId="15" xfId="0" applyNumberFormat="1" applyFont="1" applyFill="1" applyBorder="1"/>
    <xf numFmtId="1" fontId="6" fillId="2" borderId="13" xfId="0" applyNumberFormat="1" applyFont="1" applyFill="1" applyBorder="1"/>
    <xf numFmtId="1" fontId="6" fillId="0" borderId="13" xfId="0" applyNumberFormat="1" applyFont="1" applyBorder="1"/>
    <xf numFmtId="181" fontId="6" fillId="2" borderId="15" xfId="0" applyNumberFormat="1" applyFont="1" applyFill="1" applyBorder="1"/>
    <xf numFmtId="181" fontId="6" fillId="2" borderId="13" xfId="0" applyNumberFormat="1" applyFont="1" applyFill="1" applyBorder="1"/>
    <xf numFmtId="181" fontId="6" fillId="0" borderId="13" xfId="0" applyNumberFormat="1" applyFont="1" applyBorder="1"/>
    <xf numFmtId="177" fontId="10" fillId="0" borderId="16" xfId="0" applyNumberFormat="1" applyFont="1" applyBorder="1"/>
    <xf numFmtId="178" fontId="11" fillId="7" borderId="0" xfId="0" applyNumberFormat="1" applyFont="1" applyFill="1"/>
    <xf numFmtId="177" fontId="9" fillId="0" borderId="0" xfId="0" applyNumberFormat="1" applyFont="1"/>
    <xf numFmtId="0" fontId="6" fillId="0" borderId="17" xfId="0" applyFont="1" applyBorder="1"/>
    <xf numFmtId="0" fontId="9" fillId="0" borderId="17" xfId="0" applyFont="1" applyBorder="1"/>
    <xf numFmtId="0" fontId="16" fillId="0" borderId="17" xfId="0" applyFont="1" applyBorder="1"/>
    <xf numFmtId="178" fontId="9" fillId="0" borderId="17" xfId="0" applyNumberFormat="1" applyFont="1" applyBorder="1"/>
    <xf numFmtId="179" fontId="9" fillId="2" borderId="17" xfId="0" applyNumberFormat="1" applyFont="1" applyFill="1" applyBorder="1"/>
    <xf numFmtId="179" fontId="9" fillId="0" borderId="17" xfId="0" applyNumberFormat="1" applyFont="1" applyBorder="1"/>
    <xf numFmtId="179" fontId="9" fillId="0" borderId="18" xfId="0" applyNumberFormat="1" applyFont="1" applyBorder="1"/>
    <xf numFmtId="177" fontId="9" fillId="0" borderId="17" xfId="0" applyNumberFormat="1" applyFont="1" applyBorder="1"/>
    <xf numFmtId="0" fontId="11" fillId="0" borderId="17" xfId="0" applyFont="1" applyBorder="1"/>
    <xf numFmtId="177" fontId="10" fillId="0" borderId="17" xfId="0" applyNumberFormat="1" applyFont="1" applyBorder="1"/>
    <xf numFmtId="3" fontId="9" fillId="8" borderId="0" xfId="0" applyNumberFormat="1" applyFont="1" applyFill="1"/>
    <xf numFmtId="3" fontId="9" fillId="8" borderId="13" xfId="0" applyNumberFormat="1" applyFont="1" applyFill="1" applyBorder="1"/>
    <xf numFmtId="177" fontId="9" fillId="8" borderId="0" xfId="0" applyNumberFormat="1" applyFont="1" applyFill="1"/>
    <xf numFmtId="0" fontId="16" fillId="0" borderId="14" xfId="0" applyFont="1" applyBorder="1"/>
    <xf numFmtId="178" fontId="11" fillId="7" borderId="14" xfId="0" applyNumberFormat="1" applyFont="1" applyFill="1" applyBorder="1"/>
    <xf numFmtId="3" fontId="9" fillId="0" borderId="14" xfId="0" applyNumberFormat="1" applyFont="1" applyBorder="1"/>
    <xf numFmtId="3" fontId="9" fillId="8" borderId="14" xfId="0" applyNumberFormat="1" applyFont="1" applyFill="1" applyBorder="1"/>
    <xf numFmtId="3" fontId="9" fillId="8" borderId="15" xfId="0" applyNumberFormat="1" applyFont="1" applyFill="1" applyBorder="1"/>
    <xf numFmtId="177" fontId="9" fillId="0" borderId="14" xfId="0" applyNumberFormat="1" applyFont="1" applyBorder="1"/>
    <xf numFmtId="177" fontId="9" fillId="8" borderId="14" xfId="0" applyNumberFormat="1" applyFont="1" applyFill="1" applyBorder="1"/>
    <xf numFmtId="178" fontId="9" fillId="0" borderId="14" xfId="0" applyNumberFormat="1" applyFont="1" applyBorder="1"/>
    <xf numFmtId="3" fontId="9" fillId="0" borderId="15" xfId="0" applyNumberFormat="1" applyFont="1" applyBorder="1"/>
    <xf numFmtId="0" fontId="11" fillId="0" borderId="19" xfId="0" applyFont="1" applyBorder="1"/>
    <xf numFmtId="0" fontId="9" fillId="0" borderId="19" xfId="0" applyFont="1" applyBorder="1"/>
    <xf numFmtId="0" fontId="16" fillId="0" borderId="19" xfId="0" applyFont="1" applyBorder="1"/>
    <xf numFmtId="178" fontId="9" fillId="0" borderId="19" xfId="0" applyNumberFormat="1" applyFont="1" applyBorder="1"/>
    <xf numFmtId="3" fontId="9" fillId="0" borderId="19" xfId="0" applyNumberFormat="1" applyFont="1" applyBorder="1"/>
    <xf numFmtId="3" fontId="9" fillId="8" borderId="19" xfId="0" applyNumberFormat="1" applyFont="1" applyFill="1" applyBorder="1"/>
    <xf numFmtId="3" fontId="9" fillId="0" borderId="20" xfId="0" applyNumberFormat="1" applyFont="1" applyBorder="1"/>
    <xf numFmtId="177" fontId="9" fillId="0" borderId="19" xfId="0" applyNumberFormat="1" applyFont="1" applyBorder="1"/>
    <xf numFmtId="179" fontId="9" fillId="8" borderId="0" xfId="0" applyNumberFormat="1" applyFont="1" applyFill="1"/>
    <xf numFmtId="179" fontId="9" fillId="8" borderId="13" xfId="0" applyNumberFormat="1" applyFont="1" applyFill="1" applyBorder="1"/>
    <xf numFmtId="179" fontId="9" fillId="0" borderId="14" xfId="0" applyNumberFormat="1" applyFont="1" applyBorder="1"/>
    <xf numFmtId="179" fontId="9" fillId="8" borderId="14" xfId="0" applyNumberFormat="1" applyFont="1" applyFill="1" applyBorder="1"/>
    <xf numFmtId="179" fontId="9" fillId="8" borderId="15" xfId="0" applyNumberFormat="1" applyFont="1" applyFill="1" applyBorder="1"/>
    <xf numFmtId="178" fontId="11" fillId="7" borderId="19" xfId="0" applyNumberFormat="1" applyFont="1" applyFill="1" applyBorder="1"/>
    <xf numFmtId="179" fontId="9" fillId="0" borderId="19" xfId="0" applyNumberFormat="1" applyFont="1" applyBorder="1"/>
    <xf numFmtId="179" fontId="9" fillId="8" borderId="19" xfId="0" applyNumberFormat="1" applyFont="1" applyFill="1" applyBorder="1"/>
    <xf numFmtId="179" fontId="9" fillId="8" borderId="20" xfId="0" applyNumberFormat="1" applyFont="1" applyFill="1" applyBorder="1"/>
    <xf numFmtId="177" fontId="9" fillId="8" borderId="19" xfId="0" applyNumberFormat="1" applyFont="1" applyFill="1" applyBorder="1"/>
    <xf numFmtId="0" fontId="11" fillId="0" borderId="5" xfId="0" applyFont="1" applyBorder="1"/>
    <xf numFmtId="0" fontId="19" fillId="0" borderId="5" xfId="0" applyFont="1" applyBorder="1"/>
    <xf numFmtId="0" fontId="19" fillId="0" borderId="0" xfId="0" applyFont="1"/>
    <xf numFmtId="0" fontId="4" fillId="3" borderId="0" xfId="0" applyFont="1" applyFill="1" applyAlignment="1">
      <alignment horizontal="center" vertical="center"/>
    </xf>
    <xf numFmtId="177" fontId="9" fillId="0" borderId="21" xfId="0" applyNumberFormat="1" applyFont="1" applyBorder="1"/>
    <xf numFmtId="177" fontId="9" fillId="8" borderId="21" xfId="0" applyNumberFormat="1" applyFont="1" applyFill="1" applyBorder="1"/>
    <xf numFmtId="177" fontId="9" fillId="0" borderId="22" xfId="0" applyNumberFormat="1" applyFont="1" applyBorder="1"/>
    <xf numFmtId="177" fontId="9" fillId="8" borderId="22" xfId="0" applyNumberFormat="1" applyFont="1" applyFill="1" applyBorder="1"/>
    <xf numFmtId="179" fontId="9" fillId="7" borderId="0" xfId="0" applyNumberFormat="1" applyFont="1" applyFill="1"/>
    <xf numFmtId="177" fontId="9" fillId="7" borderId="0" xfId="0" applyNumberFormat="1" applyFont="1" applyFill="1"/>
    <xf numFmtId="0" fontId="6" fillId="0" borderId="0" xfId="0" applyFont="1" applyBorder="1"/>
    <xf numFmtId="0" fontId="9" fillId="0" borderId="0" xfId="0" applyFont="1" applyBorder="1"/>
    <xf numFmtId="179" fontId="9" fillId="8" borderId="17" xfId="0" applyNumberFormat="1" applyFont="1" applyFill="1" applyBorder="1"/>
    <xf numFmtId="177" fontId="9" fillId="8" borderId="23" xfId="0" applyNumberFormat="1" applyFont="1" applyFill="1" applyBorder="1"/>
    <xf numFmtId="177" fontId="9" fillId="8" borderId="17" xfId="0" applyNumberFormat="1" applyFont="1" applyFill="1" applyBorder="1"/>
    <xf numFmtId="0" fontId="0" fillId="0" borderId="0" xfId="0" applyBorder="1"/>
    <xf numFmtId="0" fontId="11" fillId="0" borderId="0" xfId="0" applyFont="1" applyBorder="1"/>
    <xf numFmtId="178" fontId="9" fillId="0" borderId="0" xfId="0" applyNumberFormat="1" applyFont="1" applyBorder="1"/>
    <xf numFmtId="179" fontId="9" fillId="0" borderId="0" xfId="0" applyNumberFormat="1" applyFont="1" applyBorder="1"/>
    <xf numFmtId="177" fontId="9" fillId="0" borderId="0" xfId="0" applyNumberFormat="1" applyFont="1" applyBorder="1"/>
    <xf numFmtId="0" fontId="0" fillId="0" borderId="17" xfId="0" applyBorder="1"/>
    <xf numFmtId="177" fontId="9" fillId="0" borderId="23" xfId="0" applyNumberFormat="1" applyFont="1" applyBorder="1"/>
    <xf numFmtId="3" fontId="9" fillId="0" borderId="0" xfId="0" applyNumberFormat="1" applyFont="1" applyBorder="1"/>
    <xf numFmtId="3" fontId="9" fillId="8" borderId="0" xfId="0" applyNumberFormat="1" applyFont="1" applyFill="1" applyBorder="1"/>
    <xf numFmtId="177" fontId="9" fillId="8" borderId="0" xfId="0" applyNumberFormat="1" applyFont="1" applyFill="1" applyBorder="1"/>
    <xf numFmtId="178" fontId="11" fillId="7" borderId="0" xfId="0" applyNumberFormat="1" applyFont="1" applyFill="1" applyBorder="1"/>
    <xf numFmtId="3" fontId="9" fillId="0" borderId="17" xfId="0" applyNumberFormat="1" applyFont="1" applyBorder="1"/>
    <xf numFmtId="3" fontId="9" fillId="8" borderId="17" xfId="0" applyNumberFormat="1" applyFont="1" applyFill="1" applyBorder="1"/>
    <xf numFmtId="41" fontId="0" fillId="0" borderId="0" xfId="2" applyFont="1" applyAlignment="1"/>
    <xf numFmtId="41" fontId="6" fillId="0" borderId="0" xfId="2" applyFont="1" applyAlignment="1"/>
    <xf numFmtId="41" fontId="7" fillId="0" borderId="4" xfId="2" applyFont="1" applyBorder="1" applyAlignment="1">
      <alignment vertical="center"/>
    </xf>
    <xf numFmtId="41" fontId="6" fillId="0" borderId="6" xfId="2" applyFont="1" applyBorder="1" applyAlignment="1">
      <alignment vertical="center"/>
    </xf>
    <xf numFmtId="41" fontId="9" fillId="0" borderId="6" xfId="2" applyFont="1" applyBorder="1" applyAlignment="1"/>
    <xf numFmtId="41" fontId="0" fillId="0" borderId="6" xfId="2" applyFont="1" applyBorder="1" applyAlignment="1"/>
    <xf numFmtId="0" fontId="7" fillId="0" borderId="0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41" fontId="6" fillId="0" borderId="0" xfId="2" applyFont="1" applyBorder="1" applyAlignment="1">
      <alignment vertical="center"/>
    </xf>
    <xf numFmtId="41" fontId="6" fillId="0" borderId="9" xfId="2" applyFont="1" applyBorder="1" applyAlignment="1">
      <alignment vertical="center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7" fillId="0" borderId="3" xfId="0" applyFont="1" applyBorder="1" applyAlignment="1">
      <alignment horizontal="right" vertical="center"/>
    </xf>
    <xf numFmtId="16" fontId="6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/>
    </xf>
    <xf numFmtId="0" fontId="9" fillId="0" borderId="0" xfId="0" applyFont="1" applyBorder="1" applyAlignment="1">
      <alignment horizontal="right"/>
    </xf>
    <xf numFmtId="16" fontId="6" fillId="0" borderId="8" xfId="0" applyNumberFormat="1" applyFont="1" applyBorder="1" applyAlignment="1">
      <alignment horizontal="right" vertical="center"/>
    </xf>
    <xf numFmtId="15" fontId="6" fillId="0" borderId="0" xfId="0" applyNumberFormat="1" applyFont="1" applyAlignment="1">
      <alignment horizontal="right" vertical="center"/>
    </xf>
    <xf numFmtId="15" fontId="6" fillId="0" borderId="8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8" xfId="0" applyFont="1" applyBorder="1" applyAlignment="1">
      <alignment horizontal="right" vertical="center"/>
    </xf>
  </cellXfs>
  <cellStyles count="3">
    <cellStyle name="백분율" xfId="1" builtinId="5"/>
    <cellStyle name="쉼표 [0]" xfId="2" builtinId="6"/>
    <cellStyle name="표준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FE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4.xlsx" TargetMode="External"/><Relationship Id="rId1" Type="http://schemas.openxmlformats.org/officeDocument/2006/relationships/externalLinkPath" Target="&#54644;&#50808;&#48744;&#44036;&#51460;_260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AMD</v>
          </cell>
          <cell r="C4" t="str">
            <v>Advanced Micro Devices, Inc.</v>
          </cell>
          <cell r="D4" t="str">
            <v>03-Feb-26</v>
          </cell>
          <cell r="E4" t="str">
            <v>After Hours</v>
          </cell>
          <cell r="F4" t="str">
            <v>Dec-25</v>
          </cell>
          <cell r="G4">
            <v>385406</v>
          </cell>
        </row>
        <row r="5">
          <cell r="B5" t="str">
            <v>MRK</v>
          </cell>
          <cell r="C5" t="str">
            <v>Merck &amp; Co., Inc.</v>
          </cell>
          <cell r="D5" t="str">
            <v>03-Feb-26</v>
          </cell>
          <cell r="F5" t="str">
            <v>Dec-25</v>
          </cell>
          <cell r="G5">
            <v>273693</v>
          </cell>
        </row>
        <row r="6">
          <cell r="B6" t="str">
            <v>PEP</v>
          </cell>
          <cell r="C6" t="str">
            <v>PepsiCo, Inc.</v>
          </cell>
          <cell r="D6" t="str">
            <v>03-Feb-26</v>
          </cell>
          <cell r="F6" t="str">
            <v>Dec-25</v>
          </cell>
          <cell r="G6">
            <v>212497</v>
          </cell>
        </row>
        <row r="7">
          <cell r="B7" t="str">
            <v>AMGN</v>
          </cell>
          <cell r="C7" t="str">
            <v>Amgen Inc.</v>
          </cell>
          <cell r="D7" t="str">
            <v>03-Feb-26</v>
          </cell>
          <cell r="E7" t="str">
            <v>After Hours</v>
          </cell>
          <cell r="F7" t="str">
            <v>Dec-25</v>
          </cell>
          <cell r="G7">
            <v>184096</v>
          </cell>
        </row>
        <row r="8">
          <cell r="B8" t="str">
            <v>PFE</v>
          </cell>
          <cell r="C8" t="str">
            <v>Pfizer Inc.</v>
          </cell>
          <cell r="D8" t="str">
            <v>03-Feb-26</v>
          </cell>
          <cell r="F8" t="str">
            <v>Dec-25</v>
          </cell>
          <cell r="G8">
            <v>150330</v>
          </cell>
        </row>
        <row r="9">
          <cell r="B9" t="str">
            <v>ETN</v>
          </cell>
          <cell r="C9" t="str">
            <v>Eaton Corporation plc</v>
          </cell>
          <cell r="D9" t="str">
            <v>03-Feb-26</v>
          </cell>
          <cell r="F9" t="str">
            <v>Dec-25</v>
          </cell>
          <cell r="G9">
            <v>136492</v>
          </cell>
        </row>
        <row r="10">
          <cell r="B10" t="str">
            <v>CB</v>
          </cell>
          <cell r="C10" t="str">
            <v>Chubb Limited</v>
          </cell>
          <cell r="D10" t="str">
            <v>03-Feb-26</v>
          </cell>
          <cell r="F10" t="str">
            <v>Dec-25</v>
          </cell>
          <cell r="G10">
            <v>121828</v>
          </cell>
        </row>
        <row r="11">
          <cell r="B11" t="str">
            <v>EMR</v>
          </cell>
          <cell r="C11" t="str">
            <v>Emerson Electric Co.</v>
          </cell>
          <cell r="D11" t="str">
            <v>03-Feb-26</v>
          </cell>
          <cell r="F11" t="str">
            <v>Dec-25</v>
          </cell>
          <cell r="G11">
            <v>82635.92</v>
          </cell>
        </row>
        <row r="12">
          <cell r="B12" t="str">
            <v>TDG</v>
          </cell>
          <cell r="C12" t="str">
            <v>TransDigm Group Incorporated</v>
          </cell>
          <cell r="D12" t="str">
            <v>03-Feb-26</v>
          </cell>
          <cell r="F12" t="str">
            <v>Dec-25</v>
          </cell>
          <cell r="G12">
            <v>80587.97</v>
          </cell>
        </row>
        <row r="13">
          <cell r="B13">
            <v>7974</v>
          </cell>
          <cell r="C13" t="str">
            <v>Nintendo Co., Ltd.</v>
          </cell>
          <cell r="D13" t="str">
            <v>03-Feb-26</v>
          </cell>
          <cell r="F13" t="str">
            <v>Dec-25</v>
          </cell>
          <cell r="G13">
            <v>76065.45</v>
          </cell>
        </row>
        <row r="14">
          <cell r="B14" t="str">
            <v>ITW</v>
          </cell>
          <cell r="C14" t="str">
            <v>Illinois Tool Works Inc.</v>
          </cell>
          <cell r="D14" t="str">
            <v>03-Feb-26</v>
          </cell>
          <cell r="E14" t="str">
            <v>Pre Market</v>
          </cell>
          <cell r="F14" t="str">
            <v>Dec-25</v>
          </cell>
          <cell r="G14">
            <v>75791.53</v>
          </cell>
        </row>
        <row r="15">
          <cell r="B15" t="str">
            <v>MDLZ</v>
          </cell>
          <cell r="C15" t="str">
            <v>Mondelez International, Inc.</v>
          </cell>
          <cell r="D15" t="str">
            <v>03-Feb-26</v>
          </cell>
          <cell r="E15" t="str">
            <v>After Hours</v>
          </cell>
          <cell r="F15" t="str">
            <v>Dec-25</v>
          </cell>
          <cell r="G15">
            <v>75447.259999999995</v>
          </cell>
        </row>
        <row r="16">
          <cell r="B16" t="str">
            <v>EPD</v>
          </cell>
          <cell r="C16" t="str">
            <v>Enterprise Products Partners L.P.</v>
          </cell>
          <cell r="D16" t="str">
            <v>03-Feb-26</v>
          </cell>
          <cell r="E16" t="str">
            <v>Pre Market</v>
          </cell>
          <cell r="F16" t="str">
            <v>Dec-25</v>
          </cell>
          <cell r="G16">
            <v>71800.63</v>
          </cell>
        </row>
        <row r="17">
          <cell r="B17">
            <v>6503</v>
          </cell>
          <cell r="C17" t="str">
            <v>Mitsubishi Electric Corporation</v>
          </cell>
          <cell r="D17" t="str">
            <v>03-Feb-26</v>
          </cell>
          <cell r="F17" t="str">
            <v>Dec-25</v>
          </cell>
          <cell r="G17">
            <v>64221.8</v>
          </cell>
        </row>
        <row r="18">
          <cell r="B18" t="str">
            <v>SU</v>
          </cell>
          <cell r="C18" t="str">
            <v>Suncor Energy Inc.</v>
          </cell>
          <cell r="D18" t="str">
            <v>03-Feb-26</v>
          </cell>
          <cell r="F18" t="str">
            <v>Dec-25</v>
          </cell>
          <cell r="G18">
            <v>63761.61</v>
          </cell>
        </row>
        <row r="19">
          <cell r="B19" t="str">
            <v>BAJFINANCE</v>
          </cell>
          <cell r="C19" t="str">
            <v>Bajaj Finance Limited</v>
          </cell>
          <cell r="D19" t="str">
            <v>03-Feb-26</v>
          </cell>
          <cell r="F19" t="str">
            <v>Dec-25</v>
          </cell>
          <cell r="G19">
            <v>62857.21</v>
          </cell>
        </row>
        <row r="20">
          <cell r="B20" t="str">
            <v>MPLX</v>
          </cell>
          <cell r="C20" t="str">
            <v>MPLX LP</v>
          </cell>
          <cell r="D20" t="str">
            <v>03-Feb-26</v>
          </cell>
          <cell r="E20" t="str">
            <v>Pre Market</v>
          </cell>
          <cell r="F20" t="str">
            <v>Dec-25</v>
          </cell>
          <cell r="G20">
            <v>56853.94</v>
          </cell>
        </row>
        <row r="21">
          <cell r="B21" t="str">
            <v>MPC</v>
          </cell>
          <cell r="C21" t="str">
            <v>Marathon Petroleum Corporation</v>
          </cell>
          <cell r="D21" t="str">
            <v>03-Feb-26</v>
          </cell>
          <cell r="E21" t="str">
            <v>Pre Market</v>
          </cell>
          <cell r="F21" t="str">
            <v>Dec-25</v>
          </cell>
          <cell r="G21">
            <v>52963.15</v>
          </cell>
        </row>
        <row r="22">
          <cell r="B22" t="str">
            <v>AME</v>
          </cell>
          <cell r="C22" t="str">
            <v>AMETEK, Inc.</v>
          </cell>
          <cell r="D22" t="str">
            <v>03-Feb-26</v>
          </cell>
          <cell r="F22" t="str">
            <v>Dec-25</v>
          </cell>
          <cell r="G22">
            <v>51561.06</v>
          </cell>
        </row>
        <row r="23">
          <cell r="B23" t="str">
            <v>CMG</v>
          </cell>
          <cell r="C23" t="str">
            <v>Chipotle Mexican Grill, Inc.</v>
          </cell>
          <cell r="D23" t="str">
            <v>03-Feb-26</v>
          </cell>
          <cell r="E23" t="str">
            <v>After Hours</v>
          </cell>
          <cell r="F23" t="str">
            <v>Dec-25</v>
          </cell>
          <cell r="G23">
            <v>51396.95</v>
          </cell>
        </row>
        <row r="24">
          <cell r="B24" t="str">
            <v>GWW</v>
          </cell>
          <cell r="C24" t="str">
            <v>W.W. Grainger, Inc.</v>
          </cell>
          <cell r="D24" t="str">
            <v>03-Feb-26</v>
          </cell>
          <cell r="E24" t="str">
            <v>Pre Market</v>
          </cell>
          <cell r="F24" t="str">
            <v>Dec-25</v>
          </cell>
          <cell r="G24">
            <v>51350.43</v>
          </cell>
        </row>
        <row r="25">
          <cell r="B25" t="str">
            <v>EA</v>
          </cell>
          <cell r="C25" t="str">
            <v>Electronic Arts Inc.</v>
          </cell>
          <cell r="D25" t="str">
            <v>03-Feb-26</v>
          </cell>
          <cell r="E25" t="str">
            <v>After Hours</v>
          </cell>
          <cell r="F25" t="str">
            <v>Dec-25</v>
          </cell>
          <cell r="G25">
            <v>50858.58</v>
          </cell>
        </row>
        <row r="26">
          <cell r="B26" t="str">
            <v>PYPL</v>
          </cell>
          <cell r="C26" t="str">
            <v>PayPal Holdings, Inc.</v>
          </cell>
          <cell r="D26" t="str">
            <v>03-Feb-26</v>
          </cell>
          <cell r="E26" t="str">
            <v>Pre Market</v>
          </cell>
          <cell r="F26" t="str">
            <v>Dec-25</v>
          </cell>
          <cell r="G26">
            <v>49299.5</v>
          </cell>
        </row>
        <row r="27">
          <cell r="B27" t="str">
            <v>CTVA</v>
          </cell>
          <cell r="C27" t="str">
            <v>Corteva, Inc.</v>
          </cell>
          <cell r="D27" t="str">
            <v>03-Feb-26</v>
          </cell>
          <cell r="E27" t="str">
            <v>After Hours</v>
          </cell>
          <cell r="F27" t="str">
            <v>Dec-25</v>
          </cell>
          <cell r="G27">
            <v>49193.29</v>
          </cell>
        </row>
        <row r="28">
          <cell r="B28" t="str">
            <v>TTWO</v>
          </cell>
          <cell r="C28" t="str">
            <v>Take-Two Interactive Software, Inc.</v>
          </cell>
          <cell r="D28" t="str">
            <v>03-Feb-26</v>
          </cell>
          <cell r="E28" t="str">
            <v>After Hours</v>
          </cell>
          <cell r="F28" t="str">
            <v>Dec-25</v>
          </cell>
          <cell r="G28">
            <v>44372.79</v>
          </cell>
        </row>
        <row r="29">
          <cell r="B29">
            <v>8015</v>
          </cell>
          <cell r="C29" t="str">
            <v>Toyota Tsusho Corporation</v>
          </cell>
          <cell r="D29" t="str">
            <v>03-Feb-26</v>
          </cell>
          <cell r="F29" t="str">
            <v>Dec-25</v>
          </cell>
          <cell r="G29">
            <v>40700.300000000003</v>
          </cell>
        </row>
        <row r="30">
          <cell r="B30" t="str">
            <v>PRU</v>
          </cell>
          <cell r="C30" t="str">
            <v>Prudential Financial, Inc.</v>
          </cell>
          <cell r="D30" t="str">
            <v>03-Feb-26</v>
          </cell>
          <cell r="E30" t="str">
            <v>After Hours</v>
          </cell>
          <cell r="F30" t="str">
            <v>Dec-25</v>
          </cell>
          <cell r="G30">
            <v>39080.33</v>
          </cell>
        </row>
        <row r="31">
          <cell r="B31" t="str">
            <v>ADANIPORTS</v>
          </cell>
          <cell r="C31" t="str">
            <v>Adani Ports and Special Economic Zone Limited</v>
          </cell>
          <cell r="D31" t="str">
            <v>03-Feb-26</v>
          </cell>
          <cell r="F31" t="str">
            <v>Dec-25</v>
          </cell>
          <cell r="G31">
            <v>36104.019999999997</v>
          </cell>
        </row>
        <row r="32">
          <cell r="B32">
            <v>5802</v>
          </cell>
          <cell r="C32" t="str">
            <v>Sumitomo Electric Industries, Ltd.</v>
          </cell>
          <cell r="D32" t="str">
            <v>03-Feb-26</v>
          </cell>
          <cell r="F32" t="str">
            <v>Dec-25</v>
          </cell>
          <cell r="G32">
            <v>33687.35</v>
          </cell>
        </row>
        <row r="33">
          <cell r="B33">
            <v>2412</v>
          </cell>
          <cell r="C33" t="str">
            <v>Chunghwa Telecom Co., Ltd.</v>
          </cell>
          <cell r="D33" t="str">
            <v>03-Feb-26</v>
          </cell>
          <cell r="E33" t="str">
            <v>Pre Market</v>
          </cell>
          <cell r="F33" t="str">
            <v>Dec-25</v>
          </cell>
          <cell r="G33">
            <v>32675.86</v>
          </cell>
        </row>
        <row r="34">
          <cell r="B34" t="str">
            <v>ADVANC</v>
          </cell>
          <cell r="C34" t="str">
            <v>Advanced Info Service Public Company Limited</v>
          </cell>
          <cell r="D34" t="str">
            <v>03-Feb-26</v>
          </cell>
          <cell r="F34" t="str">
            <v>Dec-25</v>
          </cell>
          <cell r="G34">
            <v>32414.91</v>
          </cell>
        </row>
        <row r="35">
          <cell r="B35" t="str">
            <v>WTW</v>
          </cell>
          <cell r="C35" t="str">
            <v>Willis Towers Watson Public Limited Company</v>
          </cell>
          <cell r="D35" t="str">
            <v>03-Feb-26</v>
          </cell>
          <cell r="E35" t="str">
            <v>Pre Market</v>
          </cell>
          <cell r="F35" t="str">
            <v>Dec-25</v>
          </cell>
          <cell r="G35">
            <v>31540.55</v>
          </cell>
        </row>
        <row r="36">
          <cell r="B36" t="str">
            <v>ADM</v>
          </cell>
          <cell r="C36" t="str">
            <v>Archer-Daniels-Midland Company</v>
          </cell>
          <cell r="D36" t="str">
            <v>03-Feb-26</v>
          </cell>
          <cell r="E36" t="str">
            <v>Pre Market</v>
          </cell>
          <cell r="F36" t="str">
            <v>Dec-25</v>
          </cell>
          <cell r="G36">
            <v>31323.54</v>
          </cell>
        </row>
        <row r="37">
          <cell r="B37">
            <v>512599</v>
          </cell>
          <cell r="C37" t="str">
            <v>Adani Enterprises Limited</v>
          </cell>
          <cell r="D37" t="str">
            <v>03-Feb-26</v>
          </cell>
          <cell r="F37" t="str">
            <v>Dec-25</v>
          </cell>
          <cell r="G37">
            <v>30725.1</v>
          </cell>
        </row>
        <row r="38">
          <cell r="B38" t="str">
            <v>ATO</v>
          </cell>
          <cell r="C38" t="str">
            <v>Atmos Energy Corporation</v>
          </cell>
          <cell r="D38" t="str">
            <v>03-Feb-26</v>
          </cell>
          <cell r="E38" t="str">
            <v>After Hours</v>
          </cell>
          <cell r="F38" t="str">
            <v>Dec-25</v>
          </cell>
          <cell r="G38">
            <v>27573.18</v>
          </cell>
        </row>
        <row r="39">
          <cell r="B39" t="str">
            <v>HUBB</v>
          </cell>
          <cell r="C39" t="str">
            <v>Hubbell Incorporated</v>
          </cell>
          <cell r="D39" t="str">
            <v>03-Feb-26</v>
          </cell>
          <cell r="F39" t="str">
            <v>Dec-25</v>
          </cell>
          <cell r="G39">
            <v>26004.26</v>
          </cell>
        </row>
        <row r="40">
          <cell r="B40" t="str">
            <v>BR</v>
          </cell>
          <cell r="C40" t="str">
            <v>Broadridge Financial Solutions, Inc.</v>
          </cell>
          <cell r="D40" t="str">
            <v>03-Feb-26</v>
          </cell>
          <cell r="E40" t="str">
            <v>Pre Market</v>
          </cell>
          <cell r="F40" t="str">
            <v>Dec-25</v>
          </cell>
          <cell r="G40">
            <v>25521.31</v>
          </cell>
        </row>
        <row r="41">
          <cell r="B41" t="str">
            <v>VLTO</v>
          </cell>
          <cell r="C41" t="str">
            <v>Veralto Corporation</v>
          </cell>
          <cell r="D41" t="str">
            <v>03-Feb-26</v>
          </cell>
          <cell r="F41" t="str">
            <v>Jan-26</v>
          </cell>
          <cell r="G41">
            <v>25492.69</v>
          </cell>
        </row>
        <row r="42">
          <cell r="B42" t="str">
            <v>PUB</v>
          </cell>
          <cell r="C42" t="str">
            <v>Publicis Groupe S.A.</v>
          </cell>
          <cell r="D42" t="str">
            <v>03-Feb-26</v>
          </cell>
          <cell r="F42" t="str">
            <v>Dec-25</v>
          </cell>
          <cell r="G42">
            <v>25108.03</v>
          </cell>
        </row>
        <row r="43">
          <cell r="B43" t="str">
            <v>DIM</v>
          </cell>
          <cell r="C43" t="str">
            <v>Sartorius Stedim Biotech S.A.</v>
          </cell>
          <cell r="D43" t="str">
            <v>03-Feb-26</v>
          </cell>
          <cell r="F43" t="str">
            <v>Dec-25</v>
          </cell>
          <cell r="G43">
            <v>24079.42</v>
          </cell>
        </row>
        <row r="44">
          <cell r="B44" t="str">
            <v>ALFA</v>
          </cell>
          <cell r="C44" t="str">
            <v>Alfa Laval AB (publ)</v>
          </cell>
          <cell r="D44" t="str">
            <v>03-Feb-26</v>
          </cell>
          <cell r="F44" t="str">
            <v>Dec-25</v>
          </cell>
          <cell r="G44">
            <v>22721.279999999999</v>
          </cell>
        </row>
        <row r="45">
          <cell r="B45" t="str">
            <v>SMCI</v>
          </cell>
          <cell r="C45" t="str">
            <v>Super Micro Computer, Inc.</v>
          </cell>
          <cell r="D45" t="str">
            <v>03-Feb-26</v>
          </cell>
          <cell r="E45" t="str">
            <v>After Hours</v>
          </cell>
          <cell r="F45" t="str">
            <v>Dec-25</v>
          </cell>
          <cell r="G45">
            <v>19485.14</v>
          </cell>
        </row>
        <row r="46">
          <cell r="B46" t="str">
            <v>AMCR</v>
          </cell>
          <cell r="C46" t="str">
            <v>Amcor plc</v>
          </cell>
          <cell r="D46" t="str">
            <v>03-Feb-26</v>
          </cell>
          <cell r="E46" t="str">
            <v>After Hours</v>
          </cell>
          <cell r="F46" t="str">
            <v>Dec-25</v>
          </cell>
          <cell r="G46">
            <v>18878.29</v>
          </cell>
        </row>
        <row r="47">
          <cell r="B47" t="str">
            <v>J</v>
          </cell>
          <cell r="C47" t="str">
            <v>Jacobs Solutions Inc.</v>
          </cell>
          <cell r="D47" t="str">
            <v>03-Feb-26</v>
          </cell>
          <cell r="E47" t="str">
            <v>After Hours</v>
          </cell>
          <cell r="F47" t="str">
            <v>Dec-25</v>
          </cell>
          <cell r="G47">
            <v>18480.34</v>
          </cell>
        </row>
        <row r="48">
          <cell r="B48" t="str">
            <v>PNR</v>
          </cell>
          <cell r="C48" t="str">
            <v>Pentair plc</v>
          </cell>
          <cell r="D48" t="str">
            <v>03-Feb-26</v>
          </cell>
          <cell r="F48" t="str">
            <v>Dec-25</v>
          </cell>
          <cell r="G48">
            <v>18398</v>
          </cell>
        </row>
        <row r="49">
          <cell r="B49" t="str">
            <v>IT</v>
          </cell>
          <cell r="C49" t="str">
            <v>Gartner, Inc.</v>
          </cell>
          <cell r="D49" t="str">
            <v>03-Feb-26</v>
          </cell>
          <cell r="E49" t="str">
            <v>Pre Market</v>
          </cell>
          <cell r="F49" t="str">
            <v>Dec-25</v>
          </cell>
          <cell r="G49">
            <v>17204.900000000001</v>
          </cell>
        </row>
        <row r="50">
          <cell r="B50" t="str">
            <v>FORTUM</v>
          </cell>
          <cell r="C50" t="str">
            <v>Fortum Oyj</v>
          </cell>
          <cell r="D50" t="str">
            <v>03-Feb-26</v>
          </cell>
          <cell r="F50" t="str">
            <v>Dec-25</v>
          </cell>
          <cell r="G50">
            <v>17191.86</v>
          </cell>
        </row>
        <row r="51">
          <cell r="B51" t="str">
            <v>PIDILITIND</v>
          </cell>
          <cell r="C51" t="str">
            <v>Pidilite Industries Limited</v>
          </cell>
          <cell r="D51" t="str">
            <v>03-Feb-26</v>
          </cell>
          <cell r="F51" t="str">
            <v>Dec-25</v>
          </cell>
          <cell r="G51">
            <v>17075.900000000001</v>
          </cell>
        </row>
        <row r="52">
          <cell r="B52" t="str">
            <v>VBL</v>
          </cell>
          <cell r="C52" t="str">
            <v>Varun Beverages Limited</v>
          </cell>
          <cell r="D52" t="str">
            <v>03-Feb-26</v>
          </cell>
          <cell r="F52" t="str">
            <v>Dec-25</v>
          </cell>
          <cell r="G52">
            <v>16892.57</v>
          </cell>
        </row>
        <row r="53">
          <cell r="B53" t="str">
            <v>AMUN</v>
          </cell>
          <cell r="C53" t="str">
            <v>Amundi S.A.</v>
          </cell>
          <cell r="D53" t="str">
            <v>03-Feb-26</v>
          </cell>
          <cell r="F53" t="str">
            <v>Dec-25</v>
          </cell>
          <cell r="G53">
            <v>15945.22</v>
          </cell>
        </row>
        <row r="54">
          <cell r="B54" t="str">
            <v>CHILE</v>
          </cell>
          <cell r="C54" t="str">
            <v>Banco de Chile</v>
          </cell>
          <cell r="D54" t="str">
            <v>03-Feb-26</v>
          </cell>
          <cell r="F54" t="str">
            <v>Dec-25</v>
          </cell>
          <cell r="G54">
            <v>15459.66</v>
          </cell>
        </row>
        <row r="55">
          <cell r="B55" t="str">
            <v>CLX</v>
          </cell>
          <cell r="C55" t="str">
            <v>The Clorox Company</v>
          </cell>
          <cell r="D55" t="str">
            <v>03-Feb-26</v>
          </cell>
          <cell r="F55" t="str">
            <v>Dec-25</v>
          </cell>
          <cell r="G55">
            <v>15067.3</v>
          </cell>
        </row>
        <row r="56">
          <cell r="B56" t="str">
            <v>OMC</v>
          </cell>
          <cell r="C56" t="str">
            <v>Omnicom Group Inc.</v>
          </cell>
          <cell r="D56" t="str">
            <v>03-Feb-26</v>
          </cell>
          <cell r="F56" t="str">
            <v>Dec-25</v>
          </cell>
          <cell r="G56">
            <v>15034.83</v>
          </cell>
        </row>
        <row r="57">
          <cell r="B57" t="str">
            <v>BMED</v>
          </cell>
          <cell r="C57" t="str">
            <v>Banca Mediolanum S.p.A.</v>
          </cell>
          <cell r="D57" t="str">
            <v>03-Feb-26</v>
          </cell>
          <cell r="F57" t="str">
            <v>Dec-25</v>
          </cell>
          <cell r="G57">
            <v>14767.96</v>
          </cell>
        </row>
        <row r="58">
          <cell r="B58" t="str">
            <v>SOLARINDS</v>
          </cell>
          <cell r="C58" t="str">
            <v>Solar Industries India Limited</v>
          </cell>
          <cell r="D58" t="str">
            <v>03-Feb-26</v>
          </cell>
          <cell r="F58" t="str">
            <v>Dec-25</v>
          </cell>
          <cell r="G58">
            <v>14119.94</v>
          </cell>
        </row>
        <row r="59">
          <cell r="B59" t="str">
            <v>CSL</v>
          </cell>
          <cell r="C59" t="str">
            <v>Carlisle Companies Incorporated</v>
          </cell>
          <cell r="D59" t="str">
            <v>03-Feb-26</v>
          </cell>
          <cell r="E59" t="str">
            <v>After Hours</v>
          </cell>
          <cell r="F59" t="str">
            <v>Dec-25</v>
          </cell>
          <cell r="G59">
            <v>13991.57</v>
          </cell>
        </row>
        <row r="60">
          <cell r="B60" t="str">
            <v>BALL</v>
          </cell>
          <cell r="C60" t="str">
            <v>Ball Corporation</v>
          </cell>
          <cell r="D60" t="str">
            <v>03-Feb-26</v>
          </cell>
          <cell r="E60" t="str">
            <v>Pre Market</v>
          </cell>
          <cell r="F60" t="str">
            <v>Dec-25</v>
          </cell>
          <cell r="G60">
            <v>13675.48</v>
          </cell>
        </row>
        <row r="61">
          <cell r="B61">
            <v>1080</v>
          </cell>
          <cell r="C61" t="str">
            <v>Arab National Bank</v>
          </cell>
          <cell r="D61" t="str">
            <v>03-Feb-26</v>
          </cell>
          <cell r="F61" t="str">
            <v>Dec-25</v>
          </cell>
          <cell r="G61">
            <v>13448.87</v>
          </cell>
        </row>
        <row r="62">
          <cell r="B62" t="str">
            <v>BOL</v>
          </cell>
          <cell r="C62" t="str">
            <v>Boliden AB (publ)</v>
          </cell>
          <cell r="D62" t="str">
            <v>03-Feb-26</v>
          </cell>
          <cell r="F62" t="str">
            <v>Dec-25</v>
          </cell>
          <cell r="G62">
            <v>13141.51</v>
          </cell>
        </row>
        <row r="63">
          <cell r="B63" t="str">
            <v>AFG</v>
          </cell>
          <cell r="C63" t="str">
            <v>American Financial Group, Inc.</v>
          </cell>
          <cell r="D63" t="str">
            <v>03-Feb-26</v>
          </cell>
          <cell r="E63" t="str">
            <v>After Hours</v>
          </cell>
          <cell r="F63" t="str">
            <v>Dec-25</v>
          </cell>
          <cell r="G63">
            <v>12401.59</v>
          </cell>
        </row>
        <row r="64">
          <cell r="B64" t="str">
            <v>RNR</v>
          </cell>
          <cell r="C64" t="str">
            <v>RenaissanceRe Holdings Ltd.</v>
          </cell>
          <cell r="D64" t="str">
            <v>03-Feb-26</v>
          </cell>
          <cell r="E64" t="str">
            <v>After Hours</v>
          </cell>
          <cell r="F64" t="str">
            <v>Dec-25</v>
          </cell>
          <cell r="G64">
            <v>12214.15</v>
          </cell>
        </row>
        <row r="65">
          <cell r="B65" t="str">
            <v>LITE</v>
          </cell>
          <cell r="C65" t="str">
            <v>Lumentum Holdings Inc.</v>
          </cell>
          <cell r="D65" t="str">
            <v>03-Feb-26</v>
          </cell>
          <cell r="E65" t="str">
            <v>After Hours</v>
          </cell>
          <cell r="F65" t="str">
            <v>Dec-25</v>
          </cell>
          <cell r="G65">
            <v>11450.32</v>
          </cell>
        </row>
        <row r="66">
          <cell r="B66" t="str">
            <v>SWKS</v>
          </cell>
          <cell r="C66" t="str">
            <v>Skyworks Solutions, Inc.</v>
          </cell>
          <cell r="D66" t="str">
            <v>03-Feb-26</v>
          </cell>
          <cell r="E66" t="str">
            <v>After Hours</v>
          </cell>
          <cell r="F66" t="str">
            <v>Dec-25</v>
          </cell>
          <cell r="G66">
            <v>11443.77</v>
          </cell>
        </row>
        <row r="67">
          <cell r="B67" t="str">
            <v>ATI</v>
          </cell>
          <cell r="C67" t="str">
            <v>ATI Inc.</v>
          </cell>
          <cell r="D67" t="str">
            <v>03-Feb-26</v>
          </cell>
          <cell r="E67" t="str">
            <v>Pre Market</v>
          </cell>
          <cell r="F67" t="str">
            <v>Dec-25</v>
          </cell>
          <cell r="G67">
            <v>11203</v>
          </cell>
        </row>
        <row r="68">
          <cell r="B68" t="str">
            <v>MLI</v>
          </cell>
          <cell r="C68" t="str">
            <v>Mueller Industries, Inc.</v>
          </cell>
          <cell r="D68" t="str">
            <v>03-Feb-26</v>
          </cell>
          <cell r="F68" t="str">
            <v>Dec-25</v>
          </cell>
          <cell r="G68">
            <v>11125.43</v>
          </cell>
        </row>
        <row r="69">
          <cell r="B69" t="str">
            <v>JKHY</v>
          </cell>
          <cell r="C69" t="str">
            <v>Jack Henry &amp; Associates, Inc.</v>
          </cell>
          <cell r="D69" t="str">
            <v>03-Feb-26</v>
          </cell>
          <cell r="E69" t="str">
            <v>After Hours</v>
          </cell>
          <cell r="F69" t="str">
            <v>Dec-25</v>
          </cell>
          <cell r="G69">
            <v>10628.01</v>
          </cell>
        </row>
        <row r="70">
          <cell r="B70">
            <v>9021</v>
          </cell>
          <cell r="C70" t="str">
            <v>West Japan Railway Company</v>
          </cell>
          <cell r="D70" t="str">
            <v>03-Feb-26</v>
          </cell>
          <cell r="F70" t="str">
            <v>Dec-25</v>
          </cell>
          <cell r="G70">
            <v>9813.2900000000009</v>
          </cell>
        </row>
        <row r="71">
          <cell r="B71" t="str">
            <v>BPSO</v>
          </cell>
          <cell r="C71" t="str">
            <v>Banca Popolare di Sondrio S.p.A</v>
          </cell>
          <cell r="D71" t="str">
            <v>03-Feb-26</v>
          </cell>
          <cell r="F71" t="str">
            <v>Dec-25</v>
          </cell>
          <cell r="G71">
            <v>9249.98</v>
          </cell>
        </row>
        <row r="72">
          <cell r="B72" t="str">
            <v>BBNI</v>
          </cell>
          <cell r="C72" t="str">
            <v>PT Bank Negara Indonesia (Persero) Tbk</v>
          </cell>
          <cell r="D72" t="str">
            <v>03-Feb-26</v>
          </cell>
          <cell r="F72" t="str">
            <v>Dec-25</v>
          </cell>
          <cell r="G72">
            <v>9059.1299999999992</v>
          </cell>
        </row>
        <row r="73">
          <cell r="B73" t="str">
            <v>DOX</v>
          </cell>
          <cell r="C73" t="str">
            <v>Amdocs Limited</v>
          </cell>
          <cell r="D73" t="str">
            <v>03-Feb-26</v>
          </cell>
          <cell r="E73" t="str">
            <v>After Hours</v>
          </cell>
          <cell r="F73" t="str">
            <v>Dec-25</v>
          </cell>
          <cell r="G73">
            <v>9054.5400000000009</v>
          </cell>
        </row>
        <row r="74">
          <cell r="B74" t="str">
            <v>ABCAPITAL</v>
          </cell>
          <cell r="C74" t="str">
            <v>Aditya Birla Capital Limited</v>
          </cell>
          <cell r="D74" t="str">
            <v>03-Feb-26</v>
          </cell>
          <cell r="F74" t="str">
            <v>Dec-25</v>
          </cell>
          <cell r="G74">
            <v>8944.35</v>
          </cell>
        </row>
        <row r="75">
          <cell r="B75">
            <v>9107</v>
          </cell>
          <cell r="C75" t="str">
            <v>Kawasaki Kisen Kaisha, Ltd.</v>
          </cell>
          <cell r="D75" t="str">
            <v>03-Feb-26</v>
          </cell>
          <cell r="F75" t="str">
            <v>Dec-25</v>
          </cell>
          <cell r="G75">
            <v>8872.0499999999993</v>
          </cell>
        </row>
        <row r="76">
          <cell r="B76">
            <v>4062</v>
          </cell>
          <cell r="C76" t="str">
            <v>Ibiden Co.,Ltd.</v>
          </cell>
          <cell r="D76" t="str">
            <v>03-Feb-26</v>
          </cell>
          <cell r="F76" t="str">
            <v>Dec-25</v>
          </cell>
          <cell r="G76">
            <v>8731.1</v>
          </cell>
        </row>
        <row r="77">
          <cell r="B77" t="str">
            <v>MTCH</v>
          </cell>
          <cell r="C77" t="str">
            <v>Match Group, Inc.</v>
          </cell>
          <cell r="D77" t="str">
            <v>03-Feb-26</v>
          </cell>
          <cell r="E77" t="str">
            <v>After Hours</v>
          </cell>
          <cell r="F77" t="str">
            <v>Dec-25</v>
          </cell>
          <cell r="G77">
            <v>8258.15</v>
          </cell>
        </row>
        <row r="78">
          <cell r="B78">
            <v>526371</v>
          </cell>
          <cell r="C78" t="str">
            <v>NMDC Limited</v>
          </cell>
          <cell r="D78" t="str">
            <v>03-Feb-26</v>
          </cell>
          <cell r="F78" t="str">
            <v>Dec-25</v>
          </cell>
          <cell r="G78">
            <v>8195.49</v>
          </cell>
        </row>
        <row r="79">
          <cell r="B79" t="str">
            <v>ZWS</v>
          </cell>
          <cell r="C79" t="str">
            <v>Zurn Elkay Water Solutions Corporation</v>
          </cell>
          <cell r="D79" t="str">
            <v>03-Feb-26</v>
          </cell>
          <cell r="E79" t="str">
            <v>After Hours</v>
          </cell>
          <cell r="F79" t="str">
            <v>Dec-25</v>
          </cell>
          <cell r="G79">
            <v>7848.16</v>
          </cell>
        </row>
        <row r="80">
          <cell r="B80">
            <v>6841</v>
          </cell>
          <cell r="C80" t="str">
            <v>Yokogawa Electric Corporation</v>
          </cell>
          <cell r="D80" t="str">
            <v>03-Feb-26</v>
          </cell>
          <cell r="F80" t="str">
            <v>Dec-25</v>
          </cell>
          <cell r="G80">
            <v>7756.23</v>
          </cell>
        </row>
        <row r="81">
          <cell r="B81" t="str">
            <v>UNI</v>
          </cell>
          <cell r="C81" t="str">
            <v>Unicaja Banco, S.A.</v>
          </cell>
          <cell r="D81" t="str">
            <v>03-Feb-26</v>
          </cell>
          <cell r="F81" t="str">
            <v>Dec-25</v>
          </cell>
          <cell r="G81">
            <v>7620.1</v>
          </cell>
        </row>
        <row r="82">
          <cell r="B82">
            <v>3064</v>
          </cell>
          <cell r="C82" t="str">
            <v>MonotaRO Co., Ltd.</v>
          </cell>
          <cell r="D82" t="str">
            <v>03-Feb-26</v>
          </cell>
          <cell r="F82" t="str">
            <v>Dec-25</v>
          </cell>
          <cell r="G82">
            <v>7611.26</v>
          </cell>
        </row>
        <row r="83">
          <cell r="B83" t="str">
            <v>DEMANT</v>
          </cell>
          <cell r="C83" t="str">
            <v>Demant A/S</v>
          </cell>
          <cell r="D83" t="str">
            <v>03-Feb-26</v>
          </cell>
          <cell r="F83" t="str">
            <v>Dec-25</v>
          </cell>
          <cell r="G83">
            <v>7235.32</v>
          </cell>
        </row>
        <row r="84">
          <cell r="B84" t="str">
            <v>INGR</v>
          </cell>
          <cell r="C84" t="str">
            <v>Ingredion Incorporated</v>
          </cell>
          <cell r="D84" t="str">
            <v>03-Feb-26</v>
          </cell>
          <cell r="E84" t="str">
            <v>Pre Market</v>
          </cell>
          <cell r="F84" t="str">
            <v>Dec-25</v>
          </cell>
          <cell r="G84">
            <v>7014.36</v>
          </cell>
        </row>
        <row r="85">
          <cell r="B85" t="str">
            <v>VOYA</v>
          </cell>
          <cell r="C85" t="str">
            <v>Voya Financial, Inc.</v>
          </cell>
          <cell r="D85" t="str">
            <v>03-Feb-26</v>
          </cell>
          <cell r="E85" t="str">
            <v>After Hours</v>
          </cell>
          <cell r="F85" t="str">
            <v>Dec-25</v>
          </cell>
          <cell r="G85">
            <v>6902.17</v>
          </cell>
        </row>
        <row r="86">
          <cell r="B86" t="str">
            <v>A003230</v>
          </cell>
          <cell r="C86" t="str">
            <v>Samyang Foods Co., Ltd.</v>
          </cell>
          <cell r="D86" t="str">
            <v>03-Feb-26</v>
          </cell>
          <cell r="F86" t="str">
            <v>Dec-25</v>
          </cell>
          <cell r="G86">
            <v>6581.6</v>
          </cell>
        </row>
        <row r="87">
          <cell r="B87" t="str">
            <v>HLUN B</v>
          </cell>
          <cell r="C87" t="str">
            <v>H. Lundbeck A/S</v>
          </cell>
          <cell r="D87" t="str">
            <v>03-Feb-26</v>
          </cell>
          <cell r="F87" t="str">
            <v>Dec-25</v>
          </cell>
          <cell r="G87">
            <v>6455.71</v>
          </cell>
        </row>
        <row r="88">
          <cell r="B88" t="str">
            <v>THG</v>
          </cell>
          <cell r="C88" t="str">
            <v>The Hanover Insurance Group, Inc.</v>
          </cell>
          <cell r="D88" t="str">
            <v>03-Feb-26</v>
          </cell>
          <cell r="E88" t="str">
            <v>After Hours</v>
          </cell>
          <cell r="F88" t="str">
            <v>Dec-25</v>
          </cell>
          <cell r="G88">
            <v>6422.19</v>
          </cell>
        </row>
        <row r="89">
          <cell r="B89" t="str">
            <v>HLNE</v>
          </cell>
          <cell r="C89" t="str">
            <v>Hamilton Lane Incorporated</v>
          </cell>
          <cell r="D89" t="str">
            <v>03-Feb-26</v>
          </cell>
          <cell r="E89" t="str">
            <v>Pre Market</v>
          </cell>
          <cell r="F89" t="str">
            <v>Dec-25</v>
          </cell>
          <cell r="G89">
            <v>6362.07</v>
          </cell>
        </row>
        <row r="90">
          <cell r="B90" t="str">
            <v>RITM</v>
          </cell>
          <cell r="C90" t="str">
            <v>Rithm Capital Corp.</v>
          </cell>
          <cell r="D90" t="str">
            <v>03-Feb-26</v>
          </cell>
          <cell r="E90" t="str">
            <v>Pre Market</v>
          </cell>
          <cell r="F90" t="str">
            <v>Dec-25</v>
          </cell>
          <cell r="G90">
            <v>6179.29</v>
          </cell>
        </row>
        <row r="91">
          <cell r="B91" t="str">
            <v>CRUS</v>
          </cell>
          <cell r="C91" t="str">
            <v>Cirrus Logic, Inc.</v>
          </cell>
          <cell r="D91" t="str">
            <v>03-Feb-26</v>
          </cell>
          <cell r="E91" t="str">
            <v>After Hours</v>
          </cell>
          <cell r="F91" t="str">
            <v>Dec-25</v>
          </cell>
          <cell r="G91">
            <v>6038.94</v>
          </cell>
        </row>
        <row r="92">
          <cell r="B92" t="str">
            <v>HRB</v>
          </cell>
          <cell r="C92" t="str">
            <v>H&amp;R Block, Inc.</v>
          </cell>
          <cell r="D92" t="str">
            <v>03-Feb-26</v>
          </cell>
          <cell r="E92" t="str">
            <v>After Hours</v>
          </cell>
          <cell r="F92" t="str">
            <v>Dec-25</v>
          </cell>
          <cell r="G92">
            <v>5526.05</v>
          </cell>
        </row>
        <row r="93">
          <cell r="B93" t="str">
            <v>ACT</v>
          </cell>
          <cell r="C93" t="str">
            <v>Enact Holdings, Inc.</v>
          </cell>
          <cell r="D93" t="str">
            <v>03-Feb-26</v>
          </cell>
          <cell r="E93" t="str">
            <v>After Hours</v>
          </cell>
          <cell r="F93" t="str">
            <v>Dec-25</v>
          </cell>
          <cell r="G93">
            <v>5435.06</v>
          </cell>
        </row>
        <row r="94">
          <cell r="B94" t="str">
            <v>SKY</v>
          </cell>
          <cell r="C94" t="str">
            <v>Champion Homes, Inc.</v>
          </cell>
          <cell r="D94" t="str">
            <v>03-Feb-26</v>
          </cell>
          <cell r="E94" t="str">
            <v>After Hours</v>
          </cell>
          <cell r="F94" t="str">
            <v>Dec-25</v>
          </cell>
          <cell r="G94">
            <v>4890.95</v>
          </cell>
        </row>
        <row r="95">
          <cell r="B95" t="str">
            <v>SR</v>
          </cell>
          <cell r="C95" t="str">
            <v>Spire Inc.</v>
          </cell>
          <cell r="D95" t="str">
            <v>03-Feb-26</v>
          </cell>
          <cell r="E95" t="str">
            <v>Pre Market</v>
          </cell>
          <cell r="F95" t="str">
            <v>Dec-25</v>
          </cell>
          <cell r="G95">
            <v>4857.17</v>
          </cell>
        </row>
        <row r="96">
          <cell r="B96" t="str">
            <v>ENPH</v>
          </cell>
          <cell r="C96" t="str">
            <v>Enphase Energy, Inc.</v>
          </cell>
          <cell r="D96" t="str">
            <v>03-Feb-26</v>
          </cell>
          <cell r="E96" t="str">
            <v>After Hours</v>
          </cell>
          <cell r="F96" t="str">
            <v>Dec-25</v>
          </cell>
          <cell r="G96">
            <v>4811.63</v>
          </cell>
        </row>
        <row r="97">
          <cell r="B97" t="str">
            <v>WFRD</v>
          </cell>
          <cell r="C97" t="str">
            <v>Weatherford International plc</v>
          </cell>
          <cell r="D97" t="str">
            <v>03-Feb-26</v>
          </cell>
          <cell r="E97" t="str">
            <v>After Hours</v>
          </cell>
          <cell r="F97" t="str">
            <v>Dec-25</v>
          </cell>
          <cell r="G97">
            <v>4715.25</v>
          </cell>
        </row>
        <row r="98">
          <cell r="B98" t="str">
            <v>MZTI</v>
          </cell>
          <cell r="C98" t="str">
            <v>The Marzetti Company</v>
          </cell>
          <cell r="D98" t="str">
            <v>03-Feb-26</v>
          </cell>
          <cell r="E98" t="str">
            <v>Pre Market</v>
          </cell>
          <cell r="F98" t="str">
            <v>Dec-25</v>
          </cell>
          <cell r="G98">
            <v>4639.4799999999996</v>
          </cell>
        </row>
        <row r="99">
          <cell r="B99" t="str">
            <v>GPK</v>
          </cell>
          <cell r="C99" t="str">
            <v>Graphic Packaging Holding Company</v>
          </cell>
          <cell r="D99" t="str">
            <v>03-Feb-26</v>
          </cell>
          <cell r="E99" t="str">
            <v>Pre Market</v>
          </cell>
          <cell r="F99" t="str">
            <v>Dec-25</v>
          </cell>
          <cell r="G99">
            <v>4630.4799999999996</v>
          </cell>
        </row>
        <row r="100">
          <cell r="B100" t="str">
            <v>MONET</v>
          </cell>
          <cell r="C100" t="str">
            <v>MONETA Money Bank, a.s.</v>
          </cell>
          <cell r="D100" t="str">
            <v>03-Feb-26</v>
          </cell>
          <cell r="F100" t="str">
            <v>Dec-25</v>
          </cell>
          <cell r="G100">
            <v>4624.5200000000004</v>
          </cell>
        </row>
        <row r="101">
          <cell r="B101" t="str">
            <v>A039490</v>
          </cell>
          <cell r="C101" t="str">
            <v>Kiwoom Securities Co., Ltd.</v>
          </cell>
          <cell r="D101" t="str">
            <v>03-Feb-26</v>
          </cell>
          <cell r="F101" t="str">
            <v>Dec-25</v>
          </cell>
          <cell r="G101">
            <v>4621.54</v>
          </cell>
        </row>
        <row r="102">
          <cell r="B102">
            <v>4676</v>
          </cell>
          <cell r="C102" t="str">
            <v>Fuji Media Holdings, Inc.</v>
          </cell>
          <cell r="D102" t="str">
            <v>03-Feb-26</v>
          </cell>
          <cell r="F102" t="str">
            <v>Dec-25</v>
          </cell>
          <cell r="G102">
            <v>4595.72</v>
          </cell>
        </row>
        <row r="103">
          <cell r="B103" t="str">
            <v>POWL</v>
          </cell>
          <cell r="C103" t="str">
            <v>Powell Industries, Inc.</v>
          </cell>
          <cell r="D103" t="str">
            <v>03-Feb-26</v>
          </cell>
          <cell r="E103" t="str">
            <v>After Hours</v>
          </cell>
          <cell r="F103" t="str">
            <v>Dec-25</v>
          </cell>
          <cell r="G103">
            <v>4587.62</v>
          </cell>
        </row>
        <row r="104">
          <cell r="B104" t="str">
            <v>BRBR</v>
          </cell>
          <cell r="C104" t="str">
            <v>BellRing Brands, Inc.</v>
          </cell>
          <cell r="D104" t="str">
            <v>03-Feb-26</v>
          </cell>
          <cell r="E104" t="str">
            <v>Pre Market</v>
          </cell>
          <cell r="F104" t="str">
            <v>Dec-25</v>
          </cell>
          <cell r="G104">
            <v>4408.01</v>
          </cell>
        </row>
        <row r="105">
          <cell r="B105" t="str">
            <v>MRCY</v>
          </cell>
          <cell r="C105" t="str">
            <v>Mercury Systems, Inc.</v>
          </cell>
          <cell r="D105" t="str">
            <v>03-Feb-26</v>
          </cell>
          <cell r="F105" t="str">
            <v>Dec-25</v>
          </cell>
          <cell r="G105">
            <v>4393.32</v>
          </cell>
        </row>
        <row r="106">
          <cell r="B106" t="str">
            <v>PJT</v>
          </cell>
          <cell r="C106" t="str">
            <v>PJT Partners Inc.</v>
          </cell>
          <cell r="D106" t="str">
            <v>03-Feb-26</v>
          </cell>
          <cell r="E106" t="str">
            <v>Pre Market</v>
          </cell>
          <cell r="F106" t="str">
            <v>Dec-25</v>
          </cell>
          <cell r="G106">
            <v>4362.99</v>
          </cell>
        </row>
        <row r="107">
          <cell r="B107">
            <v>6806</v>
          </cell>
          <cell r="C107" t="str">
            <v>Hirose Electric Co.,Ltd.</v>
          </cell>
          <cell r="D107" t="str">
            <v>03-Feb-26</v>
          </cell>
          <cell r="F107" t="str">
            <v>Dec-25</v>
          </cell>
          <cell r="G107">
            <v>4109.6099999999997</v>
          </cell>
        </row>
        <row r="108">
          <cell r="B108">
            <v>6724</v>
          </cell>
          <cell r="C108" t="str">
            <v>Seiko Epson Corporation</v>
          </cell>
          <cell r="D108" t="str">
            <v>03-Feb-26</v>
          </cell>
          <cell r="F108" t="str">
            <v>Dec-25</v>
          </cell>
          <cell r="G108">
            <v>3973.96</v>
          </cell>
        </row>
        <row r="109">
          <cell r="B109" t="str">
            <v>VRNS</v>
          </cell>
          <cell r="C109" t="str">
            <v>Varonis Systems, Inc.</v>
          </cell>
          <cell r="D109" t="str">
            <v>03-Feb-26</v>
          </cell>
          <cell r="E109" t="str">
            <v>After Hours</v>
          </cell>
          <cell r="F109" t="str">
            <v>Dec-25</v>
          </cell>
          <cell r="G109">
            <v>3907.12</v>
          </cell>
        </row>
        <row r="110">
          <cell r="B110" t="str">
            <v>EXCL</v>
          </cell>
          <cell r="C110" t="str">
            <v>PT XLSMART Telecom Sejahtera Tbk</v>
          </cell>
          <cell r="D110" t="str">
            <v>03-Feb-26</v>
          </cell>
          <cell r="F110" t="str">
            <v>Dec-25</v>
          </cell>
          <cell r="G110">
            <v>3883.82</v>
          </cell>
        </row>
        <row r="111">
          <cell r="B111">
            <v>2331</v>
          </cell>
          <cell r="C111" t="str">
            <v>Alsok Co.,Ltd.</v>
          </cell>
          <cell r="D111" t="str">
            <v>03-Feb-26</v>
          </cell>
          <cell r="F111" t="str">
            <v>Dec-25</v>
          </cell>
          <cell r="G111">
            <v>3774.18</v>
          </cell>
        </row>
        <row r="112">
          <cell r="B112" t="str">
            <v>SPNO</v>
          </cell>
          <cell r="C112" t="str">
            <v>Spar Nord Bank A/S</v>
          </cell>
          <cell r="D112" t="str">
            <v>03-Feb-26</v>
          </cell>
          <cell r="F112" t="str">
            <v>Dec-25</v>
          </cell>
          <cell r="G112">
            <v>3759.66</v>
          </cell>
        </row>
        <row r="113">
          <cell r="B113" t="str">
            <v>CBT</v>
          </cell>
          <cell r="C113" t="str">
            <v>Cabot Corporation</v>
          </cell>
          <cell r="D113" t="str">
            <v>03-Feb-26</v>
          </cell>
          <cell r="E113" t="str">
            <v>After Hours</v>
          </cell>
          <cell r="F113" t="str">
            <v>Dec-25</v>
          </cell>
          <cell r="G113">
            <v>3625.15</v>
          </cell>
        </row>
        <row r="114">
          <cell r="B114" t="str">
            <v>CRVL</v>
          </cell>
          <cell r="C114" t="str">
            <v>CorVel Corporation</v>
          </cell>
          <cell r="D114" t="str">
            <v>03-Feb-26</v>
          </cell>
          <cell r="F114" t="str">
            <v>Dec-25</v>
          </cell>
          <cell r="G114">
            <v>3542.19</v>
          </cell>
        </row>
        <row r="115">
          <cell r="B115">
            <v>6473</v>
          </cell>
          <cell r="C115" t="str">
            <v>JTEKT Corporation</v>
          </cell>
          <cell r="D115" t="str">
            <v>03-Feb-26</v>
          </cell>
          <cell r="F115" t="str">
            <v>Dec-25</v>
          </cell>
          <cell r="G115">
            <v>3538.66</v>
          </cell>
        </row>
        <row r="116">
          <cell r="B116" t="str">
            <v>INTA</v>
          </cell>
          <cell r="C116" t="str">
            <v>Intapp, Inc.</v>
          </cell>
          <cell r="D116" t="str">
            <v>03-Feb-26</v>
          </cell>
          <cell r="E116" t="str">
            <v>After Hours</v>
          </cell>
          <cell r="F116" t="str">
            <v>Dec-25</v>
          </cell>
          <cell r="G116">
            <v>3522.84</v>
          </cell>
        </row>
        <row r="117">
          <cell r="B117" t="str">
            <v>A006260</v>
          </cell>
          <cell r="C117" t="str">
            <v>LS Corp.</v>
          </cell>
          <cell r="D117" t="str">
            <v>03-Feb-26</v>
          </cell>
          <cell r="F117" t="str">
            <v>Dec-25</v>
          </cell>
          <cell r="G117">
            <v>3446.95</v>
          </cell>
        </row>
        <row r="118">
          <cell r="B118" t="str">
            <v>SIMO</v>
          </cell>
          <cell r="C118" t="str">
            <v>Silicon Motion Technology Corporation</v>
          </cell>
          <cell r="D118" t="str">
            <v>03-Feb-26</v>
          </cell>
          <cell r="E118" t="str">
            <v>After Hours</v>
          </cell>
          <cell r="F118" t="str">
            <v>Dec-25</v>
          </cell>
          <cell r="G118">
            <v>3136.35</v>
          </cell>
        </row>
        <row r="119">
          <cell r="B119">
            <v>6471</v>
          </cell>
          <cell r="C119" t="str">
            <v>NSK Ltd.</v>
          </cell>
          <cell r="D119" t="str">
            <v>03-Feb-26</v>
          </cell>
          <cell r="F119" t="str">
            <v>Dec-25</v>
          </cell>
          <cell r="G119">
            <v>2996.68</v>
          </cell>
        </row>
        <row r="120">
          <cell r="B120" t="str">
            <v>IAC</v>
          </cell>
          <cell r="C120" t="str">
            <v>IAC Inc.</v>
          </cell>
          <cell r="D120" t="str">
            <v>03-Feb-26</v>
          </cell>
          <cell r="E120" t="str">
            <v>After Hours</v>
          </cell>
          <cell r="F120" t="str">
            <v>Dec-25</v>
          </cell>
          <cell r="G120">
            <v>2989.69</v>
          </cell>
        </row>
        <row r="121">
          <cell r="B121">
            <v>2871</v>
          </cell>
          <cell r="C121" t="str">
            <v>Nichirei Corporation</v>
          </cell>
          <cell r="D121" t="str">
            <v>03-Feb-26</v>
          </cell>
          <cell r="F121" t="str">
            <v>Dec-25</v>
          </cell>
          <cell r="G121">
            <v>2942.66</v>
          </cell>
        </row>
        <row r="122">
          <cell r="B122" t="str">
            <v>COLM</v>
          </cell>
          <cell r="C122" t="str">
            <v>Columbia Sportswear Company</v>
          </cell>
          <cell r="D122" t="str">
            <v>03-Feb-26</v>
          </cell>
          <cell r="E122" t="str">
            <v>After Hours</v>
          </cell>
          <cell r="F122" t="str">
            <v>Dec-25</v>
          </cell>
          <cell r="G122">
            <v>2919.24</v>
          </cell>
        </row>
        <row r="123">
          <cell r="B123" t="str">
            <v>APAM</v>
          </cell>
          <cell r="C123" t="str">
            <v>Artisan Partners Asset Management Inc.</v>
          </cell>
          <cell r="D123" t="str">
            <v>03-Feb-26</v>
          </cell>
          <cell r="E123" t="str">
            <v>After Hours</v>
          </cell>
          <cell r="F123" t="str">
            <v>Dec-25</v>
          </cell>
          <cell r="G123">
            <v>2896.68</v>
          </cell>
        </row>
        <row r="124">
          <cell r="B124" t="str">
            <v>A001440</v>
          </cell>
          <cell r="C124" t="str">
            <v>Taihan Cable &amp; Solution Co., Ltd.</v>
          </cell>
          <cell r="D124" t="str">
            <v>03-Feb-26</v>
          </cell>
          <cell r="F124" t="str">
            <v>Dec-25</v>
          </cell>
          <cell r="G124">
            <v>2843.19</v>
          </cell>
        </row>
        <row r="125">
          <cell r="B125">
            <v>3116</v>
          </cell>
          <cell r="C125" t="str">
            <v>Toyota Boshoku Corporation</v>
          </cell>
          <cell r="D125" t="str">
            <v>03-Feb-26</v>
          </cell>
          <cell r="F125" t="str">
            <v>Dec-25</v>
          </cell>
          <cell r="G125">
            <v>2821.7</v>
          </cell>
        </row>
        <row r="126">
          <cell r="B126" t="str">
            <v>A302440</v>
          </cell>
          <cell r="C126" t="str">
            <v>SK bioscience Co.,Ltd.</v>
          </cell>
          <cell r="D126" t="str">
            <v>03-Feb-26</v>
          </cell>
          <cell r="F126" t="str">
            <v>Dec-25</v>
          </cell>
          <cell r="G126">
            <v>2782.64</v>
          </cell>
        </row>
        <row r="127">
          <cell r="B127" t="str">
            <v>FSL</v>
          </cell>
          <cell r="C127" t="str">
            <v>Firstsource Solutions Limited</v>
          </cell>
          <cell r="D127" t="str">
            <v>03-Feb-26</v>
          </cell>
          <cell r="F127" t="str">
            <v>Dec-25</v>
          </cell>
          <cell r="G127">
            <v>2621.39</v>
          </cell>
        </row>
        <row r="128">
          <cell r="B128" t="str">
            <v>CPRI</v>
          </cell>
          <cell r="C128" t="str">
            <v>Capri Holdings Limited</v>
          </cell>
          <cell r="D128" t="str">
            <v>03-Feb-26</v>
          </cell>
          <cell r="E128" t="str">
            <v>Pre Market</v>
          </cell>
          <cell r="F128" t="str">
            <v>Dec-25</v>
          </cell>
          <cell r="G128">
            <v>2561.91</v>
          </cell>
        </row>
        <row r="129">
          <cell r="B129" t="str">
            <v>KINV B</v>
          </cell>
          <cell r="C129" t="str">
            <v>Kinnevik AB</v>
          </cell>
          <cell r="D129" t="str">
            <v>03-Feb-26</v>
          </cell>
          <cell r="F129" t="str">
            <v>Dec-25</v>
          </cell>
          <cell r="G129">
            <v>2510.1999999999998</v>
          </cell>
        </row>
        <row r="130">
          <cell r="B130" t="str">
            <v>PNI</v>
          </cell>
          <cell r="C130" t="str">
            <v>Pinnacle Investment Management Group Limited</v>
          </cell>
          <cell r="D130" t="str">
            <v>03-Feb-26</v>
          </cell>
          <cell r="F130" t="str">
            <v>Dec-25</v>
          </cell>
          <cell r="G130">
            <v>2485.9899999999998</v>
          </cell>
        </row>
        <row r="131">
          <cell r="B131" t="str">
            <v>ATKR</v>
          </cell>
          <cell r="C131" t="str">
            <v>Atkore Inc.</v>
          </cell>
          <cell r="D131" t="str">
            <v>03-Feb-26</v>
          </cell>
          <cell r="E131" t="str">
            <v>Pre Market</v>
          </cell>
          <cell r="F131" t="str">
            <v>Dec-25</v>
          </cell>
          <cell r="G131">
            <v>2436.8000000000002</v>
          </cell>
        </row>
        <row r="132">
          <cell r="B132" t="str">
            <v>MSGE</v>
          </cell>
          <cell r="C132" t="str">
            <v>Madison Square Garden Entertainment Corp.</v>
          </cell>
          <cell r="D132" t="str">
            <v>03-Feb-26</v>
          </cell>
          <cell r="E132" t="str">
            <v>Pre Market</v>
          </cell>
          <cell r="F132" t="str">
            <v>Dec-25</v>
          </cell>
          <cell r="G132">
            <v>2257.6799999999998</v>
          </cell>
        </row>
        <row r="133">
          <cell r="B133" t="str">
            <v>NETC</v>
          </cell>
          <cell r="C133" t="str">
            <v>Netcompany Group A/S</v>
          </cell>
          <cell r="D133" t="str">
            <v>03-Feb-26</v>
          </cell>
          <cell r="F133" t="str">
            <v>Dec-25</v>
          </cell>
          <cell r="G133">
            <v>2195.19</v>
          </cell>
        </row>
        <row r="134">
          <cell r="B134" t="str">
            <v>PAX</v>
          </cell>
          <cell r="C134" t="str">
            <v>Patria Investments Limited</v>
          </cell>
          <cell r="D134" t="str">
            <v>03-Feb-26</v>
          </cell>
          <cell r="E134" t="str">
            <v>Pre Market</v>
          </cell>
          <cell r="F134" t="str">
            <v>Dec-25</v>
          </cell>
          <cell r="G134">
            <v>2188.7199999999998</v>
          </cell>
        </row>
        <row r="135">
          <cell r="B135" t="str">
            <v>EMBLA</v>
          </cell>
          <cell r="C135" t="str">
            <v>Embla Medical hf.</v>
          </cell>
          <cell r="D135" t="str">
            <v>03-Feb-26</v>
          </cell>
          <cell r="F135" t="str">
            <v>Dec-25</v>
          </cell>
          <cell r="G135">
            <v>2157.4499999999998</v>
          </cell>
        </row>
        <row r="136">
          <cell r="B136">
            <v>500165</v>
          </cell>
          <cell r="C136" t="str">
            <v>Kansai Nerolac Paints Limited</v>
          </cell>
          <cell r="D136" t="str">
            <v>03-Feb-26</v>
          </cell>
          <cell r="F136" t="str">
            <v>Dec-25</v>
          </cell>
          <cell r="G136">
            <v>2125.5100000000002</v>
          </cell>
        </row>
        <row r="137">
          <cell r="B137">
            <v>500870</v>
          </cell>
          <cell r="C137" t="str">
            <v>Castrol India Limited</v>
          </cell>
          <cell r="D137" t="str">
            <v>03-Feb-26</v>
          </cell>
          <cell r="F137" t="str">
            <v>Dec-25</v>
          </cell>
          <cell r="G137">
            <v>2106.59</v>
          </cell>
        </row>
        <row r="138">
          <cell r="B138">
            <v>8174</v>
          </cell>
          <cell r="C138" t="str">
            <v>Nippon Gas Co., Ltd.</v>
          </cell>
          <cell r="D138" t="str">
            <v>03-Feb-26</v>
          </cell>
          <cell r="F138" t="str">
            <v>Dec-25</v>
          </cell>
          <cell r="G138">
            <v>2075.9499999999998</v>
          </cell>
        </row>
        <row r="139">
          <cell r="B139" t="str">
            <v>VITR</v>
          </cell>
          <cell r="C139" t="str">
            <v>Vitrolife AB (publ)</v>
          </cell>
          <cell r="D139" t="str">
            <v>03-Feb-26</v>
          </cell>
          <cell r="F139" t="str">
            <v>Dec-25</v>
          </cell>
          <cell r="G139">
            <v>1881.09</v>
          </cell>
        </row>
        <row r="140">
          <cell r="B140">
            <v>6622</v>
          </cell>
          <cell r="C140" t="str">
            <v>DAIHEN Corporation</v>
          </cell>
          <cell r="D140" t="str">
            <v>03-Feb-26</v>
          </cell>
          <cell r="F140" t="str">
            <v>Dec-25</v>
          </cell>
          <cell r="G140">
            <v>1850.35</v>
          </cell>
        </row>
        <row r="141">
          <cell r="B141" t="str">
            <v>JJSF</v>
          </cell>
          <cell r="C141" t="str">
            <v>J&amp;J Snack Foods Corp.</v>
          </cell>
          <cell r="D141" t="str">
            <v>03-Feb-26</v>
          </cell>
          <cell r="F141" t="str">
            <v>Dec-25</v>
          </cell>
          <cell r="G141">
            <v>1813.61</v>
          </cell>
        </row>
        <row r="142">
          <cell r="B142">
            <v>2810</v>
          </cell>
          <cell r="C142" t="str">
            <v>House Foods Group Inc.</v>
          </cell>
          <cell r="D142" t="str">
            <v>03-Feb-26</v>
          </cell>
          <cell r="F142" t="str">
            <v>Dec-25</v>
          </cell>
          <cell r="G142">
            <v>1813.54</v>
          </cell>
        </row>
        <row r="143">
          <cell r="B143" t="str">
            <v>HMN</v>
          </cell>
          <cell r="C143" t="str">
            <v>Horace Mann Educators Corporation</v>
          </cell>
          <cell r="D143" t="str">
            <v>03-Feb-26</v>
          </cell>
          <cell r="E143" t="str">
            <v>After Hours</v>
          </cell>
          <cell r="F143" t="str">
            <v>Dec-25</v>
          </cell>
          <cell r="G143">
            <v>1807.3</v>
          </cell>
        </row>
        <row r="144">
          <cell r="B144" t="str">
            <v>SONO</v>
          </cell>
          <cell r="C144" t="str">
            <v>Sonos, Inc.</v>
          </cell>
          <cell r="D144" t="str">
            <v>03-Feb-26</v>
          </cell>
          <cell r="E144" t="str">
            <v>After Hours</v>
          </cell>
          <cell r="F144" t="str">
            <v>Dec-25</v>
          </cell>
          <cell r="G144">
            <v>1792.79</v>
          </cell>
        </row>
        <row r="145">
          <cell r="B145" t="str">
            <v>BHE</v>
          </cell>
          <cell r="C145" t="str">
            <v>Benchmark Electronics, Inc.</v>
          </cell>
          <cell r="D145" t="str">
            <v>03-Feb-26</v>
          </cell>
          <cell r="E145" t="str">
            <v>After Hours</v>
          </cell>
          <cell r="F145" t="str">
            <v>Dec-25</v>
          </cell>
          <cell r="G145">
            <v>1756.83</v>
          </cell>
        </row>
        <row r="146">
          <cell r="B146" t="str">
            <v>CRLA</v>
          </cell>
          <cell r="C146" t="str">
            <v>Caisse Régionale de Crédit Agricole Mutuel du Languedoc Société coopérative</v>
          </cell>
          <cell r="D146" t="str">
            <v>03-Feb-26</v>
          </cell>
          <cell r="F146" t="str">
            <v>Dec-25</v>
          </cell>
          <cell r="G146">
            <v>1741.82</v>
          </cell>
        </row>
        <row r="147">
          <cell r="B147">
            <v>8368</v>
          </cell>
          <cell r="C147" t="str">
            <v>The Hyakugo Bank, Ltd.</v>
          </cell>
          <cell r="D147" t="str">
            <v>03-Feb-26</v>
          </cell>
          <cell r="F147" t="str">
            <v>Dec-25</v>
          </cell>
          <cell r="G147">
            <v>1691</v>
          </cell>
        </row>
        <row r="148">
          <cell r="B148">
            <v>5857</v>
          </cell>
          <cell r="C148" t="str">
            <v>ARE Holdings, Inc.</v>
          </cell>
          <cell r="D148" t="str">
            <v>03-Feb-26</v>
          </cell>
          <cell r="F148" t="str">
            <v>Dec-25</v>
          </cell>
          <cell r="G148">
            <v>1652.05</v>
          </cell>
        </row>
        <row r="149">
          <cell r="B149" t="str">
            <v>XIOR</v>
          </cell>
          <cell r="C149" t="str">
            <v>Xior Student Housing NV</v>
          </cell>
          <cell r="D149" t="str">
            <v>03-Feb-26</v>
          </cell>
          <cell r="F149" t="str">
            <v>Dec-25</v>
          </cell>
          <cell r="G149">
            <v>1562.21</v>
          </cell>
        </row>
        <row r="150">
          <cell r="B150" t="str">
            <v>A004170</v>
          </cell>
          <cell r="C150" t="str">
            <v>SHINSEGAE Inc.</v>
          </cell>
          <cell r="D150" t="str">
            <v>03-Feb-26</v>
          </cell>
          <cell r="F150" t="str">
            <v>Dec-25</v>
          </cell>
          <cell r="G150">
            <v>1463.64</v>
          </cell>
        </row>
        <row r="151">
          <cell r="B151">
            <v>531335</v>
          </cell>
          <cell r="C151" t="str">
            <v>Zydus Wellness Limited</v>
          </cell>
          <cell r="D151" t="str">
            <v>03-Feb-26</v>
          </cell>
          <cell r="F151" t="str">
            <v>Dec-25</v>
          </cell>
          <cell r="G151">
            <v>1453.69</v>
          </cell>
        </row>
        <row r="152">
          <cell r="B152">
            <v>4617</v>
          </cell>
          <cell r="C152" t="str">
            <v>Chugoku Marine Paints, Ltd.</v>
          </cell>
          <cell r="D152" t="str">
            <v>03-Feb-26</v>
          </cell>
          <cell r="F152" t="str">
            <v>Dec-25</v>
          </cell>
          <cell r="G152">
            <v>1443.72</v>
          </cell>
        </row>
        <row r="153">
          <cell r="B153" t="str">
            <v>ANOD B</v>
          </cell>
          <cell r="C153" t="str">
            <v>Addnode Group AB (publ)</v>
          </cell>
          <cell r="D153" t="str">
            <v>03-Feb-26</v>
          </cell>
          <cell r="F153" t="str">
            <v>Dec-25</v>
          </cell>
          <cell r="G153">
            <v>1429.73</v>
          </cell>
        </row>
        <row r="154">
          <cell r="B154">
            <v>4966</v>
          </cell>
          <cell r="C154" t="str">
            <v>Parade Technologies, Ltd.</v>
          </cell>
          <cell r="D154" t="str">
            <v>03-Feb-26</v>
          </cell>
          <cell r="F154" t="str">
            <v>Dec-25</v>
          </cell>
          <cell r="G154">
            <v>1411.5</v>
          </cell>
        </row>
        <row r="155">
          <cell r="B155" t="str">
            <v>BDB</v>
          </cell>
          <cell r="C155" t="str">
            <v>Banco di Desio e della Brianza S.p.A.</v>
          </cell>
          <cell r="D155" t="str">
            <v>03-Feb-26</v>
          </cell>
          <cell r="F155" t="str">
            <v>Dec-25</v>
          </cell>
          <cell r="G155">
            <v>1399.58</v>
          </cell>
        </row>
        <row r="156">
          <cell r="B156">
            <v>519600</v>
          </cell>
          <cell r="C156" t="str">
            <v>CCL Products (India) Limited</v>
          </cell>
          <cell r="D156" t="str">
            <v>03-Feb-26</v>
          </cell>
          <cell r="F156" t="str">
            <v>Dec-25</v>
          </cell>
          <cell r="G156">
            <v>1384.94</v>
          </cell>
        </row>
        <row r="157">
          <cell r="B157">
            <v>4206</v>
          </cell>
          <cell r="C157" t="str">
            <v>Aica Kogyo Company, Limited</v>
          </cell>
          <cell r="D157" t="str">
            <v>03-Feb-26</v>
          </cell>
          <cell r="F157" t="str">
            <v>Dec-25</v>
          </cell>
          <cell r="G157">
            <v>1369.93</v>
          </cell>
        </row>
        <row r="158">
          <cell r="B158" t="str">
            <v>ATS</v>
          </cell>
          <cell r="C158" t="str">
            <v>AT &amp; S Austria Technologie &amp; Systemtechnik Aktiengesellschaft</v>
          </cell>
          <cell r="D158" t="str">
            <v>03-Feb-26</v>
          </cell>
          <cell r="F158" t="str">
            <v>Dec-25</v>
          </cell>
          <cell r="G158">
            <v>1368.75</v>
          </cell>
        </row>
        <row r="159">
          <cell r="B159">
            <v>6472</v>
          </cell>
          <cell r="C159" t="str">
            <v>NTN Corporation</v>
          </cell>
          <cell r="D159" t="str">
            <v>03-Feb-26</v>
          </cell>
          <cell r="F159" t="str">
            <v>Dec-25</v>
          </cell>
          <cell r="G159">
            <v>1286.19</v>
          </cell>
        </row>
        <row r="160">
          <cell r="B160" t="str">
            <v>RPOWER</v>
          </cell>
          <cell r="C160" t="str">
            <v>Reliance Power Limited</v>
          </cell>
          <cell r="D160" t="str">
            <v>03-Feb-26</v>
          </cell>
          <cell r="F160" t="str">
            <v>Dec-25</v>
          </cell>
          <cell r="G160">
            <v>1276.02</v>
          </cell>
        </row>
        <row r="161">
          <cell r="B161" t="str">
            <v>RES</v>
          </cell>
          <cell r="C161" t="str">
            <v>RPC, Inc.</v>
          </cell>
          <cell r="D161" t="str">
            <v>03-Feb-26</v>
          </cell>
          <cell r="E161" t="str">
            <v>Pre Market</v>
          </cell>
          <cell r="F161" t="str">
            <v>Dec-25</v>
          </cell>
          <cell r="G161">
            <v>1231.9100000000001</v>
          </cell>
        </row>
        <row r="162">
          <cell r="B162" t="str">
            <v>BV</v>
          </cell>
          <cell r="C162" t="str">
            <v>BrightView Holdings, Inc.</v>
          </cell>
          <cell r="D162" t="str">
            <v>03-Feb-26</v>
          </cell>
          <cell r="E162" t="str">
            <v>After Hours</v>
          </cell>
          <cell r="F162" t="str">
            <v>Dec-25</v>
          </cell>
          <cell r="G162">
            <v>1213.1099999999999</v>
          </cell>
        </row>
        <row r="163">
          <cell r="B163" t="str">
            <v>A006360</v>
          </cell>
          <cell r="C163" t="str">
            <v>GS Engineering &amp; Construction Corporation</v>
          </cell>
          <cell r="D163" t="str">
            <v>03-Feb-26</v>
          </cell>
          <cell r="F163" t="str">
            <v>Dec-25</v>
          </cell>
          <cell r="G163">
            <v>1189.49</v>
          </cell>
        </row>
        <row r="164">
          <cell r="B164" t="str">
            <v>NAZARA</v>
          </cell>
          <cell r="C164" t="str">
            <v>Nazara Technologies Limited</v>
          </cell>
          <cell r="D164" t="str">
            <v>03-Feb-26</v>
          </cell>
          <cell r="F164" t="str">
            <v>Dec-25</v>
          </cell>
          <cell r="G164">
            <v>1185.0899999999999</v>
          </cell>
        </row>
        <row r="165">
          <cell r="B165" t="str">
            <v>NGL</v>
          </cell>
          <cell r="C165" t="str">
            <v>NGL Energy Partners LP</v>
          </cell>
          <cell r="D165" t="str">
            <v>03-Feb-26</v>
          </cell>
          <cell r="F165" t="str">
            <v>Dec-25</v>
          </cell>
          <cell r="G165">
            <v>1184.31</v>
          </cell>
        </row>
        <row r="166">
          <cell r="B166" t="str">
            <v>AAT</v>
          </cell>
          <cell r="C166" t="str">
            <v>American Assets Trust, Inc.</v>
          </cell>
          <cell r="D166" t="str">
            <v>03-Feb-26</v>
          </cell>
          <cell r="E166" t="str">
            <v>After Hours</v>
          </cell>
          <cell r="F166" t="str">
            <v>Dec-25</v>
          </cell>
          <cell r="G166">
            <v>1171.68</v>
          </cell>
        </row>
        <row r="167">
          <cell r="B167">
            <v>8367</v>
          </cell>
          <cell r="C167" t="str">
            <v>The Nanto Bank, Ltd.</v>
          </cell>
          <cell r="D167" t="str">
            <v>03-Feb-26</v>
          </cell>
          <cell r="F167" t="str">
            <v>Dec-25</v>
          </cell>
          <cell r="G167">
            <v>1158.6500000000001</v>
          </cell>
        </row>
        <row r="168">
          <cell r="B168">
            <v>5482</v>
          </cell>
          <cell r="C168" t="str">
            <v>Aichi Steel Corporation</v>
          </cell>
          <cell r="D168" t="str">
            <v>03-Feb-26</v>
          </cell>
          <cell r="F168" t="str">
            <v>Dec-25</v>
          </cell>
          <cell r="G168">
            <v>1151.6300000000001</v>
          </cell>
        </row>
        <row r="169">
          <cell r="B169" t="str">
            <v>A064760</v>
          </cell>
          <cell r="C169" t="str">
            <v>Tokai Carbon Korea Co., Ltd.</v>
          </cell>
          <cell r="D169" t="str">
            <v>03-Feb-26</v>
          </cell>
          <cell r="F169" t="str">
            <v>Dec-25</v>
          </cell>
          <cell r="G169">
            <v>1135.6600000000001</v>
          </cell>
        </row>
        <row r="170">
          <cell r="B170">
            <v>8386</v>
          </cell>
          <cell r="C170" t="str">
            <v>The Hyakujushi Bank, Ltd.</v>
          </cell>
          <cell r="D170" t="str">
            <v>03-Feb-26</v>
          </cell>
          <cell r="F170" t="str">
            <v>Dec-25</v>
          </cell>
          <cell r="G170">
            <v>1134.57</v>
          </cell>
        </row>
        <row r="171">
          <cell r="B171">
            <v>6632</v>
          </cell>
          <cell r="C171" t="str">
            <v>JVCKENWOOD Corporation</v>
          </cell>
          <cell r="D171" t="str">
            <v>03-Feb-26</v>
          </cell>
          <cell r="F171" t="str">
            <v>Dec-25</v>
          </cell>
          <cell r="G171">
            <v>1130.17</v>
          </cell>
        </row>
        <row r="172">
          <cell r="B172">
            <v>5384</v>
          </cell>
          <cell r="C172" t="str">
            <v>Fujimi Incorporated</v>
          </cell>
          <cell r="D172" t="str">
            <v>03-Feb-26</v>
          </cell>
          <cell r="F172" t="str">
            <v>Dec-25</v>
          </cell>
          <cell r="G172">
            <v>1119.56</v>
          </cell>
        </row>
        <row r="173">
          <cell r="B173" t="str">
            <v>ATX</v>
          </cell>
          <cell r="C173" t="str">
            <v>ATEX Resources Inc.</v>
          </cell>
          <cell r="D173" t="str">
            <v>03-Feb-26</v>
          </cell>
          <cell r="F173" t="str">
            <v>Dec-25</v>
          </cell>
          <cell r="G173">
            <v>1097.22</v>
          </cell>
        </row>
        <row r="174">
          <cell r="B174" t="str">
            <v>HFCL</v>
          </cell>
          <cell r="C174" t="str">
            <v>HFCL Limited</v>
          </cell>
          <cell r="D174" t="str">
            <v>03-Feb-26</v>
          </cell>
          <cell r="F174" t="str">
            <v>Dec-25</v>
          </cell>
          <cell r="G174">
            <v>1068.1300000000001</v>
          </cell>
        </row>
        <row r="175">
          <cell r="B175" t="str">
            <v>SSII</v>
          </cell>
          <cell r="C175" t="str">
            <v>SS Innovations International, Inc.</v>
          </cell>
          <cell r="D175" t="str">
            <v>03-Feb-26</v>
          </cell>
          <cell r="F175" t="str">
            <v>Dec-25</v>
          </cell>
          <cell r="G175">
            <v>1049.43</v>
          </cell>
        </row>
        <row r="176">
          <cell r="B176" t="str">
            <v>AU8U</v>
          </cell>
          <cell r="C176" t="str">
            <v>CapitaLand China Trust</v>
          </cell>
          <cell r="D176" t="str">
            <v>03-Feb-26</v>
          </cell>
          <cell r="F176" t="str">
            <v>Dec-25</v>
          </cell>
          <cell r="G176">
            <v>1047.07</v>
          </cell>
        </row>
        <row r="177">
          <cell r="B177" t="str">
            <v>INWI</v>
          </cell>
          <cell r="C177" t="str">
            <v>Inwido AB (publ)</v>
          </cell>
          <cell r="D177" t="str">
            <v>03-Feb-26</v>
          </cell>
          <cell r="F177" t="str">
            <v>Dec-25</v>
          </cell>
          <cell r="G177">
            <v>975.97</v>
          </cell>
        </row>
        <row r="178">
          <cell r="B178" t="str">
            <v>CHBB.F</v>
          </cell>
          <cell r="C178" t="str">
            <v>Chubb Limited</v>
          </cell>
          <cell r="D178" t="str">
            <v>03-Feb-26</v>
          </cell>
          <cell r="E178" t="str">
            <v>After Hours</v>
          </cell>
          <cell r="F178" t="str">
            <v>Dec-25</v>
          </cell>
          <cell r="G178">
            <v>966.76</v>
          </cell>
        </row>
        <row r="179">
          <cell r="B179">
            <v>7224</v>
          </cell>
          <cell r="C179" t="str">
            <v>ShinMaywa Industries, Ltd.</v>
          </cell>
          <cell r="D179" t="str">
            <v>03-Feb-26</v>
          </cell>
          <cell r="F179" t="str">
            <v>Dec-25</v>
          </cell>
          <cell r="G179">
            <v>950.01</v>
          </cell>
        </row>
        <row r="180">
          <cell r="B180">
            <v>6486</v>
          </cell>
          <cell r="C180" t="str">
            <v>Eagle Industry Co.,Ltd.</v>
          </cell>
          <cell r="D180" t="str">
            <v>03-Feb-26</v>
          </cell>
          <cell r="F180" t="str">
            <v>Dec-25</v>
          </cell>
          <cell r="G180">
            <v>947.51</v>
          </cell>
        </row>
        <row r="181">
          <cell r="B181" t="str">
            <v>SNCY</v>
          </cell>
          <cell r="C181" t="str">
            <v>Sun Country Airlines Holdings, Inc.</v>
          </cell>
          <cell r="D181" t="str">
            <v>03-Feb-26</v>
          </cell>
          <cell r="F181" t="str">
            <v>Dec-25</v>
          </cell>
          <cell r="G181">
            <v>935.44</v>
          </cell>
        </row>
        <row r="182">
          <cell r="B182" t="str">
            <v>ALBAV</v>
          </cell>
          <cell r="C182" t="str">
            <v>Ålandsbanken Abp</v>
          </cell>
          <cell r="D182" t="str">
            <v>03-Feb-26</v>
          </cell>
          <cell r="F182" t="str">
            <v>Dec-25</v>
          </cell>
          <cell r="G182">
            <v>874.12</v>
          </cell>
        </row>
        <row r="183">
          <cell r="B183" t="str">
            <v>FUBO</v>
          </cell>
          <cell r="C183" t="str">
            <v>fuboTV Inc.</v>
          </cell>
          <cell r="D183" t="str">
            <v>03-Feb-26</v>
          </cell>
          <cell r="E183" t="str">
            <v>Pre Market</v>
          </cell>
          <cell r="F183" t="str">
            <v>Dec-25</v>
          </cell>
          <cell r="G183">
            <v>867.09</v>
          </cell>
        </row>
        <row r="184">
          <cell r="B184" t="str">
            <v>HTLD</v>
          </cell>
          <cell r="C184" t="str">
            <v>Heartland Express, Inc.</v>
          </cell>
          <cell r="D184" t="str">
            <v>03-Feb-26</v>
          </cell>
          <cell r="F184" t="str">
            <v>Dec-25</v>
          </cell>
          <cell r="G184">
            <v>818.62</v>
          </cell>
        </row>
        <row r="185">
          <cell r="B185" t="str">
            <v>MATW</v>
          </cell>
          <cell r="C185" t="str">
            <v>Matthews International Corporation</v>
          </cell>
          <cell r="D185" t="str">
            <v>03-Feb-26</v>
          </cell>
          <cell r="E185" t="str">
            <v>After Hours</v>
          </cell>
          <cell r="F185" t="str">
            <v>Dec-25</v>
          </cell>
          <cell r="G185">
            <v>817.01</v>
          </cell>
        </row>
        <row r="186">
          <cell r="B186" t="str">
            <v>ACGP</v>
          </cell>
          <cell r="C186" t="str">
            <v>Associated Capital Group, Inc.</v>
          </cell>
          <cell r="D186" t="str">
            <v>03-Feb-26</v>
          </cell>
          <cell r="F186" t="str">
            <v>Dec-25</v>
          </cell>
          <cell r="G186">
            <v>812.79</v>
          </cell>
        </row>
        <row r="187">
          <cell r="B187" t="str">
            <v>BECTORFOOD</v>
          </cell>
          <cell r="C187" t="str">
            <v>Mrs. Bectors Food Specialities Limited</v>
          </cell>
          <cell r="D187" t="str">
            <v>03-Feb-26</v>
          </cell>
          <cell r="F187" t="str">
            <v>Dec-25</v>
          </cell>
          <cell r="G187">
            <v>742.84</v>
          </cell>
        </row>
        <row r="188">
          <cell r="B188" t="str">
            <v>THFF</v>
          </cell>
          <cell r="C188" t="str">
            <v>First Financial Corporation</v>
          </cell>
          <cell r="D188" t="str">
            <v>03-Feb-26</v>
          </cell>
          <cell r="F188" t="str">
            <v>Dec-25</v>
          </cell>
          <cell r="G188">
            <v>742.09</v>
          </cell>
        </row>
        <row r="189">
          <cell r="B189" t="str">
            <v>INNV</v>
          </cell>
          <cell r="C189" t="str">
            <v>InnovAge Holding Corp.</v>
          </cell>
          <cell r="D189" t="str">
            <v>03-Feb-26</v>
          </cell>
          <cell r="E189" t="str">
            <v>After Hours</v>
          </cell>
          <cell r="F189" t="str">
            <v>Dec-25</v>
          </cell>
          <cell r="G189">
            <v>732.68</v>
          </cell>
        </row>
        <row r="190">
          <cell r="B190">
            <v>9010</v>
          </cell>
          <cell r="C190" t="str">
            <v>Fuji Kyuko Co., Ltd.</v>
          </cell>
          <cell r="D190" t="str">
            <v>03-Feb-26</v>
          </cell>
          <cell r="F190" t="str">
            <v>Dec-25</v>
          </cell>
          <cell r="G190">
            <v>729.92</v>
          </cell>
        </row>
        <row r="191">
          <cell r="B191" t="str">
            <v>SNT</v>
          </cell>
          <cell r="C191" t="str">
            <v>Synektik Spólka Akcyjna</v>
          </cell>
          <cell r="D191" t="str">
            <v>03-Feb-26</v>
          </cell>
          <cell r="F191" t="str">
            <v>Dec-25</v>
          </cell>
          <cell r="G191">
            <v>681.19</v>
          </cell>
        </row>
        <row r="192">
          <cell r="B192" t="str">
            <v>PILANIINVS</v>
          </cell>
          <cell r="C192" t="str">
            <v>Pilani Investment and Industries Corporation Limited</v>
          </cell>
          <cell r="D192" t="str">
            <v>03-Feb-26</v>
          </cell>
          <cell r="F192" t="str">
            <v>Dec-25</v>
          </cell>
          <cell r="G192">
            <v>644.02</v>
          </cell>
        </row>
        <row r="193">
          <cell r="B193" t="str">
            <v>FTC</v>
          </cell>
          <cell r="C193" t="str">
            <v>Filtronic plc</v>
          </cell>
          <cell r="D193" t="str">
            <v>03-Feb-26</v>
          </cell>
          <cell r="F193" t="str">
            <v>Nov-25</v>
          </cell>
          <cell r="G193">
            <v>585.77</v>
          </cell>
        </row>
        <row r="194">
          <cell r="B194" t="str">
            <v>KREF</v>
          </cell>
          <cell r="C194" t="str">
            <v>KKR Real Estate Finance Trust Inc.</v>
          </cell>
          <cell r="D194" t="str">
            <v>03-Feb-26</v>
          </cell>
          <cell r="E194" t="str">
            <v>After Hours</v>
          </cell>
          <cell r="F194" t="str">
            <v>Dec-25</v>
          </cell>
          <cell r="G194">
            <v>583.5</v>
          </cell>
        </row>
        <row r="195">
          <cell r="B195" t="str">
            <v>CMSINFO</v>
          </cell>
          <cell r="C195" t="str">
            <v>CMS Info Systems Limited</v>
          </cell>
          <cell r="D195" t="str">
            <v>03-Feb-26</v>
          </cell>
          <cell r="F195" t="str">
            <v>Dec-25</v>
          </cell>
          <cell r="G195">
            <v>573.69000000000005</v>
          </cell>
        </row>
        <row r="196">
          <cell r="B196" t="str">
            <v>HGINFRA</v>
          </cell>
          <cell r="C196" t="str">
            <v>H.G. Infra Engineering Limited</v>
          </cell>
          <cell r="D196" t="str">
            <v>03-Feb-26</v>
          </cell>
          <cell r="F196" t="str">
            <v>Dec-25</v>
          </cell>
          <cell r="G196">
            <v>548.49</v>
          </cell>
        </row>
        <row r="197">
          <cell r="B197" t="str">
            <v>APPS</v>
          </cell>
          <cell r="C197" t="str">
            <v>Digital Turbine, Inc.</v>
          </cell>
          <cell r="D197" t="str">
            <v>03-Feb-26</v>
          </cell>
          <cell r="E197" t="str">
            <v>After Hours</v>
          </cell>
          <cell r="F197" t="str">
            <v>Dec-25</v>
          </cell>
          <cell r="G197">
            <v>537.19000000000005</v>
          </cell>
        </row>
        <row r="198">
          <cell r="B198" t="str">
            <v>TRNS</v>
          </cell>
          <cell r="C198" t="str">
            <v>Transcat, Inc.</v>
          </cell>
          <cell r="D198" t="str">
            <v>03-Feb-26</v>
          </cell>
          <cell r="E198" t="str">
            <v>After Hours</v>
          </cell>
          <cell r="F198" t="str">
            <v>Dec-25</v>
          </cell>
          <cell r="G198">
            <v>524.26</v>
          </cell>
        </row>
        <row r="199">
          <cell r="B199" t="str">
            <v>BDN</v>
          </cell>
          <cell r="C199" t="str">
            <v>Brandywine Realty Trust</v>
          </cell>
          <cell r="D199" t="str">
            <v>03-Feb-26</v>
          </cell>
          <cell r="E199" t="str">
            <v>After Hours</v>
          </cell>
          <cell r="F199" t="str">
            <v>Dec-25</v>
          </cell>
          <cell r="G199">
            <v>522.83000000000004</v>
          </cell>
        </row>
        <row r="200">
          <cell r="B200" t="str">
            <v>EQV1V</v>
          </cell>
          <cell r="C200" t="str">
            <v>eQ Oyj</v>
          </cell>
          <cell r="D200" t="str">
            <v>03-Feb-26</v>
          </cell>
          <cell r="F200" t="str">
            <v>Dec-25</v>
          </cell>
          <cell r="G200">
            <v>518.42999999999995</v>
          </cell>
        </row>
        <row r="201">
          <cell r="B201" t="str">
            <v>PGC</v>
          </cell>
          <cell r="C201" t="str">
            <v>Peapack-Gladstone Financial Corporation</v>
          </cell>
          <cell r="D201" t="str">
            <v>03-Feb-26</v>
          </cell>
          <cell r="F201" t="str">
            <v>Dec-25</v>
          </cell>
          <cell r="G201">
            <v>514.88</v>
          </cell>
        </row>
        <row r="202">
          <cell r="B202" t="str">
            <v>A214320</v>
          </cell>
          <cell r="C202" t="str">
            <v>Innocean Worldwide Inc.</v>
          </cell>
          <cell r="D202" t="str">
            <v>03-Feb-26</v>
          </cell>
          <cell r="F202" t="str">
            <v>Dec-25</v>
          </cell>
          <cell r="G202">
            <v>511.72</v>
          </cell>
        </row>
        <row r="203">
          <cell r="B203">
            <v>6413</v>
          </cell>
          <cell r="C203" t="str">
            <v>Riso Kagaku Corporation</v>
          </cell>
          <cell r="D203" t="str">
            <v>03-Feb-26</v>
          </cell>
          <cell r="F203" t="str">
            <v>Dec-25</v>
          </cell>
          <cell r="G203">
            <v>504.13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D68E-86B6-40A7-87C6-EBC7A569C694}">
  <dimension ref="B1:G707"/>
  <sheetViews>
    <sheetView tabSelected="1" workbookViewId="0">
      <selection activeCell="I10" sqref="I10"/>
    </sheetView>
  </sheetViews>
  <sheetFormatPr defaultRowHeight="16.5" x14ac:dyDescent="0.3"/>
  <cols>
    <col min="2" max="2" width="15.25" style="142" bestFit="1" customWidth="1"/>
    <col min="3" max="3" width="68.375" bestFit="1" customWidth="1"/>
    <col min="4" max="4" width="10.75" style="180" bestFit="1" customWidth="1"/>
    <col min="5" max="5" width="11.5" style="180" bestFit="1" customWidth="1"/>
    <col min="6" max="6" width="15.625" style="180" bestFit="1" customWidth="1"/>
    <col min="7" max="7" width="20.625" style="174" bestFit="1" customWidth="1"/>
    <col min="9" max="9" width="12.75" bestFit="1" customWidth="1"/>
  </cols>
  <sheetData>
    <row r="1" spans="2:7" x14ac:dyDescent="0.3">
      <c r="B1" s="143"/>
      <c r="G1" s="169"/>
    </row>
    <row r="2" spans="2:7" x14ac:dyDescent="0.3">
      <c r="B2" s="144" t="s">
        <v>978</v>
      </c>
      <c r="C2" s="144"/>
      <c r="D2" s="181"/>
      <c r="E2" s="181"/>
      <c r="F2" s="181"/>
      <c r="G2" s="170"/>
    </row>
    <row r="3" spans="2:7" ht="17.25" thickBot="1" x14ac:dyDescent="0.35">
      <c r="B3" s="144"/>
      <c r="C3" s="144"/>
      <c r="D3" s="181"/>
      <c r="E3" s="181"/>
      <c r="F3" s="181"/>
      <c r="G3" s="170"/>
    </row>
    <row r="4" spans="2:7" x14ac:dyDescent="0.3">
      <c r="B4" s="5" t="s">
        <v>0</v>
      </c>
      <c r="C4" s="6" t="s">
        <v>193</v>
      </c>
      <c r="D4" s="182" t="s">
        <v>194</v>
      </c>
      <c r="E4" s="182" t="s">
        <v>195</v>
      </c>
      <c r="F4" s="182" t="s">
        <v>196</v>
      </c>
      <c r="G4" s="171" t="s">
        <v>197</v>
      </c>
    </row>
    <row r="5" spans="2:7" x14ac:dyDescent="0.3">
      <c r="B5" s="7" t="s">
        <v>22</v>
      </c>
      <c r="C5" s="8" t="s">
        <v>198</v>
      </c>
      <c r="D5" s="187">
        <v>46050</v>
      </c>
      <c r="E5" s="189" t="s">
        <v>199</v>
      </c>
      <c r="F5" s="183">
        <v>46381</v>
      </c>
      <c r="G5" s="172">
        <v>3417853.19</v>
      </c>
    </row>
    <row r="6" spans="2:7" x14ac:dyDescent="0.3">
      <c r="B6" s="7" t="s">
        <v>150</v>
      </c>
      <c r="C6" s="8" t="s">
        <v>200</v>
      </c>
      <c r="D6" s="187">
        <v>46050</v>
      </c>
      <c r="E6" s="189" t="s">
        <v>199</v>
      </c>
      <c r="F6" s="183">
        <v>46381</v>
      </c>
      <c r="G6" s="172">
        <v>1563357.24</v>
      </c>
    </row>
    <row r="7" spans="2:7" x14ac:dyDescent="0.3">
      <c r="B7" s="7" t="s">
        <v>148</v>
      </c>
      <c r="C7" s="8" t="s">
        <v>201</v>
      </c>
      <c r="D7" s="187">
        <v>46050</v>
      </c>
      <c r="E7" s="189"/>
      <c r="F7" s="183">
        <v>46381</v>
      </c>
      <c r="G7" s="172">
        <v>1455045.89</v>
      </c>
    </row>
    <row r="8" spans="2:7" x14ac:dyDescent="0.3">
      <c r="B8" s="141" t="s">
        <v>837</v>
      </c>
      <c r="C8" s="10" t="s">
        <v>980</v>
      </c>
      <c r="D8" s="184" t="s">
        <v>981</v>
      </c>
      <c r="E8" s="184" t="s">
        <v>203</v>
      </c>
      <c r="F8" s="184" t="s">
        <v>982</v>
      </c>
      <c r="G8" s="173">
        <v>590910.6</v>
      </c>
    </row>
    <row r="9" spans="2:7" x14ac:dyDescent="0.3">
      <c r="B9" s="7" t="s">
        <v>147</v>
      </c>
      <c r="C9" s="8" t="s">
        <v>202</v>
      </c>
      <c r="D9" s="187">
        <v>46050</v>
      </c>
      <c r="E9" s="189" t="s">
        <v>203</v>
      </c>
      <c r="F9" s="183">
        <v>46381</v>
      </c>
      <c r="G9" s="172">
        <v>522992.69999999995</v>
      </c>
    </row>
    <row r="10" spans="2:7" x14ac:dyDescent="0.3">
      <c r="B10" s="141" t="s">
        <v>1229</v>
      </c>
      <c r="C10" s="10" t="s">
        <v>1385</v>
      </c>
      <c r="D10" s="184" t="s">
        <v>1386</v>
      </c>
      <c r="E10" s="184" t="s">
        <v>199</v>
      </c>
      <c r="F10" s="184" t="s">
        <v>1387</v>
      </c>
      <c r="G10" s="173">
        <v>385406</v>
      </c>
    </row>
    <row r="11" spans="2:7" x14ac:dyDescent="0.3">
      <c r="B11" s="7" t="s">
        <v>204</v>
      </c>
      <c r="C11" s="8" t="s">
        <v>205</v>
      </c>
      <c r="D11" s="187">
        <v>46050</v>
      </c>
      <c r="E11" s="189"/>
      <c r="F11" s="183">
        <v>46381</v>
      </c>
      <c r="G11" s="172">
        <v>354526.93</v>
      </c>
    </row>
    <row r="12" spans="2:7" x14ac:dyDescent="0.3">
      <c r="B12" s="141" t="s">
        <v>841</v>
      </c>
      <c r="C12" s="10" t="s">
        <v>983</v>
      </c>
      <c r="D12" s="184" t="s">
        <v>981</v>
      </c>
      <c r="E12" s="184" t="s">
        <v>203</v>
      </c>
      <c r="F12" s="184" t="s">
        <v>982</v>
      </c>
      <c r="G12" s="173">
        <v>350262</v>
      </c>
    </row>
    <row r="13" spans="2:7" x14ac:dyDescent="0.3">
      <c r="B13" s="141" t="s">
        <v>1130</v>
      </c>
      <c r="C13" s="10" t="s">
        <v>1596</v>
      </c>
      <c r="D13" s="184" t="s">
        <v>1597</v>
      </c>
      <c r="E13" s="184" t="s">
        <v>199</v>
      </c>
      <c r="F13" s="184" t="s">
        <v>1387</v>
      </c>
      <c r="G13" s="173">
        <v>349387.93</v>
      </c>
    </row>
    <row r="14" spans="2:7" x14ac:dyDescent="0.3">
      <c r="B14" s="7" t="s">
        <v>145</v>
      </c>
      <c r="C14" s="8" t="s">
        <v>206</v>
      </c>
      <c r="D14" s="187">
        <v>46050</v>
      </c>
      <c r="E14" s="189" t="s">
        <v>199</v>
      </c>
      <c r="F14" s="183">
        <v>46381</v>
      </c>
      <c r="G14" s="172">
        <v>273739.18</v>
      </c>
    </row>
    <row r="15" spans="2:7" x14ac:dyDescent="0.3">
      <c r="B15" s="141" t="s">
        <v>1273</v>
      </c>
      <c r="C15" s="10" t="s">
        <v>1388</v>
      </c>
      <c r="D15" s="184" t="s">
        <v>1386</v>
      </c>
      <c r="E15" s="184"/>
      <c r="F15" s="184" t="s">
        <v>1387</v>
      </c>
      <c r="G15" s="173">
        <v>273693</v>
      </c>
    </row>
    <row r="16" spans="2:7" x14ac:dyDescent="0.3">
      <c r="B16" s="7" t="s">
        <v>143</v>
      </c>
      <c r="C16" s="8" t="s">
        <v>207</v>
      </c>
      <c r="D16" s="187">
        <v>46050</v>
      </c>
      <c r="E16" s="189" t="s">
        <v>199</v>
      </c>
      <c r="F16" s="183">
        <v>46381</v>
      </c>
      <c r="G16" s="172">
        <v>273353.95999999996</v>
      </c>
    </row>
    <row r="17" spans="2:7" x14ac:dyDescent="0.3">
      <c r="B17" s="141" t="s">
        <v>824</v>
      </c>
      <c r="C17" s="10" t="s">
        <v>984</v>
      </c>
      <c r="D17" s="184" t="s">
        <v>981</v>
      </c>
      <c r="E17" s="184" t="s">
        <v>203</v>
      </c>
      <c r="F17" s="184" t="s">
        <v>982</v>
      </c>
      <c r="G17" s="173">
        <v>241588.62</v>
      </c>
    </row>
    <row r="18" spans="2:7" x14ac:dyDescent="0.3">
      <c r="B18" s="141" t="s">
        <v>1267</v>
      </c>
      <c r="C18" s="10" t="s">
        <v>1389</v>
      </c>
      <c r="D18" s="184" t="s">
        <v>1386</v>
      </c>
      <c r="E18" s="184"/>
      <c r="F18" s="184" t="s">
        <v>1387</v>
      </c>
      <c r="G18" s="173">
        <v>212497</v>
      </c>
    </row>
    <row r="19" spans="2:7" x14ac:dyDescent="0.3">
      <c r="B19" s="141" t="s">
        <v>1148</v>
      </c>
      <c r="C19" s="10" t="s">
        <v>1598</v>
      </c>
      <c r="D19" s="184" t="s">
        <v>1597</v>
      </c>
      <c r="E19" s="184"/>
      <c r="F19" s="184" t="s">
        <v>1387</v>
      </c>
      <c r="G19" s="173">
        <v>201380.58</v>
      </c>
    </row>
    <row r="20" spans="2:7" x14ac:dyDescent="0.3">
      <c r="B20" s="141" t="s">
        <v>836</v>
      </c>
      <c r="C20" s="10" t="s">
        <v>985</v>
      </c>
      <c r="D20" s="184" t="s">
        <v>981</v>
      </c>
      <c r="E20" s="184" t="s">
        <v>203</v>
      </c>
      <c r="F20" s="184" t="s">
        <v>982</v>
      </c>
      <c r="G20" s="173">
        <v>187740.84</v>
      </c>
    </row>
    <row r="21" spans="2:7" x14ac:dyDescent="0.3">
      <c r="B21" s="7" t="s">
        <v>142</v>
      </c>
      <c r="C21" s="8" t="s">
        <v>208</v>
      </c>
      <c r="D21" s="187">
        <v>46050</v>
      </c>
      <c r="E21" s="189" t="s">
        <v>203</v>
      </c>
      <c r="F21" s="183">
        <v>46381</v>
      </c>
      <c r="G21" s="172">
        <v>184820.13999999998</v>
      </c>
    </row>
    <row r="22" spans="2:7" x14ac:dyDescent="0.3">
      <c r="B22" s="141" t="s">
        <v>1262</v>
      </c>
      <c r="C22" s="10" t="s">
        <v>1390</v>
      </c>
      <c r="D22" s="184" t="s">
        <v>1386</v>
      </c>
      <c r="E22" s="184" t="s">
        <v>199</v>
      </c>
      <c r="F22" s="184" t="s">
        <v>1387</v>
      </c>
      <c r="G22" s="173">
        <v>184096</v>
      </c>
    </row>
    <row r="23" spans="2:7" x14ac:dyDescent="0.3">
      <c r="B23" s="7" t="s">
        <v>209</v>
      </c>
      <c r="C23" s="8" t="s">
        <v>210</v>
      </c>
      <c r="D23" s="187">
        <v>46050</v>
      </c>
      <c r="E23" s="189" t="s">
        <v>203</v>
      </c>
      <c r="F23" s="183">
        <v>46381</v>
      </c>
      <c r="G23" s="172">
        <v>178469.16999999998</v>
      </c>
    </row>
    <row r="24" spans="2:7" x14ac:dyDescent="0.3">
      <c r="B24" s="7" t="s">
        <v>140</v>
      </c>
      <c r="C24" s="8" t="s">
        <v>211</v>
      </c>
      <c r="D24" s="187">
        <v>46050</v>
      </c>
      <c r="E24" s="189" t="s">
        <v>203</v>
      </c>
      <c r="F24" s="183">
        <v>46381</v>
      </c>
      <c r="G24" s="172">
        <v>167240.10999999999</v>
      </c>
    </row>
    <row r="25" spans="2:7" x14ac:dyDescent="0.3">
      <c r="B25" s="7" t="s">
        <v>138</v>
      </c>
      <c r="C25" s="8" t="s">
        <v>212</v>
      </c>
      <c r="D25" s="187">
        <v>46050</v>
      </c>
      <c r="E25" s="189" t="s">
        <v>203</v>
      </c>
      <c r="F25" s="183">
        <v>46381</v>
      </c>
      <c r="G25" s="172">
        <v>165999.21</v>
      </c>
    </row>
    <row r="26" spans="2:7" x14ac:dyDescent="0.3">
      <c r="B26" s="141" t="s">
        <v>1304</v>
      </c>
      <c r="C26" s="10" t="s">
        <v>1391</v>
      </c>
      <c r="D26" s="184" t="s">
        <v>1386</v>
      </c>
      <c r="E26" s="184"/>
      <c r="F26" s="184" t="s">
        <v>1387</v>
      </c>
      <c r="G26" s="173">
        <v>150330</v>
      </c>
    </row>
    <row r="27" spans="2:7" x14ac:dyDescent="0.3">
      <c r="B27" s="7" t="s">
        <v>137</v>
      </c>
      <c r="C27" s="8" t="s">
        <v>213</v>
      </c>
      <c r="D27" s="187">
        <v>46050</v>
      </c>
      <c r="E27" s="189" t="s">
        <v>199</v>
      </c>
      <c r="F27" s="183">
        <v>46381</v>
      </c>
      <c r="G27" s="172">
        <v>138089.32</v>
      </c>
    </row>
    <row r="28" spans="2:7" x14ac:dyDescent="0.3">
      <c r="B28" s="141" t="s">
        <v>1251</v>
      </c>
      <c r="C28" s="10" t="s">
        <v>1392</v>
      </c>
      <c r="D28" s="184" t="s">
        <v>1386</v>
      </c>
      <c r="E28" s="184"/>
      <c r="F28" s="184" t="s">
        <v>1387</v>
      </c>
      <c r="G28" s="173">
        <v>136492</v>
      </c>
    </row>
    <row r="29" spans="2:7" x14ac:dyDescent="0.3">
      <c r="B29" s="141">
        <v>8316</v>
      </c>
      <c r="C29" s="10" t="s">
        <v>848</v>
      </c>
      <c r="D29" s="184" t="s">
        <v>981</v>
      </c>
      <c r="E29" s="184"/>
      <c r="F29" s="184" t="s">
        <v>982</v>
      </c>
      <c r="G29" s="173">
        <v>136109.76000000001</v>
      </c>
    </row>
    <row r="30" spans="2:7" x14ac:dyDescent="0.3">
      <c r="B30" s="141" t="s">
        <v>1599</v>
      </c>
      <c r="C30" s="10" t="s">
        <v>1600</v>
      </c>
      <c r="D30" s="184" t="s">
        <v>1597</v>
      </c>
      <c r="E30" s="184"/>
      <c r="F30" s="184" t="s">
        <v>1387</v>
      </c>
      <c r="G30" s="173">
        <v>123582.78</v>
      </c>
    </row>
    <row r="31" spans="2:7" x14ac:dyDescent="0.3">
      <c r="B31" s="141" t="s">
        <v>1269</v>
      </c>
      <c r="C31" s="10" t="s">
        <v>1393</v>
      </c>
      <c r="D31" s="184" t="s">
        <v>1386</v>
      </c>
      <c r="E31" s="184"/>
      <c r="F31" s="184" t="s">
        <v>1387</v>
      </c>
      <c r="G31" s="173">
        <v>121828</v>
      </c>
    </row>
    <row r="32" spans="2:7" x14ac:dyDescent="0.3">
      <c r="B32" s="7" t="s">
        <v>135</v>
      </c>
      <c r="C32" s="8" t="s">
        <v>214</v>
      </c>
      <c r="D32" s="187">
        <v>46050</v>
      </c>
      <c r="E32" s="189"/>
      <c r="F32" s="183">
        <v>46351</v>
      </c>
      <c r="G32" s="172">
        <v>120815.42</v>
      </c>
    </row>
    <row r="33" spans="2:7" x14ac:dyDescent="0.3">
      <c r="B33" s="7" t="s">
        <v>134</v>
      </c>
      <c r="C33" s="8" t="s">
        <v>215</v>
      </c>
      <c r="D33" s="187">
        <v>46050</v>
      </c>
      <c r="E33" s="189" t="s">
        <v>203</v>
      </c>
      <c r="F33" s="183">
        <v>46381</v>
      </c>
      <c r="G33" s="172">
        <v>111003.7</v>
      </c>
    </row>
    <row r="34" spans="2:7" x14ac:dyDescent="0.3">
      <c r="B34" s="7">
        <v>6857</v>
      </c>
      <c r="C34" s="8" t="s">
        <v>216</v>
      </c>
      <c r="D34" s="187">
        <v>46050</v>
      </c>
      <c r="E34" s="189"/>
      <c r="F34" s="183">
        <v>46381</v>
      </c>
      <c r="G34" s="172">
        <v>109823.18</v>
      </c>
    </row>
    <row r="35" spans="2:7" x14ac:dyDescent="0.3">
      <c r="B35" s="141">
        <v>8411</v>
      </c>
      <c r="C35" s="10" t="s">
        <v>1176</v>
      </c>
      <c r="D35" s="184" t="s">
        <v>1597</v>
      </c>
      <c r="E35" s="184"/>
      <c r="F35" s="184" t="s">
        <v>1387</v>
      </c>
      <c r="G35" s="173">
        <v>108869.48</v>
      </c>
    </row>
    <row r="36" spans="2:7" x14ac:dyDescent="0.3">
      <c r="B36" s="7" t="s">
        <v>133</v>
      </c>
      <c r="C36" s="8" t="s">
        <v>217</v>
      </c>
      <c r="D36" s="187">
        <v>46050</v>
      </c>
      <c r="E36" s="189" t="s">
        <v>203</v>
      </c>
      <c r="F36" s="183">
        <v>46381</v>
      </c>
      <c r="G36" s="172">
        <v>104295.2</v>
      </c>
    </row>
    <row r="37" spans="2:7" x14ac:dyDescent="0.3">
      <c r="B37" s="7" t="s">
        <v>130</v>
      </c>
      <c r="C37" s="8" t="s">
        <v>218</v>
      </c>
      <c r="D37" s="187">
        <v>46050</v>
      </c>
      <c r="E37" s="189" t="s">
        <v>203</v>
      </c>
      <c r="F37" s="183">
        <v>46381</v>
      </c>
      <c r="G37" s="172">
        <v>97979.739999999991</v>
      </c>
    </row>
    <row r="38" spans="2:7" x14ac:dyDescent="0.3">
      <c r="B38" s="141" t="s">
        <v>986</v>
      </c>
      <c r="C38" s="10" t="s">
        <v>987</v>
      </c>
      <c r="D38" s="184" t="s">
        <v>981</v>
      </c>
      <c r="E38" s="184"/>
      <c r="F38" s="184" t="s">
        <v>982</v>
      </c>
      <c r="G38" s="173">
        <v>93154.76</v>
      </c>
    </row>
    <row r="39" spans="2:7" x14ac:dyDescent="0.3">
      <c r="B39" s="7" t="s">
        <v>128</v>
      </c>
      <c r="C39" s="8" t="s">
        <v>219</v>
      </c>
      <c r="D39" s="187">
        <v>46050</v>
      </c>
      <c r="E39" s="189" t="s">
        <v>199</v>
      </c>
      <c r="F39" s="183">
        <v>46381</v>
      </c>
      <c r="G39" s="172">
        <v>92349.209999999992</v>
      </c>
    </row>
    <row r="40" spans="2:7" x14ac:dyDescent="0.3">
      <c r="B40" s="141" t="s">
        <v>1601</v>
      </c>
      <c r="C40" s="10" t="s">
        <v>1602</v>
      </c>
      <c r="D40" s="184" t="s">
        <v>1597</v>
      </c>
      <c r="E40" s="184"/>
      <c r="F40" s="184" t="s">
        <v>1387</v>
      </c>
      <c r="G40" s="173">
        <v>91584.13</v>
      </c>
    </row>
    <row r="41" spans="2:7" x14ac:dyDescent="0.3">
      <c r="B41" s="141" t="s">
        <v>1281</v>
      </c>
      <c r="C41" s="10" t="s">
        <v>1394</v>
      </c>
      <c r="D41" s="184" t="s">
        <v>1386</v>
      </c>
      <c r="E41" s="184"/>
      <c r="F41" s="184" t="s">
        <v>1387</v>
      </c>
      <c r="G41" s="173">
        <v>82635.92</v>
      </c>
    </row>
    <row r="42" spans="2:7" x14ac:dyDescent="0.3">
      <c r="B42" s="7" t="s">
        <v>126</v>
      </c>
      <c r="C42" s="8" t="s">
        <v>220</v>
      </c>
      <c r="D42" s="187">
        <v>46050</v>
      </c>
      <c r="E42" s="189" t="s">
        <v>203</v>
      </c>
      <c r="F42" s="183">
        <v>46381</v>
      </c>
      <c r="G42" s="172">
        <v>82463.92</v>
      </c>
    </row>
    <row r="43" spans="2:7" x14ac:dyDescent="0.3">
      <c r="B43" s="141" t="s">
        <v>1249</v>
      </c>
      <c r="C43" s="10" t="s">
        <v>1395</v>
      </c>
      <c r="D43" s="184" t="s">
        <v>1386</v>
      </c>
      <c r="E43" s="184"/>
      <c r="F43" s="184" t="s">
        <v>1387</v>
      </c>
      <c r="G43" s="173">
        <v>80587.97</v>
      </c>
    </row>
    <row r="44" spans="2:7" x14ac:dyDescent="0.3">
      <c r="B44" s="7" t="s">
        <v>125</v>
      </c>
      <c r="C44" s="8" t="s">
        <v>221</v>
      </c>
      <c r="D44" s="187">
        <v>46050</v>
      </c>
      <c r="E44" s="189" t="s">
        <v>203</v>
      </c>
      <c r="F44" s="183">
        <v>46381</v>
      </c>
      <c r="G44" s="172">
        <v>79991.72</v>
      </c>
    </row>
    <row r="45" spans="2:7" x14ac:dyDescent="0.3">
      <c r="B45" s="141" t="s">
        <v>834</v>
      </c>
      <c r="C45" s="10" t="s">
        <v>988</v>
      </c>
      <c r="D45" s="184" t="s">
        <v>981</v>
      </c>
      <c r="E45" s="184" t="s">
        <v>203</v>
      </c>
      <c r="F45" s="184" t="s">
        <v>982</v>
      </c>
      <c r="G45" s="173">
        <v>76072.37</v>
      </c>
    </row>
    <row r="46" spans="2:7" x14ac:dyDescent="0.3">
      <c r="B46" s="141">
        <v>7974</v>
      </c>
      <c r="C46" s="10" t="s">
        <v>1350</v>
      </c>
      <c r="D46" s="184" t="s">
        <v>1386</v>
      </c>
      <c r="E46" s="184"/>
      <c r="F46" s="184" t="s">
        <v>1387</v>
      </c>
      <c r="G46" s="173">
        <v>76065.45</v>
      </c>
    </row>
    <row r="47" spans="2:7" x14ac:dyDescent="0.3">
      <c r="B47" s="141" t="s">
        <v>1280</v>
      </c>
      <c r="C47" s="10" t="s">
        <v>1396</v>
      </c>
      <c r="D47" s="184" t="s">
        <v>1386</v>
      </c>
      <c r="E47" s="184" t="s">
        <v>203</v>
      </c>
      <c r="F47" s="184" t="s">
        <v>1387</v>
      </c>
      <c r="G47" s="173">
        <v>75791.53</v>
      </c>
    </row>
    <row r="48" spans="2:7" x14ac:dyDescent="0.3">
      <c r="B48" s="141" t="s">
        <v>1258</v>
      </c>
      <c r="C48" s="10" t="s">
        <v>1397</v>
      </c>
      <c r="D48" s="184" t="s">
        <v>1386</v>
      </c>
      <c r="E48" s="184" t="s">
        <v>199</v>
      </c>
      <c r="F48" s="184" t="s">
        <v>1387</v>
      </c>
      <c r="G48" s="173">
        <v>75447.259999999995</v>
      </c>
    </row>
    <row r="49" spans="2:7" x14ac:dyDescent="0.3">
      <c r="B49" s="141" t="s">
        <v>832</v>
      </c>
      <c r="C49" s="10" t="s">
        <v>989</v>
      </c>
      <c r="D49" s="184" t="s">
        <v>981</v>
      </c>
      <c r="E49" s="184" t="s">
        <v>203</v>
      </c>
      <c r="F49" s="184" t="s">
        <v>982</v>
      </c>
      <c r="G49" s="173">
        <v>74997.78</v>
      </c>
    </row>
    <row r="50" spans="2:7" x14ac:dyDescent="0.3">
      <c r="B50" s="141" t="s">
        <v>828</v>
      </c>
      <c r="C50" s="10" t="s">
        <v>990</v>
      </c>
      <c r="D50" s="184" t="s">
        <v>981</v>
      </c>
      <c r="E50" s="184" t="s">
        <v>203</v>
      </c>
      <c r="F50" s="184" t="s">
        <v>982</v>
      </c>
      <c r="G50" s="173">
        <v>72779.600000000006</v>
      </c>
    </row>
    <row r="51" spans="2:7" x14ac:dyDescent="0.3">
      <c r="B51" s="141" t="s">
        <v>1310</v>
      </c>
      <c r="C51" s="10" t="s">
        <v>1398</v>
      </c>
      <c r="D51" s="184" t="s">
        <v>1386</v>
      </c>
      <c r="E51" s="184" t="s">
        <v>203</v>
      </c>
      <c r="F51" s="184" t="s">
        <v>1387</v>
      </c>
      <c r="G51" s="173">
        <v>71800.63</v>
      </c>
    </row>
    <row r="52" spans="2:7" x14ac:dyDescent="0.3">
      <c r="B52" s="7" t="s">
        <v>222</v>
      </c>
      <c r="C52" s="8" t="s">
        <v>223</v>
      </c>
      <c r="D52" s="187">
        <v>46050</v>
      </c>
      <c r="E52" s="189"/>
      <c r="F52" s="183">
        <v>46381</v>
      </c>
      <c r="G52" s="172">
        <v>71617.48</v>
      </c>
    </row>
    <row r="53" spans="2:7" x14ac:dyDescent="0.3">
      <c r="B53" s="7" t="s">
        <v>224</v>
      </c>
      <c r="C53" s="8" t="s">
        <v>225</v>
      </c>
      <c r="D53" s="187">
        <v>46050</v>
      </c>
      <c r="E53" s="189"/>
      <c r="F53" s="183">
        <v>46381</v>
      </c>
      <c r="G53" s="172">
        <v>67136.19</v>
      </c>
    </row>
    <row r="54" spans="2:7" x14ac:dyDescent="0.3">
      <c r="B54" s="7" t="s">
        <v>123</v>
      </c>
      <c r="C54" s="8" t="s">
        <v>226</v>
      </c>
      <c r="D54" s="187">
        <v>46050</v>
      </c>
      <c r="E54" s="189" t="s">
        <v>199</v>
      </c>
      <c r="F54" s="183">
        <v>46381</v>
      </c>
      <c r="G54" s="172">
        <v>65616.28</v>
      </c>
    </row>
    <row r="55" spans="2:7" x14ac:dyDescent="0.3">
      <c r="B55" s="141">
        <v>6503</v>
      </c>
      <c r="C55" s="10" t="s">
        <v>1367</v>
      </c>
      <c r="D55" s="184" t="s">
        <v>1386</v>
      </c>
      <c r="E55" s="184"/>
      <c r="F55" s="184" t="s">
        <v>1387</v>
      </c>
      <c r="G55" s="173">
        <v>64221.8</v>
      </c>
    </row>
    <row r="56" spans="2:7" x14ac:dyDescent="0.3">
      <c r="B56" s="141" t="s">
        <v>1399</v>
      </c>
      <c r="C56" s="10" t="s">
        <v>1400</v>
      </c>
      <c r="D56" s="184" t="s">
        <v>1386</v>
      </c>
      <c r="E56" s="184"/>
      <c r="F56" s="184" t="s">
        <v>1387</v>
      </c>
      <c r="G56" s="173">
        <v>63761.61</v>
      </c>
    </row>
    <row r="57" spans="2:7" x14ac:dyDescent="0.3">
      <c r="B57" s="141" t="s">
        <v>1329</v>
      </c>
      <c r="C57" s="10" t="s">
        <v>1381</v>
      </c>
      <c r="D57" s="184" t="s">
        <v>1386</v>
      </c>
      <c r="E57" s="184"/>
      <c r="F57" s="184" t="s">
        <v>1387</v>
      </c>
      <c r="G57" s="173">
        <v>62857.21</v>
      </c>
    </row>
    <row r="58" spans="2:7" x14ac:dyDescent="0.3">
      <c r="B58" s="141" t="s">
        <v>1139</v>
      </c>
      <c r="C58" s="10" t="s">
        <v>1603</v>
      </c>
      <c r="D58" s="184" t="s">
        <v>1597</v>
      </c>
      <c r="E58" s="184" t="s">
        <v>199</v>
      </c>
      <c r="F58" s="184" t="s">
        <v>1387</v>
      </c>
      <c r="G58" s="173">
        <v>62220.11</v>
      </c>
    </row>
    <row r="59" spans="2:7" x14ac:dyDescent="0.3">
      <c r="B59" s="141" t="s">
        <v>827</v>
      </c>
      <c r="C59" s="10" t="s">
        <v>991</v>
      </c>
      <c r="D59" s="184" t="s">
        <v>981</v>
      </c>
      <c r="E59" s="184" t="s">
        <v>203</v>
      </c>
      <c r="F59" s="184" t="s">
        <v>982</v>
      </c>
      <c r="G59" s="173">
        <v>60673.760000000002</v>
      </c>
    </row>
    <row r="60" spans="2:7" x14ac:dyDescent="0.3">
      <c r="B60" s="141" t="s">
        <v>992</v>
      </c>
      <c r="C60" s="10" t="s">
        <v>993</v>
      </c>
      <c r="D60" s="184" t="s">
        <v>981</v>
      </c>
      <c r="E60" s="184" t="s">
        <v>203</v>
      </c>
      <c r="F60" s="184" t="s">
        <v>982</v>
      </c>
      <c r="G60" s="173">
        <v>59000</v>
      </c>
    </row>
    <row r="61" spans="2:7" x14ac:dyDescent="0.3">
      <c r="B61" s="7" t="s">
        <v>121</v>
      </c>
      <c r="C61" s="8" t="s">
        <v>227</v>
      </c>
      <c r="D61" s="187">
        <v>46050</v>
      </c>
      <c r="E61" s="189" t="s">
        <v>199</v>
      </c>
      <c r="F61" s="183">
        <v>46381</v>
      </c>
      <c r="G61" s="172">
        <v>58478.009999999995</v>
      </c>
    </row>
    <row r="62" spans="2:7" x14ac:dyDescent="0.3">
      <c r="B62" s="141" t="s">
        <v>1146</v>
      </c>
      <c r="C62" s="10" t="s">
        <v>1604</v>
      </c>
      <c r="D62" s="184" t="s">
        <v>1597</v>
      </c>
      <c r="E62" s="184" t="s">
        <v>199</v>
      </c>
      <c r="F62" s="184" t="s">
        <v>1387</v>
      </c>
      <c r="G62" s="173">
        <v>56913.66</v>
      </c>
    </row>
    <row r="63" spans="2:7" x14ac:dyDescent="0.3">
      <c r="B63" s="141" t="s">
        <v>1250</v>
      </c>
      <c r="C63" s="10" t="s">
        <v>1401</v>
      </c>
      <c r="D63" s="184" t="s">
        <v>1386</v>
      </c>
      <c r="E63" s="184" t="s">
        <v>203</v>
      </c>
      <c r="F63" s="184" t="s">
        <v>1387</v>
      </c>
      <c r="G63" s="173">
        <v>56853.94</v>
      </c>
    </row>
    <row r="64" spans="2:7" x14ac:dyDescent="0.3">
      <c r="B64" s="7">
        <v>500510</v>
      </c>
      <c r="C64" s="8" t="s">
        <v>228</v>
      </c>
      <c r="D64" s="187">
        <v>46050</v>
      </c>
      <c r="E64" s="189"/>
      <c r="F64" s="183">
        <v>46381</v>
      </c>
      <c r="G64" s="172">
        <v>56215.869999999995</v>
      </c>
    </row>
    <row r="65" spans="2:7" x14ac:dyDescent="0.3">
      <c r="B65" s="141" t="s">
        <v>1141</v>
      </c>
      <c r="C65" s="10" t="s">
        <v>1605</v>
      </c>
      <c r="D65" s="184" t="s">
        <v>1597</v>
      </c>
      <c r="E65" s="184" t="s">
        <v>203</v>
      </c>
      <c r="F65" s="184" t="s">
        <v>1387</v>
      </c>
      <c r="G65" s="173">
        <v>53537.120000000003</v>
      </c>
    </row>
    <row r="66" spans="2:7" x14ac:dyDescent="0.3">
      <c r="B66" s="7" t="s">
        <v>120</v>
      </c>
      <c r="C66" s="8" t="s">
        <v>229</v>
      </c>
      <c r="D66" s="187">
        <v>46050</v>
      </c>
      <c r="E66" s="189"/>
      <c r="F66" s="183">
        <v>46381</v>
      </c>
      <c r="G66" s="172">
        <v>53078.97</v>
      </c>
    </row>
    <row r="67" spans="2:7" x14ac:dyDescent="0.3">
      <c r="B67" s="141" t="s">
        <v>1300</v>
      </c>
      <c r="C67" s="10" t="s">
        <v>1402</v>
      </c>
      <c r="D67" s="184" t="s">
        <v>1386</v>
      </c>
      <c r="E67" s="184" t="s">
        <v>203</v>
      </c>
      <c r="F67" s="184" t="s">
        <v>1387</v>
      </c>
      <c r="G67" s="173">
        <v>52963.15</v>
      </c>
    </row>
    <row r="68" spans="2:7" x14ac:dyDescent="0.3">
      <c r="B68" s="141" t="s">
        <v>1247</v>
      </c>
      <c r="C68" s="10" t="s">
        <v>1403</v>
      </c>
      <c r="D68" s="184" t="s">
        <v>1386</v>
      </c>
      <c r="E68" s="184"/>
      <c r="F68" s="184" t="s">
        <v>1387</v>
      </c>
      <c r="G68" s="173">
        <v>51561.06</v>
      </c>
    </row>
    <row r="69" spans="2:7" x14ac:dyDescent="0.3">
      <c r="B69" s="141" t="s">
        <v>1274</v>
      </c>
      <c r="C69" s="10" t="s">
        <v>1404</v>
      </c>
      <c r="D69" s="184" t="s">
        <v>1386</v>
      </c>
      <c r="E69" s="184" t="s">
        <v>199</v>
      </c>
      <c r="F69" s="184" t="s">
        <v>1387</v>
      </c>
      <c r="G69" s="173">
        <v>51396.95</v>
      </c>
    </row>
    <row r="70" spans="2:7" x14ac:dyDescent="0.3">
      <c r="B70" s="141" t="s">
        <v>1277</v>
      </c>
      <c r="C70" s="10" t="s">
        <v>1405</v>
      </c>
      <c r="D70" s="184" t="s">
        <v>1386</v>
      </c>
      <c r="E70" s="184" t="s">
        <v>203</v>
      </c>
      <c r="F70" s="184" t="s">
        <v>1387</v>
      </c>
      <c r="G70" s="173">
        <v>51350.43</v>
      </c>
    </row>
    <row r="71" spans="2:7" x14ac:dyDescent="0.3">
      <c r="B71" s="141" t="s">
        <v>1315</v>
      </c>
      <c r="C71" s="10" t="s">
        <v>1406</v>
      </c>
      <c r="D71" s="184" t="s">
        <v>1386</v>
      </c>
      <c r="E71" s="184" t="s">
        <v>199</v>
      </c>
      <c r="F71" s="184" t="s">
        <v>1387</v>
      </c>
      <c r="G71" s="173">
        <v>50858.58</v>
      </c>
    </row>
    <row r="72" spans="2:7" x14ac:dyDescent="0.3">
      <c r="B72" s="7" t="s">
        <v>230</v>
      </c>
      <c r="C72" s="8" t="s">
        <v>231</v>
      </c>
      <c r="D72" s="187">
        <v>46050</v>
      </c>
      <c r="E72" s="189"/>
      <c r="F72" s="183">
        <v>46381</v>
      </c>
      <c r="G72" s="172">
        <v>49897.27</v>
      </c>
    </row>
    <row r="73" spans="2:7" x14ac:dyDescent="0.3">
      <c r="B73" s="141" t="s">
        <v>1282</v>
      </c>
      <c r="C73" s="10" t="s">
        <v>1407</v>
      </c>
      <c r="D73" s="184" t="s">
        <v>1386</v>
      </c>
      <c r="E73" s="184" t="s">
        <v>203</v>
      </c>
      <c r="F73" s="184" t="s">
        <v>1387</v>
      </c>
      <c r="G73" s="173">
        <v>49299.5</v>
      </c>
    </row>
    <row r="74" spans="2:7" x14ac:dyDescent="0.3">
      <c r="B74" s="141" t="s">
        <v>1306</v>
      </c>
      <c r="C74" s="10" t="s">
        <v>1408</v>
      </c>
      <c r="D74" s="184" t="s">
        <v>1386</v>
      </c>
      <c r="E74" s="184" t="s">
        <v>199</v>
      </c>
      <c r="F74" s="184" t="s">
        <v>1387</v>
      </c>
      <c r="G74" s="173">
        <v>49193.29</v>
      </c>
    </row>
    <row r="75" spans="2:7" x14ac:dyDescent="0.3">
      <c r="B75" s="141" t="s">
        <v>842</v>
      </c>
      <c r="C75" s="10" t="s">
        <v>994</v>
      </c>
      <c r="D75" s="184" t="s">
        <v>981</v>
      </c>
      <c r="E75" s="184" t="s">
        <v>203</v>
      </c>
      <c r="F75" s="184" t="s">
        <v>982</v>
      </c>
      <c r="G75" s="173">
        <v>48855.78</v>
      </c>
    </row>
    <row r="76" spans="2:7" x14ac:dyDescent="0.3">
      <c r="B76" s="141" t="s">
        <v>1235</v>
      </c>
      <c r="C76" s="10" t="s">
        <v>1409</v>
      </c>
      <c r="D76" s="184" t="s">
        <v>1386</v>
      </c>
      <c r="E76" s="184" t="s">
        <v>199</v>
      </c>
      <c r="F76" s="184" t="s">
        <v>1387</v>
      </c>
      <c r="G76" s="173">
        <v>44372.79</v>
      </c>
    </row>
    <row r="77" spans="2:7" x14ac:dyDescent="0.3">
      <c r="B77" s="7" t="s">
        <v>118</v>
      </c>
      <c r="C77" s="8" t="s">
        <v>232</v>
      </c>
      <c r="D77" s="187">
        <v>46050</v>
      </c>
      <c r="E77" s="189" t="s">
        <v>203</v>
      </c>
      <c r="F77" s="183">
        <v>46381</v>
      </c>
      <c r="G77" s="172">
        <v>44314.29</v>
      </c>
    </row>
    <row r="78" spans="2:7" x14ac:dyDescent="0.3">
      <c r="B78" s="141" t="s">
        <v>948</v>
      </c>
      <c r="C78" s="10" t="s">
        <v>949</v>
      </c>
      <c r="D78" s="184" t="s">
        <v>995</v>
      </c>
      <c r="E78" s="184"/>
      <c r="F78" s="184" t="s">
        <v>982</v>
      </c>
      <c r="G78" s="173">
        <v>44129.9</v>
      </c>
    </row>
    <row r="79" spans="2:7" x14ac:dyDescent="0.3">
      <c r="B79" s="141">
        <v>8015</v>
      </c>
      <c r="C79" s="10" t="s">
        <v>1360</v>
      </c>
      <c r="D79" s="184" t="s">
        <v>1386</v>
      </c>
      <c r="E79" s="184"/>
      <c r="F79" s="184" t="s">
        <v>1387</v>
      </c>
      <c r="G79" s="173">
        <v>40700.300000000003</v>
      </c>
    </row>
    <row r="80" spans="2:7" x14ac:dyDescent="0.3">
      <c r="B80" s="7" t="s">
        <v>116</v>
      </c>
      <c r="C80" s="8" t="s">
        <v>233</v>
      </c>
      <c r="D80" s="187">
        <v>46050</v>
      </c>
      <c r="E80" s="189" t="s">
        <v>199</v>
      </c>
      <c r="F80" s="183">
        <v>46381</v>
      </c>
      <c r="G80" s="172">
        <v>39856.879999999997</v>
      </c>
    </row>
    <row r="81" spans="2:7" x14ac:dyDescent="0.3">
      <c r="B81" s="141">
        <v>6981</v>
      </c>
      <c r="C81" s="10" t="s">
        <v>1179</v>
      </c>
      <c r="D81" s="184" t="s">
        <v>1597</v>
      </c>
      <c r="E81" s="184"/>
      <c r="F81" s="184" t="s">
        <v>1387</v>
      </c>
      <c r="G81" s="173">
        <v>39312.39</v>
      </c>
    </row>
    <row r="82" spans="2:7" x14ac:dyDescent="0.3">
      <c r="B82" s="141" t="s">
        <v>1253</v>
      </c>
      <c r="C82" s="10" t="s">
        <v>1410</v>
      </c>
      <c r="D82" s="184" t="s">
        <v>1386</v>
      </c>
      <c r="E82" s="184" t="s">
        <v>199</v>
      </c>
      <c r="F82" s="184" t="s">
        <v>1387</v>
      </c>
      <c r="G82" s="173">
        <v>39080.33</v>
      </c>
    </row>
    <row r="83" spans="2:7" x14ac:dyDescent="0.3">
      <c r="B83" s="7" t="s">
        <v>114</v>
      </c>
      <c r="C83" s="8" t="s">
        <v>234</v>
      </c>
      <c r="D83" s="187">
        <v>46050</v>
      </c>
      <c r="E83" s="189" t="s">
        <v>199</v>
      </c>
      <c r="F83" s="183">
        <v>46381</v>
      </c>
      <c r="G83" s="172">
        <v>37244.979999999996</v>
      </c>
    </row>
    <row r="84" spans="2:7" x14ac:dyDescent="0.3">
      <c r="B84" s="141" t="s">
        <v>996</v>
      </c>
      <c r="C84" s="10" t="s">
        <v>997</v>
      </c>
      <c r="D84" s="184" t="s">
        <v>981</v>
      </c>
      <c r="E84" s="184"/>
      <c r="F84" s="184" t="s">
        <v>982</v>
      </c>
      <c r="G84" s="173">
        <v>37012.58</v>
      </c>
    </row>
    <row r="85" spans="2:7" x14ac:dyDescent="0.3">
      <c r="B85" s="7" t="s">
        <v>112</v>
      </c>
      <c r="C85" s="8" t="s">
        <v>235</v>
      </c>
      <c r="D85" s="187">
        <v>46050</v>
      </c>
      <c r="E85" s="189" t="s">
        <v>203</v>
      </c>
      <c r="F85" s="183">
        <v>46381</v>
      </c>
      <c r="G85" s="172">
        <v>36437.689999999995</v>
      </c>
    </row>
    <row r="86" spans="2:7" x14ac:dyDescent="0.3">
      <c r="B86" s="7" t="s">
        <v>132</v>
      </c>
      <c r="C86" s="8" t="s">
        <v>236</v>
      </c>
      <c r="D86" s="187">
        <v>46050</v>
      </c>
      <c r="E86" s="189"/>
      <c r="F86" s="183">
        <v>46381</v>
      </c>
      <c r="G86" s="172">
        <v>36111</v>
      </c>
    </row>
    <row r="87" spans="2:7" x14ac:dyDescent="0.3">
      <c r="B87" s="141" t="s">
        <v>1332</v>
      </c>
      <c r="C87" s="10" t="s">
        <v>1378</v>
      </c>
      <c r="D87" s="184" t="s">
        <v>1386</v>
      </c>
      <c r="E87" s="184"/>
      <c r="F87" s="184" t="s">
        <v>1387</v>
      </c>
      <c r="G87" s="173">
        <v>36104.019999999997</v>
      </c>
    </row>
    <row r="88" spans="2:7" x14ac:dyDescent="0.3">
      <c r="B88" s="141" t="s">
        <v>1131</v>
      </c>
      <c r="C88" s="10" t="s">
        <v>1606</v>
      </c>
      <c r="D88" s="184" t="s">
        <v>1597</v>
      </c>
      <c r="E88" s="184" t="s">
        <v>199</v>
      </c>
      <c r="F88" s="184" t="s">
        <v>1387</v>
      </c>
      <c r="G88" s="173">
        <v>35729.4</v>
      </c>
    </row>
    <row r="89" spans="2:7" x14ac:dyDescent="0.3">
      <c r="B89" s="7" t="s">
        <v>152</v>
      </c>
      <c r="C89" s="8" t="s">
        <v>237</v>
      </c>
      <c r="D89" s="187">
        <v>46050</v>
      </c>
      <c r="E89" s="189" t="s">
        <v>203</v>
      </c>
      <c r="F89" s="183">
        <v>46381</v>
      </c>
      <c r="G89" s="172">
        <v>35136.78</v>
      </c>
    </row>
    <row r="90" spans="2:7" x14ac:dyDescent="0.3">
      <c r="B90" s="7" t="s">
        <v>154</v>
      </c>
      <c r="C90" s="8" t="s">
        <v>238</v>
      </c>
      <c r="D90" s="187">
        <v>46050</v>
      </c>
      <c r="E90" s="189" t="s">
        <v>199</v>
      </c>
      <c r="F90" s="183">
        <v>46381</v>
      </c>
      <c r="G90" s="172">
        <v>33876.71</v>
      </c>
    </row>
    <row r="91" spans="2:7" x14ac:dyDescent="0.3">
      <c r="B91" s="141">
        <v>5802</v>
      </c>
      <c r="C91" s="10" t="s">
        <v>1348</v>
      </c>
      <c r="D91" s="184" t="s">
        <v>1386</v>
      </c>
      <c r="E91" s="184"/>
      <c r="F91" s="184" t="s">
        <v>1387</v>
      </c>
      <c r="G91" s="173">
        <v>33687.35</v>
      </c>
    </row>
    <row r="92" spans="2:7" x14ac:dyDescent="0.3">
      <c r="B92" s="7">
        <v>500049</v>
      </c>
      <c r="C92" s="8" t="s">
        <v>239</v>
      </c>
      <c r="D92" s="187">
        <v>46050</v>
      </c>
      <c r="E92" s="189"/>
      <c r="F92" s="183">
        <v>46381</v>
      </c>
      <c r="G92" s="172">
        <v>33041.42</v>
      </c>
    </row>
    <row r="93" spans="2:7" x14ac:dyDescent="0.3">
      <c r="B93" s="141" t="s">
        <v>812</v>
      </c>
      <c r="C93" s="10" t="s">
        <v>998</v>
      </c>
      <c r="D93" s="184" t="s">
        <v>981</v>
      </c>
      <c r="E93" s="184"/>
      <c r="F93" s="184" t="s">
        <v>982</v>
      </c>
      <c r="G93" s="173">
        <v>33019.379999999997</v>
      </c>
    </row>
    <row r="94" spans="2:7" x14ac:dyDescent="0.3">
      <c r="B94" s="141">
        <v>2412</v>
      </c>
      <c r="C94" s="10" t="s">
        <v>1411</v>
      </c>
      <c r="D94" s="184" t="s">
        <v>1386</v>
      </c>
      <c r="E94" s="184" t="s">
        <v>203</v>
      </c>
      <c r="F94" s="184" t="s">
        <v>1387</v>
      </c>
      <c r="G94" s="173">
        <v>32675.86</v>
      </c>
    </row>
    <row r="95" spans="2:7" x14ac:dyDescent="0.3">
      <c r="B95" s="141" t="s">
        <v>1412</v>
      </c>
      <c r="C95" s="10" t="s">
        <v>1413</v>
      </c>
      <c r="D95" s="184" t="s">
        <v>1386</v>
      </c>
      <c r="E95" s="184"/>
      <c r="F95" s="184" t="s">
        <v>1387</v>
      </c>
      <c r="G95" s="173">
        <v>32414.91</v>
      </c>
    </row>
    <row r="96" spans="2:7" x14ac:dyDescent="0.3">
      <c r="B96" s="141">
        <v>6301</v>
      </c>
      <c r="C96" s="10" t="s">
        <v>893</v>
      </c>
      <c r="D96" s="184" t="s">
        <v>981</v>
      </c>
      <c r="E96" s="184"/>
      <c r="F96" s="184" t="s">
        <v>982</v>
      </c>
      <c r="G96" s="173">
        <v>32397.54</v>
      </c>
    </row>
    <row r="97" spans="2:7" x14ac:dyDescent="0.3">
      <c r="B97" s="141" t="s">
        <v>1312</v>
      </c>
      <c r="C97" s="10" t="s">
        <v>1414</v>
      </c>
      <c r="D97" s="184" t="s">
        <v>1386</v>
      </c>
      <c r="E97" s="184" t="s">
        <v>203</v>
      </c>
      <c r="F97" s="184" t="s">
        <v>1387</v>
      </c>
      <c r="G97" s="173">
        <v>31540.55</v>
      </c>
    </row>
    <row r="98" spans="2:7" x14ac:dyDescent="0.3">
      <c r="B98" s="141" t="s">
        <v>1318</v>
      </c>
      <c r="C98" s="10" t="s">
        <v>1415</v>
      </c>
      <c r="D98" s="184" t="s">
        <v>1386</v>
      </c>
      <c r="E98" s="184" t="s">
        <v>203</v>
      </c>
      <c r="F98" s="184" t="s">
        <v>1387</v>
      </c>
      <c r="G98" s="173">
        <v>31323.54</v>
      </c>
    </row>
    <row r="99" spans="2:7" x14ac:dyDescent="0.3">
      <c r="B99" s="141" t="s">
        <v>999</v>
      </c>
      <c r="C99" s="10" t="s">
        <v>1000</v>
      </c>
      <c r="D99" s="184" t="s">
        <v>981</v>
      </c>
      <c r="E99" s="184"/>
      <c r="F99" s="184" t="s">
        <v>982</v>
      </c>
      <c r="G99" s="173">
        <v>30885.71</v>
      </c>
    </row>
    <row r="100" spans="2:7" x14ac:dyDescent="0.3">
      <c r="B100" s="141">
        <v>512599</v>
      </c>
      <c r="C100" s="10" t="s">
        <v>1416</v>
      </c>
      <c r="D100" s="184" t="s">
        <v>1386</v>
      </c>
      <c r="E100" s="184"/>
      <c r="F100" s="184" t="s">
        <v>1387</v>
      </c>
      <c r="G100" s="173">
        <v>30725.1</v>
      </c>
    </row>
    <row r="101" spans="2:7" x14ac:dyDescent="0.3">
      <c r="B101" s="141" t="s">
        <v>1001</v>
      </c>
      <c r="C101" s="10" t="s">
        <v>1002</v>
      </c>
      <c r="D101" s="184" t="s">
        <v>981</v>
      </c>
      <c r="E101" s="184"/>
      <c r="F101" s="184" t="s">
        <v>982</v>
      </c>
      <c r="G101" s="173">
        <v>29228.78</v>
      </c>
    </row>
    <row r="102" spans="2:7" x14ac:dyDescent="0.3">
      <c r="B102" s="141">
        <v>9020</v>
      </c>
      <c r="C102" s="10" t="s">
        <v>1174</v>
      </c>
      <c r="D102" s="184" t="s">
        <v>1597</v>
      </c>
      <c r="E102" s="184"/>
      <c r="F102" s="184" t="s">
        <v>1387</v>
      </c>
      <c r="G102" s="173">
        <v>28273.48</v>
      </c>
    </row>
    <row r="103" spans="2:7" x14ac:dyDescent="0.3">
      <c r="B103" s="141" t="s">
        <v>1243</v>
      </c>
      <c r="C103" s="10" t="s">
        <v>1417</v>
      </c>
      <c r="D103" s="184" t="s">
        <v>1386</v>
      </c>
      <c r="E103" s="184" t="s">
        <v>199</v>
      </c>
      <c r="F103" s="184" t="s">
        <v>1387</v>
      </c>
      <c r="G103" s="173">
        <v>27573.18</v>
      </c>
    </row>
    <row r="104" spans="2:7" x14ac:dyDescent="0.3">
      <c r="B104" s="141">
        <v>8604</v>
      </c>
      <c r="C104" s="10" t="s">
        <v>872</v>
      </c>
      <c r="D104" s="184" t="s">
        <v>981</v>
      </c>
      <c r="E104" s="184"/>
      <c r="F104" s="184" t="s">
        <v>982</v>
      </c>
      <c r="G104" s="173">
        <v>27415.64</v>
      </c>
    </row>
    <row r="105" spans="2:7" x14ac:dyDescent="0.3">
      <c r="B105" s="141" t="s">
        <v>956</v>
      </c>
      <c r="C105" s="10" t="s">
        <v>957</v>
      </c>
      <c r="D105" s="184" t="s">
        <v>981</v>
      </c>
      <c r="E105" s="184"/>
      <c r="F105" s="184" t="s">
        <v>982</v>
      </c>
      <c r="G105" s="173">
        <v>26373.19</v>
      </c>
    </row>
    <row r="106" spans="2:7" x14ac:dyDescent="0.3">
      <c r="B106" s="141" t="s">
        <v>1254</v>
      </c>
      <c r="C106" s="10" t="s">
        <v>1418</v>
      </c>
      <c r="D106" s="184" t="s">
        <v>1386</v>
      </c>
      <c r="E106" s="184"/>
      <c r="F106" s="184" t="s">
        <v>1387</v>
      </c>
      <c r="G106" s="173">
        <v>26004.26</v>
      </c>
    </row>
    <row r="107" spans="2:7" x14ac:dyDescent="0.3">
      <c r="B107" s="141">
        <v>8308</v>
      </c>
      <c r="C107" s="10" t="s">
        <v>854</v>
      </c>
      <c r="D107" s="184" t="s">
        <v>981</v>
      </c>
      <c r="E107" s="184"/>
      <c r="F107" s="184" t="s">
        <v>982</v>
      </c>
      <c r="G107" s="173">
        <v>25655.07</v>
      </c>
    </row>
    <row r="108" spans="2:7" x14ac:dyDescent="0.3">
      <c r="B108" s="141">
        <v>9022</v>
      </c>
      <c r="C108" s="10" t="s">
        <v>1172</v>
      </c>
      <c r="D108" s="184" t="s">
        <v>1597</v>
      </c>
      <c r="E108" s="184"/>
      <c r="F108" s="184" t="s">
        <v>1387</v>
      </c>
      <c r="G108" s="173">
        <v>25620.45</v>
      </c>
    </row>
    <row r="109" spans="2:7" x14ac:dyDescent="0.3">
      <c r="B109" s="141" t="s">
        <v>1257</v>
      </c>
      <c r="C109" s="10" t="s">
        <v>1419</v>
      </c>
      <c r="D109" s="184" t="s">
        <v>1386</v>
      </c>
      <c r="E109" s="184" t="s">
        <v>203</v>
      </c>
      <c r="F109" s="184" t="s">
        <v>1387</v>
      </c>
      <c r="G109" s="173">
        <v>25521.31</v>
      </c>
    </row>
    <row r="110" spans="2:7" x14ac:dyDescent="0.3">
      <c r="B110" s="141" t="s">
        <v>1285</v>
      </c>
      <c r="C110" s="10" t="s">
        <v>1420</v>
      </c>
      <c r="D110" s="184" t="s">
        <v>1386</v>
      </c>
      <c r="E110" s="184"/>
      <c r="F110" s="184" t="s">
        <v>1421</v>
      </c>
      <c r="G110" s="173">
        <v>25492.69</v>
      </c>
    </row>
    <row r="111" spans="2:7" x14ac:dyDescent="0.3">
      <c r="B111" s="141" t="s">
        <v>1422</v>
      </c>
      <c r="C111" s="10" t="s">
        <v>1423</v>
      </c>
      <c r="D111" s="184" t="s">
        <v>1386</v>
      </c>
      <c r="E111" s="184"/>
      <c r="F111" s="184" t="s">
        <v>1387</v>
      </c>
      <c r="G111" s="173">
        <v>25108.03</v>
      </c>
    </row>
    <row r="112" spans="2:7" x14ac:dyDescent="0.3">
      <c r="B112" s="141">
        <v>6762</v>
      </c>
      <c r="C112" s="10" t="s">
        <v>1168</v>
      </c>
      <c r="D112" s="184" t="s">
        <v>1597</v>
      </c>
      <c r="E112" s="184"/>
      <c r="F112" s="184" t="s">
        <v>1387</v>
      </c>
      <c r="G112" s="173">
        <v>25069.09</v>
      </c>
    </row>
    <row r="113" spans="2:7" x14ac:dyDescent="0.3">
      <c r="B113" s="141" t="s">
        <v>838</v>
      </c>
      <c r="C113" s="10" t="s">
        <v>1003</v>
      </c>
      <c r="D113" s="184" t="s">
        <v>981</v>
      </c>
      <c r="E113" s="184" t="s">
        <v>203</v>
      </c>
      <c r="F113" s="184" t="s">
        <v>982</v>
      </c>
      <c r="G113" s="173">
        <v>24556.720000000001</v>
      </c>
    </row>
    <row r="114" spans="2:7" x14ac:dyDescent="0.3">
      <c r="B114" s="141" t="s">
        <v>1424</v>
      </c>
      <c r="C114" s="10" t="s">
        <v>1425</v>
      </c>
      <c r="D114" s="184" t="s">
        <v>1386</v>
      </c>
      <c r="E114" s="184"/>
      <c r="F114" s="184" t="s">
        <v>1387</v>
      </c>
      <c r="G114" s="173">
        <v>24079.42</v>
      </c>
    </row>
    <row r="115" spans="2:7" x14ac:dyDescent="0.3">
      <c r="B115" s="141" t="s">
        <v>1426</v>
      </c>
      <c r="C115" s="10" t="s">
        <v>1427</v>
      </c>
      <c r="D115" s="184" t="s">
        <v>1386</v>
      </c>
      <c r="E115" s="184"/>
      <c r="F115" s="184" t="s">
        <v>1387</v>
      </c>
      <c r="G115" s="173">
        <v>22721.279999999999</v>
      </c>
    </row>
    <row r="116" spans="2:7" x14ac:dyDescent="0.3">
      <c r="B116" s="141">
        <v>8309</v>
      </c>
      <c r="C116" s="10" t="s">
        <v>919</v>
      </c>
      <c r="D116" s="184" t="s">
        <v>981</v>
      </c>
      <c r="E116" s="184"/>
      <c r="F116" s="184" t="s">
        <v>982</v>
      </c>
      <c r="G116" s="173">
        <v>22710.76</v>
      </c>
    </row>
    <row r="117" spans="2:7" x14ac:dyDescent="0.3">
      <c r="B117" s="141" t="s">
        <v>831</v>
      </c>
      <c r="C117" s="10" t="s">
        <v>1004</v>
      </c>
      <c r="D117" s="184" t="s">
        <v>981</v>
      </c>
      <c r="E117" s="184"/>
      <c r="F117" s="184" t="s">
        <v>982</v>
      </c>
      <c r="G117" s="173">
        <v>21758.19</v>
      </c>
    </row>
    <row r="118" spans="2:7" x14ac:dyDescent="0.3">
      <c r="B118" s="141">
        <v>1010</v>
      </c>
      <c r="C118" s="10" t="s">
        <v>1607</v>
      </c>
      <c r="D118" s="184" t="s">
        <v>1597</v>
      </c>
      <c r="E118" s="184"/>
      <c r="F118" s="184" t="s">
        <v>1387</v>
      </c>
      <c r="G118" s="173">
        <v>21317.66</v>
      </c>
    </row>
    <row r="119" spans="2:7" x14ac:dyDescent="0.3">
      <c r="B119" s="7" t="s">
        <v>240</v>
      </c>
      <c r="C119" s="8" t="s">
        <v>241</v>
      </c>
      <c r="D119" s="187">
        <v>46050</v>
      </c>
      <c r="E119" s="189" t="s">
        <v>203</v>
      </c>
      <c r="F119" s="183">
        <v>46381</v>
      </c>
      <c r="G119" s="172">
        <v>20241.469999999998</v>
      </c>
    </row>
    <row r="120" spans="2:7" x14ac:dyDescent="0.3">
      <c r="B120" s="7" t="s">
        <v>155</v>
      </c>
      <c r="C120" s="8" t="s">
        <v>242</v>
      </c>
      <c r="D120" s="187">
        <v>46050</v>
      </c>
      <c r="E120" s="189"/>
      <c r="F120" s="183">
        <v>46381</v>
      </c>
      <c r="G120" s="172">
        <v>20158.8</v>
      </c>
    </row>
    <row r="121" spans="2:7" x14ac:dyDescent="0.3">
      <c r="B121" s="141" t="s">
        <v>1224</v>
      </c>
      <c r="C121" s="10" t="s">
        <v>1428</v>
      </c>
      <c r="D121" s="184" t="s">
        <v>1386</v>
      </c>
      <c r="E121" s="184" t="s">
        <v>199</v>
      </c>
      <c r="F121" s="184" t="s">
        <v>1387</v>
      </c>
      <c r="G121" s="173">
        <v>19485.14</v>
      </c>
    </row>
    <row r="122" spans="2:7" x14ac:dyDescent="0.3">
      <c r="B122" s="141" t="s">
        <v>1226</v>
      </c>
      <c r="C122" s="10" t="s">
        <v>1429</v>
      </c>
      <c r="D122" s="184" t="s">
        <v>1386</v>
      </c>
      <c r="E122" s="184" t="s">
        <v>199</v>
      </c>
      <c r="F122" s="184" t="s">
        <v>1387</v>
      </c>
      <c r="G122" s="173">
        <v>18878.29</v>
      </c>
    </row>
    <row r="123" spans="2:7" x14ac:dyDescent="0.3">
      <c r="B123" s="7" t="s">
        <v>243</v>
      </c>
      <c r="C123" s="8" t="s">
        <v>244</v>
      </c>
      <c r="D123" s="187">
        <v>46050</v>
      </c>
      <c r="E123" s="189"/>
      <c r="F123" s="183">
        <v>46381</v>
      </c>
      <c r="G123" s="172">
        <v>18872.009999999998</v>
      </c>
    </row>
    <row r="124" spans="2:7" x14ac:dyDescent="0.3">
      <c r="B124" s="141">
        <v>6971</v>
      </c>
      <c r="C124" s="10" t="s">
        <v>1173</v>
      </c>
      <c r="D124" s="184" t="s">
        <v>1597</v>
      </c>
      <c r="E124" s="184"/>
      <c r="F124" s="184" t="s">
        <v>1387</v>
      </c>
      <c r="G124" s="173">
        <v>18668.240000000002</v>
      </c>
    </row>
    <row r="125" spans="2:7" x14ac:dyDescent="0.3">
      <c r="B125" s="141" t="s">
        <v>1150</v>
      </c>
      <c r="C125" s="10" t="s">
        <v>1608</v>
      </c>
      <c r="D125" s="184" t="s">
        <v>1597</v>
      </c>
      <c r="E125" s="184" t="s">
        <v>203</v>
      </c>
      <c r="F125" s="184" t="s">
        <v>1387</v>
      </c>
      <c r="G125" s="173">
        <v>18514.240000000002</v>
      </c>
    </row>
    <row r="126" spans="2:7" x14ac:dyDescent="0.3">
      <c r="B126" s="7">
        <v>532343</v>
      </c>
      <c r="C126" s="8" t="s">
        <v>245</v>
      </c>
      <c r="D126" s="187">
        <v>46050</v>
      </c>
      <c r="E126" s="189"/>
      <c r="F126" s="183">
        <v>46381</v>
      </c>
      <c r="G126" s="172">
        <v>18491.78</v>
      </c>
    </row>
    <row r="127" spans="2:7" x14ac:dyDescent="0.3">
      <c r="B127" s="141" t="s">
        <v>1252</v>
      </c>
      <c r="C127" s="10" t="s">
        <v>1430</v>
      </c>
      <c r="D127" s="184" t="s">
        <v>1386</v>
      </c>
      <c r="E127" s="184" t="s">
        <v>199</v>
      </c>
      <c r="F127" s="184" t="s">
        <v>1387</v>
      </c>
      <c r="G127" s="173">
        <v>18480.34</v>
      </c>
    </row>
    <row r="128" spans="2:7" x14ac:dyDescent="0.3">
      <c r="B128" s="141" t="s">
        <v>1275</v>
      </c>
      <c r="C128" s="10" t="s">
        <v>1431</v>
      </c>
      <c r="D128" s="184" t="s">
        <v>1386</v>
      </c>
      <c r="E128" s="184"/>
      <c r="F128" s="184" t="s">
        <v>1387</v>
      </c>
      <c r="G128" s="173">
        <v>18398</v>
      </c>
    </row>
    <row r="129" spans="2:7" x14ac:dyDescent="0.3">
      <c r="B129" s="7" t="s">
        <v>246</v>
      </c>
      <c r="C129" s="8" t="s">
        <v>247</v>
      </c>
      <c r="D129" s="187">
        <v>46050</v>
      </c>
      <c r="E129" s="189"/>
      <c r="F129" s="183">
        <v>46381</v>
      </c>
      <c r="G129" s="172">
        <v>18165.7</v>
      </c>
    </row>
    <row r="130" spans="2:7" x14ac:dyDescent="0.3">
      <c r="B130" s="7">
        <v>2303</v>
      </c>
      <c r="C130" s="8" t="s">
        <v>248</v>
      </c>
      <c r="D130" s="187">
        <v>46050</v>
      </c>
      <c r="E130" s="189" t="s">
        <v>203</v>
      </c>
      <c r="F130" s="183">
        <v>46381</v>
      </c>
      <c r="G130" s="172">
        <v>18106.32</v>
      </c>
    </row>
    <row r="131" spans="2:7" x14ac:dyDescent="0.3">
      <c r="B131" s="141">
        <v>1150</v>
      </c>
      <c r="C131" s="10" t="s">
        <v>1609</v>
      </c>
      <c r="D131" s="184" t="s">
        <v>1597</v>
      </c>
      <c r="E131" s="184"/>
      <c r="F131" s="184" t="s">
        <v>1387</v>
      </c>
      <c r="G131" s="173">
        <v>17890.95</v>
      </c>
    </row>
    <row r="132" spans="2:7" x14ac:dyDescent="0.3">
      <c r="B132" s="141">
        <v>1060</v>
      </c>
      <c r="C132" s="10" t="s">
        <v>1214</v>
      </c>
      <c r="D132" s="184" t="s">
        <v>1597</v>
      </c>
      <c r="E132" s="184"/>
      <c r="F132" s="184" t="s">
        <v>1387</v>
      </c>
      <c r="G132" s="173">
        <v>17805.849999999999</v>
      </c>
    </row>
    <row r="133" spans="2:7" x14ac:dyDescent="0.3">
      <c r="B133" s="141" t="s">
        <v>1005</v>
      </c>
      <c r="C133" s="10" t="s">
        <v>1006</v>
      </c>
      <c r="D133" s="184" t="s">
        <v>981</v>
      </c>
      <c r="E133" s="184" t="s">
        <v>203</v>
      </c>
      <c r="F133" s="184" t="s">
        <v>982</v>
      </c>
      <c r="G133" s="173">
        <v>17579.82</v>
      </c>
    </row>
    <row r="134" spans="2:7" x14ac:dyDescent="0.3">
      <c r="B134" s="141" t="s">
        <v>1007</v>
      </c>
      <c r="C134" s="10" t="s">
        <v>1008</v>
      </c>
      <c r="D134" s="184" t="s">
        <v>981</v>
      </c>
      <c r="E134" s="184"/>
      <c r="F134" s="184" t="s">
        <v>982</v>
      </c>
      <c r="G134" s="173">
        <v>17568.25</v>
      </c>
    </row>
    <row r="135" spans="2:7" x14ac:dyDescent="0.3">
      <c r="B135" s="141" t="s">
        <v>1009</v>
      </c>
      <c r="C135" s="10" t="s">
        <v>1010</v>
      </c>
      <c r="D135" s="184" t="s">
        <v>981</v>
      </c>
      <c r="E135" s="184"/>
      <c r="F135" s="184" t="s">
        <v>982</v>
      </c>
      <c r="G135" s="173">
        <v>17553.240000000002</v>
      </c>
    </row>
    <row r="136" spans="2:7" x14ac:dyDescent="0.3">
      <c r="B136" s="7" t="s">
        <v>190</v>
      </c>
      <c r="C136" s="8" t="s">
        <v>249</v>
      </c>
      <c r="D136" s="187">
        <v>46050</v>
      </c>
      <c r="E136" s="189"/>
      <c r="F136" s="183">
        <v>46381</v>
      </c>
      <c r="G136" s="172">
        <v>17261.419999999998</v>
      </c>
    </row>
    <row r="137" spans="2:7" x14ac:dyDescent="0.3">
      <c r="B137" s="141" t="s">
        <v>1290</v>
      </c>
      <c r="C137" s="10" t="s">
        <v>1432</v>
      </c>
      <c r="D137" s="184" t="s">
        <v>1386</v>
      </c>
      <c r="E137" s="184" t="s">
        <v>203</v>
      </c>
      <c r="F137" s="184" t="s">
        <v>1387</v>
      </c>
      <c r="G137" s="173">
        <v>17204.900000000001</v>
      </c>
    </row>
    <row r="138" spans="2:7" x14ac:dyDescent="0.3">
      <c r="B138" s="141" t="s">
        <v>1433</v>
      </c>
      <c r="C138" s="10" t="s">
        <v>1434</v>
      </c>
      <c r="D138" s="184" t="s">
        <v>1386</v>
      </c>
      <c r="E138" s="184"/>
      <c r="F138" s="184" t="s">
        <v>1387</v>
      </c>
      <c r="G138" s="173">
        <v>17191.86</v>
      </c>
    </row>
    <row r="139" spans="2:7" x14ac:dyDescent="0.3">
      <c r="B139" s="7" t="s">
        <v>188</v>
      </c>
      <c r="C139" s="8" t="s">
        <v>250</v>
      </c>
      <c r="D139" s="187">
        <v>46050</v>
      </c>
      <c r="E139" s="189"/>
      <c r="F139" s="183">
        <v>46381</v>
      </c>
      <c r="G139" s="172">
        <v>17079.099999999999</v>
      </c>
    </row>
    <row r="140" spans="2:7" x14ac:dyDescent="0.3">
      <c r="B140" s="141" t="s">
        <v>1335</v>
      </c>
      <c r="C140" s="10" t="s">
        <v>1379</v>
      </c>
      <c r="D140" s="184" t="s">
        <v>1386</v>
      </c>
      <c r="E140" s="184"/>
      <c r="F140" s="184" t="s">
        <v>1387</v>
      </c>
      <c r="G140" s="173">
        <v>17075.900000000001</v>
      </c>
    </row>
    <row r="141" spans="2:7" x14ac:dyDescent="0.3">
      <c r="B141" s="141" t="s">
        <v>1152</v>
      </c>
      <c r="C141" s="10" t="s">
        <v>1610</v>
      </c>
      <c r="D141" s="184" t="s">
        <v>1597</v>
      </c>
      <c r="E141" s="184" t="s">
        <v>203</v>
      </c>
      <c r="F141" s="184" t="s">
        <v>1387</v>
      </c>
      <c r="G141" s="173">
        <v>16986</v>
      </c>
    </row>
    <row r="142" spans="2:7" x14ac:dyDescent="0.3">
      <c r="B142" s="141" t="s">
        <v>1435</v>
      </c>
      <c r="C142" s="10" t="s">
        <v>1436</v>
      </c>
      <c r="D142" s="184" t="s">
        <v>1386</v>
      </c>
      <c r="E142" s="184"/>
      <c r="F142" s="184" t="s">
        <v>1387</v>
      </c>
      <c r="G142" s="173">
        <v>16892.57</v>
      </c>
    </row>
    <row r="143" spans="2:7" x14ac:dyDescent="0.3">
      <c r="B143" s="7" t="s">
        <v>187</v>
      </c>
      <c r="C143" s="8" t="s">
        <v>251</v>
      </c>
      <c r="D143" s="187">
        <v>46050</v>
      </c>
      <c r="E143" s="189"/>
      <c r="F143" s="183">
        <v>46381</v>
      </c>
      <c r="G143" s="172">
        <v>16204.39</v>
      </c>
    </row>
    <row r="144" spans="2:7" x14ac:dyDescent="0.3">
      <c r="B144" s="141">
        <v>500425</v>
      </c>
      <c r="C144" s="10" t="s">
        <v>1011</v>
      </c>
      <c r="D144" s="184" t="s">
        <v>981</v>
      </c>
      <c r="E144" s="184"/>
      <c r="F144" s="184" t="s">
        <v>982</v>
      </c>
      <c r="G144" s="173">
        <v>16030.23</v>
      </c>
    </row>
    <row r="145" spans="2:7" x14ac:dyDescent="0.3">
      <c r="B145" s="7" t="s">
        <v>186</v>
      </c>
      <c r="C145" s="8" t="s">
        <v>252</v>
      </c>
      <c r="D145" s="187">
        <v>46050</v>
      </c>
      <c r="E145" s="189" t="s">
        <v>199</v>
      </c>
      <c r="F145" s="183">
        <v>46381</v>
      </c>
      <c r="G145" s="172">
        <v>15989.539999999999</v>
      </c>
    </row>
    <row r="146" spans="2:7" x14ac:dyDescent="0.3">
      <c r="B146" s="141" t="s">
        <v>1437</v>
      </c>
      <c r="C146" s="10" t="s">
        <v>1438</v>
      </c>
      <c r="D146" s="184" t="s">
        <v>1386</v>
      </c>
      <c r="E146" s="184"/>
      <c r="F146" s="184" t="s">
        <v>1387</v>
      </c>
      <c r="G146" s="173">
        <v>15945.22</v>
      </c>
    </row>
    <row r="147" spans="2:7" x14ac:dyDescent="0.3">
      <c r="B147" s="141" t="s">
        <v>1012</v>
      </c>
      <c r="C147" s="10" t="s">
        <v>1013</v>
      </c>
      <c r="D147" s="184" t="s">
        <v>981</v>
      </c>
      <c r="E147" s="184"/>
      <c r="F147" s="184" t="s">
        <v>982</v>
      </c>
      <c r="G147" s="173">
        <v>15911.95</v>
      </c>
    </row>
    <row r="148" spans="2:7" x14ac:dyDescent="0.3">
      <c r="B148" s="141">
        <v>9503</v>
      </c>
      <c r="C148" s="10" t="s">
        <v>1014</v>
      </c>
      <c r="D148" s="184" t="s">
        <v>981</v>
      </c>
      <c r="E148" s="184"/>
      <c r="F148" s="184" t="s">
        <v>982</v>
      </c>
      <c r="G148" s="173">
        <v>15905.22</v>
      </c>
    </row>
    <row r="149" spans="2:7" x14ac:dyDescent="0.3">
      <c r="B149" s="7" t="s">
        <v>184</v>
      </c>
      <c r="C149" s="8" t="s">
        <v>253</v>
      </c>
      <c r="D149" s="187">
        <v>46050</v>
      </c>
      <c r="E149" s="189" t="s">
        <v>203</v>
      </c>
      <c r="F149" s="183">
        <v>46381</v>
      </c>
      <c r="G149" s="172">
        <v>15477.13</v>
      </c>
    </row>
    <row r="150" spans="2:7" x14ac:dyDescent="0.3">
      <c r="B150" s="141" t="s">
        <v>1439</v>
      </c>
      <c r="C150" s="10" t="s">
        <v>1440</v>
      </c>
      <c r="D150" s="184" t="s">
        <v>1386</v>
      </c>
      <c r="E150" s="184"/>
      <c r="F150" s="184" t="s">
        <v>1387</v>
      </c>
      <c r="G150" s="173">
        <v>15459.66</v>
      </c>
    </row>
    <row r="151" spans="2:7" x14ac:dyDescent="0.3">
      <c r="B151" s="141" t="s">
        <v>1133</v>
      </c>
      <c r="C151" s="10" t="s">
        <v>1611</v>
      </c>
      <c r="D151" s="184" t="s">
        <v>1597</v>
      </c>
      <c r="E151" s="184" t="s">
        <v>199</v>
      </c>
      <c r="F151" s="184" t="s">
        <v>1387</v>
      </c>
      <c r="G151" s="173">
        <v>15454.49</v>
      </c>
    </row>
    <row r="152" spans="2:7" x14ac:dyDescent="0.3">
      <c r="B152" s="141" t="s">
        <v>960</v>
      </c>
      <c r="C152" s="10" t="s">
        <v>961</v>
      </c>
      <c r="D152" s="184" t="s">
        <v>981</v>
      </c>
      <c r="E152" s="184"/>
      <c r="F152" s="184" t="s">
        <v>982</v>
      </c>
      <c r="G152" s="173">
        <v>15374.99</v>
      </c>
    </row>
    <row r="153" spans="2:7" x14ac:dyDescent="0.3">
      <c r="B153" s="141" t="s">
        <v>1301</v>
      </c>
      <c r="C153" s="10" t="s">
        <v>1441</v>
      </c>
      <c r="D153" s="184" t="s">
        <v>1386</v>
      </c>
      <c r="E153" s="184"/>
      <c r="F153" s="184" t="s">
        <v>1387</v>
      </c>
      <c r="G153" s="173">
        <v>15067.3</v>
      </c>
    </row>
    <row r="154" spans="2:7" x14ac:dyDescent="0.3">
      <c r="B154" s="141" t="s">
        <v>1442</v>
      </c>
      <c r="C154" s="10" t="s">
        <v>1443</v>
      </c>
      <c r="D154" s="184" t="s">
        <v>1386</v>
      </c>
      <c r="E154" s="184"/>
      <c r="F154" s="184" t="s">
        <v>1387</v>
      </c>
      <c r="G154" s="173">
        <v>15034.83</v>
      </c>
    </row>
    <row r="155" spans="2:7" x14ac:dyDescent="0.3">
      <c r="B155" s="141" t="s">
        <v>1015</v>
      </c>
      <c r="C155" s="10" t="s">
        <v>1016</v>
      </c>
      <c r="D155" s="184" t="s">
        <v>981</v>
      </c>
      <c r="E155" s="184"/>
      <c r="F155" s="184" t="s">
        <v>982</v>
      </c>
      <c r="G155" s="173">
        <v>14965.4</v>
      </c>
    </row>
    <row r="156" spans="2:7" x14ac:dyDescent="0.3">
      <c r="B156" s="141">
        <v>511243</v>
      </c>
      <c r="C156" s="10" t="s">
        <v>1017</v>
      </c>
      <c r="D156" s="184" t="s">
        <v>981</v>
      </c>
      <c r="E156" s="184"/>
      <c r="F156" s="184" t="s">
        <v>982</v>
      </c>
      <c r="G156" s="173">
        <v>14880.03</v>
      </c>
    </row>
    <row r="157" spans="2:7" x14ac:dyDescent="0.3">
      <c r="B157" s="141" t="s">
        <v>1444</v>
      </c>
      <c r="C157" s="10" t="s">
        <v>1445</v>
      </c>
      <c r="D157" s="184" t="s">
        <v>1386</v>
      </c>
      <c r="E157" s="184"/>
      <c r="F157" s="184" t="s">
        <v>1387</v>
      </c>
      <c r="G157" s="173">
        <v>14767.96</v>
      </c>
    </row>
    <row r="158" spans="2:7" x14ac:dyDescent="0.3">
      <c r="B158" s="141">
        <v>300803</v>
      </c>
      <c r="C158" s="10" t="s">
        <v>1018</v>
      </c>
      <c r="D158" s="184" t="s">
        <v>995</v>
      </c>
      <c r="E158" s="184"/>
      <c r="F158" s="184" t="s">
        <v>982</v>
      </c>
      <c r="G158" s="173">
        <v>14276.91</v>
      </c>
    </row>
    <row r="159" spans="2:7" x14ac:dyDescent="0.3">
      <c r="B159" s="141" t="s">
        <v>1612</v>
      </c>
      <c r="C159" s="10" t="s">
        <v>1613</v>
      </c>
      <c r="D159" s="184" t="s">
        <v>1597</v>
      </c>
      <c r="E159" s="184"/>
      <c r="F159" s="184" t="s">
        <v>1387</v>
      </c>
      <c r="G159" s="173">
        <v>14222.32</v>
      </c>
    </row>
    <row r="160" spans="2:7" x14ac:dyDescent="0.3">
      <c r="B160" s="7" t="s">
        <v>183</v>
      </c>
      <c r="C160" s="8" t="s">
        <v>254</v>
      </c>
      <c r="D160" s="187">
        <v>46050</v>
      </c>
      <c r="E160" s="189" t="s">
        <v>199</v>
      </c>
      <c r="F160" s="183">
        <v>46381</v>
      </c>
      <c r="G160" s="172">
        <v>14161.449999999999</v>
      </c>
    </row>
    <row r="161" spans="2:7" x14ac:dyDescent="0.3">
      <c r="B161" s="141" t="s">
        <v>1331</v>
      </c>
      <c r="C161" s="10" t="s">
        <v>1375</v>
      </c>
      <c r="D161" s="184" t="s">
        <v>1386</v>
      </c>
      <c r="E161" s="184"/>
      <c r="F161" s="184" t="s">
        <v>1387</v>
      </c>
      <c r="G161" s="173">
        <v>14119.94</v>
      </c>
    </row>
    <row r="162" spans="2:7" x14ac:dyDescent="0.3">
      <c r="B162" s="141" t="s">
        <v>1446</v>
      </c>
      <c r="C162" s="10" t="s">
        <v>1447</v>
      </c>
      <c r="D162" s="184" t="s">
        <v>1386</v>
      </c>
      <c r="E162" s="184" t="s">
        <v>199</v>
      </c>
      <c r="F162" s="184" t="s">
        <v>1387</v>
      </c>
      <c r="G162" s="173">
        <v>13991.57</v>
      </c>
    </row>
    <row r="163" spans="2:7" x14ac:dyDescent="0.3">
      <c r="B163" s="141" t="s">
        <v>1241</v>
      </c>
      <c r="C163" s="10" t="s">
        <v>1448</v>
      </c>
      <c r="D163" s="184" t="s">
        <v>1386</v>
      </c>
      <c r="E163" s="184" t="s">
        <v>203</v>
      </c>
      <c r="F163" s="184" t="s">
        <v>1387</v>
      </c>
      <c r="G163" s="173">
        <v>13675.48</v>
      </c>
    </row>
    <row r="164" spans="2:7" x14ac:dyDescent="0.3">
      <c r="B164" s="141" t="s">
        <v>1153</v>
      </c>
      <c r="C164" s="10" t="s">
        <v>1614</v>
      </c>
      <c r="D164" s="184" t="s">
        <v>1597</v>
      </c>
      <c r="E164" s="184" t="s">
        <v>199</v>
      </c>
      <c r="F164" s="184" t="s">
        <v>1387</v>
      </c>
      <c r="G164" s="173">
        <v>13460.67</v>
      </c>
    </row>
    <row r="165" spans="2:7" x14ac:dyDescent="0.3">
      <c r="B165" s="141">
        <v>1080</v>
      </c>
      <c r="C165" s="10" t="s">
        <v>1449</v>
      </c>
      <c r="D165" s="184" t="s">
        <v>1386</v>
      </c>
      <c r="E165" s="184"/>
      <c r="F165" s="184" t="s">
        <v>1387</v>
      </c>
      <c r="G165" s="173">
        <v>13448.87</v>
      </c>
    </row>
    <row r="166" spans="2:7" x14ac:dyDescent="0.3">
      <c r="B166" s="141" t="s">
        <v>1615</v>
      </c>
      <c r="C166" s="10" t="s">
        <v>1616</v>
      </c>
      <c r="D166" s="184" t="s">
        <v>1597</v>
      </c>
      <c r="E166" s="184"/>
      <c r="F166" s="184" t="s">
        <v>1387</v>
      </c>
      <c r="G166" s="173">
        <v>13406.95</v>
      </c>
    </row>
    <row r="167" spans="2:7" x14ac:dyDescent="0.3">
      <c r="B167" s="7" t="s">
        <v>181</v>
      </c>
      <c r="C167" s="8" t="s">
        <v>255</v>
      </c>
      <c r="D167" s="187">
        <v>46050</v>
      </c>
      <c r="E167" s="189"/>
      <c r="F167" s="183">
        <v>46381</v>
      </c>
      <c r="G167" s="172">
        <v>13329.5</v>
      </c>
    </row>
    <row r="168" spans="2:7" x14ac:dyDescent="0.3">
      <c r="B168" s="141" t="s">
        <v>1019</v>
      </c>
      <c r="C168" s="10" t="s">
        <v>1020</v>
      </c>
      <c r="D168" s="184" t="s">
        <v>981</v>
      </c>
      <c r="E168" s="184"/>
      <c r="F168" s="184" t="s">
        <v>982</v>
      </c>
      <c r="G168" s="173">
        <v>13281.33</v>
      </c>
    </row>
    <row r="169" spans="2:7" x14ac:dyDescent="0.3">
      <c r="B169" s="141" t="s">
        <v>1450</v>
      </c>
      <c r="C169" s="10" t="s">
        <v>1451</v>
      </c>
      <c r="D169" s="184" t="s">
        <v>1386</v>
      </c>
      <c r="E169" s="184"/>
      <c r="F169" s="184" t="s">
        <v>1387</v>
      </c>
      <c r="G169" s="173">
        <v>13141.51</v>
      </c>
    </row>
    <row r="170" spans="2:7" x14ac:dyDescent="0.3">
      <c r="B170" s="141" t="s">
        <v>1021</v>
      </c>
      <c r="C170" s="10" t="s">
        <v>1022</v>
      </c>
      <c r="D170" s="184" t="s">
        <v>995</v>
      </c>
      <c r="E170" s="184"/>
      <c r="F170" s="184" t="s">
        <v>982</v>
      </c>
      <c r="G170" s="173">
        <v>13135.49</v>
      </c>
    </row>
    <row r="171" spans="2:7" x14ac:dyDescent="0.3">
      <c r="B171" s="141" t="s">
        <v>1132</v>
      </c>
      <c r="C171" s="10" t="s">
        <v>1617</v>
      </c>
      <c r="D171" s="184" t="s">
        <v>1597</v>
      </c>
      <c r="E171" s="184" t="s">
        <v>199</v>
      </c>
      <c r="F171" s="184" t="s">
        <v>1387</v>
      </c>
      <c r="G171" s="173">
        <v>13077.03</v>
      </c>
    </row>
    <row r="172" spans="2:7" x14ac:dyDescent="0.3">
      <c r="B172" s="141" t="s">
        <v>1023</v>
      </c>
      <c r="C172" s="10" t="s">
        <v>1024</v>
      </c>
      <c r="D172" s="184" t="s">
        <v>981</v>
      </c>
      <c r="E172" s="184"/>
      <c r="F172" s="184" t="s">
        <v>982</v>
      </c>
      <c r="G172" s="173">
        <v>12909.86</v>
      </c>
    </row>
    <row r="173" spans="2:7" x14ac:dyDescent="0.3">
      <c r="B173" s="7" t="s">
        <v>180</v>
      </c>
      <c r="C173" s="8" t="s">
        <v>256</v>
      </c>
      <c r="D173" s="187">
        <v>46050</v>
      </c>
      <c r="E173" s="189"/>
      <c r="F173" s="183">
        <v>46381</v>
      </c>
      <c r="G173" s="172">
        <v>12517.769999999999</v>
      </c>
    </row>
    <row r="174" spans="2:7" x14ac:dyDescent="0.3">
      <c r="B174" s="141" t="s">
        <v>1025</v>
      </c>
      <c r="C174" s="10" t="s">
        <v>1026</v>
      </c>
      <c r="D174" s="184" t="s">
        <v>981</v>
      </c>
      <c r="E174" s="184"/>
      <c r="F174" s="184" t="s">
        <v>982</v>
      </c>
      <c r="G174" s="173">
        <v>12454.45</v>
      </c>
    </row>
    <row r="175" spans="2:7" x14ac:dyDescent="0.3">
      <c r="B175" s="141" t="s">
        <v>1303</v>
      </c>
      <c r="C175" s="10" t="s">
        <v>1452</v>
      </c>
      <c r="D175" s="184" t="s">
        <v>1386</v>
      </c>
      <c r="E175" s="184" t="s">
        <v>199</v>
      </c>
      <c r="F175" s="184" t="s">
        <v>1387</v>
      </c>
      <c r="G175" s="173">
        <v>12401.59</v>
      </c>
    </row>
    <row r="176" spans="2:7" x14ac:dyDescent="0.3">
      <c r="B176" s="141" t="s">
        <v>954</v>
      </c>
      <c r="C176" s="10" t="s">
        <v>955</v>
      </c>
      <c r="D176" s="184" t="s">
        <v>981</v>
      </c>
      <c r="E176" s="184"/>
      <c r="F176" s="184" t="s">
        <v>982</v>
      </c>
      <c r="G176" s="173">
        <v>12369.15</v>
      </c>
    </row>
    <row r="177" spans="2:7" x14ac:dyDescent="0.3">
      <c r="B177" s="141" t="s">
        <v>833</v>
      </c>
      <c r="C177" s="10" t="s">
        <v>1027</v>
      </c>
      <c r="D177" s="184" t="s">
        <v>981</v>
      </c>
      <c r="E177" s="184" t="s">
        <v>203</v>
      </c>
      <c r="F177" s="184" t="s">
        <v>982</v>
      </c>
      <c r="G177" s="173">
        <v>12356.85</v>
      </c>
    </row>
    <row r="178" spans="2:7" x14ac:dyDescent="0.3">
      <c r="B178" s="141">
        <v>6920</v>
      </c>
      <c r="C178" s="10" t="s">
        <v>932</v>
      </c>
      <c r="D178" s="184" t="s">
        <v>981</v>
      </c>
      <c r="E178" s="184"/>
      <c r="F178" s="184" t="s">
        <v>982</v>
      </c>
      <c r="G178" s="173">
        <v>12223.53</v>
      </c>
    </row>
    <row r="179" spans="2:7" x14ac:dyDescent="0.3">
      <c r="B179" s="141" t="s">
        <v>1453</v>
      </c>
      <c r="C179" s="10" t="s">
        <v>1454</v>
      </c>
      <c r="D179" s="184" t="s">
        <v>1386</v>
      </c>
      <c r="E179" s="184" t="s">
        <v>199</v>
      </c>
      <c r="F179" s="184" t="s">
        <v>1387</v>
      </c>
      <c r="G179" s="173">
        <v>12214.15</v>
      </c>
    </row>
    <row r="180" spans="2:7" x14ac:dyDescent="0.3">
      <c r="B180" s="141" t="s">
        <v>829</v>
      </c>
      <c r="C180" s="10" t="s">
        <v>1028</v>
      </c>
      <c r="D180" s="184" t="s">
        <v>981</v>
      </c>
      <c r="E180" s="184" t="s">
        <v>203</v>
      </c>
      <c r="F180" s="184" t="s">
        <v>982</v>
      </c>
      <c r="G180" s="173">
        <v>12162.18</v>
      </c>
    </row>
    <row r="181" spans="2:7" x14ac:dyDescent="0.3">
      <c r="B181" s="141">
        <v>9531</v>
      </c>
      <c r="C181" s="10" t="s">
        <v>871</v>
      </c>
      <c r="D181" s="184" t="s">
        <v>981</v>
      </c>
      <c r="E181" s="184"/>
      <c r="F181" s="184" t="s">
        <v>982</v>
      </c>
      <c r="G181" s="173">
        <v>12076.93</v>
      </c>
    </row>
    <row r="182" spans="2:7" x14ac:dyDescent="0.3">
      <c r="B182" s="7" t="s">
        <v>178</v>
      </c>
      <c r="C182" s="8" t="s">
        <v>257</v>
      </c>
      <c r="D182" s="187">
        <v>46050</v>
      </c>
      <c r="E182" s="189"/>
      <c r="F182" s="183">
        <v>46381</v>
      </c>
      <c r="G182" s="172">
        <v>12042.56</v>
      </c>
    </row>
    <row r="183" spans="2:7" x14ac:dyDescent="0.3">
      <c r="B183" s="7" t="s">
        <v>258</v>
      </c>
      <c r="C183" s="8" t="s">
        <v>259</v>
      </c>
      <c r="D183" s="187">
        <v>46050</v>
      </c>
      <c r="E183" s="189"/>
      <c r="F183" s="183">
        <v>46381</v>
      </c>
      <c r="G183" s="172">
        <v>11723.82</v>
      </c>
    </row>
    <row r="184" spans="2:7" x14ac:dyDescent="0.3">
      <c r="B184" s="141" t="s">
        <v>1029</v>
      </c>
      <c r="C184" s="10" t="s">
        <v>1030</v>
      </c>
      <c r="D184" s="184" t="s">
        <v>981</v>
      </c>
      <c r="E184" s="184"/>
      <c r="F184" s="184" t="s">
        <v>982</v>
      </c>
      <c r="G184" s="173">
        <v>11664.84</v>
      </c>
    </row>
    <row r="185" spans="2:7" x14ac:dyDescent="0.3">
      <c r="B185" s="141" t="s">
        <v>1031</v>
      </c>
      <c r="C185" s="10" t="s">
        <v>1032</v>
      </c>
      <c r="D185" s="184" t="s">
        <v>981</v>
      </c>
      <c r="E185" s="184"/>
      <c r="F185" s="184" t="s">
        <v>982</v>
      </c>
      <c r="G185" s="173">
        <v>11610.65</v>
      </c>
    </row>
    <row r="186" spans="2:7" x14ac:dyDescent="0.3">
      <c r="B186" s="141">
        <v>1140</v>
      </c>
      <c r="C186" s="10" t="s">
        <v>1215</v>
      </c>
      <c r="D186" s="184" t="s">
        <v>1597</v>
      </c>
      <c r="E186" s="184"/>
      <c r="F186" s="184" t="s">
        <v>1387</v>
      </c>
      <c r="G186" s="173">
        <v>11582.46</v>
      </c>
    </row>
    <row r="187" spans="2:7" x14ac:dyDescent="0.3">
      <c r="B187" s="141" t="s">
        <v>1225</v>
      </c>
      <c r="C187" s="10" t="s">
        <v>1455</v>
      </c>
      <c r="D187" s="184" t="s">
        <v>1386</v>
      </c>
      <c r="E187" s="184" t="s">
        <v>199</v>
      </c>
      <c r="F187" s="184" t="s">
        <v>1387</v>
      </c>
      <c r="G187" s="173">
        <v>11450.32</v>
      </c>
    </row>
    <row r="188" spans="2:7" x14ac:dyDescent="0.3">
      <c r="B188" s="141" t="s">
        <v>1264</v>
      </c>
      <c r="C188" s="10" t="s">
        <v>1456</v>
      </c>
      <c r="D188" s="184" t="s">
        <v>1386</v>
      </c>
      <c r="E188" s="184" t="s">
        <v>199</v>
      </c>
      <c r="F188" s="184" t="s">
        <v>1387</v>
      </c>
      <c r="G188" s="173">
        <v>11443.77</v>
      </c>
    </row>
    <row r="189" spans="2:7" x14ac:dyDescent="0.3">
      <c r="B189" s="7" t="s">
        <v>176</v>
      </c>
      <c r="C189" s="8" t="s">
        <v>260</v>
      </c>
      <c r="D189" s="187">
        <v>46050</v>
      </c>
      <c r="E189" s="189"/>
      <c r="F189" s="183">
        <v>46048</v>
      </c>
      <c r="G189" s="172">
        <v>11384.16</v>
      </c>
    </row>
    <row r="190" spans="2:7" x14ac:dyDescent="0.3">
      <c r="B190" s="141">
        <v>9532</v>
      </c>
      <c r="C190" s="10" t="s">
        <v>1186</v>
      </c>
      <c r="D190" s="184" t="s">
        <v>1597</v>
      </c>
      <c r="E190" s="184"/>
      <c r="F190" s="184" t="s">
        <v>1387</v>
      </c>
      <c r="G190" s="173">
        <v>11248.27</v>
      </c>
    </row>
    <row r="191" spans="2:7" x14ac:dyDescent="0.3">
      <c r="B191" s="141" t="s">
        <v>1299</v>
      </c>
      <c r="C191" s="10" t="s">
        <v>1457</v>
      </c>
      <c r="D191" s="184" t="s">
        <v>1386</v>
      </c>
      <c r="E191" s="184" t="s">
        <v>203</v>
      </c>
      <c r="F191" s="184" t="s">
        <v>1387</v>
      </c>
      <c r="G191" s="173">
        <v>11203</v>
      </c>
    </row>
    <row r="192" spans="2:7" x14ac:dyDescent="0.3">
      <c r="B192" s="141" t="s">
        <v>1283</v>
      </c>
      <c r="C192" s="10" t="s">
        <v>1458</v>
      </c>
      <c r="D192" s="184" t="s">
        <v>1386</v>
      </c>
      <c r="E192" s="184"/>
      <c r="F192" s="184" t="s">
        <v>1387</v>
      </c>
      <c r="G192" s="173">
        <v>11125.43</v>
      </c>
    </row>
    <row r="193" spans="2:7" x14ac:dyDescent="0.3">
      <c r="B193" s="141">
        <v>8601</v>
      </c>
      <c r="C193" s="10" t="s">
        <v>1163</v>
      </c>
      <c r="D193" s="184" t="s">
        <v>1597</v>
      </c>
      <c r="E193" s="184"/>
      <c r="F193" s="184" t="s">
        <v>1387</v>
      </c>
      <c r="G193" s="173">
        <v>11033.39</v>
      </c>
    </row>
    <row r="194" spans="2:7" x14ac:dyDescent="0.3">
      <c r="B194" s="141" t="s">
        <v>1147</v>
      </c>
      <c r="C194" s="10" t="s">
        <v>1618</v>
      </c>
      <c r="D194" s="184" t="s">
        <v>1597</v>
      </c>
      <c r="E194" s="184" t="s">
        <v>203</v>
      </c>
      <c r="F194" s="184" t="s">
        <v>1387</v>
      </c>
      <c r="G194" s="173">
        <v>10916.63</v>
      </c>
    </row>
    <row r="195" spans="2:7" x14ac:dyDescent="0.3">
      <c r="B195" s="141" t="s">
        <v>1137</v>
      </c>
      <c r="C195" s="10" t="s">
        <v>1619</v>
      </c>
      <c r="D195" s="184" t="s">
        <v>1597</v>
      </c>
      <c r="E195" s="184"/>
      <c r="F195" s="184" t="s">
        <v>1387</v>
      </c>
      <c r="G195" s="173">
        <v>10758.31</v>
      </c>
    </row>
    <row r="196" spans="2:7" x14ac:dyDescent="0.3">
      <c r="B196" s="141" t="s">
        <v>1265</v>
      </c>
      <c r="C196" s="10" t="s">
        <v>1459</v>
      </c>
      <c r="D196" s="184" t="s">
        <v>1386</v>
      </c>
      <c r="E196" s="184" t="s">
        <v>199</v>
      </c>
      <c r="F196" s="184" t="s">
        <v>1387</v>
      </c>
      <c r="G196" s="173">
        <v>10628.01</v>
      </c>
    </row>
    <row r="197" spans="2:7" x14ac:dyDescent="0.3">
      <c r="B197" s="7" t="s">
        <v>175</v>
      </c>
      <c r="C197" s="8" t="s">
        <v>261</v>
      </c>
      <c r="D197" s="187">
        <v>46050</v>
      </c>
      <c r="E197" s="189" t="s">
        <v>199</v>
      </c>
      <c r="F197" s="183">
        <v>46381</v>
      </c>
      <c r="G197" s="172">
        <v>10584.779999999999</v>
      </c>
    </row>
    <row r="198" spans="2:7" x14ac:dyDescent="0.3">
      <c r="B198" s="141" t="s">
        <v>1223</v>
      </c>
      <c r="C198" s="10" t="s">
        <v>1202</v>
      </c>
      <c r="D198" s="184" t="s">
        <v>1597</v>
      </c>
      <c r="E198" s="184"/>
      <c r="F198" s="184" t="s">
        <v>1387</v>
      </c>
      <c r="G198" s="173">
        <v>10489.07</v>
      </c>
    </row>
    <row r="199" spans="2:7" x14ac:dyDescent="0.3">
      <c r="B199" s="141">
        <v>9502</v>
      </c>
      <c r="C199" s="10" t="s">
        <v>1188</v>
      </c>
      <c r="D199" s="184" t="s">
        <v>1597</v>
      </c>
      <c r="E199" s="184"/>
      <c r="F199" s="184" t="s">
        <v>1387</v>
      </c>
      <c r="G199" s="173">
        <v>10469.58</v>
      </c>
    </row>
    <row r="200" spans="2:7" x14ac:dyDescent="0.3">
      <c r="B200" s="7">
        <v>3008</v>
      </c>
      <c r="C200" s="8" t="s">
        <v>262</v>
      </c>
      <c r="D200" s="187">
        <v>46050</v>
      </c>
      <c r="E200" s="189"/>
      <c r="F200" s="183">
        <v>46381</v>
      </c>
      <c r="G200" s="172">
        <v>10468.01</v>
      </c>
    </row>
    <row r="201" spans="2:7" x14ac:dyDescent="0.3">
      <c r="B201" s="141">
        <v>3008</v>
      </c>
      <c r="C201" s="10" t="s">
        <v>262</v>
      </c>
      <c r="D201" s="184" t="s">
        <v>1597</v>
      </c>
      <c r="E201" s="184"/>
      <c r="F201" s="184" t="s">
        <v>1387</v>
      </c>
      <c r="G201" s="173">
        <v>10468.01</v>
      </c>
    </row>
    <row r="202" spans="2:7" x14ac:dyDescent="0.3">
      <c r="B202" s="141" t="s">
        <v>826</v>
      </c>
      <c r="C202" s="10" t="s">
        <v>1033</v>
      </c>
      <c r="D202" s="184" t="s">
        <v>981</v>
      </c>
      <c r="E202" s="184" t="s">
        <v>203</v>
      </c>
      <c r="F202" s="184" t="s">
        <v>982</v>
      </c>
      <c r="G202" s="173">
        <v>9832.09</v>
      </c>
    </row>
    <row r="203" spans="2:7" x14ac:dyDescent="0.3">
      <c r="B203" s="141">
        <v>9021</v>
      </c>
      <c r="C203" s="10" t="s">
        <v>1358</v>
      </c>
      <c r="D203" s="184" t="s">
        <v>1386</v>
      </c>
      <c r="E203" s="184"/>
      <c r="F203" s="184" t="s">
        <v>1387</v>
      </c>
      <c r="G203" s="173">
        <v>9813.2900000000009</v>
      </c>
    </row>
    <row r="204" spans="2:7" x14ac:dyDescent="0.3">
      <c r="B204" s="141" t="s">
        <v>1034</v>
      </c>
      <c r="C204" s="10" t="s">
        <v>1035</v>
      </c>
      <c r="D204" s="184" t="s">
        <v>981</v>
      </c>
      <c r="E204" s="184"/>
      <c r="F204" s="184" t="s">
        <v>982</v>
      </c>
      <c r="G204" s="173">
        <v>9750.32</v>
      </c>
    </row>
    <row r="205" spans="2:7" x14ac:dyDescent="0.3">
      <c r="B205" s="7" t="s">
        <v>174</v>
      </c>
      <c r="C205" s="8" t="s">
        <v>263</v>
      </c>
      <c r="D205" s="187">
        <v>46050</v>
      </c>
      <c r="E205" s="189" t="s">
        <v>199</v>
      </c>
      <c r="F205" s="183">
        <v>46351</v>
      </c>
      <c r="G205" s="172">
        <v>9673.75</v>
      </c>
    </row>
    <row r="206" spans="2:7" x14ac:dyDescent="0.3">
      <c r="B206" s="7" t="s">
        <v>173</v>
      </c>
      <c r="C206" s="8" t="s">
        <v>264</v>
      </c>
      <c r="D206" s="187">
        <v>46050</v>
      </c>
      <c r="E206" s="189"/>
      <c r="F206" s="183">
        <v>46381</v>
      </c>
      <c r="G206" s="172">
        <v>9561.1</v>
      </c>
    </row>
    <row r="207" spans="2:7" x14ac:dyDescent="0.3">
      <c r="B207" s="141" t="s">
        <v>1036</v>
      </c>
      <c r="C207" s="10" t="s">
        <v>1037</v>
      </c>
      <c r="D207" s="184" t="s">
        <v>981</v>
      </c>
      <c r="E207" s="184"/>
      <c r="F207" s="184" t="s">
        <v>982</v>
      </c>
      <c r="G207" s="173">
        <v>9462.2999999999993</v>
      </c>
    </row>
    <row r="208" spans="2:7" x14ac:dyDescent="0.3">
      <c r="B208" s="141" t="s">
        <v>1144</v>
      </c>
      <c r="C208" s="10" t="s">
        <v>1620</v>
      </c>
      <c r="D208" s="184" t="s">
        <v>1597</v>
      </c>
      <c r="E208" s="184" t="s">
        <v>199</v>
      </c>
      <c r="F208" s="184" t="s">
        <v>1387</v>
      </c>
      <c r="G208" s="173">
        <v>9377.94</v>
      </c>
    </row>
    <row r="209" spans="2:7" x14ac:dyDescent="0.3">
      <c r="B209" s="141" t="s">
        <v>1038</v>
      </c>
      <c r="C209" s="10" t="s">
        <v>1039</v>
      </c>
      <c r="D209" s="184" t="s">
        <v>981</v>
      </c>
      <c r="E209" s="184"/>
      <c r="F209" s="184" t="s">
        <v>982</v>
      </c>
      <c r="G209" s="173">
        <v>9356.67</v>
      </c>
    </row>
    <row r="210" spans="2:7" x14ac:dyDescent="0.3">
      <c r="B210" s="141" t="s">
        <v>1040</v>
      </c>
      <c r="C210" s="10" t="s">
        <v>1041</v>
      </c>
      <c r="D210" s="184" t="s">
        <v>981</v>
      </c>
      <c r="E210" s="184"/>
      <c r="F210" s="184" t="s">
        <v>982</v>
      </c>
      <c r="G210" s="173">
        <v>9317.39</v>
      </c>
    </row>
    <row r="211" spans="2:7" x14ac:dyDescent="0.3">
      <c r="B211" s="141" t="s">
        <v>1460</v>
      </c>
      <c r="C211" s="10" t="s">
        <v>1461</v>
      </c>
      <c r="D211" s="184" t="s">
        <v>1386</v>
      </c>
      <c r="E211" s="184"/>
      <c r="F211" s="184" t="s">
        <v>1387</v>
      </c>
      <c r="G211" s="173">
        <v>9249.98</v>
      </c>
    </row>
    <row r="212" spans="2:7" x14ac:dyDescent="0.3">
      <c r="B212" s="141">
        <v>7735</v>
      </c>
      <c r="C212" s="10" t="s">
        <v>930</v>
      </c>
      <c r="D212" s="184" t="s">
        <v>981</v>
      </c>
      <c r="E212" s="184"/>
      <c r="F212" s="184" t="s">
        <v>982</v>
      </c>
      <c r="G212" s="173">
        <v>9209.1</v>
      </c>
    </row>
    <row r="213" spans="2:7" x14ac:dyDescent="0.3">
      <c r="B213" s="141" t="s">
        <v>1462</v>
      </c>
      <c r="C213" s="10" t="s">
        <v>1463</v>
      </c>
      <c r="D213" s="184" t="s">
        <v>1386</v>
      </c>
      <c r="E213" s="184"/>
      <c r="F213" s="184" t="s">
        <v>1387</v>
      </c>
      <c r="G213" s="173">
        <v>9059.1299999999992</v>
      </c>
    </row>
    <row r="214" spans="2:7" x14ac:dyDescent="0.3">
      <c r="B214" s="141" t="s">
        <v>1279</v>
      </c>
      <c r="C214" s="10" t="s">
        <v>1464</v>
      </c>
      <c r="D214" s="184" t="s">
        <v>1386</v>
      </c>
      <c r="E214" s="184" t="s">
        <v>199</v>
      </c>
      <c r="F214" s="184" t="s">
        <v>1387</v>
      </c>
      <c r="G214" s="173">
        <v>9054.5400000000009</v>
      </c>
    </row>
    <row r="215" spans="2:7" x14ac:dyDescent="0.3">
      <c r="B215" s="141">
        <v>9719</v>
      </c>
      <c r="C215" s="10" t="s">
        <v>849</v>
      </c>
      <c r="D215" s="184" t="s">
        <v>981</v>
      </c>
      <c r="E215" s="184"/>
      <c r="F215" s="184" t="s">
        <v>982</v>
      </c>
      <c r="G215" s="173">
        <v>8974.4599999999991</v>
      </c>
    </row>
    <row r="216" spans="2:7" x14ac:dyDescent="0.3">
      <c r="B216" s="141">
        <v>9202</v>
      </c>
      <c r="C216" s="10" t="s">
        <v>867</v>
      </c>
      <c r="D216" s="184" t="s">
        <v>981</v>
      </c>
      <c r="E216" s="184"/>
      <c r="F216" s="184" t="s">
        <v>982</v>
      </c>
      <c r="G216" s="173">
        <v>8964.9</v>
      </c>
    </row>
    <row r="217" spans="2:7" x14ac:dyDescent="0.3">
      <c r="B217" s="141" t="s">
        <v>1330</v>
      </c>
      <c r="C217" s="10" t="s">
        <v>1376</v>
      </c>
      <c r="D217" s="184" t="s">
        <v>1386</v>
      </c>
      <c r="E217" s="184"/>
      <c r="F217" s="184" t="s">
        <v>1387</v>
      </c>
      <c r="G217" s="173">
        <v>8944.35</v>
      </c>
    </row>
    <row r="218" spans="2:7" x14ac:dyDescent="0.3">
      <c r="B218" s="141">
        <v>9107</v>
      </c>
      <c r="C218" s="10" t="s">
        <v>1371</v>
      </c>
      <c r="D218" s="184" t="s">
        <v>1386</v>
      </c>
      <c r="E218" s="184"/>
      <c r="F218" s="184" t="s">
        <v>1387</v>
      </c>
      <c r="G218" s="173">
        <v>8872.0499999999993</v>
      </c>
    </row>
    <row r="219" spans="2:7" x14ac:dyDescent="0.3">
      <c r="B219" s="7" t="s">
        <v>171</v>
      </c>
      <c r="C219" s="8" t="s">
        <v>265</v>
      </c>
      <c r="D219" s="187">
        <v>46050</v>
      </c>
      <c r="E219" s="189" t="s">
        <v>199</v>
      </c>
      <c r="F219" s="183">
        <v>46381</v>
      </c>
      <c r="G219" s="172">
        <v>8865.9699999999993</v>
      </c>
    </row>
    <row r="220" spans="2:7" x14ac:dyDescent="0.3">
      <c r="B220" s="141" t="s">
        <v>1621</v>
      </c>
      <c r="C220" s="10" t="s">
        <v>1192</v>
      </c>
      <c r="D220" s="184" t="s">
        <v>1597</v>
      </c>
      <c r="E220" s="184"/>
      <c r="F220" s="184" t="s">
        <v>1387</v>
      </c>
      <c r="G220" s="173">
        <v>8797.68</v>
      </c>
    </row>
    <row r="221" spans="2:7" x14ac:dyDescent="0.3">
      <c r="B221" s="141">
        <v>4062</v>
      </c>
      <c r="C221" s="10" t="s">
        <v>1345</v>
      </c>
      <c r="D221" s="184" t="s">
        <v>1386</v>
      </c>
      <c r="E221" s="184"/>
      <c r="F221" s="184" t="s">
        <v>1387</v>
      </c>
      <c r="G221" s="173">
        <v>8731.1</v>
      </c>
    </row>
    <row r="222" spans="2:7" x14ac:dyDescent="0.3">
      <c r="B222" s="7" t="s">
        <v>266</v>
      </c>
      <c r="C222" s="8" t="s">
        <v>267</v>
      </c>
      <c r="D222" s="187">
        <v>46050</v>
      </c>
      <c r="E222" s="189"/>
      <c r="F222" s="183">
        <v>46381</v>
      </c>
      <c r="G222" s="172">
        <v>8501.16</v>
      </c>
    </row>
    <row r="223" spans="2:7" x14ac:dyDescent="0.3">
      <c r="B223" s="141" t="s">
        <v>1042</v>
      </c>
      <c r="C223" s="10" t="s">
        <v>1043</v>
      </c>
      <c r="D223" s="184" t="s">
        <v>981</v>
      </c>
      <c r="E223" s="184"/>
      <c r="F223" s="184" t="s">
        <v>982</v>
      </c>
      <c r="G223" s="173">
        <v>8468.98</v>
      </c>
    </row>
    <row r="224" spans="2:7" x14ac:dyDescent="0.3">
      <c r="B224" s="141" t="s">
        <v>1044</v>
      </c>
      <c r="C224" s="10" t="s">
        <v>1045</v>
      </c>
      <c r="D224" s="184" t="s">
        <v>981</v>
      </c>
      <c r="E224" s="184"/>
      <c r="F224" s="184" t="s">
        <v>982</v>
      </c>
      <c r="G224" s="173">
        <v>8373.4699999999993</v>
      </c>
    </row>
    <row r="225" spans="2:7" x14ac:dyDescent="0.3">
      <c r="B225" s="141" t="s">
        <v>1622</v>
      </c>
      <c r="C225" s="10" t="s">
        <v>1623</v>
      </c>
      <c r="D225" s="184" t="s">
        <v>1597</v>
      </c>
      <c r="E225" s="184"/>
      <c r="F225" s="184" t="s">
        <v>1387</v>
      </c>
      <c r="G225" s="173">
        <v>8355.8700000000008</v>
      </c>
    </row>
    <row r="226" spans="2:7" x14ac:dyDescent="0.3">
      <c r="B226" s="7" t="s">
        <v>169</v>
      </c>
      <c r="C226" s="8" t="s">
        <v>268</v>
      </c>
      <c r="D226" s="187">
        <v>46050</v>
      </c>
      <c r="E226" s="189"/>
      <c r="F226" s="183">
        <v>46381</v>
      </c>
      <c r="G226" s="172">
        <v>8337.65</v>
      </c>
    </row>
    <row r="227" spans="2:7" x14ac:dyDescent="0.3">
      <c r="B227" s="141" t="s">
        <v>1294</v>
      </c>
      <c r="C227" s="10" t="s">
        <v>1465</v>
      </c>
      <c r="D227" s="184" t="s">
        <v>1386</v>
      </c>
      <c r="E227" s="184" t="s">
        <v>199</v>
      </c>
      <c r="F227" s="184" t="s">
        <v>1387</v>
      </c>
      <c r="G227" s="173">
        <v>8258.15</v>
      </c>
    </row>
    <row r="228" spans="2:7" x14ac:dyDescent="0.3">
      <c r="B228" s="141">
        <v>526371</v>
      </c>
      <c r="C228" s="10" t="s">
        <v>1466</v>
      </c>
      <c r="D228" s="184" t="s">
        <v>1386</v>
      </c>
      <c r="E228" s="184"/>
      <c r="F228" s="184" t="s">
        <v>1387</v>
      </c>
      <c r="G228" s="173">
        <v>8195.49</v>
      </c>
    </row>
    <row r="229" spans="2:7" x14ac:dyDescent="0.3">
      <c r="B229" s="141">
        <v>3092</v>
      </c>
      <c r="C229" s="10" t="s">
        <v>876</v>
      </c>
      <c r="D229" s="184" t="s">
        <v>981</v>
      </c>
      <c r="E229" s="184"/>
      <c r="F229" s="184" t="s">
        <v>982</v>
      </c>
      <c r="G229" s="173">
        <v>8164.87</v>
      </c>
    </row>
    <row r="230" spans="2:7" x14ac:dyDescent="0.3">
      <c r="B230" s="141" t="s">
        <v>1046</v>
      </c>
      <c r="C230" s="10" t="s">
        <v>1047</v>
      </c>
      <c r="D230" s="184" t="s">
        <v>981</v>
      </c>
      <c r="E230" s="184"/>
      <c r="F230" s="184" t="s">
        <v>982</v>
      </c>
      <c r="G230" s="173">
        <v>8117.9</v>
      </c>
    </row>
    <row r="231" spans="2:7" x14ac:dyDescent="0.3">
      <c r="B231" s="141">
        <v>539437</v>
      </c>
      <c r="C231" s="10" t="s">
        <v>1048</v>
      </c>
      <c r="D231" s="184" t="s">
        <v>995</v>
      </c>
      <c r="E231" s="184"/>
      <c r="F231" s="184" t="s">
        <v>982</v>
      </c>
      <c r="G231" s="173">
        <v>8112.01</v>
      </c>
    </row>
    <row r="232" spans="2:7" x14ac:dyDescent="0.3">
      <c r="B232" s="7" t="s">
        <v>269</v>
      </c>
      <c r="C232" s="8" t="s">
        <v>270</v>
      </c>
      <c r="D232" s="187">
        <v>46050</v>
      </c>
      <c r="E232" s="189"/>
      <c r="F232" s="183">
        <v>46381</v>
      </c>
      <c r="G232" s="172">
        <v>7991.8099999999995</v>
      </c>
    </row>
    <row r="233" spans="2:7" x14ac:dyDescent="0.3">
      <c r="B233" s="141" t="s">
        <v>1260</v>
      </c>
      <c r="C233" s="10" t="s">
        <v>1467</v>
      </c>
      <c r="D233" s="184" t="s">
        <v>1386</v>
      </c>
      <c r="E233" s="184" t="s">
        <v>199</v>
      </c>
      <c r="F233" s="184" t="s">
        <v>1387</v>
      </c>
      <c r="G233" s="173">
        <v>7848.16</v>
      </c>
    </row>
    <row r="234" spans="2:7" x14ac:dyDescent="0.3">
      <c r="B234" s="7" t="s">
        <v>167</v>
      </c>
      <c r="C234" s="8" t="s">
        <v>271</v>
      </c>
      <c r="D234" s="187">
        <v>46050</v>
      </c>
      <c r="E234" s="189"/>
      <c r="F234" s="183">
        <v>46381</v>
      </c>
      <c r="G234" s="172">
        <v>7829.3499999999995</v>
      </c>
    </row>
    <row r="235" spans="2:7" x14ac:dyDescent="0.3">
      <c r="B235" s="141">
        <v>4768</v>
      </c>
      <c r="C235" s="10" t="s">
        <v>1170</v>
      </c>
      <c r="D235" s="184" t="s">
        <v>1597</v>
      </c>
      <c r="E235" s="184"/>
      <c r="F235" s="184" t="s">
        <v>1387</v>
      </c>
      <c r="G235" s="173">
        <v>7822.9</v>
      </c>
    </row>
    <row r="236" spans="2:7" x14ac:dyDescent="0.3">
      <c r="B236" s="7" t="s">
        <v>165</v>
      </c>
      <c r="C236" s="8" t="s">
        <v>272</v>
      </c>
      <c r="D236" s="187">
        <v>46050</v>
      </c>
      <c r="E236" s="189" t="s">
        <v>199</v>
      </c>
      <c r="F236" s="183">
        <v>46381</v>
      </c>
      <c r="G236" s="172">
        <v>7788.58</v>
      </c>
    </row>
    <row r="237" spans="2:7" x14ac:dyDescent="0.3">
      <c r="B237" s="141">
        <v>5334</v>
      </c>
      <c r="C237" s="10" t="s">
        <v>875</v>
      </c>
      <c r="D237" s="184" t="s">
        <v>981</v>
      </c>
      <c r="E237" s="184"/>
      <c r="F237" s="184" t="s">
        <v>982</v>
      </c>
      <c r="G237" s="173">
        <v>7778.27</v>
      </c>
    </row>
    <row r="238" spans="2:7" x14ac:dyDescent="0.3">
      <c r="B238" s="141">
        <v>6841</v>
      </c>
      <c r="C238" s="10" t="s">
        <v>1365</v>
      </c>
      <c r="D238" s="184" t="s">
        <v>1386</v>
      </c>
      <c r="E238" s="184"/>
      <c r="F238" s="184" t="s">
        <v>1387</v>
      </c>
      <c r="G238" s="173">
        <v>7756.23</v>
      </c>
    </row>
    <row r="239" spans="2:7" x14ac:dyDescent="0.3">
      <c r="B239" s="141" t="s">
        <v>820</v>
      </c>
      <c r="C239" s="10" t="s">
        <v>1049</v>
      </c>
      <c r="D239" s="184" t="s">
        <v>981</v>
      </c>
      <c r="E239" s="184"/>
      <c r="F239" s="184" t="s">
        <v>982</v>
      </c>
      <c r="G239" s="173">
        <v>7728.35</v>
      </c>
    </row>
    <row r="240" spans="2:7" x14ac:dyDescent="0.3">
      <c r="B240" s="141" t="s">
        <v>1468</v>
      </c>
      <c r="C240" s="10" t="s">
        <v>1469</v>
      </c>
      <c r="D240" s="184" t="s">
        <v>1386</v>
      </c>
      <c r="E240" s="184"/>
      <c r="F240" s="184" t="s">
        <v>1387</v>
      </c>
      <c r="G240" s="173">
        <v>7620.1</v>
      </c>
    </row>
    <row r="241" spans="2:7" x14ac:dyDescent="0.3">
      <c r="B241" s="141">
        <v>3064</v>
      </c>
      <c r="C241" s="10" t="s">
        <v>1351</v>
      </c>
      <c r="D241" s="184" t="s">
        <v>1386</v>
      </c>
      <c r="E241" s="184"/>
      <c r="F241" s="184" t="s">
        <v>1387</v>
      </c>
      <c r="G241" s="173">
        <v>7611.26</v>
      </c>
    </row>
    <row r="242" spans="2:7" x14ac:dyDescent="0.3">
      <c r="B242" s="7" t="s">
        <v>163</v>
      </c>
      <c r="C242" s="8" t="s">
        <v>273</v>
      </c>
      <c r="D242" s="187">
        <v>46050</v>
      </c>
      <c r="E242" s="189"/>
      <c r="F242" s="183">
        <v>46381</v>
      </c>
      <c r="G242" s="172">
        <v>7445.12</v>
      </c>
    </row>
    <row r="243" spans="2:7" x14ac:dyDescent="0.3">
      <c r="B243" s="141" t="s">
        <v>807</v>
      </c>
      <c r="C243" s="10" t="s">
        <v>1050</v>
      </c>
      <c r="D243" s="184" t="s">
        <v>981</v>
      </c>
      <c r="E243" s="184" t="s">
        <v>203</v>
      </c>
      <c r="F243" s="184" t="s">
        <v>982</v>
      </c>
      <c r="G243" s="173">
        <v>7377.17</v>
      </c>
    </row>
    <row r="244" spans="2:7" x14ac:dyDescent="0.3">
      <c r="B244" s="141" t="s">
        <v>1219</v>
      </c>
      <c r="C244" s="10" t="s">
        <v>1208</v>
      </c>
      <c r="D244" s="184" t="s">
        <v>1597</v>
      </c>
      <c r="E244" s="184"/>
      <c r="F244" s="184" t="s">
        <v>1387</v>
      </c>
      <c r="G244" s="173">
        <v>7374.71</v>
      </c>
    </row>
    <row r="245" spans="2:7" x14ac:dyDescent="0.3">
      <c r="B245" s="7" t="s">
        <v>161</v>
      </c>
      <c r="C245" s="8" t="s">
        <v>274</v>
      </c>
      <c r="D245" s="187">
        <v>46050</v>
      </c>
      <c r="E245" s="189" t="s">
        <v>203</v>
      </c>
      <c r="F245" s="183">
        <v>46381</v>
      </c>
      <c r="G245" s="172">
        <v>7361.25</v>
      </c>
    </row>
    <row r="246" spans="2:7" x14ac:dyDescent="0.3">
      <c r="B246" s="141" t="s">
        <v>1624</v>
      </c>
      <c r="C246" s="10" t="s">
        <v>1625</v>
      </c>
      <c r="D246" s="184" t="s">
        <v>1597</v>
      </c>
      <c r="E246" s="184"/>
      <c r="F246" s="184" t="s">
        <v>1387</v>
      </c>
      <c r="G246" s="173">
        <v>7252.37</v>
      </c>
    </row>
    <row r="247" spans="2:7" x14ac:dyDescent="0.3">
      <c r="B247" s="141">
        <v>512070</v>
      </c>
      <c r="C247" s="10" t="s">
        <v>1626</v>
      </c>
      <c r="D247" s="184" t="s">
        <v>1597</v>
      </c>
      <c r="E247" s="184"/>
      <c r="F247" s="184" t="s">
        <v>1387</v>
      </c>
      <c r="G247" s="173">
        <v>7248.48</v>
      </c>
    </row>
    <row r="248" spans="2:7" x14ac:dyDescent="0.3">
      <c r="B248" s="141" t="s">
        <v>1470</v>
      </c>
      <c r="C248" s="10" t="s">
        <v>1471</v>
      </c>
      <c r="D248" s="184" t="s">
        <v>1386</v>
      </c>
      <c r="E248" s="184"/>
      <c r="F248" s="184" t="s">
        <v>1387</v>
      </c>
      <c r="G248" s="173">
        <v>7235.32</v>
      </c>
    </row>
    <row r="249" spans="2:7" x14ac:dyDescent="0.3">
      <c r="B249" s="141" t="s">
        <v>1309</v>
      </c>
      <c r="C249" s="10" t="s">
        <v>1472</v>
      </c>
      <c r="D249" s="184" t="s">
        <v>1386</v>
      </c>
      <c r="E249" s="184" t="s">
        <v>203</v>
      </c>
      <c r="F249" s="184" t="s">
        <v>1387</v>
      </c>
      <c r="G249" s="173">
        <v>7014.36</v>
      </c>
    </row>
    <row r="250" spans="2:7" x14ac:dyDescent="0.3">
      <c r="B250" s="7">
        <v>503100</v>
      </c>
      <c r="C250" s="8" t="s">
        <v>275</v>
      </c>
      <c r="D250" s="187">
        <v>46050</v>
      </c>
      <c r="E250" s="189"/>
      <c r="F250" s="183">
        <v>46381</v>
      </c>
      <c r="G250" s="172">
        <v>6987.71</v>
      </c>
    </row>
    <row r="251" spans="2:7" x14ac:dyDescent="0.3">
      <c r="B251" s="141" t="s">
        <v>816</v>
      </c>
      <c r="C251" s="10" t="s">
        <v>1051</v>
      </c>
      <c r="D251" s="184" t="s">
        <v>981</v>
      </c>
      <c r="E251" s="184"/>
      <c r="F251" s="184" t="s">
        <v>982</v>
      </c>
      <c r="G251" s="173">
        <v>6924.5</v>
      </c>
    </row>
    <row r="252" spans="2:7" x14ac:dyDescent="0.3">
      <c r="B252" s="141">
        <v>8331</v>
      </c>
      <c r="C252" s="10" t="s">
        <v>1164</v>
      </c>
      <c r="D252" s="184" t="s">
        <v>1597</v>
      </c>
      <c r="E252" s="184"/>
      <c r="F252" s="184" t="s">
        <v>1387</v>
      </c>
      <c r="G252" s="173">
        <v>6921.95</v>
      </c>
    </row>
    <row r="253" spans="2:7" x14ac:dyDescent="0.3">
      <c r="B253" s="141" t="s">
        <v>1272</v>
      </c>
      <c r="C253" s="10" t="s">
        <v>1473</v>
      </c>
      <c r="D253" s="184" t="s">
        <v>1386</v>
      </c>
      <c r="E253" s="184" t="s">
        <v>199</v>
      </c>
      <c r="F253" s="184" t="s">
        <v>1387</v>
      </c>
      <c r="G253" s="173">
        <v>6902.17</v>
      </c>
    </row>
    <row r="254" spans="2:7" x14ac:dyDescent="0.3">
      <c r="B254" s="7" t="s">
        <v>160</v>
      </c>
      <c r="C254" s="8" t="s">
        <v>276</v>
      </c>
      <c r="D254" s="187">
        <v>46050</v>
      </c>
      <c r="E254" s="189" t="s">
        <v>203</v>
      </c>
      <c r="F254" s="183">
        <v>46381</v>
      </c>
      <c r="G254" s="172">
        <v>6846.5499999999993</v>
      </c>
    </row>
    <row r="255" spans="2:7" x14ac:dyDescent="0.3">
      <c r="B255" s="141" t="s">
        <v>1052</v>
      </c>
      <c r="C255" s="10" t="s">
        <v>1053</v>
      </c>
      <c r="D255" s="184" t="s">
        <v>981</v>
      </c>
      <c r="E255" s="184"/>
      <c r="F255" s="184" t="s">
        <v>982</v>
      </c>
      <c r="G255" s="173">
        <v>6819.37</v>
      </c>
    </row>
    <row r="256" spans="2:7" x14ac:dyDescent="0.3">
      <c r="B256" s="7">
        <v>1942</v>
      </c>
      <c r="C256" s="8" t="s">
        <v>277</v>
      </c>
      <c r="D256" s="187">
        <v>46050</v>
      </c>
      <c r="E256" s="189"/>
      <c r="F256" s="183">
        <v>46381</v>
      </c>
      <c r="G256" s="172">
        <v>6797.32</v>
      </c>
    </row>
    <row r="257" spans="2:7" x14ac:dyDescent="0.3">
      <c r="B257" s="7" t="s">
        <v>158</v>
      </c>
      <c r="C257" s="8" t="s">
        <v>278</v>
      </c>
      <c r="D257" s="187">
        <v>46050</v>
      </c>
      <c r="E257" s="189" t="s">
        <v>203</v>
      </c>
      <c r="F257" s="183">
        <v>46381</v>
      </c>
      <c r="G257" s="172">
        <v>6736.65</v>
      </c>
    </row>
    <row r="258" spans="2:7" x14ac:dyDescent="0.3">
      <c r="B258" s="141" t="s">
        <v>840</v>
      </c>
      <c r="C258" s="10" t="s">
        <v>1054</v>
      </c>
      <c r="D258" s="184" t="s">
        <v>981</v>
      </c>
      <c r="E258" s="184" t="s">
        <v>203</v>
      </c>
      <c r="F258" s="184" t="s">
        <v>982</v>
      </c>
      <c r="G258" s="173">
        <v>6720.31</v>
      </c>
    </row>
    <row r="259" spans="2:7" x14ac:dyDescent="0.3">
      <c r="B259" s="141" t="s">
        <v>1218</v>
      </c>
      <c r="C259" s="10" t="s">
        <v>1198</v>
      </c>
      <c r="D259" s="184" t="s">
        <v>1597</v>
      </c>
      <c r="E259" s="184"/>
      <c r="F259" s="184" t="s">
        <v>1387</v>
      </c>
      <c r="G259" s="173">
        <v>6622.39</v>
      </c>
    </row>
    <row r="260" spans="2:7" x14ac:dyDescent="0.3">
      <c r="B260" s="141" t="s">
        <v>1156</v>
      </c>
      <c r="C260" s="10" t="s">
        <v>1627</v>
      </c>
      <c r="D260" s="184" t="s">
        <v>1597</v>
      </c>
      <c r="E260" s="184" t="s">
        <v>199</v>
      </c>
      <c r="F260" s="184" t="s">
        <v>1387</v>
      </c>
      <c r="G260" s="173">
        <v>6613.78</v>
      </c>
    </row>
    <row r="261" spans="2:7" x14ac:dyDescent="0.3">
      <c r="B261" s="141" t="s">
        <v>1474</v>
      </c>
      <c r="C261" s="10" t="s">
        <v>1475</v>
      </c>
      <c r="D261" s="184" t="s">
        <v>1386</v>
      </c>
      <c r="E261" s="184"/>
      <c r="F261" s="184" t="s">
        <v>1387</v>
      </c>
      <c r="G261" s="173">
        <v>6581.6</v>
      </c>
    </row>
    <row r="262" spans="2:7" x14ac:dyDescent="0.3">
      <c r="B262" s="141">
        <v>4030</v>
      </c>
      <c r="C262" s="10" t="s">
        <v>1628</v>
      </c>
      <c r="D262" s="184" t="s">
        <v>1597</v>
      </c>
      <c r="E262" s="184"/>
      <c r="F262" s="184" t="s">
        <v>1387</v>
      </c>
      <c r="G262" s="173">
        <v>6555.59</v>
      </c>
    </row>
    <row r="263" spans="2:7" x14ac:dyDescent="0.3">
      <c r="B263" s="141" t="s">
        <v>1476</v>
      </c>
      <c r="C263" s="10" t="s">
        <v>1477</v>
      </c>
      <c r="D263" s="184" t="s">
        <v>1386</v>
      </c>
      <c r="E263" s="184"/>
      <c r="F263" s="184" t="s">
        <v>1387</v>
      </c>
      <c r="G263" s="173">
        <v>6455.71</v>
      </c>
    </row>
    <row r="264" spans="2:7" x14ac:dyDescent="0.3">
      <c r="B264" s="141" t="s">
        <v>1270</v>
      </c>
      <c r="C264" s="10" t="s">
        <v>1478</v>
      </c>
      <c r="D264" s="184" t="s">
        <v>1386</v>
      </c>
      <c r="E264" s="184" t="s">
        <v>199</v>
      </c>
      <c r="F264" s="184" t="s">
        <v>1387</v>
      </c>
      <c r="G264" s="173">
        <v>6422.19</v>
      </c>
    </row>
    <row r="265" spans="2:7" x14ac:dyDescent="0.3">
      <c r="B265" s="141" t="s">
        <v>1239</v>
      </c>
      <c r="C265" s="10" t="s">
        <v>1479</v>
      </c>
      <c r="D265" s="184" t="s">
        <v>1386</v>
      </c>
      <c r="E265" s="184" t="s">
        <v>203</v>
      </c>
      <c r="F265" s="184" t="s">
        <v>1387</v>
      </c>
      <c r="G265" s="173">
        <v>6362.07</v>
      </c>
    </row>
    <row r="266" spans="2:7" x14ac:dyDescent="0.3">
      <c r="B266" s="141">
        <v>5844</v>
      </c>
      <c r="C266" s="10" t="s">
        <v>866</v>
      </c>
      <c r="D266" s="184" t="s">
        <v>981</v>
      </c>
      <c r="E266" s="184"/>
      <c r="F266" s="184" t="s">
        <v>982</v>
      </c>
      <c r="G266" s="173">
        <v>6281.7</v>
      </c>
    </row>
    <row r="267" spans="2:7" x14ac:dyDescent="0.3">
      <c r="B267" s="141" t="s">
        <v>825</v>
      </c>
      <c r="C267" s="10" t="s">
        <v>1055</v>
      </c>
      <c r="D267" s="184" t="s">
        <v>995</v>
      </c>
      <c r="E267" s="184"/>
      <c r="F267" s="184" t="s">
        <v>982</v>
      </c>
      <c r="G267" s="173">
        <v>6280.78</v>
      </c>
    </row>
    <row r="268" spans="2:7" x14ac:dyDescent="0.3">
      <c r="B268" s="141" t="s">
        <v>1324</v>
      </c>
      <c r="C268" s="10" t="s">
        <v>1480</v>
      </c>
      <c r="D268" s="184" t="s">
        <v>1386</v>
      </c>
      <c r="E268" s="184" t="s">
        <v>203</v>
      </c>
      <c r="F268" s="184" t="s">
        <v>1387</v>
      </c>
      <c r="G268" s="173">
        <v>6179.29</v>
      </c>
    </row>
    <row r="269" spans="2:7" x14ac:dyDescent="0.3">
      <c r="B269" s="7" t="s">
        <v>157</v>
      </c>
      <c r="C269" s="8" t="s">
        <v>279</v>
      </c>
      <c r="D269" s="187">
        <v>46050</v>
      </c>
      <c r="E269" s="189" t="s">
        <v>199</v>
      </c>
      <c r="F269" s="183">
        <v>46381</v>
      </c>
      <c r="G269" s="172">
        <v>6101.79</v>
      </c>
    </row>
    <row r="270" spans="2:7" x14ac:dyDescent="0.3">
      <c r="B270" s="141">
        <v>9042</v>
      </c>
      <c r="C270" s="10" t="s">
        <v>889</v>
      </c>
      <c r="D270" s="184" t="s">
        <v>981</v>
      </c>
      <c r="E270" s="184"/>
      <c r="F270" s="184" t="s">
        <v>982</v>
      </c>
      <c r="G270" s="173">
        <v>6078.29</v>
      </c>
    </row>
    <row r="271" spans="2:7" x14ac:dyDescent="0.3">
      <c r="B271" s="141" t="s">
        <v>1271</v>
      </c>
      <c r="C271" s="10" t="s">
        <v>1481</v>
      </c>
      <c r="D271" s="184" t="s">
        <v>1386</v>
      </c>
      <c r="E271" s="184" t="s">
        <v>199</v>
      </c>
      <c r="F271" s="184" t="s">
        <v>1387</v>
      </c>
      <c r="G271" s="173">
        <v>6038.94</v>
      </c>
    </row>
    <row r="272" spans="2:7" x14ac:dyDescent="0.3">
      <c r="B272" s="141" t="s">
        <v>1056</v>
      </c>
      <c r="C272" s="10" t="s">
        <v>1057</v>
      </c>
      <c r="D272" s="184" t="s">
        <v>981</v>
      </c>
      <c r="E272" s="184"/>
      <c r="F272" s="184" t="s">
        <v>982</v>
      </c>
      <c r="G272" s="173">
        <v>5926.57</v>
      </c>
    </row>
    <row r="273" spans="2:7" x14ac:dyDescent="0.3">
      <c r="B273" s="141" t="s">
        <v>1058</v>
      </c>
      <c r="C273" s="10" t="s">
        <v>1059</v>
      </c>
      <c r="D273" s="184" t="s">
        <v>981</v>
      </c>
      <c r="E273" s="184"/>
      <c r="F273" s="184" t="s">
        <v>982</v>
      </c>
      <c r="G273" s="173">
        <v>5825.35</v>
      </c>
    </row>
    <row r="274" spans="2:7" x14ac:dyDescent="0.3">
      <c r="B274" s="7" t="s">
        <v>156</v>
      </c>
      <c r="C274" s="8" t="s">
        <v>280</v>
      </c>
      <c r="D274" s="187">
        <v>46050</v>
      </c>
      <c r="E274" s="189"/>
      <c r="F274" s="183">
        <v>46381</v>
      </c>
      <c r="G274" s="172">
        <v>5786.2699999999995</v>
      </c>
    </row>
    <row r="275" spans="2:7" x14ac:dyDescent="0.3">
      <c r="B275" s="141">
        <v>101</v>
      </c>
      <c r="C275" s="10" t="s">
        <v>1060</v>
      </c>
      <c r="D275" s="184" t="s">
        <v>981</v>
      </c>
      <c r="E275" s="184"/>
      <c r="F275" s="184" t="s">
        <v>982</v>
      </c>
      <c r="G275" s="173">
        <v>5607.92</v>
      </c>
    </row>
    <row r="276" spans="2:7" x14ac:dyDescent="0.3">
      <c r="B276" s="141" t="s">
        <v>1292</v>
      </c>
      <c r="C276" s="10" t="s">
        <v>1482</v>
      </c>
      <c r="D276" s="184" t="s">
        <v>1386</v>
      </c>
      <c r="E276" s="184" t="s">
        <v>199</v>
      </c>
      <c r="F276" s="184" t="s">
        <v>1387</v>
      </c>
      <c r="G276" s="173">
        <v>5526.05</v>
      </c>
    </row>
    <row r="277" spans="2:7" x14ac:dyDescent="0.3">
      <c r="B277" s="141" t="s">
        <v>1483</v>
      </c>
      <c r="C277" s="10" t="s">
        <v>1484</v>
      </c>
      <c r="D277" s="184" t="s">
        <v>1386</v>
      </c>
      <c r="E277" s="184" t="s">
        <v>199</v>
      </c>
      <c r="F277" s="184" t="s">
        <v>1387</v>
      </c>
      <c r="G277" s="173">
        <v>5435.06</v>
      </c>
    </row>
    <row r="278" spans="2:7" x14ac:dyDescent="0.3">
      <c r="B278" s="141">
        <v>500163</v>
      </c>
      <c r="C278" s="10" t="s">
        <v>1061</v>
      </c>
      <c r="D278" s="184" t="s">
        <v>981</v>
      </c>
      <c r="E278" s="184"/>
      <c r="F278" s="184" t="s">
        <v>982</v>
      </c>
      <c r="G278" s="173">
        <v>5303.29</v>
      </c>
    </row>
    <row r="279" spans="2:7" x14ac:dyDescent="0.3">
      <c r="B279" s="7" t="s">
        <v>110</v>
      </c>
      <c r="C279" s="8" t="s">
        <v>281</v>
      </c>
      <c r="D279" s="187">
        <v>46050</v>
      </c>
      <c r="E279" s="189" t="s">
        <v>203</v>
      </c>
      <c r="F279" s="183">
        <v>46381</v>
      </c>
      <c r="G279" s="172">
        <v>5217.04</v>
      </c>
    </row>
    <row r="280" spans="2:7" x14ac:dyDescent="0.3">
      <c r="B280" s="7">
        <v>502355</v>
      </c>
      <c r="C280" s="8" t="s">
        <v>282</v>
      </c>
      <c r="D280" s="187">
        <v>46050</v>
      </c>
      <c r="E280" s="189"/>
      <c r="F280" s="183">
        <v>46381</v>
      </c>
      <c r="G280" s="172">
        <v>5179.8899999999994</v>
      </c>
    </row>
    <row r="281" spans="2:7" x14ac:dyDescent="0.3">
      <c r="B281" s="7" t="s">
        <v>108</v>
      </c>
      <c r="C281" s="8" t="s">
        <v>283</v>
      </c>
      <c r="D281" s="187">
        <v>46050</v>
      </c>
      <c r="E281" s="189" t="s">
        <v>199</v>
      </c>
      <c r="F281" s="183">
        <v>46381</v>
      </c>
      <c r="G281" s="172">
        <v>5108.7699999999995</v>
      </c>
    </row>
    <row r="282" spans="2:7" x14ac:dyDescent="0.3">
      <c r="B282" s="141" t="s">
        <v>818</v>
      </c>
      <c r="C282" s="10" t="s">
        <v>1062</v>
      </c>
      <c r="D282" s="184" t="s">
        <v>981</v>
      </c>
      <c r="E282" s="184" t="s">
        <v>203</v>
      </c>
      <c r="F282" s="184" t="s">
        <v>982</v>
      </c>
      <c r="G282" s="173">
        <v>5101.37</v>
      </c>
    </row>
    <row r="283" spans="2:7" x14ac:dyDescent="0.3">
      <c r="B283" s="7">
        <v>3231</v>
      </c>
      <c r="C283" s="8" t="s">
        <v>284</v>
      </c>
      <c r="D283" s="187">
        <v>46050</v>
      </c>
      <c r="E283" s="189"/>
      <c r="F283" s="183">
        <v>46381</v>
      </c>
      <c r="G283" s="172">
        <v>5069.76</v>
      </c>
    </row>
    <row r="284" spans="2:7" x14ac:dyDescent="0.3">
      <c r="B284" s="7" t="s">
        <v>105</v>
      </c>
      <c r="C284" s="8" t="s">
        <v>285</v>
      </c>
      <c r="D284" s="187">
        <v>46050</v>
      </c>
      <c r="E284" s="189" t="s">
        <v>203</v>
      </c>
      <c r="F284" s="183">
        <v>46381</v>
      </c>
      <c r="G284" s="172">
        <v>5052.2699999999995</v>
      </c>
    </row>
    <row r="285" spans="2:7" x14ac:dyDescent="0.3">
      <c r="B285" s="141" t="s">
        <v>1296</v>
      </c>
      <c r="C285" s="10" t="s">
        <v>1485</v>
      </c>
      <c r="D285" s="184" t="s">
        <v>1386</v>
      </c>
      <c r="E285" s="184" t="s">
        <v>199</v>
      </c>
      <c r="F285" s="184" t="s">
        <v>1387</v>
      </c>
      <c r="G285" s="173">
        <v>4890.95</v>
      </c>
    </row>
    <row r="286" spans="2:7" x14ac:dyDescent="0.3">
      <c r="B286" s="141">
        <v>9064</v>
      </c>
      <c r="C286" s="10" t="s">
        <v>1175</v>
      </c>
      <c r="D286" s="184" t="s">
        <v>1597</v>
      </c>
      <c r="E286" s="184"/>
      <c r="F286" s="184" t="s">
        <v>1387</v>
      </c>
      <c r="G286" s="173">
        <v>4859.45</v>
      </c>
    </row>
    <row r="287" spans="2:7" x14ac:dyDescent="0.3">
      <c r="B287" s="141" t="s">
        <v>1240</v>
      </c>
      <c r="C287" s="10" t="s">
        <v>1486</v>
      </c>
      <c r="D287" s="184" t="s">
        <v>1386</v>
      </c>
      <c r="E287" s="184" t="s">
        <v>203</v>
      </c>
      <c r="F287" s="184" t="s">
        <v>1387</v>
      </c>
      <c r="G287" s="173">
        <v>4857.17</v>
      </c>
    </row>
    <row r="288" spans="2:7" x14ac:dyDescent="0.3">
      <c r="B288" s="141">
        <v>4506</v>
      </c>
      <c r="C288" s="10" t="s">
        <v>879</v>
      </c>
      <c r="D288" s="184" t="s">
        <v>981</v>
      </c>
      <c r="E288" s="184"/>
      <c r="F288" s="184" t="s">
        <v>982</v>
      </c>
      <c r="G288" s="173">
        <v>4835.17</v>
      </c>
    </row>
    <row r="289" spans="2:7" x14ac:dyDescent="0.3">
      <c r="B289" s="141" t="s">
        <v>1316</v>
      </c>
      <c r="C289" s="10" t="s">
        <v>1487</v>
      </c>
      <c r="D289" s="184" t="s">
        <v>1386</v>
      </c>
      <c r="E289" s="184" t="s">
        <v>199</v>
      </c>
      <c r="F289" s="184" t="s">
        <v>1387</v>
      </c>
      <c r="G289" s="173">
        <v>4811.63</v>
      </c>
    </row>
    <row r="290" spans="2:7" x14ac:dyDescent="0.3">
      <c r="B290" s="7" t="s">
        <v>286</v>
      </c>
      <c r="C290" s="8" t="s">
        <v>287</v>
      </c>
      <c r="D290" s="187">
        <v>46050</v>
      </c>
      <c r="E290" s="189"/>
      <c r="F290" s="183">
        <v>46381</v>
      </c>
      <c r="G290" s="172">
        <v>4780.8899999999994</v>
      </c>
    </row>
    <row r="291" spans="2:7" x14ac:dyDescent="0.3">
      <c r="B291" s="7" t="s">
        <v>72</v>
      </c>
      <c r="C291" s="8" t="s">
        <v>288</v>
      </c>
      <c r="D291" s="187">
        <v>46050</v>
      </c>
      <c r="E291" s="189" t="s">
        <v>199</v>
      </c>
      <c r="F291" s="183">
        <v>46381</v>
      </c>
      <c r="G291" s="172">
        <v>4774.9799999999996</v>
      </c>
    </row>
    <row r="292" spans="2:7" x14ac:dyDescent="0.3">
      <c r="B292" s="141">
        <v>8572</v>
      </c>
      <c r="C292" s="10" t="s">
        <v>882</v>
      </c>
      <c r="D292" s="184" t="s">
        <v>981</v>
      </c>
      <c r="E292" s="184"/>
      <c r="F292" s="184" t="s">
        <v>982</v>
      </c>
      <c r="G292" s="173">
        <v>4754.59</v>
      </c>
    </row>
    <row r="293" spans="2:7" x14ac:dyDescent="0.3">
      <c r="B293" s="141">
        <v>9508</v>
      </c>
      <c r="C293" s="10" t="s">
        <v>922</v>
      </c>
      <c r="D293" s="184" t="s">
        <v>981</v>
      </c>
      <c r="E293" s="184"/>
      <c r="F293" s="184" t="s">
        <v>982</v>
      </c>
      <c r="G293" s="173">
        <v>4746.0600000000004</v>
      </c>
    </row>
    <row r="294" spans="2:7" x14ac:dyDescent="0.3">
      <c r="B294" s="141">
        <v>500459</v>
      </c>
      <c r="C294" s="10" t="s">
        <v>1063</v>
      </c>
      <c r="D294" s="184" t="s">
        <v>981</v>
      </c>
      <c r="E294" s="184"/>
      <c r="F294" s="184" t="s">
        <v>982</v>
      </c>
      <c r="G294" s="173">
        <v>4729.0200000000004</v>
      </c>
    </row>
    <row r="295" spans="2:7" x14ac:dyDescent="0.3">
      <c r="B295" s="141" t="s">
        <v>1134</v>
      </c>
      <c r="C295" s="10" t="s">
        <v>1629</v>
      </c>
      <c r="D295" s="184" t="s">
        <v>1597</v>
      </c>
      <c r="E295" s="184"/>
      <c r="F295" s="184" t="s">
        <v>1387</v>
      </c>
      <c r="G295" s="173">
        <v>4719.21</v>
      </c>
    </row>
    <row r="296" spans="2:7" x14ac:dyDescent="0.3">
      <c r="B296" s="141" t="s">
        <v>1313</v>
      </c>
      <c r="C296" s="10" t="s">
        <v>1488</v>
      </c>
      <c r="D296" s="184" t="s">
        <v>1386</v>
      </c>
      <c r="E296" s="184" t="s">
        <v>199</v>
      </c>
      <c r="F296" s="184" t="s">
        <v>1387</v>
      </c>
      <c r="G296" s="173">
        <v>4715.25</v>
      </c>
    </row>
    <row r="297" spans="2:7" x14ac:dyDescent="0.3">
      <c r="B297" s="141" t="s">
        <v>1630</v>
      </c>
      <c r="C297" s="10" t="s">
        <v>1631</v>
      </c>
      <c r="D297" s="184" t="s">
        <v>1597</v>
      </c>
      <c r="E297" s="184"/>
      <c r="F297" s="184" t="s">
        <v>1387</v>
      </c>
      <c r="G297" s="173">
        <v>4689.63</v>
      </c>
    </row>
    <row r="298" spans="2:7" x14ac:dyDescent="0.3">
      <c r="B298" s="141" t="s">
        <v>1295</v>
      </c>
      <c r="C298" s="10" t="s">
        <v>1489</v>
      </c>
      <c r="D298" s="184" t="s">
        <v>1386</v>
      </c>
      <c r="E298" s="184" t="s">
        <v>203</v>
      </c>
      <c r="F298" s="184" t="s">
        <v>1387</v>
      </c>
      <c r="G298" s="173">
        <v>4639.4799999999996</v>
      </c>
    </row>
    <row r="299" spans="2:7" x14ac:dyDescent="0.3">
      <c r="B299" s="7" t="s">
        <v>289</v>
      </c>
      <c r="C299" s="8" t="s">
        <v>290</v>
      </c>
      <c r="D299" s="187">
        <v>46050</v>
      </c>
      <c r="E299" s="189" t="s">
        <v>203</v>
      </c>
      <c r="F299" s="183">
        <v>46381</v>
      </c>
      <c r="G299" s="172">
        <v>4631.21</v>
      </c>
    </row>
    <row r="300" spans="2:7" x14ac:dyDescent="0.3">
      <c r="B300" s="141" t="s">
        <v>1298</v>
      </c>
      <c r="C300" s="152" t="s">
        <v>1490</v>
      </c>
      <c r="D300" s="185" t="s">
        <v>1386</v>
      </c>
      <c r="E300" s="185" t="s">
        <v>203</v>
      </c>
      <c r="F300" s="185" t="s">
        <v>1387</v>
      </c>
      <c r="G300" s="173">
        <v>4630.4799999999996</v>
      </c>
    </row>
    <row r="301" spans="2:7" x14ac:dyDescent="0.3">
      <c r="B301" s="141" t="s">
        <v>1491</v>
      </c>
      <c r="C301" s="10" t="s">
        <v>1492</v>
      </c>
      <c r="D301" s="184" t="s">
        <v>1386</v>
      </c>
      <c r="E301" s="184"/>
      <c r="F301" s="184" t="s">
        <v>1387</v>
      </c>
      <c r="G301" s="173">
        <v>4624.5200000000004</v>
      </c>
    </row>
    <row r="302" spans="2:7" x14ac:dyDescent="0.3">
      <c r="B302" s="141" t="s">
        <v>1493</v>
      </c>
      <c r="C302" s="10" t="s">
        <v>1494</v>
      </c>
      <c r="D302" s="184" t="s">
        <v>1386</v>
      </c>
      <c r="E302" s="184"/>
      <c r="F302" s="184" t="s">
        <v>1387</v>
      </c>
      <c r="G302" s="173">
        <v>4621.54</v>
      </c>
    </row>
    <row r="303" spans="2:7" x14ac:dyDescent="0.3">
      <c r="B303" s="141">
        <v>4676</v>
      </c>
      <c r="C303" s="10" t="s">
        <v>1339</v>
      </c>
      <c r="D303" s="184" t="s">
        <v>1386</v>
      </c>
      <c r="E303" s="184"/>
      <c r="F303" s="184" t="s">
        <v>1387</v>
      </c>
      <c r="G303" s="173">
        <v>4595.72</v>
      </c>
    </row>
    <row r="304" spans="2:7" x14ac:dyDescent="0.3">
      <c r="B304" s="141" t="s">
        <v>1286</v>
      </c>
      <c r="C304" s="10" t="s">
        <v>1495</v>
      </c>
      <c r="D304" s="184" t="s">
        <v>1386</v>
      </c>
      <c r="E304" s="184" t="s">
        <v>199</v>
      </c>
      <c r="F304" s="184" t="s">
        <v>1387</v>
      </c>
      <c r="G304" s="173">
        <v>4587.62</v>
      </c>
    </row>
    <row r="305" spans="2:7" x14ac:dyDescent="0.3">
      <c r="B305" s="141" t="s">
        <v>819</v>
      </c>
      <c r="C305" s="10" t="s">
        <v>1064</v>
      </c>
      <c r="D305" s="184" t="s">
        <v>981</v>
      </c>
      <c r="E305" s="184"/>
      <c r="F305" s="184" t="s">
        <v>982</v>
      </c>
      <c r="G305" s="173">
        <v>4580</v>
      </c>
    </row>
    <row r="306" spans="2:7" x14ac:dyDescent="0.3">
      <c r="B306" s="141" t="s">
        <v>962</v>
      </c>
      <c r="C306" s="10" t="s">
        <v>963</v>
      </c>
      <c r="D306" s="184" t="s">
        <v>981</v>
      </c>
      <c r="E306" s="184"/>
      <c r="F306" s="184" t="s">
        <v>982</v>
      </c>
      <c r="G306" s="173">
        <v>4575.2700000000004</v>
      </c>
    </row>
    <row r="307" spans="2:7" x14ac:dyDescent="0.3">
      <c r="B307" s="141" t="s">
        <v>1155</v>
      </c>
      <c r="C307" s="10" t="s">
        <v>1632</v>
      </c>
      <c r="D307" s="184" t="s">
        <v>1597</v>
      </c>
      <c r="E307" s="184" t="s">
        <v>203</v>
      </c>
      <c r="F307" s="184" t="s">
        <v>1387</v>
      </c>
      <c r="G307" s="173">
        <v>4510.62</v>
      </c>
    </row>
    <row r="308" spans="2:7" x14ac:dyDescent="0.3">
      <c r="B308" s="7" t="s">
        <v>68</v>
      </c>
      <c r="C308" s="8" t="s">
        <v>291</v>
      </c>
      <c r="D308" s="187">
        <v>46050</v>
      </c>
      <c r="E308" s="189" t="s">
        <v>199</v>
      </c>
      <c r="F308" s="183">
        <v>46381</v>
      </c>
      <c r="G308" s="172">
        <v>4474.3499999999995</v>
      </c>
    </row>
    <row r="309" spans="2:7" x14ac:dyDescent="0.3">
      <c r="B309" s="141">
        <v>9009</v>
      </c>
      <c r="C309" s="10" t="s">
        <v>894</v>
      </c>
      <c r="D309" s="184" t="s">
        <v>981</v>
      </c>
      <c r="E309" s="184"/>
      <c r="F309" s="184" t="s">
        <v>982</v>
      </c>
      <c r="G309" s="173">
        <v>4465.49</v>
      </c>
    </row>
    <row r="310" spans="2:7" x14ac:dyDescent="0.3">
      <c r="B310" s="141">
        <v>1020</v>
      </c>
      <c r="C310" s="10" t="s">
        <v>1633</v>
      </c>
      <c r="D310" s="184" t="s">
        <v>1597</v>
      </c>
      <c r="E310" s="184"/>
      <c r="F310" s="184" t="s">
        <v>1387</v>
      </c>
      <c r="G310" s="173">
        <v>4441.07</v>
      </c>
    </row>
    <row r="311" spans="2:7" x14ac:dyDescent="0.3">
      <c r="B311" s="141">
        <v>2327</v>
      </c>
      <c r="C311" s="10" t="s">
        <v>864</v>
      </c>
      <c r="D311" s="184" t="s">
        <v>981</v>
      </c>
      <c r="E311" s="184"/>
      <c r="F311" s="184" t="s">
        <v>982</v>
      </c>
      <c r="G311" s="173">
        <v>4432.63</v>
      </c>
    </row>
    <row r="312" spans="2:7" x14ac:dyDescent="0.3">
      <c r="B312" s="7">
        <v>4190</v>
      </c>
      <c r="C312" s="8" t="s">
        <v>292</v>
      </c>
      <c r="D312" s="187">
        <v>46050</v>
      </c>
      <c r="E312" s="189"/>
      <c r="F312" s="183">
        <v>46381</v>
      </c>
      <c r="G312" s="172">
        <v>4428.21</v>
      </c>
    </row>
    <row r="313" spans="2:7" x14ac:dyDescent="0.3">
      <c r="B313" s="141">
        <v>513683</v>
      </c>
      <c r="C313" s="10" t="s">
        <v>1634</v>
      </c>
      <c r="D313" s="184" t="s">
        <v>1597</v>
      </c>
      <c r="E313" s="184"/>
      <c r="F313" s="184" t="s">
        <v>1387</v>
      </c>
      <c r="G313" s="173">
        <v>4420.93</v>
      </c>
    </row>
    <row r="314" spans="2:7" x14ac:dyDescent="0.3">
      <c r="B314" s="141" t="s">
        <v>1297</v>
      </c>
      <c r="C314" s="10" t="s">
        <v>1496</v>
      </c>
      <c r="D314" s="184" t="s">
        <v>1386</v>
      </c>
      <c r="E314" s="184" t="s">
        <v>203</v>
      </c>
      <c r="F314" s="184" t="s">
        <v>1387</v>
      </c>
      <c r="G314" s="173">
        <v>4408.01</v>
      </c>
    </row>
    <row r="315" spans="2:7" x14ac:dyDescent="0.3">
      <c r="B315" s="7">
        <v>8060</v>
      </c>
      <c r="C315" s="8" t="s">
        <v>293</v>
      </c>
      <c r="D315" s="187">
        <v>46050</v>
      </c>
      <c r="E315" s="189"/>
      <c r="F315" s="183">
        <v>46381</v>
      </c>
      <c r="G315" s="172">
        <v>4395.2699999999995</v>
      </c>
    </row>
    <row r="316" spans="2:7" x14ac:dyDescent="0.3">
      <c r="B316" s="141" t="s">
        <v>1278</v>
      </c>
      <c r="C316" s="10" t="s">
        <v>1497</v>
      </c>
      <c r="D316" s="184" t="s">
        <v>1386</v>
      </c>
      <c r="E316" s="184"/>
      <c r="F316" s="184" t="s">
        <v>1387</v>
      </c>
      <c r="G316" s="173">
        <v>4393.32</v>
      </c>
    </row>
    <row r="317" spans="2:7" x14ac:dyDescent="0.3">
      <c r="B317" s="7" t="s">
        <v>64</v>
      </c>
      <c r="C317" s="8" t="s">
        <v>294</v>
      </c>
      <c r="D317" s="187">
        <v>46050</v>
      </c>
      <c r="E317" s="189" t="s">
        <v>199</v>
      </c>
      <c r="F317" s="183">
        <v>46381</v>
      </c>
      <c r="G317" s="172">
        <v>4387.26</v>
      </c>
    </row>
    <row r="318" spans="2:7" x14ac:dyDescent="0.3">
      <c r="B318" s="7" t="s">
        <v>295</v>
      </c>
      <c r="C318" s="8" t="s">
        <v>296</v>
      </c>
      <c r="D318" s="187">
        <v>46050</v>
      </c>
      <c r="E318" s="189"/>
      <c r="F318" s="183">
        <v>46381</v>
      </c>
      <c r="G318" s="172">
        <v>4375.8</v>
      </c>
    </row>
    <row r="319" spans="2:7" x14ac:dyDescent="0.3">
      <c r="B319" s="141" t="s">
        <v>1245</v>
      </c>
      <c r="C319" s="10" t="s">
        <v>1498</v>
      </c>
      <c r="D319" s="184" t="s">
        <v>1386</v>
      </c>
      <c r="E319" s="184" t="s">
        <v>203</v>
      </c>
      <c r="F319" s="184" t="s">
        <v>1387</v>
      </c>
      <c r="G319" s="173">
        <v>4362.99</v>
      </c>
    </row>
    <row r="320" spans="2:7" x14ac:dyDescent="0.3">
      <c r="B320" s="141">
        <v>5332</v>
      </c>
      <c r="C320" s="10" t="s">
        <v>883</v>
      </c>
      <c r="D320" s="184" t="s">
        <v>981</v>
      </c>
      <c r="E320" s="184"/>
      <c r="F320" s="184" t="s">
        <v>982</v>
      </c>
      <c r="G320" s="173">
        <v>4354.8999999999996</v>
      </c>
    </row>
    <row r="321" spans="2:7" x14ac:dyDescent="0.3">
      <c r="B321" s="7" t="s">
        <v>62</v>
      </c>
      <c r="C321" s="8" t="s">
        <v>297</v>
      </c>
      <c r="D321" s="187">
        <v>46050</v>
      </c>
      <c r="E321" s="189" t="s">
        <v>199</v>
      </c>
      <c r="F321" s="183">
        <v>46381</v>
      </c>
      <c r="G321" s="172">
        <v>4346.1799999999994</v>
      </c>
    </row>
    <row r="322" spans="2:7" x14ac:dyDescent="0.3">
      <c r="B322" s="7" t="s">
        <v>60</v>
      </c>
      <c r="C322" s="8" t="s">
        <v>298</v>
      </c>
      <c r="D322" s="187">
        <v>46050</v>
      </c>
      <c r="E322" s="189" t="s">
        <v>203</v>
      </c>
      <c r="F322" s="183">
        <v>46381</v>
      </c>
      <c r="G322" s="172">
        <v>4328.38</v>
      </c>
    </row>
    <row r="323" spans="2:7" x14ac:dyDescent="0.3">
      <c r="B323" s="141">
        <v>2282</v>
      </c>
      <c r="C323" s="10" t="s">
        <v>1180</v>
      </c>
      <c r="D323" s="184" t="s">
        <v>1597</v>
      </c>
      <c r="E323" s="184"/>
      <c r="F323" s="184" t="s">
        <v>1387</v>
      </c>
      <c r="G323" s="173">
        <v>4140.0200000000004</v>
      </c>
    </row>
    <row r="324" spans="2:7" x14ac:dyDescent="0.3">
      <c r="B324" s="141">
        <v>9962</v>
      </c>
      <c r="C324" s="10" t="s">
        <v>869</v>
      </c>
      <c r="D324" s="184" t="s">
        <v>981</v>
      </c>
      <c r="E324" s="184"/>
      <c r="F324" s="184" t="s">
        <v>982</v>
      </c>
      <c r="G324" s="173">
        <v>4112.6099999999997</v>
      </c>
    </row>
    <row r="325" spans="2:7" x14ac:dyDescent="0.3">
      <c r="B325" s="141">
        <v>6806</v>
      </c>
      <c r="C325" s="10" t="s">
        <v>1363</v>
      </c>
      <c r="D325" s="184" t="s">
        <v>1386</v>
      </c>
      <c r="E325" s="184"/>
      <c r="F325" s="184" t="s">
        <v>1387</v>
      </c>
      <c r="G325" s="173">
        <v>4109.6099999999997</v>
      </c>
    </row>
    <row r="326" spans="2:7" x14ac:dyDescent="0.3">
      <c r="B326" s="7" t="s">
        <v>299</v>
      </c>
      <c r="C326" s="8" t="s">
        <v>300</v>
      </c>
      <c r="D326" s="187">
        <v>46050</v>
      </c>
      <c r="E326" s="189"/>
      <c r="F326" s="183">
        <v>46381</v>
      </c>
      <c r="G326" s="172">
        <v>4046.0899999999997</v>
      </c>
    </row>
    <row r="327" spans="2:7" x14ac:dyDescent="0.3">
      <c r="B327" s="7" t="s">
        <v>58</v>
      </c>
      <c r="C327" s="8" t="s">
        <v>301</v>
      </c>
      <c r="D327" s="187">
        <v>46050</v>
      </c>
      <c r="E327" s="189" t="s">
        <v>199</v>
      </c>
      <c r="F327" s="183">
        <v>46381</v>
      </c>
      <c r="G327" s="172">
        <v>4017.58</v>
      </c>
    </row>
    <row r="328" spans="2:7" x14ac:dyDescent="0.3">
      <c r="B328" s="141">
        <v>6724</v>
      </c>
      <c r="C328" s="10" t="s">
        <v>1366</v>
      </c>
      <c r="D328" s="184" t="s">
        <v>1386</v>
      </c>
      <c r="E328" s="184"/>
      <c r="F328" s="184" t="s">
        <v>1387</v>
      </c>
      <c r="G328" s="173">
        <v>3973.96</v>
      </c>
    </row>
    <row r="329" spans="2:7" x14ac:dyDescent="0.3">
      <c r="B329" s="141">
        <v>7276</v>
      </c>
      <c r="C329" s="10" t="s">
        <v>887</v>
      </c>
      <c r="D329" s="184" t="s">
        <v>981</v>
      </c>
      <c r="E329" s="184"/>
      <c r="F329" s="184" t="s">
        <v>982</v>
      </c>
      <c r="G329" s="173">
        <v>3919.28</v>
      </c>
    </row>
    <row r="330" spans="2:7" x14ac:dyDescent="0.3">
      <c r="B330" s="141" t="s">
        <v>1256</v>
      </c>
      <c r="C330" s="10" t="s">
        <v>1499</v>
      </c>
      <c r="D330" s="184" t="s">
        <v>1386</v>
      </c>
      <c r="E330" s="184" t="s">
        <v>199</v>
      </c>
      <c r="F330" s="184" t="s">
        <v>1387</v>
      </c>
      <c r="G330" s="173">
        <v>3907.12</v>
      </c>
    </row>
    <row r="331" spans="2:7" x14ac:dyDescent="0.3">
      <c r="B331" s="141" t="s">
        <v>1500</v>
      </c>
      <c r="C331" s="10" t="s">
        <v>1501</v>
      </c>
      <c r="D331" s="184" t="s">
        <v>1386</v>
      </c>
      <c r="E331" s="184"/>
      <c r="F331" s="184" t="s">
        <v>1387</v>
      </c>
      <c r="G331" s="173">
        <v>3883.82</v>
      </c>
    </row>
    <row r="332" spans="2:7" x14ac:dyDescent="0.3">
      <c r="B332" s="7" t="s">
        <v>302</v>
      </c>
      <c r="C332" s="8" t="s">
        <v>303</v>
      </c>
      <c r="D332" s="187">
        <v>46050</v>
      </c>
      <c r="E332" s="189"/>
      <c r="F332" s="183">
        <v>46381</v>
      </c>
      <c r="G332" s="172">
        <v>3868.5099999999998</v>
      </c>
    </row>
    <row r="333" spans="2:7" x14ac:dyDescent="0.3">
      <c r="B333" s="141" t="s">
        <v>966</v>
      </c>
      <c r="C333" s="10" t="s">
        <v>967</v>
      </c>
      <c r="D333" s="184" t="s">
        <v>981</v>
      </c>
      <c r="E333" s="184"/>
      <c r="F333" s="184" t="s">
        <v>982</v>
      </c>
      <c r="G333" s="173">
        <v>3831.88</v>
      </c>
    </row>
    <row r="334" spans="2:7" x14ac:dyDescent="0.3">
      <c r="B334" s="141">
        <v>2331</v>
      </c>
      <c r="C334" s="10" t="s">
        <v>1347</v>
      </c>
      <c r="D334" s="184" t="s">
        <v>1386</v>
      </c>
      <c r="E334" s="184"/>
      <c r="F334" s="184" t="s">
        <v>1387</v>
      </c>
      <c r="G334" s="173">
        <v>3774.18</v>
      </c>
    </row>
    <row r="335" spans="2:7" x14ac:dyDescent="0.3">
      <c r="B335" s="7" t="s">
        <v>304</v>
      </c>
      <c r="C335" s="8" t="s">
        <v>305</v>
      </c>
      <c r="D335" s="187">
        <v>46050</v>
      </c>
      <c r="E335" s="189"/>
      <c r="F335" s="183">
        <v>46381</v>
      </c>
      <c r="G335" s="172">
        <v>3765.94</v>
      </c>
    </row>
    <row r="336" spans="2:7" x14ac:dyDescent="0.3">
      <c r="B336" s="141" t="s">
        <v>1502</v>
      </c>
      <c r="C336" s="10" t="s">
        <v>1503</v>
      </c>
      <c r="D336" s="184" t="s">
        <v>1386</v>
      </c>
      <c r="E336" s="184"/>
      <c r="F336" s="184" t="s">
        <v>1387</v>
      </c>
      <c r="G336" s="173">
        <v>3759.66</v>
      </c>
    </row>
    <row r="337" spans="2:7" x14ac:dyDescent="0.3">
      <c r="B337" s="7" t="s">
        <v>306</v>
      </c>
      <c r="C337" s="8" t="s">
        <v>307</v>
      </c>
      <c r="D337" s="187">
        <v>46050</v>
      </c>
      <c r="E337" s="189"/>
      <c r="F337" s="183">
        <v>46381</v>
      </c>
      <c r="G337" s="172">
        <v>3722.98</v>
      </c>
    </row>
    <row r="338" spans="2:7" x14ac:dyDescent="0.3">
      <c r="B338" s="7" t="s">
        <v>57</v>
      </c>
      <c r="C338" s="8" t="s">
        <v>308</v>
      </c>
      <c r="D338" s="187">
        <v>46050</v>
      </c>
      <c r="E338" s="189"/>
      <c r="F338" s="183">
        <v>46381</v>
      </c>
      <c r="G338" s="172">
        <v>3712.81</v>
      </c>
    </row>
    <row r="339" spans="2:7" x14ac:dyDescent="0.3">
      <c r="B339" s="7" t="s">
        <v>56</v>
      </c>
      <c r="C339" s="8" t="s">
        <v>309</v>
      </c>
      <c r="D339" s="187">
        <v>46050</v>
      </c>
      <c r="E339" s="189"/>
      <c r="F339" s="183">
        <v>46381</v>
      </c>
      <c r="G339" s="172">
        <v>3687.49</v>
      </c>
    </row>
    <row r="340" spans="2:7" x14ac:dyDescent="0.3">
      <c r="B340" s="141" t="s">
        <v>56</v>
      </c>
      <c r="C340" s="10" t="s">
        <v>309</v>
      </c>
      <c r="D340" s="184" t="s">
        <v>981</v>
      </c>
      <c r="E340" s="184"/>
      <c r="F340" s="184" t="s">
        <v>982</v>
      </c>
      <c r="G340" s="173">
        <v>3687.49</v>
      </c>
    </row>
    <row r="341" spans="2:7" x14ac:dyDescent="0.3">
      <c r="B341" s="7" t="s">
        <v>55</v>
      </c>
      <c r="C341" s="8" t="s">
        <v>310</v>
      </c>
      <c r="D341" s="187">
        <v>46050</v>
      </c>
      <c r="E341" s="189" t="s">
        <v>199</v>
      </c>
      <c r="F341" s="183">
        <v>46381</v>
      </c>
      <c r="G341" s="172">
        <v>3665.48</v>
      </c>
    </row>
    <row r="342" spans="2:7" x14ac:dyDescent="0.3">
      <c r="B342" s="141" t="s">
        <v>1145</v>
      </c>
      <c r="C342" s="10" t="s">
        <v>1635</v>
      </c>
      <c r="D342" s="184" t="s">
        <v>1597</v>
      </c>
      <c r="E342" s="184"/>
      <c r="F342" s="184" t="s">
        <v>1387</v>
      </c>
      <c r="G342" s="173">
        <v>3627.74</v>
      </c>
    </row>
    <row r="343" spans="2:7" x14ac:dyDescent="0.3">
      <c r="B343" s="141" t="s">
        <v>1317</v>
      </c>
      <c r="C343" s="10" t="s">
        <v>1504</v>
      </c>
      <c r="D343" s="184" t="s">
        <v>1386</v>
      </c>
      <c r="E343" s="184" t="s">
        <v>199</v>
      </c>
      <c r="F343" s="184" t="s">
        <v>1387</v>
      </c>
      <c r="G343" s="173">
        <v>3625.15</v>
      </c>
    </row>
    <row r="344" spans="2:7" x14ac:dyDescent="0.3">
      <c r="B344" s="141" t="s">
        <v>950</v>
      </c>
      <c r="C344" s="10" t="s">
        <v>951</v>
      </c>
      <c r="D344" s="184" t="s">
        <v>981</v>
      </c>
      <c r="E344" s="184"/>
      <c r="F344" s="184" t="s">
        <v>982</v>
      </c>
      <c r="G344" s="173">
        <v>3620.66</v>
      </c>
    </row>
    <row r="345" spans="2:7" x14ac:dyDescent="0.3">
      <c r="B345" s="141">
        <v>9506</v>
      </c>
      <c r="C345" s="10" t="s">
        <v>926</v>
      </c>
      <c r="D345" s="184" t="s">
        <v>981</v>
      </c>
      <c r="E345" s="184"/>
      <c r="F345" s="184" t="s">
        <v>982</v>
      </c>
      <c r="G345" s="173">
        <v>3547.07</v>
      </c>
    </row>
    <row r="346" spans="2:7" x14ac:dyDescent="0.3">
      <c r="B346" s="141" t="s">
        <v>1287</v>
      </c>
      <c r="C346" s="10" t="s">
        <v>1505</v>
      </c>
      <c r="D346" s="184" t="s">
        <v>1386</v>
      </c>
      <c r="E346" s="184"/>
      <c r="F346" s="184" t="s">
        <v>1387</v>
      </c>
      <c r="G346" s="173">
        <v>3542.19</v>
      </c>
    </row>
    <row r="347" spans="2:7" x14ac:dyDescent="0.3">
      <c r="B347" s="141">
        <v>6473</v>
      </c>
      <c r="C347" s="10" t="s">
        <v>1355</v>
      </c>
      <c r="D347" s="184" t="s">
        <v>1386</v>
      </c>
      <c r="E347" s="184"/>
      <c r="F347" s="184" t="s">
        <v>1387</v>
      </c>
      <c r="G347" s="173">
        <v>3538.66</v>
      </c>
    </row>
    <row r="348" spans="2:7" x14ac:dyDescent="0.3">
      <c r="B348" s="141">
        <v>9513</v>
      </c>
      <c r="C348" s="10" t="s">
        <v>925</v>
      </c>
      <c r="D348" s="184" t="s">
        <v>981</v>
      </c>
      <c r="E348" s="184"/>
      <c r="F348" s="184" t="s">
        <v>982</v>
      </c>
      <c r="G348" s="173">
        <v>3534.53</v>
      </c>
    </row>
    <row r="349" spans="2:7" x14ac:dyDescent="0.3">
      <c r="B349" s="141" t="s">
        <v>1242</v>
      </c>
      <c r="C349" s="10" t="s">
        <v>1506</v>
      </c>
      <c r="D349" s="184" t="s">
        <v>1386</v>
      </c>
      <c r="E349" s="184" t="s">
        <v>199</v>
      </c>
      <c r="F349" s="184" t="s">
        <v>1387</v>
      </c>
      <c r="G349" s="173">
        <v>3522.84</v>
      </c>
    </row>
    <row r="350" spans="2:7" x14ac:dyDescent="0.3">
      <c r="B350" s="7" t="s">
        <v>53</v>
      </c>
      <c r="C350" s="8" t="s">
        <v>311</v>
      </c>
      <c r="D350" s="187">
        <v>46050</v>
      </c>
      <c r="E350" s="189" t="s">
        <v>203</v>
      </c>
      <c r="F350" s="183">
        <v>46381</v>
      </c>
      <c r="G350" s="172">
        <v>3521.16</v>
      </c>
    </row>
    <row r="351" spans="2:7" x14ac:dyDescent="0.3">
      <c r="B351" s="141">
        <v>8341</v>
      </c>
      <c r="C351" s="10" t="s">
        <v>855</v>
      </c>
      <c r="D351" s="184" t="s">
        <v>981</v>
      </c>
      <c r="E351" s="184"/>
      <c r="F351" s="184" t="s">
        <v>982</v>
      </c>
      <c r="G351" s="173">
        <v>3513.63</v>
      </c>
    </row>
    <row r="352" spans="2:7" x14ac:dyDescent="0.3">
      <c r="B352" s="141">
        <v>500086</v>
      </c>
      <c r="C352" s="10" t="s">
        <v>1065</v>
      </c>
      <c r="D352" s="184" t="s">
        <v>981</v>
      </c>
      <c r="E352" s="184"/>
      <c r="F352" s="184" t="s">
        <v>982</v>
      </c>
      <c r="G352" s="173">
        <v>3504.98</v>
      </c>
    </row>
    <row r="353" spans="2:7" x14ac:dyDescent="0.3">
      <c r="B353" s="141" t="s">
        <v>1636</v>
      </c>
      <c r="C353" s="10" t="s">
        <v>1204</v>
      </c>
      <c r="D353" s="184" t="s">
        <v>1597</v>
      </c>
      <c r="E353" s="184"/>
      <c r="F353" s="184" t="s">
        <v>1387</v>
      </c>
      <c r="G353" s="173">
        <v>3475.46</v>
      </c>
    </row>
    <row r="354" spans="2:7" x14ac:dyDescent="0.3">
      <c r="B354" s="141">
        <v>1959</v>
      </c>
      <c r="C354" s="10" t="s">
        <v>902</v>
      </c>
      <c r="D354" s="184" t="s">
        <v>981</v>
      </c>
      <c r="E354" s="184"/>
      <c r="F354" s="184" t="s">
        <v>982</v>
      </c>
      <c r="G354" s="173">
        <v>3449.45</v>
      </c>
    </row>
    <row r="355" spans="2:7" x14ac:dyDescent="0.3">
      <c r="B355" s="141" t="s">
        <v>1507</v>
      </c>
      <c r="C355" s="10" t="s">
        <v>1508</v>
      </c>
      <c r="D355" s="184" t="s">
        <v>1386</v>
      </c>
      <c r="E355" s="184"/>
      <c r="F355" s="184" t="s">
        <v>1387</v>
      </c>
      <c r="G355" s="173">
        <v>3446.95</v>
      </c>
    </row>
    <row r="356" spans="2:7" x14ac:dyDescent="0.3">
      <c r="B356" s="141">
        <v>2002</v>
      </c>
      <c r="C356" s="10" t="s">
        <v>898</v>
      </c>
      <c r="D356" s="184" t="s">
        <v>981</v>
      </c>
      <c r="E356" s="184"/>
      <c r="F356" s="184" t="s">
        <v>982</v>
      </c>
      <c r="G356" s="173">
        <v>3437.03</v>
      </c>
    </row>
    <row r="357" spans="2:7" x14ac:dyDescent="0.3">
      <c r="B357" s="141">
        <v>8377</v>
      </c>
      <c r="C357" s="10" t="s">
        <v>860</v>
      </c>
      <c r="D357" s="184" t="s">
        <v>981</v>
      </c>
      <c r="E357" s="184"/>
      <c r="F357" s="184" t="s">
        <v>982</v>
      </c>
      <c r="G357" s="173">
        <v>3410.19</v>
      </c>
    </row>
    <row r="358" spans="2:7" x14ac:dyDescent="0.3">
      <c r="B358" s="7" t="s">
        <v>51</v>
      </c>
      <c r="C358" s="8" t="s">
        <v>312</v>
      </c>
      <c r="D358" s="187">
        <v>46050</v>
      </c>
      <c r="E358" s="189" t="s">
        <v>199</v>
      </c>
      <c r="F358" s="183">
        <v>46381</v>
      </c>
      <c r="G358" s="172">
        <v>3379.2799999999997</v>
      </c>
    </row>
    <row r="359" spans="2:7" x14ac:dyDescent="0.3">
      <c r="B359" s="141">
        <v>4816</v>
      </c>
      <c r="C359" s="10" t="s">
        <v>920</v>
      </c>
      <c r="D359" s="184" t="s">
        <v>981</v>
      </c>
      <c r="E359" s="184"/>
      <c r="F359" s="184" t="s">
        <v>982</v>
      </c>
      <c r="G359" s="173">
        <v>3350.72</v>
      </c>
    </row>
    <row r="360" spans="2:7" x14ac:dyDescent="0.3">
      <c r="B360" s="141">
        <v>517174</v>
      </c>
      <c r="C360" s="10" t="s">
        <v>1637</v>
      </c>
      <c r="D360" s="184" t="s">
        <v>1597</v>
      </c>
      <c r="E360" s="184"/>
      <c r="F360" s="184" t="s">
        <v>1387</v>
      </c>
      <c r="G360" s="173">
        <v>3347.41</v>
      </c>
    </row>
    <row r="361" spans="2:7" x14ac:dyDescent="0.3">
      <c r="B361" s="141" t="s">
        <v>938</v>
      </c>
      <c r="C361" s="10" t="s">
        <v>939</v>
      </c>
      <c r="D361" s="184" t="s">
        <v>981</v>
      </c>
      <c r="E361" s="184"/>
      <c r="F361" s="184" t="s">
        <v>982</v>
      </c>
      <c r="G361" s="173">
        <v>3283.4</v>
      </c>
    </row>
    <row r="362" spans="2:7" x14ac:dyDescent="0.3">
      <c r="B362" s="141" t="s">
        <v>968</v>
      </c>
      <c r="C362" s="10" t="s">
        <v>969</v>
      </c>
      <c r="D362" s="184" t="s">
        <v>981</v>
      </c>
      <c r="E362" s="184"/>
      <c r="F362" s="184" t="s">
        <v>982</v>
      </c>
      <c r="G362" s="173">
        <v>3251.46</v>
      </c>
    </row>
    <row r="363" spans="2:7" x14ac:dyDescent="0.3">
      <c r="B363" s="141" t="s">
        <v>964</v>
      </c>
      <c r="C363" s="10" t="s">
        <v>965</v>
      </c>
      <c r="D363" s="184" t="s">
        <v>981</v>
      </c>
      <c r="E363" s="184"/>
      <c r="F363" s="184" t="s">
        <v>982</v>
      </c>
      <c r="G363" s="173">
        <v>3169.27</v>
      </c>
    </row>
    <row r="364" spans="2:7" x14ac:dyDescent="0.3">
      <c r="B364" s="141" t="s">
        <v>1638</v>
      </c>
      <c r="C364" s="10" t="s">
        <v>1639</v>
      </c>
      <c r="D364" s="184" t="s">
        <v>1597</v>
      </c>
      <c r="E364" s="184"/>
      <c r="F364" s="184" t="s">
        <v>1387</v>
      </c>
      <c r="G364" s="173">
        <v>3159.66</v>
      </c>
    </row>
    <row r="365" spans="2:7" x14ac:dyDescent="0.3">
      <c r="B365" s="7" t="s">
        <v>70</v>
      </c>
      <c r="C365" s="8" t="s">
        <v>313</v>
      </c>
      <c r="D365" s="187">
        <v>46050</v>
      </c>
      <c r="E365" s="189"/>
      <c r="F365" s="183">
        <v>46381</v>
      </c>
      <c r="G365" s="172">
        <v>3144.44</v>
      </c>
    </row>
    <row r="366" spans="2:7" x14ac:dyDescent="0.3">
      <c r="B366" s="7" t="s">
        <v>49</v>
      </c>
      <c r="C366" s="8" t="s">
        <v>314</v>
      </c>
      <c r="D366" s="187">
        <v>46050</v>
      </c>
      <c r="E366" s="189"/>
      <c r="F366" s="183">
        <v>46381</v>
      </c>
      <c r="G366" s="172">
        <v>3141.47</v>
      </c>
    </row>
    <row r="367" spans="2:7" x14ac:dyDescent="0.3">
      <c r="B367" s="141" t="s">
        <v>1228</v>
      </c>
      <c r="C367" s="10" t="s">
        <v>1509</v>
      </c>
      <c r="D367" s="184" t="s">
        <v>1386</v>
      </c>
      <c r="E367" s="184" t="s">
        <v>199</v>
      </c>
      <c r="F367" s="184" t="s">
        <v>1387</v>
      </c>
      <c r="G367" s="173">
        <v>3136.35</v>
      </c>
    </row>
    <row r="368" spans="2:7" x14ac:dyDescent="0.3">
      <c r="B368" s="141" t="s">
        <v>1640</v>
      </c>
      <c r="C368" s="10" t="s">
        <v>1641</v>
      </c>
      <c r="D368" s="184" t="s">
        <v>1597</v>
      </c>
      <c r="E368" s="184"/>
      <c r="F368" s="184" t="s">
        <v>1387</v>
      </c>
      <c r="G368" s="173">
        <v>3121.23</v>
      </c>
    </row>
    <row r="369" spans="2:7" x14ac:dyDescent="0.3">
      <c r="B369" s="141" t="s">
        <v>1642</v>
      </c>
      <c r="C369" s="10" t="s">
        <v>1643</v>
      </c>
      <c r="D369" s="184" t="s">
        <v>1597</v>
      </c>
      <c r="E369" s="184"/>
      <c r="F369" s="184" t="s">
        <v>1387</v>
      </c>
      <c r="G369" s="173">
        <v>3120.35</v>
      </c>
    </row>
    <row r="370" spans="2:7" x14ac:dyDescent="0.3">
      <c r="B370" s="7" t="s">
        <v>45</v>
      </c>
      <c r="C370" s="8" t="s">
        <v>315</v>
      </c>
      <c r="D370" s="187">
        <v>46050</v>
      </c>
      <c r="E370" s="189" t="s">
        <v>199</v>
      </c>
      <c r="F370" s="183">
        <v>46381</v>
      </c>
      <c r="G370" s="172">
        <v>3119.48</v>
      </c>
    </row>
    <row r="371" spans="2:7" x14ac:dyDescent="0.3">
      <c r="B371" s="141" t="s">
        <v>1159</v>
      </c>
      <c r="C371" s="10" t="s">
        <v>1644</v>
      </c>
      <c r="D371" s="184" t="s">
        <v>1597</v>
      </c>
      <c r="E371" s="184" t="s">
        <v>203</v>
      </c>
      <c r="F371" s="184" t="s">
        <v>1387</v>
      </c>
      <c r="G371" s="173">
        <v>3105.39</v>
      </c>
    </row>
    <row r="372" spans="2:7" x14ac:dyDescent="0.3">
      <c r="B372" s="7" t="s">
        <v>44</v>
      </c>
      <c r="C372" s="8" t="s">
        <v>316</v>
      </c>
      <c r="D372" s="187">
        <v>46050</v>
      </c>
      <c r="E372" s="189"/>
      <c r="F372" s="183">
        <v>46381</v>
      </c>
      <c r="G372" s="172">
        <v>3066.33</v>
      </c>
    </row>
    <row r="373" spans="2:7" x14ac:dyDescent="0.3">
      <c r="B373" s="141" t="s">
        <v>822</v>
      </c>
      <c r="C373" s="10" t="s">
        <v>1066</v>
      </c>
      <c r="D373" s="184" t="s">
        <v>981</v>
      </c>
      <c r="E373" s="184" t="s">
        <v>203</v>
      </c>
      <c r="F373" s="184" t="s">
        <v>982</v>
      </c>
      <c r="G373" s="173">
        <v>3065.77</v>
      </c>
    </row>
    <row r="374" spans="2:7" x14ac:dyDescent="0.3">
      <c r="B374" s="141">
        <v>6471</v>
      </c>
      <c r="C374" s="10" t="s">
        <v>1341</v>
      </c>
      <c r="D374" s="184" t="s">
        <v>1386</v>
      </c>
      <c r="E374" s="184"/>
      <c r="F374" s="184" t="s">
        <v>1387</v>
      </c>
      <c r="G374" s="173">
        <v>2996.68</v>
      </c>
    </row>
    <row r="375" spans="2:7" x14ac:dyDescent="0.3">
      <c r="B375" s="141" t="s">
        <v>1325</v>
      </c>
      <c r="C375" s="10" t="s">
        <v>1510</v>
      </c>
      <c r="D375" s="184" t="s">
        <v>1386</v>
      </c>
      <c r="E375" s="184" t="s">
        <v>199</v>
      </c>
      <c r="F375" s="184" t="s">
        <v>1387</v>
      </c>
      <c r="G375" s="173">
        <v>2989.69</v>
      </c>
    </row>
    <row r="376" spans="2:7" x14ac:dyDescent="0.3">
      <c r="B376" s="7" t="s">
        <v>317</v>
      </c>
      <c r="C376" s="8" t="s">
        <v>318</v>
      </c>
      <c r="D376" s="187">
        <v>46050</v>
      </c>
      <c r="E376" s="189"/>
      <c r="F376" s="183">
        <v>46290</v>
      </c>
      <c r="G376" s="172">
        <v>2970.08</v>
      </c>
    </row>
    <row r="377" spans="2:7" x14ac:dyDescent="0.3">
      <c r="B377" s="141" t="s">
        <v>317</v>
      </c>
      <c r="C377" s="10" t="s">
        <v>318</v>
      </c>
      <c r="D377" s="184" t="s">
        <v>981</v>
      </c>
      <c r="E377" s="184"/>
      <c r="F377" s="184" t="s">
        <v>1067</v>
      </c>
      <c r="G377" s="173">
        <v>2970.08</v>
      </c>
    </row>
    <row r="378" spans="2:7" ht="17.25" thickBot="1" x14ac:dyDescent="0.35">
      <c r="B378" s="176" t="s">
        <v>43</v>
      </c>
      <c r="C378" s="177" t="s">
        <v>319</v>
      </c>
      <c r="D378" s="188">
        <v>46050</v>
      </c>
      <c r="E378" s="190"/>
      <c r="F378" s="186">
        <v>46381</v>
      </c>
      <c r="G378" s="179">
        <v>2968.47</v>
      </c>
    </row>
    <row r="379" spans="2:7" x14ac:dyDescent="0.3">
      <c r="B379" s="20">
        <v>2871</v>
      </c>
      <c r="C379" s="10" t="s">
        <v>1362</v>
      </c>
      <c r="D379" s="184" t="s">
        <v>1386</v>
      </c>
      <c r="E379" s="184"/>
      <c r="F379" s="184" t="s">
        <v>1387</v>
      </c>
      <c r="G379" s="63">
        <v>2942.66</v>
      </c>
    </row>
    <row r="380" spans="2:7" x14ac:dyDescent="0.3">
      <c r="B380" s="157" t="s">
        <v>952</v>
      </c>
      <c r="C380" s="10" t="s">
        <v>953</v>
      </c>
      <c r="D380" s="184" t="s">
        <v>981</v>
      </c>
      <c r="E380" s="184"/>
      <c r="F380" s="184" t="s">
        <v>982</v>
      </c>
      <c r="G380" s="88">
        <v>2937.28</v>
      </c>
    </row>
    <row r="381" spans="2:7" x14ac:dyDescent="0.3">
      <c r="B381" s="157" t="s">
        <v>808</v>
      </c>
      <c r="C381" s="10" t="s">
        <v>1068</v>
      </c>
      <c r="D381" s="184" t="s">
        <v>981</v>
      </c>
      <c r="E381" s="184"/>
      <c r="F381" s="184" t="s">
        <v>982</v>
      </c>
      <c r="G381" s="88">
        <v>2936.25</v>
      </c>
    </row>
    <row r="382" spans="2:7" x14ac:dyDescent="0.3">
      <c r="B382" s="175" t="s">
        <v>40</v>
      </c>
      <c r="C382" s="8" t="s">
        <v>320</v>
      </c>
      <c r="D382" s="187">
        <v>46050</v>
      </c>
      <c r="E382" s="189" t="s">
        <v>199</v>
      </c>
      <c r="F382" s="183">
        <v>46381</v>
      </c>
      <c r="G382" s="178">
        <v>2922.1299999999997</v>
      </c>
    </row>
    <row r="383" spans="2:7" x14ac:dyDescent="0.3">
      <c r="B383" s="20" t="s">
        <v>1311</v>
      </c>
      <c r="C383" s="10" t="s">
        <v>1511</v>
      </c>
      <c r="D383" s="184" t="s">
        <v>1386</v>
      </c>
      <c r="E383" s="184" t="s">
        <v>199</v>
      </c>
      <c r="F383" s="184" t="s">
        <v>1387</v>
      </c>
      <c r="G383" s="63">
        <v>2919.24</v>
      </c>
    </row>
    <row r="384" spans="2:7" x14ac:dyDescent="0.3">
      <c r="B384" s="20" t="s">
        <v>1246</v>
      </c>
      <c r="C384" s="10" t="s">
        <v>1512</v>
      </c>
      <c r="D384" s="184" t="s">
        <v>1386</v>
      </c>
      <c r="E384" s="184" t="s">
        <v>199</v>
      </c>
      <c r="F384" s="184" t="s">
        <v>1387</v>
      </c>
      <c r="G384" s="63">
        <v>2896.68</v>
      </c>
    </row>
    <row r="385" spans="2:7" x14ac:dyDescent="0.3">
      <c r="B385" s="175">
        <v>1797</v>
      </c>
      <c r="C385" s="8" t="s">
        <v>321</v>
      </c>
      <c r="D385" s="187">
        <v>46050</v>
      </c>
      <c r="E385" s="189"/>
      <c r="F385" s="183">
        <v>46351</v>
      </c>
      <c r="G385" s="178">
        <v>2879.0699999999997</v>
      </c>
    </row>
    <row r="386" spans="2:7" x14ac:dyDescent="0.3">
      <c r="B386" s="20" t="s">
        <v>1645</v>
      </c>
      <c r="C386" s="10" t="s">
        <v>1646</v>
      </c>
      <c r="D386" s="184" t="s">
        <v>1597</v>
      </c>
      <c r="E386" s="184"/>
      <c r="F386" s="184" t="s">
        <v>1387</v>
      </c>
      <c r="G386" s="63">
        <v>2877.46</v>
      </c>
    </row>
    <row r="387" spans="2:7" x14ac:dyDescent="0.3">
      <c r="B387" s="157" t="s">
        <v>1069</v>
      </c>
      <c r="C387" s="10" t="s">
        <v>1070</v>
      </c>
      <c r="D387" s="184" t="s">
        <v>981</v>
      </c>
      <c r="E387" s="184"/>
      <c r="F387" s="184" t="s">
        <v>982</v>
      </c>
      <c r="G387" s="88">
        <v>2863.98</v>
      </c>
    </row>
    <row r="388" spans="2:7" x14ac:dyDescent="0.3">
      <c r="B388" s="20" t="s">
        <v>1513</v>
      </c>
      <c r="C388" s="10" t="s">
        <v>1514</v>
      </c>
      <c r="D388" s="184" t="s">
        <v>1386</v>
      </c>
      <c r="E388" s="184"/>
      <c r="F388" s="184" t="s">
        <v>1387</v>
      </c>
      <c r="G388" s="63">
        <v>2843.19</v>
      </c>
    </row>
    <row r="389" spans="2:7" x14ac:dyDescent="0.3">
      <c r="B389" s="157" t="s">
        <v>1071</v>
      </c>
      <c r="C389" s="10" t="s">
        <v>1072</v>
      </c>
      <c r="D389" s="184" t="s">
        <v>981</v>
      </c>
      <c r="E389" s="184"/>
      <c r="F389" s="184" t="s">
        <v>982</v>
      </c>
      <c r="G389" s="88">
        <v>2831.99</v>
      </c>
    </row>
    <row r="390" spans="2:7" x14ac:dyDescent="0.3">
      <c r="B390" s="157">
        <v>515030</v>
      </c>
      <c r="C390" s="10" t="s">
        <v>1073</v>
      </c>
      <c r="D390" s="184" t="s">
        <v>981</v>
      </c>
      <c r="E390" s="184"/>
      <c r="F390" s="184" t="s">
        <v>982</v>
      </c>
      <c r="G390" s="88">
        <v>2823.79</v>
      </c>
    </row>
    <row r="391" spans="2:7" x14ac:dyDescent="0.3">
      <c r="B391" s="20">
        <v>3116</v>
      </c>
      <c r="C391" s="10" t="s">
        <v>1359</v>
      </c>
      <c r="D391" s="184" t="s">
        <v>1386</v>
      </c>
      <c r="E391" s="184"/>
      <c r="F391" s="184" t="s">
        <v>1387</v>
      </c>
      <c r="G391" s="63">
        <v>2821.7</v>
      </c>
    </row>
    <row r="392" spans="2:7" x14ac:dyDescent="0.3">
      <c r="B392" s="20">
        <v>7337</v>
      </c>
      <c r="C392" s="10" t="s">
        <v>1165</v>
      </c>
      <c r="D392" s="184" t="s">
        <v>1597</v>
      </c>
      <c r="E392" s="184"/>
      <c r="F392" s="184" t="s">
        <v>1387</v>
      </c>
      <c r="G392" s="63">
        <v>2819.65</v>
      </c>
    </row>
    <row r="393" spans="2:7" x14ac:dyDescent="0.3">
      <c r="B393" s="157" t="s">
        <v>1074</v>
      </c>
      <c r="C393" s="10" t="s">
        <v>1075</v>
      </c>
      <c r="D393" s="184" t="s">
        <v>981</v>
      </c>
      <c r="E393" s="184"/>
      <c r="F393" s="184" t="s">
        <v>982</v>
      </c>
      <c r="G393" s="88">
        <v>2819.38</v>
      </c>
    </row>
    <row r="394" spans="2:7" x14ac:dyDescent="0.3">
      <c r="B394" s="175" t="s">
        <v>322</v>
      </c>
      <c r="C394" s="8" t="s">
        <v>323</v>
      </c>
      <c r="D394" s="187">
        <v>46050</v>
      </c>
      <c r="E394" s="189"/>
      <c r="F394" s="183">
        <v>46381</v>
      </c>
      <c r="G394" s="178">
        <v>2789.72</v>
      </c>
    </row>
    <row r="395" spans="2:7" x14ac:dyDescent="0.3">
      <c r="B395" s="20" t="s">
        <v>1515</v>
      </c>
      <c r="C395" s="10" t="s">
        <v>1516</v>
      </c>
      <c r="D395" s="184" t="s">
        <v>1386</v>
      </c>
      <c r="E395" s="184"/>
      <c r="F395" s="184" t="s">
        <v>1387</v>
      </c>
      <c r="G395" s="63">
        <v>2782.64</v>
      </c>
    </row>
    <row r="396" spans="2:7" x14ac:dyDescent="0.3">
      <c r="B396" s="157">
        <v>9065</v>
      </c>
      <c r="C396" s="10" t="s">
        <v>907</v>
      </c>
      <c r="D396" s="184" t="s">
        <v>981</v>
      </c>
      <c r="E396" s="184"/>
      <c r="F396" s="184" t="s">
        <v>982</v>
      </c>
      <c r="G396" s="88">
        <v>2779.04</v>
      </c>
    </row>
    <row r="397" spans="2:7" x14ac:dyDescent="0.3">
      <c r="B397" s="157">
        <v>7327</v>
      </c>
      <c r="C397" s="10" t="s">
        <v>858</v>
      </c>
      <c r="D397" s="184" t="s">
        <v>981</v>
      </c>
      <c r="E397" s="184"/>
      <c r="F397" s="184" t="s">
        <v>982</v>
      </c>
      <c r="G397" s="88">
        <v>2730.75</v>
      </c>
    </row>
    <row r="398" spans="2:7" x14ac:dyDescent="0.3">
      <c r="B398" s="157" t="s">
        <v>958</v>
      </c>
      <c r="C398" s="10" t="s">
        <v>959</v>
      </c>
      <c r="D398" s="184" t="s">
        <v>981</v>
      </c>
      <c r="E398" s="184"/>
      <c r="F398" s="184" t="s">
        <v>982</v>
      </c>
      <c r="G398" s="88">
        <v>2671.52</v>
      </c>
    </row>
    <row r="399" spans="2:7" x14ac:dyDescent="0.3">
      <c r="B399" s="157">
        <v>6770</v>
      </c>
      <c r="C399" s="10" t="s">
        <v>899</v>
      </c>
      <c r="D399" s="184" t="s">
        <v>981</v>
      </c>
      <c r="E399" s="184"/>
      <c r="F399" s="184" t="s">
        <v>982</v>
      </c>
      <c r="G399" s="88">
        <v>2644.49</v>
      </c>
    </row>
    <row r="400" spans="2:7" x14ac:dyDescent="0.3">
      <c r="B400" s="157">
        <v>9301</v>
      </c>
      <c r="C400" s="10" t="s">
        <v>929</v>
      </c>
      <c r="D400" s="184" t="s">
        <v>981</v>
      </c>
      <c r="E400" s="184"/>
      <c r="F400" s="184" t="s">
        <v>982</v>
      </c>
      <c r="G400" s="88">
        <v>2636.8</v>
      </c>
    </row>
    <row r="401" spans="2:7" x14ac:dyDescent="0.3">
      <c r="B401" s="20" t="s">
        <v>1517</v>
      </c>
      <c r="C401" s="10" t="s">
        <v>1518</v>
      </c>
      <c r="D401" s="184" t="s">
        <v>1386</v>
      </c>
      <c r="E401" s="184"/>
      <c r="F401" s="184" t="s">
        <v>1387</v>
      </c>
      <c r="G401" s="63">
        <v>2621.39</v>
      </c>
    </row>
    <row r="402" spans="2:7" x14ac:dyDescent="0.3">
      <c r="B402" s="20" t="s">
        <v>1320</v>
      </c>
      <c r="C402" s="10" t="s">
        <v>1519</v>
      </c>
      <c r="D402" s="184" t="s">
        <v>1386</v>
      </c>
      <c r="E402" s="184" t="s">
        <v>203</v>
      </c>
      <c r="F402" s="184" t="s">
        <v>1387</v>
      </c>
      <c r="G402" s="63">
        <v>2561.91</v>
      </c>
    </row>
    <row r="403" spans="2:7" x14ac:dyDescent="0.3">
      <c r="B403" s="157">
        <v>6526</v>
      </c>
      <c r="C403" s="10" t="s">
        <v>856</v>
      </c>
      <c r="D403" s="184" t="s">
        <v>981</v>
      </c>
      <c r="E403" s="184"/>
      <c r="F403" s="184" t="s">
        <v>982</v>
      </c>
      <c r="G403" s="88">
        <v>2560.7800000000002</v>
      </c>
    </row>
    <row r="404" spans="2:7" x14ac:dyDescent="0.3">
      <c r="B404" s="175" t="s">
        <v>324</v>
      </c>
      <c r="C404" s="8" t="s">
        <v>325</v>
      </c>
      <c r="D404" s="187">
        <v>46050</v>
      </c>
      <c r="E404" s="189"/>
      <c r="F404" s="183">
        <v>46381</v>
      </c>
      <c r="G404" s="178">
        <v>2559.23</v>
      </c>
    </row>
    <row r="405" spans="2:7" x14ac:dyDescent="0.3">
      <c r="B405" s="157" t="s">
        <v>815</v>
      </c>
      <c r="C405" s="10" t="s">
        <v>1076</v>
      </c>
      <c r="D405" s="184" t="s">
        <v>981</v>
      </c>
      <c r="E405" s="184"/>
      <c r="F405" s="184" t="s">
        <v>982</v>
      </c>
      <c r="G405" s="88">
        <v>2558.73</v>
      </c>
    </row>
    <row r="406" spans="2:7" x14ac:dyDescent="0.3">
      <c r="B406" s="20">
        <v>3132</v>
      </c>
      <c r="C406" s="10" t="s">
        <v>1167</v>
      </c>
      <c r="D406" s="184" t="s">
        <v>1597</v>
      </c>
      <c r="E406" s="184"/>
      <c r="F406" s="184" t="s">
        <v>1387</v>
      </c>
      <c r="G406" s="63">
        <v>2552.4299999999998</v>
      </c>
    </row>
    <row r="407" spans="2:7" x14ac:dyDescent="0.3">
      <c r="B407" s="157">
        <v>10</v>
      </c>
      <c r="C407" s="10" t="s">
        <v>1077</v>
      </c>
      <c r="D407" s="184" t="s">
        <v>981</v>
      </c>
      <c r="E407" s="184"/>
      <c r="F407" s="184" t="s">
        <v>982</v>
      </c>
      <c r="G407" s="88">
        <v>2525.04</v>
      </c>
    </row>
    <row r="408" spans="2:7" x14ac:dyDescent="0.3">
      <c r="B408" s="20" t="s">
        <v>1520</v>
      </c>
      <c r="C408" s="10" t="s">
        <v>1521</v>
      </c>
      <c r="D408" s="184" t="s">
        <v>1386</v>
      </c>
      <c r="E408" s="184"/>
      <c r="F408" s="184" t="s">
        <v>1387</v>
      </c>
      <c r="G408" s="63">
        <v>2510.1999999999998</v>
      </c>
    </row>
    <row r="409" spans="2:7" x14ac:dyDescent="0.3">
      <c r="B409" s="20" t="s">
        <v>1520</v>
      </c>
      <c r="C409" s="10" t="s">
        <v>1521</v>
      </c>
      <c r="D409" s="184" t="s">
        <v>1597</v>
      </c>
      <c r="E409" s="184"/>
      <c r="F409" s="184" t="s">
        <v>1387</v>
      </c>
      <c r="G409" s="63">
        <v>2510.1999999999998</v>
      </c>
    </row>
    <row r="410" spans="2:7" x14ac:dyDescent="0.3">
      <c r="B410" s="175" t="s">
        <v>39</v>
      </c>
      <c r="C410" s="8" t="s">
        <v>326</v>
      </c>
      <c r="D410" s="187">
        <v>46050</v>
      </c>
      <c r="E410" s="189" t="s">
        <v>199</v>
      </c>
      <c r="F410" s="183">
        <v>46381</v>
      </c>
      <c r="G410" s="178">
        <v>2496.31</v>
      </c>
    </row>
    <row r="411" spans="2:7" x14ac:dyDescent="0.3">
      <c r="B411" s="157" t="s">
        <v>944</v>
      </c>
      <c r="C411" s="10" t="s">
        <v>945</v>
      </c>
      <c r="D411" s="184" t="s">
        <v>981</v>
      </c>
      <c r="E411" s="184"/>
      <c r="F411" s="184" t="s">
        <v>982</v>
      </c>
      <c r="G411" s="88">
        <v>2486.2199999999998</v>
      </c>
    </row>
    <row r="412" spans="2:7" x14ac:dyDescent="0.3">
      <c r="B412" s="20" t="s">
        <v>1522</v>
      </c>
      <c r="C412" s="10" t="s">
        <v>1523</v>
      </c>
      <c r="D412" s="184" t="s">
        <v>1386</v>
      </c>
      <c r="E412" s="184"/>
      <c r="F412" s="184" t="s">
        <v>1387</v>
      </c>
      <c r="G412" s="63">
        <v>2485.9899999999998</v>
      </c>
    </row>
    <row r="413" spans="2:7" x14ac:dyDescent="0.3">
      <c r="B413" s="175" t="s">
        <v>327</v>
      </c>
      <c r="C413" s="8" t="s">
        <v>328</v>
      </c>
      <c r="D413" s="187">
        <v>46050</v>
      </c>
      <c r="E413" s="189"/>
      <c r="F413" s="183">
        <v>46381</v>
      </c>
      <c r="G413" s="178">
        <v>2450.9899999999998</v>
      </c>
    </row>
    <row r="414" spans="2:7" x14ac:dyDescent="0.3">
      <c r="B414" s="20" t="s">
        <v>1302</v>
      </c>
      <c r="C414" s="10" t="s">
        <v>1524</v>
      </c>
      <c r="D414" s="184" t="s">
        <v>1386</v>
      </c>
      <c r="E414" s="184" t="s">
        <v>203</v>
      </c>
      <c r="F414" s="184" t="s">
        <v>1387</v>
      </c>
      <c r="G414" s="63">
        <v>2436.8000000000002</v>
      </c>
    </row>
    <row r="415" spans="2:7" x14ac:dyDescent="0.3">
      <c r="B415" s="175" t="s">
        <v>38</v>
      </c>
      <c r="C415" s="8" t="s">
        <v>329</v>
      </c>
      <c r="D415" s="187">
        <v>46050</v>
      </c>
      <c r="E415" s="189" t="s">
        <v>199</v>
      </c>
      <c r="F415" s="183">
        <v>46381</v>
      </c>
      <c r="G415" s="178">
        <v>2427.1</v>
      </c>
    </row>
    <row r="416" spans="2:7" x14ac:dyDescent="0.3">
      <c r="B416" s="157">
        <v>4205</v>
      </c>
      <c r="C416" s="10" t="s">
        <v>904</v>
      </c>
      <c r="D416" s="184" t="s">
        <v>981</v>
      </c>
      <c r="E416" s="184"/>
      <c r="F416" s="184" t="s">
        <v>982</v>
      </c>
      <c r="G416" s="88">
        <v>2423.44</v>
      </c>
    </row>
    <row r="417" spans="2:7" x14ac:dyDescent="0.3">
      <c r="B417" s="20" t="s">
        <v>1647</v>
      </c>
      <c r="C417" s="10" t="s">
        <v>1648</v>
      </c>
      <c r="D417" s="184" t="s">
        <v>1597</v>
      </c>
      <c r="E417" s="184"/>
      <c r="F417" s="184" t="s">
        <v>1387</v>
      </c>
      <c r="G417" s="63">
        <v>2422.48</v>
      </c>
    </row>
    <row r="418" spans="2:7" x14ac:dyDescent="0.3">
      <c r="B418" s="157">
        <v>532929</v>
      </c>
      <c r="C418" s="10" t="s">
        <v>1078</v>
      </c>
      <c r="D418" s="184" t="s">
        <v>981</v>
      </c>
      <c r="E418" s="184"/>
      <c r="F418" s="184" t="s">
        <v>982</v>
      </c>
      <c r="G418" s="88">
        <v>2409.7800000000002</v>
      </c>
    </row>
    <row r="419" spans="2:7" x14ac:dyDescent="0.3">
      <c r="B419" s="157">
        <v>532144</v>
      </c>
      <c r="C419" s="10" t="s">
        <v>1079</v>
      </c>
      <c r="D419" s="184" t="s">
        <v>981</v>
      </c>
      <c r="E419" s="184"/>
      <c r="F419" s="184" t="s">
        <v>982</v>
      </c>
      <c r="G419" s="88">
        <v>2325.13</v>
      </c>
    </row>
    <row r="420" spans="2:7" x14ac:dyDescent="0.3">
      <c r="B420" s="175" t="s">
        <v>36</v>
      </c>
      <c r="C420" s="8" t="s">
        <v>330</v>
      </c>
      <c r="D420" s="187">
        <v>46050</v>
      </c>
      <c r="E420" s="189" t="s">
        <v>203</v>
      </c>
      <c r="F420" s="183">
        <v>46381</v>
      </c>
      <c r="G420" s="178">
        <v>2314.67</v>
      </c>
    </row>
    <row r="421" spans="2:7" x14ac:dyDescent="0.3">
      <c r="B421" s="20" t="s">
        <v>1158</v>
      </c>
      <c r="C421" s="10" t="s">
        <v>1649</v>
      </c>
      <c r="D421" s="184" t="s">
        <v>1597</v>
      </c>
      <c r="E421" s="184" t="s">
        <v>199</v>
      </c>
      <c r="F421" s="184" t="s">
        <v>1387</v>
      </c>
      <c r="G421" s="63">
        <v>2302.8200000000002</v>
      </c>
    </row>
    <row r="422" spans="2:7" x14ac:dyDescent="0.3">
      <c r="B422" s="175" t="s">
        <v>33</v>
      </c>
      <c r="C422" s="8" t="s">
        <v>331</v>
      </c>
      <c r="D422" s="187">
        <v>46050</v>
      </c>
      <c r="E422" s="189"/>
      <c r="F422" s="183">
        <v>46381</v>
      </c>
      <c r="G422" s="178">
        <v>2261.6099999999997</v>
      </c>
    </row>
    <row r="423" spans="2:7" x14ac:dyDescent="0.3">
      <c r="B423" s="20" t="s">
        <v>1233</v>
      </c>
      <c r="C423" s="10" t="s">
        <v>1525</v>
      </c>
      <c r="D423" s="184" t="s">
        <v>1386</v>
      </c>
      <c r="E423" s="184" t="s">
        <v>203</v>
      </c>
      <c r="F423" s="184" t="s">
        <v>1387</v>
      </c>
      <c r="G423" s="63">
        <v>2257.6799999999998</v>
      </c>
    </row>
    <row r="424" spans="2:7" x14ac:dyDescent="0.3">
      <c r="B424" s="175" t="s">
        <v>30</v>
      </c>
      <c r="C424" s="8" t="s">
        <v>332</v>
      </c>
      <c r="D424" s="187">
        <v>46050</v>
      </c>
      <c r="E424" s="189"/>
      <c r="F424" s="183">
        <v>46381</v>
      </c>
      <c r="G424" s="178">
        <v>2255.8599999999997</v>
      </c>
    </row>
    <row r="425" spans="2:7" x14ac:dyDescent="0.3">
      <c r="B425" s="157">
        <v>9504</v>
      </c>
      <c r="C425" s="10" t="s">
        <v>921</v>
      </c>
      <c r="D425" s="184" t="s">
        <v>981</v>
      </c>
      <c r="E425" s="184"/>
      <c r="F425" s="184" t="s">
        <v>982</v>
      </c>
      <c r="G425" s="88">
        <v>2254.2199999999998</v>
      </c>
    </row>
    <row r="426" spans="2:7" x14ac:dyDescent="0.3">
      <c r="B426" s="157" t="s">
        <v>813</v>
      </c>
      <c r="C426" s="10" t="s">
        <v>1080</v>
      </c>
      <c r="D426" s="184" t="s">
        <v>981</v>
      </c>
      <c r="E426" s="184" t="s">
        <v>203</v>
      </c>
      <c r="F426" s="184" t="s">
        <v>982</v>
      </c>
      <c r="G426" s="88">
        <v>2226.73</v>
      </c>
    </row>
    <row r="427" spans="2:7" x14ac:dyDescent="0.3">
      <c r="B427" s="20" t="s">
        <v>1650</v>
      </c>
      <c r="C427" s="10" t="s">
        <v>1651</v>
      </c>
      <c r="D427" s="184" t="s">
        <v>1597</v>
      </c>
      <c r="E427" s="184"/>
      <c r="F427" s="184" t="s">
        <v>1387</v>
      </c>
      <c r="G427" s="63">
        <v>2196.2600000000002</v>
      </c>
    </row>
    <row r="428" spans="2:7" x14ac:dyDescent="0.3">
      <c r="B428" s="20" t="s">
        <v>1526</v>
      </c>
      <c r="C428" s="10" t="s">
        <v>1527</v>
      </c>
      <c r="D428" s="184" t="s">
        <v>1386</v>
      </c>
      <c r="E428" s="184"/>
      <c r="F428" s="184" t="s">
        <v>1387</v>
      </c>
      <c r="G428" s="63">
        <v>2195.19</v>
      </c>
    </row>
    <row r="429" spans="2:7" x14ac:dyDescent="0.3">
      <c r="B429" s="20" t="s">
        <v>1319</v>
      </c>
      <c r="C429" s="10" t="s">
        <v>1528</v>
      </c>
      <c r="D429" s="184" t="s">
        <v>1386</v>
      </c>
      <c r="E429" s="184" t="s">
        <v>203</v>
      </c>
      <c r="F429" s="184" t="s">
        <v>1387</v>
      </c>
      <c r="G429" s="63">
        <v>2188.7199999999998</v>
      </c>
    </row>
    <row r="430" spans="2:7" x14ac:dyDescent="0.3">
      <c r="B430" s="157" t="s">
        <v>1081</v>
      </c>
      <c r="C430" s="10" t="s">
        <v>1082</v>
      </c>
      <c r="D430" s="184" t="s">
        <v>981</v>
      </c>
      <c r="E430" s="184"/>
      <c r="F430" s="184" t="s">
        <v>982</v>
      </c>
      <c r="G430" s="88">
        <v>2177.7399999999998</v>
      </c>
    </row>
    <row r="431" spans="2:7" x14ac:dyDescent="0.3">
      <c r="B431" s="20" t="s">
        <v>1529</v>
      </c>
      <c r="C431" s="10" t="s">
        <v>1530</v>
      </c>
      <c r="D431" s="184" t="s">
        <v>1386</v>
      </c>
      <c r="E431" s="184"/>
      <c r="F431" s="184" t="s">
        <v>1387</v>
      </c>
      <c r="G431" s="63">
        <v>2157.4499999999998</v>
      </c>
    </row>
    <row r="432" spans="2:7" x14ac:dyDescent="0.3">
      <c r="B432" s="20">
        <v>500770</v>
      </c>
      <c r="C432" s="10" t="s">
        <v>1652</v>
      </c>
      <c r="D432" s="184" t="s">
        <v>1597</v>
      </c>
      <c r="E432" s="184"/>
      <c r="F432" s="184" t="s">
        <v>1387</v>
      </c>
      <c r="G432" s="63">
        <v>2150.5700000000002</v>
      </c>
    </row>
    <row r="433" spans="2:7" x14ac:dyDescent="0.3">
      <c r="B433" s="20" t="s">
        <v>1653</v>
      </c>
      <c r="C433" s="10" t="s">
        <v>1654</v>
      </c>
      <c r="D433" s="184" t="s">
        <v>1597</v>
      </c>
      <c r="E433" s="184"/>
      <c r="F433" s="184" t="s">
        <v>1387</v>
      </c>
      <c r="G433" s="63">
        <v>2146.15</v>
      </c>
    </row>
    <row r="434" spans="2:7" x14ac:dyDescent="0.3">
      <c r="B434" s="20">
        <v>531768</v>
      </c>
      <c r="C434" s="10" t="s">
        <v>1655</v>
      </c>
      <c r="D434" s="184" t="s">
        <v>1597</v>
      </c>
      <c r="E434" s="184"/>
      <c r="F434" s="184" t="s">
        <v>1387</v>
      </c>
      <c r="G434" s="63">
        <v>2144.59</v>
      </c>
    </row>
    <row r="435" spans="2:7" x14ac:dyDescent="0.3">
      <c r="B435" s="20">
        <v>500165</v>
      </c>
      <c r="C435" s="10" t="s">
        <v>1531</v>
      </c>
      <c r="D435" s="184" t="s">
        <v>1386</v>
      </c>
      <c r="E435" s="184"/>
      <c r="F435" s="184" t="s">
        <v>1387</v>
      </c>
      <c r="G435" s="63">
        <v>2125.5100000000002</v>
      </c>
    </row>
    <row r="436" spans="2:7" x14ac:dyDescent="0.3">
      <c r="B436" s="20">
        <v>500870</v>
      </c>
      <c r="C436" s="10" t="s">
        <v>1532</v>
      </c>
      <c r="D436" s="184" t="s">
        <v>1386</v>
      </c>
      <c r="E436" s="184"/>
      <c r="F436" s="184" t="s">
        <v>1387</v>
      </c>
      <c r="G436" s="63">
        <v>2106.59</v>
      </c>
    </row>
    <row r="437" spans="2:7" x14ac:dyDescent="0.3">
      <c r="B437" s="20" t="s">
        <v>1656</v>
      </c>
      <c r="C437" s="10" t="s">
        <v>1657</v>
      </c>
      <c r="D437" s="184" t="s">
        <v>1597</v>
      </c>
      <c r="E437" s="184"/>
      <c r="F437" s="184" t="s">
        <v>1387</v>
      </c>
      <c r="G437" s="63">
        <v>2098.5300000000002</v>
      </c>
    </row>
    <row r="438" spans="2:7" x14ac:dyDescent="0.3">
      <c r="B438" s="175" t="s">
        <v>28</v>
      </c>
      <c r="C438" s="8" t="s">
        <v>333</v>
      </c>
      <c r="D438" s="187">
        <v>46050</v>
      </c>
      <c r="E438" s="189" t="s">
        <v>199</v>
      </c>
      <c r="F438" s="183">
        <v>46381</v>
      </c>
      <c r="G438" s="178">
        <v>2097.2999999999997</v>
      </c>
    </row>
    <row r="439" spans="2:7" x14ac:dyDescent="0.3">
      <c r="B439" s="157">
        <v>4043</v>
      </c>
      <c r="C439" s="10" t="s">
        <v>909</v>
      </c>
      <c r="D439" s="184" t="s">
        <v>981</v>
      </c>
      <c r="E439" s="184"/>
      <c r="F439" s="184" t="s">
        <v>982</v>
      </c>
      <c r="G439" s="88">
        <v>2092.5500000000002</v>
      </c>
    </row>
    <row r="440" spans="2:7" x14ac:dyDescent="0.3">
      <c r="B440" s="157">
        <v>9507</v>
      </c>
      <c r="C440" s="10" t="s">
        <v>928</v>
      </c>
      <c r="D440" s="184" t="s">
        <v>981</v>
      </c>
      <c r="E440" s="184"/>
      <c r="F440" s="184" t="s">
        <v>982</v>
      </c>
      <c r="G440" s="88">
        <v>2083.62</v>
      </c>
    </row>
    <row r="441" spans="2:7" x14ac:dyDescent="0.3">
      <c r="B441" s="20">
        <v>8174</v>
      </c>
      <c r="C441" s="10" t="s">
        <v>1353</v>
      </c>
      <c r="D441" s="184" t="s">
        <v>1386</v>
      </c>
      <c r="E441" s="184"/>
      <c r="F441" s="184" t="s">
        <v>1387</v>
      </c>
      <c r="G441" s="63">
        <v>2075.9499999999998</v>
      </c>
    </row>
    <row r="442" spans="2:7" x14ac:dyDescent="0.3">
      <c r="B442" s="20" t="s">
        <v>1217</v>
      </c>
      <c r="C442" s="10" t="s">
        <v>1200</v>
      </c>
      <c r="D442" s="184" t="s">
        <v>1597</v>
      </c>
      <c r="E442" s="184"/>
      <c r="F442" s="184" t="s">
        <v>1387</v>
      </c>
      <c r="G442" s="63">
        <v>1997.81</v>
      </c>
    </row>
    <row r="443" spans="2:7" x14ac:dyDescent="0.3">
      <c r="B443" s="20" t="s">
        <v>1658</v>
      </c>
      <c r="C443" s="10" t="s">
        <v>1659</v>
      </c>
      <c r="D443" s="184" t="s">
        <v>1597</v>
      </c>
      <c r="E443" s="184"/>
      <c r="F443" s="184" t="s">
        <v>1387</v>
      </c>
      <c r="G443" s="63">
        <v>1985.46</v>
      </c>
    </row>
    <row r="444" spans="2:7" x14ac:dyDescent="0.3">
      <c r="B444" s="157">
        <v>7173</v>
      </c>
      <c r="C444" s="10" t="s">
        <v>911</v>
      </c>
      <c r="D444" s="184" t="s">
        <v>981</v>
      </c>
      <c r="E444" s="184"/>
      <c r="F444" s="184" t="s">
        <v>982</v>
      </c>
      <c r="G444" s="88">
        <v>1949.81</v>
      </c>
    </row>
    <row r="445" spans="2:7" x14ac:dyDescent="0.3">
      <c r="B445" s="157" t="s">
        <v>1083</v>
      </c>
      <c r="C445" s="10" t="s">
        <v>1084</v>
      </c>
      <c r="D445" s="184" t="s">
        <v>981</v>
      </c>
      <c r="E445" s="184"/>
      <c r="F445" s="184" t="s">
        <v>982</v>
      </c>
      <c r="G445" s="88">
        <v>1944.67</v>
      </c>
    </row>
    <row r="446" spans="2:7" x14ac:dyDescent="0.3">
      <c r="B446" s="157">
        <v>6436</v>
      </c>
      <c r="C446" s="10" t="s">
        <v>896</v>
      </c>
      <c r="D446" s="184" t="s">
        <v>981</v>
      </c>
      <c r="E446" s="184"/>
      <c r="F446" s="184" t="s">
        <v>982</v>
      </c>
      <c r="G446" s="88">
        <v>1936.36</v>
      </c>
    </row>
    <row r="447" spans="2:7" x14ac:dyDescent="0.3">
      <c r="B447" s="157">
        <v>500233</v>
      </c>
      <c r="C447" s="10" t="s">
        <v>1085</v>
      </c>
      <c r="D447" s="184" t="s">
        <v>981</v>
      </c>
      <c r="E447" s="184"/>
      <c r="F447" s="184" t="s">
        <v>982</v>
      </c>
      <c r="G447" s="88">
        <v>1935.73</v>
      </c>
    </row>
    <row r="448" spans="2:7" x14ac:dyDescent="0.3">
      <c r="B448" s="157">
        <v>3189</v>
      </c>
      <c r="C448" s="10" t="s">
        <v>934</v>
      </c>
      <c r="D448" s="184" t="s">
        <v>981</v>
      </c>
      <c r="E448" s="184"/>
      <c r="F448" s="184" t="s">
        <v>982</v>
      </c>
      <c r="G448" s="88">
        <v>1930.58</v>
      </c>
    </row>
    <row r="449" spans="2:7" x14ac:dyDescent="0.3">
      <c r="B449" s="157" t="s">
        <v>1086</v>
      </c>
      <c r="C449" s="10" t="s">
        <v>1087</v>
      </c>
      <c r="D449" s="184" t="s">
        <v>981</v>
      </c>
      <c r="E449" s="184"/>
      <c r="F449" s="184" t="s">
        <v>982</v>
      </c>
      <c r="G449" s="88">
        <v>1916.68</v>
      </c>
    </row>
    <row r="450" spans="2:7" x14ac:dyDescent="0.3">
      <c r="B450" s="175" t="s">
        <v>26</v>
      </c>
      <c r="C450" s="8" t="s">
        <v>334</v>
      </c>
      <c r="D450" s="187">
        <v>46050</v>
      </c>
      <c r="E450" s="189" t="s">
        <v>199</v>
      </c>
      <c r="F450" s="183">
        <v>46381</v>
      </c>
      <c r="G450" s="178">
        <v>1908.2199999999998</v>
      </c>
    </row>
    <row r="451" spans="2:7" x14ac:dyDescent="0.3">
      <c r="B451" s="175" t="s">
        <v>335</v>
      </c>
      <c r="C451" s="8" t="s">
        <v>336</v>
      </c>
      <c r="D451" s="187">
        <v>46050</v>
      </c>
      <c r="E451" s="189"/>
      <c r="F451" s="183">
        <v>46381</v>
      </c>
      <c r="G451" s="178">
        <v>1903</v>
      </c>
    </row>
    <row r="452" spans="2:7" x14ac:dyDescent="0.3">
      <c r="B452" s="20" t="s">
        <v>1533</v>
      </c>
      <c r="C452" s="10" t="s">
        <v>1534</v>
      </c>
      <c r="D452" s="184" t="s">
        <v>1386</v>
      </c>
      <c r="E452" s="184"/>
      <c r="F452" s="184" t="s">
        <v>1387</v>
      </c>
      <c r="G452" s="63">
        <v>1881.09</v>
      </c>
    </row>
    <row r="453" spans="2:7" x14ac:dyDescent="0.3">
      <c r="B453" s="157" t="s">
        <v>1088</v>
      </c>
      <c r="C453" s="10" t="s">
        <v>1089</v>
      </c>
      <c r="D453" s="184" t="s">
        <v>981</v>
      </c>
      <c r="E453" s="184"/>
      <c r="F453" s="184" t="s">
        <v>982</v>
      </c>
      <c r="G453" s="88">
        <v>1873.45</v>
      </c>
    </row>
    <row r="454" spans="2:7" x14ac:dyDescent="0.3">
      <c r="B454" s="157">
        <v>6454</v>
      </c>
      <c r="C454" s="10" t="s">
        <v>881</v>
      </c>
      <c r="D454" s="184" t="s">
        <v>981</v>
      </c>
      <c r="E454" s="184"/>
      <c r="F454" s="184" t="s">
        <v>982</v>
      </c>
      <c r="G454" s="88">
        <v>1870</v>
      </c>
    </row>
    <row r="455" spans="2:7" x14ac:dyDescent="0.3">
      <c r="B455" s="20">
        <v>6622</v>
      </c>
      <c r="C455" s="10" t="s">
        <v>1368</v>
      </c>
      <c r="D455" s="184" t="s">
        <v>1386</v>
      </c>
      <c r="E455" s="184"/>
      <c r="F455" s="184" t="s">
        <v>1387</v>
      </c>
      <c r="G455" s="63">
        <v>1850.35</v>
      </c>
    </row>
    <row r="456" spans="2:7" x14ac:dyDescent="0.3">
      <c r="B456" s="175" t="s">
        <v>47</v>
      </c>
      <c r="C456" s="8" t="s">
        <v>337</v>
      </c>
      <c r="D456" s="187">
        <v>46050</v>
      </c>
      <c r="E456" s="189"/>
      <c r="F456" s="183">
        <v>46381</v>
      </c>
      <c r="G456" s="178">
        <v>1841.01</v>
      </c>
    </row>
    <row r="457" spans="2:7" x14ac:dyDescent="0.3">
      <c r="B457" s="175">
        <v>500252</v>
      </c>
      <c r="C457" s="8" t="s">
        <v>338</v>
      </c>
      <c r="D457" s="187">
        <v>46050</v>
      </c>
      <c r="E457" s="189"/>
      <c r="F457" s="183">
        <v>46381</v>
      </c>
      <c r="G457" s="178">
        <v>1837.2099999999998</v>
      </c>
    </row>
    <row r="458" spans="2:7" x14ac:dyDescent="0.3">
      <c r="B458" s="157" t="s">
        <v>1090</v>
      </c>
      <c r="C458" s="10" t="s">
        <v>1091</v>
      </c>
      <c r="D458" s="184" t="s">
        <v>981</v>
      </c>
      <c r="E458" s="184"/>
      <c r="F458" s="184" t="s">
        <v>982</v>
      </c>
      <c r="G458" s="88">
        <v>1831.98</v>
      </c>
    </row>
    <row r="459" spans="2:7" x14ac:dyDescent="0.3">
      <c r="B459" s="20">
        <v>7451</v>
      </c>
      <c r="C459" s="10" t="s">
        <v>1660</v>
      </c>
      <c r="D459" s="184" t="s">
        <v>1597</v>
      </c>
      <c r="E459" s="184"/>
      <c r="F459" s="184" t="s">
        <v>1387</v>
      </c>
      <c r="G459" s="63">
        <v>1828.98</v>
      </c>
    </row>
    <row r="460" spans="2:7" x14ac:dyDescent="0.3">
      <c r="B460" s="157">
        <v>6508</v>
      </c>
      <c r="C460" s="10" t="s">
        <v>897</v>
      </c>
      <c r="D460" s="184" t="s">
        <v>981</v>
      </c>
      <c r="E460" s="184"/>
      <c r="F460" s="184" t="s">
        <v>982</v>
      </c>
      <c r="G460" s="88">
        <v>1819.6</v>
      </c>
    </row>
    <row r="461" spans="2:7" x14ac:dyDescent="0.3">
      <c r="B461" s="20" t="s">
        <v>1138</v>
      </c>
      <c r="C461" s="10" t="s">
        <v>1661</v>
      </c>
      <c r="D461" s="184" t="s">
        <v>1597</v>
      </c>
      <c r="E461" s="184" t="s">
        <v>203</v>
      </c>
      <c r="F461" s="184" t="s">
        <v>1387</v>
      </c>
      <c r="G461" s="63">
        <v>1814.45</v>
      </c>
    </row>
    <row r="462" spans="2:7" x14ac:dyDescent="0.3">
      <c r="B462" s="20" t="s">
        <v>1314</v>
      </c>
      <c r="C462" s="10" t="s">
        <v>1535</v>
      </c>
      <c r="D462" s="184" t="s">
        <v>1386</v>
      </c>
      <c r="E462" s="184"/>
      <c r="F462" s="184" t="s">
        <v>1387</v>
      </c>
      <c r="G462" s="63">
        <v>1813.61</v>
      </c>
    </row>
    <row r="463" spans="2:7" x14ac:dyDescent="0.3">
      <c r="B463" s="157">
        <v>6135</v>
      </c>
      <c r="C463" s="10" t="s">
        <v>861</v>
      </c>
      <c r="D463" s="184" t="s">
        <v>981</v>
      </c>
      <c r="E463" s="184"/>
      <c r="F463" s="184" t="s">
        <v>982</v>
      </c>
      <c r="G463" s="88">
        <v>1813.54</v>
      </c>
    </row>
    <row r="464" spans="2:7" x14ac:dyDescent="0.3">
      <c r="B464" s="20">
        <v>2810</v>
      </c>
      <c r="C464" s="10" t="s">
        <v>1369</v>
      </c>
      <c r="D464" s="184" t="s">
        <v>1386</v>
      </c>
      <c r="E464" s="184"/>
      <c r="F464" s="184" t="s">
        <v>1387</v>
      </c>
      <c r="G464" s="63">
        <v>1813.54</v>
      </c>
    </row>
    <row r="465" spans="2:7" x14ac:dyDescent="0.3">
      <c r="B465" s="20" t="s">
        <v>1662</v>
      </c>
      <c r="C465" s="10" t="s">
        <v>1663</v>
      </c>
      <c r="D465" s="184" t="s">
        <v>1597</v>
      </c>
      <c r="E465" s="184"/>
      <c r="F465" s="184" t="s">
        <v>1387</v>
      </c>
      <c r="G465" s="63">
        <v>1809.47</v>
      </c>
    </row>
    <row r="466" spans="2:7" x14ac:dyDescent="0.3">
      <c r="B466" s="20" t="s">
        <v>1069</v>
      </c>
      <c r="C466" s="10" t="s">
        <v>1536</v>
      </c>
      <c r="D466" s="184" t="s">
        <v>1386</v>
      </c>
      <c r="E466" s="184" t="s">
        <v>199</v>
      </c>
      <c r="F466" s="184" t="s">
        <v>1387</v>
      </c>
      <c r="G466" s="63">
        <v>1807.3</v>
      </c>
    </row>
    <row r="467" spans="2:7" x14ac:dyDescent="0.3">
      <c r="B467" s="157" t="s">
        <v>940</v>
      </c>
      <c r="C467" s="10" t="s">
        <v>941</v>
      </c>
      <c r="D467" s="184" t="s">
        <v>981</v>
      </c>
      <c r="E467" s="184"/>
      <c r="F467" s="184" t="s">
        <v>982</v>
      </c>
      <c r="G467" s="88">
        <v>1804.55</v>
      </c>
    </row>
    <row r="468" spans="2:7" x14ac:dyDescent="0.3">
      <c r="B468" s="20" t="s">
        <v>1305</v>
      </c>
      <c r="C468" s="10" t="s">
        <v>1537</v>
      </c>
      <c r="D468" s="184" t="s">
        <v>1386</v>
      </c>
      <c r="E468" s="184" t="s">
        <v>199</v>
      </c>
      <c r="F468" s="184" t="s">
        <v>1387</v>
      </c>
      <c r="G468" s="63">
        <v>1792.79</v>
      </c>
    </row>
    <row r="469" spans="2:7" x14ac:dyDescent="0.3">
      <c r="B469" s="175" t="s">
        <v>339</v>
      </c>
      <c r="C469" s="8" t="s">
        <v>340</v>
      </c>
      <c r="D469" s="187">
        <v>46050</v>
      </c>
      <c r="E469" s="189"/>
      <c r="F469" s="183">
        <v>46381</v>
      </c>
      <c r="G469" s="178">
        <v>1780.1999999999998</v>
      </c>
    </row>
    <row r="470" spans="2:7" x14ac:dyDescent="0.3">
      <c r="B470" s="157">
        <v>2782</v>
      </c>
      <c r="C470" s="10" t="s">
        <v>936</v>
      </c>
      <c r="D470" s="184" t="s">
        <v>981</v>
      </c>
      <c r="E470" s="184"/>
      <c r="F470" s="184" t="s">
        <v>982</v>
      </c>
      <c r="G470" s="88">
        <v>1766.06</v>
      </c>
    </row>
    <row r="471" spans="2:7" x14ac:dyDescent="0.3">
      <c r="B471" s="20">
        <v>4272</v>
      </c>
      <c r="C471" s="10" t="s">
        <v>1181</v>
      </c>
      <c r="D471" s="184" t="s">
        <v>1597</v>
      </c>
      <c r="E471" s="184"/>
      <c r="F471" s="184" t="s">
        <v>1387</v>
      </c>
      <c r="G471" s="63">
        <v>1763.1</v>
      </c>
    </row>
    <row r="472" spans="2:7" x14ac:dyDescent="0.3">
      <c r="B472" s="20" t="s">
        <v>1266</v>
      </c>
      <c r="C472" s="10" t="s">
        <v>1538</v>
      </c>
      <c r="D472" s="184" t="s">
        <v>1386</v>
      </c>
      <c r="E472" s="184" t="s">
        <v>199</v>
      </c>
      <c r="F472" s="184" t="s">
        <v>1387</v>
      </c>
      <c r="G472" s="63">
        <v>1756.83</v>
      </c>
    </row>
    <row r="473" spans="2:7" x14ac:dyDescent="0.3">
      <c r="B473" s="20" t="s">
        <v>1539</v>
      </c>
      <c r="C473" s="10" t="s">
        <v>1540</v>
      </c>
      <c r="D473" s="184" t="s">
        <v>1386</v>
      </c>
      <c r="E473" s="184"/>
      <c r="F473" s="184" t="s">
        <v>1387</v>
      </c>
      <c r="G473" s="63">
        <v>1741.82</v>
      </c>
    </row>
    <row r="474" spans="2:7" x14ac:dyDescent="0.3">
      <c r="B474" s="157">
        <v>9759</v>
      </c>
      <c r="C474" s="10" t="s">
        <v>873</v>
      </c>
      <c r="D474" s="184" t="s">
        <v>981</v>
      </c>
      <c r="E474" s="184"/>
      <c r="F474" s="184" t="s">
        <v>982</v>
      </c>
      <c r="G474" s="88">
        <v>1741.74</v>
      </c>
    </row>
    <row r="475" spans="2:7" x14ac:dyDescent="0.3">
      <c r="B475" s="20">
        <v>2222</v>
      </c>
      <c r="C475" s="10" t="s">
        <v>1171</v>
      </c>
      <c r="D475" s="184" t="s">
        <v>1597</v>
      </c>
      <c r="E475" s="184"/>
      <c r="F475" s="184" t="s">
        <v>1387</v>
      </c>
      <c r="G475" s="63">
        <v>1740.47</v>
      </c>
    </row>
    <row r="476" spans="2:7" x14ac:dyDescent="0.3">
      <c r="B476" s="175" t="s">
        <v>341</v>
      </c>
      <c r="C476" s="8" t="s">
        <v>342</v>
      </c>
      <c r="D476" s="187">
        <v>46050</v>
      </c>
      <c r="E476" s="189"/>
      <c r="F476" s="183">
        <v>46351</v>
      </c>
      <c r="G476" s="178">
        <v>1739.52</v>
      </c>
    </row>
    <row r="477" spans="2:7" x14ac:dyDescent="0.3">
      <c r="B477" s="157" t="s">
        <v>1092</v>
      </c>
      <c r="C477" s="10" t="s">
        <v>1093</v>
      </c>
      <c r="D477" s="184" t="s">
        <v>981</v>
      </c>
      <c r="E477" s="184"/>
      <c r="F477" s="184" t="s">
        <v>982</v>
      </c>
      <c r="G477" s="88">
        <v>1732.82</v>
      </c>
    </row>
    <row r="478" spans="2:7" x14ac:dyDescent="0.3">
      <c r="B478" s="157">
        <v>532605</v>
      </c>
      <c r="C478" s="10" t="s">
        <v>1094</v>
      </c>
      <c r="D478" s="184" t="s">
        <v>981</v>
      </c>
      <c r="E478" s="184"/>
      <c r="F478" s="184" t="s">
        <v>982</v>
      </c>
      <c r="G478" s="88">
        <v>1731.74</v>
      </c>
    </row>
    <row r="479" spans="2:7" x14ac:dyDescent="0.3">
      <c r="B479" s="157">
        <v>524200</v>
      </c>
      <c r="C479" s="10" t="s">
        <v>1095</v>
      </c>
      <c r="D479" s="184" t="s">
        <v>995</v>
      </c>
      <c r="E479" s="184"/>
      <c r="F479" s="184" t="s">
        <v>982</v>
      </c>
      <c r="G479" s="88">
        <v>1724.28</v>
      </c>
    </row>
    <row r="480" spans="2:7" x14ac:dyDescent="0.3">
      <c r="B480" s="157" t="s">
        <v>839</v>
      </c>
      <c r="C480" s="10" t="s">
        <v>1096</v>
      </c>
      <c r="D480" s="184" t="s">
        <v>981</v>
      </c>
      <c r="E480" s="184" t="s">
        <v>203</v>
      </c>
      <c r="F480" s="184" t="s">
        <v>982</v>
      </c>
      <c r="G480" s="88">
        <v>1723.67</v>
      </c>
    </row>
    <row r="481" spans="2:7" x14ac:dyDescent="0.3">
      <c r="B481" s="157">
        <v>5191</v>
      </c>
      <c r="C481" s="10" t="s">
        <v>1097</v>
      </c>
      <c r="D481" s="184" t="s">
        <v>981</v>
      </c>
      <c r="E481" s="184"/>
      <c r="F481" s="184" t="s">
        <v>982</v>
      </c>
      <c r="G481" s="88">
        <v>1708.67</v>
      </c>
    </row>
    <row r="482" spans="2:7" x14ac:dyDescent="0.3">
      <c r="B482" s="20">
        <v>8368</v>
      </c>
      <c r="C482" s="10" t="s">
        <v>1343</v>
      </c>
      <c r="D482" s="184" t="s">
        <v>1386</v>
      </c>
      <c r="E482" s="184"/>
      <c r="F482" s="184" t="s">
        <v>1387</v>
      </c>
      <c r="G482" s="63">
        <v>1691</v>
      </c>
    </row>
    <row r="483" spans="2:7" x14ac:dyDescent="0.3">
      <c r="B483" s="175" t="s">
        <v>343</v>
      </c>
      <c r="C483" s="8" t="s">
        <v>344</v>
      </c>
      <c r="D483" s="187">
        <v>46050</v>
      </c>
      <c r="E483" s="189"/>
      <c r="F483" s="183">
        <v>46381</v>
      </c>
      <c r="G483" s="178">
        <v>1668.36</v>
      </c>
    </row>
    <row r="484" spans="2:7" x14ac:dyDescent="0.3">
      <c r="B484" s="157" t="s">
        <v>343</v>
      </c>
      <c r="C484" s="10" t="s">
        <v>344</v>
      </c>
      <c r="D484" s="184" t="s">
        <v>995</v>
      </c>
      <c r="E484" s="184"/>
      <c r="F484" s="184" t="s">
        <v>982</v>
      </c>
      <c r="G484" s="88">
        <v>1668.36</v>
      </c>
    </row>
    <row r="485" spans="2:7" x14ac:dyDescent="0.3">
      <c r="B485" s="157">
        <v>1941</v>
      </c>
      <c r="C485" s="10" t="s">
        <v>915</v>
      </c>
      <c r="D485" s="184" t="s">
        <v>981</v>
      </c>
      <c r="E485" s="184"/>
      <c r="F485" s="184" t="s">
        <v>982</v>
      </c>
      <c r="G485" s="88">
        <v>1666.77</v>
      </c>
    </row>
    <row r="486" spans="2:7" x14ac:dyDescent="0.3">
      <c r="B486" s="20">
        <v>5857</v>
      </c>
      <c r="C486" s="10" t="s">
        <v>1340</v>
      </c>
      <c r="D486" s="184" t="s">
        <v>1386</v>
      </c>
      <c r="E486" s="184"/>
      <c r="F486" s="184" t="s">
        <v>1387</v>
      </c>
      <c r="G486" s="63">
        <v>1652.05</v>
      </c>
    </row>
    <row r="487" spans="2:7" x14ac:dyDescent="0.3">
      <c r="B487" s="20" t="s">
        <v>1664</v>
      </c>
      <c r="C487" s="10" t="s">
        <v>1665</v>
      </c>
      <c r="D487" s="184" t="s">
        <v>1597</v>
      </c>
      <c r="E487" s="184"/>
      <c r="F487" s="184" t="s">
        <v>1387</v>
      </c>
      <c r="G487" s="63">
        <v>1627.87</v>
      </c>
    </row>
    <row r="488" spans="2:7" x14ac:dyDescent="0.3">
      <c r="B488" s="157" t="s">
        <v>1098</v>
      </c>
      <c r="C488" s="10" t="s">
        <v>1099</v>
      </c>
      <c r="D488" s="184" t="s">
        <v>981</v>
      </c>
      <c r="E488" s="184"/>
      <c r="F488" s="184" t="s">
        <v>982</v>
      </c>
      <c r="G488" s="88">
        <v>1601.14</v>
      </c>
    </row>
    <row r="489" spans="2:7" x14ac:dyDescent="0.3">
      <c r="B489" s="175" t="s">
        <v>73</v>
      </c>
      <c r="C489" s="8" t="s">
        <v>345</v>
      </c>
      <c r="D489" s="187">
        <v>46050</v>
      </c>
      <c r="E489" s="189" t="s">
        <v>199</v>
      </c>
      <c r="F489" s="183">
        <v>46381</v>
      </c>
      <c r="G489" s="178">
        <v>1599.6999999999998</v>
      </c>
    </row>
    <row r="490" spans="2:7" x14ac:dyDescent="0.3">
      <c r="B490" s="20">
        <v>2811</v>
      </c>
      <c r="C490" s="10" t="s">
        <v>1187</v>
      </c>
      <c r="D490" s="184" t="s">
        <v>1597</v>
      </c>
      <c r="E490" s="184"/>
      <c r="F490" s="184" t="s">
        <v>1387</v>
      </c>
      <c r="G490" s="63">
        <v>1567.71</v>
      </c>
    </row>
    <row r="491" spans="2:7" x14ac:dyDescent="0.3">
      <c r="B491" s="20" t="s">
        <v>1541</v>
      </c>
      <c r="C491" s="10" t="s">
        <v>1542</v>
      </c>
      <c r="D491" s="184" t="s">
        <v>1386</v>
      </c>
      <c r="E491" s="184"/>
      <c r="F491" s="184" t="s">
        <v>1387</v>
      </c>
      <c r="G491" s="63">
        <v>1562.21</v>
      </c>
    </row>
    <row r="492" spans="2:7" x14ac:dyDescent="0.3">
      <c r="B492" s="175">
        <v>514162</v>
      </c>
      <c r="C492" s="8" t="s">
        <v>346</v>
      </c>
      <c r="D492" s="187">
        <v>46050</v>
      </c>
      <c r="E492" s="189"/>
      <c r="F492" s="183">
        <v>46381</v>
      </c>
      <c r="G492" s="178">
        <v>1468.22</v>
      </c>
    </row>
    <row r="493" spans="2:7" x14ac:dyDescent="0.3">
      <c r="B493" s="20" t="s">
        <v>1220</v>
      </c>
      <c r="C493" s="10" t="s">
        <v>1210</v>
      </c>
      <c r="D493" s="184" t="s">
        <v>1597</v>
      </c>
      <c r="E493" s="184"/>
      <c r="F493" s="184" t="s">
        <v>1387</v>
      </c>
      <c r="G493" s="63">
        <v>1464.28</v>
      </c>
    </row>
    <row r="494" spans="2:7" x14ac:dyDescent="0.3">
      <c r="B494" s="20" t="s">
        <v>1543</v>
      </c>
      <c r="C494" s="10" t="s">
        <v>1544</v>
      </c>
      <c r="D494" s="184" t="s">
        <v>1386</v>
      </c>
      <c r="E494" s="184"/>
      <c r="F494" s="184" t="s">
        <v>1387</v>
      </c>
      <c r="G494" s="63">
        <v>1463.64</v>
      </c>
    </row>
    <row r="495" spans="2:7" x14ac:dyDescent="0.3">
      <c r="B495" s="157">
        <v>2127</v>
      </c>
      <c r="C495" s="10" t="s">
        <v>850</v>
      </c>
      <c r="D495" s="184" t="s">
        <v>981</v>
      </c>
      <c r="E495" s="184"/>
      <c r="F495" s="184" t="s">
        <v>982</v>
      </c>
      <c r="G495" s="88">
        <v>1462.41</v>
      </c>
    </row>
    <row r="496" spans="2:7" x14ac:dyDescent="0.3">
      <c r="B496" s="20">
        <v>531335</v>
      </c>
      <c r="C496" s="10" t="s">
        <v>1545</v>
      </c>
      <c r="D496" s="184" t="s">
        <v>1386</v>
      </c>
      <c r="E496" s="184"/>
      <c r="F496" s="184" t="s">
        <v>1387</v>
      </c>
      <c r="G496" s="63">
        <v>1453.69</v>
      </c>
    </row>
    <row r="497" spans="2:7" x14ac:dyDescent="0.3">
      <c r="B497" s="20">
        <v>531335</v>
      </c>
      <c r="C497" s="10" t="s">
        <v>1545</v>
      </c>
      <c r="D497" s="184" t="s">
        <v>1597</v>
      </c>
      <c r="E497" s="184"/>
      <c r="F497" s="184" t="s">
        <v>1387</v>
      </c>
      <c r="G497" s="63">
        <v>1453.69</v>
      </c>
    </row>
    <row r="498" spans="2:7" x14ac:dyDescent="0.3">
      <c r="B498" s="157" t="s">
        <v>1100</v>
      </c>
      <c r="C498" s="10" t="s">
        <v>1101</v>
      </c>
      <c r="D498" s="184" t="s">
        <v>981</v>
      </c>
      <c r="E498" s="184"/>
      <c r="F498" s="184" t="s">
        <v>982</v>
      </c>
      <c r="G498" s="88">
        <v>1451.24</v>
      </c>
    </row>
    <row r="499" spans="2:7" x14ac:dyDescent="0.3">
      <c r="B499" s="20">
        <v>4617</v>
      </c>
      <c r="C499" s="10" t="s">
        <v>1354</v>
      </c>
      <c r="D499" s="184" t="s">
        <v>1386</v>
      </c>
      <c r="E499" s="184"/>
      <c r="F499" s="184" t="s">
        <v>1387</v>
      </c>
      <c r="G499" s="63">
        <v>1443.72</v>
      </c>
    </row>
    <row r="500" spans="2:7" x14ac:dyDescent="0.3">
      <c r="B500" s="20">
        <v>524208</v>
      </c>
      <c r="C500" s="10" t="s">
        <v>1666</v>
      </c>
      <c r="D500" s="184" t="s">
        <v>1597</v>
      </c>
      <c r="E500" s="184"/>
      <c r="F500" s="184" t="s">
        <v>1387</v>
      </c>
      <c r="G500" s="63">
        <v>1438.89</v>
      </c>
    </row>
    <row r="501" spans="2:7" x14ac:dyDescent="0.3">
      <c r="B501" s="20" t="s">
        <v>1667</v>
      </c>
      <c r="C501" s="10" t="s">
        <v>1668</v>
      </c>
      <c r="D501" s="184" t="s">
        <v>1597</v>
      </c>
      <c r="E501" s="184"/>
      <c r="F501" s="184" t="s">
        <v>1387</v>
      </c>
      <c r="G501" s="63">
        <v>1433.27</v>
      </c>
    </row>
    <row r="502" spans="2:7" x14ac:dyDescent="0.3">
      <c r="B502" s="20" t="s">
        <v>1546</v>
      </c>
      <c r="C502" s="10" t="s">
        <v>1547</v>
      </c>
      <c r="D502" s="184" t="s">
        <v>1386</v>
      </c>
      <c r="E502" s="184"/>
      <c r="F502" s="184" t="s">
        <v>1387</v>
      </c>
      <c r="G502" s="63">
        <v>1429.73</v>
      </c>
    </row>
    <row r="503" spans="2:7" x14ac:dyDescent="0.3">
      <c r="B503" s="20" t="s">
        <v>1669</v>
      </c>
      <c r="C503" s="10" t="s">
        <v>1670</v>
      </c>
      <c r="D503" s="184" t="s">
        <v>1597</v>
      </c>
      <c r="E503" s="184"/>
      <c r="F503" s="184" t="s">
        <v>1387</v>
      </c>
      <c r="G503" s="63">
        <v>1422.97</v>
      </c>
    </row>
    <row r="504" spans="2:7" x14ac:dyDescent="0.3">
      <c r="B504" s="175" t="s">
        <v>87</v>
      </c>
      <c r="C504" s="8" t="s">
        <v>347</v>
      </c>
      <c r="D504" s="187">
        <v>46050</v>
      </c>
      <c r="E504" s="189"/>
      <c r="F504" s="183">
        <v>46381</v>
      </c>
      <c r="G504" s="178">
        <v>1421.28</v>
      </c>
    </row>
    <row r="505" spans="2:7" x14ac:dyDescent="0.3">
      <c r="B505" s="20">
        <v>4966</v>
      </c>
      <c r="C505" s="10" t="s">
        <v>1357</v>
      </c>
      <c r="D505" s="184" t="s">
        <v>1386</v>
      </c>
      <c r="E505" s="184"/>
      <c r="F505" s="184" t="s">
        <v>1387</v>
      </c>
      <c r="G505" s="63">
        <v>1411.5</v>
      </c>
    </row>
    <row r="506" spans="2:7" x14ac:dyDescent="0.3">
      <c r="B506" s="20" t="s">
        <v>1548</v>
      </c>
      <c r="C506" s="10" t="s">
        <v>1549</v>
      </c>
      <c r="D506" s="184" t="s">
        <v>1386</v>
      </c>
      <c r="E506" s="184"/>
      <c r="F506" s="184" t="s">
        <v>1387</v>
      </c>
      <c r="G506" s="63">
        <v>1399.58</v>
      </c>
    </row>
    <row r="507" spans="2:7" x14ac:dyDescent="0.3">
      <c r="B507" s="175">
        <v>7278</v>
      </c>
      <c r="C507" s="8" t="s">
        <v>348</v>
      </c>
      <c r="D507" s="187">
        <v>46050</v>
      </c>
      <c r="E507" s="189"/>
      <c r="F507" s="183">
        <v>46381</v>
      </c>
      <c r="G507" s="178">
        <v>1388.6699999999998</v>
      </c>
    </row>
    <row r="508" spans="2:7" x14ac:dyDescent="0.3">
      <c r="B508" s="20">
        <v>530007</v>
      </c>
      <c r="C508" s="10" t="s">
        <v>1671</v>
      </c>
      <c r="D508" s="184" t="s">
        <v>1597</v>
      </c>
      <c r="E508" s="184"/>
      <c r="F508" s="184" t="s">
        <v>1387</v>
      </c>
      <c r="G508" s="63">
        <v>1387.79</v>
      </c>
    </row>
    <row r="509" spans="2:7" x14ac:dyDescent="0.3">
      <c r="B509" s="20" t="s">
        <v>1672</v>
      </c>
      <c r="C509" s="10" t="s">
        <v>1673</v>
      </c>
      <c r="D509" s="184" t="s">
        <v>1597</v>
      </c>
      <c r="E509" s="184"/>
      <c r="F509" s="184" t="s">
        <v>1387</v>
      </c>
      <c r="G509" s="63">
        <v>1386.12</v>
      </c>
    </row>
    <row r="510" spans="2:7" x14ac:dyDescent="0.3">
      <c r="B510" s="20">
        <v>519600</v>
      </c>
      <c r="C510" s="10" t="s">
        <v>1550</v>
      </c>
      <c r="D510" s="184" t="s">
        <v>1386</v>
      </c>
      <c r="E510" s="184"/>
      <c r="F510" s="184" t="s">
        <v>1387</v>
      </c>
      <c r="G510" s="63">
        <v>1384.94</v>
      </c>
    </row>
    <row r="511" spans="2:7" x14ac:dyDescent="0.3">
      <c r="B511" s="157">
        <v>9509</v>
      </c>
      <c r="C511" s="10" t="s">
        <v>927</v>
      </c>
      <c r="D511" s="184" t="s">
        <v>981</v>
      </c>
      <c r="E511" s="184"/>
      <c r="F511" s="184" t="s">
        <v>982</v>
      </c>
      <c r="G511" s="88">
        <v>1375.29</v>
      </c>
    </row>
    <row r="512" spans="2:7" x14ac:dyDescent="0.3">
      <c r="B512" s="175" t="s">
        <v>349</v>
      </c>
      <c r="C512" s="8" t="s">
        <v>350</v>
      </c>
      <c r="D512" s="187">
        <v>46050</v>
      </c>
      <c r="E512" s="189"/>
      <c r="F512" s="183">
        <v>46381</v>
      </c>
      <c r="G512" s="178">
        <v>1374.47</v>
      </c>
    </row>
    <row r="513" spans="2:7" x14ac:dyDescent="0.3">
      <c r="B513" s="20" t="s">
        <v>1142</v>
      </c>
      <c r="C513" s="10" t="s">
        <v>1674</v>
      </c>
      <c r="D513" s="184" t="s">
        <v>1597</v>
      </c>
      <c r="E513" s="184"/>
      <c r="F513" s="184" t="s">
        <v>1387</v>
      </c>
      <c r="G513" s="63">
        <v>1374.15</v>
      </c>
    </row>
    <row r="514" spans="2:7" x14ac:dyDescent="0.3">
      <c r="B514" s="157">
        <v>526612</v>
      </c>
      <c r="C514" s="10" t="s">
        <v>1102</v>
      </c>
      <c r="D514" s="184" t="s">
        <v>981</v>
      </c>
      <c r="E514" s="184"/>
      <c r="F514" s="184" t="s">
        <v>982</v>
      </c>
      <c r="G514" s="88">
        <v>1372.25</v>
      </c>
    </row>
    <row r="515" spans="2:7" x14ac:dyDescent="0.3">
      <c r="B515" s="20">
        <v>4206</v>
      </c>
      <c r="C515" s="10" t="s">
        <v>1364</v>
      </c>
      <c r="D515" s="184" t="s">
        <v>1386</v>
      </c>
      <c r="E515" s="184"/>
      <c r="F515" s="184" t="s">
        <v>1387</v>
      </c>
      <c r="G515" s="63">
        <v>1369.93</v>
      </c>
    </row>
    <row r="516" spans="2:7" x14ac:dyDescent="0.3">
      <c r="B516" s="20" t="s">
        <v>1237</v>
      </c>
      <c r="C516" s="10" t="s">
        <v>1551</v>
      </c>
      <c r="D516" s="184" t="s">
        <v>1386</v>
      </c>
      <c r="E516" s="184"/>
      <c r="F516" s="184" t="s">
        <v>1387</v>
      </c>
      <c r="G516" s="63">
        <v>1368.75</v>
      </c>
    </row>
    <row r="517" spans="2:7" x14ac:dyDescent="0.3">
      <c r="B517" s="157" t="s">
        <v>942</v>
      </c>
      <c r="C517" s="10" t="s">
        <v>943</v>
      </c>
      <c r="D517" s="184" t="s">
        <v>981</v>
      </c>
      <c r="E517" s="184"/>
      <c r="F517" s="184" t="s">
        <v>982</v>
      </c>
      <c r="G517" s="88">
        <v>1356.47</v>
      </c>
    </row>
    <row r="518" spans="2:7" x14ac:dyDescent="0.3">
      <c r="B518" s="175" t="s">
        <v>103</v>
      </c>
      <c r="C518" s="8" t="s">
        <v>351</v>
      </c>
      <c r="D518" s="187">
        <v>46050</v>
      </c>
      <c r="E518" s="189"/>
      <c r="F518" s="183">
        <v>46381</v>
      </c>
      <c r="G518" s="178">
        <v>1322.25</v>
      </c>
    </row>
    <row r="519" spans="2:7" x14ac:dyDescent="0.3">
      <c r="B519" s="20" t="s">
        <v>1675</v>
      </c>
      <c r="C519" s="10" t="s">
        <v>1676</v>
      </c>
      <c r="D519" s="184" t="s">
        <v>1597</v>
      </c>
      <c r="E519" s="184"/>
      <c r="F519" s="184" t="s">
        <v>1387</v>
      </c>
      <c r="G519" s="63">
        <v>1321.64</v>
      </c>
    </row>
    <row r="520" spans="2:7" x14ac:dyDescent="0.3">
      <c r="B520" s="20" t="s">
        <v>1677</v>
      </c>
      <c r="C520" s="10" t="s">
        <v>1678</v>
      </c>
      <c r="D520" s="184" t="s">
        <v>1597</v>
      </c>
      <c r="E520" s="184"/>
      <c r="F520" s="184" t="s">
        <v>1387</v>
      </c>
      <c r="G520" s="63">
        <v>1307.1199999999999</v>
      </c>
    </row>
    <row r="521" spans="2:7" x14ac:dyDescent="0.3">
      <c r="B521" s="20" t="s">
        <v>1216</v>
      </c>
      <c r="C521" s="10" t="s">
        <v>1196</v>
      </c>
      <c r="D521" s="184" t="s">
        <v>1597</v>
      </c>
      <c r="E521" s="184"/>
      <c r="F521" s="184" t="s">
        <v>1387</v>
      </c>
      <c r="G521" s="63">
        <v>1298.17</v>
      </c>
    </row>
    <row r="522" spans="2:7" x14ac:dyDescent="0.3">
      <c r="B522" s="20">
        <v>6472</v>
      </c>
      <c r="C522" s="10" t="s">
        <v>1349</v>
      </c>
      <c r="D522" s="184" t="s">
        <v>1386</v>
      </c>
      <c r="E522" s="184"/>
      <c r="F522" s="184" t="s">
        <v>1387</v>
      </c>
      <c r="G522" s="63">
        <v>1286.19</v>
      </c>
    </row>
    <row r="523" spans="2:7" x14ac:dyDescent="0.3">
      <c r="B523" s="20">
        <v>8370</v>
      </c>
      <c r="C523" s="10" t="s">
        <v>1162</v>
      </c>
      <c r="D523" s="184" t="s">
        <v>1597</v>
      </c>
      <c r="E523" s="184"/>
      <c r="F523" s="184" t="s">
        <v>1387</v>
      </c>
      <c r="G523" s="63">
        <v>1286.06</v>
      </c>
    </row>
    <row r="524" spans="2:7" x14ac:dyDescent="0.3">
      <c r="B524" s="175" t="s">
        <v>102</v>
      </c>
      <c r="C524" s="8" t="s">
        <v>352</v>
      </c>
      <c r="D524" s="187">
        <v>46050</v>
      </c>
      <c r="E524" s="189"/>
      <c r="F524" s="183">
        <v>46381</v>
      </c>
      <c r="G524" s="178">
        <v>1284.77</v>
      </c>
    </row>
    <row r="525" spans="2:7" x14ac:dyDescent="0.3">
      <c r="B525" s="20" t="s">
        <v>1136</v>
      </c>
      <c r="C525" s="10" t="s">
        <v>1679</v>
      </c>
      <c r="D525" s="184" t="s">
        <v>1597</v>
      </c>
      <c r="E525" s="184" t="s">
        <v>199</v>
      </c>
      <c r="F525" s="184" t="s">
        <v>1387</v>
      </c>
      <c r="G525" s="63">
        <v>1279.79</v>
      </c>
    </row>
    <row r="526" spans="2:7" x14ac:dyDescent="0.3">
      <c r="B526" s="20" t="s">
        <v>1336</v>
      </c>
      <c r="C526" s="10" t="s">
        <v>1377</v>
      </c>
      <c r="D526" s="184" t="s">
        <v>1386</v>
      </c>
      <c r="E526" s="184"/>
      <c r="F526" s="184" t="s">
        <v>1387</v>
      </c>
      <c r="G526" s="63">
        <v>1276.02</v>
      </c>
    </row>
    <row r="527" spans="2:7" x14ac:dyDescent="0.3">
      <c r="B527" s="175" t="s">
        <v>100</v>
      </c>
      <c r="C527" s="8" t="s">
        <v>353</v>
      </c>
      <c r="D527" s="187">
        <v>46050</v>
      </c>
      <c r="E527" s="189" t="s">
        <v>199</v>
      </c>
      <c r="F527" s="183">
        <v>46381</v>
      </c>
      <c r="G527" s="178">
        <v>1264.4199999999998</v>
      </c>
    </row>
    <row r="528" spans="2:7" x14ac:dyDescent="0.3">
      <c r="B528" s="20">
        <v>523025</v>
      </c>
      <c r="C528" s="10" t="s">
        <v>1680</v>
      </c>
      <c r="D528" s="184" t="s">
        <v>1597</v>
      </c>
      <c r="E528" s="184"/>
      <c r="F528" s="184" t="s">
        <v>1387</v>
      </c>
      <c r="G528" s="63">
        <v>1251.0899999999999</v>
      </c>
    </row>
    <row r="529" spans="2:7" x14ac:dyDescent="0.3">
      <c r="B529" s="175" t="s">
        <v>98</v>
      </c>
      <c r="C529" s="8" t="s">
        <v>354</v>
      </c>
      <c r="D529" s="187">
        <v>46050</v>
      </c>
      <c r="E529" s="189" t="s">
        <v>203</v>
      </c>
      <c r="F529" s="183">
        <v>46381</v>
      </c>
      <c r="G529" s="178">
        <v>1242.24</v>
      </c>
    </row>
    <row r="530" spans="2:7" x14ac:dyDescent="0.3">
      <c r="B530" s="20" t="s">
        <v>1231</v>
      </c>
      <c r="C530" s="10" t="s">
        <v>1552</v>
      </c>
      <c r="D530" s="184" t="s">
        <v>1386</v>
      </c>
      <c r="E530" s="184" t="s">
        <v>203</v>
      </c>
      <c r="F530" s="184" t="s">
        <v>1387</v>
      </c>
      <c r="G530" s="63">
        <v>1231.9100000000001</v>
      </c>
    </row>
    <row r="531" spans="2:7" x14ac:dyDescent="0.3">
      <c r="B531" s="20" t="s">
        <v>1291</v>
      </c>
      <c r="C531" s="10" t="s">
        <v>1553</v>
      </c>
      <c r="D531" s="184" t="s">
        <v>1386</v>
      </c>
      <c r="E531" s="184" t="s">
        <v>199</v>
      </c>
      <c r="F531" s="184" t="s">
        <v>1387</v>
      </c>
      <c r="G531" s="63">
        <v>1213.1099999999999</v>
      </c>
    </row>
    <row r="532" spans="2:7" x14ac:dyDescent="0.3">
      <c r="B532" s="157">
        <v>4547</v>
      </c>
      <c r="C532" s="10" t="s">
        <v>863</v>
      </c>
      <c r="D532" s="184" t="s">
        <v>981</v>
      </c>
      <c r="E532" s="184"/>
      <c r="F532" s="184" t="s">
        <v>982</v>
      </c>
      <c r="G532" s="88">
        <v>1211.51</v>
      </c>
    </row>
    <row r="533" spans="2:7" x14ac:dyDescent="0.3">
      <c r="B533" s="175" t="s">
        <v>97</v>
      </c>
      <c r="C533" s="8" t="s">
        <v>355</v>
      </c>
      <c r="D533" s="187">
        <v>46050</v>
      </c>
      <c r="E533" s="189" t="s">
        <v>199</v>
      </c>
      <c r="F533" s="183">
        <v>46381</v>
      </c>
      <c r="G533" s="178">
        <v>1209.77</v>
      </c>
    </row>
    <row r="534" spans="2:7" x14ac:dyDescent="0.3">
      <c r="B534" s="20" t="s">
        <v>1681</v>
      </c>
      <c r="C534" s="10" t="s">
        <v>1682</v>
      </c>
      <c r="D534" s="184" t="s">
        <v>1597</v>
      </c>
      <c r="E534" s="184"/>
      <c r="F534" s="184" t="s">
        <v>1387</v>
      </c>
      <c r="G534" s="63">
        <v>1191.81</v>
      </c>
    </row>
    <row r="535" spans="2:7" x14ac:dyDescent="0.3">
      <c r="B535" s="20" t="s">
        <v>1554</v>
      </c>
      <c r="C535" s="10" t="s">
        <v>1555</v>
      </c>
      <c r="D535" s="184" t="s">
        <v>1386</v>
      </c>
      <c r="E535" s="184"/>
      <c r="F535" s="184" t="s">
        <v>1387</v>
      </c>
      <c r="G535" s="63">
        <v>1189.49</v>
      </c>
    </row>
    <row r="536" spans="2:7" x14ac:dyDescent="0.3">
      <c r="B536" s="20" t="s">
        <v>1328</v>
      </c>
      <c r="C536" s="10" t="s">
        <v>1373</v>
      </c>
      <c r="D536" s="184" t="s">
        <v>1386</v>
      </c>
      <c r="E536" s="184"/>
      <c r="F536" s="184" t="s">
        <v>1387</v>
      </c>
      <c r="G536" s="63">
        <v>1185.0899999999999</v>
      </c>
    </row>
    <row r="537" spans="2:7" x14ac:dyDescent="0.3">
      <c r="B537" s="20" t="s">
        <v>1326</v>
      </c>
      <c r="C537" s="10" t="s">
        <v>1556</v>
      </c>
      <c r="D537" s="184" t="s">
        <v>1386</v>
      </c>
      <c r="E537" s="184"/>
      <c r="F537" s="184" t="s">
        <v>1387</v>
      </c>
      <c r="G537" s="63">
        <v>1184.31</v>
      </c>
    </row>
    <row r="538" spans="2:7" x14ac:dyDescent="0.3">
      <c r="B538" s="157">
        <v>1950</v>
      </c>
      <c r="C538" s="10" t="s">
        <v>868</v>
      </c>
      <c r="D538" s="184" t="s">
        <v>981</v>
      </c>
      <c r="E538" s="184"/>
      <c r="F538" s="184" t="s">
        <v>982</v>
      </c>
      <c r="G538" s="88">
        <v>1177.07</v>
      </c>
    </row>
    <row r="539" spans="2:7" x14ac:dyDescent="0.3">
      <c r="B539" s="20" t="s">
        <v>1307</v>
      </c>
      <c r="C539" s="10" t="s">
        <v>1557</v>
      </c>
      <c r="D539" s="184" t="s">
        <v>1386</v>
      </c>
      <c r="E539" s="184" t="s">
        <v>199</v>
      </c>
      <c r="F539" s="184" t="s">
        <v>1387</v>
      </c>
      <c r="G539" s="63">
        <v>1171.68</v>
      </c>
    </row>
    <row r="540" spans="2:7" x14ac:dyDescent="0.3">
      <c r="B540" s="157">
        <v>2121</v>
      </c>
      <c r="C540" s="10" t="s">
        <v>857</v>
      </c>
      <c r="D540" s="184" t="s">
        <v>981</v>
      </c>
      <c r="E540" s="184"/>
      <c r="F540" s="184" t="s">
        <v>982</v>
      </c>
      <c r="G540" s="88">
        <v>1159.81</v>
      </c>
    </row>
    <row r="541" spans="2:7" x14ac:dyDescent="0.3">
      <c r="B541" s="20">
        <v>8367</v>
      </c>
      <c r="C541" s="10" t="s">
        <v>1344</v>
      </c>
      <c r="D541" s="184" t="s">
        <v>1386</v>
      </c>
      <c r="E541" s="184"/>
      <c r="F541" s="184" t="s">
        <v>1387</v>
      </c>
      <c r="G541" s="63">
        <v>1158.6500000000001</v>
      </c>
    </row>
    <row r="542" spans="2:7" x14ac:dyDescent="0.3">
      <c r="B542" s="20">
        <v>5482</v>
      </c>
      <c r="C542" s="10" t="s">
        <v>1342</v>
      </c>
      <c r="D542" s="184" t="s">
        <v>1386</v>
      </c>
      <c r="E542" s="184"/>
      <c r="F542" s="184" t="s">
        <v>1387</v>
      </c>
      <c r="G542" s="63">
        <v>1151.6300000000001</v>
      </c>
    </row>
    <row r="543" spans="2:7" x14ac:dyDescent="0.3">
      <c r="B543" s="157">
        <v>8585</v>
      </c>
      <c r="C543" s="10" t="s">
        <v>895</v>
      </c>
      <c r="D543" s="184" t="s">
        <v>981</v>
      </c>
      <c r="E543" s="184"/>
      <c r="F543" s="184" t="s">
        <v>982</v>
      </c>
      <c r="G543" s="88">
        <v>1147.01</v>
      </c>
    </row>
    <row r="544" spans="2:7" x14ac:dyDescent="0.3">
      <c r="B544" s="20">
        <v>7981</v>
      </c>
      <c r="C544" s="10" t="s">
        <v>1178</v>
      </c>
      <c r="D544" s="184" t="s">
        <v>1597</v>
      </c>
      <c r="E544" s="184"/>
      <c r="F544" s="184" t="s">
        <v>1387</v>
      </c>
      <c r="G544" s="63">
        <v>1145.6199999999999</v>
      </c>
    </row>
    <row r="545" spans="2:7" x14ac:dyDescent="0.3">
      <c r="B545" s="157">
        <v>7476</v>
      </c>
      <c r="C545" s="10" t="s">
        <v>891</v>
      </c>
      <c r="D545" s="184" t="s">
        <v>981</v>
      </c>
      <c r="E545" s="184"/>
      <c r="F545" s="184" t="s">
        <v>982</v>
      </c>
      <c r="G545" s="88">
        <v>1142.3599999999999</v>
      </c>
    </row>
    <row r="546" spans="2:7" x14ac:dyDescent="0.3">
      <c r="B546" s="157" t="s">
        <v>1103</v>
      </c>
      <c r="C546" s="10" t="s">
        <v>1104</v>
      </c>
      <c r="D546" s="184" t="s">
        <v>981</v>
      </c>
      <c r="E546" s="184"/>
      <c r="F546" s="184" t="s">
        <v>982</v>
      </c>
      <c r="G546" s="88">
        <v>1141.76</v>
      </c>
    </row>
    <row r="547" spans="2:7" x14ac:dyDescent="0.3">
      <c r="B547" s="157" t="s">
        <v>972</v>
      </c>
      <c r="C547" s="10" t="s">
        <v>973</v>
      </c>
      <c r="D547" s="184" t="s">
        <v>995</v>
      </c>
      <c r="E547" s="184"/>
      <c r="F547" s="184" t="s">
        <v>982</v>
      </c>
      <c r="G547" s="88">
        <v>1138.9000000000001</v>
      </c>
    </row>
    <row r="548" spans="2:7" x14ac:dyDescent="0.3">
      <c r="B548" s="20" t="s">
        <v>1558</v>
      </c>
      <c r="C548" s="10" t="s">
        <v>1559</v>
      </c>
      <c r="D548" s="184" t="s">
        <v>1386</v>
      </c>
      <c r="E548" s="184"/>
      <c r="F548" s="184" t="s">
        <v>1387</v>
      </c>
      <c r="G548" s="63">
        <v>1135.6600000000001</v>
      </c>
    </row>
    <row r="549" spans="2:7" x14ac:dyDescent="0.3">
      <c r="B549" s="20">
        <v>8386</v>
      </c>
      <c r="C549" s="10" t="s">
        <v>1166</v>
      </c>
      <c r="D549" s="184" t="s">
        <v>1386</v>
      </c>
      <c r="E549" s="184"/>
      <c r="F549" s="184" t="s">
        <v>1387</v>
      </c>
      <c r="G549" s="63">
        <v>1134.57</v>
      </c>
    </row>
    <row r="550" spans="2:7" x14ac:dyDescent="0.3">
      <c r="B550" s="20">
        <v>8386</v>
      </c>
      <c r="C550" s="10" t="s">
        <v>1166</v>
      </c>
      <c r="D550" s="184" t="s">
        <v>1597</v>
      </c>
      <c r="E550" s="184"/>
      <c r="F550" s="184" t="s">
        <v>1387</v>
      </c>
      <c r="G550" s="63">
        <v>1134.57</v>
      </c>
    </row>
    <row r="551" spans="2:7" x14ac:dyDescent="0.3">
      <c r="B551" s="20">
        <v>6632</v>
      </c>
      <c r="C551" s="10" t="s">
        <v>1370</v>
      </c>
      <c r="D551" s="184" t="s">
        <v>1386</v>
      </c>
      <c r="E551" s="184"/>
      <c r="F551" s="184" t="s">
        <v>1387</v>
      </c>
      <c r="G551" s="63">
        <v>1130.17</v>
      </c>
    </row>
    <row r="552" spans="2:7" x14ac:dyDescent="0.3">
      <c r="B552" s="157">
        <v>530517</v>
      </c>
      <c r="C552" s="10" t="s">
        <v>1105</v>
      </c>
      <c r="D552" s="184" t="s">
        <v>981</v>
      </c>
      <c r="E552" s="184"/>
      <c r="F552" s="184" t="s">
        <v>982</v>
      </c>
      <c r="G552" s="88">
        <v>1123.42</v>
      </c>
    </row>
    <row r="553" spans="2:7" x14ac:dyDescent="0.3">
      <c r="B553" s="20">
        <v>5384</v>
      </c>
      <c r="C553" s="10" t="s">
        <v>1361</v>
      </c>
      <c r="D553" s="184" t="s">
        <v>1386</v>
      </c>
      <c r="E553" s="184"/>
      <c r="F553" s="184" t="s">
        <v>1387</v>
      </c>
      <c r="G553" s="63">
        <v>1119.56</v>
      </c>
    </row>
    <row r="554" spans="2:7" x14ac:dyDescent="0.3">
      <c r="B554" s="175">
        <v>6807</v>
      </c>
      <c r="C554" s="8" t="s">
        <v>356</v>
      </c>
      <c r="D554" s="187">
        <v>46050</v>
      </c>
      <c r="E554" s="189"/>
      <c r="F554" s="183">
        <v>46381</v>
      </c>
      <c r="G554" s="178">
        <v>1116.73</v>
      </c>
    </row>
    <row r="555" spans="2:7" x14ac:dyDescent="0.3">
      <c r="B555" s="157" t="s">
        <v>946</v>
      </c>
      <c r="C555" s="10" t="s">
        <v>947</v>
      </c>
      <c r="D555" s="184" t="s">
        <v>981</v>
      </c>
      <c r="E555" s="184"/>
      <c r="F555" s="184" t="s">
        <v>982</v>
      </c>
      <c r="G555" s="88">
        <v>1108.56</v>
      </c>
    </row>
    <row r="556" spans="2:7" x14ac:dyDescent="0.3">
      <c r="B556" s="20" t="s">
        <v>1560</v>
      </c>
      <c r="C556" s="10" t="s">
        <v>1561</v>
      </c>
      <c r="D556" s="184" t="s">
        <v>1386</v>
      </c>
      <c r="E556" s="184"/>
      <c r="F556" s="184" t="s">
        <v>1387</v>
      </c>
      <c r="G556" s="63">
        <v>1097.22</v>
      </c>
    </row>
    <row r="557" spans="2:7" x14ac:dyDescent="0.3">
      <c r="B557" s="20" t="s">
        <v>1560</v>
      </c>
      <c r="C557" s="10" t="s">
        <v>1561</v>
      </c>
      <c r="D557" s="184" t="s">
        <v>1597</v>
      </c>
      <c r="E557" s="184"/>
      <c r="F557" s="184" t="s">
        <v>1387</v>
      </c>
      <c r="G557" s="63">
        <v>1097.22</v>
      </c>
    </row>
    <row r="558" spans="2:7" x14ac:dyDescent="0.3">
      <c r="B558" s="175" t="s">
        <v>94</v>
      </c>
      <c r="C558" s="8" t="s">
        <v>357</v>
      </c>
      <c r="D558" s="187">
        <v>46050</v>
      </c>
      <c r="E558" s="189"/>
      <c r="F558" s="183">
        <v>46351</v>
      </c>
      <c r="G558" s="178">
        <v>1091.95</v>
      </c>
    </row>
    <row r="559" spans="2:7" x14ac:dyDescent="0.3">
      <c r="B559" s="175" t="s">
        <v>92</v>
      </c>
      <c r="C559" s="8" t="s">
        <v>358</v>
      </c>
      <c r="D559" s="187">
        <v>46050</v>
      </c>
      <c r="E559" s="189" t="s">
        <v>199</v>
      </c>
      <c r="F559" s="183">
        <v>46381</v>
      </c>
      <c r="G559" s="178">
        <v>1090.54</v>
      </c>
    </row>
    <row r="560" spans="2:7" x14ac:dyDescent="0.3">
      <c r="B560" s="157" t="s">
        <v>970</v>
      </c>
      <c r="C560" s="10" t="s">
        <v>971</v>
      </c>
      <c r="D560" s="184" t="s">
        <v>995</v>
      </c>
      <c r="E560" s="184"/>
      <c r="F560" s="184" t="s">
        <v>982</v>
      </c>
      <c r="G560" s="88">
        <v>1072.56</v>
      </c>
    </row>
    <row r="561" spans="2:7" x14ac:dyDescent="0.3">
      <c r="B561" s="157">
        <v>9936</v>
      </c>
      <c r="C561" s="10" t="s">
        <v>890</v>
      </c>
      <c r="D561" s="184" t="s">
        <v>981</v>
      </c>
      <c r="E561" s="184"/>
      <c r="F561" s="184" t="s">
        <v>982</v>
      </c>
      <c r="G561" s="88">
        <v>1072.56</v>
      </c>
    </row>
    <row r="562" spans="2:7" x14ac:dyDescent="0.3">
      <c r="B562" s="157" t="s">
        <v>1106</v>
      </c>
      <c r="C562" s="10" t="s">
        <v>1107</v>
      </c>
      <c r="D562" s="184" t="s">
        <v>981</v>
      </c>
      <c r="E562" s="184"/>
      <c r="F562" s="184" t="s">
        <v>982</v>
      </c>
      <c r="G562" s="88">
        <v>1068.71</v>
      </c>
    </row>
    <row r="563" spans="2:7" x14ac:dyDescent="0.3">
      <c r="B563" s="20" t="s">
        <v>1562</v>
      </c>
      <c r="C563" s="10" t="s">
        <v>1563</v>
      </c>
      <c r="D563" s="184" t="s">
        <v>1386</v>
      </c>
      <c r="E563" s="184"/>
      <c r="F563" s="184" t="s">
        <v>1387</v>
      </c>
      <c r="G563" s="63">
        <v>1068.1300000000001</v>
      </c>
    </row>
    <row r="564" spans="2:7" x14ac:dyDescent="0.3">
      <c r="B564" s="20" t="s">
        <v>1562</v>
      </c>
      <c r="C564" s="10" t="s">
        <v>1563</v>
      </c>
      <c r="D564" s="184" t="s">
        <v>1597</v>
      </c>
      <c r="E564" s="184"/>
      <c r="F564" s="184" t="s">
        <v>1387</v>
      </c>
      <c r="G564" s="63">
        <v>1068.1300000000001</v>
      </c>
    </row>
    <row r="565" spans="2:7" x14ac:dyDescent="0.3">
      <c r="B565" s="157">
        <v>9708</v>
      </c>
      <c r="C565" s="10" t="s">
        <v>865</v>
      </c>
      <c r="D565" s="184" t="s">
        <v>981</v>
      </c>
      <c r="E565" s="184"/>
      <c r="F565" s="184" t="s">
        <v>982</v>
      </c>
      <c r="G565" s="88">
        <v>1062.3900000000001</v>
      </c>
    </row>
    <row r="566" spans="2:7" x14ac:dyDescent="0.3">
      <c r="B566" s="157" t="s">
        <v>805</v>
      </c>
      <c r="C566" s="10" t="s">
        <v>1108</v>
      </c>
      <c r="D566" s="184" t="s">
        <v>981</v>
      </c>
      <c r="E566" s="184"/>
      <c r="F566" s="184" t="s">
        <v>982</v>
      </c>
      <c r="G566" s="88">
        <v>1059.1600000000001</v>
      </c>
    </row>
    <row r="567" spans="2:7" x14ac:dyDescent="0.3">
      <c r="B567" s="157">
        <v>8388</v>
      </c>
      <c r="C567" s="10" t="s">
        <v>859</v>
      </c>
      <c r="D567" s="184" t="s">
        <v>981</v>
      </c>
      <c r="E567" s="184"/>
      <c r="F567" s="184" t="s">
        <v>982</v>
      </c>
      <c r="G567" s="88">
        <v>1054.1199999999999</v>
      </c>
    </row>
    <row r="568" spans="2:7" x14ac:dyDescent="0.3">
      <c r="B568" s="157" t="s">
        <v>809</v>
      </c>
      <c r="C568" s="10" t="s">
        <v>1109</v>
      </c>
      <c r="D568" s="184" t="s">
        <v>981</v>
      </c>
      <c r="E568" s="184"/>
      <c r="F568" s="184" t="s">
        <v>982</v>
      </c>
      <c r="G568" s="88">
        <v>1050.3900000000001</v>
      </c>
    </row>
    <row r="569" spans="2:7" x14ac:dyDescent="0.3">
      <c r="B569" s="20" t="s">
        <v>1564</v>
      </c>
      <c r="C569" s="10" t="s">
        <v>1565</v>
      </c>
      <c r="D569" s="184" t="s">
        <v>1386</v>
      </c>
      <c r="E569" s="184"/>
      <c r="F569" s="184" t="s">
        <v>1387</v>
      </c>
      <c r="G569" s="63">
        <v>1049.43</v>
      </c>
    </row>
    <row r="570" spans="2:7" x14ac:dyDescent="0.3">
      <c r="B570" s="175">
        <v>8336</v>
      </c>
      <c r="C570" s="8" t="s">
        <v>359</v>
      </c>
      <c r="D570" s="187">
        <v>46050</v>
      </c>
      <c r="E570" s="189"/>
      <c r="F570" s="183">
        <v>46381</v>
      </c>
      <c r="G570" s="178">
        <v>1048.8699999999999</v>
      </c>
    </row>
    <row r="571" spans="2:7" x14ac:dyDescent="0.3">
      <c r="B571" s="20" t="s">
        <v>1683</v>
      </c>
      <c r="C571" s="10" t="s">
        <v>1684</v>
      </c>
      <c r="D571" s="184" t="s">
        <v>1597</v>
      </c>
      <c r="E571" s="184"/>
      <c r="F571" s="184" t="s">
        <v>1387</v>
      </c>
      <c r="G571" s="63">
        <v>1047.44</v>
      </c>
    </row>
    <row r="572" spans="2:7" x14ac:dyDescent="0.3">
      <c r="B572" s="20" t="s">
        <v>1566</v>
      </c>
      <c r="C572" s="10" t="s">
        <v>1567</v>
      </c>
      <c r="D572" s="184" t="s">
        <v>1386</v>
      </c>
      <c r="E572" s="184"/>
      <c r="F572" s="184" t="s">
        <v>1387</v>
      </c>
      <c r="G572" s="63">
        <v>1047.07</v>
      </c>
    </row>
    <row r="573" spans="2:7" x14ac:dyDescent="0.3">
      <c r="B573" s="157">
        <v>9110</v>
      </c>
      <c r="C573" s="10" t="s">
        <v>913</v>
      </c>
      <c r="D573" s="184" t="s">
        <v>981</v>
      </c>
      <c r="E573" s="184"/>
      <c r="F573" s="184" t="s">
        <v>982</v>
      </c>
      <c r="G573" s="88">
        <v>1038.99</v>
      </c>
    </row>
    <row r="574" spans="2:7" x14ac:dyDescent="0.3">
      <c r="B574" s="20" t="s">
        <v>1685</v>
      </c>
      <c r="C574" s="10" t="s">
        <v>1686</v>
      </c>
      <c r="D574" s="184" t="s">
        <v>1597</v>
      </c>
      <c r="E574" s="184"/>
      <c r="F574" s="184" t="s">
        <v>1387</v>
      </c>
      <c r="G574" s="63">
        <v>1034.78</v>
      </c>
    </row>
    <row r="575" spans="2:7" x14ac:dyDescent="0.3">
      <c r="B575" s="157" t="s">
        <v>1110</v>
      </c>
      <c r="C575" s="10" t="s">
        <v>1111</v>
      </c>
      <c r="D575" s="184" t="s">
        <v>981</v>
      </c>
      <c r="E575" s="184"/>
      <c r="F575" s="184" t="s">
        <v>982</v>
      </c>
      <c r="G575" s="88">
        <v>1034.77</v>
      </c>
    </row>
    <row r="576" spans="2:7" x14ac:dyDescent="0.3">
      <c r="B576" s="20" t="s">
        <v>1161</v>
      </c>
      <c r="C576" s="10" t="s">
        <v>1687</v>
      </c>
      <c r="D576" s="184" t="s">
        <v>1597</v>
      </c>
      <c r="E576" s="184"/>
      <c r="F576" s="184" t="s">
        <v>1387</v>
      </c>
      <c r="G576" s="63">
        <v>1034.27</v>
      </c>
    </row>
    <row r="577" spans="2:7" x14ac:dyDescent="0.3">
      <c r="B577" s="157" t="s">
        <v>1112</v>
      </c>
      <c r="C577" s="10" t="s">
        <v>1113</v>
      </c>
      <c r="D577" s="184" t="s">
        <v>981</v>
      </c>
      <c r="E577" s="184"/>
      <c r="F577" s="184" t="s">
        <v>982</v>
      </c>
      <c r="G577" s="88">
        <v>1030.08</v>
      </c>
    </row>
    <row r="578" spans="2:7" x14ac:dyDescent="0.3">
      <c r="B578" s="175">
        <v>9551</v>
      </c>
      <c r="C578" s="8" t="s">
        <v>360</v>
      </c>
      <c r="D578" s="187">
        <v>46050</v>
      </c>
      <c r="E578" s="189"/>
      <c r="F578" s="183">
        <v>46381</v>
      </c>
      <c r="G578" s="178">
        <v>1003.1099999999999</v>
      </c>
    </row>
    <row r="579" spans="2:7" x14ac:dyDescent="0.3">
      <c r="B579" s="175">
        <v>540575</v>
      </c>
      <c r="C579" s="8" t="s">
        <v>361</v>
      </c>
      <c r="D579" s="187">
        <v>46050</v>
      </c>
      <c r="E579" s="189"/>
      <c r="F579" s="183">
        <v>46381</v>
      </c>
      <c r="G579" s="178">
        <v>996.06999999999994</v>
      </c>
    </row>
    <row r="580" spans="2:7" x14ac:dyDescent="0.3">
      <c r="B580" s="175" t="s">
        <v>89</v>
      </c>
      <c r="C580" s="8" t="s">
        <v>362</v>
      </c>
      <c r="D580" s="187">
        <v>46050</v>
      </c>
      <c r="E580" s="189" t="s">
        <v>199</v>
      </c>
      <c r="F580" s="183">
        <v>46381</v>
      </c>
      <c r="G580" s="178">
        <v>993.2299999999999</v>
      </c>
    </row>
    <row r="581" spans="2:7" x14ac:dyDescent="0.3">
      <c r="B581" s="20" t="s">
        <v>1568</v>
      </c>
      <c r="C581" s="10" t="s">
        <v>1569</v>
      </c>
      <c r="D581" s="184" t="s">
        <v>1386</v>
      </c>
      <c r="E581" s="184"/>
      <c r="F581" s="184" t="s">
        <v>1387</v>
      </c>
      <c r="G581" s="63">
        <v>975.97</v>
      </c>
    </row>
    <row r="582" spans="2:7" x14ac:dyDescent="0.3">
      <c r="B582" s="20">
        <v>8346</v>
      </c>
      <c r="C582" s="10" t="s">
        <v>1169</v>
      </c>
      <c r="D582" s="184" t="s">
        <v>1597</v>
      </c>
      <c r="E582" s="184"/>
      <c r="F582" s="184" t="s">
        <v>1387</v>
      </c>
      <c r="G582" s="63">
        <v>975.05</v>
      </c>
    </row>
    <row r="583" spans="2:7" x14ac:dyDescent="0.3">
      <c r="B583" s="157">
        <v>5703</v>
      </c>
      <c r="C583" s="10" t="s">
        <v>892</v>
      </c>
      <c r="D583" s="184" t="s">
        <v>981</v>
      </c>
      <c r="E583" s="184"/>
      <c r="F583" s="184" t="s">
        <v>982</v>
      </c>
      <c r="G583" s="88">
        <v>974.77</v>
      </c>
    </row>
    <row r="584" spans="2:7" x14ac:dyDescent="0.3">
      <c r="B584" s="175" t="s">
        <v>363</v>
      </c>
      <c r="C584" s="8" t="s">
        <v>364</v>
      </c>
      <c r="D584" s="187">
        <v>46050</v>
      </c>
      <c r="E584" s="189"/>
      <c r="F584" s="183">
        <v>46381</v>
      </c>
      <c r="G584" s="178">
        <v>973.78</v>
      </c>
    </row>
    <row r="585" spans="2:7" x14ac:dyDescent="0.3">
      <c r="B585" s="157" t="s">
        <v>363</v>
      </c>
      <c r="C585" s="10" t="s">
        <v>364</v>
      </c>
      <c r="D585" s="184" t="s">
        <v>981</v>
      </c>
      <c r="E585" s="184"/>
      <c r="F585" s="184" t="s">
        <v>982</v>
      </c>
      <c r="G585" s="88">
        <v>973.78</v>
      </c>
    </row>
    <row r="586" spans="2:7" x14ac:dyDescent="0.3">
      <c r="B586" s="20" t="s">
        <v>1570</v>
      </c>
      <c r="C586" s="10" t="s">
        <v>1393</v>
      </c>
      <c r="D586" s="184" t="s">
        <v>1386</v>
      </c>
      <c r="E586" s="184" t="s">
        <v>199</v>
      </c>
      <c r="F586" s="184" t="s">
        <v>1387</v>
      </c>
      <c r="G586" s="63">
        <v>966.76</v>
      </c>
    </row>
    <row r="587" spans="2:7" x14ac:dyDescent="0.3">
      <c r="B587" s="157">
        <v>8803</v>
      </c>
      <c r="C587" s="10" t="s">
        <v>851</v>
      </c>
      <c r="D587" s="184" t="s">
        <v>981</v>
      </c>
      <c r="E587" s="184"/>
      <c r="F587" s="184" t="s">
        <v>982</v>
      </c>
      <c r="G587" s="88">
        <v>965.47</v>
      </c>
    </row>
    <row r="588" spans="2:7" x14ac:dyDescent="0.3">
      <c r="B588" s="157" t="s">
        <v>1114</v>
      </c>
      <c r="C588" s="10" t="s">
        <v>1115</v>
      </c>
      <c r="D588" s="184" t="s">
        <v>981</v>
      </c>
      <c r="E588" s="184"/>
      <c r="F588" s="184" t="s">
        <v>982</v>
      </c>
      <c r="G588" s="88">
        <v>961.36</v>
      </c>
    </row>
    <row r="589" spans="2:7" x14ac:dyDescent="0.3">
      <c r="B589" s="20">
        <v>7224</v>
      </c>
      <c r="C589" s="10" t="s">
        <v>1185</v>
      </c>
      <c r="D589" s="184" t="s">
        <v>1386</v>
      </c>
      <c r="E589" s="184"/>
      <c r="F589" s="184" t="s">
        <v>1387</v>
      </c>
      <c r="G589" s="63">
        <v>950.01</v>
      </c>
    </row>
    <row r="590" spans="2:7" x14ac:dyDescent="0.3">
      <c r="B590" s="20">
        <v>7224</v>
      </c>
      <c r="C590" s="10" t="s">
        <v>1185</v>
      </c>
      <c r="D590" s="184" t="s">
        <v>1597</v>
      </c>
      <c r="E590" s="184"/>
      <c r="F590" s="184" t="s">
        <v>1387</v>
      </c>
      <c r="G590" s="63">
        <v>950.01</v>
      </c>
    </row>
    <row r="591" spans="2:7" x14ac:dyDescent="0.3">
      <c r="B591" s="20">
        <v>6486</v>
      </c>
      <c r="C591" s="10" t="s">
        <v>1346</v>
      </c>
      <c r="D591" s="184" t="s">
        <v>1386</v>
      </c>
      <c r="E591" s="184"/>
      <c r="F591" s="184" t="s">
        <v>1387</v>
      </c>
      <c r="G591" s="63">
        <v>947.51</v>
      </c>
    </row>
    <row r="592" spans="2:7" x14ac:dyDescent="0.3">
      <c r="B592" s="157">
        <v>9715</v>
      </c>
      <c r="C592" s="10" t="s">
        <v>880</v>
      </c>
      <c r="D592" s="184" t="s">
        <v>981</v>
      </c>
      <c r="E592" s="184"/>
      <c r="F592" s="184" t="s">
        <v>982</v>
      </c>
      <c r="G592" s="88">
        <v>945.12</v>
      </c>
    </row>
    <row r="593" spans="2:7" x14ac:dyDescent="0.3">
      <c r="B593" s="157">
        <v>9882</v>
      </c>
      <c r="C593" s="10" t="s">
        <v>877</v>
      </c>
      <c r="D593" s="184" t="s">
        <v>981</v>
      </c>
      <c r="E593" s="184"/>
      <c r="F593" s="184" t="s">
        <v>982</v>
      </c>
      <c r="G593" s="88">
        <v>942.49</v>
      </c>
    </row>
    <row r="594" spans="2:7" x14ac:dyDescent="0.3">
      <c r="B594" s="20" t="s">
        <v>1571</v>
      </c>
      <c r="C594" s="10" t="s">
        <v>1572</v>
      </c>
      <c r="D594" s="184" t="s">
        <v>1386</v>
      </c>
      <c r="E594" s="184"/>
      <c r="F594" s="184" t="s">
        <v>1387</v>
      </c>
      <c r="G594" s="63">
        <v>935.44</v>
      </c>
    </row>
    <row r="595" spans="2:7" x14ac:dyDescent="0.3">
      <c r="B595" s="157" t="s">
        <v>1116</v>
      </c>
      <c r="C595" s="10" t="s">
        <v>1117</v>
      </c>
      <c r="D595" s="184" t="s">
        <v>981</v>
      </c>
      <c r="E595" s="184"/>
      <c r="F595" s="184" t="s">
        <v>982</v>
      </c>
      <c r="G595" s="88">
        <v>931.38</v>
      </c>
    </row>
    <row r="596" spans="2:7" x14ac:dyDescent="0.3">
      <c r="B596" s="20" t="s">
        <v>1688</v>
      </c>
      <c r="C596" s="10" t="s">
        <v>1689</v>
      </c>
      <c r="D596" s="184" t="s">
        <v>1597</v>
      </c>
      <c r="E596" s="184"/>
      <c r="F596" s="184" t="s">
        <v>1387</v>
      </c>
      <c r="G596" s="63">
        <v>912.98</v>
      </c>
    </row>
    <row r="597" spans="2:7" x14ac:dyDescent="0.3">
      <c r="B597" s="20">
        <v>2281</v>
      </c>
      <c r="C597" s="10" t="s">
        <v>1177</v>
      </c>
      <c r="D597" s="184" t="s">
        <v>1597</v>
      </c>
      <c r="E597" s="184"/>
      <c r="F597" s="184" t="s">
        <v>1387</v>
      </c>
      <c r="G597" s="63">
        <v>909</v>
      </c>
    </row>
    <row r="598" spans="2:7" x14ac:dyDescent="0.3">
      <c r="B598" s="157">
        <v>5352</v>
      </c>
      <c r="C598" s="10" t="s">
        <v>912</v>
      </c>
      <c r="D598" s="184" t="s">
        <v>981</v>
      </c>
      <c r="E598" s="184"/>
      <c r="F598" s="184" t="s">
        <v>982</v>
      </c>
      <c r="G598" s="88">
        <v>902.31</v>
      </c>
    </row>
    <row r="599" spans="2:7" x14ac:dyDescent="0.3">
      <c r="B599" s="157">
        <v>2175</v>
      </c>
      <c r="C599" s="10" t="s">
        <v>886</v>
      </c>
      <c r="D599" s="184" t="s">
        <v>981</v>
      </c>
      <c r="E599" s="184"/>
      <c r="F599" s="184" t="s">
        <v>982</v>
      </c>
      <c r="G599" s="88">
        <v>882.33</v>
      </c>
    </row>
    <row r="600" spans="2:7" x14ac:dyDescent="0.3">
      <c r="B600" s="175" t="s">
        <v>365</v>
      </c>
      <c r="C600" s="8" t="s">
        <v>366</v>
      </c>
      <c r="D600" s="187">
        <v>46050</v>
      </c>
      <c r="E600" s="189"/>
      <c r="F600" s="183">
        <v>46381</v>
      </c>
      <c r="G600" s="178">
        <v>874.81</v>
      </c>
    </row>
    <row r="601" spans="2:7" x14ac:dyDescent="0.3">
      <c r="B601" s="20" t="s">
        <v>1573</v>
      </c>
      <c r="C601" s="10" t="s">
        <v>1574</v>
      </c>
      <c r="D601" s="184" t="s">
        <v>1386</v>
      </c>
      <c r="E601" s="184"/>
      <c r="F601" s="184" t="s">
        <v>1387</v>
      </c>
      <c r="G601" s="63">
        <v>874.12</v>
      </c>
    </row>
    <row r="602" spans="2:7" x14ac:dyDescent="0.3">
      <c r="B602" s="175" t="s">
        <v>104</v>
      </c>
      <c r="C602" s="8" t="s">
        <v>367</v>
      </c>
      <c r="D602" s="187">
        <v>46050</v>
      </c>
      <c r="E602" s="189" t="s">
        <v>203</v>
      </c>
      <c r="F602" s="183">
        <v>46381</v>
      </c>
      <c r="G602" s="178">
        <v>868.01</v>
      </c>
    </row>
    <row r="603" spans="2:7" x14ac:dyDescent="0.3">
      <c r="B603" s="20" t="s">
        <v>1288</v>
      </c>
      <c r="C603" s="10" t="s">
        <v>1575</v>
      </c>
      <c r="D603" s="184" t="s">
        <v>1386</v>
      </c>
      <c r="E603" s="184" t="s">
        <v>203</v>
      </c>
      <c r="F603" s="184" t="s">
        <v>1387</v>
      </c>
      <c r="G603" s="63">
        <v>867.09</v>
      </c>
    </row>
    <row r="604" spans="2:7" x14ac:dyDescent="0.3">
      <c r="B604" s="157">
        <v>500335</v>
      </c>
      <c r="C604" s="10" t="s">
        <v>1118</v>
      </c>
      <c r="D604" s="184" t="s">
        <v>995</v>
      </c>
      <c r="E604" s="184"/>
      <c r="F604" s="184" t="s">
        <v>982</v>
      </c>
      <c r="G604" s="88">
        <v>864.33</v>
      </c>
    </row>
    <row r="605" spans="2:7" x14ac:dyDescent="0.3">
      <c r="B605" s="20" t="s">
        <v>1690</v>
      </c>
      <c r="C605" s="10" t="s">
        <v>1190</v>
      </c>
      <c r="D605" s="184" t="s">
        <v>1597</v>
      </c>
      <c r="E605" s="184"/>
      <c r="F605" s="184" t="s">
        <v>1387</v>
      </c>
      <c r="G605" s="63">
        <v>860.1</v>
      </c>
    </row>
    <row r="606" spans="2:7" x14ac:dyDescent="0.3">
      <c r="B606" s="157" t="s">
        <v>1119</v>
      </c>
      <c r="C606" s="10" t="s">
        <v>1120</v>
      </c>
      <c r="D606" s="184" t="s">
        <v>981</v>
      </c>
      <c r="E606" s="184"/>
      <c r="F606" s="184" t="s">
        <v>982</v>
      </c>
      <c r="G606" s="88">
        <v>857.09</v>
      </c>
    </row>
    <row r="607" spans="2:7" x14ac:dyDescent="0.3">
      <c r="B607" s="20" t="s">
        <v>1691</v>
      </c>
      <c r="C607" s="10" t="s">
        <v>1194</v>
      </c>
      <c r="D607" s="184" t="s">
        <v>1597</v>
      </c>
      <c r="E607" s="184"/>
      <c r="F607" s="184" t="s">
        <v>1387</v>
      </c>
      <c r="G607" s="63">
        <v>855</v>
      </c>
    </row>
    <row r="608" spans="2:7" x14ac:dyDescent="0.3">
      <c r="B608" s="20" t="s">
        <v>1692</v>
      </c>
      <c r="C608" s="10" t="s">
        <v>1693</v>
      </c>
      <c r="D608" s="184" t="s">
        <v>1597</v>
      </c>
      <c r="E608" s="184"/>
      <c r="F608" s="184" t="s">
        <v>1387</v>
      </c>
      <c r="G608" s="63">
        <v>853.71</v>
      </c>
    </row>
    <row r="609" spans="2:7" x14ac:dyDescent="0.3">
      <c r="B609" s="157">
        <v>500101</v>
      </c>
      <c r="C609" s="10" t="s">
        <v>1121</v>
      </c>
      <c r="D609" s="184" t="s">
        <v>981</v>
      </c>
      <c r="E609" s="184"/>
      <c r="F609" s="184" t="s">
        <v>982</v>
      </c>
      <c r="G609" s="88">
        <v>851.62</v>
      </c>
    </row>
    <row r="610" spans="2:7" x14ac:dyDescent="0.3">
      <c r="B610" s="20" t="s">
        <v>1694</v>
      </c>
      <c r="C610" s="10" t="s">
        <v>1695</v>
      </c>
      <c r="D610" s="184" t="s">
        <v>1597</v>
      </c>
      <c r="E610" s="184"/>
      <c r="F610" s="184" t="s">
        <v>1387</v>
      </c>
      <c r="G610" s="63">
        <v>849.47</v>
      </c>
    </row>
    <row r="611" spans="2:7" x14ac:dyDescent="0.3">
      <c r="B611" s="20" t="s">
        <v>1696</v>
      </c>
      <c r="C611" s="10" t="s">
        <v>1697</v>
      </c>
      <c r="D611" s="184" t="s">
        <v>1597</v>
      </c>
      <c r="E611" s="184"/>
      <c r="F611" s="184" t="s">
        <v>1387</v>
      </c>
      <c r="G611" s="63">
        <v>847.41</v>
      </c>
    </row>
    <row r="612" spans="2:7" x14ac:dyDescent="0.3">
      <c r="B612" s="157">
        <v>9832</v>
      </c>
      <c r="C612" s="10" t="s">
        <v>878</v>
      </c>
      <c r="D612" s="184" t="s">
        <v>981</v>
      </c>
      <c r="E612" s="184"/>
      <c r="F612" s="184" t="s">
        <v>982</v>
      </c>
      <c r="G612" s="88">
        <v>844.17</v>
      </c>
    </row>
    <row r="613" spans="2:7" x14ac:dyDescent="0.3">
      <c r="B613" s="175" t="s">
        <v>88</v>
      </c>
      <c r="C613" s="8" t="s">
        <v>368</v>
      </c>
      <c r="D613" s="187">
        <v>46050</v>
      </c>
      <c r="E613" s="189"/>
      <c r="F613" s="183">
        <v>46381</v>
      </c>
      <c r="G613" s="178">
        <v>842.92</v>
      </c>
    </row>
    <row r="614" spans="2:7" x14ac:dyDescent="0.3">
      <c r="B614" s="20">
        <v>3433</v>
      </c>
      <c r="C614" s="10" t="s">
        <v>1183</v>
      </c>
      <c r="D614" s="184" t="s">
        <v>1597</v>
      </c>
      <c r="E614" s="184"/>
      <c r="F614" s="184" t="s">
        <v>1387</v>
      </c>
      <c r="G614" s="63">
        <v>840.19</v>
      </c>
    </row>
    <row r="615" spans="2:7" x14ac:dyDescent="0.3">
      <c r="B615" s="20" t="s">
        <v>1322</v>
      </c>
      <c r="C615" s="10" t="s">
        <v>1576</v>
      </c>
      <c r="D615" s="184" t="s">
        <v>1386</v>
      </c>
      <c r="E615" s="184"/>
      <c r="F615" s="184" t="s">
        <v>1387</v>
      </c>
      <c r="G615" s="63">
        <v>818.62</v>
      </c>
    </row>
    <row r="616" spans="2:7" x14ac:dyDescent="0.3">
      <c r="B616" s="20" t="s">
        <v>1323</v>
      </c>
      <c r="C616" s="10" t="s">
        <v>1577</v>
      </c>
      <c r="D616" s="184" t="s">
        <v>1386</v>
      </c>
      <c r="E616" s="184" t="s">
        <v>199</v>
      </c>
      <c r="F616" s="184" t="s">
        <v>1387</v>
      </c>
      <c r="G616" s="63">
        <v>817.01</v>
      </c>
    </row>
    <row r="617" spans="2:7" x14ac:dyDescent="0.3">
      <c r="B617" s="20">
        <v>500245</v>
      </c>
      <c r="C617" s="10" t="s">
        <v>1698</v>
      </c>
      <c r="D617" s="184" t="s">
        <v>1597</v>
      </c>
      <c r="E617" s="184"/>
      <c r="F617" s="184" t="s">
        <v>1387</v>
      </c>
      <c r="G617" s="63">
        <v>812.85</v>
      </c>
    </row>
    <row r="618" spans="2:7" x14ac:dyDescent="0.3">
      <c r="B618" s="20" t="s">
        <v>1578</v>
      </c>
      <c r="C618" s="10" t="s">
        <v>1579</v>
      </c>
      <c r="D618" s="184" t="s">
        <v>1386</v>
      </c>
      <c r="E618" s="184"/>
      <c r="F618" s="184" t="s">
        <v>1387</v>
      </c>
      <c r="G618" s="63">
        <v>812.79</v>
      </c>
    </row>
    <row r="619" spans="2:7" x14ac:dyDescent="0.3">
      <c r="B619" s="157" t="s">
        <v>814</v>
      </c>
      <c r="C619" s="10" t="s">
        <v>1122</v>
      </c>
      <c r="D619" s="184" t="s">
        <v>981</v>
      </c>
      <c r="E619" s="184"/>
      <c r="F619" s="184" t="s">
        <v>982</v>
      </c>
      <c r="G619" s="88">
        <v>811.77</v>
      </c>
    </row>
    <row r="620" spans="2:7" x14ac:dyDescent="0.3">
      <c r="B620" s="157" t="s">
        <v>1123</v>
      </c>
      <c r="C620" s="10" t="s">
        <v>1124</v>
      </c>
      <c r="D620" s="184" t="s">
        <v>981</v>
      </c>
      <c r="E620" s="184"/>
      <c r="F620" s="184" t="s">
        <v>982</v>
      </c>
      <c r="G620" s="88">
        <v>808.36</v>
      </c>
    </row>
    <row r="621" spans="2:7" x14ac:dyDescent="0.3">
      <c r="B621" s="20" t="s">
        <v>1221</v>
      </c>
      <c r="C621" s="10" t="s">
        <v>1206</v>
      </c>
      <c r="D621" s="184" t="s">
        <v>1597</v>
      </c>
      <c r="E621" s="184"/>
      <c r="F621" s="184" t="s">
        <v>1387</v>
      </c>
      <c r="G621" s="63">
        <v>806.58</v>
      </c>
    </row>
    <row r="622" spans="2:7" x14ac:dyDescent="0.3">
      <c r="B622" s="175">
        <v>2678</v>
      </c>
      <c r="C622" s="8" t="s">
        <v>369</v>
      </c>
      <c r="D622" s="187">
        <v>46050</v>
      </c>
      <c r="E622" s="189"/>
      <c r="F622" s="183">
        <v>46381</v>
      </c>
      <c r="G622" s="178">
        <v>798.16</v>
      </c>
    </row>
    <row r="623" spans="2:7" x14ac:dyDescent="0.3">
      <c r="B623" s="20" t="s">
        <v>1699</v>
      </c>
      <c r="C623" s="10" t="s">
        <v>1700</v>
      </c>
      <c r="D623" s="184" t="s">
        <v>1597</v>
      </c>
      <c r="E623" s="184"/>
      <c r="F623" s="184" t="s">
        <v>1387</v>
      </c>
      <c r="G623" s="63">
        <v>776.73</v>
      </c>
    </row>
    <row r="624" spans="2:7" x14ac:dyDescent="0.3">
      <c r="B624" s="157">
        <v>6455</v>
      </c>
      <c r="C624" s="10" t="s">
        <v>885</v>
      </c>
      <c r="D624" s="184" t="s">
        <v>981</v>
      </c>
      <c r="E624" s="184"/>
      <c r="F624" s="184" t="s">
        <v>982</v>
      </c>
      <c r="G624" s="88">
        <v>770.16</v>
      </c>
    </row>
    <row r="625" spans="2:7" x14ac:dyDescent="0.3">
      <c r="B625" s="175" t="s">
        <v>85</v>
      </c>
      <c r="C625" s="8" t="s">
        <v>370</v>
      </c>
      <c r="D625" s="187">
        <v>46050</v>
      </c>
      <c r="E625" s="189"/>
      <c r="F625" s="183">
        <v>46381</v>
      </c>
      <c r="G625" s="178">
        <v>753.69999999999993</v>
      </c>
    </row>
    <row r="626" spans="2:7" x14ac:dyDescent="0.3">
      <c r="B626" s="175" t="s">
        <v>84</v>
      </c>
      <c r="C626" s="8" t="s">
        <v>371</v>
      </c>
      <c r="D626" s="187">
        <v>46050</v>
      </c>
      <c r="E626" s="189"/>
      <c r="F626" s="183">
        <v>46381</v>
      </c>
      <c r="G626" s="178">
        <v>753.58999999999992</v>
      </c>
    </row>
    <row r="627" spans="2:7" x14ac:dyDescent="0.3">
      <c r="B627" s="157">
        <v>8892</v>
      </c>
      <c r="C627" s="10" t="s">
        <v>935</v>
      </c>
      <c r="D627" s="184" t="s">
        <v>981</v>
      </c>
      <c r="E627" s="184"/>
      <c r="F627" s="184" t="s">
        <v>982</v>
      </c>
      <c r="G627" s="88">
        <v>749.39</v>
      </c>
    </row>
    <row r="628" spans="2:7" x14ac:dyDescent="0.3">
      <c r="B628" s="157">
        <v>533286</v>
      </c>
      <c r="C628" s="10" t="s">
        <v>1125</v>
      </c>
      <c r="D628" s="184" t="s">
        <v>981</v>
      </c>
      <c r="E628" s="184"/>
      <c r="F628" s="184" t="s">
        <v>982</v>
      </c>
      <c r="G628" s="88">
        <v>743.67</v>
      </c>
    </row>
    <row r="629" spans="2:7" x14ac:dyDescent="0.3">
      <c r="B629" s="20" t="s">
        <v>1333</v>
      </c>
      <c r="C629" s="10" t="s">
        <v>1382</v>
      </c>
      <c r="D629" s="184" t="s">
        <v>1386</v>
      </c>
      <c r="E629" s="184"/>
      <c r="F629" s="184" t="s">
        <v>1387</v>
      </c>
      <c r="G629" s="63">
        <v>742.84</v>
      </c>
    </row>
    <row r="630" spans="2:7" x14ac:dyDescent="0.3">
      <c r="B630" s="20" t="s">
        <v>1276</v>
      </c>
      <c r="C630" s="10" t="s">
        <v>1580</v>
      </c>
      <c r="D630" s="184" t="s">
        <v>1386</v>
      </c>
      <c r="E630" s="184"/>
      <c r="F630" s="184" t="s">
        <v>1387</v>
      </c>
      <c r="G630" s="63">
        <v>742.09</v>
      </c>
    </row>
    <row r="631" spans="2:7" x14ac:dyDescent="0.3">
      <c r="B631" s="20" t="s">
        <v>1244</v>
      </c>
      <c r="C631" s="10" t="s">
        <v>1581</v>
      </c>
      <c r="D631" s="184" t="s">
        <v>1386</v>
      </c>
      <c r="E631" s="184" t="s">
        <v>199</v>
      </c>
      <c r="F631" s="184" t="s">
        <v>1387</v>
      </c>
      <c r="G631" s="63">
        <v>732.68</v>
      </c>
    </row>
    <row r="632" spans="2:7" x14ac:dyDescent="0.3">
      <c r="B632" s="20">
        <v>9010</v>
      </c>
      <c r="C632" s="10" t="s">
        <v>1352</v>
      </c>
      <c r="D632" s="184" t="s">
        <v>1386</v>
      </c>
      <c r="E632" s="184"/>
      <c r="F632" s="184" t="s">
        <v>1387</v>
      </c>
      <c r="G632" s="63">
        <v>729.92</v>
      </c>
    </row>
    <row r="633" spans="2:7" x14ac:dyDescent="0.3">
      <c r="B633" s="157">
        <v>6777</v>
      </c>
      <c r="C633" s="10" t="s">
        <v>844</v>
      </c>
      <c r="D633" s="184" t="s">
        <v>981</v>
      </c>
      <c r="E633" s="184"/>
      <c r="F633" s="184" t="s">
        <v>982</v>
      </c>
      <c r="G633" s="88">
        <v>724.95</v>
      </c>
    </row>
    <row r="634" spans="2:7" x14ac:dyDescent="0.3">
      <c r="B634" s="157">
        <v>7575</v>
      </c>
      <c r="C634" s="10" t="s">
        <v>900</v>
      </c>
      <c r="D634" s="184" t="s">
        <v>981</v>
      </c>
      <c r="E634" s="184"/>
      <c r="F634" s="184" t="s">
        <v>982</v>
      </c>
      <c r="G634" s="88">
        <v>722.96</v>
      </c>
    </row>
    <row r="635" spans="2:7" x14ac:dyDescent="0.3">
      <c r="B635" s="20">
        <v>500413</v>
      </c>
      <c r="C635" s="10" t="s">
        <v>1701</v>
      </c>
      <c r="D635" s="184" t="s">
        <v>1597</v>
      </c>
      <c r="E635" s="184"/>
      <c r="F635" s="184" t="s">
        <v>1387</v>
      </c>
      <c r="G635" s="63">
        <v>719.8</v>
      </c>
    </row>
    <row r="636" spans="2:7" x14ac:dyDescent="0.3">
      <c r="B636" s="157">
        <v>6491</v>
      </c>
      <c r="C636" s="10" t="s">
        <v>1126</v>
      </c>
      <c r="D636" s="184" t="s">
        <v>981</v>
      </c>
      <c r="E636" s="184"/>
      <c r="F636" s="184" t="s">
        <v>982</v>
      </c>
      <c r="G636" s="88">
        <v>719.61</v>
      </c>
    </row>
    <row r="637" spans="2:7" x14ac:dyDescent="0.3">
      <c r="B637" s="157">
        <v>7595</v>
      </c>
      <c r="C637" s="10" t="s">
        <v>923</v>
      </c>
      <c r="D637" s="184" t="s">
        <v>981</v>
      </c>
      <c r="E637" s="184"/>
      <c r="F637" s="184" t="s">
        <v>982</v>
      </c>
      <c r="G637" s="88">
        <v>719.08</v>
      </c>
    </row>
    <row r="638" spans="2:7" x14ac:dyDescent="0.3">
      <c r="B638" s="157">
        <v>8871</v>
      </c>
      <c r="C638" s="10" t="s">
        <v>933</v>
      </c>
      <c r="D638" s="184" t="s">
        <v>981</v>
      </c>
      <c r="E638" s="184"/>
      <c r="F638" s="184" t="s">
        <v>982</v>
      </c>
      <c r="G638" s="88">
        <v>705.99</v>
      </c>
    </row>
    <row r="639" spans="2:7" x14ac:dyDescent="0.3">
      <c r="B639" s="157">
        <v>6080</v>
      </c>
      <c r="C639" s="10" t="s">
        <v>931</v>
      </c>
      <c r="D639" s="184" t="s">
        <v>981</v>
      </c>
      <c r="E639" s="184"/>
      <c r="F639" s="184" t="s">
        <v>982</v>
      </c>
      <c r="G639" s="88">
        <v>698.07</v>
      </c>
    </row>
    <row r="640" spans="2:7" x14ac:dyDescent="0.3">
      <c r="B640" s="157">
        <v>8345</v>
      </c>
      <c r="C640" s="10" t="s">
        <v>846</v>
      </c>
      <c r="D640" s="184" t="s">
        <v>981</v>
      </c>
      <c r="E640" s="184"/>
      <c r="F640" s="184" t="s">
        <v>982</v>
      </c>
      <c r="G640" s="88">
        <v>694.69</v>
      </c>
    </row>
    <row r="641" spans="2:7" x14ac:dyDescent="0.3">
      <c r="B641" s="157">
        <v>7943</v>
      </c>
      <c r="C641" s="10" t="s">
        <v>917</v>
      </c>
      <c r="D641" s="184" t="s">
        <v>981</v>
      </c>
      <c r="E641" s="184"/>
      <c r="F641" s="184" t="s">
        <v>982</v>
      </c>
      <c r="G641" s="88">
        <v>691.95</v>
      </c>
    </row>
    <row r="642" spans="2:7" x14ac:dyDescent="0.3">
      <c r="B642" s="157">
        <v>2805</v>
      </c>
      <c r="C642" s="10" t="s">
        <v>884</v>
      </c>
      <c r="D642" s="184" t="s">
        <v>981</v>
      </c>
      <c r="E642" s="184"/>
      <c r="F642" s="184" t="s">
        <v>982</v>
      </c>
      <c r="G642" s="88">
        <v>684.23</v>
      </c>
    </row>
    <row r="643" spans="2:7" x14ac:dyDescent="0.3">
      <c r="B643" s="175">
        <v>5440</v>
      </c>
      <c r="C643" s="8" t="s">
        <v>372</v>
      </c>
      <c r="D643" s="187">
        <v>46050</v>
      </c>
      <c r="E643" s="189"/>
      <c r="F643" s="183">
        <v>46381</v>
      </c>
      <c r="G643" s="178">
        <v>681.88</v>
      </c>
    </row>
    <row r="644" spans="2:7" x14ac:dyDescent="0.3">
      <c r="B644" s="157">
        <v>6727</v>
      </c>
      <c r="C644" s="10" t="s">
        <v>908</v>
      </c>
      <c r="D644" s="184" t="s">
        <v>981</v>
      </c>
      <c r="E644" s="184"/>
      <c r="F644" s="184" t="s">
        <v>982</v>
      </c>
      <c r="G644" s="88">
        <v>681.69</v>
      </c>
    </row>
    <row r="645" spans="2:7" x14ac:dyDescent="0.3">
      <c r="B645" s="20" t="s">
        <v>1582</v>
      </c>
      <c r="C645" s="10" t="s">
        <v>1583</v>
      </c>
      <c r="D645" s="184" t="s">
        <v>1386</v>
      </c>
      <c r="E645" s="184"/>
      <c r="F645" s="184" t="s">
        <v>1387</v>
      </c>
      <c r="G645" s="63">
        <v>681.19</v>
      </c>
    </row>
    <row r="646" spans="2:7" x14ac:dyDescent="0.3">
      <c r="B646" s="157">
        <v>4216</v>
      </c>
      <c r="C646" s="10" t="s">
        <v>924</v>
      </c>
      <c r="D646" s="184" t="s">
        <v>981</v>
      </c>
      <c r="E646" s="184"/>
      <c r="F646" s="184" t="s">
        <v>982</v>
      </c>
      <c r="G646" s="88">
        <v>681.1</v>
      </c>
    </row>
    <row r="647" spans="2:7" x14ac:dyDescent="0.3">
      <c r="B647" s="157" t="s">
        <v>1127</v>
      </c>
      <c r="C647" s="10" t="s">
        <v>1128</v>
      </c>
      <c r="D647" s="184" t="s">
        <v>981</v>
      </c>
      <c r="E647" s="184"/>
      <c r="F647" s="184" t="s">
        <v>982</v>
      </c>
      <c r="G647" s="88">
        <v>680.44</v>
      </c>
    </row>
    <row r="648" spans="2:7" x14ac:dyDescent="0.3">
      <c r="B648" s="157">
        <v>2109</v>
      </c>
      <c r="C648" s="10" t="s">
        <v>910</v>
      </c>
      <c r="D648" s="184" t="s">
        <v>981</v>
      </c>
      <c r="E648" s="184"/>
      <c r="F648" s="184" t="s">
        <v>982</v>
      </c>
      <c r="G648" s="88">
        <v>662.34</v>
      </c>
    </row>
    <row r="649" spans="2:7" x14ac:dyDescent="0.3">
      <c r="B649" s="20">
        <v>7177</v>
      </c>
      <c r="C649" s="10" t="s">
        <v>1702</v>
      </c>
      <c r="D649" s="184" t="s">
        <v>1597</v>
      </c>
      <c r="E649" s="184"/>
      <c r="F649" s="184" t="s">
        <v>1387</v>
      </c>
      <c r="G649" s="63">
        <v>656.44</v>
      </c>
    </row>
    <row r="650" spans="2:7" x14ac:dyDescent="0.3">
      <c r="B650" s="175">
        <v>6104</v>
      </c>
      <c r="C650" s="8" t="s">
        <v>373</v>
      </c>
      <c r="D650" s="187">
        <v>46050</v>
      </c>
      <c r="E650" s="189"/>
      <c r="F650" s="183">
        <v>46381</v>
      </c>
      <c r="G650" s="178">
        <v>655.55</v>
      </c>
    </row>
    <row r="651" spans="2:7" x14ac:dyDescent="0.3">
      <c r="B651" s="157">
        <v>6104</v>
      </c>
      <c r="C651" s="10" t="s">
        <v>373</v>
      </c>
      <c r="D651" s="184" t="s">
        <v>981</v>
      </c>
      <c r="E651" s="184"/>
      <c r="F651" s="184" t="s">
        <v>982</v>
      </c>
      <c r="G651" s="88">
        <v>655.55</v>
      </c>
    </row>
    <row r="652" spans="2:7" x14ac:dyDescent="0.3">
      <c r="B652" s="20" t="s">
        <v>1334</v>
      </c>
      <c r="C652" s="10" t="s">
        <v>1380</v>
      </c>
      <c r="D652" s="184" t="s">
        <v>1386</v>
      </c>
      <c r="E652" s="184"/>
      <c r="F652" s="184" t="s">
        <v>1387</v>
      </c>
      <c r="G652" s="63">
        <v>644.02</v>
      </c>
    </row>
    <row r="653" spans="2:7" x14ac:dyDescent="0.3">
      <c r="B653" s="20">
        <v>534597</v>
      </c>
      <c r="C653" s="10" t="s">
        <v>1703</v>
      </c>
      <c r="D653" s="184" t="s">
        <v>1597</v>
      </c>
      <c r="E653" s="184"/>
      <c r="F653" s="184" t="s">
        <v>1387</v>
      </c>
      <c r="G653" s="63">
        <v>639.32000000000005</v>
      </c>
    </row>
    <row r="654" spans="2:7" x14ac:dyDescent="0.3">
      <c r="B654" s="175" t="s">
        <v>81</v>
      </c>
      <c r="C654" s="8" t="s">
        <v>374</v>
      </c>
      <c r="D654" s="187">
        <v>46050</v>
      </c>
      <c r="E654" s="189" t="s">
        <v>199</v>
      </c>
      <c r="F654" s="183">
        <v>46381</v>
      </c>
      <c r="G654" s="178">
        <v>636.91999999999996</v>
      </c>
    </row>
    <row r="655" spans="2:7" x14ac:dyDescent="0.3">
      <c r="B655" s="157">
        <v>8014</v>
      </c>
      <c r="C655" s="10" t="s">
        <v>903</v>
      </c>
      <c r="D655" s="184" t="s">
        <v>981</v>
      </c>
      <c r="E655" s="184"/>
      <c r="F655" s="184" t="s">
        <v>982</v>
      </c>
      <c r="G655" s="88">
        <v>636.16999999999996</v>
      </c>
    </row>
    <row r="656" spans="2:7" x14ac:dyDescent="0.3">
      <c r="B656" s="20">
        <v>7241</v>
      </c>
      <c r="C656" s="10" t="s">
        <v>1182</v>
      </c>
      <c r="D656" s="184" t="s">
        <v>1597</v>
      </c>
      <c r="E656" s="184"/>
      <c r="F656" s="184" t="s">
        <v>1387</v>
      </c>
      <c r="G656" s="63">
        <v>629.51</v>
      </c>
    </row>
    <row r="657" spans="2:7" x14ac:dyDescent="0.3">
      <c r="B657" s="20">
        <v>539807</v>
      </c>
      <c r="C657" s="10" t="s">
        <v>1704</v>
      </c>
      <c r="D657" s="184" t="s">
        <v>1597</v>
      </c>
      <c r="E657" s="184"/>
      <c r="F657" s="184" t="s">
        <v>1387</v>
      </c>
      <c r="G657" s="63">
        <v>628.54999999999995</v>
      </c>
    </row>
    <row r="658" spans="2:7" x14ac:dyDescent="0.3">
      <c r="B658" s="175">
        <v>517168</v>
      </c>
      <c r="C658" s="8" t="s">
        <v>375</v>
      </c>
      <c r="D658" s="187">
        <v>46050</v>
      </c>
      <c r="E658" s="189"/>
      <c r="F658" s="183">
        <v>46381</v>
      </c>
      <c r="G658" s="178">
        <v>627.91</v>
      </c>
    </row>
    <row r="659" spans="2:7" x14ac:dyDescent="0.3">
      <c r="B659" s="157">
        <v>517168</v>
      </c>
      <c r="C659" s="10" t="s">
        <v>375</v>
      </c>
      <c r="D659" s="184" t="s">
        <v>981</v>
      </c>
      <c r="E659" s="184"/>
      <c r="F659" s="184" t="s">
        <v>982</v>
      </c>
      <c r="G659" s="88">
        <v>627.91</v>
      </c>
    </row>
    <row r="660" spans="2:7" x14ac:dyDescent="0.3">
      <c r="B660" s="20" t="s">
        <v>1222</v>
      </c>
      <c r="C660" s="10" t="s">
        <v>1212</v>
      </c>
      <c r="D660" s="184" t="s">
        <v>1597</v>
      </c>
      <c r="E660" s="184"/>
      <c r="F660" s="184" t="s">
        <v>1387</v>
      </c>
      <c r="G660" s="63">
        <v>626.30999999999995</v>
      </c>
    </row>
    <row r="661" spans="2:7" x14ac:dyDescent="0.3">
      <c r="B661" s="175" t="s">
        <v>376</v>
      </c>
      <c r="C661" s="8" t="s">
        <v>377</v>
      </c>
      <c r="D661" s="187">
        <v>46050</v>
      </c>
      <c r="E661" s="189"/>
      <c r="F661" s="183">
        <v>46381</v>
      </c>
      <c r="G661" s="178">
        <v>614.93999999999994</v>
      </c>
    </row>
    <row r="662" spans="2:7" x14ac:dyDescent="0.3">
      <c r="B662" s="157">
        <v>8550</v>
      </c>
      <c r="C662" s="10" t="s">
        <v>843</v>
      </c>
      <c r="D662" s="184" t="s">
        <v>981</v>
      </c>
      <c r="E662" s="184"/>
      <c r="F662" s="184" t="s">
        <v>982</v>
      </c>
      <c r="G662" s="88">
        <v>611.48</v>
      </c>
    </row>
    <row r="663" spans="2:7" x14ac:dyDescent="0.3">
      <c r="B663" s="20">
        <v>535602</v>
      </c>
      <c r="C663" s="10" t="s">
        <v>1705</v>
      </c>
      <c r="D663" s="184" t="s">
        <v>1597</v>
      </c>
      <c r="E663" s="184"/>
      <c r="F663" s="184" t="s">
        <v>1387</v>
      </c>
      <c r="G663" s="63">
        <v>605.28</v>
      </c>
    </row>
    <row r="664" spans="2:7" x14ac:dyDescent="0.3">
      <c r="B664" s="157">
        <v>8818</v>
      </c>
      <c r="C664" s="10" t="s">
        <v>901</v>
      </c>
      <c r="D664" s="184" t="s">
        <v>981</v>
      </c>
      <c r="E664" s="184"/>
      <c r="F664" s="184" t="s">
        <v>982</v>
      </c>
      <c r="G664" s="88">
        <v>604.62</v>
      </c>
    </row>
    <row r="665" spans="2:7" x14ac:dyDescent="0.3">
      <c r="B665" s="175" t="s">
        <v>80</v>
      </c>
      <c r="C665" s="8" t="s">
        <v>378</v>
      </c>
      <c r="D665" s="187">
        <v>46050</v>
      </c>
      <c r="E665" s="189" t="s">
        <v>199</v>
      </c>
      <c r="F665" s="183">
        <v>46381</v>
      </c>
      <c r="G665" s="178">
        <v>600.9</v>
      </c>
    </row>
    <row r="666" spans="2:7" x14ac:dyDescent="0.3">
      <c r="B666" s="157">
        <v>7839</v>
      </c>
      <c r="C666" s="10" t="s">
        <v>918</v>
      </c>
      <c r="D666" s="184" t="s">
        <v>981</v>
      </c>
      <c r="E666" s="184"/>
      <c r="F666" s="184" t="s">
        <v>982</v>
      </c>
      <c r="G666" s="88">
        <v>600.35</v>
      </c>
    </row>
    <row r="667" spans="2:7" x14ac:dyDescent="0.3">
      <c r="B667" s="157">
        <v>3762</v>
      </c>
      <c r="C667" s="10" t="s">
        <v>870</v>
      </c>
      <c r="D667" s="184" t="s">
        <v>981</v>
      </c>
      <c r="E667" s="184"/>
      <c r="F667" s="184" t="s">
        <v>982</v>
      </c>
      <c r="G667" s="88">
        <v>598.16</v>
      </c>
    </row>
    <row r="668" spans="2:7" x14ac:dyDescent="0.3">
      <c r="B668" s="157">
        <v>9997</v>
      </c>
      <c r="C668" s="10" t="s">
        <v>874</v>
      </c>
      <c r="D668" s="184" t="s">
        <v>981</v>
      </c>
      <c r="E668" s="184"/>
      <c r="F668" s="184" t="s">
        <v>982</v>
      </c>
      <c r="G668" s="88">
        <v>594.5</v>
      </c>
    </row>
    <row r="669" spans="2:7" x14ac:dyDescent="0.3">
      <c r="B669" s="20">
        <v>500201</v>
      </c>
      <c r="C669" s="10" t="s">
        <v>1706</v>
      </c>
      <c r="D669" s="184" t="s">
        <v>1597</v>
      </c>
      <c r="E669" s="184"/>
      <c r="F669" s="184" t="s">
        <v>1387</v>
      </c>
      <c r="G669" s="63">
        <v>593.66</v>
      </c>
    </row>
    <row r="670" spans="2:7" x14ac:dyDescent="0.3">
      <c r="B670" s="20">
        <v>4298</v>
      </c>
      <c r="C670" s="10" t="s">
        <v>1707</v>
      </c>
      <c r="D670" s="184" t="s">
        <v>1597</v>
      </c>
      <c r="E670" s="184"/>
      <c r="F670" s="184" t="s">
        <v>1387</v>
      </c>
      <c r="G670" s="63">
        <v>586.95000000000005</v>
      </c>
    </row>
    <row r="671" spans="2:7" x14ac:dyDescent="0.3">
      <c r="B671" s="20" t="s">
        <v>1584</v>
      </c>
      <c r="C671" s="10" t="s">
        <v>1585</v>
      </c>
      <c r="D671" s="184" t="s">
        <v>1386</v>
      </c>
      <c r="E671" s="184"/>
      <c r="F671" s="184" t="s">
        <v>1586</v>
      </c>
      <c r="G671" s="63">
        <v>585.77</v>
      </c>
    </row>
    <row r="672" spans="2:7" x14ac:dyDescent="0.3">
      <c r="B672" s="20" t="s">
        <v>1584</v>
      </c>
      <c r="C672" s="10" t="s">
        <v>1585</v>
      </c>
      <c r="D672" s="184" t="s">
        <v>1597</v>
      </c>
      <c r="E672" s="184"/>
      <c r="F672" s="184" t="s">
        <v>1586</v>
      </c>
      <c r="G672" s="63">
        <v>585.77</v>
      </c>
    </row>
    <row r="673" spans="2:7" x14ac:dyDescent="0.3">
      <c r="B673" s="20" t="s">
        <v>1327</v>
      </c>
      <c r="C673" s="10" t="s">
        <v>1587</v>
      </c>
      <c r="D673" s="184" t="s">
        <v>1386</v>
      </c>
      <c r="E673" s="184" t="s">
        <v>199</v>
      </c>
      <c r="F673" s="184" t="s">
        <v>1387</v>
      </c>
      <c r="G673" s="63">
        <v>583.5</v>
      </c>
    </row>
    <row r="674" spans="2:7" x14ac:dyDescent="0.3">
      <c r="B674" s="175" t="s">
        <v>78</v>
      </c>
      <c r="C674" s="8" t="s">
        <v>379</v>
      </c>
      <c r="D674" s="187">
        <v>46050</v>
      </c>
      <c r="E674" s="189"/>
      <c r="F674" s="183">
        <v>46381</v>
      </c>
      <c r="G674" s="178">
        <v>583.28</v>
      </c>
    </row>
    <row r="675" spans="2:7" x14ac:dyDescent="0.3">
      <c r="B675" s="157">
        <v>6810</v>
      </c>
      <c r="C675" s="10" t="s">
        <v>916</v>
      </c>
      <c r="D675" s="184" t="s">
        <v>981</v>
      </c>
      <c r="E675" s="184"/>
      <c r="F675" s="184" t="s">
        <v>982</v>
      </c>
      <c r="G675" s="88">
        <v>580.29999999999995</v>
      </c>
    </row>
    <row r="676" spans="2:7" x14ac:dyDescent="0.3">
      <c r="B676" s="175">
        <v>6345</v>
      </c>
      <c r="C676" s="8" t="s">
        <v>380</v>
      </c>
      <c r="D676" s="187">
        <v>46050</v>
      </c>
      <c r="E676" s="189"/>
      <c r="F676" s="183">
        <v>46381</v>
      </c>
      <c r="G676" s="178">
        <v>578.80999999999995</v>
      </c>
    </row>
    <row r="677" spans="2:7" x14ac:dyDescent="0.3">
      <c r="B677" s="157">
        <v>6737</v>
      </c>
      <c r="C677" s="10" t="s">
        <v>914</v>
      </c>
      <c r="D677" s="184" t="s">
        <v>981</v>
      </c>
      <c r="E677" s="184"/>
      <c r="F677" s="184" t="s">
        <v>982</v>
      </c>
      <c r="G677" s="88">
        <v>576.25</v>
      </c>
    </row>
    <row r="678" spans="2:7" x14ac:dyDescent="0.3">
      <c r="B678" s="175" t="s">
        <v>76</v>
      </c>
      <c r="C678" s="8" t="s">
        <v>381</v>
      </c>
      <c r="D678" s="187">
        <v>46050</v>
      </c>
      <c r="E678" s="189" t="s">
        <v>199</v>
      </c>
      <c r="F678" s="183">
        <v>46381</v>
      </c>
      <c r="G678" s="178">
        <v>574.28</v>
      </c>
    </row>
    <row r="679" spans="2:7" x14ac:dyDescent="0.3">
      <c r="B679" s="20" t="s">
        <v>1337</v>
      </c>
      <c r="C679" s="10" t="s">
        <v>1383</v>
      </c>
      <c r="D679" s="184" t="s">
        <v>1386</v>
      </c>
      <c r="E679" s="184"/>
      <c r="F679" s="184" t="s">
        <v>1387</v>
      </c>
      <c r="G679" s="63">
        <v>573.69000000000005</v>
      </c>
    </row>
    <row r="680" spans="2:7" x14ac:dyDescent="0.3">
      <c r="B680" s="20">
        <v>5992</v>
      </c>
      <c r="C680" s="10" t="s">
        <v>1184</v>
      </c>
      <c r="D680" s="184" t="s">
        <v>1597</v>
      </c>
      <c r="E680" s="184"/>
      <c r="F680" s="184" t="s">
        <v>1387</v>
      </c>
      <c r="G680" s="63">
        <v>565.87</v>
      </c>
    </row>
    <row r="681" spans="2:7" x14ac:dyDescent="0.3">
      <c r="B681" s="175" t="s">
        <v>74</v>
      </c>
      <c r="C681" s="8" t="s">
        <v>382</v>
      </c>
      <c r="D681" s="187">
        <v>46050</v>
      </c>
      <c r="E681" s="189"/>
      <c r="F681" s="183">
        <v>46381</v>
      </c>
      <c r="G681" s="178">
        <v>553.29999999999995</v>
      </c>
    </row>
    <row r="682" spans="2:7" x14ac:dyDescent="0.3">
      <c r="B682" s="20" t="s">
        <v>1157</v>
      </c>
      <c r="C682" s="10" t="s">
        <v>1708</v>
      </c>
      <c r="D682" s="184" t="s">
        <v>1597</v>
      </c>
      <c r="E682" s="184"/>
      <c r="F682" s="184" t="s">
        <v>1387</v>
      </c>
      <c r="G682" s="63">
        <v>548.88</v>
      </c>
    </row>
    <row r="683" spans="2:7" x14ac:dyDescent="0.3">
      <c r="B683" s="20" t="s">
        <v>1338</v>
      </c>
      <c r="C683" s="10" t="s">
        <v>1384</v>
      </c>
      <c r="D683" s="184" t="s">
        <v>1386</v>
      </c>
      <c r="E683" s="184"/>
      <c r="F683" s="184" t="s">
        <v>1387</v>
      </c>
      <c r="G683" s="63">
        <v>548.49</v>
      </c>
    </row>
    <row r="684" spans="2:7" x14ac:dyDescent="0.3">
      <c r="B684" s="157">
        <v>6961</v>
      </c>
      <c r="C684" s="10" t="s">
        <v>852</v>
      </c>
      <c r="D684" s="184" t="s">
        <v>981</v>
      </c>
      <c r="E684" s="184"/>
      <c r="F684" s="184" t="s">
        <v>982</v>
      </c>
      <c r="G684" s="88">
        <v>545.1</v>
      </c>
    </row>
    <row r="685" spans="2:7" x14ac:dyDescent="0.3">
      <c r="B685" s="20" t="s">
        <v>1248</v>
      </c>
      <c r="C685" s="10" t="s">
        <v>1588</v>
      </c>
      <c r="D685" s="184" t="s">
        <v>1386</v>
      </c>
      <c r="E685" s="184" t="s">
        <v>199</v>
      </c>
      <c r="F685" s="184" t="s">
        <v>1387</v>
      </c>
      <c r="G685" s="63">
        <v>537.19000000000005</v>
      </c>
    </row>
    <row r="686" spans="2:7" x14ac:dyDescent="0.3">
      <c r="B686" s="175">
        <v>4552</v>
      </c>
      <c r="C686" s="8" t="s">
        <v>383</v>
      </c>
      <c r="D686" s="187">
        <v>46050</v>
      </c>
      <c r="E686" s="189"/>
      <c r="F686" s="183">
        <v>46381</v>
      </c>
      <c r="G686" s="178">
        <v>537.17999999999995</v>
      </c>
    </row>
    <row r="687" spans="2:7" x14ac:dyDescent="0.3">
      <c r="B687" s="20">
        <v>507717</v>
      </c>
      <c r="C687" s="10" t="s">
        <v>1709</v>
      </c>
      <c r="D687" s="184" t="s">
        <v>1597</v>
      </c>
      <c r="E687" s="184"/>
      <c r="F687" s="184" t="s">
        <v>1387</v>
      </c>
      <c r="G687" s="63">
        <v>535.41999999999996</v>
      </c>
    </row>
    <row r="688" spans="2:7" x14ac:dyDescent="0.3">
      <c r="B688" s="157">
        <v>4549</v>
      </c>
      <c r="C688" s="10" t="s">
        <v>906</v>
      </c>
      <c r="D688" s="184" t="s">
        <v>981</v>
      </c>
      <c r="E688" s="184"/>
      <c r="F688" s="184" t="s">
        <v>982</v>
      </c>
      <c r="G688" s="88">
        <v>531.49</v>
      </c>
    </row>
    <row r="689" spans="2:7" x14ac:dyDescent="0.3">
      <c r="B689" s="157">
        <v>8084</v>
      </c>
      <c r="C689" s="10" t="s">
        <v>888</v>
      </c>
      <c r="D689" s="184" t="s">
        <v>981</v>
      </c>
      <c r="E689" s="184"/>
      <c r="F689" s="184" t="s">
        <v>982</v>
      </c>
      <c r="G689" s="88">
        <v>531.25</v>
      </c>
    </row>
    <row r="690" spans="2:7" x14ac:dyDescent="0.3">
      <c r="B690" s="175" t="s">
        <v>384</v>
      </c>
      <c r="C690" s="8" t="s">
        <v>385</v>
      </c>
      <c r="D690" s="187">
        <v>46050</v>
      </c>
      <c r="E690" s="189"/>
      <c r="F690" s="183">
        <v>46381</v>
      </c>
      <c r="G690" s="178">
        <v>528.41</v>
      </c>
    </row>
    <row r="691" spans="2:7" x14ac:dyDescent="0.3">
      <c r="B691" s="20" t="s">
        <v>1710</v>
      </c>
      <c r="C691" s="10" t="s">
        <v>1711</v>
      </c>
      <c r="D691" s="184" t="s">
        <v>1597</v>
      </c>
      <c r="E691" s="184"/>
      <c r="F691" s="184" t="s">
        <v>1387</v>
      </c>
      <c r="G691" s="63">
        <v>528.1</v>
      </c>
    </row>
    <row r="692" spans="2:7" x14ac:dyDescent="0.3">
      <c r="B692" s="157">
        <v>6196</v>
      </c>
      <c r="C692" s="10" t="s">
        <v>853</v>
      </c>
      <c r="D692" s="184" t="s">
        <v>981</v>
      </c>
      <c r="E692" s="184"/>
      <c r="F692" s="184" t="s">
        <v>982</v>
      </c>
      <c r="G692" s="88">
        <v>524.99</v>
      </c>
    </row>
    <row r="693" spans="2:7" x14ac:dyDescent="0.3">
      <c r="B693" s="157">
        <v>1976</v>
      </c>
      <c r="C693" s="10" t="s">
        <v>905</v>
      </c>
      <c r="D693" s="184" t="s">
        <v>981</v>
      </c>
      <c r="E693" s="184"/>
      <c r="F693" s="184" t="s">
        <v>982</v>
      </c>
      <c r="G693" s="88">
        <v>524.95000000000005</v>
      </c>
    </row>
    <row r="694" spans="2:7" x14ac:dyDescent="0.3">
      <c r="B694" s="20" t="s">
        <v>1232</v>
      </c>
      <c r="C694" s="10" t="s">
        <v>1589</v>
      </c>
      <c r="D694" s="184" t="s">
        <v>1386</v>
      </c>
      <c r="E694" s="184" t="s">
        <v>199</v>
      </c>
      <c r="F694" s="184" t="s">
        <v>1387</v>
      </c>
      <c r="G694" s="63">
        <v>524.26</v>
      </c>
    </row>
    <row r="695" spans="2:7" x14ac:dyDescent="0.3">
      <c r="B695" s="20" t="s">
        <v>1227</v>
      </c>
      <c r="C695" s="10" t="s">
        <v>1590</v>
      </c>
      <c r="D695" s="184" t="s">
        <v>1386</v>
      </c>
      <c r="E695" s="184" t="s">
        <v>199</v>
      </c>
      <c r="F695" s="184" t="s">
        <v>1387</v>
      </c>
      <c r="G695" s="63">
        <v>522.83000000000004</v>
      </c>
    </row>
    <row r="696" spans="2:7" x14ac:dyDescent="0.3">
      <c r="B696" s="20" t="s">
        <v>1712</v>
      </c>
      <c r="C696" s="10" t="s">
        <v>1713</v>
      </c>
      <c r="D696" s="184" t="s">
        <v>1597</v>
      </c>
      <c r="E696" s="184"/>
      <c r="F696" s="184" t="s">
        <v>1387</v>
      </c>
      <c r="G696" s="63">
        <v>522.53</v>
      </c>
    </row>
    <row r="697" spans="2:7" x14ac:dyDescent="0.3">
      <c r="B697" s="157" t="s">
        <v>823</v>
      </c>
      <c r="C697" s="10" t="s">
        <v>1129</v>
      </c>
      <c r="D697" s="184" t="s">
        <v>981</v>
      </c>
      <c r="E697" s="184"/>
      <c r="F697" s="184" t="s">
        <v>982</v>
      </c>
      <c r="G697" s="88">
        <v>522.22</v>
      </c>
    </row>
    <row r="698" spans="2:7" x14ac:dyDescent="0.3">
      <c r="B698" s="20" t="s">
        <v>1591</v>
      </c>
      <c r="C698" s="10" t="s">
        <v>1592</v>
      </c>
      <c r="D698" s="184" t="s">
        <v>1386</v>
      </c>
      <c r="E698" s="184"/>
      <c r="F698" s="184" t="s">
        <v>1387</v>
      </c>
      <c r="G698" s="63">
        <v>518.42999999999995</v>
      </c>
    </row>
    <row r="699" spans="2:7" x14ac:dyDescent="0.3">
      <c r="B699" s="157">
        <v>2326</v>
      </c>
      <c r="C699" s="10" t="s">
        <v>862</v>
      </c>
      <c r="D699" s="184" t="s">
        <v>981</v>
      </c>
      <c r="E699" s="184"/>
      <c r="F699" s="184" t="s">
        <v>982</v>
      </c>
      <c r="G699" s="88">
        <v>517.37</v>
      </c>
    </row>
    <row r="700" spans="2:7" x14ac:dyDescent="0.3">
      <c r="B700" s="20" t="s">
        <v>1238</v>
      </c>
      <c r="C700" s="10" t="s">
        <v>1593</v>
      </c>
      <c r="D700" s="184" t="s">
        <v>1386</v>
      </c>
      <c r="E700" s="184"/>
      <c r="F700" s="184" t="s">
        <v>1387</v>
      </c>
      <c r="G700" s="63">
        <v>514.88</v>
      </c>
    </row>
    <row r="701" spans="2:7" x14ac:dyDescent="0.3">
      <c r="B701" s="175" t="s">
        <v>192</v>
      </c>
      <c r="C701" s="8" t="s">
        <v>386</v>
      </c>
      <c r="D701" s="187">
        <v>46050</v>
      </c>
      <c r="E701" s="189"/>
      <c r="F701" s="183">
        <v>46381</v>
      </c>
      <c r="G701" s="178">
        <v>514.47</v>
      </c>
    </row>
    <row r="702" spans="2:7" x14ac:dyDescent="0.3">
      <c r="B702" s="157">
        <v>6946</v>
      </c>
      <c r="C702" s="10" t="s">
        <v>847</v>
      </c>
      <c r="D702" s="184" t="s">
        <v>981</v>
      </c>
      <c r="E702" s="184"/>
      <c r="F702" s="184" t="s">
        <v>982</v>
      </c>
      <c r="G702" s="88">
        <v>514.41999999999996</v>
      </c>
    </row>
    <row r="703" spans="2:7" x14ac:dyDescent="0.3">
      <c r="B703" s="20" t="s">
        <v>1594</v>
      </c>
      <c r="C703" s="10" t="s">
        <v>1595</v>
      </c>
      <c r="D703" s="184" t="s">
        <v>1386</v>
      </c>
      <c r="E703" s="184"/>
      <c r="F703" s="184" t="s">
        <v>1387</v>
      </c>
      <c r="G703" s="63">
        <v>511.72</v>
      </c>
    </row>
    <row r="704" spans="2:7" x14ac:dyDescent="0.3">
      <c r="B704" s="20">
        <v>541967</v>
      </c>
      <c r="C704" s="10" t="s">
        <v>1714</v>
      </c>
      <c r="D704" s="184" t="s">
        <v>1597</v>
      </c>
      <c r="E704" s="184"/>
      <c r="F704" s="184" t="s">
        <v>1387</v>
      </c>
      <c r="G704" s="63">
        <v>510.17</v>
      </c>
    </row>
    <row r="705" spans="2:7" x14ac:dyDescent="0.3">
      <c r="B705" s="20">
        <v>500041</v>
      </c>
      <c r="C705" s="10" t="s">
        <v>1715</v>
      </c>
      <c r="D705" s="184" t="s">
        <v>1597</v>
      </c>
      <c r="E705" s="184"/>
      <c r="F705" s="184" t="s">
        <v>1387</v>
      </c>
      <c r="G705" s="63">
        <v>507.73</v>
      </c>
    </row>
    <row r="706" spans="2:7" x14ac:dyDescent="0.3">
      <c r="B706" s="20">
        <v>6413</v>
      </c>
      <c r="C706" s="10" t="s">
        <v>1356</v>
      </c>
      <c r="D706" s="184" t="s">
        <v>1386</v>
      </c>
      <c r="E706" s="184"/>
      <c r="F706" s="184" t="s">
        <v>1387</v>
      </c>
      <c r="G706" s="63">
        <v>504.13</v>
      </c>
    </row>
    <row r="707" spans="2:7" x14ac:dyDescent="0.3">
      <c r="B707" s="157">
        <v>6331</v>
      </c>
      <c r="C707" s="152" t="s">
        <v>845</v>
      </c>
      <c r="D707" s="185" t="s">
        <v>981</v>
      </c>
      <c r="E707" s="185"/>
      <c r="F707" s="185" t="s">
        <v>982</v>
      </c>
      <c r="G707" s="88">
        <v>503.29</v>
      </c>
    </row>
  </sheetData>
  <autoFilter ref="B4:G707" xr:uid="{C1D7D68E-86B6-40A7-87C6-EBC7A569C694}">
    <sortState xmlns:xlrd2="http://schemas.microsoft.com/office/spreadsheetml/2017/richdata2" ref="B5:G707">
      <sortCondition descending="1" ref="G4:G707"/>
    </sortState>
  </autoFilter>
  <mergeCells count="1">
    <mergeCell ref="B2:C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671"/>
  <sheetViews>
    <sheetView zoomScale="70" zoomScaleNormal="70" workbookViewId="0">
      <selection activeCell="D211" sqref="D211"/>
    </sheetView>
  </sheetViews>
  <sheetFormatPr defaultRowHeight="16.5" x14ac:dyDescent="0.3"/>
  <cols>
    <col min="1" max="1" width="9.625" style="4" bestFit="1" customWidth="1"/>
    <col min="2" max="2" width="12.5" style="23" bestFit="1" customWidth="1"/>
    <col min="3" max="3" width="12.75" style="4" bestFit="1" customWidth="1"/>
    <col min="4" max="4" width="34" style="4" customWidth="1"/>
    <col min="5" max="5" width="9" customWidth="1"/>
    <col min="6" max="6" width="15.875" style="4" customWidth="1"/>
    <col min="7" max="12" width="9" style="4" customWidth="1"/>
    <col min="13" max="23" width="9" style="4"/>
    <col min="24" max="27" width="9" style="13"/>
    <col min="28" max="16384" width="9" style="4"/>
  </cols>
  <sheetData>
    <row r="1" spans="1:27" x14ac:dyDescent="0.3">
      <c r="B1" s="4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ht="15" x14ac:dyDescent="0.25"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  <c r="Q2" s="9" t="s">
        <v>15</v>
      </c>
      <c r="R2" s="9" t="s">
        <v>16</v>
      </c>
      <c r="S2" s="9" t="s">
        <v>17</v>
      </c>
      <c r="T2" s="9" t="s">
        <v>18</v>
      </c>
      <c r="U2" s="9" t="s">
        <v>19</v>
      </c>
      <c r="V2" s="9" t="s">
        <v>20</v>
      </c>
      <c r="W2" s="15" t="s">
        <v>21</v>
      </c>
      <c r="X2" s="14" t="s">
        <v>387</v>
      </c>
      <c r="Y2" s="12" t="s">
        <v>388</v>
      </c>
      <c r="Z2" s="12" t="s">
        <v>389</v>
      </c>
      <c r="AA2" s="12" t="s">
        <v>390</v>
      </c>
    </row>
    <row r="3" spans="1:27" customFormat="1" x14ac:dyDescent="0.3">
      <c r="A3">
        <v>260203</v>
      </c>
      <c r="B3" s="20" t="s">
        <v>1224</v>
      </c>
      <c r="C3" s="10" t="s">
        <v>23</v>
      </c>
      <c r="D3" s="10" t="s">
        <v>430</v>
      </c>
      <c r="E3" s="10" t="s">
        <v>811</v>
      </c>
      <c r="F3" s="99">
        <v>33.299999999999997</v>
      </c>
      <c r="G3" s="55">
        <v>1172</v>
      </c>
      <c r="H3" s="55">
        <v>1355</v>
      </c>
      <c r="I3" s="55">
        <v>1635</v>
      </c>
      <c r="J3" s="55">
        <v>1852</v>
      </c>
      <c r="K3" s="111">
        <v>1803</v>
      </c>
      <c r="L3" s="55">
        <v>1283</v>
      </c>
      <c r="M3" s="55">
        <v>2185</v>
      </c>
      <c r="N3" s="55">
        <v>2120</v>
      </c>
      <c r="O3" s="111">
        <v>3665</v>
      </c>
      <c r="P3" s="111">
        <v>3850</v>
      </c>
      <c r="Q3" s="111">
        <v>5355</v>
      </c>
      <c r="R3" s="111">
        <v>5937</v>
      </c>
      <c r="S3" s="111">
        <v>5678</v>
      </c>
      <c r="T3" s="55">
        <v>4600</v>
      </c>
      <c r="U3" s="55">
        <v>5757</v>
      </c>
      <c r="V3" s="55">
        <v>5018</v>
      </c>
      <c r="W3" s="111">
        <v>12682</v>
      </c>
      <c r="X3" s="145">
        <v>3.6023054755043298E-2</v>
      </c>
      <c r="Y3" s="100">
        <v>1.8636995827538309E-2</v>
      </c>
      <c r="Z3" s="100">
        <v>-4.1825960313125798E-2</v>
      </c>
      <c r="AA3" s="113">
        <v>0.33268417802688449</v>
      </c>
    </row>
    <row r="4" spans="1:27" customFormat="1" x14ac:dyDescent="0.3">
      <c r="A4">
        <v>260203</v>
      </c>
      <c r="B4" s="20" t="s">
        <v>1225</v>
      </c>
      <c r="C4" s="10" t="s">
        <v>23</v>
      </c>
      <c r="D4" s="10" t="s">
        <v>37</v>
      </c>
      <c r="E4" s="10" t="s">
        <v>811</v>
      </c>
      <c r="F4" s="99">
        <v>14.3</v>
      </c>
      <c r="G4" s="55">
        <v>446.7</v>
      </c>
      <c r="H4" s="55">
        <v>395.4</v>
      </c>
      <c r="I4" s="55">
        <v>422.1</v>
      </c>
      <c r="J4" s="55">
        <v>506.8</v>
      </c>
      <c r="K4" s="55">
        <v>506</v>
      </c>
      <c r="L4" s="55">
        <v>383.4</v>
      </c>
      <c r="M4" s="55">
        <v>370.8</v>
      </c>
      <c r="N4" s="55">
        <v>317.60000000000002</v>
      </c>
      <c r="O4" s="55">
        <v>366.8</v>
      </c>
      <c r="P4" s="55">
        <v>366.5</v>
      </c>
      <c r="Q4" s="55">
        <v>308.3</v>
      </c>
      <c r="R4" s="55">
        <v>336.9</v>
      </c>
      <c r="S4" s="55">
        <v>402.2</v>
      </c>
      <c r="T4" s="55">
        <v>425.2</v>
      </c>
      <c r="U4" s="111">
        <v>480.7</v>
      </c>
      <c r="V4" s="111">
        <v>533.79999999999995</v>
      </c>
      <c r="W4" s="111">
        <v>665.5</v>
      </c>
      <c r="X4" s="145">
        <v>4.1516373152273633E-2</v>
      </c>
      <c r="Y4" s="113">
        <v>0.11707184571506191</v>
      </c>
      <c r="Z4" s="113">
        <v>0.11969604863221869</v>
      </c>
      <c r="AA4" s="113">
        <v>0.1429502144524675</v>
      </c>
    </row>
    <row r="5" spans="1:27" customFormat="1" x14ac:dyDescent="0.3">
      <c r="A5">
        <v>260203</v>
      </c>
      <c r="B5" s="20" t="s">
        <v>1226</v>
      </c>
      <c r="C5" s="10" t="s">
        <v>23</v>
      </c>
      <c r="D5" s="10" t="s">
        <v>443</v>
      </c>
      <c r="E5" s="10" t="s">
        <v>811</v>
      </c>
      <c r="F5" s="99">
        <v>12.7</v>
      </c>
      <c r="G5" s="55">
        <v>3507</v>
      </c>
      <c r="H5" s="55">
        <v>3708</v>
      </c>
      <c r="I5" s="55">
        <v>3909</v>
      </c>
      <c r="J5" s="55">
        <v>3712</v>
      </c>
      <c r="K5" s="55">
        <v>3642</v>
      </c>
      <c r="L5" s="55">
        <v>3667</v>
      </c>
      <c r="M5" s="55">
        <v>3673</v>
      </c>
      <c r="N5" s="55">
        <v>3443</v>
      </c>
      <c r="O5" s="55">
        <v>3251</v>
      </c>
      <c r="P5" s="55">
        <v>3411</v>
      </c>
      <c r="Q5" s="55">
        <v>3535</v>
      </c>
      <c r="R5" s="55">
        <v>3353</v>
      </c>
      <c r="S5" s="55">
        <v>3241</v>
      </c>
      <c r="T5" s="55">
        <v>3333</v>
      </c>
      <c r="U5" s="111">
        <v>5082</v>
      </c>
      <c r="V5" s="111">
        <v>5745</v>
      </c>
      <c r="W5" s="111">
        <v>5449</v>
      </c>
      <c r="X5" s="145">
        <v>-5.7607090103397596E-3</v>
      </c>
      <c r="Y5" s="113">
        <v>0.1149160600207992</v>
      </c>
      <c r="Z5" s="113">
        <v>0.15937104404024249</v>
      </c>
      <c r="AA5" s="113">
        <v>0.12688925923797489</v>
      </c>
    </row>
    <row r="6" spans="1:27" customFormat="1" x14ac:dyDescent="0.3">
      <c r="A6">
        <v>260203</v>
      </c>
      <c r="B6" s="20" t="s">
        <v>1227</v>
      </c>
      <c r="C6" s="10" t="s">
        <v>23</v>
      </c>
      <c r="D6" s="10" t="s">
        <v>50</v>
      </c>
      <c r="E6" s="10" t="s">
        <v>806</v>
      </c>
      <c r="F6" s="99">
        <v>11</v>
      </c>
      <c r="G6" s="55">
        <v>117.65</v>
      </c>
      <c r="H6" s="55">
        <v>120.49</v>
      </c>
      <c r="I6" s="55">
        <v>121.62</v>
      </c>
      <c r="J6" s="55">
        <v>119.48</v>
      </c>
      <c r="K6" s="55">
        <v>120.12</v>
      </c>
      <c r="L6" s="55">
        <v>123.1</v>
      </c>
      <c r="M6" s="55">
        <v>118.35</v>
      </c>
      <c r="N6" s="55">
        <v>119.24</v>
      </c>
      <c r="O6" s="55">
        <v>77.14</v>
      </c>
      <c r="P6" s="55">
        <v>112.67</v>
      </c>
      <c r="Q6" s="55">
        <v>111.27</v>
      </c>
      <c r="R6" s="55">
        <v>6.17</v>
      </c>
      <c r="S6" s="55">
        <v>77.38</v>
      </c>
      <c r="T6" s="55">
        <v>111.21</v>
      </c>
      <c r="U6" s="55">
        <v>105.34</v>
      </c>
      <c r="V6" s="111">
        <v>103.14</v>
      </c>
      <c r="W6" s="111">
        <v>120.95</v>
      </c>
      <c r="X6" s="145">
        <v>-4.7481218901428424E-3</v>
      </c>
      <c r="Y6" s="100">
        <v>-1.937718524327681E-2</v>
      </c>
      <c r="Z6" s="113">
        <v>0.32312562479173618</v>
      </c>
      <c r="AA6" s="113">
        <v>0.10972876319036939</v>
      </c>
    </row>
    <row r="7" spans="1:27" customFormat="1" x14ac:dyDescent="0.3">
      <c r="A7">
        <v>260203</v>
      </c>
      <c r="B7" s="20" t="s">
        <v>1228</v>
      </c>
      <c r="C7" s="10" t="s">
        <v>23</v>
      </c>
      <c r="D7" s="10" t="s">
        <v>445</v>
      </c>
      <c r="E7" s="10" t="s">
        <v>806</v>
      </c>
      <c r="F7" s="99">
        <v>10.9</v>
      </c>
      <c r="G7" s="55">
        <v>264.36</v>
      </c>
      <c r="H7" s="55">
        <v>241.98</v>
      </c>
      <c r="I7" s="55">
        <v>252.37</v>
      </c>
      <c r="J7" s="55">
        <v>250.81</v>
      </c>
      <c r="K7" s="55">
        <v>200.76</v>
      </c>
      <c r="L7" s="55">
        <v>124.07</v>
      </c>
      <c r="M7" s="55">
        <v>140.36000000000001</v>
      </c>
      <c r="N7" s="55">
        <v>172.33</v>
      </c>
      <c r="O7" s="55">
        <v>202.38</v>
      </c>
      <c r="P7" s="111">
        <v>189.31</v>
      </c>
      <c r="Q7" s="55">
        <v>210.67</v>
      </c>
      <c r="R7" s="55">
        <v>212.41</v>
      </c>
      <c r="S7" s="55">
        <v>191.16</v>
      </c>
      <c r="T7" s="55">
        <v>166.49</v>
      </c>
      <c r="U7" s="55">
        <v>198.68</v>
      </c>
      <c r="V7" s="55">
        <v>242</v>
      </c>
      <c r="W7" s="111">
        <v>278.45999999999998</v>
      </c>
      <c r="X7" s="145">
        <v>-2.8398979528342919E-2</v>
      </c>
      <c r="Y7" s="100">
        <v>-1.5357421900016649E-2</v>
      </c>
      <c r="Z7" s="100">
        <v>3.8491557613757672E-2</v>
      </c>
      <c r="AA7" s="113">
        <v>0.1093532749614821</v>
      </c>
    </row>
    <row r="8" spans="1:27" customFormat="1" x14ac:dyDescent="0.3">
      <c r="A8">
        <v>260203</v>
      </c>
      <c r="B8" s="20" t="s">
        <v>1229</v>
      </c>
      <c r="C8" s="10" t="s">
        <v>23</v>
      </c>
      <c r="D8" s="10" t="s">
        <v>445</v>
      </c>
      <c r="E8" s="10" t="s">
        <v>1230</v>
      </c>
      <c r="F8" s="38">
        <v>8.1999999999999993</v>
      </c>
      <c r="G8" s="55">
        <v>4826</v>
      </c>
      <c r="H8" s="55">
        <v>5887</v>
      </c>
      <c r="I8" s="55">
        <v>6550</v>
      </c>
      <c r="J8" s="55">
        <v>5565</v>
      </c>
      <c r="K8" s="55">
        <v>5599</v>
      </c>
      <c r="L8" s="55">
        <v>5353</v>
      </c>
      <c r="M8" s="55">
        <v>5359</v>
      </c>
      <c r="N8" s="55">
        <v>5800</v>
      </c>
      <c r="O8" s="55">
        <v>6168</v>
      </c>
      <c r="P8" s="55">
        <v>5473</v>
      </c>
      <c r="Q8" s="55">
        <v>5835</v>
      </c>
      <c r="R8" s="55">
        <v>6819</v>
      </c>
      <c r="S8" s="55">
        <v>7658</v>
      </c>
      <c r="T8" s="55">
        <v>7438</v>
      </c>
      <c r="U8" s="55">
        <v>7685</v>
      </c>
      <c r="V8" s="55">
        <v>9246</v>
      </c>
      <c r="W8" s="55">
        <v>10270</v>
      </c>
      <c r="X8" s="145">
        <v>7.6207097149505465E-2</v>
      </c>
      <c r="Y8" s="100">
        <v>6.6666666666666652E-2</v>
      </c>
      <c r="Z8" s="100">
        <v>8.1993243243243308E-2</v>
      </c>
      <c r="AA8" s="100">
        <f>SUM(T8:W8)/SUM(S8:V8)-1</f>
        <v>8.1556186967246314E-2</v>
      </c>
    </row>
    <row r="9" spans="1:27" customFormat="1" x14ac:dyDescent="0.3">
      <c r="A9">
        <v>260203</v>
      </c>
      <c r="B9" s="20" t="s">
        <v>1231</v>
      </c>
      <c r="C9" s="10" t="s">
        <v>23</v>
      </c>
      <c r="D9" s="10" t="s">
        <v>46</v>
      </c>
      <c r="E9" s="10" t="s">
        <v>806</v>
      </c>
      <c r="F9" s="38">
        <v>5.9</v>
      </c>
      <c r="G9" s="55">
        <v>268.25</v>
      </c>
      <c r="H9" s="55">
        <v>284.62</v>
      </c>
      <c r="I9" s="55">
        <v>375.51</v>
      </c>
      <c r="J9" s="55">
        <v>459.6</v>
      </c>
      <c r="K9" s="111">
        <v>482.03</v>
      </c>
      <c r="L9" s="111">
        <v>476.67</v>
      </c>
      <c r="M9" s="55">
        <v>415.86</v>
      </c>
      <c r="N9" s="55">
        <v>330.42</v>
      </c>
      <c r="O9" s="55">
        <v>394.53</v>
      </c>
      <c r="P9" s="55">
        <v>377.83</v>
      </c>
      <c r="Q9" s="55">
        <v>364.15</v>
      </c>
      <c r="R9" s="55">
        <v>337.65</v>
      </c>
      <c r="S9" s="55">
        <v>335.36</v>
      </c>
      <c r="T9" s="55">
        <v>332.88</v>
      </c>
      <c r="U9" s="55">
        <v>420.81</v>
      </c>
      <c r="V9" s="55">
        <v>447.1</v>
      </c>
      <c r="W9" s="55">
        <v>425.78</v>
      </c>
      <c r="X9" s="145">
        <v>-3.1767008954126867E-2</v>
      </c>
      <c r="Y9" s="100">
        <v>4.1356456745788472E-2</v>
      </c>
      <c r="Z9" s="100">
        <v>7.6715497301464985E-2</v>
      </c>
      <c r="AA9" s="100">
        <v>5.8861439312567043E-2</v>
      </c>
    </row>
    <row r="10" spans="1:27" customFormat="1" x14ac:dyDescent="0.3">
      <c r="A10">
        <v>260203</v>
      </c>
      <c r="B10" s="20" t="s">
        <v>1232</v>
      </c>
      <c r="C10" s="10" t="s">
        <v>23</v>
      </c>
      <c r="D10" s="10" t="s">
        <v>48</v>
      </c>
      <c r="E10" s="10" t="s">
        <v>817</v>
      </c>
      <c r="F10" s="38">
        <v>5.7</v>
      </c>
      <c r="G10" s="55">
        <v>50.9</v>
      </c>
      <c r="H10" s="55">
        <v>55.88</v>
      </c>
      <c r="I10" s="55">
        <v>54.66</v>
      </c>
      <c r="J10" s="55">
        <v>56.44</v>
      </c>
      <c r="K10" s="55">
        <v>57.4</v>
      </c>
      <c r="L10" s="55">
        <v>62.07</v>
      </c>
      <c r="M10" s="55">
        <v>60.6</v>
      </c>
      <c r="N10" s="55">
        <v>62.8</v>
      </c>
      <c r="O10" s="55">
        <v>65.17</v>
      </c>
      <c r="P10" s="55">
        <v>70.91</v>
      </c>
      <c r="Q10" s="55">
        <v>66.709999999999994</v>
      </c>
      <c r="R10" s="55">
        <v>67.83</v>
      </c>
      <c r="S10" s="55">
        <v>66.75</v>
      </c>
      <c r="T10" s="55">
        <v>77.13</v>
      </c>
      <c r="U10" s="55">
        <v>76.42</v>
      </c>
      <c r="V10" s="55">
        <v>82.27</v>
      </c>
      <c r="W10" s="55">
        <v>83.86</v>
      </c>
      <c r="X10" s="145">
        <v>2.2850844966936009E-2</v>
      </c>
      <c r="Y10" s="100">
        <v>3.4875368148840069E-2</v>
      </c>
      <c r="Z10" s="100">
        <v>5.0116266962829233E-2</v>
      </c>
      <c r="AA10" s="100">
        <v>5.6548897775721363E-2</v>
      </c>
    </row>
    <row r="11" spans="1:27" customFormat="1" x14ac:dyDescent="0.3">
      <c r="A11">
        <v>260203</v>
      </c>
      <c r="B11" s="20" t="s">
        <v>1233</v>
      </c>
      <c r="C11" s="10" t="s">
        <v>23</v>
      </c>
      <c r="D11" s="10" t="s">
        <v>1234</v>
      </c>
      <c r="E11" s="10" t="s">
        <v>811</v>
      </c>
      <c r="F11" s="38">
        <v>5.5</v>
      </c>
      <c r="G11" s="55">
        <v>-13.35</v>
      </c>
      <c r="H11" s="55">
        <v>193.99</v>
      </c>
      <c r="I11" s="55">
        <v>178.34</v>
      </c>
      <c r="J11" s="55">
        <v>146.44999999999999</v>
      </c>
      <c r="K11" s="111">
        <v>355.88</v>
      </c>
      <c r="L11" s="55">
        <v>201.23</v>
      </c>
      <c r="M11" s="55">
        <v>147.94</v>
      </c>
      <c r="N11" s="55">
        <v>142.21</v>
      </c>
      <c r="O11" s="55">
        <v>402.67</v>
      </c>
      <c r="P11" s="55">
        <v>228.31</v>
      </c>
      <c r="Q11" s="55">
        <v>186.07</v>
      </c>
      <c r="R11" s="55">
        <v>138.71</v>
      </c>
      <c r="S11" s="55">
        <v>407.42</v>
      </c>
      <c r="T11" s="55">
        <v>242.47</v>
      </c>
      <c r="U11" s="55">
        <v>154.13999999999999</v>
      </c>
      <c r="V11" s="55">
        <v>158.26</v>
      </c>
      <c r="W11" s="55">
        <v>459.94</v>
      </c>
      <c r="X11" s="145">
        <v>1.4742168223131459E-2</v>
      </c>
      <c r="Y11" s="100">
        <v>-3.2759805883016857E-2</v>
      </c>
      <c r="Z11" s="100">
        <v>2.0737424952797179E-2</v>
      </c>
      <c r="AA11" s="100">
        <v>5.4578141724428209E-2</v>
      </c>
    </row>
    <row r="12" spans="1:27" customFormat="1" x14ac:dyDescent="0.3">
      <c r="A12">
        <v>260203</v>
      </c>
      <c r="B12" s="20" t="s">
        <v>1235</v>
      </c>
      <c r="C12" s="10" t="s">
        <v>23</v>
      </c>
      <c r="D12" s="10" t="s">
        <v>1236</v>
      </c>
      <c r="E12" s="10" t="s">
        <v>817</v>
      </c>
      <c r="F12" s="38">
        <v>5.4</v>
      </c>
      <c r="G12" s="55">
        <v>903.3</v>
      </c>
      <c r="H12" s="55">
        <v>930</v>
      </c>
      <c r="I12" s="55">
        <v>1102</v>
      </c>
      <c r="J12" s="55">
        <v>1394</v>
      </c>
      <c r="K12" s="111">
        <v>1408</v>
      </c>
      <c r="L12" s="111">
        <v>1446</v>
      </c>
      <c r="M12" s="55">
        <v>1285</v>
      </c>
      <c r="N12" s="55">
        <v>1299</v>
      </c>
      <c r="O12" s="55">
        <v>1366</v>
      </c>
      <c r="P12" s="55">
        <v>1399</v>
      </c>
      <c r="Q12" s="55">
        <v>1338</v>
      </c>
      <c r="R12" s="55">
        <v>1353</v>
      </c>
      <c r="S12" s="55">
        <v>1360</v>
      </c>
      <c r="T12" s="55">
        <v>1583</v>
      </c>
      <c r="U12" s="55">
        <v>1504</v>
      </c>
      <c r="V12" s="55">
        <v>1774</v>
      </c>
      <c r="W12" s="55">
        <v>1699</v>
      </c>
      <c r="X12" s="145">
        <v>3.3761467889908303E-2</v>
      </c>
      <c r="Y12" s="100">
        <v>2.9463968761093359E-2</v>
      </c>
      <c r="Z12" s="100">
        <v>7.2586206896551708E-2</v>
      </c>
      <c r="AA12" s="100">
        <v>5.449284680919475E-2</v>
      </c>
    </row>
    <row r="13" spans="1:27" customFormat="1" x14ac:dyDescent="0.3">
      <c r="A13">
        <v>260203</v>
      </c>
      <c r="B13" s="20" t="s">
        <v>1237</v>
      </c>
      <c r="C13" s="10" t="s">
        <v>23</v>
      </c>
      <c r="D13" s="10" t="s">
        <v>153</v>
      </c>
      <c r="E13" s="10" t="s">
        <v>811</v>
      </c>
      <c r="F13" s="38">
        <v>4.5</v>
      </c>
      <c r="G13" s="55">
        <v>522.13</v>
      </c>
      <c r="H13" s="55">
        <v>546.79999999999995</v>
      </c>
      <c r="I13" s="55">
        <v>603.16</v>
      </c>
      <c r="J13" s="55">
        <v>610.59</v>
      </c>
      <c r="K13" s="55">
        <v>588.95000000000005</v>
      </c>
      <c r="L13" s="55">
        <v>647.04999999999995</v>
      </c>
      <c r="M13" s="55">
        <v>730.79</v>
      </c>
      <c r="N13" s="55">
        <v>753.65</v>
      </c>
      <c r="O13" s="55">
        <v>735.72</v>
      </c>
      <c r="P13" s="55">
        <v>752.05</v>
      </c>
      <c r="Q13" s="55">
        <v>791.47</v>
      </c>
      <c r="R13" s="55">
        <v>694.27</v>
      </c>
      <c r="S13" s="55">
        <v>612.78</v>
      </c>
      <c r="T13" s="55">
        <v>651.99</v>
      </c>
      <c r="U13" s="55">
        <v>574.24</v>
      </c>
      <c r="V13" s="55">
        <v>736.72</v>
      </c>
      <c r="W13" s="55">
        <v>728.46</v>
      </c>
      <c r="X13" s="145">
        <v>-3.5101751579508463E-2</v>
      </c>
      <c r="Y13" s="100">
        <v>-7.8978080428720676E-2</v>
      </c>
      <c r="Z13" s="100">
        <v>1.675693172487858E-2</v>
      </c>
      <c r="AA13" s="100">
        <v>4.4911539641188991E-2</v>
      </c>
    </row>
    <row r="14" spans="1:27" customFormat="1" x14ac:dyDescent="0.3">
      <c r="A14">
        <v>260203</v>
      </c>
      <c r="B14" s="20" t="s">
        <v>1238</v>
      </c>
      <c r="C14" s="10" t="s">
        <v>23</v>
      </c>
      <c r="D14" s="10" t="s">
        <v>29</v>
      </c>
      <c r="E14" s="10" t="s">
        <v>806</v>
      </c>
      <c r="F14" s="38">
        <v>4.3</v>
      </c>
      <c r="G14" s="55">
        <v>52.43</v>
      </c>
      <c r="H14" s="55">
        <v>51.96</v>
      </c>
      <c r="I14" s="55">
        <v>59.95</v>
      </c>
      <c r="J14" s="55">
        <v>61.31</v>
      </c>
      <c r="K14" s="55">
        <v>62.9</v>
      </c>
      <c r="L14" s="55">
        <v>60.52</v>
      </c>
      <c r="M14" s="55">
        <v>55.8</v>
      </c>
      <c r="N14" s="55">
        <v>50.01</v>
      </c>
      <c r="O14" s="55">
        <v>49.2</v>
      </c>
      <c r="P14" s="55">
        <v>52.45</v>
      </c>
      <c r="Q14" s="55">
        <v>52.69</v>
      </c>
      <c r="R14" s="55">
        <v>55.4</v>
      </c>
      <c r="S14" s="55">
        <v>59.86</v>
      </c>
      <c r="T14" s="55">
        <v>59.89</v>
      </c>
      <c r="U14" s="55">
        <v>63.16</v>
      </c>
      <c r="V14" s="55">
        <v>65.900000000000006</v>
      </c>
      <c r="W14" s="55">
        <v>70.53</v>
      </c>
      <c r="X14" s="145">
        <v>3.3756805807622532E-2</v>
      </c>
      <c r="Y14" s="100">
        <v>4.5953300561797812E-2</v>
      </c>
      <c r="Z14" s="100">
        <v>4.4060257647601908E-2</v>
      </c>
      <c r="AA14" s="100">
        <v>4.2884128451428971E-2</v>
      </c>
    </row>
    <row r="15" spans="1:27" customFormat="1" x14ac:dyDescent="0.3">
      <c r="A15">
        <v>260203</v>
      </c>
      <c r="B15" s="20" t="s">
        <v>1239</v>
      </c>
      <c r="C15" s="10" t="s">
        <v>23</v>
      </c>
      <c r="D15" s="10" t="s">
        <v>95</v>
      </c>
      <c r="E15" s="10" t="s">
        <v>817</v>
      </c>
      <c r="F15" s="38">
        <v>4.0999999999999996</v>
      </c>
      <c r="G15" s="55">
        <v>91.7</v>
      </c>
      <c r="H15" s="55">
        <v>100.9</v>
      </c>
      <c r="I15" s="55">
        <v>135.51</v>
      </c>
      <c r="J15" s="55">
        <v>153.38</v>
      </c>
      <c r="K15" s="55">
        <v>127.07</v>
      </c>
      <c r="L15" s="55">
        <v>112.79</v>
      </c>
      <c r="M15" s="55">
        <v>125.04</v>
      </c>
      <c r="N15" s="55">
        <v>126.88</v>
      </c>
      <c r="O15" s="55">
        <v>125.26</v>
      </c>
      <c r="P15" s="111">
        <v>176.67</v>
      </c>
      <c r="Q15" s="111">
        <v>196.73</v>
      </c>
      <c r="R15" s="55">
        <v>150</v>
      </c>
      <c r="S15" s="55">
        <v>168.26</v>
      </c>
      <c r="T15" s="55">
        <v>197.97</v>
      </c>
      <c r="U15" s="55">
        <v>175.96</v>
      </c>
      <c r="V15" s="55">
        <v>190.88</v>
      </c>
      <c r="W15" s="55">
        <v>198.59</v>
      </c>
      <c r="X15" s="145">
        <v>3.0795477546771591E-2</v>
      </c>
      <c r="Y15" s="100">
        <v>-2.9132069120287211E-2</v>
      </c>
      <c r="Z15" s="100">
        <v>5.9058928906802872E-2</v>
      </c>
      <c r="AA15" s="100">
        <v>4.1373947917661358E-2</v>
      </c>
    </row>
    <row r="16" spans="1:27" customFormat="1" x14ac:dyDescent="0.3">
      <c r="A16">
        <v>260203</v>
      </c>
      <c r="B16" s="20" t="s">
        <v>1240</v>
      </c>
      <c r="C16" s="10" t="s">
        <v>23</v>
      </c>
      <c r="D16" s="10" t="s">
        <v>1135</v>
      </c>
      <c r="E16" s="10" t="s">
        <v>821</v>
      </c>
      <c r="F16" s="38">
        <v>3.8</v>
      </c>
      <c r="G16" s="55">
        <v>555.4</v>
      </c>
      <c r="H16" s="55">
        <v>880.9</v>
      </c>
      <c r="I16" s="55">
        <v>448</v>
      </c>
      <c r="J16" s="55">
        <v>314.2</v>
      </c>
      <c r="K16" s="111">
        <v>814</v>
      </c>
      <c r="L16" s="55">
        <v>1123</v>
      </c>
      <c r="M16" s="55">
        <v>418.5</v>
      </c>
      <c r="N16" s="55">
        <v>310.39999999999998</v>
      </c>
      <c r="O16" s="55">
        <v>756.6</v>
      </c>
      <c r="P16" s="55">
        <v>1129</v>
      </c>
      <c r="Q16" s="55">
        <v>414.1</v>
      </c>
      <c r="R16" s="55">
        <v>293.8</v>
      </c>
      <c r="S16" s="55">
        <v>669.1</v>
      </c>
      <c r="T16" s="55">
        <v>1051</v>
      </c>
      <c r="U16" s="55">
        <v>421.9</v>
      </c>
      <c r="V16" s="55">
        <v>334.1</v>
      </c>
      <c r="W16" s="55">
        <v>762.2</v>
      </c>
      <c r="X16" s="145">
        <v>-3.1125299281723921E-2</v>
      </c>
      <c r="Y16" s="100">
        <v>3.2125205930808591E-3</v>
      </c>
      <c r="Z16" s="100">
        <v>1.6544872321208489E-2</v>
      </c>
      <c r="AA16" s="100">
        <v>3.7599450749161933E-2</v>
      </c>
    </row>
    <row r="17" spans="1:27" customFormat="1" x14ac:dyDescent="0.3">
      <c r="A17">
        <v>260203</v>
      </c>
      <c r="B17" s="20" t="s">
        <v>1241</v>
      </c>
      <c r="C17" s="10" t="s">
        <v>23</v>
      </c>
      <c r="D17" s="10" t="s">
        <v>443</v>
      </c>
      <c r="E17" s="10" t="s">
        <v>806</v>
      </c>
      <c r="F17" s="38">
        <v>3.7</v>
      </c>
      <c r="G17" s="55">
        <v>3674</v>
      </c>
      <c r="H17" s="55">
        <v>3716</v>
      </c>
      <c r="I17" s="55">
        <v>4134</v>
      </c>
      <c r="J17" s="55">
        <v>3951</v>
      </c>
      <c r="K17" s="55">
        <v>3548</v>
      </c>
      <c r="L17" s="55">
        <v>2981</v>
      </c>
      <c r="M17" s="55">
        <v>3067</v>
      </c>
      <c r="N17" s="55">
        <v>3111</v>
      </c>
      <c r="O17" s="55">
        <v>2903</v>
      </c>
      <c r="P17" s="55">
        <v>2874</v>
      </c>
      <c r="Q17" s="55">
        <v>2959</v>
      </c>
      <c r="R17" s="55">
        <v>3082</v>
      </c>
      <c r="S17" s="55">
        <v>2880</v>
      </c>
      <c r="T17" s="55">
        <v>3097</v>
      </c>
      <c r="U17" s="55">
        <v>3338</v>
      </c>
      <c r="V17" s="55">
        <v>3379</v>
      </c>
      <c r="W17" s="55">
        <v>3347</v>
      </c>
      <c r="X17" s="145">
        <v>1.8906316235693051E-2</v>
      </c>
      <c r="Y17" s="100">
        <v>3.1536029289399137E-2</v>
      </c>
      <c r="Z17" s="100">
        <v>2.395740905057675E-2</v>
      </c>
      <c r="AA17" s="100">
        <v>3.6789034189380843E-2</v>
      </c>
    </row>
    <row r="18" spans="1:27" customFormat="1" x14ac:dyDescent="0.3">
      <c r="A18">
        <v>260203</v>
      </c>
      <c r="B18" s="20" t="s">
        <v>1242</v>
      </c>
      <c r="C18" s="10" t="s">
        <v>23</v>
      </c>
      <c r="D18" s="10" t="s">
        <v>115</v>
      </c>
      <c r="E18" s="10" t="s">
        <v>811</v>
      </c>
      <c r="F18" s="38">
        <v>3.6</v>
      </c>
      <c r="G18" s="55">
        <v>64.7</v>
      </c>
      <c r="H18" s="55">
        <v>69.66</v>
      </c>
      <c r="I18" s="55">
        <v>75.52</v>
      </c>
      <c r="J18" s="55">
        <v>79.540000000000006</v>
      </c>
      <c r="K18" s="55">
        <v>84.69</v>
      </c>
      <c r="L18" s="55">
        <v>92.02</v>
      </c>
      <c r="M18" s="55">
        <v>94.62</v>
      </c>
      <c r="N18" s="55">
        <v>101.58</v>
      </c>
      <c r="O18" s="55">
        <v>103.93</v>
      </c>
      <c r="P18" s="55">
        <v>110.64</v>
      </c>
      <c r="Q18" s="55">
        <v>114.38</v>
      </c>
      <c r="R18" s="55">
        <v>118.81</v>
      </c>
      <c r="S18" s="55">
        <v>121.21</v>
      </c>
      <c r="T18" s="55">
        <v>129.07</v>
      </c>
      <c r="U18" s="55">
        <v>135.04</v>
      </c>
      <c r="V18" s="55">
        <v>139.03</v>
      </c>
      <c r="W18" s="55">
        <v>140.21</v>
      </c>
      <c r="X18" s="145">
        <v>3.9630999483915463E-2</v>
      </c>
      <c r="Y18" s="100">
        <v>4.2732744534304201E-2</v>
      </c>
      <c r="Z18" s="100">
        <v>4.0108702120484903E-2</v>
      </c>
      <c r="AA18" s="100">
        <v>3.6235338991131849E-2</v>
      </c>
    </row>
    <row r="19" spans="1:27" customFormat="1" x14ac:dyDescent="0.3">
      <c r="A19">
        <v>260203</v>
      </c>
      <c r="B19" s="20" t="s">
        <v>1243</v>
      </c>
      <c r="C19" s="10" t="s">
        <v>23</v>
      </c>
      <c r="D19" s="10" t="s">
        <v>1135</v>
      </c>
      <c r="E19" s="10" t="s">
        <v>821</v>
      </c>
      <c r="F19" s="38">
        <v>3.6</v>
      </c>
      <c r="G19" s="55">
        <v>1013</v>
      </c>
      <c r="H19" s="55">
        <v>1650</v>
      </c>
      <c r="I19" s="55">
        <v>816.43</v>
      </c>
      <c r="J19" s="55">
        <v>722.63</v>
      </c>
      <c r="K19" s="111">
        <v>1484</v>
      </c>
      <c r="L19" s="55">
        <v>1541</v>
      </c>
      <c r="M19" s="55">
        <v>662.73</v>
      </c>
      <c r="N19" s="55">
        <v>587.64</v>
      </c>
      <c r="O19" s="55">
        <v>1158</v>
      </c>
      <c r="P19" s="55">
        <v>1647</v>
      </c>
      <c r="Q19" s="55">
        <v>701.55</v>
      </c>
      <c r="R19" s="55">
        <v>657.94</v>
      </c>
      <c r="S19" s="55">
        <v>1176</v>
      </c>
      <c r="T19" s="55">
        <v>1951</v>
      </c>
      <c r="U19" s="55">
        <v>838.77</v>
      </c>
      <c r="V19" s="55">
        <v>737.48</v>
      </c>
      <c r="W19" s="55">
        <v>1343</v>
      </c>
      <c r="X19" s="145">
        <v>7.2683975335266826E-2</v>
      </c>
      <c r="Y19" s="100">
        <v>3.0585156770660319E-2</v>
      </c>
      <c r="Z19" s="100">
        <v>1.720263597846761E-2</v>
      </c>
      <c r="AA19" s="100">
        <v>3.5507361930579913E-2</v>
      </c>
    </row>
    <row r="20" spans="1:27" customFormat="1" x14ac:dyDescent="0.3">
      <c r="A20">
        <v>260203</v>
      </c>
      <c r="B20" s="20" t="s">
        <v>1244</v>
      </c>
      <c r="C20" s="10" t="s">
        <v>23</v>
      </c>
      <c r="D20" s="10" t="s">
        <v>459</v>
      </c>
      <c r="E20" s="10" t="s">
        <v>811</v>
      </c>
      <c r="F20" s="38">
        <v>3.5</v>
      </c>
      <c r="G20" s="55">
        <v>175.35</v>
      </c>
      <c r="H20" s="55">
        <v>177.36</v>
      </c>
      <c r="I20" s="55">
        <v>172.86</v>
      </c>
      <c r="J20" s="55">
        <v>171.22</v>
      </c>
      <c r="K20" s="55">
        <v>167.46</v>
      </c>
      <c r="L20" s="55">
        <v>172.54</v>
      </c>
      <c r="M20" s="55">
        <v>176.87</v>
      </c>
      <c r="N20" s="55">
        <v>182.49</v>
      </c>
      <c r="O20" s="55">
        <v>188.9</v>
      </c>
      <c r="P20" s="55">
        <v>193.07</v>
      </c>
      <c r="Q20" s="55">
        <v>199.4</v>
      </c>
      <c r="R20" s="55">
        <v>205.14</v>
      </c>
      <c r="S20" s="55">
        <v>209</v>
      </c>
      <c r="T20" s="55">
        <v>218.14</v>
      </c>
      <c r="U20" s="55">
        <v>221.42</v>
      </c>
      <c r="V20" s="55">
        <v>236.11</v>
      </c>
      <c r="W20" s="55">
        <v>239.71</v>
      </c>
      <c r="X20" s="145">
        <v>3.10806957513543E-2</v>
      </c>
      <c r="Y20" s="100">
        <v>2.6476529434397818E-2</v>
      </c>
      <c r="Z20" s="100">
        <v>3.627738081293197E-2</v>
      </c>
      <c r="AA20" s="100">
        <v>3.471350899205361E-2</v>
      </c>
    </row>
    <row r="21" spans="1:27" customFormat="1" x14ac:dyDescent="0.3">
      <c r="A21">
        <v>260203</v>
      </c>
      <c r="B21" s="20" t="s">
        <v>1245</v>
      </c>
      <c r="C21" s="10" t="s">
        <v>23</v>
      </c>
      <c r="D21" s="10" t="s">
        <v>177</v>
      </c>
      <c r="E21" s="10" t="s">
        <v>806</v>
      </c>
      <c r="F21" s="38">
        <v>3.4</v>
      </c>
      <c r="G21" s="55">
        <v>313.87</v>
      </c>
      <c r="H21" s="55">
        <v>246.22</v>
      </c>
      <c r="I21" s="55">
        <v>233.14</v>
      </c>
      <c r="J21" s="55">
        <v>266.08999999999997</v>
      </c>
      <c r="K21" s="55">
        <v>277.95</v>
      </c>
      <c r="L21" s="55">
        <v>202.49</v>
      </c>
      <c r="M21" s="111">
        <v>346.08</v>
      </c>
      <c r="N21" s="55">
        <v>278.16000000000003</v>
      </c>
      <c r="O21" s="55">
        <v>329.25</v>
      </c>
      <c r="P21" s="111">
        <v>329.19</v>
      </c>
      <c r="Q21" s="55">
        <v>359.98</v>
      </c>
      <c r="R21" s="55">
        <v>326.12</v>
      </c>
      <c r="S21" s="111">
        <v>478.58</v>
      </c>
      <c r="T21" s="55">
        <v>324.33</v>
      </c>
      <c r="U21" s="55">
        <v>406.68</v>
      </c>
      <c r="V21" s="55">
        <v>446.89</v>
      </c>
      <c r="W21" s="55">
        <v>535.16</v>
      </c>
      <c r="X21" s="145">
        <v>-3.2532951327758348E-3</v>
      </c>
      <c r="Y21" s="100">
        <v>3.1363120462589267E-2</v>
      </c>
      <c r="Z21" s="100">
        <v>7.8641149696231594E-2</v>
      </c>
      <c r="AA21" s="100">
        <v>3.4156766154737728E-2</v>
      </c>
    </row>
    <row r="22" spans="1:27" customFormat="1" x14ac:dyDescent="0.3">
      <c r="A22">
        <v>260203</v>
      </c>
      <c r="B22" s="20" t="s">
        <v>1246</v>
      </c>
      <c r="C22" s="10" t="s">
        <v>23</v>
      </c>
      <c r="D22" s="10" t="s">
        <v>95</v>
      </c>
      <c r="E22" s="10" t="s">
        <v>806</v>
      </c>
      <c r="F22" s="38">
        <v>3.3</v>
      </c>
      <c r="G22" s="55">
        <v>315.04000000000002</v>
      </c>
      <c r="H22" s="55">
        <v>281.60000000000002</v>
      </c>
      <c r="I22" s="55">
        <v>251.39</v>
      </c>
      <c r="J22" s="55">
        <v>234.31</v>
      </c>
      <c r="K22" s="55">
        <v>225.99</v>
      </c>
      <c r="L22" s="55">
        <v>234.51</v>
      </c>
      <c r="M22" s="55">
        <v>242.9</v>
      </c>
      <c r="N22" s="55">
        <v>248.72</v>
      </c>
      <c r="O22" s="55">
        <v>249</v>
      </c>
      <c r="P22" s="55">
        <v>264.35000000000002</v>
      </c>
      <c r="Q22" s="55">
        <v>270.82</v>
      </c>
      <c r="R22" s="55">
        <v>279.58</v>
      </c>
      <c r="S22" s="55">
        <v>297.05</v>
      </c>
      <c r="T22" s="55">
        <v>277.14999999999998</v>
      </c>
      <c r="U22" s="55">
        <v>282.75</v>
      </c>
      <c r="V22" s="55">
        <v>301.29000000000002</v>
      </c>
      <c r="W22" s="55">
        <v>335.5</v>
      </c>
      <c r="X22" s="145">
        <v>1.151286202554402E-2</v>
      </c>
      <c r="Y22" s="100">
        <v>1.0608216254668351E-2</v>
      </c>
      <c r="Z22" s="100">
        <v>1.9102003466692441E-2</v>
      </c>
      <c r="AA22" s="100">
        <v>3.3196919464014478E-2</v>
      </c>
    </row>
    <row r="23" spans="1:27" customFormat="1" x14ac:dyDescent="0.3">
      <c r="A23">
        <v>260203</v>
      </c>
      <c r="B23" s="20" t="s">
        <v>1247</v>
      </c>
      <c r="C23" s="10" t="s">
        <v>23</v>
      </c>
      <c r="D23" s="10" t="s">
        <v>153</v>
      </c>
      <c r="E23" s="10" t="s">
        <v>806</v>
      </c>
      <c r="F23" s="38">
        <v>3.3</v>
      </c>
      <c r="G23" s="55">
        <v>1504</v>
      </c>
      <c r="H23" s="55">
        <v>1459</v>
      </c>
      <c r="I23" s="55">
        <v>1515</v>
      </c>
      <c r="J23" s="55">
        <v>1552</v>
      </c>
      <c r="K23" s="55">
        <v>1626</v>
      </c>
      <c r="L23" s="55">
        <v>1597</v>
      </c>
      <c r="M23" s="55">
        <v>1646</v>
      </c>
      <c r="N23" s="55">
        <v>1623</v>
      </c>
      <c r="O23" s="55">
        <v>1731</v>
      </c>
      <c r="P23" s="55">
        <v>1736</v>
      </c>
      <c r="Q23" s="55">
        <v>1735</v>
      </c>
      <c r="R23" s="55">
        <v>1709</v>
      </c>
      <c r="S23" s="55">
        <v>1762</v>
      </c>
      <c r="T23" s="55">
        <v>1732</v>
      </c>
      <c r="U23" s="55">
        <v>1778</v>
      </c>
      <c r="V23" s="55">
        <v>1893</v>
      </c>
      <c r="W23" s="55">
        <v>1998</v>
      </c>
      <c r="X23" s="145">
        <v>-5.7620282339387874E-4</v>
      </c>
      <c r="Y23" s="100">
        <v>6.1977515134044037E-3</v>
      </c>
      <c r="Z23" s="100">
        <v>2.6357255407534641E-2</v>
      </c>
      <c r="AA23" s="100">
        <v>3.2937892533147162E-2</v>
      </c>
    </row>
    <row r="24" spans="1:27" customFormat="1" x14ac:dyDescent="0.3">
      <c r="A24">
        <v>260203</v>
      </c>
      <c r="B24" s="20" t="s">
        <v>1248</v>
      </c>
      <c r="C24" s="10" t="s">
        <v>23</v>
      </c>
      <c r="D24" s="10" t="str">
        <f>VLOOKUP(B24,[1]기업리스트!B:G,2,FALSE)</f>
        <v>Digital Turbine, Inc.</v>
      </c>
      <c r="E24" s="10" t="s">
        <v>817</v>
      </c>
      <c r="F24" s="38">
        <v>3.2</v>
      </c>
      <c r="G24" s="55">
        <v>216.82</v>
      </c>
      <c r="H24" s="55">
        <v>184.14</v>
      </c>
      <c r="I24" s="55">
        <v>188.63</v>
      </c>
      <c r="J24" s="55">
        <v>174.86</v>
      </c>
      <c r="K24" s="55">
        <v>162.31</v>
      </c>
      <c r="L24" s="55">
        <v>140.12</v>
      </c>
      <c r="M24" s="55">
        <v>146.37</v>
      </c>
      <c r="N24" s="55">
        <v>143.26</v>
      </c>
      <c r="O24" s="55">
        <v>142.63</v>
      </c>
      <c r="P24" s="55">
        <v>112.22</v>
      </c>
      <c r="Q24" s="55">
        <v>117.99</v>
      </c>
      <c r="R24" s="55">
        <v>118.73</v>
      </c>
      <c r="S24" s="55">
        <v>134.63999999999999</v>
      </c>
      <c r="T24" s="55">
        <v>119.15</v>
      </c>
      <c r="U24" s="55">
        <v>130.93</v>
      </c>
      <c r="V24" s="55">
        <v>140.38</v>
      </c>
      <c r="W24" s="55">
        <v>151.4</v>
      </c>
      <c r="X24" s="145">
        <v>1.43306174779767E-2</v>
      </c>
      <c r="Y24" s="100">
        <v>2.6380705796008149E-2</v>
      </c>
      <c r="Z24" s="100">
        <v>4.3003277386036487E-2</v>
      </c>
      <c r="AA24" s="100">
        <v>3.1917729956198793E-2</v>
      </c>
    </row>
    <row r="25" spans="1:27" customFormat="1" x14ac:dyDescent="0.3">
      <c r="A25">
        <v>260203</v>
      </c>
      <c r="B25" s="20" t="s">
        <v>1249</v>
      </c>
      <c r="C25" s="10" t="s">
        <v>23</v>
      </c>
      <c r="D25" s="10" t="s">
        <v>131</v>
      </c>
      <c r="E25" s="10" t="s">
        <v>821</v>
      </c>
      <c r="F25" s="38">
        <v>3.2</v>
      </c>
      <c r="G25" s="55">
        <v>1194</v>
      </c>
      <c r="H25" s="55">
        <v>1327</v>
      </c>
      <c r="I25" s="55">
        <v>1398</v>
      </c>
      <c r="J25" s="55">
        <v>1510</v>
      </c>
      <c r="K25" s="55">
        <v>1397</v>
      </c>
      <c r="L25" s="55">
        <v>1592</v>
      </c>
      <c r="M25" s="55">
        <v>1744</v>
      </c>
      <c r="N25" s="55">
        <v>1852</v>
      </c>
      <c r="O25" s="55">
        <v>1789</v>
      </c>
      <c r="P25" s="55">
        <v>1919</v>
      </c>
      <c r="Q25" s="55">
        <v>2046</v>
      </c>
      <c r="R25" s="55">
        <v>2186</v>
      </c>
      <c r="S25" s="55">
        <v>2006</v>
      </c>
      <c r="T25" s="55">
        <v>2150</v>
      </c>
      <c r="U25" s="55">
        <v>2237</v>
      </c>
      <c r="V25" s="55">
        <v>2437</v>
      </c>
      <c r="W25" s="55">
        <v>2285</v>
      </c>
      <c r="X25" s="145">
        <v>2.8319235012872479E-2</v>
      </c>
      <c r="Y25" s="100">
        <v>2.277062470195523E-2</v>
      </c>
      <c r="Z25" s="100">
        <v>2.925748921785765E-2</v>
      </c>
      <c r="AA25" s="100">
        <v>3.1596828992072501E-2</v>
      </c>
    </row>
    <row r="26" spans="1:27" customFormat="1" x14ac:dyDescent="0.3">
      <c r="A26">
        <v>260203</v>
      </c>
      <c r="B26" s="20" t="s">
        <v>1250</v>
      </c>
      <c r="C26" s="10" t="s">
        <v>23</v>
      </c>
      <c r="D26" s="10" t="s">
        <v>810</v>
      </c>
      <c r="E26" s="10" t="s">
        <v>806</v>
      </c>
      <c r="F26" s="38">
        <v>3.1</v>
      </c>
      <c r="G26" s="55">
        <v>2641</v>
      </c>
      <c r="H26" s="55">
        <v>2511</v>
      </c>
      <c r="I26" s="55">
        <v>2829</v>
      </c>
      <c r="J26" s="55">
        <v>3276</v>
      </c>
      <c r="K26" s="55">
        <v>2521</v>
      </c>
      <c r="L26" s="55">
        <v>2579</v>
      </c>
      <c r="M26" s="55">
        <v>2545</v>
      </c>
      <c r="N26" s="55">
        <v>2753</v>
      </c>
      <c r="O26" s="55">
        <v>2804</v>
      </c>
      <c r="P26" s="55">
        <v>2689</v>
      </c>
      <c r="Q26" s="55">
        <v>2707</v>
      </c>
      <c r="R26" s="55">
        <v>2823</v>
      </c>
      <c r="S26" s="55">
        <v>2892</v>
      </c>
      <c r="T26" s="55">
        <v>2938</v>
      </c>
      <c r="U26" s="55">
        <v>2833</v>
      </c>
      <c r="V26" s="55">
        <v>2949</v>
      </c>
      <c r="W26" s="55">
        <v>3252</v>
      </c>
      <c r="X26" s="145">
        <v>2.2410224102241031E-2</v>
      </c>
      <c r="Y26" s="100">
        <v>1.1091549295774611E-2</v>
      </c>
      <c r="Z26" s="100">
        <v>1.0969876371234481E-2</v>
      </c>
      <c r="AA26" s="100">
        <v>3.1002411298656659E-2</v>
      </c>
    </row>
    <row r="27" spans="1:27" customFormat="1" x14ac:dyDescent="0.3">
      <c r="A27">
        <v>260203</v>
      </c>
      <c r="B27" s="20" t="s">
        <v>1251</v>
      </c>
      <c r="C27" s="10" t="s">
        <v>23</v>
      </c>
      <c r="D27" s="10" t="s">
        <v>153</v>
      </c>
      <c r="E27" s="10" t="s">
        <v>806</v>
      </c>
      <c r="F27" s="38">
        <v>3.1</v>
      </c>
      <c r="G27" s="55">
        <v>4798</v>
      </c>
      <c r="H27" s="55">
        <v>4843</v>
      </c>
      <c r="I27" s="55">
        <v>5212</v>
      </c>
      <c r="J27" s="55">
        <v>5313</v>
      </c>
      <c r="K27" s="55">
        <v>5384</v>
      </c>
      <c r="L27" s="55">
        <v>5483</v>
      </c>
      <c r="M27" s="55">
        <v>5866</v>
      </c>
      <c r="N27" s="55">
        <v>5880</v>
      </c>
      <c r="O27" s="55">
        <v>5967</v>
      </c>
      <c r="P27" s="55">
        <v>5943</v>
      </c>
      <c r="Q27" s="55">
        <v>6350</v>
      </c>
      <c r="R27" s="55">
        <v>6345</v>
      </c>
      <c r="S27" s="55">
        <v>6240</v>
      </c>
      <c r="T27" s="55">
        <v>6377</v>
      </c>
      <c r="U27" s="55">
        <v>7028</v>
      </c>
      <c r="V27" s="55">
        <v>6988</v>
      </c>
      <c r="W27" s="55">
        <v>7055</v>
      </c>
      <c r="X27" s="145">
        <v>1.7445132245357261E-2</v>
      </c>
      <c r="Y27" s="100">
        <v>2.6785714285714191E-2</v>
      </c>
      <c r="Z27" s="100">
        <v>2.474028472489409E-2</v>
      </c>
      <c r="AA27" s="100">
        <v>3.060113393158859E-2</v>
      </c>
    </row>
    <row r="28" spans="1:27" customFormat="1" x14ac:dyDescent="0.3">
      <c r="A28">
        <v>260203</v>
      </c>
      <c r="B28" s="20" t="s">
        <v>1252</v>
      </c>
      <c r="C28" s="10" t="s">
        <v>23</v>
      </c>
      <c r="D28" s="10" t="s">
        <v>172</v>
      </c>
      <c r="E28" s="10" t="s">
        <v>821</v>
      </c>
      <c r="F28" s="38">
        <v>3</v>
      </c>
      <c r="G28" s="55">
        <v>3381</v>
      </c>
      <c r="H28" s="55">
        <v>3834</v>
      </c>
      <c r="I28" s="55">
        <v>3827</v>
      </c>
      <c r="J28" s="55">
        <v>3881</v>
      </c>
      <c r="K28" s="55">
        <v>3799</v>
      </c>
      <c r="L28" s="55">
        <v>4078</v>
      </c>
      <c r="M28" s="55">
        <v>4187</v>
      </c>
      <c r="N28" s="55">
        <v>-1212</v>
      </c>
      <c r="O28" s="55">
        <v>2810</v>
      </c>
      <c r="P28" s="55">
        <v>2847</v>
      </c>
      <c r="Q28" s="55">
        <v>2883</v>
      </c>
      <c r="R28" s="111">
        <v>0</v>
      </c>
      <c r="S28" s="55">
        <v>2933</v>
      </c>
      <c r="T28" s="55">
        <v>2910</v>
      </c>
      <c r="U28" s="55">
        <v>3032</v>
      </c>
      <c r="V28" s="111">
        <v>3155</v>
      </c>
      <c r="W28" s="55">
        <v>3293</v>
      </c>
      <c r="X28" s="145">
        <v>7.2723075147178573E-3</v>
      </c>
      <c r="Y28" s="100">
        <v>1.7075406830162839E-2</v>
      </c>
      <c r="Z28" s="113">
        <v>0.35549295774647888</v>
      </c>
      <c r="AA28" s="100">
        <v>2.9925187032418869E-2</v>
      </c>
    </row>
    <row r="29" spans="1:27" customFormat="1" x14ac:dyDescent="0.3">
      <c r="A29">
        <v>260203</v>
      </c>
      <c r="B29" s="20" t="s">
        <v>1253</v>
      </c>
      <c r="C29" s="10" t="s">
        <v>23</v>
      </c>
      <c r="D29" s="10" t="s">
        <v>34</v>
      </c>
      <c r="E29" s="10" t="s">
        <v>806</v>
      </c>
      <c r="F29" s="38">
        <v>3</v>
      </c>
      <c r="G29" s="55">
        <v>16424</v>
      </c>
      <c r="H29" s="55">
        <v>11855</v>
      </c>
      <c r="I29" s="55">
        <v>11392</v>
      </c>
      <c r="J29" s="55">
        <v>20201</v>
      </c>
      <c r="K29" s="55">
        <v>11135</v>
      </c>
      <c r="L29" s="55">
        <v>17045</v>
      </c>
      <c r="M29" s="55">
        <v>13498</v>
      </c>
      <c r="N29" s="55">
        <v>8352</v>
      </c>
      <c r="O29" s="55">
        <v>15084</v>
      </c>
      <c r="P29" s="111">
        <v>23509</v>
      </c>
      <c r="Q29" s="55">
        <v>14883</v>
      </c>
      <c r="R29" s="111">
        <v>19490</v>
      </c>
      <c r="S29" s="55">
        <v>12523</v>
      </c>
      <c r="T29" s="55">
        <v>13470</v>
      </c>
      <c r="U29" s="55">
        <v>13726</v>
      </c>
      <c r="V29" s="55">
        <v>17879</v>
      </c>
      <c r="W29" s="55">
        <v>14229</v>
      </c>
      <c r="X29" s="145">
        <v>-0.1425893047368795</v>
      </c>
      <c r="Y29" s="100">
        <v>-1.91664181824206E-2</v>
      </c>
      <c r="Z29" s="100">
        <v>-2.7208701379857762E-2</v>
      </c>
      <c r="AA29" s="100">
        <v>2.9619083995972021E-2</v>
      </c>
    </row>
    <row r="30" spans="1:27" customFormat="1" x14ac:dyDescent="0.3">
      <c r="A30">
        <v>260203</v>
      </c>
      <c r="B30" s="20" t="s">
        <v>1254</v>
      </c>
      <c r="C30" s="10" t="s">
        <v>23</v>
      </c>
      <c r="D30" s="10" t="s">
        <v>1255</v>
      </c>
      <c r="E30" s="10" t="s">
        <v>806</v>
      </c>
      <c r="F30" s="38">
        <v>2.8</v>
      </c>
      <c r="G30" s="55">
        <v>1100</v>
      </c>
      <c r="H30" s="55">
        <v>1156</v>
      </c>
      <c r="I30" s="55">
        <v>1256</v>
      </c>
      <c r="J30" s="55">
        <v>1316</v>
      </c>
      <c r="K30" s="55">
        <v>1220</v>
      </c>
      <c r="L30" s="55">
        <v>1285</v>
      </c>
      <c r="M30" s="55">
        <v>1366</v>
      </c>
      <c r="N30" s="55">
        <v>1376</v>
      </c>
      <c r="O30" s="55">
        <v>1346</v>
      </c>
      <c r="P30" s="55">
        <v>1399</v>
      </c>
      <c r="Q30" s="55">
        <v>1453</v>
      </c>
      <c r="R30" s="55">
        <v>1443</v>
      </c>
      <c r="S30" s="55">
        <v>1334</v>
      </c>
      <c r="T30" s="55">
        <v>1365</v>
      </c>
      <c r="U30" s="55">
        <v>1484</v>
      </c>
      <c r="V30" s="55">
        <v>1502</v>
      </c>
      <c r="W30" s="55">
        <v>1493</v>
      </c>
      <c r="X30" s="145">
        <v>-6.040149227216185E-3</v>
      </c>
      <c r="Y30" s="100">
        <v>5.5406613047364051E-3</v>
      </c>
      <c r="Z30" s="100">
        <v>1.048702452897254E-2</v>
      </c>
      <c r="AA30" s="100">
        <v>2.7968337730870822E-2</v>
      </c>
    </row>
    <row r="31" spans="1:27" customFormat="1" x14ac:dyDescent="0.3">
      <c r="A31">
        <v>260203</v>
      </c>
      <c r="B31" s="20" t="s">
        <v>1256</v>
      </c>
      <c r="C31" s="10" t="s">
        <v>23</v>
      </c>
      <c r="D31" s="10" t="s">
        <v>24</v>
      </c>
      <c r="E31" s="10" t="s">
        <v>806</v>
      </c>
      <c r="F31" s="38">
        <v>2.4</v>
      </c>
      <c r="G31" s="55">
        <v>126.58</v>
      </c>
      <c r="H31" s="55">
        <v>96.26</v>
      </c>
      <c r="I31" s="55">
        <v>111.45</v>
      </c>
      <c r="J31" s="55">
        <v>123.31</v>
      </c>
      <c r="K31" s="55">
        <v>142.62</v>
      </c>
      <c r="L31" s="55">
        <v>107.34</v>
      </c>
      <c r="M31" s="55">
        <v>115.42</v>
      </c>
      <c r="N31" s="55">
        <v>122.31</v>
      </c>
      <c r="O31" s="55">
        <v>154.1</v>
      </c>
      <c r="P31" s="55">
        <v>114.02</v>
      </c>
      <c r="Q31" s="55">
        <v>130.35</v>
      </c>
      <c r="R31" s="55">
        <v>148.07</v>
      </c>
      <c r="S31" s="55">
        <v>158.51</v>
      </c>
      <c r="T31" s="55">
        <v>136.41999999999999</v>
      </c>
      <c r="U31" s="55">
        <v>152.16</v>
      </c>
      <c r="V31" s="55">
        <v>161.58000000000001</v>
      </c>
      <c r="W31" s="55">
        <v>173.37</v>
      </c>
      <c r="X31" s="145">
        <v>4.0657046918958217E-2</v>
      </c>
      <c r="Y31" s="100">
        <v>3.8039591872329297E-2</v>
      </c>
      <c r="Z31" s="100">
        <v>2.26997782109013E-2</v>
      </c>
      <c r="AA31" s="100">
        <v>2.4413886013767701E-2</v>
      </c>
    </row>
    <row r="32" spans="1:27" customFormat="1" x14ac:dyDescent="0.3">
      <c r="A32">
        <v>260203</v>
      </c>
      <c r="B32" s="20" t="s">
        <v>1257</v>
      </c>
      <c r="C32" s="10" t="s">
        <v>23</v>
      </c>
      <c r="D32" s="10" t="s">
        <v>144</v>
      </c>
      <c r="E32" s="10" t="s">
        <v>821</v>
      </c>
      <c r="F32" s="38">
        <v>2.4</v>
      </c>
      <c r="G32" s="55">
        <v>1193</v>
      </c>
      <c r="H32" s="55">
        <v>1260</v>
      </c>
      <c r="I32" s="55">
        <v>1534</v>
      </c>
      <c r="J32" s="55">
        <v>1723</v>
      </c>
      <c r="K32" s="55">
        <v>1283</v>
      </c>
      <c r="L32" s="55">
        <v>1293</v>
      </c>
      <c r="M32" s="55">
        <v>1646</v>
      </c>
      <c r="N32" s="55">
        <v>1839</v>
      </c>
      <c r="O32" s="55">
        <v>1431</v>
      </c>
      <c r="P32" s="55">
        <v>1405</v>
      </c>
      <c r="Q32" s="55">
        <v>1727</v>
      </c>
      <c r="R32" s="55">
        <v>1944</v>
      </c>
      <c r="S32" s="55">
        <v>1423</v>
      </c>
      <c r="T32" s="55">
        <v>1589</v>
      </c>
      <c r="U32" s="55">
        <v>1812</v>
      </c>
      <c r="V32" s="55">
        <v>2065</v>
      </c>
      <c r="W32" s="55">
        <v>1589</v>
      </c>
      <c r="X32" s="145">
        <v>2.8312048007385741E-2</v>
      </c>
      <c r="Y32" s="100">
        <v>1.271883884483027E-2</v>
      </c>
      <c r="Z32" s="100">
        <v>1.7878250591016439E-2</v>
      </c>
      <c r="AA32" s="100">
        <v>2.4096385542168749E-2</v>
      </c>
    </row>
    <row r="33" spans="1:27" customFormat="1" x14ac:dyDescent="0.3">
      <c r="A33">
        <v>260203</v>
      </c>
      <c r="B33" s="20" t="s">
        <v>1258</v>
      </c>
      <c r="C33" s="10" t="s">
        <v>23</v>
      </c>
      <c r="D33" s="10" t="s">
        <v>1259</v>
      </c>
      <c r="E33" s="10" t="s">
        <v>806</v>
      </c>
      <c r="F33" s="38">
        <v>2.4</v>
      </c>
      <c r="G33" s="55">
        <v>7658</v>
      </c>
      <c r="H33" s="55">
        <v>7764</v>
      </c>
      <c r="I33" s="55">
        <v>7274</v>
      </c>
      <c r="J33" s="55">
        <v>7763</v>
      </c>
      <c r="K33" s="55">
        <v>8695</v>
      </c>
      <c r="L33" s="55">
        <v>9166</v>
      </c>
      <c r="M33" s="55">
        <v>8507</v>
      </c>
      <c r="N33" s="55">
        <v>9029</v>
      </c>
      <c r="O33" s="55">
        <v>9314</v>
      </c>
      <c r="P33" s="55">
        <v>9290</v>
      </c>
      <c r="Q33" s="55">
        <v>8343</v>
      </c>
      <c r="R33" s="55">
        <v>9204</v>
      </c>
      <c r="S33" s="55">
        <v>9604</v>
      </c>
      <c r="T33" s="55">
        <v>9313</v>
      </c>
      <c r="U33" s="55">
        <v>8984</v>
      </c>
      <c r="V33" s="55">
        <v>9744</v>
      </c>
      <c r="W33" s="55">
        <v>10496</v>
      </c>
      <c r="X33" s="145">
        <v>6.3115721302930972E-4</v>
      </c>
      <c r="Y33" s="100">
        <v>1.7578982009653469E-2</v>
      </c>
      <c r="Z33" s="100">
        <v>1.4553294704217731E-2</v>
      </c>
      <c r="AA33" s="100">
        <v>2.369504582281845E-2</v>
      </c>
    </row>
    <row r="34" spans="1:27" customFormat="1" x14ac:dyDescent="0.3">
      <c r="A34">
        <v>260203</v>
      </c>
      <c r="B34" s="20" t="s">
        <v>1260</v>
      </c>
      <c r="C34" s="10" t="s">
        <v>23</v>
      </c>
      <c r="D34" s="10" t="s">
        <v>1261</v>
      </c>
      <c r="E34" s="10" t="s">
        <v>806</v>
      </c>
      <c r="F34" s="38">
        <v>2.2000000000000002</v>
      </c>
      <c r="G34" s="55">
        <v>232.3</v>
      </c>
      <c r="H34" s="55">
        <v>239.6</v>
      </c>
      <c r="I34" s="55">
        <v>284.2</v>
      </c>
      <c r="J34" s="55">
        <v>417.7</v>
      </c>
      <c r="K34" s="55">
        <v>340.3</v>
      </c>
      <c r="L34" s="111">
        <v>372.1</v>
      </c>
      <c r="M34" s="55">
        <v>403.2</v>
      </c>
      <c r="N34" s="55">
        <v>398.4</v>
      </c>
      <c r="O34" s="55">
        <v>356.8</v>
      </c>
      <c r="P34" s="55">
        <v>373.8</v>
      </c>
      <c r="Q34" s="55">
        <v>412</v>
      </c>
      <c r="R34" s="55">
        <v>410</v>
      </c>
      <c r="S34" s="55">
        <v>370.7</v>
      </c>
      <c r="T34" s="55">
        <v>388.8</v>
      </c>
      <c r="U34" s="55">
        <v>444.5</v>
      </c>
      <c r="V34" s="55">
        <v>455.4</v>
      </c>
      <c r="W34" s="55">
        <v>407.2</v>
      </c>
      <c r="X34" s="145">
        <v>9.5754867539099564E-3</v>
      </c>
      <c r="Y34" s="100">
        <v>2.05501106544419E-2</v>
      </c>
      <c r="Z34" s="100">
        <v>2.8128872366790739E-2</v>
      </c>
      <c r="AA34" s="100">
        <v>2.199590213330116E-2</v>
      </c>
    </row>
    <row r="35" spans="1:27" customFormat="1" x14ac:dyDescent="0.3">
      <c r="A35">
        <v>260203</v>
      </c>
      <c r="B35" s="20" t="s">
        <v>1262</v>
      </c>
      <c r="C35" s="10" t="s">
        <v>23</v>
      </c>
      <c r="D35" s="10" t="s">
        <v>1263</v>
      </c>
      <c r="E35" s="10" t="s">
        <v>806</v>
      </c>
      <c r="F35" s="38">
        <v>2.2000000000000002</v>
      </c>
      <c r="G35" s="55">
        <v>6846</v>
      </c>
      <c r="H35" s="55">
        <v>6238</v>
      </c>
      <c r="I35" s="55">
        <v>6594</v>
      </c>
      <c r="J35" s="55">
        <v>6652</v>
      </c>
      <c r="K35" s="55">
        <v>6839</v>
      </c>
      <c r="L35" s="55">
        <v>6105</v>
      </c>
      <c r="M35" s="55">
        <v>6986</v>
      </c>
      <c r="N35" s="55">
        <v>6903</v>
      </c>
      <c r="O35" s="55">
        <v>8196</v>
      </c>
      <c r="P35" s="55">
        <v>7447</v>
      </c>
      <c r="Q35" s="55">
        <v>8388</v>
      </c>
      <c r="R35" s="55">
        <v>8503</v>
      </c>
      <c r="S35" s="55">
        <v>9086</v>
      </c>
      <c r="T35" s="55">
        <v>8149</v>
      </c>
      <c r="U35" s="55">
        <v>9179</v>
      </c>
      <c r="V35" s="55">
        <v>9557</v>
      </c>
      <c r="W35" s="55">
        <v>9866</v>
      </c>
      <c r="X35" s="145">
        <v>2.100287218764962E-2</v>
      </c>
      <c r="Y35" s="100">
        <v>2.3178807947019871E-2</v>
      </c>
      <c r="Z35" s="100">
        <v>3.018586934730938E-2</v>
      </c>
      <c r="AA35" s="100">
        <v>2.168413444163364E-2</v>
      </c>
    </row>
    <row r="36" spans="1:27" customFormat="1" x14ac:dyDescent="0.3">
      <c r="A36">
        <v>260203</v>
      </c>
      <c r="B36" s="20" t="s">
        <v>1264</v>
      </c>
      <c r="C36" s="10" t="s">
        <v>23</v>
      </c>
      <c r="D36" s="10" t="s">
        <v>445</v>
      </c>
      <c r="E36" s="10" t="s">
        <v>806</v>
      </c>
      <c r="F36" s="38">
        <v>1.9</v>
      </c>
      <c r="G36" s="55">
        <v>1311</v>
      </c>
      <c r="H36" s="55">
        <v>1510</v>
      </c>
      <c r="I36" s="55">
        <v>1336</v>
      </c>
      <c r="J36" s="55">
        <v>1233</v>
      </c>
      <c r="K36" s="55">
        <v>1407</v>
      </c>
      <c r="L36" s="55">
        <v>1329</v>
      </c>
      <c r="M36" s="55">
        <v>1153</v>
      </c>
      <c r="N36" s="55">
        <v>1071</v>
      </c>
      <c r="O36" s="55">
        <v>1219</v>
      </c>
      <c r="P36" s="55">
        <v>1202</v>
      </c>
      <c r="Q36" s="55">
        <v>1046</v>
      </c>
      <c r="R36" s="55">
        <v>905.5</v>
      </c>
      <c r="S36" s="55">
        <v>1025</v>
      </c>
      <c r="T36" s="55">
        <v>1069</v>
      </c>
      <c r="U36" s="55">
        <v>953.2</v>
      </c>
      <c r="V36" s="55">
        <v>965</v>
      </c>
      <c r="W36" s="55">
        <v>1100</v>
      </c>
      <c r="X36" s="145">
        <v>-3.1829603924853463E-2</v>
      </c>
      <c r="Y36" s="100">
        <v>-2.293906810035851E-2</v>
      </c>
      <c r="Z36" s="100">
        <v>1.505300174564228E-2</v>
      </c>
      <c r="AA36" s="100">
        <v>1.8692986391505961E-2</v>
      </c>
    </row>
    <row r="37" spans="1:27" customFormat="1" x14ac:dyDescent="0.3">
      <c r="A37">
        <v>260203</v>
      </c>
      <c r="B37" s="20" t="s">
        <v>1265</v>
      </c>
      <c r="C37" s="10" t="s">
        <v>23</v>
      </c>
      <c r="D37" s="10" t="s">
        <v>144</v>
      </c>
      <c r="E37" s="10" t="s">
        <v>821</v>
      </c>
      <c r="F37" s="38">
        <v>1.8</v>
      </c>
      <c r="G37" s="55">
        <v>488.06</v>
      </c>
      <c r="H37" s="55">
        <v>493.9</v>
      </c>
      <c r="I37" s="55">
        <v>478.26</v>
      </c>
      <c r="J37" s="55">
        <v>482.67</v>
      </c>
      <c r="K37" s="55">
        <v>529.20000000000005</v>
      </c>
      <c r="L37" s="55">
        <v>505.31</v>
      </c>
      <c r="M37" s="55">
        <v>508.55</v>
      </c>
      <c r="N37" s="55">
        <v>534.63</v>
      </c>
      <c r="O37" s="55">
        <v>571.37</v>
      </c>
      <c r="P37" s="55">
        <v>545.70000000000005</v>
      </c>
      <c r="Q37" s="55">
        <v>538.55999999999995</v>
      </c>
      <c r="R37" s="55">
        <v>559.91</v>
      </c>
      <c r="S37" s="55">
        <v>600.98</v>
      </c>
      <c r="T37" s="55">
        <v>573.85</v>
      </c>
      <c r="U37" s="55">
        <v>585.09</v>
      </c>
      <c r="V37" s="55">
        <v>615.37</v>
      </c>
      <c r="W37" s="55">
        <v>644.74</v>
      </c>
      <c r="X37" s="145">
        <v>1.253813776362378E-2</v>
      </c>
      <c r="Y37" s="100">
        <v>2.0468042053402469E-2</v>
      </c>
      <c r="Z37" s="100">
        <v>2.3906924214274431E-2</v>
      </c>
      <c r="AA37" s="100">
        <v>1.8423013610969759E-2</v>
      </c>
    </row>
    <row r="38" spans="1:27" customFormat="1" x14ac:dyDescent="0.3">
      <c r="A38">
        <v>260203</v>
      </c>
      <c r="B38" s="20" t="s">
        <v>1266</v>
      </c>
      <c r="C38" s="10" t="s">
        <v>23</v>
      </c>
      <c r="D38" s="10" t="s">
        <v>65</v>
      </c>
      <c r="E38" s="10" t="s">
        <v>806</v>
      </c>
      <c r="F38" s="38">
        <v>1.8</v>
      </c>
      <c r="G38" s="55">
        <v>633.04999999999995</v>
      </c>
      <c r="H38" s="55">
        <v>636.08000000000004</v>
      </c>
      <c r="I38" s="55">
        <v>728.03</v>
      </c>
      <c r="J38" s="55">
        <v>771.58</v>
      </c>
      <c r="K38" s="55">
        <v>750.64</v>
      </c>
      <c r="L38" s="55">
        <v>694.7</v>
      </c>
      <c r="M38" s="55">
        <v>733.23</v>
      </c>
      <c r="N38" s="55">
        <v>719.7</v>
      </c>
      <c r="O38" s="55">
        <v>691.35</v>
      </c>
      <c r="P38" s="55">
        <v>675.58</v>
      </c>
      <c r="Q38" s="55">
        <v>665.9</v>
      </c>
      <c r="R38" s="55">
        <v>657.75</v>
      </c>
      <c r="S38" s="55">
        <v>656.89</v>
      </c>
      <c r="T38" s="55">
        <v>631.76</v>
      </c>
      <c r="U38" s="55">
        <v>642.34</v>
      </c>
      <c r="V38" s="55">
        <v>680.68</v>
      </c>
      <c r="W38" s="55">
        <v>704.33</v>
      </c>
      <c r="X38" s="145">
        <v>-1.649774859569586E-2</v>
      </c>
      <c r="Y38" s="100">
        <v>-9.0188722581634462E-3</v>
      </c>
      <c r="Z38" s="100">
        <v>8.8575909515826723E-3</v>
      </c>
      <c r="AA38" s="100">
        <v>1.8164622636091199E-2</v>
      </c>
    </row>
    <row r="39" spans="1:27" customFormat="1" x14ac:dyDescent="0.3">
      <c r="A39">
        <v>260203</v>
      </c>
      <c r="B39" s="20" t="s">
        <v>1267</v>
      </c>
      <c r="C39" s="10" t="s">
        <v>23</v>
      </c>
      <c r="D39" s="10" t="s">
        <v>1268</v>
      </c>
      <c r="E39" s="10" t="s">
        <v>806</v>
      </c>
      <c r="F39" s="38">
        <v>1.7</v>
      </c>
      <c r="G39" s="55">
        <v>25248</v>
      </c>
      <c r="H39" s="55">
        <v>16200</v>
      </c>
      <c r="I39" s="55">
        <v>20225</v>
      </c>
      <c r="J39" s="55">
        <v>21971</v>
      </c>
      <c r="K39" s="55">
        <v>27996</v>
      </c>
      <c r="L39" s="55">
        <v>17846</v>
      </c>
      <c r="M39" s="55">
        <v>22322</v>
      </c>
      <c r="N39" s="55">
        <v>23453</v>
      </c>
      <c r="O39" s="55">
        <v>27850</v>
      </c>
      <c r="P39" s="55">
        <v>18250</v>
      </c>
      <c r="Q39" s="55">
        <v>22501</v>
      </c>
      <c r="R39" s="55">
        <v>23319</v>
      </c>
      <c r="S39" s="55">
        <v>27784</v>
      </c>
      <c r="T39" s="55">
        <v>17919</v>
      </c>
      <c r="U39" s="55">
        <v>22726</v>
      </c>
      <c r="V39" s="55">
        <v>23937</v>
      </c>
      <c r="W39" s="55">
        <v>29343</v>
      </c>
      <c r="X39" s="145">
        <v>-3.6035447558081519E-3</v>
      </c>
      <c r="Y39" s="100">
        <v>2.4583984353658832E-3</v>
      </c>
      <c r="Z39" s="100">
        <v>6.7358416532239396E-3</v>
      </c>
      <c r="AA39" s="100">
        <v>1.687850507762589E-2</v>
      </c>
    </row>
    <row r="40" spans="1:27" customFormat="1" x14ac:dyDescent="0.3">
      <c r="A40">
        <v>260203</v>
      </c>
      <c r="B40" s="20" t="s">
        <v>1269</v>
      </c>
      <c r="C40" s="10" t="s">
        <v>23</v>
      </c>
      <c r="D40" s="10" t="s">
        <v>136</v>
      </c>
      <c r="E40" s="10" t="s">
        <v>806</v>
      </c>
      <c r="F40" s="38">
        <v>1.4</v>
      </c>
      <c r="G40" s="55">
        <v>10217</v>
      </c>
      <c r="H40" s="55">
        <v>9557</v>
      </c>
      <c r="I40" s="55">
        <v>9631</v>
      </c>
      <c r="J40" s="55">
        <v>11920</v>
      </c>
      <c r="K40" s="55">
        <v>11592</v>
      </c>
      <c r="L40" s="55">
        <v>10926</v>
      </c>
      <c r="M40" s="55">
        <v>12019</v>
      </c>
      <c r="N40" s="55">
        <v>13804</v>
      </c>
      <c r="O40" s="55">
        <v>13034</v>
      </c>
      <c r="P40" s="55">
        <v>13025</v>
      </c>
      <c r="Q40" s="55">
        <v>13808</v>
      </c>
      <c r="R40" s="55">
        <v>14907</v>
      </c>
      <c r="S40" s="55">
        <v>14236</v>
      </c>
      <c r="T40" s="55">
        <v>13418</v>
      </c>
      <c r="U40" s="55">
        <v>14925</v>
      </c>
      <c r="V40" s="55">
        <v>16263</v>
      </c>
      <c r="W40" s="55">
        <v>15065</v>
      </c>
      <c r="X40" s="145">
        <v>7.0208660854651486E-3</v>
      </c>
      <c r="Y40" s="100">
        <v>1.9815856233035941E-2</v>
      </c>
      <c r="Z40" s="100">
        <v>2.3588351946560952E-2</v>
      </c>
      <c r="AA40" s="100">
        <v>1.408857618707726E-2</v>
      </c>
    </row>
    <row r="41" spans="1:27" customFormat="1" x14ac:dyDescent="0.3">
      <c r="A41">
        <v>260203</v>
      </c>
      <c r="B41" s="20" t="s">
        <v>1270</v>
      </c>
      <c r="C41" s="10" t="s">
        <v>23</v>
      </c>
      <c r="D41" s="10" t="s">
        <v>136</v>
      </c>
      <c r="E41" s="10" t="s">
        <v>806</v>
      </c>
      <c r="F41" s="38">
        <v>1.4</v>
      </c>
      <c r="G41" s="55">
        <v>1379</v>
      </c>
      <c r="H41" s="55">
        <v>1331</v>
      </c>
      <c r="I41" s="55">
        <v>1293</v>
      </c>
      <c r="J41" s="55">
        <v>1366</v>
      </c>
      <c r="K41" s="55">
        <v>1479</v>
      </c>
      <c r="L41" s="55">
        <v>1444</v>
      </c>
      <c r="M41" s="55">
        <v>1504</v>
      </c>
      <c r="N41" s="55">
        <v>1517</v>
      </c>
      <c r="O41" s="55">
        <v>1529</v>
      </c>
      <c r="P41" s="55">
        <v>1551</v>
      </c>
      <c r="Q41" s="55">
        <v>1537</v>
      </c>
      <c r="R41" s="55">
        <v>1565</v>
      </c>
      <c r="S41" s="55">
        <v>1584</v>
      </c>
      <c r="T41" s="55">
        <v>1603</v>
      </c>
      <c r="U41" s="55">
        <v>1654</v>
      </c>
      <c r="V41" s="55">
        <v>1665</v>
      </c>
      <c r="W41" s="55">
        <v>1672</v>
      </c>
      <c r="X41" s="145">
        <v>8.3373416706749026E-3</v>
      </c>
      <c r="Y41" s="100">
        <v>1.860391159166808E-2</v>
      </c>
      <c r="Z41" s="100">
        <v>1.561036528254767E-2</v>
      </c>
      <c r="AA41" s="100">
        <v>1.3525976022133349E-2</v>
      </c>
    </row>
    <row r="42" spans="1:27" customFormat="1" x14ac:dyDescent="0.3">
      <c r="A42">
        <v>260203</v>
      </c>
      <c r="B42" s="20" t="s">
        <v>1271</v>
      </c>
      <c r="C42" s="10" t="s">
        <v>23</v>
      </c>
      <c r="D42" s="10" t="s">
        <v>445</v>
      </c>
      <c r="E42" s="10" t="s">
        <v>817</v>
      </c>
      <c r="F42" s="38">
        <v>1.3</v>
      </c>
      <c r="G42" s="55">
        <v>548.35</v>
      </c>
      <c r="H42" s="55">
        <v>489.97</v>
      </c>
      <c r="I42" s="55">
        <v>393.64</v>
      </c>
      <c r="J42" s="55">
        <v>540.57000000000005</v>
      </c>
      <c r="K42" s="55">
        <v>590.58000000000004</v>
      </c>
      <c r="L42" s="55">
        <v>372.82</v>
      </c>
      <c r="M42" s="55">
        <v>317.02</v>
      </c>
      <c r="N42" s="55">
        <v>481.06</v>
      </c>
      <c r="O42" s="55">
        <v>618.98</v>
      </c>
      <c r="P42" s="55">
        <v>371.83</v>
      </c>
      <c r="Q42" s="55">
        <v>374.03</v>
      </c>
      <c r="R42" s="55">
        <v>541.86</v>
      </c>
      <c r="S42" s="55">
        <v>555.74</v>
      </c>
      <c r="T42" s="55">
        <v>424.46</v>
      </c>
      <c r="U42" s="55">
        <v>407.27</v>
      </c>
      <c r="V42" s="55">
        <v>560.96</v>
      </c>
      <c r="W42" s="55">
        <v>580.62</v>
      </c>
      <c r="X42" s="145">
        <v>2.85495752552265E-2</v>
      </c>
      <c r="Y42" s="100">
        <v>1.7530813410755911E-2</v>
      </c>
      <c r="Z42" s="100">
        <v>9.8998097785241157E-3</v>
      </c>
      <c r="AA42" s="100">
        <v>1.2769255246531721E-2</v>
      </c>
    </row>
    <row r="43" spans="1:27" customFormat="1" x14ac:dyDescent="0.3">
      <c r="A43">
        <v>260203</v>
      </c>
      <c r="B43" s="20" t="s">
        <v>1272</v>
      </c>
      <c r="C43" s="10" t="s">
        <v>23</v>
      </c>
      <c r="D43" s="10" t="s">
        <v>707</v>
      </c>
      <c r="E43" s="10" t="s">
        <v>806</v>
      </c>
      <c r="F43" s="38">
        <v>1.2</v>
      </c>
      <c r="G43" s="55">
        <v>1401</v>
      </c>
      <c r="H43" s="55">
        <v>1506</v>
      </c>
      <c r="I43" s="55">
        <v>1524</v>
      </c>
      <c r="J43" s="55">
        <v>1345</v>
      </c>
      <c r="K43" s="55">
        <v>1555</v>
      </c>
      <c r="L43" s="55">
        <v>1835</v>
      </c>
      <c r="M43" s="55">
        <v>1871</v>
      </c>
      <c r="N43" s="55">
        <v>1823</v>
      </c>
      <c r="O43" s="55">
        <v>1819</v>
      </c>
      <c r="P43" s="55">
        <v>2051</v>
      </c>
      <c r="Q43" s="55">
        <v>2033</v>
      </c>
      <c r="R43" s="55">
        <v>1956</v>
      </c>
      <c r="S43" s="55">
        <v>2010</v>
      </c>
      <c r="T43" s="55">
        <v>1969</v>
      </c>
      <c r="U43" s="55">
        <v>1981</v>
      </c>
      <c r="V43" s="55">
        <v>2128</v>
      </c>
      <c r="W43" s="55">
        <v>2111</v>
      </c>
      <c r="X43" s="145">
        <v>-1.018633540372671E-2</v>
      </c>
      <c r="Y43" s="100">
        <v>-6.5261044176706529E-3</v>
      </c>
      <c r="Z43" s="100">
        <v>2.172814552804447E-2</v>
      </c>
      <c r="AA43" s="100">
        <v>1.2487636003956529E-2</v>
      </c>
    </row>
    <row r="44" spans="1:27" customFormat="1" x14ac:dyDescent="0.3">
      <c r="A44">
        <v>260203</v>
      </c>
      <c r="B44" s="20" t="s">
        <v>1273</v>
      </c>
      <c r="C44" s="10" t="s">
        <v>23</v>
      </c>
      <c r="D44" s="10" t="s">
        <v>1263</v>
      </c>
      <c r="E44" s="10" t="s">
        <v>806</v>
      </c>
      <c r="F44" s="38">
        <v>1.2</v>
      </c>
      <c r="G44" s="55">
        <v>13521</v>
      </c>
      <c r="H44" s="55">
        <v>15901</v>
      </c>
      <c r="I44" s="55">
        <v>14593</v>
      </c>
      <c r="J44" s="55">
        <v>14959</v>
      </c>
      <c r="K44" s="55">
        <v>13830</v>
      </c>
      <c r="L44" s="55">
        <v>14487</v>
      </c>
      <c r="M44" s="55">
        <v>15035</v>
      </c>
      <c r="N44" s="55">
        <v>15962</v>
      </c>
      <c r="O44" s="55">
        <v>14630</v>
      </c>
      <c r="P44" s="55">
        <v>15775</v>
      </c>
      <c r="Q44" s="55">
        <v>16112</v>
      </c>
      <c r="R44" s="55">
        <v>16657</v>
      </c>
      <c r="S44" s="55">
        <v>15624</v>
      </c>
      <c r="T44" s="55">
        <v>15529</v>
      </c>
      <c r="U44" s="55">
        <v>15806</v>
      </c>
      <c r="V44" s="55">
        <v>17276</v>
      </c>
      <c r="W44" s="55">
        <v>16400</v>
      </c>
      <c r="X44" s="145">
        <v>-3.8336865727465201E-3</v>
      </c>
      <c r="Y44" s="100">
        <v>-4.7870842589405882E-3</v>
      </c>
      <c r="Z44" s="100">
        <v>9.7302565392354268E-3</v>
      </c>
      <c r="AA44" s="100">
        <v>1.2080641394878191E-2</v>
      </c>
    </row>
    <row r="45" spans="1:27" customFormat="1" x14ac:dyDescent="0.3">
      <c r="A45">
        <v>260203</v>
      </c>
      <c r="B45" s="20" t="s">
        <v>1274</v>
      </c>
      <c r="C45" s="10" t="s">
        <v>23</v>
      </c>
      <c r="D45" s="10" t="s">
        <v>106</v>
      </c>
      <c r="E45" s="10" t="s">
        <v>806</v>
      </c>
      <c r="F45" s="38">
        <v>1.2</v>
      </c>
      <c r="G45" s="55">
        <v>1961</v>
      </c>
      <c r="H45" s="55">
        <v>2021</v>
      </c>
      <c r="I45" s="55">
        <v>2213</v>
      </c>
      <c r="J45" s="55">
        <v>2220</v>
      </c>
      <c r="K45" s="55">
        <v>2181</v>
      </c>
      <c r="L45" s="55">
        <v>2369</v>
      </c>
      <c r="M45" s="55">
        <v>2515</v>
      </c>
      <c r="N45" s="55">
        <v>2472</v>
      </c>
      <c r="O45" s="55">
        <v>2516</v>
      </c>
      <c r="P45" s="55">
        <v>2702</v>
      </c>
      <c r="Q45" s="55">
        <v>2973</v>
      </c>
      <c r="R45" s="55">
        <v>2794</v>
      </c>
      <c r="S45" s="55">
        <v>2845</v>
      </c>
      <c r="T45" s="55">
        <v>2875</v>
      </c>
      <c r="U45" s="55">
        <v>3063</v>
      </c>
      <c r="V45" s="55">
        <v>3003</v>
      </c>
      <c r="W45" s="55">
        <v>2984</v>
      </c>
      <c r="X45" s="145">
        <v>1.529079017146895E-2</v>
      </c>
      <c r="Y45" s="100">
        <v>7.8349438495690649E-3</v>
      </c>
      <c r="Z45" s="100">
        <v>1.805303619245047E-2</v>
      </c>
      <c r="AA45" s="100">
        <v>1.1793653487188079E-2</v>
      </c>
    </row>
    <row r="46" spans="1:27" customFormat="1" x14ac:dyDescent="0.3">
      <c r="A46">
        <v>260203</v>
      </c>
      <c r="B46" s="20" t="s">
        <v>1275</v>
      </c>
      <c r="C46" s="10" t="s">
        <v>23</v>
      </c>
      <c r="D46" s="10" t="s">
        <v>153</v>
      </c>
      <c r="E46" s="10" t="s">
        <v>806</v>
      </c>
      <c r="F46" s="38">
        <v>1.2</v>
      </c>
      <c r="G46" s="55">
        <v>988.6</v>
      </c>
      <c r="H46" s="55">
        <v>999.6</v>
      </c>
      <c r="I46" s="55">
        <v>1064</v>
      </c>
      <c r="J46" s="55">
        <v>1055</v>
      </c>
      <c r="K46" s="55">
        <v>1003</v>
      </c>
      <c r="L46" s="55">
        <v>1029</v>
      </c>
      <c r="M46" s="55">
        <v>1083</v>
      </c>
      <c r="N46" s="55">
        <v>1009</v>
      </c>
      <c r="O46" s="55">
        <v>984.6</v>
      </c>
      <c r="P46" s="55">
        <v>1017</v>
      </c>
      <c r="Q46" s="55">
        <v>1099</v>
      </c>
      <c r="R46" s="55">
        <v>993.4</v>
      </c>
      <c r="S46" s="55">
        <v>972.9</v>
      </c>
      <c r="T46" s="55">
        <v>1010</v>
      </c>
      <c r="U46" s="55">
        <v>1123</v>
      </c>
      <c r="V46" s="55">
        <v>1022</v>
      </c>
      <c r="W46" s="55">
        <v>1021</v>
      </c>
      <c r="X46" s="145">
        <v>-1.714719643338358E-3</v>
      </c>
      <c r="Y46" s="100">
        <v>5.8891369960494266E-3</v>
      </c>
      <c r="Z46" s="100">
        <v>6.9768009172297418E-3</v>
      </c>
      <c r="AA46" s="100">
        <v>1.165241406041817E-2</v>
      </c>
    </row>
    <row r="47" spans="1:27" customFormat="1" x14ac:dyDescent="0.3">
      <c r="A47">
        <v>260203</v>
      </c>
      <c r="B47" s="20" t="s">
        <v>1276</v>
      </c>
      <c r="C47" s="10" t="s">
        <v>23</v>
      </c>
      <c r="D47" s="10" t="s">
        <v>29</v>
      </c>
      <c r="E47" s="10" t="s">
        <v>806</v>
      </c>
      <c r="F47" s="38">
        <v>1.1000000000000001</v>
      </c>
      <c r="G47" s="55">
        <v>41.89</v>
      </c>
      <c r="H47" s="55">
        <v>58.1</v>
      </c>
      <c r="I47" s="55">
        <v>45.99</v>
      </c>
      <c r="J47" s="55">
        <v>54.19</v>
      </c>
      <c r="K47" s="55">
        <v>59.5</v>
      </c>
      <c r="L47" s="55">
        <v>51.91</v>
      </c>
      <c r="M47" s="55">
        <v>50.84</v>
      </c>
      <c r="N47" s="55">
        <v>51.58</v>
      </c>
      <c r="O47" s="55">
        <v>48.34</v>
      </c>
      <c r="P47" s="55">
        <v>46.55</v>
      </c>
      <c r="Q47" s="55">
        <v>46.23</v>
      </c>
      <c r="R47" s="55">
        <v>48.99</v>
      </c>
      <c r="S47" s="55">
        <v>59.82</v>
      </c>
      <c r="T47" s="55">
        <v>60.54</v>
      </c>
      <c r="U47" s="55">
        <v>61.1</v>
      </c>
      <c r="V47" s="55">
        <v>69.3</v>
      </c>
      <c r="W47" s="55">
        <v>62.7</v>
      </c>
      <c r="X47" s="145">
        <v>6.9398283645021985E-2</v>
      </c>
      <c r="Y47" s="100">
        <v>6.8976713980888782E-2</v>
      </c>
      <c r="Z47" s="100">
        <v>8.8131915816880069E-2</v>
      </c>
      <c r="AA47" s="100">
        <v>1.1485085340564581E-2</v>
      </c>
    </row>
    <row r="48" spans="1:27" customFormat="1" x14ac:dyDescent="0.3">
      <c r="A48">
        <v>260203</v>
      </c>
      <c r="B48" s="20" t="s">
        <v>1277</v>
      </c>
      <c r="C48" s="10" t="s">
        <v>23</v>
      </c>
      <c r="D48" s="10" t="s">
        <v>454</v>
      </c>
      <c r="E48" s="10" t="s">
        <v>806</v>
      </c>
      <c r="F48" s="38">
        <v>1.1000000000000001</v>
      </c>
      <c r="G48" s="55">
        <v>3359</v>
      </c>
      <c r="H48" s="55">
        <v>3647</v>
      </c>
      <c r="I48" s="55">
        <v>3837</v>
      </c>
      <c r="J48" s="55">
        <v>3942</v>
      </c>
      <c r="K48" s="55">
        <v>3802</v>
      </c>
      <c r="L48" s="55">
        <v>4091</v>
      </c>
      <c r="M48" s="55">
        <v>4182</v>
      </c>
      <c r="N48" s="55">
        <v>4208</v>
      </c>
      <c r="O48" s="55">
        <v>3997</v>
      </c>
      <c r="P48" s="55">
        <v>4235</v>
      </c>
      <c r="Q48" s="55">
        <v>4312</v>
      </c>
      <c r="R48" s="55">
        <v>4388</v>
      </c>
      <c r="S48" s="55">
        <v>4233</v>
      </c>
      <c r="T48" s="55">
        <v>4306</v>
      </c>
      <c r="U48" s="55">
        <v>4554</v>
      </c>
      <c r="V48" s="55">
        <v>4657</v>
      </c>
      <c r="W48" s="55">
        <v>4425</v>
      </c>
      <c r="X48" s="145">
        <v>4.1356011183597552E-3</v>
      </c>
      <c r="Y48" s="100">
        <v>1.403793723533853E-2</v>
      </c>
      <c r="Z48" s="100">
        <v>1.538813569017794E-2</v>
      </c>
      <c r="AA48" s="100">
        <v>1.0816901408450709E-2</v>
      </c>
    </row>
    <row r="49" spans="1:27" customFormat="1" x14ac:dyDescent="0.3">
      <c r="A49">
        <v>260203</v>
      </c>
      <c r="B49" s="20" t="s">
        <v>1278</v>
      </c>
      <c r="C49" s="10" t="s">
        <v>23</v>
      </c>
      <c r="D49" s="10" t="s">
        <v>131</v>
      </c>
      <c r="E49" s="10" t="s">
        <v>811</v>
      </c>
      <c r="F49" s="38">
        <v>1</v>
      </c>
      <c r="G49" s="55">
        <v>220.38</v>
      </c>
      <c r="H49" s="55">
        <v>253.08</v>
      </c>
      <c r="I49" s="55">
        <v>289.73</v>
      </c>
      <c r="J49" s="55">
        <v>227.58</v>
      </c>
      <c r="K49" s="55">
        <v>229.59</v>
      </c>
      <c r="L49" s="55">
        <v>263.48</v>
      </c>
      <c r="M49" s="55">
        <v>253.24</v>
      </c>
      <c r="N49" s="55">
        <v>180.99</v>
      </c>
      <c r="O49" s="55">
        <v>197.46</v>
      </c>
      <c r="P49" s="55">
        <v>208.26</v>
      </c>
      <c r="Q49" s="55">
        <v>248.56</v>
      </c>
      <c r="R49" s="55">
        <v>204.43</v>
      </c>
      <c r="S49" s="55">
        <v>223.13</v>
      </c>
      <c r="T49" s="55">
        <v>211.36</v>
      </c>
      <c r="U49" s="55">
        <v>273.11</v>
      </c>
      <c r="V49" s="55">
        <v>225.21</v>
      </c>
      <c r="W49" s="55">
        <v>232.87</v>
      </c>
      <c r="X49" s="145">
        <v>3.505280535516464E-3</v>
      </c>
      <c r="Y49" s="100">
        <v>2.7662595213413299E-2</v>
      </c>
      <c r="Z49" s="100">
        <v>2.2784338234487889E-2</v>
      </c>
      <c r="AA49" s="100">
        <v>1.0441569022630491E-2</v>
      </c>
    </row>
    <row r="50" spans="1:27" customFormat="1" x14ac:dyDescent="0.3">
      <c r="A50">
        <v>260203</v>
      </c>
      <c r="B50" s="20" t="s">
        <v>1279</v>
      </c>
      <c r="C50" s="10" t="s">
        <v>23</v>
      </c>
      <c r="D50" s="10" t="s">
        <v>24</v>
      </c>
      <c r="E50" s="10" t="s">
        <v>821</v>
      </c>
      <c r="F50" s="38">
        <v>1</v>
      </c>
      <c r="G50" s="55">
        <v>1105</v>
      </c>
      <c r="H50" s="55">
        <v>1145</v>
      </c>
      <c r="I50" s="55">
        <v>1160</v>
      </c>
      <c r="J50" s="55">
        <v>1167</v>
      </c>
      <c r="K50" s="55">
        <v>1186</v>
      </c>
      <c r="L50" s="55">
        <v>1223</v>
      </c>
      <c r="M50" s="55">
        <v>1236</v>
      </c>
      <c r="N50" s="55">
        <v>1243</v>
      </c>
      <c r="O50" s="55">
        <v>1245</v>
      </c>
      <c r="P50" s="55">
        <v>1246</v>
      </c>
      <c r="Q50" s="55">
        <v>1250</v>
      </c>
      <c r="R50" s="55">
        <v>1264</v>
      </c>
      <c r="S50" s="55">
        <v>1110</v>
      </c>
      <c r="T50" s="55">
        <v>1128</v>
      </c>
      <c r="U50" s="55">
        <v>1144</v>
      </c>
      <c r="V50" s="55">
        <v>1150</v>
      </c>
      <c r="W50" s="55">
        <v>1156</v>
      </c>
      <c r="X50" s="145">
        <v>-2.4229979466119041E-2</v>
      </c>
      <c r="Y50" s="100">
        <v>-2.2306397306397271E-2</v>
      </c>
      <c r="Z50" s="100">
        <v>-2.4537236332328849E-2</v>
      </c>
      <c r="AA50" s="100">
        <v>1.015004413062659E-2</v>
      </c>
    </row>
    <row r="51" spans="1:27" customFormat="1" x14ac:dyDescent="0.3">
      <c r="A51">
        <v>260203</v>
      </c>
      <c r="B51" s="20" t="s">
        <v>1280</v>
      </c>
      <c r="C51" s="10" t="s">
        <v>23</v>
      </c>
      <c r="D51" s="10" t="s">
        <v>153</v>
      </c>
      <c r="E51" s="10" t="s">
        <v>806</v>
      </c>
      <c r="F51" s="38">
        <v>1</v>
      </c>
      <c r="G51" s="55">
        <v>3679</v>
      </c>
      <c r="H51" s="55">
        <v>3939</v>
      </c>
      <c r="I51" s="55">
        <v>4011</v>
      </c>
      <c r="J51" s="55">
        <v>4011</v>
      </c>
      <c r="K51" s="55">
        <v>3971</v>
      </c>
      <c r="L51" s="55">
        <v>4019</v>
      </c>
      <c r="M51" s="55">
        <v>4074</v>
      </c>
      <c r="N51" s="55">
        <v>4031</v>
      </c>
      <c r="O51" s="55">
        <v>3983</v>
      </c>
      <c r="P51" s="55">
        <v>3973</v>
      </c>
      <c r="Q51" s="55">
        <v>4027</v>
      </c>
      <c r="R51" s="55">
        <v>3966</v>
      </c>
      <c r="S51" s="55">
        <v>3932</v>
      </c>
      <c r="T51" s="55">
        <v>3839</v>
      </c>
      <c r="U51" s="55">
        <v>4053</v>
      </c>
      <c r="V51" s="55">
        <v>4059</v>
      </c>
      <c r="W51" s="55">
        <v>4093</v>
      </c>
      <c r="X51" s="145">
        <v>-8.428733173984182E-3</v>
      </c>
      <c r="Y51" s="100">
        <v>1.649327581832116E-3</v>
      </c>
      <c r="Z51" s="100">
        <v>5.8898036732109027E-3</v>
      </c>
      <c r="AA51" s="100">
        <v>1.013662406346416E-2</v>
      </c>
    </row>
    <row r="52" spans="1:27" customFormat="1" x14ac:dyDescent="0.3">
      <c r="A52">
        <v>260203</v>
      </c>
      <c r="B52" s="20" t="s">
        <v>1281</v>
      </c>
      <c r="C52" s="10" t="s">
        <v>23</v>
      </c>
      <c r="D52" s="10" t="s">
        <v>153</v>
      </c>
      <c r="E52" s="10" t="s">
        <v>821</v>
      </c>
      <c r="F52" s="38">
        <v>0.9</v>
      </c>
      <c r="G52" s="55">
        <v>3156</v>
      </c>
      <c r="H52" s="55">
        <v>3291</v>
      </c>
      <c r="I52" s="55">
        <v>3465</v>
      </c>
      <c r="J52" s="55">
        <v>3892</v>
      </c>
      <c r="K52" s="55">
        <v>3373</v>
      </c>
      <c r="L52" s="55">
        <v>3756</v>
      </c>
      <c r="M52" s="55">
        <v>3946</v>
      </c>
      <c r="N52" s="55">
        <v>4090</v>
      </c>
      <c r="O52" s="55">
        <v>4117</v>
      </c>
      <c r="P52" s="55">
        <v>4376</v>
      </c>
      <c r="Q52" s="55">
        <v>4380</v>
      </c>
      <c r="R52" s="55">
        <v>4619</v>
      </c>
      <c r="S52" s="55">
        <v>4175</v>
      </c>
      <c r="T52" s="55">
        <v>4432</v>
      </c>
      <c r="U52" s="55">
        <v>4553</v>
      </c>
      <c r="V52" s="55">
        <v>4855</v>
      </c>
      <c r="W52" s="55">
        <v>4346</v>
      </c>
      <c r="X52" s="145">
        <v>3.1908831908831199E-3</v>
      </c>
      <c r="Y52" s="100">
        <v>9.8261956151310947E-3</v>
      </c>
      <c r="Z52" s="100">
        <v>1.327408740649072E-2</v>
      </c>
      <c r="AA52" s="100">
        <v>9.4920899250623414E-3</v>
      </c>
    </row>
    <row r="53" spans="1:27" customFormat="1" x14ac:dyDescent="0.3">
      <c r="A53">
        <v>260203</v>
      </c>
      <c r="B53" s="20" t="s">
        <v>1282</v>
      </c>
      <c r="C53" s="10" t="s">
        <v>23</v>
      </c>
      <c r="D53" s="10" t="s">
        <v>99</v>
      </c>
      <c r="E53" s="10" t="s">
        <v>806</v>
      </c>
      <c r="F53" s="38">
        <v>0.9</v>
      </c>
      <c r="G53" s="55">
        <v>6918</v>
      </c>
      <c r="H53" s="55">
        <v>6483</v>
      </c>
      <c r="I53" s="55">
        <v>6806</v>
      </c>
      <c r="J53" s="55">
        <v>6846</v>
      </c>
      <c r="K53" s="55">
        <v>7383</v>
      </c>
      <c r="L53" s="55">
        <v>7040</v>
      </c>
      <c r="M53" s="55">
        <v>7287</v>
      </c>
      <c r="N53" s="55">
        <v>7418</v>
      </c>
      <c r="O53" s="55">
        <v>8026</v>
      </c>
      <c r="P53" s="55">
        <v>7699</v>
      </c>
      <c r="Q53" s="55">
        <v>7885</v>
      </c>
      <c r="R53" s="55">
        <v>7847</v>
      </c>
      <c r="S53" s="55">
        <v>8366</v>
      </c>
      <c r="T53" s="55">
        <v>7791</v>
      </c>
      <c r="U53" s="55">
        <v>8288</v>
      </c>
      <c r="V53" s="55">
        <v>8417</v>
      </c>
      <c r="W53" s="55">
        <v>8676</v>
      </c>
      <c r="X53" s="145">
        <v>2.893354718998653E-3</v>
      </c>
      <c r="Y53" s="100">
        <v>1.263758662861791E-2</v>
      </c>
      <c r="Z53" s="100">
        <v>1.7651430694908932E-2</v>
      </c>
      <c r="AA53" s="100">
        <v>9.4333881078449977E-3</v>
      </c>
    </row>
    <row r="54" spans="1:27" customFormat="1" x14ac:dyDescent="0.3">
      <c r="A54">
        <v>260203</v>
      </c>
      <c r="B54" s="20" t="s">
        <v>1283</v>
      </c>
      <c r="C54" s="10" t="s">
        <v>23</v>
      </c>
      <c r="D54" s="10" t="s">
        <v>1284</v>
      </c>
      <c r="E54" s="10" t="s">
        <v>806</v>
      </c>
      <c r="F54" s="38">
        <v>0.9</v>
      </c>
      <c r="G54" s="55">
        <v>956.36</v>
      </c>
      <c r="H54" s="55">
        <v>1010</v>
      </c>
      <c r="I54" s="55">
        <v>1150</v>
      </c>
      <c r="J54" s="55">
        <v>944.83</v>
      </c>
      <c r="K54" s="55">
        <v>877.58</v>
      </c>
      <c r="L54" s="55">
        <v>971.19</v>
      </c>
      <c r="M54" s="55">
        <v>896.98</v>
      </c>
      <c r="N54" s="55">
        <v>819.79</v>
      </c>
      <c r="O54" s="55">
        <v>732.38</v>
      </c>
      <c r="P54" s="55">
        <v>849.65</v>
      </c>
      <c r="Q54" s="55">
        <v>997.75</v>
      </c>
      <c r="R54" s="55">
        <v>997.83</v>
      </c>
      <c r="S54" s="55">
        <v>923.54</v>
      </c>
      <c r="T54" s="55">
        <v>1000</v>
      </c>
      <c r="U54" s="55">
        <v>1138</v>
      </c>
      <c r="V54" s="55">
        <v>1078</v>
      </c>
      <c r="W54" s="55">
        <v>962.39</v>
      </c>
      <c r="X54" s="145">
        <v>3.9893652305659437E-2</v>
      </c>
      <c r="Y54" s="100">
        <v>3.5786094837616522E-2</v>
      </c>
      <c r="Z54" s="100">
        <v>1.9749369976129309E-2</v>
      </c>
      <c r="AA54" s="100">
        <v>9.3851007599878855E-3</v>
      </c>
    </row>
    <row r="55" spans="1:27" customFormat="1" x14ac:dyDescent="0.3">
      <c r="A55">
        <v>260203</v>
      </c>
      <c r="B55" s="20" t="s">
        <v>1285</v>
      </c>
      <c r="C55" s="10" t="s">
        <v>23</v>
      </c>
      <c r="D55" s="10" t="s">
        <v>1261</v>
      </c>
      <c r="E55" s="10" t="s">
        <v>806</v>
      </c>
      <c r="F55" s="38">
        <v>0.9</v>
      </c>
      <c r="G55" s="10"/>
      <c r="H55" s="55">
        <v>1172</v>
      </c>
      <c r="I55" s="55">
        <v>1231</v>
      </c>
      <c r="J55" s="55">
        <v>1219</v>
      </c>
      <c r="K55" s="55">
        <v>1248</v>
      </c>
      <c r="L55" s="55">
        <v>1225</v>
      </c>
      <c r="M55" s="55">
        <v>1253</v>
      </c>
      <c r="N55" s="55">
        <v>1255</v>
      </c>
      <c r="O55" s="55">
        <v>1288</v>
      </c>
      <c r="P55" s="55">
        <v>1246</v>
      </c>
      <c r="Q55" s="55">
        <v>1288</v>
      </c>
      <c r="R55" s="55">
        <v>1314</v>
      </c>
      <c r="S55" s="55">
        <v>1345</v>
      </c>
      <c r="T55" s="55">
        <v>1332</v>
      </c>
      <c r="U55" s="55">
        <v>1371</v>
      </c>
      <c r="V55" s="55">
        <v>1404</v>
      </c>
      <c r="W55" s="55">
        <v>1396</v>
      </c>
      <c r="X55" s="145">
        <v>1.656075486231456E-2</v>
      </c>
      <c r="Y55" s="100">
        <v>1.5722674749005568E-2</v>
      </c>
      <c r="Z55" s="100">
        <v>1.6784781797836601E-2</v>
      </c>
      <c r="AA55" s="100">
        <v>9.3543653705061569E-3</v>
      </c>
    </row>
    <row r="56" spans="1:27" customFormat="1" x14ac:dyDescent="0.3">
      <c r="A56">
        <v>260203</v>
      </c>
      <c r="B56" s="20" t="s">
        <v>1286</v>
      </c>
      <c r="C56" s="10" t="s">
        <v>23</v>
      </c>
      <c r="D56" s="10" t="s">
        <v>1255</v>
      </c>
      <c r="E56" s="10" t="s">
        <v>821</v>
      </c>
      <c r="F56" s="38">
        <v>0.9</v>
      </c>
      <c r="G56" s="55">
        <v>106.57</v>
      </c>
      <c r="H56" s="55">
        <v>127.85</v>
      </c>
      <c r="I56" s="55">
        <v>135.47999999999999</v>
      </c>
      <c r="J56" s="55">
        <v>162.68</v>
      </c>
      <c r="K56" s="55">
        <v>126.86</v>
      </c>
      <c r="L56" s="55">
        <v>171.44</v>
      </c>
      <c r="M56" s="55">
        <v>192.37</v>
      </c>
      <c r="N56" s="55">
        <v>208.64</v>
      </c>
      <c r="O56" s="55">
        <v>194.02</v>
      </c>
      <c r="P56" s="111">
        <v>255.11</v>
      </c>
      <c r="Q56" s="111">
        <v>288.17</v>
      </c>
      <c r="R56" s="55">
        <v>275.06</v>
      </c>
      <c r="S56" s="55">
        <v>241.43</v>
      </c>
      <c r="T56" s="55">
        <v>278.63</v>
      </c>
      <c r="U56" s="55">
        <v>286.27</v>
      </c>
      <c r="V56" s="55">
        <v>297.98</v>
      </c>
      <c r="W56" s="55">
        <v>251.18</v>
      </c>
      <c r="X56" s="145">
        <v>2.2193494814912729E-2</v>
      </c>
      <c r="Y56" s="100">
        <v>-1.7539163104987039E-3</v>
      </c>
      <c r="Z56" s="100">
        <v>2.1194943544882161E-2</v>
      </c>
      <c r="AA56" s="100">
        <v>8.8290425695682906E-3</v>
      </c>
    </row>
    <row r="57" spans="1:27" customFormat="1" x14ac:dyDescent="0.3">
      <c r="A57">
        <v>260203</v>
      </c>
      <c r="B57" s="20" t="s">
        <v>1287</v>
      </c>
      <c r="C57" s="10" t="s">
        <v>23</v>
      </c>
      <c r="D57" s="10" t="s">
        <v>648</v>
      </c>
      <c r="E57" s="10" t="s">
        <v>817</v>
      </c>
      <c r="F57" s="38">
        <v>0.8</v>
      </c>
      <c r="G57" s="55">
        <v>164.51</v>
      </c>
      <c r="H57" s="55">
        <v>171.36</v>
      </c>
      <c r="I57" s="55">
        <v>176.31</v>
      </c>
      <c r="J57" s="55">
        <v>177.43</v>
      </c>
      <c r="K57" s="55">
        <v>179.39</v>
      </c>
      <c r="L57" s="55">
        <v>185.44</v>
      </c>
      <c r="M57" s="55">
        <v>190.25</v>
      </c>
      <c r="N57" s="55">
        <v>195.52</v>
      </c>
      <c r="O57" s="55">
        <v>202.3</v>
      </c>
      <c r="P57" s="55">
        <v>207.23</v>
      </c>
      <c r="Q57" s="55">
        <v>211.72</v>
      </c>
      <c r="R57" s="55">
        <v>224.38</v>
      </c>
      <c r="S57" s="55">
        <v>227.97</v>
      </c>
      <c r="T57" s="55">
        <v>231.51</v>
      </c>
      <c r="U57" s="55">
        <v>234.71</v>
      </c>
      <c r="V57" s="55">
        <v>239.64</v>
      </c>
      <c r="W57" s="55">
        <v>235.63</v>
      </c>
      <c r="X57" s="145">
        <v>2.7866406518994639E-2</v>
      </c>
      <c r="Y57" s="100">
        <v>2.56705151968557E-2</v>
      </c>
      <c r="Z57" s="100">
        <v>1.6612778557975941E-2</v>
      </c>
      <c r="AA57" s="100">
        <v>8.2027778075239866E-3</v>
      </c>
    </row>
    <row r="58" spans="1:27" customFormat="1" x14ac:dyDescent="0.3">
      <c r="A58">
        <v>260203</v>
      </c>
      <c r="B58" s="20" t="s">
        <v>1288</v>
      </c>
      <c r="C58" s="10" t="s">
        <v>23</v>
      </c>
      <c r="D58" s="10" t="s">
        <v>1289</v>
      </c>
      <c r="E58" s="10" t="s">
        <v>806</v>
      </c>
      <c r="F58" s="38">
        <v>0.8</v>
      </c>
      <c r="G58" s="10"/>
      <c r="H58" s="10"/>
      <c r="I58" s="10"/>
      <c r="J58" s="10"/>
      <c r="K58" s="10"/>
      <c r="L58" s="10"/>
      <c r="M58" s="10"/>
      <c r="N58" s="10"/>
      <c r="O58" s="10"/>
      <c r="P58" s="55">
        <v>1051</v>
      </c>
      <c r="Q58" s="55">
        <v>1076</v>
      </c>
      <c r="R58" s="55">
        <v>1058</v>
      </c>
      <c r="S58" s="55">
        <v>1058</v>
      </c>
      <c r="T58" s="55">
        <v>1116</v>
      </c>
      <c r="U58" s="55">
        <v>1125</v>
      </c>
      <c r="V58" s="55">
        <v>1091</v>
      </c>
      <c r="W58" s="55">
        <v>1091</v>
      </c>
      <c r="X58" s="145">
        <v>1.531934951685132E-2</v>
      </c>
      <c r="Y58" s="100">
        <v>1.1374187558031551E-2</v>
      </c>
      <c r="Z58" s="100">
        <v>7.5740188202892966E-3</v>
      </c>
      <c r="AA58" s="100">
        <v>7.5170842824601181E-3</v>
      </c>
    </row>
    <row r="59" spans="1:27" customFormat="1" x14ac:dyDescent="0.3">
      <c r="A59">
        <v>260203</v>
      </c>
      <c r="B59" s="20" t="s">
        <v>1290</v>
      </c>
      <c r="C59" s="10" t="s">
        <v>23</v>
      </c>
      <c r="D59" s="10" t="s">
        <v>144</v>
      </c>
      <c r="E59" s="10" t="s">
        <v>806</v>
      </c>
      <c r="F59" s="38">
        <v>0.6</v>
      </c>
      <c r="G59" s="55">
        <v>1306</v>
      </c>
      <c r="H59" s="55">
        <v>1263</v>
      </c>
      <c r="I59" s="55">
        <v>1377</v>
      </c>
      <c r="J59" s="55">
        <v>1332</v>
      </c>
      <c r="K59" s="55">
        <v>1505</v>
      </c>
      <c r="L59" s="55">
        <v>1409</v>
      </c>
      <c r="M59" s="55">
        <v>1503</v>
      </c>
      <c r="N59" s="55">
        <v>1409</v>
      </c>
      <c r="O59" s="55">
        <v>1586</v>
      </c>
      <c r="P59" s="55">
        <v>1473</v>
      </c>
      <c r="Q59" s="55">
        <v>1595</v>
      </c>
      <c r="R59" s="55">
        <v>1484</v>
      </c>
      <c r="S59" s="55">
        <v>1715</v>
      </c>
      <c r="T59" s="55">
        <v>1534</v>
      </c>
      <c r="U59" s="55">
        <v>1686</v>
      </c>
      <c r="V59" s="55">
        <v>1524</v>
      </c>
      <c r="W59" s="55">
        <v>1753</v>
      </c>
      <c r="X59" s="145">
        <v>9.7335248125098861E-3</v>
      </c>
      <c r="Y59" s="100">
        <v>1.438053097345127E-2</v>
      </c>
      <c r="Z59" s="100">
        <v>6.231500233681242E-3</v>
      </c>
      <c r="AA59" s="100">
        <v>5.8832636631056534E-3</v>
      </c>
    </row>
    <row r="60" spans="1:27" customFormat="1" x14ac:dyDescent="0.3">
      <c r="A60">
        <v>260203</v>
      </c>
      <c r="B60" s="20" t="s">
        <v>1291</v>
      </c>
      <c r="C60" s="10" t="s">
        <v>23</v>
      </c>
      <c r="D60" s="10" t="s">
        <v>48</v>
      </c>
      <c r="E60" s="10" t="s">
        <v>821</v>
      </c>
      <c r="F60" s="38">
        <v>0.6</v>
      </c>
      <c r="G60" s="55">
        <v>591.79999999999995</v>
      </c>
      <c r="H60" s="55">
        <v>711.9</v>
      </c>
      <c r="I60" s="55">
        <v>747.4</v>
      </c>
      <c r="J60" s="55">
        <v>723.4</v>
      </c>
      <c r="K60" s="55">
        <v>655.9</v>
      </c>
      <c r="L60" s="55">
        <v>650.4</v>
      </c>
      <c r="M60" s="55">
        <v>766</v>
      </c>
      <c r="N60" s="55">
        <v>743.7</v>
      </c>
      <c r="O60" s="55">
        <v>626.70000000000005</v>
      </c>
      <c r="P60" s="55">
        <v>672.9</v>
      </c>
      <c r="Q60" s="55">
        <v>738.8</v>
      </c>
      <c r="R60" s="55">
        <v>728.7</v>
      </c>
      <c r="S60" s="55">
        <v>599.20000000000005</v>
      </c>
      <c r="T60" s="55">
        <v>662.5</v>
      </c>
      <c r="U60" s="55">
        <v>708.3</v>
      </c>
      <c r="V60" s="55">
        <v>702.8</v>
      </c>
      <c r="W60" s="55">
        <v>614.70000000000005</v>
      </c>
      <c r="X60" s="145">
        <v>-3.7961746240326999E-3</v>
      </c>
      <c r="Y60" s="100">
        <v>-1.117543602520887E-2</v>
      </c>
      <c r="Z60" s="100">
        <v>-9.5972134731535652E-3</v>
      </c>
      <c r="AA60" s="100">
        <v>5.7991619275665762E-3</v>
      </c>
    </row>
    <row r="61" spans="1:27" customFormat="1" x14ac:dyDescent="0.3">
      <c r="A61">
        <v>260203</v>
      </c>
      <c r="B61" s="20" t="s">
        <v>1292</v>
      </c>
      <c r="C61" s="10" t="s">
        <v>23</v>
      </c>
      <c r="D61" s="10" t="s">
        <v>1293</v>
      </c>
      <c r="E61" s="10" t="s">
        <v>811</v>
      </c>
      <c r="F61" s="38">
        <v>0.5</v>
      </c>
      <c r="G61" s="55">
        <v>158.82</v>
      </c>
      <c r="H61" s="55">
        <v>2062</v>
      </c>
      <c r="I61" s="55">
        <v>1050</v>
      </c>
      <c r="J61" s="55">
        <v>179.99</v>
      </c>
      <c r="K61" s="55">
        <v>166.41</v>
      </c>
      <c r="L61" s="55">
        <v>2094</v>
      </c>
      <c r="M61" s="55">
        <v>1032</v>
      </c>
      <c r="N61" s="55">
        <v>183.8</v>
      </c>
      <c r="O61" s="55">
        <v>179.08</v>
      </c>
      <c r="P61" s="55">
        <v>2185</v>
      </c>
      <c r="Q61" s="55">
        <v>1063</v>
      </c>
      <c r="R61" s="55">
        <v>193.81</v>
      </c>
      <c r="S61" s="55">
        <v>179.07</v>
      </c>
      <c r="T61" s="55">
        <v>2277</v>
      </c>
      <c r="U61" s="55">
        <v>1111</v>
      </c>
      <c r="V61" s="55">
        <v>203.55</v>
      </c>
      <c r="W61" s="55">
        <v>198.87</v>
      </c>
      <c r="X61" s="145">
        <v>2.540818806477985E-2</v>
      </c>
      <c r="Y61" s="100">
        <v>1.2927969662364539E-2</v>
      </c>
      <c r="Z61" s="100">
        <v>2.5898194039692961E-3</v>
      </c>
      <c r="AA61" s="100">
        <v>5.2511258095486726E-3</v>
      </c>
    </row>
    <row r="62" spans="1:27" customFormat="1" x14ac:dyDescent="0.3">
      <c r="A62">
        <v>260203</v>
      </c>
      <c r="B62" s="20" t="s">
        <v>1294</v>
      </c>
      <c r="C62" s="10" t="s">
        <v>23</v>
      </c>
      <c r="D62" s="10" t="s">
        <v>151</v>
      </c>
      <c r="E62" s="10" t="s">
        <v>806</v>
      </c>
      <c r="F62" s="38">
        <v>0.5</v>
      </c>
      <c r="G62" s="55">
        <v>806.07</v>
      </c>
      <c r="H62" s="55">
        <v>798.63</v>
      </c>
      <c r="I62" s="55">
        <v>794.51</v>
      </c>
      <c r="J62" s="55">
        <v>809.55</v>
      </c>
      <c r="K62" s="55">
        <v>0</v>
      </c>
      <c r="L62" s="55">
        <v>787.12</v>
      </c>
      <c r="M62" s="55">
        <v>829.55</v>
      </c>
      <c r="N62" s="55">
        <v>881.6</v>
      </c>
      <c r="O62" s="111">
        <v>866.23</v>
      </c>
      <c r="P62" s="55">
        <v>859.65</v>
      </c>
      <c r="Q62" s="55">
        <v>864.07</v>
      </c>
      <c r="R62" s="55">
        <v>895.48</v>
      </c>
      <c r="S62" s="55">
        <v>860.18</v>
      </c>
      <c r="T62" s="55">
        <v>831.18</v>
      </c>
      <c r="U62" s="55">
        <v>863.74</v>
      </c>
      <c r="V62" s="55">
        <v>914.28</v>
      </c>
      <c r="W62" s="55">
        <v>878.01</v>
      </c>
      <c r="X62" s="145">
        <v>-8.1824922831079672E-3</v>
      </c>
      <c r="Y62" s="100">
        <v>-9.5626950572413882E-5</v>
      </c>
      <c r="Z62" s="100">
        <v>5.4483594062448848E-3</v>
      </c>
      <c r="AA62" s="100">
        <v>5.13924678184563E-3</v>
      </c>
    </row>
    <row r="63" spans="1:27" customFormat="1" x14ac:dyDescent="0.3">
      <c r="A63">
        <v>260203</v>
      </c>
      <c r="B63" s="20" t="s">
        <v>1295</v>
      </c>
      <c r="C63" s="10" t="s">
        <v>23</v>
      </c>
      <c r="D63" s="10" t="s">
        <v>705</v>
      </c>
      <c r="E63" s="10" t="s">
        <v>811</v>
      </c>
      <c r="F63" s="38">
        <v>0.4</v>
      </c>
      <c r="G63" s="55">
        <v>428.43</v>
      </c>
      <c r="H63" s="55">
        <v>403.49</v>
      </c>
      <c r="I63" s="55">
        <v>452.41</v>
      </c>
      <c r="J63" s="55">
        <v>425.54</v>
      </c>
      <c r="K63" s="55">
        <v>477.39</v>
      </c>
      <c r="L63" s="55">
        <v>464.94</v>
      </c>
      <c r="M63" s="55">
        <v>454.66</v>
      </c>
      <c r="N63" s="55">
        <v>461.57</v>
      </c>
      <c r="O63" s="55">
        <v>485.92</v>
      </c>
      <c r="P63" s="55">
        <v>471.45</v>
      </c>
      <c r="Q63" s="55">
        <v>452.83</v>
      </c>
      <c r="R63" s="55">
        <v>466.56</v>
      </c>
      <c r="S63" s="55">
        <v>509.3</v>
      </c>
      <c r="T63" s="55">
        <v>457.84</v>
      </c>
      <c r="U63" s="55">
        <v>475.43</v>
      </c>
      <c r="V63" s="55">
        <v>493.47</v>
      </c>
      <c r="W63" s="55">
        <v>517.95000000000005</v>
      </c>
      <c r="X63" s="145">
        <v>-7.1626301219909214E-3</v>
      </c>
      <c r="Y63" s="100">
        <v>1.1979666371592311E-2</v>
      </c>
      <c r="Z63" s="100">
        <v>1.4095425665093361E-2</v>
      </c>
      <c r="AA63" s="100">
        <v>4.4678828949815674E-3</v>
      </c>
    </row>
    <row r="64" spans="1:27" customFormat="1" x14ac:dyDescent="0.3">
      <c r="A64">
        <v>260203</v>
      </c>
      <c r="B64" s="20" t="s">
        <v>1296</v>
      </c>
      <c r="C64" s="10" t="s">
        <v>23</v>
      </c>
      <c r="D64" s="10" t="s">
        <v>54</v>
      </c>
      <c r="E64" s="10" t="s">
        <v>817</v>
      </c>
      <c r="F64" s="38">
        <v>0.4</v>
      </c>
      <c r="G64" s="55">
        <v>534.69000000000005</v>
      </c>
      <c r="H64" s="55">
        <v>638.12</v>
      </c>
      <c r="I64" s="55">
        <v>725.88</v>
      </c>
      <c r="J64" s="55">
        <v>806.83</v>
      </c>
      <c r="K64" s="55">
        <v>582.32000000000005</v>
      </c>
      <c r="L64" s="55">
        <v>491.53</v>
      </c>
      <c r="M64" s="55">
        <v>464.77</v>
      </c>
      <c r="N64" s="55">
        <v>464.24</v>
      </c>
      <c r="O64" s="55">
        <v>559.46</v>
      </c>
      <c r="P64" s="55">
        <v>536.36</v>
      </c>
      <c r="Q64" s="55">
        <v>627.78</v>
      </c>
      <c r="R64" s="55">
        <v>616.88</v>
      </c>
      <c r="S64" s="55">
        <v>644.92999999999995</v>
      </c>
      <c r="T64" s="55">
        <v>593.87</v>
      </c>
      <c r="U64" s="55">
        <v>701.32</v>
      </c>
      <c r="V64" s="55">
        <v>684.43</v>
      </c>
      <c r="W64" s="55">
        <v>656.61</v>
      </c>
      <c r="X64" s="145">
        <v>2.370617696160271E-2</v>
      </c>
      <c r="Y64" s="100">
        <v>2.961191241252115E-2</v>
      </c>
      <c r="Z64" s="100">
        <v>2.6417676965193589E-2</v>
      </c>
      <c r="AA64" s="100">
        <v>4.4502867158178194E-3</v>
      </c>
    </row>
    <row r="65" spans="1:27" customFormat="1" x14ac:dyDescent="0.3">
      <c r="A65">
        <v>260203</v>
      </c>
      <c r="B65" s="20" t="s">
        <v>1297</v>
      </c>
      <c r="C65" s="10" t="s">
        <v>23</v>
      </c>
      <c r="D65" s="10" t="s">
        <v>705</v>
      </c>
      <c r="E65" s="10" t="s">
        <v>821</v>
      </c>
      <c r="F65" s="38">
        <v>0.2</v>
      </c>
      <c r="G65" s="55">
        <v>306.5</v>
      </c>
      <c r="H65" s="55">
        <v>315.2</v>
      </c>
      <c r="I65" s="55">
        <v>370.6</v>
      </c>
      <c r="J65" s="55">
        <v>379.2</v>
      </c>
      <c r="K65" s="55">
        <v>362.7</v>
      </c>
      <c r="L65" s="55">
        <v>385.6</v>
      </c>
      <c r="M65" s="55">
        <v>445.9</v>
      </c>
      <c r="N65" s="55">
        <v>472.6</v>
      </c>
      <c r="O65" s="55">
        <v>430.4</v>
      </c>
      <c r="P65" s="55">
        <v>494.6</v>
      </c>
      <c r="Q65" s="55">
        <v>515.4</v>
      </c>
      <c r="R65" s="55">
        <v>555.79999999999995</v>
      </c>
      <c r="S65" s="55">
        <v>532.9</v>
      </c>
      <c r="T65" s="55">
        <v>588</v>
      </c>
      <c r="U65" s="55">
        <v>547.5</v>
      </c>
      <c r="V65" s="55">
        <v>648.20000000000005</v>
      </c>
      <c r="W65" s="55">
        <v>537.29999999999995</v>
      </c>
      <c r="X65" s="145">
        <v>4.4503740410730457E-2</v>
      </c>
      <c r="Y65" s="100">
        <v>1.4643492541398521E-2</v>
      </c>
      <c r="Z65" s="100">
        <v>4.1543026706231563E-2</v>
      </c>
      <c r="AA65" s="100">
        <v>1.899335232668609E-3</v>
      </c>
    </row>
    <row r="66" spans="1:27" customFormat="1" x14ac:dyDescent="0.3">
      <c r="A66">
        <v>260203</v>
      </c>
      <c r="B66" s="20" t="s">
        <v>1298</v>
      </c>
      <c r="C66" s="10" t="s">
        <v>23</v>
      </c>
      <c r="D66" s="10" t="s">
        <v>443</v>
      </c>
      <c r="E66" s="10" t="s">
        <v>806</v>
      </c>
      <c r="F66" s="38">
        <v>0.1</v>
      </c>
      <c r="G66" s="55">
        <v>1988</v>
      </c>
      <c r="H66" s="55">
        <v>2245</v>
      </c>
      <c r="I66" s="55">
        <v>2358</v>
      </c>
      <c r="J66" s="55">
        <v>2451</v>
      </c>
      <c r="K66" s="55">
        <v>2386</v>
      </c>
      <c r="L66" s="55">
        <v>2438</v>
      </c>
      <c r="M66" s="55">
        <v>2392</v>
      </c>
      <c r="N66" s="55">
        <v>2349</v>
      </c>
      <c r="O66" s="55">
        <v>2249</v>
      </c>
      <c r="P66" s="55">
        <v>2259</v>
      </c>
      <c r="Q66" s="55">
        <v>2237</v>
      </c>
      <c r="R66" s="55">
        <v>2216</v>
      </c>
      <c r="S66" s="55">
        <v>2095</v>
      </c>
      <c r="T66" s="55">
        <v>2120</v>
      </c>
      <c r="U66" s="55">
        <v>2204</v>
      </c>
      <c r="V66" s="55">
        <v>2190</v>
      </c>
      <c r="W66" s="55">
        <v>2103</v>
      </c>
      <c r="X66" s="145">
        <v>-1.5782899965936181E-2</v>
      </c>
      <c r="Y66" s="100">
        <v>-3.8071065989847548E-3</v>
      </c>
      <c r="Z66" s="100">
        <v>-3.011001737116437E-3</v>
      </c>
      <c r="AA66" s="100">
        <v>9.2926007666394028E-4</v>
      </c>
    </row>
    <row r="67" spans="1:27" customFormat="1" x14ac:dyDescent="0.3">
      <c r="A67">
        <v>260203</v>
      </c>
      <c r="B67" s="20" t="s">
        <v>1299</v>
      </c>
      <c r="C67" s="10" t="s">
        <v>23</v>
      </c>
      <c r="D67" s="10" t="s">
        <v>1284</v>
      </c>
      <c r="E67" s="10" t="s">
        <v>806</v>
      </c>
      <c r="F67" s="38">
        <v>0.1</v>
      </c>
      <c r="G67" s="55">
        <v>765.4</v>
      </c>
      <c r="H67" s="55">
        <v>834.1</v>
      </c>
      <c r="I67" s="55">
        <v>959.5</v>
      </c>
      <c r="J67" s="55">
        <v>1032</v>
      </c>
      <c r="K67" s="55">
        <v>1010</v>
      </c>
      <c r="L67" s="55">
        <v>1038</v>
      </c>
      <c r="M67" s="55">
        <v>1046</v>
      </c>
      <c r="N67" s="55">
        <v>1026</v>
      </c>
      <c r="O67" s="55">
        <v>1064</v>
      </c>
      <c r="P67" s="55">
        <v>1043</v>
      </c>
      <c r="Q67" s="55">
        <v>1095</v>
      </c>
      <c r="R67" s="55">
        <v>1051</v>
      </c>
      <c r="S67" s="55">
        <v>1173</v>
      </c>
      <c r="T67" s="55">
        <v>1144</v>
      </c>
      <c r="U67" s="55">
        <v>1140</v>
      </c>
      <c r="V67" s="55">
        <v>1126</v>
      </c>
      <c r="W67" s="55">
        <v>1177</v>
      </c>
      <c r="X67" s="145">
        <v>2.3154516276937102E-2</v>
      </c>
      <c r="Y67" s="100">
        <v>1.008290387631638E-2</v>
      </c>
      <c r="Z67" s="100">
        <v>1.6637089618455999E-2</v>
      </c>
      <c r="AA67" s="100">
        <v>8.7279074841806192E-4</v>
      </c>
    </row>
    <row r="68" spans="1:27" customFormat="1" x14ac:dyDescent="0.3">
      <c r="A68">
        <v>260203</v>
      </c>
      <c r="B68" s="20" t="s">
        <v>1300</v>
      </c>
      <c r="C68" s="10" t="s">
        <v>23</v>
      </c>
      <c r="D68" s="10" t="s">
        <v>710</v>
      </c>
      <c r="E68" s="10" t="s">
        <v>806</v>
      </c>
      <c r="F68" s="38">
        <v>-0.1</v>
      </c>
      <c r="G68" s="55">
        <v>35438</v>
      </c>
      <c r="H68" s="55">
        <v>38260</v>
      </c>
      <c r="I68" s="55">
        <v>54052</v>
      </c>
      <c r="J68" s="55">
        <v>46006</v>
      </c>
      <c r="K68" s="55">
        <v>0</v>
      </c>
      <c r="L68" s="55">
        <v>34941</v>
      </c>
      <c r="M68" s="55">
        <v>36612</v>
      </c>
      <c r="N68" s="55">
        <v>41258</v>
      </c>
      <c r="O68" s="111">
        <v>36537</v>
      </c>
      <c r="P68" s="55">
        <v>32987</v>
      </c>
      <c r="Q68" s="55">
        <v>37990</v>
      </c>
      <c r="R68" s="55">
        <v>35156</v>
      </c>
      <c r="S68" s="55">
        <v>33203</v>
      </c>
      <c r="T68" s="55">
        <v>31620</v>
      </c>
      <c r="U68" s="55">
        <v>33883</v>
      </c>
      <c r="V68" s="55">
        <v>34875</v>
      </c>
      <c r="W68" s="55">
        <v>33049</v>
      </c>
      <c r="X68" s="145">
        <v>-9.8108170178561327E-3</v>
      </c>
      <c r="Y68" s="100">
        <v>-2.976755648007889E-2</v>
      </c>
      <c r="Z68" s="100">
        <v>-2.0991767641301839E-3</v>
      </c>
      <c r="AA68" s="100">
        <v>-1.152858565215076E-3</v>
      </c>
    </row>
    <row r="69" spans="1:27" customFormat="1" x14ac:dyDescent="0.3">
      <c r="A69">
        <v>260203</v>
      </c>
      <c r="B69" s="20" t="s">
        <v>1301</v>
      </c>
      <c r="C69" s="10" t="s">
        <v>23</v>
      </c>
      <c r="D69" s="10" t="s">
        <v>476</v>
      </c>
      <c r="E69" s="10" t="s">
        <v>811</v>
      </c>
      <c r="F69" s="38">
        <v>-0.2</v>
      </c>
      <c r="G69" s="55">
        <v>1691</v>
      </c>
      <c r="H69" s="55">
        <v>1809</v>
      </c>
      <c r="I69" s="55">
        <v>1801</v>
      </c>
      <c r="J69" s="55">
        <v>1740</v>
      </c>
      <c r="K69" s="55">
        <v>1715</v>
      </c>
      <c r="L69" s="55">
        <v>1915</v>
      </c>
      <c r="M69" s="55">
        <v>2019</v>
      </c>
      <c r="N69" s="55">
        <v>1386</v>
      </c>
      <c r="O69" s="55">
        <v>1990</v>
      </c>
      <c r="P69" s="55">
        <v>1814</v>
      </c>
      <c r="Q69" s="55">
        <v>1903</v>
      </c>
      <c r="R69" s="55">
        <v>1762</v>
      </c>
      <c r="S69" s="55">
        <v>1686</v>
      </c>
      <c r="T69" s="55">
        <v>1668</v>
      </c>
      <c r="U69" s="55">
        <v>1988</v>
      </c>
      <c r="V69" s="55">
        <v>1429</v>
      </c>
      <c r="W69" s="55">
        <v>1673</v>
      </c>
      <c r="X69" s="145">
        <v>-2.0376831821353861E-2</v>
      </c>
      <c r="Y69" s="100">
        <v>1.2109987177660649E-2</v>
      </c>
      <c r="Z69" s="100">
        <v>-4.6875E-2</v>
      </c>
      <c r="AA69" s="100">
        <v>-1.9199527396248639E-3</v>
      </c>
    </row>
    <row r="70" spans="1:27" customFormat="1" x14ac:dyDescent="0.3">
      <c r="A70">
        <v>260203</v>
      </c>
      <c r="B70" s="20" t="s">
        <v>1302</v>
      </c>
      <c r="C70" s="10" t="s">
        <v>23</v>
      </c>
      <c r="D70" s="10" t="s">
        <v>1255</v>
      </c>
      <c r="E70" s="10" t="s">
        <v>821</v>
      </c>
      <c r="F70" s="38">
        <v>-0.2</v>
      </c>
      <c r="G70" s="55">
        <v>840.8</v>
      </c>
      <c r="H70" s="55">
        <v>982.57</v>
      </c>
      <c r="I70" s="55">
        <v>1062</v>
      </c>
      <c r="J70" s="55">
        <v>1029</v>
      </c>
      <c r="K70" s="55">
        <v>833.82</v>
      </c>
      <c r="L70" s="55">
        <v>895.93</v>
      </c>
      <c r="M70" s="55">
        <v>919.12</v>
      </c>
      <c r="N70" s="55">
        <v>869.89</v>
      </c>
      <c r="O70" s="55">
        <v>798.48</v>
      </c>
      <c r="P70" s="55">
        <v>792.91</v>
      </c>
      <c r="Q70" s="55">
        <v>822.36</v>
      </c>
      <c r="R70" s="55">
        <v>788.3</v>
      </c>
      <c r="S70" s="55">
        <v>661.6</v>
      </c>
      <c r="T70" s="55">
        <v>701.73</v>
      </c>
      <c r="U70" s="55">
        <v>735.05</v>
      </c>
      <c r="V70" s="55">
        <v>752.01</v>
      </c>
      <c r="W70" s="55">
        <v>655.55</v>
      </c>
      <c r="X70" s="145">
        <v>-2.9747126586779919E-2</v>
      </c>
      <c r="Y70" s="100">
        <v>-2.9357866031829331E-2</v>
      </c>
      <c r="Z70" s="100">
        <v>-1.257153546634893E-2</v>
      </c>
      <c r="AA70" s="100">
        <v>-2.1225165679081841E-3</v>
      </c>
    </row>
    <row r="71" spans="1:27" customFormat="1" x14ac:dyDescent="0.3">
      <c r="A71">
        <v>260203</v>
      </c>
      <c r="B71" s="20" t="s">
        <v>1303</v>
      </c>
      <c r="C71" s="10" t="s">
        <v>23</v>
      </c>
      <c r="D71" s="10" t="s">
        <v>136</v>
      </c>
      <c r="E71" s="10" t="s">
        <v>806</v>
      </c>
      <c r="F71" s="38">
        <v>-0.2</v>
      </c>
      <c r="G71" s="55">
        <v>1718</v>
      </c>
      <c r="H71" s="55">
        <v>1549</v>
      </c>
      <c r="I71" s="55">
        <v>1492</v>
      </c>
      <c r="J71" s="55">
        <v>1922</v>
      </c>
      <c r="K71" s="55">
        <v>1847</v>
      </c>
      <c r="L71" s="55">
        <v>1645</v>
      </c>
      <c r="M71" s="55">
        <v>1749</v>
      </c>
      <c r="N71" s="55">
        <v>2070</v>
      </c>
      <c r="O71" s="55">
        <v>1988</v>
      </c>
      <c r="P71" s="55">
        <v>1814</v>
      </c>
      <c r="Q71" s="55">
        <v>1824</v>
      </c>
      <c r="R71" s="55">
        <v>2290</v>
      </c>
      <c r="S71" s="55">
        <v>2082</v>
      </c>
      <c r="T71" s="55">
        <v>1788</v>
      </c>
      <c r="U71" s="55">
        <v>1869</v>
      </c>
      <c r="V71" s="55">
        <v>2272</v>
      </c>
      <c r="W71" s="55">
        <v>2063</v>
      </c>
      <c r="X71" s="145">
        <v>-3.2459425717852319E-3</v>
      </c>
      <c r="Y71" s="100">
        <v>5.6362725450902476E-3</v>
      </c>
      <c r="Z71" s="100">
        <v>-2.241873209615108E-3</v>
      </c>
      <c r="AA71" s="100">
        <v>-2.3717388590688282E-3</v>
      </c>
    </row>
    <row r="72" spans="1:27" customFormat="1" x14ac:dyDescent="0.3">
      <c r="A72">
        <v>260203</v>
      </c>
      <c r="B72" s="20" t="s">
        <v>1304</v>
      </c>
      <c r="C72" s="10" t="s">
        <v>23</v>
      </c>
      <c r="D72" s="10" t="s">
        <v>1263</v>
      </c>
      <c r="E72" s="10" t="s">
        <v>806</v>
      </c>
      <c r="F72" s="38">
        <v>-0.3</v>
      </c>
      <c r="G72" s="55">
        <v>23838</v>
      </c>
      <c r="H72" s="55">
        <v>25661</v>
      </c>
      <c r="I72" s="55">
        <v>27742</v>
      </c>
      <c r="J72" s="55">
        <v>22638</v>
      </c>
      <c r="K72" s="55">
        <v>24290</v>
      </c>
      <c r="L72" s="55">
        <v>18485</v>
      </c>
      <c r="M72" s="55">
        <v>13007</v>
      </c>
      <c r="N72" s="55">
        <v>13492</v>
      </c>
      <c r="O72" s="55">
        <v>14569</v>
      </c>
      <c r="P72" s="55">
        <v>14878</v>
      </c>
      <c r="Q72" s="55">
        <v>13283</v>
      </c>
      <c r="R72" s="55">
        <v>17702</v>
      </c>
      <c r="S72" s="55">
        <v>17764</v>
      </c>
      <c r="T72" s="55">
        <v>13715</v>
      </c>
      <c r="U72" s="55">
        <v>14653</v>
      </c>
      <c r="V72" s="55">
        <v>16654</v>
      </c>
      <c r="W72" s="55">
        <v>17557</v>
      </c>
      <c r="X72" s="145">
        <v>-1.8278403822276749E-2</v>
      </c>
      <c r="Y72" s="100">
        <v>2.1932633196721341E-2</v>
      </c>
      <c r="Z72" s="100">
        <v>-1.6417583106181691E-2</v>
      </c>
      <c r="AA72" s="100">
        <v>-3.2969133246265598E-3</v>
      </c>
    </row>
    <row r="73" spans="1:27" customFormat="1" x14ac:dyDescent="0.3">
      <c r="A73">
        <v>260203</v>
      </c>
      <c r="B73" s="20" t="s">
        <v>1305</v>
      </c>
      <c r="C73" s="10" t="s">
        <v>23</v>
      </c>
      <c r="D73" s="10" t="s">
        <v>658</v>
      </c>
      <c r="E73" s="10" t="s">
        <v>821</v>
      </c>
      <c r="F73" s="38">
        <v>-0.4</v>
      </c>
      <c r="G73" s="55">
        <v>664.48</v>
      </c>
      <c r="H73" s="55">
        <v>399.78</v>
      </c>
      <c r="I73" s="55">
        <v>371.78</v>
      </c>
      <c r="J73" s="55">
        <v>316.29000000000002</v>
      </c>
      <c r="K73" s="55">
        <v>672.58</v>
      </c>
      <c r="L73" s="55">
        <v>304.17</v>
      </c>
      <c r="M73" s="55">
        <v>373.36</v>
      </c>
      <c r="N73" s="55">
        <v>305.14999999999998</v>
      </c>
      <c r="O73" s="55">
        <v>612.87</v>
      </c>
      <c r="P73" s="55">
        <v>252.66</v>
      </c>
      <c r="Q73" s="55">
        <v>397.15</v>
      </c>
      <c r="R73" s="55">
        <v>255.38</v>
      </c>
      <c r="S73" s="55">
        <v>550.86</v>
      </c>
      <c r="T73" s="55">
        <v>259.76</v>
      </c>
      <c r="U73" s="55">
        <v>344.76</v>
      </c>
      <c r="V73" s="55">
        <v>287.89999999999998</v>
      </c>
      <c r="W73" s="55">
        <v>545.66</v>
      </c>
      <c r="X73" s="145">
        <v>4.8762061742386731E-3</v>
      </c>
      <c r="Y73" s="100">
        <v>-3.5806308307419037E-2</v>
      </c>
      <c r="Z73" s="100">
        <v>2.305140491649893E-2</v>
      </c>
      <c r="AA73" s="100">
        <v>-3.6029044953163059E-3</v>
      </c>
    </row>
    <row r="74" spans="1:27" customFormat="1" x14ac:dyDescent="0.3">
      <c r="A74">
        <v>260203</v>
      </c>
      <c r="B74" s="20" t="s">
        <v>1306</v>
      </c>
      <c r="C74" s="10" t="s">
        <v>23</v>
      </c>
      <c r="D74" s="10" t="s">
        <v>71</v>
      </c>
      <c r="E74" s="10" t="s">
        <v>806</v>
      </c>
      <c r="F74" s="38">
        <v>-0.4</v>
      </c>
      <c r="G74" s="55">
        <v>3479</v>
      </c>
      <c r="H74" s="55">
        <v>4601</v>
      </c>
      <c r="I74" s="55">
        <v>6252</v>
      </c>
      <c r="J74" s="55">
        <v>2777</v>
      </c>
      <c r="K74" s="55">
        <v>0</v>
      </c>
      <c r="L74" s="55">
        <v>4884</v>
      </c>
      <c r="M74" s="55">
        <v>6045</v>
      </c>
      <c r="N74" s="55">
        <v>2590</v>
      </c>
      <c r="O74" s="111">
        <v>3707</v>
      </c>
      <c r="P74" s="55">
        <v>4492</v>
      </c>
      <c r="Q74" s="55">
        <v>6112</v>
      </c>
      <c r="R74" s="55">
        <v>2326</v>
      </c>
      <c r="S74" s="55">
        <v>3978</v>
      </c>
      <c r="T74" s="55">
        <v>4417</v>
      </c>
      <c r="U74" s="55">
        <v>6456</v>
      </c>
      <c r="V74" s="55">
        <v>2618</v>
      </c>
      <c r="W74" s="55">
        <v>3910</v>
      </c>
      <c r="X74" s="145">
        <v>-4.435770049680654E-3</v>
      </c>
      <c r="Y74" s="100">
        <v>2.043604823857903E-2</v>
      </c>
      <c r="Z74" s="100">
        <v>1.6999476043546569E-2</v>
      </c>
      <c r="AA74" s="100">
        <v>-3.892609765871025E-3</v>
      </c>
    </row>
    <row r="75" spans="1:27" customFormat="1" x14ac:dyDescent="0.3">
      <c r="A75">
        <v>260203</v>
      </c>
      <c r="B75" s="20" t="s">
        <v>1307</v>
      </c>
      <c r="C75" s="10" t="s">
        <v>23</v>
      </c>
      <c r="D75" s="10" t="s">
        <v>1308</v>
      </c>
      <c r="E75" s="10" t="s">
        <v>806</v>
      </c>
      <c r="F75" s="38">
        <v>-0.5</v>
      </c>
      <c r="G75" s="55">
        <v>100.92</v>
      </c>
      <c r="H75" s="55">
        <v>100.66</v>
      </c>
      <c r="I75" s="55">
        <v>103.23</v>
      </c>
      <c r="J75" s="55">
        <v>109.79</v>
      </c>
      <c r="K75" s="55">
        <v>104.88</v>
      </c>
      <c r="L75" s="55">
        <v>106.78</v>
      </c>
      <c r="M75" s="55">
        <v>108.71</v>
      </c>
      <c r="N75" s="55">
        <v>110.05</v>
      </c>
      <c r="O75" s="55">
        <v>111.24</v>
      </c>
      <c r="P75" s="55">
        <v>109.66</v>
      </c>
      <c r="Q75" s="55">
        <v>109.85</v>
      </c>
      <c r="R75" s="55">
        <v>121.65</v>
      </c>
      <c r="S75" s="55">
        <v>112.18</v>
      </c>
      <c r="T75" s="55">
        <v>107.6</v>
      </c>
      <c r="U75" s="55">
        <v>106.88</v>
      </c>
      <c r="V75" s="55">
        <v>108.5</v>
      </c>
      <c r="W75" s="55">
        <v>110.09</v>
      </c>
      <c r="X75" s="145">
        <v>-4.5440508227821974E-3</v>
      </c>
      <c r="Y75" s="100">
        <v>-6.5812799149086443E-3</v>
      </c>
      <c r="Z75" s="100">
        <v>-2.9332381610938981E-2</v>
      </c>
      <c r="AA75" s="100">
        <v>-4.8028311425681869E-3</v>
      </c>
    </row>
    <row r="76" spans="1:27" customFormat="1" x14ac:dyDescent="0.3">
      <c r="A76">
        <v>260203</v>
      </c>
      <c r="B76" s="20" t="s">
        <v>1309</v>
      </c>
      <c r="C76" s="10" t="s">
        <v>23</v>
      </c>
      <c r="D76" s="10" t="s">
        <v>705</v>
      </c>
      <c r="E76" s="10" t="s">
        <v>806</v>
      </c>
      <c r="F76" s="38">
        <v>-0.6</v>
      </c>
      <c r="G76" s="55">
        <v>1755</v>
      </c>
      <c r="H76" s="55">
        <v>1892</v>
      </c>
      <c r="I76" s="55">
        <v>2044</v>
      </c>
      <c r="J76" s="55">
        <v>2023</v>
      </c>
      <c r="K76" s="55">
        <v>1987</v>
      </c>
      <c r="L76" s="55">
        <v>2137</v>
      </c>
      <c r="M76" s="55">
        <v>2069</v>
      </c>
      <c r="N76" s="55">
        <v>2033</v>
      </c>
      <c r="O76" s="55">
        <v>1921</v>
      </c>
      <c r="P76" s="55">
        <v>1882</v>
      </c>
      <c r="Q76" s="55">
        <v>1878</v>
      </c>
      <c r="R76" s="55">
        <v>1870</v>
      </c>
      <c r="S76" s="55">
        <v>1800</v>
      </c>
      <c r="T76" s="55">
        <v>1813</v>
      </c>
      <c r="U76" s="55">
        <v>1833</v>
      </c>
      <c r="V76" s="55">
        <v>1816</v>
      </c>
      <c r="W76" s="55">
        <v>1757</v>
      </c>
      <c r="X76" s="145">
        <v>-9.2866756393000793E-3</v>
      </c>
      <c r="Y76" s="100">
        <v>-6.113299823393592E-3</v>
      </c>
      <c r="Z76" s="100">
        <v>-7.3810825587752324E-3</v>
      </c>
      <c r="AA76" s="100">
        <v>-5.9212338198842973E-3</v>
      </c>
    </row>
    <row r="77" spans="1:27" customFormat="1" x14ac:dyDescent="0.3">
      <c r="A77">
        <v>260203</v>
      </c>
      <c r="B77" s="20" t="s">
        <v>1310</v>
      </c>
      <c r="C77" s="10" t="s">
        <v>23</v>
      </c>
      <c r="D77" s="10" t="s">
        <v>810</v>
      </c>
      <c r="E77" s="10" t="s">
        <v>806</v>
      </c>
      <c r="F77" s="38">
        <v>-0.8</v>
      </c>
      <c r="G77" s="55">
        <v>11370</v>
      </c>
      <c r="H77" s="55">
        <v>13008</v>
      </c>
      <c r="I77" s="55">
        <v>16060</v>
      </c>
      <c r="J77" s="55">
        <v>15468</v>
      </c>
      <c r="K77" s="55">
        <v>13650</v>
      </c>
      <c r="L77" s="55">
        <v>12444</v>
      </c>
      <c r="M77" s="55">
        <v>10651</v>
      </c>
      <c r="N77" s="55">
        <v>11998</v>
      </c>
      <c r="O77" s="55">
        <v>14622</v>
      </c>
      <c r="P77" s="55">
        <v>14760</v>
      </c>
      <c r="Q77" s="55">
        <v>13483</v>
      </c>
      <c r="R77" s="55">
        <v>13775</v>
      </c>
      <c r="S77" s="55">
        <v>14201</v>
      </c>
      <c r="T77" s="55">
        <v>15417</v>
      </c>
      <c r="U77" s="55">
        <v>11363</v>
      </c>
      <c r="V77" s="55">
        <v>12023</v>
      </c>
      <c r="W77" s="55">
        <v>13793</v>
      </c>
      <c r="X77" s="145">
        <v>1.1686440527223899E-2</v>
      </c>
      <c r="Y77" s="100">
        <v>-3.7274069906463203E-2</v>
      </c>
      <c r="Z77" s="100">
        <v>-3.1996493534955039E-2</v>
      </c>
      <c r="AA77" s="100">
        <v>-7.6975322617161002E-3</v>
      </c>
    </row>
    <row r="78" spans="1:27" customFormat="1" x14ac:dyDescent="0.3">
      <c r="A78">
        <v>260203</v>
      </c>
      <c r="B78" s="20" t="s">
        <v>1311</v>
      </c>
      <c r="C78" s="10" t="s">
        <v>23</v>
      </c>
      <c r="D78" s="10" t="s">
        <v>162</v>
      </c>
      <c r="E78" s="10" t="s">
        <v>806</v>
      </c>
      <c r="F78" s="38">
        <v>-0.8</v>
      </c>
      <c r="G78" s="55">
        <v>1130</v>
      </c>
      <c r="H78" s="55">
        <v>761.51</v>
      </c>
      <c r="I78" s="55">
        <v>578.05999999999995</v>
      </c>
      <c r="J78" s="55">
        <v>955.06</v>
      </c>
      <c r="K78" s="55">
        <v>1170</v>
      </c>
      <c r="L78" s="55">
        <v>820.59</v>
      </c>
      <c r="M78" s="55">
        <v>620.92999999999995</v>
      </c>
      <c r="N78" s="55">
        <v>985.68</v>
      </c>
      <c r="O78" s="55">
        <v>1060</v>
      </c>
      <c r="P78" s="55">
        <v>769.98</v>
      </c>
      <c r="Q78" s="55">
        <v>570.24</v>
      </c>
      <c r="R78" s="55">
        <v>931.77</v>
      </c>
      <c r="S78" s="55">
        <v>1097</v>
      </c>
      <c r="T78" s="55">
        <v>778.45</v>
      </c>
      <c r="U78" s="55">
        <v>605.25</v>
      </c>
      <c r="V78" s="55">
        <v>943.43</v>
      </c>
      <c r="W78" s="55">
        <v>1070</v>
      </c>
      <c r="X78" s="145">
        <v>2.514106601681831E-3</v>
      </c>
      <c r="Y78" s="100">
        <v>1.0365777833046151E-2</v>
      </c>
      <c r="Z78" s="100">
        <v>3.4168798553539941E-3</v>
      </c>
      <c r="AA78" s="100">
        <v>-7.8852146384629229E-3</v>
      </c>
    </row>
    <row r="79" spans="1:27" customFormat="1" x14ac:dyDescent="0.3">
      <c r="A79">
        <v>260203</v>
      </c>
      <c r="B79" s="20" t="s">
        <v>1312</v>
      </c>
      <c r="C79" s="10" t="s">
        <v>23</v>
      </c>
      <c r="D79" s="10" t="s">
        <v>648</v>
      </c>
      <c r="E79" s="10" t="s">
        <v>806</v>
      </c>
      <c r="F79" s="38">
        <v>-1</v>
      </c>
      <c r="G79" s="55">
        <v>0</v>
      </c>
      <c r="H79" s="55">
        <v>2160</v>
      </c>
      <c r="I79" s="55">
        <v>2031</v>
      </c>
      <c r="J79" s="55">
        <v>1953</v>
      </c>
      <c r="K79" s="111">
        <v>2722</v>
      </c>
      <c r="L79" s="55">
        <v>2244</v>
      </c>
      <c r="M79" s="55">
        <v>2159</v>
      </c>
      <c r="N79" s="55">
        <v>2166</v>
      </c>
      <c r="O79" s="55">
        <v>2914</v>
      </c>
      <c r="P79" s="55">
        <v>2341</v>
      </c>
      <c r="Q79" s="55">
        <v>2265</v>
      </c>
      <c r="R79" s="55">
        <v>2289</v>
      </c>
      <c r="S79" s="55">
        <v>3035</v>
      </c>
      <c r="T79" s="55">
        <v>2223</v>
      </c>
      <c r="U79" s="55">
        <v>2261</v>
      </c>
      <c r="V79" s="55">
        <v>2288</v>
      </c>
      <c r="W79" s="55">
        <v>2936</v>
      </c>
      <c r="X79" s="145">
        <v>-1.1883182275931549E-2</v>
      </c>
      <c r="Y79" s="100">
        <v>-4.0766408479409039E-4</v>
      </c>
      <c r="Z79" s="100">
        <v>-1.019575856443522E-4</v>
      </c>
      <c r="AA79" s="100">
        <v>-1.009483022330993E-2</v>
      </c>
    </row>
    <row r="80" spans="1:27" customFormat="1" x14ac:dyDescent="0.3">
      <c r="A80">
        <v>260203</v>
      </c>
      <c r="B80" s="20" t="s">
        <v>1313</v>
      </c>
      <c r="C80" s="10" t="s">
        <v>23</v>
      </c>
      <c r="D80" s="10" t="s">
        <v>46</v>
      </c>
      <c r="E80" s="10" t="s">
        <v>806</v>
      </c>
      <c r="F80" s="38">
        <v>-1</v>
      </c>
      <c r="G80" s="55">
        <v>965</v>
      </c>
      <c r="H80" s="55">
        <v>938</v>
      </c>
      <c r="I80" s="55">
        <v>1064</v>
      </c>
      <c r="J80" s="55">
        <v>1120</v>
      </c>
      <c r="K80" s="55">
        <v>1209</v>
      </c>
      <c r="L80" s="55">
        <v>1186</v>
      </c>
      <c r="M80" s="55">
        <v>1274</v>
      </c>
      <c r="N80" s="55">
        <v>1313</v>
      </c>
      <c r="O80" s="55">
        <v>1362</v>
      </c>
      <c r="P80" s="55">
        <v>1358</v>
      </c>
      <c r="Q80" s="55">
        <v>1405</v>
      </c>
      <c r="R80" s="55">
        <v>1409</v>
      </c>
      <c r="S80" s="55">
        <v>1341</v>
      </c>
      <c r="T80" s="55">
        <v>1193</v>
      </c>
      <c r="U80" s="55">
        <v>1204</v>
      </c>
      <c r="V80" s="55">
        <v>1232</v>
      </c>
      <c r="W80" s="55">
        <v>1289</v>
      </c>
      <c r="X80" s="145">
        <v>-2.9929258117177619E-2</v>
      </c>
      <c r="Y80" s="100">
        <v>-3.7584143605086003E-2</v>
      </c>
      <c r="Z80" s="100">
        <v>-3.4388964445307917E-2</v>
      </c>
      <c r="AA80" s="100">
        <v>-1.046277665995976E-2</v>
      </c>
    </row>
    <row r="81" spans="1:27" customFormat="1" x14ac:dyDescent="0.3">
      <c r="A81">
        <v>260203</v>
      </c>
      <c r="B81" s="20" t="s">
        <v>1314</v>
      </c>
      <c r="C81" s="10" t="s">
        <v>23</v>
      </c>
      <c r="D81" s="10" t="s">
        <v>705</v>
      </c>
      <c r="E81" s="10" t="s">
        <v>821</v>
      </c>
      <c r="F81" s="38">
        <v>-1.2</v>
      </c>
      <c r="G81" s="55">
        <v>318.49</v>
      </c>
      <c r="H81" s="55">
        <v>281.51</v>
      </c>
      <c r="I81" s="55">
        <v>380.23</v>
      </c>
      <c r="J81" s="55">
        <v>400.43</v>
      </c>
      <c r="K81" s="55">
        <v>351.34</v>
      </c>
      <c r="L81" s="55">
        <v>337.85</v>
      </c>
      <c r="M81" s="55">
        <v>425.77</v>
      </c>
      <c r="N81" s="55">
        <v>443.86</v>
      </c>
      <c r="O81" s="55">
        <v>348.31</v>
      </c>
      <c r="P81" s="55">
        <v>359.73</v>
      </c>
      <c r="Q81" s="55">
        <v>439.96</v>
      </c>
      <c r="R81" s="55">
        <v>426.76</v>
      </c>
      <c r="S81" s="55">
        <v>362.6</v>
      </c>
      <c r="T81" s="55">
        <v>356.1</v>
      </c>
      <c r="U81" s="55">
        <v>454.29</v>
      </c>
      <c r="V81" s="55">
        <v>410.24</v>
      </c>
      <c r="W81" s="55">
        <v>343.78</v>
      </c>
      <c r="X81" s="145">
        <v>-2.2843837512979141E-3</v>
      </c>
      <c r="Y81" s="100">
        <v>9.0386143734781932E-3</v>
      </c>
      <c r="Z81" s="100">
        <v>-1.032661353336461E-2</v>
      </c>
      <c r="AA81" s="100">
        <v>-1.188709157860823E-2</v>
      </c>
    </row>
    <row r="82" spans="1:27" customFormat="1" x14ac:dyDescent="0.3">
      <c r="A82">
        <v>260203</v>
      </c>
      <c r="B82" s="20" t="s">
        <v>1315</v>
      </c>
      <c r="C82" s="10" t="s">
        <v>23</v>
      </c>
      <c r="D82" s="10" t="s">
        <v>1236</v>
      </c>
      <c r="E82" s="10" t="s">
        <v>811</v>
      </c>
      <c r="F82" s="38">
        <v>-2.5</v>
      </c>
      <c r="G82" s="55">
        <v>1826</v>
      </c>
      <c r="H82" s="55">
        <v>1789</v>
      </c>
      <c r="I82" s="55">
        <v>1825</v>
      </c>
      <c r="J82" s="55">
        <v>1767</v>
      </c>
      <c r="K82" s="55">
        <v>1904</v>
      </c>
      <c r="L82" s="55">
        <v>1881</v>
      </c>
      <c r="M82" s="55">
        <v>1874</v>
      </c>
      <c r="N82" s="55">
        <v>1924</v>
      </c>
      <c r="O82" s="55">
        <v>1914</v>
      </c>
      <c r="P82" s="55">
        <v>1945</v>
      </c>
      <c r="Q82" s="55">
        <v>1779</v>
      </c>
      <c r="R82" s="55">
        <v>1660</v>
      </c>
      <c r="S82" s="55">
        <v>2025</v>
      </c>
      <c r="T82" s="55">
        <v>1883</v>
      </c>
      <c r="U82" s="55">
        <v>1895</v>
      </c>
      <c r="V82" s="55">
        <v>1671</v>
      </c>
      <c r="W82" s="55">
        <v>1839</v>
      </c>
      <c r="X82" s="145">
        <v>-8.3682008368201055E-3</v>
      </c>
      <c r="Y82" s="100">
        <v>1.5788757315911232E-2</v>
      </c>
      <c r="Z82" s="100">
        <v>1.473938094600058E-3</v>
      </c>
      <c r="AA82" s="100">
        <v>-2.488627241102492E-2</v>
      </c>
    </row>
    <row r="83" spans="1:27" customFormat="1" x14ac:dyDescent="0.3">
      <c r="A83">
        <v>260203</v>
      </c>
      <c r="B83" s="20" t="s">
        <v>1316</v>
      </c>
      <c r="C83" s="10" t="s">
        <v>23</v>
      </c>
      <c r="D83" s="10" t="s">
        <v>427</v>
      </c>
      <c r="E83" s="10" t="s">
        <v>806</v>
      </c>
      <c r="F83" s="38">
        <v>-2.6</v>
      </c>
      <c r="G83" s="55">
        <v>412.72</v>
      </c>
      <c r="H83" s="55">
        <v>441.29</v>
      </c>
      <c r="I83" s="55">
        <v>530.20000000000005</v>
      </c>
      <c r="J83" s="55">
        <v>634.71</v>
      </c>
      <c r="K83" s="111">
        <v>724.65</v>
      </c>
      <c r="L83" s="111">
        <v>726.02</v>
      </c>
      <c r="M83" s="55">
        <v>711.12</v>
      </c>
      <c r="N83" s="55">
        <v>551.08000000000004</v>
      </c>
      <c r="O83" s="55">
        <v>302.57</v>
      </c>
      <c r="P83" s="55">
        <v>263.33999999999997</v>
      </c>
      <c r="Q83" s="55">
        <v>303.45999999999998</v>
      </c>
      <c r="R83" s="55">
        <v>380.87</v>
      </c>
      <c r="S83" s="55">
        <v>382.71</v>
      </c>
      <c r="T83" s="55">
        <v>356.08</v>
      </c>
      <c r="U83" s="55">
        <v>363.15</v>
      </c>
      <c r="V83" s="55">
        <v>410.43</v>
      </c>
      <c r="W83" s="55">
        <v>343.32</v>
      </c>
      <c r="X83" s="145">
        <v>6.9709406335032087E-2</v>
      </c>
      <c r="Y83" s="100">
        <v>4.194305469672277E-2</v>
      </c>
      <c r="Z83" s="100">
        <v>1.993512317828983E-2</v>
      </c>
      <c r="AA83" s="100">
        <v>-2.604521380350033E-2</v>
      </c>
    </row>
    <row r="84" spans="1:27" customFormat="1" x14ac:dyDescent="0.3">
      <c r="A84">
        <v>260203</v>
      </c>
      <c r="B84" s="20" t="s">
        <v>1317</v>
      </c>
      <c r="C84" s="10" t="s">
        <v>23</v>
      </c>
      <c r="D84" s="10" t="s">
        <v>41</v>
      </c>
      <c r="E84" s="10" t="s">
        <v>821</v>
      </c>
      <c r="F84" s="38">
        <v>-2.9</v>
      </c>
      <c r="G84" s="55">
        <v>968</v>
      </c>
      <c r="H84" s="55">
        <v>1092</v>
      </c>
      <c r="I84" s="55">
        <v>1149</v>
      </c>
      <c r="J84" s="55">
        <v>1112</v>
      </c>
      <c r="K84" s="55">
        <v>965</v>
      </c>
      <c r="L84" s="55">
        <v>1033</v>
      </c>
      <c r="M84" s="55">
        <v>968</v>
      </c>
      <c r="N84" s="55">
        <v>965</v>
      </c>
      <c r="O84" s="55">
        <v>958</v>
      </c>
      <c r="P84" s="55">
        <v>1019</v>
      </c>
      <c r="Q84" s="55">
        <v>1016</v>
      </c>
      <c r="R84" s="55">
        <v>1001</v>
      </c>
      <c r="S84" s="55">
        <v>955</v>
      </c>
      <c r="T84" s="55">
        <v>936</v>
      </c>
      <c r="U84" s="55">
        <v>923</v>
      </c>
      <c r="V84" s="55">
        <v>899</v>
      </c>
      <c r="W84" s="55">
        <v>849</v>
      </c>
      <c r="X84" s="145">
        <v>-2.0796792783763451E-2</v>
      </c>
      <c r="Y84" s="100">
        <v>-2.379733879222112E-2</v>
      </c>
      <c r="Z84" s="100">
        <v>-2.6736566186107421E-2</v>
      </c>
      <c r="AA84" s="100">
        <v>-2.8548343657419869E-2</v>
      </c>
    </row>
    <row r="85" spans="1:27" customFormat="1" x14ac:dyDescent="0.3">
      <c r="A85">
        <v>260203</v>
      </c>
      <c r="B85" s="20" t="s">
        <v>1318</v>
      </c>
      <c r="C85" s="10" t="s">
        <v>23</v>
      </c>
      <c r="D85" s="10" t="s">
        <v>1151</v>
      </c>
      <c r="E85" s="10" t="s">
        <v>806</v>
      </c>
      <c r="F85" s="38">
        <v>-3.5</v>
      </c>
      <c r="G85" s="55">
        <v>23090</v>
      </c>
      <c r="H85" s="55">
        <v>23650</v>
      </c>
      <c r="I85" s="55">
        <v>27284</v>
      </c>
      <c r="J85" s="55">
        <v>24683</v>
      </c>
      <c r="K85" s="55">
        <v>25939</v>
      </c>
      <c r="L85" s="55">
        <v>24072</v>
      </c>
      <c r="M85" s="55">
        <v>25190</v>
      </c>
      <c r="N85" s="55">
        <v>21695</v>
      </c>
      <c r="O85" s="55">
        <v>22978</v>
      </c>
      <c r="P85" s="55">
        <v>21847</v>
      </c>
      <c r="Q85" s="55">
        <v>22248</v>
      </c>
      <c r="R85" s="55">
        <v>19937</v>
      </c>
      <c r="S85" s="55">
        <v>21498</v>
      </c>
      <c r="T85" s="55">
        <v>20175</v>
      </c>
      <c r="U85" s="55">
        <v>21166</v>
      </c>
      <c r="V85" s="55">
        <v>20372</v>
      </c>
      <c r="W85" s="55">
        <v>18556</v>
      </c>
      <c r="X85" s="145">
        <v>-1.9548696363848931E-2</v>
      </c>
      <c r="Y85" s="100">
        <v>-1.290276419661807E-2</v>
      </c>
      <c r="Z85" s="100">
        <v>5.2551464192520658E-3</v>
      </c>
      <c r="AA85" s="100">
        <v>-3.5355902464818352E-2</v>
      </c>
    </row>
    <row r="86" spans="1:27" customFormat="1" x14ac:dyDescent="0.3">
      <c r="A86">
        <v>260203</v>
      </c>
      <c r="B86" s="20" t="s">
        <v>1319</v>
      </c>
      <c r="C86" s="10" t="s">
        <v>23</v>
      </c>
      <c r="D86" s="10" t="s">
        <v>95</v>
      </c>
      <c r="E86" s="10" t="s">
        <v>806</v>
      </c>
      <c r="F86" s="38">
        <v>-5.9</v>
      </c>
      <c r="G86" s="55">
        <v>46.21</v>
      </c>
      <c r="H86" s="55">
        <v>54.99</v>
      </c>
      <c r="I86" s="55">
        <v>55.62</v>
      </c>
      <c r="J86" s="55">
        <v>56.99</v>
      </c>
      <c r="K86" s="111">
        <v>91.28</v>
      </c>
      <c r="L86" s="55">
        <v>73.75</v>
      </c>
      <c r="M86" s="55">
        <v>78.59</v>
      </c>
      <c r="N86" s="55">
        <v>63.54</v>
      </c>
      <c r="O86" s="55">
        <v>111.74</v>
      </c>
      <c r="P86" s="55">
        <v>63.91</v>
      </c>
      <c r="Q86" s="55">
        <v>75</v>
      </c>
      <c r="R86" s="55">
        <v>78.06</v>
      </c>
      <c r="S86" s="111">
        <v>157.24</v>
      </c>
      <c r="T86" s="55">
        <v>79.569999999999993</v>
      </c>
      <c r="U86" s="55">
        <v>82.52</v>
      </c>
      <c r="V86" s="55">
        <v>86.46</v>
      </c>
      <c r="W86" s="55">
        <v>133.1</v>
      </c>
      <c r="X86" s="145">
        <v>4.1848160123994393E-2</v>
      </c>
      <c r="Y86" s="100">
        <v>1.928848077564305E-2</v>
      </c>
      <c r="Z86" s="100">
        <v>2.1137924960366261E-2</v>
      </c>
      <c r="AA86" s="100">
        <v>-5.9488898198575613E-2</v>
      </c>
    </row>
    <row r="87" spans="1:27" customFormat="1" x14ac:dyDescent="0.3">
      <c r="A87">
        <v>260203</v>
      </c>
      <c r="B87" s="20" t="s">
        <v>1320</v>
      </c>
      <c r="C87" s="10" t="s">
        <v>23</v>
      </c>
      <c r="D87" s="10" t="s">
        <v>1321</v>
      </c>
      <c r="E87" s="10" t="s">
        <v>817</v>
      </c>
      <c r="F87" s="38">
        <v>-6</v>
      </c>
      <c r="G87" s="55">
        <v>1609</v>
      </c>
      <c r="H87" s="55">
        <v>1492</v>
      </c>
      <c r="I87" s="55">
        <v>1360</v>
      </c>
      <c r="J87" s="55">
        <v>1412</v>
      </c>
      <c r="K87" s="55">
        <v>1512</v>
      </c>
      <c r="L87" s="55">
        <v>1335</v>
      </c>
      <c r="M87" s="55">
        <v>1229</v>
      </c>
      <c r="N87" s="55">
        <v>1291</v>
      </c>
      <c r="O87" s="55">
        <v>1427</v>
      </c>
      <c r="P87" s="55">
        <v>1223</v>
      </c>
      <c r="Q87" s="55">
        <v>848</v>
      </c>
      <c r="R87" s="55">
        <v>878</v>
      </c>
      <c r="S87" s="55">
        <v>1261</v>
      </c>
      <c r="T87" s="55">
        <v>1035</v>
      </c>
      <c r="U87" s="55">
        <v>797</v>
      </c>
      <c r="V87" s="55">
        <v>856</v>
      </c>
      <c r="W87" s="55">
        <v>1025</v>
      </c>
      <c r="X87" s="145">
        <v>-4.4655581947743439E-2</v>
      </c>
      <c r="Y87" s="100">
        <v>-1.268025857782196E-2</v>
      </c>
      <c r="Z87" s="100">
        <v>-5.5401662049860967E-3</v>
      </c>
      <c r="AA87" s="100">
        <v>-5.9761965054444199E-2</v>
      </c>
    </row>
    <row r="88" spans="1:27" customFormat="1" x14ac:dyDescent="0.3">
      <c r="A88">
        <v>260203</v>
      </c>
      <c r="B88" s="20" t="s">
        <v>1322</v>
      </c>
      <c r="C88" s="10" t="s">
        <v>23</v>
      </c>
      <c r="D88" s="10" t="s">
        <v>698</v>
      </c>
      <c r="E88" s="10" t="s">
        <v>806</v>
      </c>
      <c r="F88" s="38">
        <v>-7.3</v>
      </c>
      <c r="G88" s="55">
        <v>148.13999999999999</v>
      </c>
      <c r="H88" s="55">
        <v>151.28</v>
      </c>
      <c r="I88" s="55">
        <v>187.82</v>
      </c>
      <c r="J88" s="55">
        <v>273.98</v>
      </c>
      <c r="K88" s="111">
        <v>354.92</v>
      </c>
      <c r="L88" s="111">
        <v>330.92</v>
      </c>
      <c r="M88" s="111">
        <v>306.17</v>
      </c>
      <c r="N88" s="55">
        <v>295.02999999999997</v>
      </c>
      <c r="O88" s="55">
        <v>275.35000000000002</v>
      </c>
      <c r="P88" s="55">
        <v>270.32</v>
      </c>
      <c r="Q88" s="55">
        <v>274.75</v>
      </c>
      <c r="R88" s="55">
        <v>259.86</v>
      </c>
      <c r="S88" s="55">
        <v>242.58</v>
      </c>
      <c r="T88" s="55">
        <v>219.42</v>
      </c>
      <c r="U88" s="55">
        <v>210.39</v>
      </c>
      <c r="V88" s="55">
        <v>196.55</v>
      </c>
      <c r="W88" s="55">
        <v>179.36</v>
      </c>
      <c r="X88" s="145">
        <v>-4.8591421561608013E-2</v>
      </c>
      <c r="Y88" s="100">
        <v>-6.4578922547435802E-2</v>
      </c>
      <c r="Z88" s="100">
        <v>-6.7910968087959156E-2</v>
      </c>
      <c r="AA88" s="100">
        <v>-7.2755311068658401E-2</v>
      </c>
    </row>
    <row r="89" spans="1:27" customFormat="1" x14ac:dyDescent="0.3">
      <c r="A89">
        <v>260203</v>
      </c>
      <c r="B89" s="20" t="s">
        <v>1323</v>
      </c>
      <c r="C89" s="10" t="s">
        <v>23</v>
      </c>
      <c r="D89" s="10" t="s">
        <v>93</v>
      </c>
      <c r="E89" s="10" t="s">
        <v>821</v>
      </c>
      <c r="F89" s="38">
        <v>-7.8</v>
      </c>
      <c r="G89" s="55">
        <v>438.58</v>
      </c>
      <c r="H89" s="55">
        <v>444.98</v>
      </c>
      <c r="I89" s="55">
        <v>421.72</v>
      </c>
      <c r="J89" s="55">
        <v>457.13</v>
      </c>
      <c r="K89" s="55">
        <v>449.24</v>
      </c>
      <c r="L89" s="55">
        <v>479.58</v>
      </c>
      <c r="M89" s="55">
        <v>471.91</v>
      </c>
      <c r="N89" s="55">
        <v>480.17</v>
      </c>
      <c r="O89" s="55">
        <v>449.99</v>
      </c>
      <c r="P89" s="55">
        <v>471.22</v>
      </c>
      <c r="Q89" s="55">
        <v>427.83</v>
      </c>
      <c r="R89" s="55">
        <v>446.7</v>
      </c>
      <c r="S89" s="55">
        <v>401.84</v>
      </c>
      <c r="T89" s="55">
        <v>427.63</v>
      </c>
      <c r="U89" s="55">
        <v>349.38</v>
      </c>
      <c r="V89" s="55">
        <v>318.83999999999997</v>
      </c>
      <c r="W89" s="55">
        <v>284.76</v>
      </c>
      <c r="X89" s="145">
        <v>-2.4942921394606191E-2</v>
      </c>
      <c r="Y89" s="100">
        <v>-4.6038732394366177E-2</v>
      </c>
      <c r="Z89" s="100">
        <v>-7.865645473839622E-2</v>
      </c>
      <c r="AA89" s="100">
        <v>-7.8173720863463192E-2</v>
      </c>
    </row>
    <row r="90" spans="1:27" customFormat="1" x14ac:dyDescent="0.3">
      <c r="A90">
        <v>260203</v>
      </c>
      <c r="B90" s="20" t="s">
        <v>1324</v>
      </c>
      <c r="C90" s="10" t="s">
        <v>23</v>
      </c>
      <c r="D90" s="10" t="s">
        <v>182</v>
      </c>
      <c r="E90" s="10" t="s">
        <v>806</v>
      </c>
      <c r="F90" s="38">
        <v>-8.5</v>
      </c>
      <c r="G90" s="55">
        <v>58.41</v>
      </c>
      <c r="H90" s="55">
        <v>1752</v>
      </c>
      <c r="I90" s="55">
        <v>1227</v>
      </c>
      <c r="J90" s="55">
        <v>795.37</v>
      </c>
      <c r="K90" s="111">
        <v>674.94</v>
      </c>
      <c r="L90" s="55">
        <v>517.07000000000005</v>
      </c>
      <c r="M90" s="55">
        <v>972.27</v>
      </c>
      <c r="N90" s="55">
        <v>789.61</v>
      </c>
      <c r="O90" s="55">
        <v>541.04999999999995</v>
      </c>
      <c r="P90" s="111">
        <v>891.42</v>
      </c>
      <c r="Q90" s="55">
        <v>921.31</v>
      </c>
      <c r="R90" s="55">
        <v>646.59</v>
      </c>
      <c r="S90" s="111">
        <v>1293</v>
      </c>
      <c r="T90" s="55">
        <v>693.28</v>
      </c>
      <c r="U90" s="55">
        <v>997.58</v>
      </c>
      <c r="V90" s="55">
        <v>943</v>
      </c>
      <c r="W90" s="55">
        <v>957.61</v>
      </c>
      <c r="X90" s="145">
        <v>-5.2804664847347693E-2</v>
      </c>
      <c r="Y90" s="100">
        <v>2.14592395432982E-2</v>
      </c>
      <c r="Z90" s="100">
        <v>8.1645526036717264E-2</v>
      </c>
      <c r="AA90" s="100">
        <v>-8.5409207356513805E-2</v>
      </c>
    </row>
    <row r="91" spans="1:27" customFormat="1" x14ac:dyDescent="0.3">
      <c r="A91">
        <v>260203</v>
      </c>
      <c r="B91" s="20" t="s">
        <v>1325</v>
      </c>
      <c r="C91" s="10" t="s">
        <v>23</v>
      </c>
      <c r="D91" s="10" t="s">
        <v>151</v>
      </c>
      <c r="E91" s="10" t="s">
        <v>806</v>
      </c>
      <c r="F91" s="38">
        <v>-12.5</v>
      </c>
      <c r="G91" s="55">
        <v>1159</v>
      </c>
      <c r="H91" s="55">
        <v>1325</v>
      </c>
      <c r="I91" s="55">
        <v>1363</v>
      </c>
      <c r="J91" s="55">
        <v>1301</v>
      </c>
      <c r="K91" s="55">
        <v>0</v>
      </c>
      <c r="L91" s="55">
        <v>1084</v>
      </c>
      <c r="M91" s="55">
        <v>1112</v>
      </c>
      <c r="N91" s="55">
        <v>1111</v>
      </c>
      <c r="O91" s="111">
        <v>1058</v>
      </c>
      <c r="P91" s="55">
        <v>624.29</v>
      </c>
      <c r="Q91" s="55">
        <v>634.39</v>
      </c>
      <c r="R91" s="55">
        <v>642</v>
      </c>
      <c r="S91" s="55">
        <v>989.31</v>
      </c>
      <c r="T91" s="55">
        <v>570.49</v>
      </c>
      <c r="U91" s="55">
        <v>586.92999999999995</v>
      </c>
      <c r="V91" s="55">
        <v>589.79</v>
      </c>
      <c r="W91" s="55">
        <v>645.98</v>
      </c>
      <c r="X91" s="145">
        <v>-1.8615981370177611E-2</v>
      </c>
      <c r="Y91" s="100">
        <v>-1.673371671150381E-2</v>
      </c>
      <c r="Z91" s="100">
        <v>-1.8721783751026511E-2</v>
      </c>
      <c r="AA91" s="100">
        <v>-0.12546226594360721</v>
      </c>
    </row>
    <row r="92" spans="1:27" customFormat="1" x14ac:dyDescent="0.3">
      <c r="A92">
        <v>260203</v>
      </c>
      <c r="B92" s="20" t="s">
        <v>1326</v>
      </c>
      <c r="C92" s="10" t="s">
        <v>23</v>
      </c>
      <c r="D92" s="10" t="s">
        <v>810</v>
      </c>
      <c r="E92" s="10" t="s">
        <v>817</v>
      </c>
      <c r="F92" s="38">
        <v>-42.7</v>
      </c>
      <c r="G92" s="55">
        <v>2172</v>
      </c>
      <c r="H92" s="55">
        <v>2533</v>
      </c>
      <c r="I92" s="55">
        <v>2497</v>
      </c>
      <c r="J92" s="55">
        <v>2009</v>
      </c>
      <c r="K92" s="55">
        <v>2139</v>
      </c>
      <c r="L92" s="55">
        <v>2049</v>
      </c>
      <c r="M92" s="55">
        <v>1616</v>
      </c>
      <c r="N92" s="55">
        <v>1841</v>
      </c>
      <c r="O92" s="55">
        <v>1870</v>
      </c>
      <c r="P92" s="55">
        <v>0</v>
      </c>
      <c r="Q92" s="55">
        <v>759.23</v>
      </c>
      <c r="R92" s="55">
        <v>756.47</v>
      </c>
      <c r="S92" s="55">
        <v>1549</v>
      </c>
      <c r="T92" s="111">
        <v>971.07</v>
      </c>
      <c r="U92" s="55">
        <v>622.16</v>
      </c>
      <c r="V92" s="55">
        <v>-129.16</v>
      </c>
      <c r="W92" s="55">
        <v>263.74</v>
      </c>
      <c r="X92" s="146">
        <v>0.31685646229647291</v>
      </c>
      <c r="Y92" s="100">
        <v>-3.3963778907123099E-2</v>
      </c>
      <c r="Z92" s="100">
        <v>-0.2271603354964474</v>
      </c>
      <c r="AA92" s="100">
        <v>-0.42656161323832509</v>
      </c>
    </row>
    <row r="93" spans="1:27" customFormat="1" x14ac:dyDescent="0.3">
      <c r="A93">
        <v>260203</v>
      </c>
      <c r="B93" s="20" t="s">
        <v>1327</v>
      </c>
      <c r="C93" s="10" t="s">
        <v>23</v>
      </c>
      <c r="D93" s="10" t="s">
        <v>182</v>
      </c>
      <c r="E93" s="10" t="s">
        <v>806</v>
      </c>
      <c r="F93" s="38">
        <v>-74.5</v>
      </c>
      <c r="G93" s="55">
        <v>47.81</v>
      </c>
      <c r="H93" s="55">
        <v>48.42</v>
      </c>
      <c r="I93" s="55">
        <v>38.18</v>
      </c>
      <c r="J93" s="55">
        <v>-29.44</v>
      </c>
      <c r="K93" s="55">
        <v>34.24</v>
      </c>
      <c r="L93" s="55">
        <v>-9.3000000000000007</v>
      </c>
      <c r="M93" s="55">
        <v>-5.41</v>
      </c>
      <c r="N93" s="55">
        <v>41.24</v>
      </c>
      <c r="O93" s="55">
        <v>1.17</v>
      </c>
      <c r="P93" s="111">
        <v>13.49</v>
      </c>
      <c r="Q93" s="111">
        <v>43.11</v>
      </c>
      <c r="R93" s="55">
        <v>8.82</v>
      </c>
      <c r="S93" s="111">
        <v>35.200000000000003</v>
      </c>
      <c r="T93" s="55">
        <v>10.35</v>
      </c>
      <c r="U93" s="55">
        <v>-13.98</v>
      </c>
      <c r="V93" s="111">
        <v>30.44</v>
      </c>
      <c r="W93" s="55">
        <v>-10.97</v>
      </c>
      <c r="X93" s="145">
        <v>-3.1206519578612649E-2</v>
      </c>
      <c r="Y93" s="100">
        <v>-0.58565859663520725</v>
      </c>
      <c r="Z93" s="113">
        <v>0.53528101015102769</v>
      </c>
      <c r="AA93" s="100">
        <v>-0.74455732946298991</v>
      </c>
    </row>
    <row r="94" spans="1:27" customFormat="1" x14ac:dyDescent="0.3">
      <c r="A94">
        <v>260203</v>
      </c>
      <c r="B94" s="83">
        <v>7974</v>
      </c>
      <c r="C94" s="84" t="s">
        <v>67</v>
      </c>
      <c r="D94" s="84" t="str">
        <f>VLOOKUP(B94,[1]기업리스트!B:G,2,FALSE)</f>
        <v>Nintendo Co., Ltd.</v>
      </c>
      <c r="E94" s="10" t="s">
        <v>811</v>
      </c>
      <c r="F94" s="115">
        <v>16.8</v>
      </c>
      <c r="G94" s="116">
        <v>301625</v>
      </c>
      <c r="H94" s="116">
        <v>695947</v>
      </c>
      <c r="I94" s="116">
        <v>375125</v>
      </c>
      <c r="J94" s="116">
        <v>307460</v>
      </c>
      <c r="K94" s="116">
        <v>349514</v>
      </c>
      <c r="L94" s="116">
        <v>638204</v>
      </c>
      <c r="M94" s="116">
        <v>306499</v>
      </c>
      <c r="N94" s="116">
        <v>461341</v>
      </c>
      <c r="O94" s="116">
        <v>334896</v>
      </c>
      <c r="P94" s="116">
        <v>598559</v>
      </c>
      <c r="Q94" s="116">
        <v>277069</v>
      </c>
      <c r="R94" s="116">
        <v>246638</v>
      </c>
      <c r="S94" s="116">
        <v>276661</v>
      </c>
      <c r="T94" s="116">
        <v>432919</v>
      </c>
      <c r="U94" s="116">
        <v>208704</v>
      </c>
      <c r="V94" s="117">
        <v>572363</v>
      </c>
      <c r="W94" s="117">
        <v>527202</v>
      </c>
      <c r="X94" s="147">
        <v>-0.11840503471589291</v>
      </c>
      <c r="Y94" s="119">
        <v>-5.5433163570199007E-2</v>
      </c>
      <c r="Z94" s="120">
        <v>0.27961099541428541</v>
      </c>
      <c r="AA94" s="120">
        <v>0.16807533909772049</v>
      </c>
    </row>
    <row r="95" spans="1:27" customFormat="1" x14ac:dyDescent="0.3">
      <c r="A95">
        <v>260203</v>
      </c>
      <c r="B95" s="20">
        <v>8386</v>
      </c>
      <c r="C95" s="10" t="s">
        <v>67</v>
      </c>
      <c r="D95" s="10" t="str">
        <f>VLOOKUP(B95,[1]기업리스트!B:G,2,FALSE)</f>
        <v>The Hyakujushi Bank, Ltd.</v>
      </c>
      <c r="E95" s="10" t="s">
        <v>811</v>
      </c>
      <c r="F95" s="38">
        <v>6</v>
      </c>
      <c r="G95" s="55">
        <v>17037</v>
      </c>
      <c r="H95" s="55">
        <v>18567</v>
      </c>
      <c r="I95" s="55">
        <v>15023</v>
      </c>
      <c r="J95" s="55">
        <v>21178</v>
      </c>
      <c r="K95" s="55">
        <v>20437</v>
      </c>
      <c r="L95" s="55">
        <v>19040</v>
      </c>
      <c r="M95" s="55">
        <v>14645</v>
      </c>
      <c r="N95" s="55">
        <v>16940</v>
      </c>
      <c r="O95" s="55">
        <v>14494</v>
      </c>
      <c r="P95" s="55">
        <v>17039</v>
      </c>
      <c r="Q95" s="55">
        <v>17520</v>
      </c>
      <c r="R95" s="55">
        <v>17247</v>
      </c>
      <c r="S95" s="55">
        <v>14292</v>
      </c>
      <c r="T95" s="55">
        <v>19913</v>
      </c>
      <c r="U95" s="55">
        <v>18479</v>
      </c>
      <c r="V95" s="55">
        <v>20602</v>
      </c>
      <c r="W95" s="55">
        <v>18703</v>
      </c>
      <c r="X95" s="145">
        <v>4.3480892008835433E-2</v>
      </c>
      <c r="Y95" s="100">
        <v>1.390419300585743E-2</v>
      </c>
      <c r="Z95" s="100">
        <v>4.7975861921036422E-2</v>
      </c>
      <c r="AA95" s="100">
        <v>6.018884916628009E-2</v>
      </c>
    </row>
    <row r="96" spans="1:27" customFormat="1" x14ac:dyDescent="0.3">
      <c r="A96">
        <v>260203</v>
      </c>
      <c r="B96" s="20">
        <v>6471</v>
      </c>
      <c r="C96" s="10" t="s">
        <v>67</v>
      </c>
      <c r="D96" s="10" t="str">
        <f>VLOOKUP(B96,[1]기업리스트!B:G,2,FALSE)</f>
        <v>NSK Ltd.</v>
      </c>
      <c r="E96" s="10" t="s">
        <v>817</v>
      </c>
      <c r="F96" s="38">
        <v>5.8</v>
      </c>
      <c r="G96" s="55">
        <v>215015</v>
      </c>
      <c r="H96" s="55">
        <v>232386</v>
      </c>
      <c r="I96" s="55">
        <v>219387</v>
      </c>
      <c r="J96" s="55">
        <v>244436</v>
      </c>
      <c r="K96" s="55">
        <v>236356</v>
      </c>
      <c r="L96" s="55">
        <v>237918</v>
      </c>
      <c r="M96" s="55">
        <v>188247</v>
      </c>
      <c r="N96" s="55">
        <v>198443</v>
      </c>
      <c r="O96" s="55">
        <v>201368</v>
      </c>
      <c r="P96" s="55">
        <v>200808</v>
      </c>
      <c r="Q96" s="55">
        <v>200495</v>
      </c>
      <c r="R96" s="55">
        <v>197148</v>
      </c>
      <c r="S96" s="55">
        <v>199278</v>
      </c>
      <c r="T96" s="55">
        <v>199746</v>
      </c>
      <c r="U96" s="55">
        <v>195760</v>
      </c>
      <c r="V96" s="55">
        <v>216490</v>
      </c>
      <c r="W96" s="55">
        <v>246214</v>
      </c>
      <c r="X96" s="145">
        <v>-1.331279168740207E-3</v>
      </c>
      <c r="Y96" s="100">
        <v>-5.9435121575263086E-3</v>
      </c>
      <c r="Z96" s="100">
        <v>2.4423814165862812E-2</v>
      </c>
      <c r="AA96" s="100">
        <v>5.7854682881492543E-2</v>
      </c>
    </row>
    <row r="97" spans="1:27" customFormat="1" x14ac:dyDescent="0.3">
      <c r="A97">
        <v>260203</v>
      </c>
      <c r="B97" s="20">
        <v>8368</v>
      </c>
      <c r="C97" s="10" t="s">
        <v>67</v>
      </c>
      <c r="D97" s="10" t="str">
        <f>VLOOKUP(B97,[1]기업리스트!B:G,2,FALSE)</f>
        <v>The Hyakugo Bank, Ltd.</v>
      </c>
      <c r="E97" s="10" t="s">
        <v>811</v>
      </c>
      <c r="F97" s="38">
        <v>5.5</v>
      </c>
      <c r="G97" s="55">
        <v>20648</v>
      </c>
      <c r="H97" s="55">
        <v>21899</v>
      </c>
      <c r="I97" s="55">
        <v>28457</v>
      </c>
      <c r="J97" s="55">
        <v>22575</v>
      </c>
      <c r="K97" s="55">
        <v>22660</v>
      </c>
      <c r="L97" s="55">
        <v>21777</v>
      </c>
      <c r="M97" s="55">
        <v>24863</v>
      </c>
      <c r="N97" s="55">
        <v>27538</v>
      </c>
      <c r="O97" s="55">
        <v>24911</v>
      </c>
      <c r="P97" s="55">
        <v>24195</v>
      </c>
      <c r="Q97" s="55">
        <v>26499</v>
      </c>
      <c r="R97" s="55">
        <v>25578</v>
      </c>
      <c r="S97" s="55">
        <v>25223</v>
      </c>
      <c r="T97" s="55">
        <v>27680</v>
      </c>
      <c r="U97" s="55">
        <v>26419</v>
      </c>
      <c r="V97" s="55">
        <v>28942</v>
      </c>
      <c r="W97" s="55">
        <v>31175</v>
      </c>
      <c r="X97" s="145">
        <v>3.4336666830878437E-2</v>
      </c>
      <c r="Y97" s="100">
        <v>-7.6204991426942481E-4</v>
      </c>
      <c r="Z97" s="100">
        <v>3.2068636796949379E-2</v>
      </c>
      <c r="AA97" s="100">
        <v>5.4976723564619911E-2</v>
      </c>
    </row>
    <row r="98" spans="1:27" customFormat="1" x14ac:dyDescent="0.3">
      <c r="A98">
        <v>260203</v>
      </c>
      <c r="B98" s="20">
        <v>3064</v>
      </c>
      <c r="C98" s="10" t="s">
        <v>67</v>
      </c>
      <c r="D98" s="10" t="str">
        <f>VLOOKUP(B98,[1]기업리스트!B:G,2,FALSE)</f>
        <v>MonotaRO Co., Ltd.</v>
      </c>
      <c r="E98" s="10" t="s">
        <v>806</v>
      </c>
      <c r="F98" s="38">
        <v>5</v>
      </c>
      <c r="G98" s="55">
        <v>51281</v>
      </c>
      <c r="H98" s="55">
        <v>54610</v>
      </c>
      <c r="I98" s="55">
        <v>55253</v>
      </c>
      <c r="J98" s="55">
        <v>56130</v>
      </c>
      <c r="K98" s="55">
        <v>59977</v>
      </c>
      <c r="L98" s="55">
        <v>62014</v>
      </c>
      <c r="M98" s="55">
        <v>62386</v>
      </c>
      <c r="N98" s="55">
        <v>62823</v>
      </c>
      <c r="O98" s="55">
        <v>67063</v>
      </c>
      <c r="P98" s="55">
        <v>69139</v>
      </c>
      <c r="Q98" s="55">
        <v>70258</v>
      </c>
      <c r="R98" s="55">
        <v>72112</v>
      </c>
      <c r="S98" s="55">
        <v>76610</v>
      </c>
      <c r="T98" s="55">
        <v>79106</v>
      </c>
      <c r="U98" s="55">
        <v>81126</v>
      </c>
      <c r="V98" s="55">
        <v>81168</v>
      </c>
      <c r="W98" s="55">
        <v>92480</v>
      </c>
      <c r="X98" s="145">
        <v>3.4593345110874418E-2</v>
      </c>
      <c r="Y98" s="100">
        <v>3.6459276852988783E-2</v>
      </c>
      <c r="Z98" s="100">
        <v>2.9311806935660378E-2</v>
      </c>
      <c r="AA98" s="100">
        <v>4.9904091066318657E-2</v>
      </c>
    </row>
    <row r="99" spans="1:27" customFormat="1" x14ac:dyDescent="0.3">
      <c r="A99">
        <v>260203</v>
      </c>
      <c r="B99" s="20">
        <v>4062</v>
      </c>
      <c r="C99" s="10" t="s">
        <v>67</v>
      </c>
      <c r="D99" s="10" t="str">
        <f>VLOOKUP(B99,[1]기업리스트!B:G,2,FALSE)</f>
        <v>Ibiden Co.,Ltd.</v>
      </c>
      <c r="E99" s="10" t="s">
        <v>817</v>
      </c>
      <c r="F99" s="38">
        <v>3.8</v>
      </c>
      <c r="G99" s="55">
        <v>103402</v>
      </c>
      <c r="H99" s="55">
        <v>101904</v>
      </c>
      <c r="I99" s="55">
        <v>98318</v>
      </c>
      <c r="J99" s="55">
        <v>115261</v>
      </c>
      <c r="K99" s="55">
        <v>103102</v>
      </c>
      <c r="L99" s="55">
        <v>100868</v>
      </c>
      <c r="M99" s="55">
        <v>94601</v>
      </c>
      <c r="N99" s="55">
        <v>93039</v>
      </c>
      <c r="O99" s="55">
        <v>92527</v>
      </c>
      <c r="P99" s="55">
        <v>90344</v>
      </c>
      <c r="Q99" s="55">
        <v>88220</v>
      </c>
      <c r="R99" s="55">
        <v>93365</v>
      </c>
      <c r="S99" s="55">
        <v>88752</v>
      </c>
      <c r="T99" s="55">
        <v>99099</v>
      </c>
      <c r="U99" s="55">
        <v>97464</v>
      </c>
      <c r="V99" s="55">
        <v>98021</v>
      </c>
      <c r="W99" s="55">
        <v>103136</v>
      </c>
      <c r="X99" s="145">
        <v>2.4273527022493638E-2</v>
      </c>
      <c r="Y99" s="100">
        <v>2.5021925313180041E-2</v>
      </c>
      <c r="Z99" s="100">
        <v>1.2295341713320029E-2</v>
      </c>
      <c r="AA99" s="100">
        <v>3.7523217229793238E-2</v>
      </c>
    </row>
    <row r="100" spans="1:27" customFormat="1" x14ac:dyDescent="0.3">
      <c r="A100">
        <v>260203</v>
      </c>
      <c r="B100" s="20">
        <v>8015</v>
      </c>
      <c r="C100" s="10" t="s">
        <v>67</v>
      </c>
      <c r="D100" s="10" t="str">
        <f>VLOOKUP(B100,[1]기업리스트!B:G,2,FALSE)</f>
        <v>Toyota Tsusho Corporation</v>
      </c>
      <c r="E100" s="10" t="s">
        <v>811</v>
      </c>
      <c r="F100" s="38">
        <v>2.9</v>
      </c>
      <c r="G100" s="55">
        <v>1872539</v>
      </c>
      <c r="H100" s="55">
        <v>2032046</v>
      </c>
      <c r="I100" s="55">
        <v>2251287</v>
      </c>
      <c r="J100" s="55">
        <v>2375630</v>
      </c>
      <c r="K100" s="55">
        <v>2532117</v>
      </c>
      <c r="L100" s="55">
        <v>2459654</v>
      </c>
      <c r="M100" s="55">
        <v>2481158</v>
      </c>
      <c r="N100" s="55">
        <v>2540752</v>
      </c>
      <c r="O100" s="55">
        <v>2594483</v>
      </c>
      <c r="P100" s="55">
        <v>2574946</v>
      </c>
      <c r="Q100" s="55">
        <v>2478798</v>
      </c>
      <c r="R100" s="55">
        <v>2541473</v>
      </c>
      <c r="S100" s="55">
        <v>2524447</v>
      </c>
      <c r="T100" s="55">
        <v>2581851</v>
      </c>
      <c r="U100" s="55">
        <v>2661779</v>
      </c>
      <c r="V100" s="55">
        <v>2593820</v>
      </c>
      <c r="W100" s="55">
        <v>2820564</v>
      </c>
      <c r="X100" s="145">
        <v>6.8233490756219872E-4</v>
      </c>
      <c r="Y100" s="100">
        <v>1.806939744349734E-2</v>
      </c>
      <c r="Z100" s="100">
        <v>5.0775252072108312E-3</v>
      </c>
      <c r="AA100" s="100">
        <v>2.8577489237733289E-2</v>
      </c>
    </row>
    <row r="101" spans="1:27" customFormat="1" x14ac:dyDescent="0.3">
      <c r="A101">
        <v>260203</v>
      </c>
      <c r="B101" s="20">
        <v>2331</v>
      </c>
      <c r="C101" s="10" t="s">
        <v>67</v>
      </c>
      <c r="D101" s="10" t="str">
        <f>VLOOKUP(B101,[1]기업리스트!B:G,2,FALSE)</f>
        <v>Alsok Co.,Ltd.</v>
      </c>
      <c r="E101" s="10" t="s">
        <v>811</v>
      </c>
      <c r="F101" s="38">
        <v>2.8</v>
      </c>
      <c r="G101" s="55">
        <v>128278</v>
      </c>
      <c r="H101" s="55">
        <v>118493</v>
      </c>
      <c r="I101" s="55">
        <v>125309</v>
      </c>
      <c r="J101" s="55">
        <v>114008</v>
      </c>
      <c r="K101" s="55">
        <v>122045</v>
      </c>
      <c r="L101" s="55">
        <v>121764</v>
      </c>
      <c r="M101" s="55">
        <v>134409</v>
      </c>
      <c r="N101" s="55">
        <v>121593</v>
      </c>
      <c r="O101" s="55">
        <v>124786</v>
      </c>
      <c r="P101" s="55">
        <v>132611</v>
      </c>
      <c r="Q101" s="55">
        <v>142410</v>
      </c>
      <c r="R101" s="55">
        <v>129011</v>
      </c>
      <c r="S101" s="55">
        <v>134269</v>
      </c>
      <c r="T101" s="55">
        <v>137221</v>
      </c>
      <c r="U101" s="55">
        <v>151380</v>
      </c>
      <c r="V101" s="55">
        <v>141154</v>
      </c>
      <c r="W101" s="55">
        <v>150183</v>
      </c>
      <c r="X101" s="145">
        <v>8.5639818614493546E-3</v>
      </c>
      <c r="Y101" s="100">
        <v>1.65220450497412E-2</v>
      </c>
      <c r="Z101" s="100">
        <v>2.200293179145496E-2</v>
      </c>
      <c r="AA101" s="100">
        <v>2.8215111413698809E-2</v>
      </c>
    </row>
    <row r="102" spans="1:27" customFormat="1" x14ac:dyDescent="0.3">
      <c r="A102">
        <v>260203</v>
      </c>
      <c r="B102" s="20">
        <v>5802</v>
      </c>
      <c r="C102" s="10" t="s">
        <v>67</v>
      </c>
      <c r="D102" s="10" t="str">
        <f>VLOOKUP(B102,[1]기업리스트!B:G,2,FALSE)</f>
        <v>Sumitomo Electric Industries, Ltd.</v>
      </c>
      <c r="E102" s="10" t="s">
        <v>817</v>
      </c>
      <c r="F102" s="38">
        <v>2.5</v>
      </c>
      <c r="G102" s="55">
        <v>868697</v>
      </c>
      <c r="H102" s="55">
        <v>928753</v>
      </c>
      <c r="I102" s="55">
        <v>877121</v>
      </c>
      <c r="J102" s="55">
        <v>1013955</v>
      </c>
      <c r="K102" s="55">
        <v>1020897</v>
      </c>
      <c r="L102" s="55">
        <v>1093588</v>
      </c>
      <c r="M102" s="55">
        <v>994123</v>
      </c>
      <c r="N102" s="55">
        <v>1077980</v>
      </c>
      <c r="O102" s="55">
        <v>1149823</v>
      </c>
      <c r="P102" s="55">
        <v>1180888</v>
      </c>
      <c r="Q102" s="55">
        <v>1115547</v>
      </c>
      <c r="R102" s="55">
        <v>1132231</v>
      </c>
      <c r="S102" s="55">
        <v>1193461</v>
      </c>
      <c r="T102" s="55">
        <v>1238550</v>
      </c>
      <c r="U102" s="55">
        <v>1148436</v>
      </c>
      <c r="V102" s="55">
        <v>1225025</v>
      </c>
      <c r="W102" s="55">
        <v>1313436</v>
      </c>
      <c r="X102" s="145">
        <v>1.2475208924376259E-2</v>
      </c>
      <c r="Y102" s="100">
        <v>7.0278809578807611E-3</v>
      </c>
      <c r="Z102" s="100">
        <v>1.9690290743394678E-2</v>
      </c>
      <c r="AA102" s="100">
        <v>2.4966330050409269E-2</v>
      </c>
    </row>
    <row r="103" spans="1:27" customFormat="1" x14ac:dyDescent="0.3">
      <c r="A103">
        <v>260203</v>
      </c>
      <c r="B103" s="20">
        <v>6806</v>
      </c>
      <c r="C103" s="10" t="s">
        <v>67</v>
      </c>
      <c r="D103" s="10" t="str">
        <f>VLOOKUP(B103,[1]기업리스트!B:G,2,FALSE)</f>
        <v>Hirose Electric Co.,Ltd.</v>
      </c>
      <c r="E103" s="10" t="s">
        <v>817</v>
      </c>
      <c r="F103" s="38">
        <v>2.2999999999999998</v>
      </c>
      <c r="G103" s="55">
        <v>42817</v>
      </c>
      <c r="H103" s="55">
        <v>41667</v>
      </c>
      <c r="I103" s="55">
        <v>46574</v>
      </c>
      <c r="J103" s="55">
        <v>48130</v>
      </c>
      <c r="K103" s="55">
        <v>47461</v>
      </c>
      <c r="L103" s="55">
        <v>41059</v>
      </c>
      <c r="M103" s="55">
        <v>40455</v>
      </c>
      <c r="N103" s="55">
        <v>42455</v>
      </c>
      <c r="O103" s="55">
        <v>42252</v>
      </c>
      <c r="P103" s="55">
        <v>40347</v>
      </c>
      <c r="Q103" s="55">
        <v>44871</v>
      </c>
      <c r="R103" s="55">
        <v>49648</v>
      </c>
      <c r="S103" s="55">
        <v>49903</v>
      </c>
      <c r="T103" s="55">
        <v>44998</v>
      </c>
      <c r="U103" s="55">
        <v>48972</v>
      </c>
      <c r="V103" s="55">
        <v>53053</v>
      </c>
      <c r="W103" s="55">
        <v>54524</v>
      </c>
      <c r="X103" s="145">
        <v>2.517197148872374E-2</v>
      </c>
      <c r="Y103" s="100">
        <v>2.1650300918593549E-2</v>
      </c>
      <c r="Z103" s="100">
        <v>1.759498969104123E-2</v>
      </c>
      <c r="AA103" s="100">
        <v>2.3465667306501011E-2</v>
      </c>
    </row>
    <row r="104" spans="1:27" customFormat="1" x14ac:dyDescent="0.3">
      <c r="A104">
        <v>260203</v>
      </c>
      <c r="B104" s="20">
        <v>6724</v>
      </c>
      <c r="C104" s="10" t="s">
        <v>67</v>
      </c>
      <c r="D104" s="10" t="str">
        <f>VLOOKUP(B104,[1]기업리스트!B:G,2,FALSE)</f>
        <v>Seiko Epson Corporation</v>
      </c>
      <c r="E104" s="10" t="s">
        <v>817</v>
      </c>
      <c r="F104" s="38">
        <v>2</v>
      </c>
      <c r="G104" s="55">
        <v>296145</v>
      </c>
      <c r="H104" s="55">
        <v>282171</v>
      </c>
      <c r="I104" s="55">
        <v>297874</v>
      </c>
      <c r="J104" s="55">
        <v>335253</v>
      </c>
      <c r="K104" s="55">
        <v>361276</v>
      </c>
      <c r="L104" s="55">
        <v>335927</v>
      </c>
      <c r="M104" s="55">
        <v>314840</v>
      </c>
      <c r="N104" s="55">
        <v>323693</v>
      </c>
      <c r="O104" s="55">
        <v>353568</v>
      </c>
      <c r="P104" s="55">
        <v>321897</v>
      </c>
      <c r="Q104" s="55">
        <v>336614</v>
      </c>
      <c r="R104" s="55">
        <v>337584</v>
      </c>
      <c r="S104" s="55">
        <v>349620</v>
      </c>
      <c r="T104" s="55">
        <v>339125</v>
      </c>
      <c r="U104" s="55">
        <v>320879</v>
      </c>
      <c r="V104" s="55">
        <v>346473</v>
      </c>
      <c r="W104" s="55">
        <v>376473</v>
      </c>
      <c r="X104" s="145">
        <v>1.280211634707196E-2</v>
      </c>
      <c r="Y104" s="100">
        <v>-1.1544870181658401E-2</v>
      </c>
      <c r="Z104" s="100">
        <v>6.5980902726230362E-3</v>
      </c>
      <c r="AA104" s="100">
        <v>1.9801680853213321E-2</v>
      </c>
    </row>
    <row r="105" spans="1:27" customFormat="1" x14ac:dyDescent="0.3">
      <c r="A105">
        <v>260203</v>
      </c>
      <c r="B105" s="20">
        <v>9021</v>
      </c>
      <c r="C105" s="10" t="s">
        <v>67</v>
      </c>
      <c r="D105" s="10" t="str">
        <f>VLOOKUP(B105,[1]기업리스트!B:G,2,FALSE)</f>
        <v>West Japan Railway Company</v>
      </c>
      <c r="E105" s="10" t="s">
        <v>817</v>
      </c>
      <c r="F105" s="38">
        <v>1.9</v>
      </c>
      <c r="G105" s="55">
        <v>293156</v>
      </c>
      <c r="H105" s="55">
        <v>301113</v>
      </c>
      <c r="I105" s="55">
        <v>297144</v>
      </c>
      <c r="J105" s="55">
        <v>319561</v>
      </c>
      <c r="K105" s="55">
        <v>358140</v>
      </c>
      <c r="L105" s="55">
        <v>420686</v>
      </c>
      <c r="M105" s="55">
        <v>369270</v>
      </c>
      <c r="N105" s="55">
        <v>400632</v>
      </c>
      <c r="O105" s="55">
        <v>424420</v>
      </c>
      <c r="P105" s="55">
        <v>440701</v>
      </c>
      <c r="Q105" s="55">
        <v>402780</v>
      </c>
      <c r="R105" s="55">
        <v>408606</v>
      </c>
      <c r="S105" s="55">
        <v>434291</v>
      </c>
      <c r="T105" s="55">
        <v>462267</v>
      </c>
      <c r="U105" s="55">
        <v>427059</v>
      </c>
      <c r="V105" s="55">
        <v>444770</v>
      </c>
      <c r="W105" s="55">
        <v>467641</v>
      </c>
      <c r="X105" s="145">
        <v>1.278835468679018E-2</v>
      </c>
      <c r="Y105" s="100">
        <v>1.421533727101121E-2</v>
      </c>
      <c r="Z105" s="100">
        <v>2.087721961895217E-2</v>
      </c>
      <c r="AA105" s="100">
        <v>1.8858994100273248E-2</v>
      </c>
    </row>
    <row r="106" spans="1:27" customFormat="1" x14ac:dyDescent="0.3">
      <c r="A106">
        <v>260203</v>
      </c>
      <c r="B106" s="20">
        <v>6841</v>
      </c>
      <c r="C106" s="10" t="s">
        <v>67</v>
      </c>
      <c r="D106" s="10" t="str">
        <f>VLOOKUP(B106,[1]기업리스트!B:G,2,FALSE)</f>
        <v>Yokogawa Electric Corporation</v>
      </c>
      <c r="E106" s="10" t="s">
        <v>817</v>
      </c>
      <c r="F106" s="38">
        <v>1.7</v>
      </c>
      <c r="G106" s="55">
        <v>96383</v>
      </c>
      <c r="H106" s="55">
        <v>109099</v>
      </c>
      <c r="I106" s="55">
        <v>93999</v>
      </c>
      <c r="J106" s="55">
        <v>111919</v>
      </c>
      <c r="K106" s="55">
        <v>111565</v>
      </c>
      <c r="L106" s="55">
        <v>138996</v>
      </c>
      <c r="M106" s="55">
        <v>118646</v>
      </c>
      <c r="N106" s="55">
        <v>135852</v>
      </c>
      <c r="O106" s="55">
        <v>138591</v>
      </c>
      <c r="P106" s="55">
        <v>147063</v>
      </c>
      <c r="Q106" s="55">
        <v>128924</v>
      </c>
      <c r="R106" s="55">
        <v>137656</v>
      </c>
      <c r="S106" s="55">
        <v>142307</v>
      </c>
      <c r="T106" s="55">
        <v>153517</v>
      </c>
      <c r="U106" s="55">
        <v>130211</v>
      </c>
      <c r="V106" s="55">
        <v>151785</v>
      </c>
      <c r="W106" s="55">
        <v>152319</v>
      </c>
      <c r="X106" s="145">
        <v>1.160895764007552E-2</v>
      </c>
      <c r="Y106" s="100">
        <v>2.2883905519874852E-3</v>
      </c>
      <c r="Z106" s="100">
        <v>2.5065150942626291E-2</v>
      </c>
      <c r="AA106" s="100">
        <v>1.7327195320341989E-2</v>
      </c>
    </row>
    <row r="107" spans="1:27" customFormat="1" x14ac:dyDescent="0.3">
      <c r="A107">
        <v>260203</v>
      </c>
      <c r="B107" s="20">
        <v>5384</v>
      </c>
      <c r="C107" s="10" t="s">
        <v>67</v>
      </c>
      <c r="D107" s="10" t="str">
        <f>VLOOKUP(B107,[1]기업리스트!B:G,2,FALSE)</f>
        <v>Fujimi Incorporated</v>
      </c>
      <c r="E107" s="10" t="s">
        <v>811</v>
      </c>
      <c r="F107" s="38">
        <v>1.7</v>
      </c>
      <c r="G107" s="55">
        <v>12904</v>
      </c>
      <c r="H107" s="55">
        <v>13363</v>
      </c>
      <c r="I107" s="55">
        <v>13077</v>
      </c>
      <c r="J107" s="55">
        <v>15136</v>
      </c>
      <c r="K107" s="55">
        <v>15961</v>
      </c>
      <c r="L107" s="55">
        <v>14119</v>
      </c>
      <c r="M107" s="55">
        <v>13178</v>
      </c>
      <c r="N107" s="55">
        <v>13225</v>
      </c>
      <c r="O107" s="55">
        <v>12127</v>
      </c>
      <c r="P107" s="55">
        <v>12426</v>
      </c>
      <c r="Q107" s="55">
        <v>13645</v>
      </c>
      <c r="R107" s="55">
        <v>14738</v>
      </c>
      <c r="S107" s="55">
        <v>16008</v>
      </c>
      <c r="T107" s="55">
        <v>16046</v>
      </c>
      <c r="U107" s="55">
        <v>15711</v>
      </c>
      <c r="V107" s="55">
        <v>16394</v>
      </c>
      <c r="W107" s="55">
        <v>17102</v>
      </c>
      <c r="X107" s="145">
        <v>6.3713325237164886E-2</v>
      </c>
      <c r="Y107" s="100">
        <v>3.4184357264589682E-2</v>
      </c>
      <c r="Z107" s="100">
        <v>2.649472825304389E-2</v>
      </c>
      <c r="AA107" s="100">
        <v>1.7051387958041841E-2</v>
      </c>
    </row>
    <row r="108" spans="1:27" customFormat="1" x14ac:dyDescent="0.3">
      <c r="A108">
        <v>260203</v>
      </c>
      <c r="B108" s="20">
        <v>3116</v>
      </c>
      <c r="C108" s="10" t="s">
        <v>67</v>
      </c>
      <c r="D108" s="10" t="str">
        <f>VLOOKUP(B108,[1]기업리스트!B:G,2,FALSE)</f>
        <v>Toyota Boshoku Corporation</v>
      </c>
      <c r="E108" s="10" t="s">
        <v>811</v>
      </c>
      <c r="F108" s="38">
        <v>1.7</v>
      </c>
      <c r="G108" s="55">
        <v>297813</v>
      </c>
      <c r="H108" s="55">
        <v>382865</v>
      </c>
      <c r="I108" s="55">
        <v>386505</v>
      </c>
      <c r="J108" s="55">
        <v>350346</v>
      </c>
      <c r="K108" s="55">
        <v>411456</v>
      </c>
      <c r="L108" s="55">
        <v>407366</v>
      </c>
      <c r="M108" s="55">
        <v>434866</v>
      </c>
      <c r="N108" s="55">
        <v>475499</v>
      </c>
      <c r="O108" s="55">
        <v>488559</v>
      </c>
      <c r="P108" s="55">
        <v>507120</v>
      </c>
      <c r="Q108" s="55">
        <v>482446</v>
      </c>
      <c r="R108" s="55">
        <v>488000</v>
      </c>
      <c r="S108" s="55">
        <v>460165</v>
      </c>
      <c r="T108" s="55">
        <v>498534</v>
      </c>
      <c r="U108" s="55">
        <v>507519</v>
      </c>
      <c r="V108" s="55">
        <v>479693</v>
      </c>
      <c r="W108" s="55">
        <v>492586</v>
      </c>
      <c r="X108" s="145">
        <v>-4.43095558671458E-3</v>
      </c>
      <c r="Y108" s="100">
        <v>1.299694942578178E-2</v>
      </c>
      <c r="Z108" s="100">
        <v>-4.2508051814076353E-3</v>
      </c>
      <c r="AA108" s="100">
        <v>1.666109087209033E-2</v>
      </c>
    </row>
    <row r="109" spans="1:27" customFormat="1" x14ac:dyDescent="0.3">
      <c r="A109">
        <v>260203</v>
      </c>
      <c r="B109" s="20">
        <v>4617</v>
      </c>
      <c r="C109" s="10" t="s">
        <v>67</v>
      </c>
      <c r="D109" s="10" t="str">
        <f>VLOOKUP(B109,[1]기업리스트!B:G,2,FALSE)</f>
        <v>Chugoku Marine Paints, Ltd.</v>
      </c>
      <c r="E109" s="10" t="s">
        <v>811</v>
      </c>
      <c r="F109" s="38">
        <v>1.5</v>
      </c>
      <c r="G109" s="55">
        <v>21463</v>
      </c>
      <c r="H109" s="55">
        <v>21174</v>
      </c>
      <c r="I109" s="55">
        <v>22152</v>
      </c>
      <c r="J109" s="55">
        <v>21245</v>
      </c>
      <c r="K109" s="55">
        <v>23223</v>
      </c>
      <c r="L109" s="55">
        <v>26513</v>
      </c>
      <c r="M109" s="55">
        <v>28500</v>
      </c>
      <c r="N109" s="55">
        <v>26489</v>
      </c>
      <c r="O109" s="55">
        <v>28889</v>
      </c>
      <c r="P109" s="55">
        <v>30762</v>
      </c>
      <c r="Q109" s="55">
        <v>30034</v>
      </c>
      <c r="R109" s="55">
        <v>29080</v>
      </c>
      <c r="S109" s="55">
        <v>33855</v>
      </c>
      <c r="T109" s="55">
        <v>33120</v>
      </c>
      <c r="U109" s="55">
        <v>35097</v>
      </c>
      <c r="V109" s="55">
        <v>32589</v>
      </c>
      <c r="W109" s="55">
        <v>35918</v>
      </c>
      <c r="X109" s="145">
        <v>1.9057471450162119E-2</v>
      </c>
      <c r="Y109" s="100">
        <v>4.0154176811617148E-2</v>
      </c>
      <c r="Z109" s="100">
        <v>2.6755215322679101E-2</v>
      </c>
      <c r="AA109" s="100">
        <v>1.5319951582120961E-2</v>
      </c>
    </row>
    <row r="110" spans="1:27" customFormat="1" x14ac:dyDescent="0.3">
      <c r="A110">
        <v>260203</v>
      </c>
      <c r="B110" s="20">
        <v>6622</v>
      </c>
      <c r="C110" s="10" t="s">
        <v>67</v>
      </c>
      <c r="D110" s="10" t="str">
        <f>VLOOKUP(B110,[1]기업리스트!B:G,2,FALSE)</f>
        <v>DAIHEN Corporation</v>
      </c>
      <c r="E110" s="10" t="s">
        <v>811</v>
      </c>
      <c r="F110" s="38">
        <v>1.5</v>
      </c>
      <c r="G110" s="55">
        <v>37365</v>
      </c>
      <c r="H110" s="55">
        <v>39039</v>
      </c>
      <c r="I110" s="55">
        <v>49687</v>
      </c>
      <c r="J110" s="55">
        <v>36666</v>
      </c>
      <c r="K110" s="55">
        <v>46520</v>
      </c>
      <c r="L110" s="55">
        <v>44060</v>
      </c>
      <c r="M110" s="55">
        <v>58042</v>
      </c>
      <c r="N110" s="55">
        <v>35290</v>
      </c>
      <c r="O110" s="55">
        <v>43645</v>
      </c>
      <c r="P110" s="55">
        <v>48300</v>
      </c>
      <c r="Q110" s="55">
        <v>61336</v>
      </c>
      <c r="R110" s="55">
        <v>43306</v>
      </c>
      <c r="S110" s="55">
        <v>52782</v>
      </c>
      <c r="T110" s="55">
        <v>59737</v>
      </c>
      <c r="U110" s="55">
        <v>70550</v>
      </c>
      <c r="V110" s="55">
        <v>49063</v>
      </c>
      <c r="W110" s="55">
        <v>56190</v>
      </c>
      <c r="X110" s="145">
        <v>5.5593902510159277E-2</v>
      </c>
      <c r="Y110" s="100">
        <v>4.2429349653022357E-2</v>
      </c>
      <c r="Z110" s="100">
        <v>2.543125345113206E-2</v>
      </c>
      <c r="AA110" s="100">
        <v>1.4681302017817369E-2</v>
      </c>
    </row>
    <row r="111" spans="1:27" customFormat="1" x14ac:dyDescent="0.3">
      <c r="A111">
        <v>260203</v>
      </c>
      <c r="B111" s="20">
        <v>9010</v>
      </c>
      <c r="C111" s="10" t="s">
        <v>67</v>
      </c>
      <c r="D111" s="10" t="str">
        <f>VLOOKUP(B111,[1]기업리스트!B:G,2,FALSE)</f>
        <v>Fuji Kyuko Co., Ltd.</v>
      </c>
      <c r="E111" s="10" t="s">
        <v>811</v>
      </c>
      <c r="F111" s="38">
        <v>1.3</v>
      </c>
      <c r="G111" s="55">
        <v>9518</v>
      </c>
      <c r="H111" s="55">
        <v>9864</v>
      </c>
      <c r="I111" s="55">
        <v>8271</v>
      </c>
      <c r="J111" s="55">
        <v>9098</v>
      </c>
      <c r="K111" s="55">
        <v>11512</v>
      </c>
      <c r="L111" s="55">
        <v>11265</v>
      </c>
      <c r="M111" s="55">
        <v>11049</v>
      </c>
      <c r="N111" s="55">
        <v>11278</v>
      </c>
      <c r="O111" s="55">
        <v>14639</v>
      </c>
      <c r="P111" s="55">
        <v>13110</v>
      </c>
      <c r="Q111" s="55">
        <v>11674</v>
      </c>
      <c r="R111" s="55">
        <v>12233</v>
      </c>
      <c r="S111" s="55">
        <v>13578</v>
      </c>
      <c r="T111" s="55">
        <v>13622</v>
      </c>
      <c r="U111" s="55">
        <v>12796</v>
      </c>
      <c r="V111" s="55">
        <v>12342</v>
      </c>
      <c r="W111" s="55">
        <v>14262</v>
      </c>
      <c r="X111" s="145">
        <v>1.011957703330379E-2</v>
      </c>
      <c r="Y111" s="100">
        <v>2.1953939773416531E-2</v>
      </c>
      <c r="Z111" s="100">
        <v>2.0869631813742462E-3</v>
      </c>
      <c r="AA111" s="100">
        <v>1.3068898314799959E-2</v>
      </c>
    </row>
    <row r="112" spans="1:27" customFormat="1" x14ac:dyDescent="0.3">
      <c r="A112">
        <v>260203</v>
      </c>
      <c r="B112" s="20">
        <v>6503</v>
      </c>
      <c r="C112" s="10" t="s">
        <v>67</v>
      </c>
      <c r="D112" s="10" t="str">
        <f>VLOOKUP(B112,[1]기업리스트!B:G,2,FALSE)</f>
        <v>Mitsubishi Electric Corporation</v>
      </c>
      <c r="E112" s="10" t="s">
        <v>811</v>
      </c>
      <c r="F112" s="38">
        <v>1.1000000000000001</v>
      </c>
      <c r="G112" s="55">
        <v>1071935</v>
      </c>
      <c r="H112" s="55">
        <v>1042886</v>
      </c>
      <c r="I112" s="55">
        <v>1295495</v>
      </c>
      <c r="J112" s="55">
        <v>1067723</v>
      </c>
      <c r="K112" s="55">
        <v>1271844</v>
      </c>
      <c r="L112" s="55">
        <v>1225670</v>
      </c>
      <c r="M112" s="55">
        <v>1438457</v>
      </c>
      <c r="N112" s="55">
        <v>1220300</v>
      </c>
      <c r="O112" s="55">
        <v>1318171</v>
      </c>
      <c r="P112" s="55">
        <v>1243935</v>
      </c>
      <c r="Q112" s="55">
        <v>1475508</v>
      </c>
      <c r="R112" s="55">
        <v>1286484</v>
      </c>
      <c r="S112" s="55">
        <v>1357113</v>
      </c>
      <c r="T112" s="55">
        <v>1356754</v>
      </c>
      <c r="U112" s="55">
        <v>1521360</v>
      </c>
      <c r="V112" s="55">
        <v>1312896</v>
      </c>
      <c r="W112" s="55">
        <v>1419608</v>
      </c>
      <c r="X112" s="145">
        <v>2.1036389808765099E-2</v>
      </c>
      <c r="Y112" s="100">
        <v>8.3734807634747721E-3</v>
      </c>
      <c r="Z112" s="100">
        <v>4.7832999590162739E-3</v>
      </c>
      <c r="AA112" s="100">
        <v>1.126416988231882E-2</v>
      </c>
    </row>
    <row r="113" spans="1:27" customFormat="1" x14ac:dyDescent="0.3">
      <c r="A113">
        <v>260203</v>
      </c>
      <c r="B113" s="20">
        <v>6486</v>
      </c>
      <c r="C113" s="10" t="s">
        <v>67</v>
      </c>
      <c r="D113" s="10" t="str">
        <f>VLOOKUP(B113,[1]기업리스트!B:G,2,FALSE)</f>
        <v>Eagle Industry Co.,Ltd.</v>
      </c>
      <c r="E113" s="10" t="s">
        <v>811</v>
      </c>
      <c r="F113" s="38">
        <v>1.1000000000000001</v>
      </c>
      <c r="G113" s="55">
        <v>32663</v>
      </c>
      <c r="H113" s="55">
        <v>34176</v>
      </c>
      <c r="I113" s="55">
        <v>38033</v>
      </c>
      <c r="J113" s="55">
        <v>36614</v>
      </c>
      <c r="K113" s="55">
        <v>39662</v>
      </c>
      <c r="L113" s="55">
        <v>40628</v>
      </c>
      <c r="M113" s="55">
        <v>40476</v>
      </c>
      <c r="N113" s="55">
        <v>40008</v>
      </c>
      <c r="O113" s="55">
        <v>42109</v>
      </c>
      <c r="P113" s="55">
        <v>42975</v>
      </c>
      <c r="Q113" s="55">
        <v>41950</v>
      </c>
      <c r="R113" s="55">
        <v>41819</v>
      </c>
      <c r="S113" s="55">
        <v>41132</v>
      </c>
      <c r="T113" s="55">
        <v>42415</v>
      </c>
      <c r="U113" s="55">
        <v>42806</v>
      </c>
      <c r="V113" s="55">
        <v>42489</v>
      </c>
      <c r="W113" s="55">
        <v>43021</v>
      </c>
      <c r="X113" s="145">
        <v>-3.3357954680836022E-3</v>
      </c>
      <c r="Y113" s="100">
        <v>5.1160677998518533E-3</v>
      </c>
      <c r="Z113" s="100">
        <v>3.9840163641986504E-3</v>
      </c>
      <c r="AA113" s="100">
        <v>1.1187974556093881E-2</v>
      </c>
    </row>
    <row r="114" spans="1:27" customFormat="1" x14ac:dyDescent="0.3">
      <c r="A114">
        <v>260203</v>
      </c>
      <c r="B114" s="20">
        <v>4966</v>
      </c>
      <c r="C114" s="10" t="s">
        <v>67</v>
      </c>
      <c r="D114" s="10" t="str">
        <f>VLOOKUP(B114,[1]기업리스트!B:G,2,FALSE)</f>
        <v>Parade Technologies, Ltd.</v>
      </c>
      <c r="E114" s="10" t="s">
        <v>811</v>
      </c>
      <c r="F114" s="38">
        <v>1</v>
      </c>
      <c r="G114" s="55">
        <v>17267</v>
      </c>
      <c r="H114" s="55">
        <v>18614</v>
      </c>
      <c r="I114" s="55">
        <v>20662</v>
      </c>
      <c r="J114" s="55">
        <v>20187</v>
      </c>
      <c r="K114" s="55">
        <v>21918</v>
      </c>
      <c r="L114" s="55">
        <v>22833</v>
      </c>
      <c r="M114" s="55">
        <v>20811</v>
      </c>
      <c r="N114" s="55">
        <v>17514</v>
      </c>
      <c r="O114" s="55">
        <v>19706</v>
      </c>
      <c r="P114" s="55">
        <v>20657</v>
      </c>
      <c r="Q114" s="55">
        <v>22379</v>
      </c>
      <c r="R114" s="55">
        <v>19980</v>
      </c>
      <c r="S114" s="55">
        <v>20781</v>
      </c>
      <c r="T114" s="55">
        <v>22561</v>
      </c>
      <c r="U114" s="55">
        <v>20523</v>
      </c>
      <c r="V114" s="55">
        <v>20112</v>
      </c>
      <c r="W114" s="55">
        <v>21589</v>
      </c>
      <c r="X114" s="145">
        <v>2.272157714476641E-2</v>
      </c>
      <c r="Y114" s="100">
        <v>-2.1656690120302021E-2</v>
      </c>
      <c r="Z114" s="100">
        <v>1.574333591746635E-3</v>
      </c>
      <c r="AA114" s="100">
        <v>9.6216821272492314E-3</v>
      </c>
    </row>
    <row r="115" spans="1:27" customFormat="1" x14ac:dyDescent="0.3">
      <c r="A115">
        <v>260203</v>
      </c>
      <c r="B115" s="20">
        <v>6413</v>
      </c>
      <c r="C115" s="10" t="s">
        <v>67</v>
      </c>
      <c r="D115" s="10" t="str">
        <f>VLOOKUP(B115,[1]기업리스트!B:G,2,FALSE)</f>
        <v>Riso Kagaku Corporation</v>
      </c>
      <c r="E115" s="10" t="s">
        <v>811</v>
      </c>
      <c r="F115" s="38">
        <v>0.8</v>
      </c>
      <c r="G115" s="55">
        <v>15647</v>
      </c>
      <c r="H115" s="55">
        <v>16618</v>
      </c>
      <c r="I115" s="55">
        <v>20393</v>
      </c>
      <c r="J115" s="55">
        <v>17258</v>
      </c>
      <c r="K115" s="55">
        <v>17789</v>
      </c>
      <c r="L115" s="55">
        <v>17895</v>
      </c>
      <c r="M115" s="55">
        <v>21713</v>
      </c>
      <c r="N115" s="55">
        <v>16787</v>
      </c>
      <c r="O115" s="55">
        <v>18050</v>
      </c>
      <c r="P115" s="55">
        <v>18118</v>
      </c>
      <c r="Q115" s="55">
        <v>21647</v>
      </c>
      <c r="R115" s="55">
        <v>19444</v>
      </c>
      <c r="S115" s="55">
        <v>18723</v>
      </c>
      <c r="T115" s="55">
        <v>18920</v>
      </c>
      <c r="U115" s="55">
        <v>21636</v>
      </c>
      <c r="V115" s="55">
        <v>18282</v>
      </c>
      <c r="W115" s="55">
        <v>19338</v>
      </c>
      <c r="X115" s="145">
        <v>1.02910229430786E-2</v>
      </c>
      <c r="Y115" s="100">
        <v>-1.397109253943318E-4</v>
      </c>
      <c r="Z115" s="100">
        <v>-1.476061633830017E-2</v>
      </c>
      <c r="AA115" s="100">
        <v>7.9292427895463202E-3</v>
      </c>
    </row>
    <row r="116" spans="1:27" customFormat="1" x14ac:dyDescent="0.3">
      <c r="A116">
        <v>260203</v>
      </c>
      <c r="B116" s="20">
        <v>5482</v>
      </c>
      <c r="C116" s="10" t="s">
        <v>67</v>
      </c>
      <c r="D116" s="10" t="str">
        <f>VLOOKUP(B116,[1]기업리스트!B:G,2,FALSE)</f>
        <v>Aichi Steel Corporation</v>
      </c>
      <c r="E116" s="10" t="s">
        <v>811</v>
      </c>
      <c r="F116" s="38">
        <v>0.6</v>
      </c>
      <c r="G116" s="55">
        <v>61439</v>
      </c>
      <c r="H116" s="55">
        <v>67560</v>
      </c>
      <c r="I116" s="55">
        <v>69552</v>
      </c>
      <c r="J116" s="55">
        <v>66857</v>
      </c>
      <c r="K116" s="55">
        <v>72952</v>
      </c>
      <c r="L116" s="55">
        <v>69876</v>
      </c>
      <c r="M116" s="55">
        <v>75455</v>
      </c>
      <c r="N116" s="55">
        <v>73813</v>
      </c>
      <c r="O116" s="55">
        <v>75500</v>
      </c>
      <c r="P116" s="55">
        <v>77654</v>
      </c>
      <c r="Q116" s="55">
        <v>69548</v>
      </c>
      <c r="R116" s="55">
        <v>71933</v>
      </c>
      <c r="S116" s="55">
        <v>73030</v>
      </c>
      <c r="T116" s="55">
        <v>76909</v>
      </c>
      <c r="U116" s="55">
        <v>77415</v>
      </c>
      <c r="V116" s="55">
        <v>75086</v>
      </c>
      <c r="W116" s="55">
        <v>74722</v>
      </c>
      <c r="X116" s="145">
        <v>-2.549928978488158E-3</v>
      </c>
      <c r="Y116" s="100">
        <v>2.699540182554383E-2</v>
      </c>
      <c r="Z116" s="100">
        <v>1.053503827429858E-2</v>
      </c>
      <c r="AA116" s="100">
        <v>5.5944980822641988E-3</v>
      </c>
    </row>
    <row r="117" spans="1:27" customFormat="1" x14ac:dyDescent="0.3">
      <c r="A117">
        <v>260203</v>
      </c>
      <c r="B117" s="20">
        <v>8367</v>
      </c>
      <c r="C117" s="10" t="s">
        <v>67</v>
      </c>
      <c r="D117" s="10" t="str">
        <f>VLOOKUP(B117,[1]기업리스트!B:G,2,FALSE)</f>
        <v>The Nanto Bank, Ltd.</v>
      </c>
      <c r="E117" s="10" t="s">
        <v>811</v>
      </c>
      <c r="F117" s="38">
        <v>0.5</v>
      </c>
      <c r="G117" s="55">
        <v>17143</v>
      </c>
      <c r="H117" s="55">
        <v>18872</v>
      </c>
      <c r="I117" s="55">
        <v>15476</v>
      </c>
      <c r="J117" s="55">
        <v>19673</v>
      </c>
      <c r="K117" s="55">
        <v>18704</v>
      </c>
      <c r="L117" s="55">
        <v>18888</v>
      </c>
      <c r="M117" s="55">
        <v>4006</v>
      </c>
      <c r="N117" s="55">
        <v>18458</v>
      </c>
      <c r="O117" s="55">
        <v>18590</v>
      </c>
      <c r="P117" s="55">
        <v>19804</v>
      </c>
      <c r="Q117" s="111">
        <v>19034</v>
      </c>
      <c r="R117" s="55">
        <v>22420</v>
      </c>
      <c r="S117" s="55">
        <v>21537</v>
      </c>
      <c r="T117" s="55">
        <v>23654</v>
      </c>
      <c r="U117" s="55">
        <v>17683</v>
      </c>
      <c r="V117" s="55">
        <v>23902</v>
      </c>
      <c r="W117" s="55">
        <v>21930</v>
      </c>
      <c r="X117" s="145">
        <v>4.6500392535781199E-2</v>
      </c>
      <c r="Y117" s="100">
        <v>-1.5592359628368579E-2</v>
      </c>
      <c r="Z117" s="100">
        <v>1.7375196379581181E-2</v>
      </c>
      <c r="AA117" s="100">
        <v>4.5289020005532246E-3</v>
      </c>
    </row>
    <row r="118" spans="1:27" customFormat="1" x14ac:dyDescent="0.3">
      <c r="A118">
        <v>260203</v>
      </c>
      <c r="B118" s="20">
        <v>8174</v>
      </c>
      <c r="C118" s="10" t="s">
        <v>67</v>
      </c>
      <c r="D118" s="10" t="str">
        <f>VLOOKUP(B118,[1]기업리스트!B:G,2,FALSE)</f>
        <v>Nippon Gas Co., Ltd.</v>
      </c>
      <c r="E118" s="10" t="s">
        <v>811</v>
      </c>
      <c r="F118" s="38">
        <v>0.4</v>
      </c>
      <c r="G118" s="55">
        <v>30713</v>
      </c>
      <c r="H118" s="55">
        <v>41724</v>
      </c>
      <c r="I118" s="55">
        <v>55418</v>
      </c>
      <c r="J118" s="55">
        <v>44789</v>
      </c>
      <c r="K118" s="55">
        <v>40326</v>
      </c>
      <c r="L118" s="55">
        <v>55307</v>
      </c>
      <c r="M118" s="55">
        <v>67468</v>
      </c>
      <c r="N118" s="55">
        <v>47131</v>
      </c>
      <c r="O118" s="55">
        <v>39690</v>
      </c>
      <c r="P118" s="55">
        <v>47852</v>
      </c>
      <c r="Q118" s="55">
        <v>59691</v>
      </c>
      <c r="R118" s="55">
        <v>44601</v>
      </c>
      <c r="S118" s="55">
        <v>41448</v>
      </c>
      <c r="T118" s="55">
        <v>51870</v>
      </c>
      <c r="U118" s="55">
        <v>62138</v>
      </c>
      <c r="V118" s="55">
        <v>45859</v>
      </c>
      <c r="W118" s="55">
        <v>42336</v>
      </c>
      <c r="X118" s="145">
        <v>2.0754989875614749E-2</v>
      </c>
      <c r="Y118" s="100">
        <v>1.2382976570011641E-2</v>
      </c>
      <c r="Z118" s="100">
        <v>6.2882078607597869E-3</v>
      </c>
      <c r="AA118" s="100">
        <v>4.4109976901869352E-3</v>
      </c>
    </row>
    <row r="119" spans="1:27" customFormat="1" x14ac:dyDescent="0.3">
      <c r="A119">
        <v>260203</v>
      </c>
      <c r="B119" s="20">
        <v>6473</v>
      </c>
      <c r="C119" s="10" t="s">
        <v>67</v>
      </c>
      <c r="D119" s="10" t="str">
        <f>VLOOKUP(B119,[1]기업리스트!B:G,2,FALSE)</f>
        <v>JTEKT Corporation</v>
      </c>
      <c r="E119" s="10" t="s">
        <v>817</v>
      </c>
      <c r="F119" s="38">
        <v>0.3</v>
      </c>
      <c r="G119" s="55">
        <v>357840</v>
      </c>
      <c r="H119" s="55">
        <v>406445</v>
      </c>
      <c r="I119" s="55">
        <v>371686</v>
      </c>
      <c r="J119" s="55">
        <v>432890</v>
      </c>
      <c r="K119" s="55">
        <v>420332</v>
      </c>
      <c r="L119" s="55">
        <v>453237</v>
      </c>
      <c r="M119" s="55">
        <v>445681</v>
      </c>
      <c r="N119" s="55">
        <v>476550</v>
      </c>
      <c r="O119" s="55">
        <v>489595</v>
      </c>
      <c r="P119" s="55">
        <v>479677</v>
      </c>
      <c r="Q119" s="55">
        <v>464057</v>
      </c>
      <c r="R119" s="55">
        <v>454422</v>
      </c>
      <c r="S119" s="55">
        <v>466587</v>
      </c>
      <c r="T119" s="55">
        <v>499331</v>
      </c>
      <c r="U119" s="55">
        <v>454794</v>
      </c>
      <c r="V119" s="55">
        <v>475381</v>
      </c>
      <c r="W119" s="55">
        <v>473149</v>
      </c>
      <c r="X119" s="145">
        <v>1.053979020165241E-2</v>
      </c>
      <c r="Y119" s="100">
        <v>-4.915630835752749E-3</v>
      </c>
      <c r="Z119" s="100">
        <v>1.1177334526492499E-2</v>
      </c>
      <c r="AA119" s="100">
        <v>3.46080070966992E-3</v>
      </c>
    </row>
    <row r="120" spans="1:27" customFormat="1" x14ac:dyDescent="0.3">
      <c r="A120">
        <v>260203</v>
      </c>
      <c r="B120" s="20">
        <v>2871</v>
      </c>
      <c r="C120" s="10" t="s">
        <v>67</v>
      </c>
      <c r="D120" s="10" t="str">
        <f>VLOOKUP(B120,[1]기업리스트!B:G,2,FALSE)</f>
        <v>Nichirei Corporation</v>
      </c>
      <c r="E120" s="10" t="s">
        <v>817</v>
      </c>
      <c r="F120" s="38">
        <v>0.3</v>
      </c>
      <c r="G120" s="55">
        <v>159196</v>
      </c>
      <c r="H120" s="55">
        <v>148922</v>
      </c>
      <c r="I120" s="55">
        <v>156057</v>
      </c>
      <c r="J120" s="55">
        <v>165779</v>
      </c>
      <c r="K120" s="55">
        <v>179271</v>
      </c>
      <c r="L120" s="55">
        <v>161097</v>
      </c>
      <c r="M120" s="55">
        <v>163965</v>
      </c>
      <c r="N120" s="55">
        <v>168246</v>
      </c>
      <c r="O120" s="55">
        <v>182198</v>
      </c>
      <c r="P120" s="55">
        <v>165682</v>
      </c>
      <c r="Q120" s="55">
        <v>171157</v>
      </c>
      <c r="R120" s="55">
        <v>176051</v>
      </c>
      <c r="S120" s="55">
        <v>187633</v>
      </c>
      <c r="T120" s="55">
        <v>167239</v>
      </c>
      <c r="U120" s="55">
        <v>170765</v>
      </c>
      <c r="V120" s="55">
        <v>176943</v>
      </c>
      <c r="W120" s="55">
        <v>189958</v>
      </c>
      <c r="X120" s="145">
        <v>2.222625095821273E-3</v>
      </c>
      <c r="Y120" s="100">
        <v>-5.5834092980855399E-4</v>
      </c>
      <c r="Z120" s="100">
        <v>1.2712202574363121E-3</v>
      </c>
      <c r="AA120" s="100">
        <v>3.3092316889180569E-3</v>
      </c>
    </row>
    <row r="121" spans="1:27" customFormat="1" x14ac:dyDescent="0.3">
      <c r="A121">
        <v>260203</v>
      </c>
      <c r="B121" s="20">
        <v>6632</v>
      </c>
      <c r="C121" s="10" t="s">
        <v>67</v>
      </c>
      <c r="D121" s="10" t="str">
        <f>VLOOKUP(B121,[1]기업리스트!B:G,2,FALSE)</f>
        <v>JVCKENWOOD Corporation</v>
      </c>
      <c r="E121" s="10" t="s">
        <v>811</v>
      </c>
      <c r="F121" s="38">
        <v>0.1</v>
      </c>
      <c r="G121" s="55">
        <v>59923</v>
      </c>
      <c r="H121" s="55">
        <v>70193</v>
      </c>
      <c r="I121" s="55">
        <v>87462</v>
      </c>
      <c r="J121" s="55">
        <v>72000</v>
      </c>
      <c r="K121" s="55">
        <v>86108</v>
      </c>
      <c r="L121" s="55">
        <v>89389</v>
      </c>
      <c r="M121" s="55">
        <v>89413</v>
      </c>
      <c r="N121" s="55">
        <v>85598</v>
      </c>
      <c r="O121" s="55">
        <v>89105</v>
      </c>
      <c r="P121" s="55">
        <v>92553</v>
      </c>
      <c r="Q121" s="55">
        <v>92201</v>
      </c>
      <c r="R121" s="55">
        <v>87769</v>
      </c>
      <c r="S121" s="55">
        <v>88805</v>
      </c>
      <c r="T121" s="55">
        <v>93900</v>
      </c>
      <c r="U121" s="55">
        <v>99834</v>
      </c>
      <c r="V121" s="55">
        <v>80197</v>
      </c>
      <c r="W121" s="55">
        <v>89124</v>
      </c>
      <c r="X121" s="145">
        <v>3.727914803170584E-3</v>
      </c>
      <c r="Y121" s="100">
        <v>2.10463913972565E-2</v>
      </c>
      <c r="Z121" s="100">
        <v>-2.0447843416831368E-2</v>
      </c>
      <c r="AA121" s="100">
        <v>8.7942746239688674E-4</v>
      </c>
    </row>
    <row r="122" spans="1:27" customFormat="1" x14ac:dyDescent="0.3">
      <c r="A122">
        <v>260203</v>
      </c>
      <c r="B122" s="20">
        <v>6472</v>
      </c>
      <c r="C122" s="10" t="s">
        <v>67</v>
      </c>
      <c r="D122" s="10" t="str">
        <f>VLOOKUP(B122,[1]기업리스트!B:G,2,FALSE)</f>
        <v>NTN Corporation</v>
      </c>
      <c r="E122" s="10" t="s">
        <v>817</v>
      </c>
      <c r="F122" s="38">
        <v>-0.1</v>
      </c>
      <c r="G122" s="55">
        <v>162330</v>
      </c>
      <c r="H122" s="55">
        <v>173897</v>
      </c>
      <c r="I122" s="55">
        <v>172614</v>
      </c>
      <c r="J122" s="55">
        <v>199088</v>
      </c>
      <c r="K122" s="55">
        <v>197720</v>
      </c>
      <c r="L122" s="55">
        <v>204538</v>
      </c>
      <c r="M122" s="55">
        <v>200768</v>
      </c>
      <c r="N122" s="55">
        <v>208879</v>
      </c>
      <c r="O122" s="55">
        <v>210898</v>
      </c>
      <c r="P122" s="55">
        <v>215740</v>
      </c>
      <c r="Q122" s="55">
        <v>210809</v>
      </c>
      <c r="R122" s="55">
        <v>203138</v>
      </c>
      <c r="S122" s="55">
        <v>201571</v>
      </c>
      <c r="T122" s="55">
        <v>210069</v>
      </c>
      <c r="U122" s="55">
        <v>199039</v>
      </c>
      <c r="V122" s="55">
        <v>203217</v>
      </c>
      <c r="W122" s="55">
        <v>201083</v>
      </c>
      <c r="X122" s="145">
        <v>-6.8221899819309586E-3</v>
      </c>
      <c r="Y122" s="100">
        <v>-1.4256522934590791E-2</v>
      </c>
      <c r="Z122" s="100">
        <v>9.707342068310254E-5</v>
      </c>
      <c r="AA122" s="100">
        <v>-5.995852049893724E-4</v>
      </c>
    </row>
    <row r="123" spans="1:27" customFormat="1" x14ac:dyDescent="0.3">
      <c r="A123">
        <v>260203</v>
      </c>
      <c r="B123" s="20">
        <v>7224</v>
      </c>
      <c r="C123" s="10" t="s">
        <v>67</v>
      </c>
      <c r="D123" s="10" t="str">
        <f>VLOOKUP(B123,[1]기업리스트!B:G,2,FALSE)</f>
        <v>ShinMaywa Industries, Ltd.</v>
      </c>
      <c r="E123" s="10" t="s">
        <v>811</v>
      </c>
      <c r="F123" s="38">
        <v>-0.5</v>
      </c>
      <c r="G123" s="55">
        <v>53777</v>
      </c>
      <c r="H123" s="55">
        <v>54314</v>
      </c>
      <c r="I123" s="55">
        <v>62245</v>
      </c>
      <c r="J123" s="55">
        <v>47262</v>
      </c>
      <c r="K123" s="55">
        <v>56739</v>
      </c>
      <c r="L123" s="55">
        <v>56545</v>
      </c>
      <c r="M123" s="55">
        <v>64629</v>
      </c>
      <c r="N123" s="55">
        <v>52399</v>
      </c>
      <c r="O123" s="55">
        <v>64065</v>
      </c>
      <c r="P123" s="55">
        <v>61163</v>
      </c>
      <c r="Q123" s="55">
        <v>79433</v>
      </c>
      <c r="R123" s="55">
        <v>57423</v>
      </c>
      <c r="S123" s="55">
        <v>66642</v>
      </c>
      <c r="T123" s="55">
        <v>63177</v>
      </c>
      <c r="U123" s="55">
        <v>79199</v>
      </c>
      <c r="V123" s="55">
        <v>57665</v>
      </c>
      <c r="W123" s="55">
        <v>65298</v>
      </c>
      <c r="X123" s="145">
        <v>7.6097347172421337E-3</v>
      </c>
      <c r="Y123" s="100">
        <v>-8.7747257898185271E-4</v>
      </c>
      <c r="Z123" s="100">
        <v>9.0826862232162853E-4</v>
      </c>
      <c r="AA123" s="100">
        <v>-5.0396913189066916E-3</v>
      </c>
    </row>
    <row r="124" spans="1:27" customFormat="1" x14ac:dyDescent="0.3">
      <c r="A124">
        <v>260203</v>
      </c>
      <c r="B124" s="20">
        <v>4206</v>
      </c>
      <c r="C124" s="10" t="s">
        <v>67</v>
      </c>
      <c r="D124" s="10" t="str">
        <f>VLOOKUP(B124,[1]기업리스트!B:G,2,FALSE)</f>
        <v>Aica Kogyo Company, Limited</v>
      </c>
      <c r="E124" s="10" t="s">
        <v>811</v>
      </c>
      <c r="F124" s="38">
        <v>-0.7</v>
      </c>
      <c r="G124" s="55">
        <v>53163</v>
      </c>
      <c r="H124" s="55">
        <v>54121</v>
      </c>
      <c r="I124" s="55">
        <v>61743</v>
      </c>
      <c r="J124" s="55">
        <v>55620</v>
      </c>
      <c r="K124" s="55">
        <v>62084</v>
      </c>
      <c r="L124" s="55">
        <v>63114</v>
      </c>
      <c r="M124" s="55">
        <v>61237</v>
      </c>
      <c r="N124" s="55">
        <v>54497</v>
      </c>
      <c r="O124" s="55">
        <v>58810</v>
      </c>
      <c r="P124" s="55">
        <v>61568</v>
      </c>
      <c r="Q124" s="55">
        <v>61750</v>
      </c>
      <c r="R124" s="55">
        <v>56842</v>
      </c>
      <c r="S124" s="55">
        <v>63298</v>
      </c>
      <c r="T124" s="55">
        <v>64645</v>
      </c>
      <c r="U124" s="55">
        <v>63911</v>
      </c>
      <c r="V124" s="55">
        <v>59765</v>
      </c>
      <c r="W124" s="55">
        <v>61586</v>
      </c>
      <c r="X124" s="145">
        <v>1.263873029434226E-2</v>
      </c>
      <c r="Y124" s="100">
        <v>8.7654896870625887E-3</v>
      </c>
      <c r="Z124" s="100">
        <v>1.1753305240132629E-2</v>
      </c>
      <c r="AA124" s="100">
        <v>-6.8039376994583067E-3</v>
      </c>
    </row>
    <row r="125" spans="1:27" customFormat="1" x14ac:dyDescent="0.3">
      <c r="A125">
        <v>260203</v>
      </c>
      <c r="B125" s="20">
        <v>2810</v>
      </c>
      <c r="C125" s="10" t="s">
        <v>67</v>
      </c>
      <c r="D125" s="10" t="str">
        <f>VLOOKUP(B125,[1]기업리스트!B:G,2,FALSE)</f>
        <v>House Foods Group Inc.</v>
      </c>
      <c r="E125" s="10" t="s">
        <v>811</v>
      </c>
      <c r="F125" s="38">
        <v>-0.7</v>
      </c>
      <c r="G125" s="55">
        <v>62491</v>
      </c>
      <c r="H125" s="55">
        <v>67794</v>
      </c>
      <c r="I125" s="55">
        <v>61465</v>
      </c>
      <c r="J125" s="55">
        <v>66324</v>
      </c>
      <c r="K125" s="55">
        <v>67507</v>
      </c>
      <c r="L125" s="55">
        <v>71988</v>
      </c>
      <c r="M125" s="55">
        <v>69241</v>
      </c>
      <c r="N125" s="55">
        <v>70453</v>
      </c>
      <c r="O125" s="55">
        <v>72371</v>
      </c>
      <c r="P125" s="55">
        <v>82873</v>
      </c>
      <c r="Q125" s="55">
        <v>73903</v>
      </c>
      <c r="R125" s="55">
        <v>74733</v>
      </c>
      <c r="S125" s="55">
        <v>80231</v>
      </c>
      <c r="T125" s="55">
        <v>84393</v>
      </c>
      <c r="U125" s="55">
        <v>76061</v>
      </c>
      <c r="V125" s="55">
        <v>75699</v>
      </c>
      <c r="W125" s="55">
        <v>77903</v>
      </c>
      <c r="X125" s="145">
        <v>4.8758580868673018E-3</v>
      </c>
      <c r="Y125" s="100">
        <v>6.8888463257357202E-3</v>
      </c>
      <c r="Z125" s="100">
        <v>3.062602641574097E-3</v>
      </c>
      <c r="AA125" s="100">
        <v>-7.3581470617982703E-3</v>
      </c>
    </row>
    <row r="126" spans="1:27" customFormat="1" x14ac:dyDescent="0.3">
      <c r="A126">
        <v>260203</v>
      </c>
      <c r="B126" s="20">
        <v>4676</v>
      </c>
      <c r="C126" s="10" t="s">
        <v>67</v>
      </c>
      <c r="D126" s="10" t="str">
        <f>VLOOKUP(B126,[1]기업리스트!B:G,2,FALSE)</f>
        <v>Fuji Media Holdings, Inc.</v>
      </c>
      <c r="E126" s="10" t="s">
        <v>811</v>
      </c>
      <c r="F126" s="38">
        <v>-1.1000000000000001</v>
      </c>
      <c r="G126" s="55">
        <v>130102</v>
      </c>
      <c r="H126" s="55">
        <v>153768</v>
      </c>
      <c r="I126" s="55">
        <v>129816</v>
      </c>
      <c r="J126" s="55">
        <v>126633</v>
      </c>
      <c r="K126" s="55">
        <v>122479</v>
      </c>
      <c r="L126" s="55">
        <v>136449</v>
      </c>
      <c r="M126" s="55">
        <v>150080</v>
      </c>
      <c r="N126" s="55">
        <v>132279</v>
      </c>
      <c r="O126" s="55">
        <v>135266</v>
      </c>
      <c r="P126" s="55">
        <v>142506</v>
      </c>
      <c r="Q126" s="55">
        <v>156392</v>
      </c>
      <c r="R126" s="55">
        <v>129609</v>
      </c>
      <c r="S126" s="55">
        <v>138502</v>
      </c>
      <c r="T126" s="55">
        <v>145177</v>
      </c>
      <c r="U126" s="55">
        <v>137473</v>
      </c>
      <c r="V126" s="55">
        <v>116140</v>
      </c>
      <c r="W126" s="55">
        <v>132559</v>
      </c>
      <c r="X126" s="145">
        <v>4.7106836046693079E-3</v>
      </c>
      <c r="Y126" s="100">
        <v>-3.3209872208959428E-2</v>
      </c>
      <c r="Z126" s="100">
        <v>-2.4455253730747081E-2</v>
      </c>
      <c r="AA126" s="100">
        <v>-1.106102454531244E-2</v>
      </c>
    </row>
    <row r="127" spans="1:27" customFormat="1" x14ac:dyDescent="0.3">
      <c r="A127">
        <v>260203</v>
      </c>
      <c r="B127" s="20">
        <v>9107</v>
      </c>
      <c r="C127" s="10" t="s">
        <v>67</v>
      </c>
      <c r="D127" s="10" t="str">
        <f>VLOOKUP(B127,[1]기업리스트!B:G,2,FALSE)</f>
        <v>Kawasaki Kisen Kaisha, Ltd.</v>
      </c>
      <c r="E127" s="10" t="s">
        <v>811</v>
      </c>
      <c r="F127" s="38">
        <v>-1.4</v>
      </c>
      <c r="G127" s="55">
        <v>182813</v>
      </c>
      <c r="H127" s="55">
        <v>198939</v>
      </c>
      <c r="I127" s="55">
        <v>200488</v>
      </c>
      <c r="J127" s="55">
        <v>228498</v>
      </c>
      <c r="K127" s="55">
        <v>254399</v>
      </c>
      <c r="L127" s="55">
        <v>245894</v>
      </c>
      <c r="M127" s="55">
        <v>213815</v>
      </c>
      <c r="N127" s="55">
        <v>222205</v>
      </c>
      <c r="O127" s="55">
        <v>236768</v>
      </c>
      <c r="P127" s="55">
        <v>256385</v>
      </c>
      <c r="Q127" s="55">
        <v>246942</v>
      </c>
      <c r="R127" s="55">
        <v>267609</v>
      </c>
      <c r="S127" s="55">
        <v>270406</v>
      </c>
      <c r="T127" s="55">
        <v>266944</v>
      </c>
      <c r="U127" s="55">
        <v>242985</v>
      </c>
      <c r="V127" s="55">
        <v>244918</v>
      </c>
      <c r="W127" s="55">
        <v>255647</v>
      </c>
      <c r="X127" s="145">
        <v>1.0139800372980229E-2</v>
      </c>
      <c r="Y127" s="100">
        <v>-3.761760850118034E-3</v>
      </c>
      <c r="Z127" s="100">
        <v>-2.165287458108445E-2</v>
      </c>
      <c r="AA127" s="100">
        <v>-1.4395471166629091E-2</v>
      </c>
    </row>
    <row r="128" spans="1:27" customFormat="1" x14ac:dyDescent="0.3">
      <c r="A128" s="156">
        <v>260203</v>
      </c>
      <c r="B128" s="157">
        <v>5857</v>
      </c>
      <c r="C128" s="152" t="s">
        <v>67</v>
      </c>
      <c r="D128" s="152" t="str">
        <f>VLOOKUP(B128,[1]기업리스트!B:G,2,FALSE)</f>
        <v>ARE Holdings, Inc.</v>
      </c>
      <c r="E128" s="152" t="s">
        <v>811</v>
      </c>
      <c r="F128" s="158">
        <v>-8.5</v>
      </c>
      <c r="G128" s="163">
        <v>46436</v>
      </c>
      <c r="H128" s="163">
        <v>47626</v>
      </c>
      <c r="I128" s="163">
        <v>47955</v>
      </c>
      <c r="J128" s="163">
        <v>59749</v>
      </c>
      <c r="K128" s="164">
        <v>72903</v>
      </c>
      <c r="L128" s="164">
        <v>73173</v>
      </c>
      <c r="M128" s="164">
        <v>86622</v>
      </c>
      <c r="N128" s="163">
        <v>66523</v>
      </c>
      <c r="O128" s="163">
        <v>85372</v>
      </c>
      <c r="P128" s="163">
        <v>83236</v>
      </c>
      <c r="Q128" s="163">
        <v>0</v>
      </c>
      <c r="R128" s="164">
        <v>92300</v>
      </c>
      <c r="S128" s="164">
        <v>148057</v>
      </c>
      <c r="T128" s="164">
        <v>132612</v>
      </c>
      <c r="U128" s="164">
        <v>133242</v>
      </c>
      <c r="V128" s="163">
        <v>137120</v>
      </c>
      <c r="W128" s="163">
        <v>101119</v>
      </c>
      <c r="X128" s="146">
        <v>0.15258673704313749</v>
      </c>
      <c r="Y128" s="165">
        <v>0.35724684893382558</v>
      </c>
      <c r="Z128" s="160">
        <v>8.8540154204472143E-2</v>
      </c>
      <c r="AA128" s="160">
        <v>-8.5182140387745853E-2</v>
      </c>
    </row>
    <row r="129" spans="1:27" customFormat="1" x14ac:dyDescent="0.3">
      <c r="A129" s="156">
        <v>260203</v>
      </c>
      <c r="B129" s="83" t="s">
        <v>1328</v>
      </c>
      <c r="C129" s="84" t="s">
        <v>31</v>
      </c>
      <c r="D129" s="84" t="str">
        <f>VLOOKUP(B129,[1]기업리스트!B:G,2,FALSE)</f>
        <v>Nazara Technologies Limited</v>
      </c>
      <c r="E129" s="152" t="s">
        <v>811</v>
      </c>
      <c r="F129" s="115">
        <v>11.1</v>
      </c>
      <c r="G129" s="116">
        <v>1296</v>
      </c>
      <c r="H129" s="116">
        <v>1858</v>
      </c>
      <c r="I129" s="116">
        <v>1775</v>
      </c>
      <c r="J129" s="116">
        <v>2231</v>
      </c>
      <c r="K129" s="117">
        <v>2638</v>
      </c>
      <c r="L129" s="117">
        <v>3148</v>
      </c>
      <c r="M129" s="117">
        <v>2894</v>
      </c>
      <c r="N129" s="116">
        <v>2544</v>
      </c>
      <c r="O129" s="116">
        <v>2972</v>
      </c>
      <c r="P129" s="116">
        <v>3204</v>
      </c>
      <c r="Q129" s="116">
        <v>2662</v>
      </c>
      <c r="R129" s="116">
        <v>2501</v>
      </c>
      <c r="S129" s="116">
        <v>3189</v>
      </c>
      <c r="T129" s="117">
        <v>5347</v>
      </c>
      <c r="U129" s="117">
        <v>5204</v>
      </c>
      <c r="V129" s="117">
        <v>4988</v>
      </c>
      <c r="W129" s="117">
        <v>5265</v>
      </c>
      <c r="X129" s="148">
        <v>0.1854447905849774</v>
      </c>
      <c r="Y129" s="120">
        <v>0.18556098985327399</v>
      </c>
      <c r="Z129" s="120">
        <v>0.15313096484206651</v>
      </c>
      <c r="AA129" s="120">
        <v>0.1108500640751815</v>
      </c>
    </row>
    <row r="130" spans="1:27" customFormat="1" x14ac:dyDescent="0.3">
      <c r="A130" s="156">
        <v>260203</v>
      </c>
      <c r="B130" s="157" t="s">
        <v>1329</v>
      </c>
      <c r="C130" s="152" t="s">
        <v>31</v>
      </c>
      <c r="D130" s="152" t="str">
        <f>VLOOKUP(B130,[1]기업리스트!B:G,2,FALSE)</f>
        <v>Bajaj Finance Limited</v>
      </c>
      <c r="E130" s="152" t="s">
        <v>817</v>
      </c>
      <c r="F130" s="166">
        <v>10.4</v>
      </c>
      <c r="G130" s="163">
        <v>49494</v>
      </c>
      <c r="H130" s="163">
        <v>53691</v>
      </c>
      <c r="I130" s="163">
        <v>58829</v>
      </c>
      <c r="J130" s="163">
        <v>62671</v>
      </c>
      <c r="K130" s="163">
        <v>65934</v>
      </c>
      <c r="L130" s="163">
        <v>69240</v>
      </c>
      <c r="M130" s="163">
        <v>74028</v>
      </c>
      <c r="N130" s="163">
        <v>77699</v>
      </c>
      <c r="O130" s="163">
        <v>80506</v>
      </c>
      <c r="P130" s="163">
        <v>84870</v>
      </c>
      <c r="Q130" s="163">
        <v>87338</v>
      </c>
      <c r="R130" s="163">
        <v>90370</v>
      </c>
      <c r="S130" s="163">
        <v>96294</v>
      </c>
      <c r="T130" s="163">
        <v>96194</v>
      </c>
      <c r="U130" s="163">
        <v>104899</v>
      </c>
      <c r="V130" s="163">
        <v>109007</v>
      </c>
      <c r="W130" s="164">
        <v>138759</v>
      </c>
      <c r="X130" s="145">
        <v>3.155442609063952E-2</v>
      </c>
      <c r="Y130" s="160">
        <v>4.7437033355303582E-2</v>
      </c>
      <c r="Z130" s="160">
        <v>4.8063606846555862E-2</v>
      </c>
      <c r="AA130" s="165">
        <v>0.1044921923059887</v>
      </c>
    </row>
    <row r="131" spans="1:27" customFormat="1" x14ac:dyDescent="0.3">
      <c r="A131" s="156">
        <v>260203</v>
      </c>
      <c r="B131" s="157" t="s">
        <v>1330</v>
      </c>
      <c r="C131" s="152" t="s">
        <v>31</v>
      </c>
      <c r="D131" s="152" t="str">
        <f>VLOOKUP(B131,[1]기업리스트!B:G,2,FALSE)</f>
        <v>Aditya Birla Capital Limited</v>
      </c>
      <c r="E131" s="152" t="s">
        <v>817</v>
      </c>
      <c r="F131" s="158">
        <v>6.9</v>
      </c>
      <c r="G131" s="163">
        <v>48367</v>
      </c>
      <c r="H131" s="163">
        <v>50157</v>
      </c>
      <c r="I131" s="163">
        <v>45186</v>
      </c>
      <c r="J131" s="163">
        <v>55593</v>
      </c>
      <c r="K131" s="164">
        <v>80767</v>
      </c>
      <c r="L131" s="163">
        <v>63486</v>
      </c>
      <c r="M131" s="163">
        <v>50712</v>
      </c>
      <c r="N131" s="163">
        <v>55548</v>
      </c>
      <c r="O131" s="163">
        <v>62544</v>
      </c>
      <c r="P131" s="163">
        <v>83338</v>
      </c>
      <c r="Q131" s="163">
        <v>60984</v>
      </c>
      <c r="R131" s="163">
        <v>76361</v>
      </c>
      <c r="S131" s="163">
        <v>65194</v>
      </c>
      <c r="T131" s="163">
        <v>92775</v>
      </c>
      <c r="U131" s="163">
        <v>63665</v>
      </c>
      <c r="V131" s="163">
        <v>73982</v>
      </c>
      <c r="W131" s="163">
        <v>85689</v>
      </c>
      <c r="X131" s="145">
        <v>3.3010700406118643E-2</v>
      </c>
      <c r="Y131" s="160">
        <v>9.0784724056427457E-3</v>
      </c>
      <c r="Z131" s="160">
        <v>-7.9833554254266081E-3</v>
      </c>
      <c r="AA131" s="160">
        <v>6.9329806235115754E-2</v>
      </c>
    </row>
    <row r="132" spans="1:27" customFormat="1" x14ac:dyDescent="0.3">
      <c r="A132" s="156">
        <v>260203</v>
      </c>
      <c r="B132" s="157" t="s">
        <v>1331</v>
      </c>
      <c r="C132" s="152" t="s">
        <v>31</v>
      </c>
      <c r="D132" s="152" t="str">
        <f>VLOOKUP(B132,[1]기업리스트!B:G,2,FALSE)</f>
        <v>Solar Industries India Limited</v>
      </c>
      <c r="E132" s="152" t="s">
        <v>817</v>
      </c>
      <c r="F132" s="158">
        <v>6.9</v>
      </c>
      <c r="G132" s="163">
        <v>10179</v>
      </c>
      <c r="H132" s="163">
        <v>13169</v>
      </c>
      <c r="I132" s="163">
        <v>16156</v>
      </c>
      <c r="J132" s="163">
        <v>15666</v>
      </c>
      <c r="K132" s="164">
        <v>18118</v>
      </c>
      <c r="L132" s="163">
        <v>19285</v>
      </c>
      <c r="M132" s="163">
        <v>16822</v>
      </c>
      <c r="N132" s="163">
        <v>13475</v>
      </c>
      <c r="O132" s="163">
        <v>14291</v>
      </c>
      <c r="P132" s="163">
        <v>16107</v>
      </c>
      <c r="Q132" s="163">
        <v>16948</v>
      </c>
      <c r="R132" s="163">
        <v>17158</v>
      </c>
      <c r="S132" s="163">
        <v>19731</v>
      </c>
      <c r="T132" s="163">
        <v>21666</v>
      </c>
      <c r="U132" s="163">
        <v>21545</v>
      </c>
      <c r="V132" s="163">
        <v>20822</v>
      </c>
      <c r="W132" s="163">
        <v>25483</v>
      </c>
      <c r="X132" s="145">
        <v>7.947786800869272E-2</v>
      </c>
      <c r="Y132" s="160">
        <v>6.0884997947101338E-2</v>
      </c>
      <c r="Z132" s="160">
        <v>4.5742821473158557E-2</v>
      </c>
      <c r="AA132" s="160">
        <v>6.8669117998185314E-2</v>
      </c>
    </row>
    <row r="133" spans="1:27" customFormat="1" x14ac:dyDescent="0.3">
      <c r="A133" s="156">
        <v>260203</v>
      </c>
      <c r="B133" s="157" t="s">
        <v>1332</v>
      </c>
      <c r="C133" s="152" t="s">
        <v>31</v>
      </c>
      <c r="D133" s="152" t="str">
        <f>VLOOKUP(B133,[1]기업리스트!B:G,2,FALSE)</f>
        <v>Adani Ports and Special Economic Zone Limited</v>
      </c>
      <c r="E133" s="152" t="s">
        <v>817</v>
      </c>
      <c r="F133" s="158">
        <v>5</v>
      </c>
      <c r="G133" s="163">
        <v>37971</v>
      </c>
      <c r="H133" s="163">
        <v>50298</v>
      </c>
      <c r="I133" s="163">
        <v>46380</v>
      </c>
      <c r="J133" s="163">
        <v>52108</v>
      </c>
      <c r="K133" s="163">
        <v>47862</v>
      </c>
      <c r="L133" s="163">
        <v>57969</v>
      </c>
      <c r="M133" s="163">
        <v>62476</v>
      </c>
      <c r="N133" s="163">
        <v>66464</v>
      </c>
      <c r="O133" s="163">
        <v>69201</v>
      </c>
      <c r="P133" s="163">
        <v>68965</v>
      </c>
      <c r="Q133" s="163">
        <v>69563</v>
      </c>
      <c r="R133" s="163">
        <v>70670</v>
      </c>
      <c r="S133" s="163">
        <v>79636</v>
      </c>
      <c r="T133" s="163">
        <v>84884</v>
      </c>
      <c r="U133" s="163">
        <v>91261</v>
      </c>
      <c r="V133" s="163">
        <v>91675</v>
      </c>
      <c r="W133" s="163">
        <v>97046</v>
      </c>
      <c r="X133" s="145">
        <v>5.5114702562717673E-2</v>
      </c>
      <c r="Y133" s="160">
        <v>7.1198642835345272E-2</v>
      </c>
      <c r="Z133" s="160">
        <v>6.4343500249654628E-2</v>
      </c>
      <c r="AA133" s="160">
        <v>5.0107063916006611E-2</v>
      </c>
    </row>
    <row r="134" spans="1:27" customFormat="1" x14ac:dyDescent="0.3">
      <c r="A134" s="156">
        <v>260203</v>
      </c>
      <c r="B134" s="157" t="s">
        <v>1333</v>
      </c>
      <c r="C134" s="152" t="s">
        <v>31</v>
      </c>
      <c r="D134" s="152" t="str">
        <f>VLOOKUP(B134,[1]기업리스트!B:G,2,FALSE)</f>
        <v>Mrs. Bectors Food Specialities Limited</v>
      </c>
      <c r="E134" s="152" t="s">
        <v>811</v>
      </c>
      <c r="F134" s="158">
        <v>2.9</v>
      </c>
      <c r="G134" s="163">
        <v>2463</v>
      </c>
      <c r="H134" s="163">
        <v>2632</v>
      </c>
      <c r="I134" s="163">
        <v>2523</v>
      </c>
      <c r="J134" s="163">
        <v>3008</v>
      </c>
      <c r="K134" s="163">
        <v>3474</v>
      </c>
      <c r="L134" s="163">
        <v>3679</v>
      </c>
      <c r="M134" s="163">
        <v>3461</v>
      </c>
      <c r="N134" s="163">
        <v>3742</v>
      </c>
      <c r="O134" s="163">
        <v>4145</v>
      </c>
      <c r="P134" s="163">
        <v>4289</v>
      </c>
      <c r="Q134" s="163">
        <v>4064</v>
      </c>
      <c r="R134" s="163">
        <v>4394</v>
      </c>
      <c r="S134" s="163">
        <v>4963</v>
      </c>
      <c r="T134" s="163">
        <v>4921</v>
      </c>
      <c r="U134" s="163">
        <v>4461</v>
      </c>
      <c r="V134" s="163">
        <v>4730</v>
      </c>
      <c r="W134" s="163">
        <v>5514</v>
      </c>
      <c r="X134" s="145">
        <v>3.5686053077357498E-2</v>
      </c>
      <c r="Y134" s="160">
        <v>2.1644313597208639E-2</v>
      </c>
      <c r="Z134" s="160">
        <v>1.7930519237952861E-2</v>
      </c>
      <c r="AA134" s="160">
        <v>2.8885976408912221E-2</v>
      </c>
    </row>
    <row r="135" spans="1:27" customFormat="1" x14ac:dyDescent="0.3">
      <c r="A135" s="156">
        <v>260203</v>
      </c>
      <c r="B135" s="157" t="s">
        <v>1334</v>
      </c>
      <c r="C135" s="152" t="s">
        <v>31</v>
      </c>
      <c r="D135" s="152" t="str">
        <f>VLOOKUP(B135,[1]기업리스트!B:G,2,FALSE)</f>
        <v>Pilani Investment and Industries Corporation Limited</v>
      </c>
      <c r="E135" s="152" t="s">
        <v>811</v>
      </c>
      <c r="F135" s="158">
        <v>2.4</v>
      </c>
      <c r="G135" s="163">
        <v>979.7</v>
      </c>
      <c r="H135" s="163">
        <v>516.30999999999995</v>
      </c>
      <c r="I135" s="163">
        <v>482.56</v>
      </c>
      <c r="J135" s="163">
        <v>597.49</v>
      </c>
      <c r="K135" s="163">
        <v>1124</v>
      </c>
      <c r="L135" s="163">
        <v>524.54999999999995</v>
      </c>
      <c r="M135" s="163">
        <v>527.86</v>
      </c>
      <c r="N135" s="163">
        <v>542.74</v>
      </c>
      <c r="O135" s="163">
        <v>1062</v>
      </c>
      <c r="P135" s="163">
        <v>611.97</v>
      </c>
      <c r="Q135" s="163">
        <v>646.59</v>
      </c>
      <c r="R135" s="163">
        <v>612.53</v>
      </c>
      <c r="S135" s="163">
        <v>1224</v>
      </c>
      <c r="T135" s="163">
        <v>609.36</v>
      </c>
      <c r="U135" s="163">
        <v>596.62</v>
      </c>
      <c r="V135" s="163">
        <v>495.8</v>
      </c>
      <c r="W135" s="163">
        <v>1295</v>
      </c>
      <c r="X135" s="145">
        <v>-8.4327111651039122E-4</v>
      </c>
      <c r="Y135" s="160">
        <v>-1.6158552359271439E-2</v>
      </c>
      <c r="Z135" s="160">
        <v>-3.836634883697998E-2</v>
      </c>
      <c r="AA135" s="160">
        <v>2.426703306468703E-2</v>
      </c>
    </row>
    <row r="136" spans="1:27" customFormat="1" x14ac:dyDescent="0.3">
      <c r="A136" s="156">
        <v>260203</v>
      </c>
      <c r="B136" s="157" t="s">
        <v>1335</v>
      </c>
      <c r="C136" s="152" t="s">
        <v>31</v>
      </c>
      <c r="D136" s="152" t="str">
        <f>VLOOKUP(B136,[1]기업리스트!B:G,2,FALSE)</f>
        <v>Pidilite Industries Limited</v>
      </c>
      <c r="E136" s="152" t="s">
        <v>811</v>
      </c>
      <c r="F136" s="158">
        <v>2.4</v>
      </c>
      <c r="G136" s="163">
        <v>26264</v>
      </c>
      <c r="H136" s="163">
        <v>28507</v>
      </c>
      <c r="I136" s="163">
        <v>25071</v>
      </c>
      <c r="J136" s="163">
        <v>31011</v>
      </c>
      <c r="K136" s="163">
        <v>30112</v>
      </c>
      <c r="L136" s="163">
        <v>29976</v>
      </c>
      <c r="M136" s="163">
        <v>26893</v>
      </c>
      <c r="N136" s="163">
        <v>32751</v>
      </c>
      <c r="O136" s="163">
        <v>30760</v>
      </c>
      <c r="P136" s="163">
        <v>31300</v>
      </c>
      <c r="Q136" s="163">
        <v>29019</v>
      </c>
      <c r="R136" s="163">
        <v>33954</v>
      </c>
      <c r="S136" s="163">
        <v>32349</v>
      </c>
      <c r="T136" s="163">
        <v>33689</v>
      </c>
      <c r="U136" s="163">
        <v>31411</v>
      </c>
      <c r="V136" s="163">
        <v>37531</v>
      </c>
      <c r="W136" s="163">
        <v>35544</v>
      </c>
      <c r="X136" s="145">
        <v>1.8867179479079569E-2</v>
      </c>
      <c r="Y136" s="160">
        <v>1.854105463875166E-2</v>
      </c>
      <c r="Z136" s="160">
        <v>2.7221600724488759E-2</v>
      </c>
      <c r="AA136" s="160">
        <v>2.3670173359016111E-2</v>
      </c>
    </row>
    <row r="137" spans="1:27" customFormat="1" x14ac:dyDescent="0.3">
      <c r="A137" s="156">
        <v>260203</v>
      </c>
      <c r="B137" s="157" t="s">
        <v>1336</v>
      </c>
      <c r="C137" s="152" t="s">
        <v>31</v>
      </c>
      <c r="D137" s="152" t="str">
        <f>VLOOKUP(B137,[1]기업리스트!B:G,2,FALSE)</f>
        <v>Reliance Power Limited</v>
      </c>
      <c r="E137" s="152" t="s">
        <v>817</v>
      </c>
      <c r="F137" s="158">
        <v>0.3</v>
      </c>
      <c r="G137" s="163">
        <v>17959</v>
      </c>
      <c r="H137" s="163">
        <v>18461</v>
      </c>
      <c r="I137" s="163">
        <v>20630</v>
      </c>
      <c r="J137" s="163">
        <v>18638</v>
      </c>
      <c r="K137" s="163">
        <v>18861</v>
      </c>
      <c r="L137" s="163">
        <v>17011</v>
      </c>
      <c r="M137" s="163">
        <v>19218</v>
      </c>
      <c r="N137" s="163">
        <v>20523</v>
      </c>
      <c r="O137" s="163">
        <v>19466</v>
      </c>
      <c r="P137" s="163">
        <v>19719</v>
      </c>
      <c r="Q137" s="163">
        <v>19922</v>
      </c>
      <c r="R137" s="163">
        <v>17598</v>
      </c>
      <c r="S137" s="163">
        <v>18528</v>
      </c>
      <c r="T137" s="163">
        <v>19780</v>
      </c>
      <c r="U137" s="163">
        <v>18856</v>
      </c>
      <c r="V137" s="163">
        <v>19740</v>
      </c>
      <c r="W137" s="163">
        <v>18728</v>
      </c>
      <c r="X137" s="145">
        <v>8.0509984557930458E-4</v>
      </c>
      <c r="Y137" s="160">
        <v>-1.405813156090097E-2</v>
      </c>
      <c r="Z137" s="160">
        <v>2.8650918916026891E-2</v>
      </c>
      <c r="AA137" s="160">
        <v>2.6006449599500492E-3</v>
      </c>
    </row>
    <row r="138" spans="1:27" customFormat="1" x14ac:dyDescent="0.3">
      <c r="A138" s="156">
        <v>260203</v>
      </c>
      <c r="B138" s="157" t="s">
        <v>1337</v>
      </c>
      <c r="C138" s="152" t="s">
        <v>31</v>
      </c>
      <c r="D138" s="152" t="str">
        <f>VLOOKUP(B138,[1]기업리스트!B:G,2,FALSE)</f>
        <v>CMS Info Systems Limited</v>
      </c>
      <c r="E138" s="152" t="s">
        <v>811</v>
      </c>
      <c r="F138" s="158">
        <v>-0.6</v>
      </c>
      <c r="G138" s="163">
        <v>3721</v>
      </c>
      <c r="H138" s="163">
        <v>4037</v>
      </c>
      <c r="I138" s="163">
        <v>4441</v>
      </c>
      <c r="J138" s="163">
        <v>4533</v>
      </c>
      <c r="K138" s="163">
        <v>4717</v>
      </c>
      <c r="L138" s="163">
        <v>4883</v>
      </c>
      <c r="M138" s="163">
        <v>5014</v>
      </c>
      <c r="N138" s="163">
        <v>5116</v>
      </c>
      <c r="O138" s="163">
        <v>5437</v>
      </c>
      <c r="P138" s="163">
        <v>5823</v>
      </c>
      <c r="Q138" s="163">
        <v>6271</v>
      </c>
      <c r="R138" s="163">
        <v>5994</v>
      </c>
      <c r="S138" s="163">
        <v>6245</v>
      </c>
      <c r="T138" s="163">
        <v>5815</v>
      </c>
      <c r="U138" s="163">
        <v>6191</v>
      </c>
      <c r="V138" s="163">
        <v>6274</v>
      </c>
      <c r="W138" s="163">
        <v>6086</v>
      </c>
      <c r="X138" s="145">
        <v>-3.2877162700861717E-4</v>
      </c>
      <c r="Y138" s="160">
        <v>-3.2887975334018331E-3</v>
      </c>
      <c r="Z138" s="160">
        <v>1.154877294287493E-2</v>
      </c>
      <c r="AA138" s="160">
        <v>-6.4831804281345606E-3</v>
      </c>
    </row>
    <row r="139" spans="1:27" customFormat="1" x14ac:dyDescent="0.3">
      <c r="A139" s="161">
        <v>260203</v>
      </c>
      <c r="B139" s="109" t="s">
        <v>1338</v>
      </c>
      <c r="C139" s="102" t="s">
        <v>31</v>
      </c>
      <c r="D139" s="102" t="s">
        <v>32</v>
      </c>
      <c r="E139" s="102" t="s">
        <v>811</v>
      </c>
      <c r="F139" s="104">
        <v>-13.1</v>
      </c>
      <c r="G139" s="167">
        <v>11059</v>
      </c>
      <c r="H139" s="167">
        <v>7957</v>
      </c>
      <c r="I139" s="167">
        <v>11850</v>
      </c>
      <c r="J139" s="167">
        <v>15354</v>
      </c>
      <c r="K139" s="167">
        <v>13512</v>
      </c>
      <c r="L139" s="167">
        <v>9545</v>
      </c>
      <c r="M139" s="167">
        <v>13645</v>
      </c>
      <c r="N139" s="167">
        <v>0</v>
      </c>
      <c r="O139" s="167">
        <v>0</v>
      </c>
      <c r="P139" s="167">
        <v>0</v>
      </c>
      <c r="Q139" s="167">
        <v>0</v>
      </c>
      <c r="R139" s="167">
        <v>9024</v>
      </c>
      <c r="S139" s="168">
        <v>12648</v>
      </c>
      <c r="T139" s="167">
        <v>0</v>
      </c>
      <c r="U139" s="167">
        <v>0</v>
      </c>
      <c r="V139" s="168">
        <v>14822</v>
      </c>
      <c r="W139" s="167">
        <v>9045</v>
      </c>
      <c r="X139" s="108">
        <v>0</v>
      </c>
      <c r="Y139" s="108">
        <v>0</v>
      </c>
      <c r="Z139" s="155">
        <v>0.2675341454411222</v>
      </c>
      <c r="AA139" s="108">
        <v>-0.13116126683654891</v>
      </c>
    </row>
    <row r="140" spans="1:27" customFormat="1" x14ac:dyDescent="0.3">
      <c r="A140" s="4">
        <v>260202</v>
      </c>
      <c r="B140" s="20" t="s">
        <v>1130</v>
      </c>
      <c r="C140" s="10" t="s">
        <v>23</v>
      </c>
      <c r="D140" s="10" t="s">
        <v>24</v>
      </c>
      <c r="E140" s="10" t="s">
        <v>806</v>
      </c>
      <c r="F140" s="99">
        <v>14.9</v>
      </c>
      <c r="G140" s="55">
        <v>432.87</v>
      </c>
      <c r="H140" s="55">
        <v>446.36</v>
      </c>
      <c r="I140" s="55">
        <v>473.01</v>
      </c>
      <c r="J140" s="55">
        <v>477.88</v>
      </c>
      <c r="K140" s="55">
        <v>508.62</v>
      </c>
      <c r="L140" s="55">
        <v>525.19000000000005</v>
      </c>
      <c r="M140" s="55">
        <v>533.32000000000005</v>
      </c>
      <c r="N140" s="55">
        <v>558.16</v>
      </c>
      <c r="O140" s="55">
        <v>608.35</v>
      </c>
      <c r="P140" s="55">
        <v>634.34</v>
      </c>
      <c r="Q140" s="55">
        <v>678.13</v>
      </c>
      <c r="R140" s="55">
        <v>725.52</v>
      </c>
      <c r="S140" s="55">
        <v>827.52</v>
      </c>
      <c r="T140" s="55">
        <v>883.86</v>
      </c>
      <c r="U140" s="111">
        <v>1004</v>
      </c>
      <c r="V140" s="111">
        <v>1181</v>
      </c>
      <c r="W140" s="111">
        <v>1407</v>
      </c>
      <c r="X140" s="145">
        <v>8.7076995020083592E-2</v>
      </c>
      <c r="Y140" s="113">
        <v>0.1046121546180936</v>
      </c>
      <c r="Z140" s="113">
        <v>0.13237234444476731</v>
      </c>
      <c r="AA140" s="113">
        <v>0.148722660520791</v>
      </c>
    </row>
    <row r="141" spans="1:27" customFormat="1" x14ac:dyDescent="0.3">
      <c r="A141" s="4">
        <v>260202</v>
      </c>
      <c r="B141" s="20" t="s">
        <v>1131</v>
      </c>
      <c r="C141" s="10" t="s">
        <v>23</v>
      </c>
      <c r="D141" s="10" t="s">
        <v>146</v>
      </c>
      <c r="E141" s="10" t="s">
        <v>806</v>
      </c>
      <c r="F141" s="99">
        <v>11.5</v>
      </c>
      <c r="G141" s="55">
        <v>885.05</v>
      </c>
      <c r="H141" s="55">
        <v>755.37</v>
      </c>
      <c r="I141" s="55">
        <v>840.77</v>
      </c>
      <c r="J141" s="55">
        <v>827.07</v>
      </c>
      <c r="K141" s="55">
        <v>731.84</v>
      </c>
      <c r="L141" s="55">
        <v>617.53</v>
      </c>
      <c r="M141" s="55">
        <v>684.44</v>
      </c>
      <c r="N141" s="55">
        <v>703.73</v>
      </c>
      <c r="O141" s="55">
        <v>670.6</v>
      </c>
      <c r="P141" s="55">
        <v>599.82000000000005</v>
      </c>
      <c r="Q141" s="55">
        <v>729.88</v>
      </c>
      <c r="R141" s="55">
        <v>737.3</v>
      </c>
      <c r="S141" s="55">
        <v>752.88</v>
      </c>
      <c r="T141" s="55">
        <v>685.68</v>
      </c>
      <c r="U141" s="55">
        <v>651.79999999999995</v>
      </c>
      <c r="V141" s="55">
        <v>769.21</v>
      </c>
      <c r="W141" s="111">
        <v>1083</v>
      </c>
      <c r="X141" s="145">
        <v>3.0448104174645611E-2</v>
      </c>
      <c r="Y141" s="100">
        <v>-2.6870951977809421E-2</v>
      </c>
      <c r="Z141" s="100">
        <v>1.128494939278402E-2</v>
      </c>
      <c r="AA141" s="113">
        <v>0.1154439303811414</v>
      </c>
    </row>
    <row r="142" spans="1:27" customFormat="1" x14ac:dyDescent="0.3">
      <c r="A142" s="4">
        <v>260202</v>
      </c>
      <c r="B142" s="20" t="s">
        <v>1132</v>
      </c>
      <c r="C142" s="10" t="s">
        <v>23</v>
      </c>
      <c r="D142" s="10" t="s">
        <v>65</v>
      </c>
      <c r="E142" s="10" t="s">
        <v>811</v>
      </c>
      <c r="F142" s="38">
        <v>8.3000000000000007</v>
      </c>
      <c r="G142" s="55">
        <v>566.63</v>
      </c>
      <c r="H142" s="55">
        <v>564.4</v>
      </c>
      <c r="I142" s="55">
        <v>587.87</v>
      </c>
      <c r="J142" s="55">
        <v>655.43</v>
      </c>
      <c r="K142" s="55">
        <v>668.66</v>
      </c>
      <c r="L142" s="55">
        <v>665.28</v>
      </c>
      <c r="M142" s="55">
        <v>655.87</v>
      </c>
      <c r="N142" s="55">
        <v>685.48</v>
      </c>
      <c r="O142" s="55">
        <v>712.69</v>
      </c>
      <c r="P142" s="55">
        <v>731.54</v>
      </c>
      <c r="Q142" s="55">
        <v>753.26</v>
      </c>
      <c r="R142" s="55">
        <v>804.23</v>
      </c>
      <c r="S142" s="55">
        <v>833.61</v>
      </c>
      <c r="T142" s="55">
        <v>871.8</v>
      </c>
      <c r="U142" s="55">
        <v>909.69</v>
      </c>
      <c r="V142" s="55">
        <v>978.13</v>
      </c>
      <c r="W142" s="55">
        <v>1133</v>
      </c>
      <c r="X142" s="145">
        <v>4.4917121410088967E-2</v>
      </c>
      <c r="Y142" s="100">
        <v>4.7942014772135222E-2</v>
      </c>
      <c r="Z142" s="100">
        <v>5.0857916609394323E-2</v>
      </c>
      <c r="AA142" s="100">
        <v>8.3320577864484102E-2</v>
      </c>
    </row>
    <row r="143" spans="1:27" customFormat="1" x14ac:dyDescent="0.3">
      <c r="A143" s="4">
        <v>260202</v>
      </c>
      <c r="B143" s="20" t="s">
        <v>1133</v>
      </c>
      <c r="C143" s="10" t="s">
        <v>23</v>
      </c>
      <c r="D143" s="10" t="s">
        <v>131</v>
      </c>
      <c r="E143" s="10" t="s">
        <v>821</v>
      </c>
      <c r="F143" s="38">
        <v>6.3</v>
      </c>
      <c r="G143" s="55">
        <v>541.59</v>
      </c>
      <c r="H143" s="55">
        <v>586.84</v>
      </c>
      <c r="I143" s="55">
        <v>614.33000000000004</v>
      </c>
      <c r="J143" s="55">
        <v>640.03</v>
      </c>
      <c r="K143" s="55">
        <v>618.62</v>
      </c>
      <c r="L143" s="55">
        <v>718.21</v>
      </c>
      <c r="M143" s="55">
        <v>800.66</v>
      </c>
      <c r="N143" s="55">
        <v>777.07</v>
      </c>
      <c r="O143" s="55">
        <v>786.73</v>
      </c>
      <c r="P143" s="55">
        <v>835.34</v>
      </c>
      <c r="Q143" s="55">
        <v>847.69</v>
      </c>
      <c r="R143" s="55">
        <v>854.49</v>
      </c>
      <c r="S143" s="55">
        <v>772.73</v>
      </c>
      <c r="T143" s="55">
        <v>883.63</v>
      </c>
      <c r="U143" s="55">
        <v>915.45</v>
      </c>
      <c r="V143" s="55">
        <v>995.26</v>
      </c>
      <c r="W143" s="55">
        <v>996.45</v>
      </c>
      <c r="X143" s="145">
        <v>1.4588022052715029E-2</v>
      </c>
      <c r="Y143" s="100">
        <v>2.017543337283478E-2</v>
      </c>
      <c r="Z143" s="100">
        <v>4.108513556898119E-2</v>
      </c>
      <c r="AA143" s="100">
        <v>6.2718141219544332E-2</v>
      </c>
    </row>
    <row r="144" spans="1:27" customFormat="1" x14ac:dyDescent="0.3">
      <c r="A144" s="4">
        <v>260202</v>
      </c>
      <c r="B144" s="20" t="s">
        <v>1134</v>
      </c>
      <c r="C144" s="10" t="s">
        <v>23</v>
      </c>
      <c r="D144" s="10" t="s">
        <v>1135</v>
      </c>
      <c r="E144" s="10" t="s">
        <v>821</v>
      </c>
      <c r="F144" s="38">
        <v>5.7</v>
      </c>
      <c r="G144" s="55">
        <v>675.84</v>
      </c>
      <c r="H144" s="55">
        <v>912.32</v>
      </c>
      <c r="I144" s="55">
        <v>552.34</v>
      </c>
      <c r="J144" s="55">
        <v>765.49</v>
      </c>
      <c r="K144" s="55">
        <v>723.57</v>
      </c>
      <c r="L144" s="55">
        <v>644.03</v>
      </c>
      <c r="M144" s="55">
        <v>264.08</v>
      </c>
      <c r="N144" s="55">
        <v>331.33</v>
      </c>
      <c r="O144" s="55">
        <v>467.21</v>
      </c>
      <c r="P144" s="55">
        <v>657.91</v>
      </c>
      <c r="Q144" s="55">
        <v>275.64</v>
      </c>
      <c r="R144" s="55">
        <v>395.78</v>
      </c>
      <c r="S144" s="55">
        <v>488.36</v>
      </c>
      <c r="T144" s="111">
        <v>913.03</v>
      </c>
      <c r="U144" s="55">
        <v>298.95</v>
      </c>
      <c r="V144" s="55">
        <v>336.08</v>
      </c>
      <c r="W144" s="55">
        <v>604.85</v>
      </c>
      <c r="X144" s="146">
        <v>0.14035396574773459</v>
      </c>
      <c r="Y144" s="100">
        <v>1.1245603793883729E-2</v>
      </c>
      <c r="Z144" s="100">
        <v>-2.8481193824780981E-2</v>
      </c>
      <c r="AA144" s="100">
        <v>5.7203327407902023E-2</v>
      </c>
    </row>
    <row r="145" spans="1:27" customFormat="1" x14ac:dyDescent="0.3">
      <c r="A145" s="4">
        <v>260202</v>
      </c>
      <c r="B145" s="20" t="s">
        <v>1136</v>
      </c>
      <c r="C145" s="10" t="s">
        <v>23</v>
      </c>
      <c r="D145" s="10" t="s">
        <v>95</v>
      </c>
      <c r="E145" s="10" t="s">
        <v>817</v>
      </c>
      <c r="F145" s="38">
        <v>4.4000000000000004</v>
      </c>
      <c r="G145" s="55">
        <v>22.31</v>
      </c>
      <c r="H145" s="55">
        <v>21.03</v>
      </c>
      <c r="I145" s="55">
        <v>22.54</v>
      </c>
      <c r="J145" s="55">
        <v>26.8</v>
      </c>
      <c r="K145" s="111">
        <v>32.770000000000003</v>
      </c>
      <c r="L145" s="111">
        <v>37.19</v>
      </c>
      <c r="M145" s="111">
        <v>40.36</v>
      </c>
      <c r="N145" s="111">
        <v>42.78</v>
      </c>
      <c r="O145" s="111">
        <v>48.57</v>
      </c>
      <c r="P145" s="55">
        <v>46.43</v>
      </c>
      <c r="Q145" s="55">
        <v>51.35</v>
      </c>
      <c r="R145" s="55">
        <v>48.71</v>
      </c>
      <c r="S145" s="55">
        <v>51.97</v>
      </c>
      <c r="T145" s="55">
        <v>52.41</v>
      </c>
      <c r="U145" s="55">
        <v>55.95</v>
      </c>
      <c r="V145" s="55">
        <v>56.95</v>
      </c>
      <c r="W145" s="55">
        <v>61.45</v>
      </c>
      <c r="X145" s="145">
        <v>3.0132016527259831E-2</v>
      </c>
      <c r="Y145" s="100">
        <v>2.2500489141068281E-2</v>
      </c>
      <c r="Z145" s="100">
        <v>3.9418293149636519E-2</v>
      </c>
      <c r="AA145" s="100">
        <v>4.3630338733431362E-2</v>
      </c>
    </row>
    <row r="146" spans="1:27" customFormat="1" x14ac:dyDescent="0.3">
      <c r="A146" s="4">
        <v>260202</v>
      </c>
      <c r="B146" s="20" t="s">
        <v>1137</v>
      </c>
      <c r="C146" s="10" t="s">
        <v>23</v>
      </c>
      <c r="D146" s="10" t="s">
        <v>445</v>
      </c>
      <c r="E146" s="10" t="s">
        <v>806</v>
      </c>
      <c r="F146" s="38">
        <v>4.3</v>
      </c>
      <c r="G146" s="55">
        <v>91.78</v>
      </c>
      <c r="H146" s="55">
        <v>99.05</v>
      </c>
      <c r="I146" s="55">
        <v>121.13</v>
      </c>
      <c r="J146" s="55">
        <v>112.24</v>
      </c>
      <c r="K146" s="55">
        <v>122.37</v>
      </c>
      <c r="L146" s="55">
        <v>113.76</v>
      </c>
      <c r="M146" s="55">
        <v>119.83</v>
      </c>
      <c r="N146" s="55">
        <v>105.3</v>
      </c>
      <c r="O146" s="55">
        <v>122.23</v>
      </c>
      <c r="P146" s="55">
        <v>117.87</v>
      </c>
      <c r="Q146" s="55">
        <v>132.13999999999999</v>
      </c>
      <c r="R146" s="55">
        <v>145.51</v>
      </c>
      <c r="S146" s="55">
        <v>161.1</v>
      </c>
      <c r="T146" s="55">
        <v>166.66</v>
      </c>
      <c r="U146" s="55">
        <v>172.21</v>
      </c>
      <c r="V146" s="55">
        <v>178.51</v>
      </c>
      <c r="W146" s="55">
        <v>190.24</v>
      </c>
      <c r="X146" s="145">
        <v>8.7654054830943906E-2</v>
      </c>
      <c r="Y146" s="100">
        <v>6.6186551262780613E-2</v>
      </c>
      <c r="Z146" s="100">
        <v>5.112474437627812E-2</v>
      </c>
      <c r="AA146" s="100">
        <v>4.2948944699917391E-2</v>
      </c>
    </row>
    <row r="147" spans="1:27" customFormat="1" x14ac:dyDescent="0.3">
      <c r="A147" s="4">
        <v>260202</v>
      </c>
      <c r="B147" s="20" t="s">
        <v>1138</v>
      </c>
      <c r="C147" s="10" t="s">
        <v>23</v>
      </c>
      <c r="D147" s="10" t="s">
        <v>139</v>
      </c>
      <c r="E147" s="10" t="s">
        <v>821</v>
      </c>
      <c r="F147" s="38">
        <v>4</v>
      </c>
      <c r="G147" s="55">
        <v>42.02</v>
      </c>
      <c r="H147" s="55">
        <v>48.13</v>
      </c>
      <c r="I147" s="55">
        <v>56.11</v>
      </c>
      <c r="J147" s="55">
        <v>57.31</v>
      </c>
      <c r="K147" s="55">
        <v>54.24</v>
      </c>
      <c r="L147" s="55">
        <v>60.18</v>
      </c>
      <c r="M147" s="55">
        <v>63.74</v>
      </c>
      <c r="N147" s="55">
        <v>66.95</v>
      </c>
      <c r="O147" s="55">
        <v>71.5</v>
      </c>
      <c r="P147" s="55">
        <v>75.3</v>
      </c>
      <c r="Q147" s="55">
        <v>81.459999999999994</v>
      </c>
      <c r="R147" s="55">
        <v>84.71</v>
      </c>
      <c r="S147" s="55">
        <v>88.71</v>
      </c>
      <c r="T147" s="55">
        <v>92.79</v>
      </c>
      <c r="U147" s="55">
        <v>96.06</v>
      </c>
      <c r="V147" s="55">
        <v>99.01</v>
      </c>
      <c r="W147" s="55">
        <v>103.7</v>
      </c>
      <c r="X147" s="145">
        <v>5.2971106669089663E-2</v>
      </c>
      <c r="Y147" s="100">
        <v>4.199384473782608E-2</v>
      </c>
      <c r="Z147" s="100">
        <v>3.9473321003671291E-2</v>
      </c>
      <c r="AA147" s="100">
        <v>3.9806676049605638E-2</v>
      </c>
    </row>
    <row r="148" spans="1:27" customFormat="1" x14ac:dyDescent="0.3">
      <c r="A148" s="4">
        <v>260202</v>
      </c>
      <c r="B148" s="20" t="s">
        <v>1139</v>
      </c>
      <c r="C148" s="10" t="s">
        <v>23</v>
      </c>
      <c r="D148" s="10" t="s">
        <v>1140</v>
      </c>
      <c r="E148" s="10" t="s">
        <v>806</v>
      </c>
      <c r="F148" s="38">
        <v>3.4</v>
      </c>
      <c r="G148" s="55">
        <v>1324</v>
      </c>
      <c r="H148" s="55">
        <v>1296</v>
      </c>
      <c r="I148" s="55">
        <v>1280</v>
      </c>
      <c r="J148" s="55">
        <v>1316</v>
      </c>
      <c r="K148" s="55">
        <v>1400</v>
      </c>
      <c r="L148" s="55">
        <v>1351</v>
      </c>
      <c r="M148" s="55">
        <v>1370</v>
      </c>
      <c r="N148" s="55">
        <v>1411</v>
      </c>
      <c r="O148" s="55">
        <v>1527</v>
      </c>
      <c r="P148" s="55">
        <v>1443</v>
      </c>
      <c r="Q148" s="55">
        <v>1458</v>
      </c>
      <c r="R148" s="55">
        <v>1481</v>
      </c>
      <c r="S148" s="55">
        <v>1582</v>
      </c>
      <c r="T148" s="55">
        <v>1473</v>
      </c>
      <c r="U148" s="55">
        <v>1498</v>
      </c>
      <c r="V148" s="55">
        <v>1602</v>
      </c>
      <c r="W148" s="55">
        <v>1791</v>
      </c>
      <c r="X148" s="145">
        <v>5.0301810865192031E-3</v>
      </c>
      <c r="Y148" s="100">
        <v>6.6733400066734117E-3</v>
      </c>
      <c r="Z148" s="100">
        <v>2.0053032814053798E-2</v>
      </c>
      <c r="AA148" s="100">
        <v>3.3956133225020217E-2</v>
      </c>
    </row>
    <row r="149" spans="1:27" customFormat="1" x14ac:dyDescent="0.3">
      <c r="A149" s="4">
        <v>260202</v>
      </c>
      <c r="B149" s="20" t="s">
        <v>1141</v>
      </c>
      <c r="C149" s="10" t="s">
        <v>23</v>
      </c>
      <c r="D149" s="10" t="s">
        <v>139</v>
      </c>
      <c r="E149" s="10" t="s">
        <v>806</v>
      </c>
      <c r="F149" s="38">
        <v>3.3</v>
      </c>
      <c r="G149" s="55">
        <v>801.09</v>
      </c>
      <c r="H149" s="55">
        <v>836.55</v>
      </c>
      <c r="I149" s="55">
        <v>860.55</v>
      </c>
      <c r="J149" s="55">
        <v>841.66</v>
      </c>
      <c r="K149" s="55">
        <v>828.57</v>
      </c>
      <c r="L149" s="55">
        <v>900.2</v>
      </c>
      <c r="M149" s="55">
        <v>943.63</v>
      </c>
      <c r="N149" s="55">
        <v>915.53</v>
      </c>
      <c r="O149" s="55">
        <v>901.6</v>
      </c>
      <c r="P149" s="55">
        <v>964.1</v>
      </c>
      <c r="Q149" s="55">
        <v>1004</v>
      </c>
      <c r="R149" s="55">
        <v>975.54</v>
      </c>
      <c r="S149" s="55">
        <v>954.29</v>
      </c>
      <c r="T149" s="55">
        <v>998.43</v>
      </c>
      <c r="U149" s="55">
        <v>1109</v>
      </c>
      <c r="V149" s="55">
        <v>1105</v>
      </c>
      <c r="W149" s="55">
        <v>1091</v>
      </c>
      <c r="X149" s="145">
        <v>8.80723871388156E-3</v>
      </c>
      <c r="Y149" s="100">
        <v>2.670220178726734E-2</v>
      </c>
      <c r="Z149" s="100">
        <v>3.2066302393207291E-2</v>
      </c>
      <c r="AA149" s="100">
        <v>3.2809980032255659E-2</v>
      </c>
    </row>
    <row r="150" spans="1:27" customFormat="1" x14ac:dyDescent="0.3">
      <c r="A150" s="4">
        <v>260202</v>
      </c>
      <c r="B150" s="20" t="s">
        <v>1142</v>
      </c>
      <c r="C150" s="10" t="s">
        <v>23</v>
      </c>
      <c r="D150" s="10" t="s">
        <v>1143</v>
      </c>
      <c r="E150" s="10" t="s">
        <v>811</v>
      </c>
      <c r="F150" s="38">
        <v>2.8</v>
      </c>
      <c r="G150" s="55">
        <v>33.409999999999997</v>
      </c>
      <c r="H150" s="55">
        <v>35.909999999999997</v>
      </c>
      <c r="I150" s="55">
        <v>43.23</v>
      </c>
      <c r="J150" s="55">
        <v>39.49</v>
      </c>
      <c r="K150" s="55">
        <v>42.31</v>
      </c>
      <c r="L150" s="55">
        <v>43.53</v>
      </c>
      <c r="M150" s="55">
        <v>44.66</v>
      </c>
      <c r="N150" s="55">
        <v>41.68</v>
      </c>
      <c r="O150" s="55">
        <v>47.55</v>
      </c>
      <c r="P150" s="55">
        <v>49.27</v>
      </c>
      <c r="Q150" s="55">
        <v>50.33</v>
      </c>
      <c r="R150" s="55">
        <v>44</v>
      </c>
      <c r="S150" s="55">
        <v>42.93</v>
      </c>
      <c r="T150" s="55">
        <v>43.96</v>
      </c>
      <c r="U150" s="55">
        <v>50.72</v>
      </c>
      <c r="V150" s="55">
        <v>49.17</v>
      </c>
      <c r="W150" s="55">
        <v>48.17</v>
      </c>
      <c r="X150" s="145">
        <v>-2.8467270680319508E-2</v>
      </c>
      <c r="Y150" s="100">
        <v>2.1520803443328962E-3</v>
      </c>
      <c r="Z150" s="100">
        <v>2.8467595396729269E-2</v>
      </c>
      <c r="AA150" s="100">
        <v>2.8054395545561661E-2</v>
      </c>
    </row>
    <row r="151" spans="1:27" customFormat="1" x14ac:dyDescent="0.3">
      <c r="A151" s="4">
        <v>260202</v>
      </c>
      <c r="B151" s="20" t="s">
        <v>1144</v>
      </c>
      <c r="C151" s="10" t="s">
        <v>23</v>
      </c>
      <c r="D151" s="10" t="s">
        <v>459</v>
      </c>
      <c r="E151" s="10" t="s">
        <v>806</v>
      </c>
      <c r="F151" s="38">
        <v>2.4</v>
      </c>
      <c r="G151" s="55">
        <v>2944</v>
      </c>
      <c r="H151" s="55">
        <v>2818</v>
      </c>
      <c r="I151" s="55">
        <v>2927</v>
      </c>
      <c r="J151" s="55">
        <v>2949</v>
      </c>
      <c r="K151" s="55">
        <v>0</v>
      </c>
      <c r="L151" s="55">
        <v>2873</v>
      </c>
      <c r="M151" s="55">
        <v>3000</v>
      </c>
      <c r="N151" s="55">
        <v>3121</v>
      </c>
      <c r="O151" s="111">
        <v>3146</v>
      </c>
      <c r="P151" s="55">
        <v>3071</v>
      </c>
      <c r="Q151" s="55">
        <v>3187</v>
      </c>
      <c r="R151" s="55">
        <v>3264</v>
      </c>
      <c r="S151" s="55">
        <v>3295</v>
      </c>
      <c r="T151" s="55">
        <v>3224</v>
      </c>
      <c r="U151" s="55">
        <v>3380</v>
      </c>
      <c r="V151" s="55">
        <v>3420</v>
      </c>
      <c r="W151" s="55">
        <v>3620</v>
      </c>
      <c r="X151" s="145">
        <v>1.1937270812202531E-2</v>
      </c>
      <c r="Y151" s="100">
        <v>1.4880493446414841E-2</v>
      </c>
      <c r="Z151" s="100">
        <v>1.1851401656157501E-2</v>
      </c>
      <c r="AA151" s="100">
        <v>2.4401231323673001E-2</v>
      </c>
    </row>
    <row r="152" spans="1:27" customFormat="1" x14ac:dyDescent="0.3">
      <c r="A152" s="4">
        <v>260202</v>
      </c>
      <c r="B152" s="20" t="s">
        <v>1145</v>
      </c>
      <c r="C152" s="10" t="s">
        <v>23</v>
      </c>
      <c r="D152" s="10" t="s">
        <v>728</v>
      </c>
      <c r="E152" s="10" t="s">
        <v>806</v>
      </c>
      <c r="F152" s="38">
        <v>2.2000000000000002</v>
      </c>
      <c r="G152" s="55">
        <v>46.11</v>
      </c>
      <c r="H152" s="55">
        <v>50.91</v>
      </c>
      <c r="I152" s="55">
        <v>60.49</v>
      </c>
      <c r="J152" s="55">
        <v>66.459999999999994</v>
      </c>
      <c r="K152" s="55">
        <v>58.29</v>
      </c>
      <c r="L152" s="55">
        <v>66.78</v>
      </c>
      <c r="M152" s="55">
        <v>73.98</v>
      </c>
      <c r="N152" s="55">
        <v>74.88</v>
      </c>
      <c r="O152" s="55">
        <v>65.69</v>
      </c>
      <c r="P152" s="55">
        <v>71.69</v>
      </c>
      <c r="Q152" s="55">
        <v>76.55</v>
      </c>
      <c r="R152" s="55">
        <v>89.43</v>
      </c>
      <c r="S152" s="55">
        <v>80.06</v>
      </c>
      <c r="T152" s="55">
        <v>91.25</v>
      </c>
      <c r="U152" s="55">
        <v>91.52</v>
      </c>
      <c r="V152" s="55">
        <v>102.02</v>
      </c>
      <c r="W152" s="55">
        <v>87.94</v>
      </c>
      <c r="X152" s="145">
        <v>6.1561703333018691E-2</v>
      </c>
      <c r="Y152" s="100">
        <v>4.4383171751311901E-2</v>
      </c>
      <c r="Z152" s="100">
        <v>3.574064611366623E-2</v>
      </c>
      <c r="AA152" s="100">
        <v>2.1597916952172062E-2</v>
      </c>
    </row>
    <row r="153" spans="1:27" customFormat="1" x14ac:dyDescent="0.3">
      <c r="A153" s="4">
        <v>260202</v>
      </c>
      <c r="B153" s="20" t="s">
        <v>1146</v>
      </c>
      <c r="C153" s="10" t="s">
        <v>23</v>
      </c>
      <c r="D153" s="10" t="s">
        <v>445</v>
      </c>
      <c r="E153" s="10" t="s">
        <v>806</v>
      </c>
      <c r="F153" s="38">
        <v>1.9</v>
      </c>
      <c r="G153" s="55">
        <v>3039</v>
      </c>
      <c r="H153" s="55">
        <v>3136</v>
      </c>
      <c r="I153" s="55">
        <v>3312</v>
      </c>
      <c r="J153" s="55">
        <v>3445</v>
      </c>
      <c r="K153" s="55">
        <v>3312</v>
      </c>
      <c r="L153" s="55">
        <v>3121</v>
      </c>
      <c r="M153" s="55">
        <v>3299</v>
      </c>
      <c r="N153" s="55">
        <v>3434</v>
      </c>
      <c r="O153" s="55">
        <v>3422</v>
      </c>
      <c r="P153" s="55">
        <v>3126</v>
      </c>
      <c r="Q153" s="55">
        <v>3127</v>
      </c>
      <c r="R153" s="55">
        <v>3250</v>
      </c>
      <c r="S153" s="55">
        <v>3111</v>
      </c>
      <c r="T153" s="55">
        <v>2835</v>
      </c>
      <c r="U153" s="55">
        <v>2926</v>
      </c>
      <c r="V153" s="55">
        <v>3173</v>
      </c>
      <c r="W153" s="55">
        <v>3335</v>
      </c>
      <c r="X153" s="145">
        <v>-2.3069605200570779E-2</v>
      </c>
      <c r="Y153" s="100">
        <v>-1.6310963239470899E-2</v>
      </c>
      <c r="Z153" s="100">
        <v>-6.3520871143375457E-3</v>
      </c>
      <c r="AA153" s="100">
        <v>1.8596928185969249E-2</v>
      </c>
    </row>
    <row r="154" spans="1:27" customFormat="1" x14ac:dyDescent="0.3">
      <c r="A154" s="4">
        <v>260202</v>
      </c>
      <c r="B154" s="20" t="s">
        <v>1147</v>
      </c>
      <c r="C154" s="10" t="s">
        <v>23</v>
      </c>
      <c r="D154" s="10" t="s">
        <v>139</v>
      </c>
      <c r="E154" s="10" t="s">
        <v>806</v>
      </c>
      <c r="F154" s="38">
        <v>1.5</v>
      </c>
      <c r="G154" s="55">
        <v>1028</v>
      </c>
      <c r="H154" s="55">
        <v>963.16</v>
      </c>
      <c r="I154" s="55">
        <v>895.64</v>
      </c>
      <c r="J154" s="55">
        <v>711.8</v>
      </c>
      <c r="K154" s="55">
        <v>741.21</v>
      </c>
      <c r="L154" s="55">
        <v>674.87</v>
      </c>
      <c r="M154" s="55">
        <v>709.07</v>
      </c>
      <c r="N154" s="55">
        <v>670.74</v>
      </c>
      <c r="O154" s="55">
        <v>695.9</v>
      </c>
      <c r="P154" s="55">
        <v>649.91999999999996</v>
      </c>
      <c r="Q154" s="55">
        <v>691.69</v>
      </c>
      <c r="R154" s="55">
        <v>684.05</v>
      </c>
      <c r="S154" s="55">
        <v>729.37</v>
      </c>
      <c r="T154" s="55">
        <v>664.76</v>
      </c>
      <c r="U154" s="55">
        <v>720.28</v>
      </c>
      <c r="V154" s="55">
        <v>698.95</v>
      </c>
      <c r="W154" s="55">
        <v>772.06</v>
      </c>
      <c r="X154" s="145">
        <v>5.3865112176636476E-3</v>
      </c>
      <c r="Y154" s="100">
        <v>1.032178405484729E-2</v>
      </c>
      <c r="Z154" s="100">
        <v>5.3243569677607896E-3</v>
      </c>
      <c r="AA154" s="100">
        <v>1.5174026786475951E-2</v>
      </c>
    </row>
    <row r="155" spans="1:27" customFormat="1" x14ac:dyDescent="0.3">
      <c r="A155" s="4">
        <v>260202</v>
      </c>
      <c r="B155" s="20" t="s">
        <v>1148</v>
      </c>
      <c r="C155" s="10" t="s">
        <v>23</v>
      </c>
      <c r="D155" s="10" t="s">
        <v>1149</v>
      </c>
      <c r="E155" s="10" t="s">
        <v>821</v>
      </c>
      <c r="F155" s="38">
        <v>1.4</v>
      </c>
      <c r="G155" s="55">
        <v>21819</v>
      </c>
      <c r="H155" s="55">
        <v>19249</v>
      </c>
      <c r="I155" s="55">
        <v>21504</v>
      </c>
      <c r="J155" s="55">
        <v>20150</v>
      </c>
      <c r="K155" s="55">
        <v>23512</v>
      </c>
      <c r="L155" s="55">
        <v>21815</v>
      </c>
      <c r="M155" s="55">
        <v>22330</v>
      </c>
      <c r="N155" s="55">
        <v>21241</v>
      </c>
      <c r="O155" s="55">
        <v>23549</v>
      </c>
      <c r="P155" s="55">
        <v>22083</v>
      </c>
      <c r="Q155" s="55">
        <v>23155</v>
      </c>
      <c r="R155" s="55">
        <v>22574</v>
      </c>
      <c r="S155" s="55">
        <v>24690</v>
      </c>
      <c r="T155" s="55">
        <v>23621</v>
      </c>
      <c r="U155" s="55">
        <v>23650</v>
      </c>
      <c r="V155" s="55">
        <v>22464</v>
      </c>
      <c r="W155" s="55">
        <v>25981</v>
      </c>
      <c r="X155" s="145">
        <v>1.6626667531512759E-2</v>
      </c>
      <c r="Y155" s="100">
        <v>5.2637175669927316E-3</v>
      </c>
      <c r="Z155" s="100">
        <v>-1.163590204686149E-3</v>
      </c>
      <c r="AA155" s="100">
        <v>1.367222663489542E-2</v>
      </c>
    </row>
    <row r="156" spans="1:27" customFormat="1" x14ac:dyDescent="0.3">
      <c r="A156" s="4">
        <v>260202</v>
      </c>
      <c r="B156" s="20" t="s">
        <v>1150</v>
      </c>
      <c r="C156" s="10" t="s">
        <v>23</v>
      </c>
      <c r="D156" s="10" t="s">
        <v>1151</v>
      </c>
      <c r="E156" s="10" t="s">
        <v>821</v>
      </c>
      <c r="F156" s="38">
        <v>1.3</v>
      </c>
      <c r="G156" s="55">
        <v>12933</v>
      </c>
      <c r="H156" s="55">
        <v>13117</v>
      </c>
      <c r="I156" s="55">
        <v>13495</v>
      </c>
      <c r="J156" s="55">
        <v>13737</v>
      </c>
      <c r="K156" s="55">
        <v>13260</v>
      </c>
      <c r="L156" s="55">
        <v>13133</v>
      </c>
      <c r="M156" s="55">
        <v>13140</v>
      </c>
      <c r="N156" s="55">
        <v>13348</v>
      </c>
      <c r="O156" s="55">
        <v>13319</v>
      </c>
      <c r="P156" s="55">
        <v>13072</v>
      </c>
      <c r="Q156" s="55">
        <v>13353</v>
      </c>
      <c r="R156" s="55">
        <v>13565</v>
      </c>
      <c r="S156" s="55">
        <v>13623</v>
      </c>
      <c r="T156" s="55">
        <v>13074</v>
      </c>
      <c r="U156" s="55">
        <v>13884</v>
      </c>
      <c r="V156" s="55">
        <v>13860</v>
      </c>
      <c r="W156" s="55">
        <v>14313</v>
      </c>
      <c r="X156" s="145">
        <v>3.7304385130498829E-5</v>
      </c>
      <c r="Y156" s="100">
        <v>9.903944791569419E-3</v>
      </c>
      <c r="Z156" s="100">
        <v>5.4482325564215728E-3</v>
      </c>
      <c r="AA156" s="100">
        <v>1.267427122940434E-2</v>
      </c>
    </row>
    <row r="157" spans="1:27" customFormat="1" x14ac:dyDescent="0.3">
      <c r="A157" s="4">
        <v>260202</v>
      </c>
      <c r="B157" s="20" t="s">
        <v>1152</v>
      </c>
      <c r="C157" s="10" t="s">
        <v>23</v>
      </c>
      <c r="D157" s="10" t="s">
        <v>79</v>
      </c>
      <c r="E157" s="10" t="s">
        <v>806</v>
      </c>
      <c r="F157" s="38">
        <v>1.2</v>
      </c>
      <c r="G157" s="55">
        <v>4134</v>
      </c>
      <c r="H157" s="55">
        <v>4178</v>
      </c>
      <c r="I157" s="55">
        <v>4057</v>
      </c>
      <c r="J157" s="55">
        <v>4614</v>
      </c>
      <c r="K157" s="55">
        <v>4640</v>
      </c>
      <c r="L157" s="55">
        <v>4818</v>
      </c>
      <c r="M157" s="55">
        <v>5200</v>
      </c>
      <c r="N157" s="55">
        <v>5114</v>
      </c>
      <c r="O157" s="55">
        <v>4919</v>
      </c>
      <c r="P157" s="55">
        <v>4901</v>
      </c>
      <c r="Q157" s="55">
        <v>5051</v>
      </c>
      <c r="R157" s="55">
        <v>4854</v>
      </c>
      <c r="S157" s="55">
        <v>4907</v>
      </c>
      <c r="T157" s="55">
        <v>4825</v>
      </c>
      <c r="U157" s="55">
        <v>5208</v>
      </c>
      <c r="V157" s="55">
        <v>5212</v>
      </c>
      <c r="W157" s="55">
        <v>5153</v>
      </c>
      <c r="X157" s="145">
        <v>-3.8553238979354139E-3</v>
      </c>
      <c r="Y157" s="100">
        <v>7.9951112695422211E-3</v>
      </c>
      <c r="Z157" s="100">
        <v>1.808628877437601E-2</v>
      </c>
      <c r="AA157" s="100">
        <v>1.2207225089321261E-2</v>
      </c>
    </row>
    <row r="158" spans="1:27" customFormat="1" x14ac:dyDescent="0.3">
      <c r="A158" s="4">
        <v>260202</v>
      </c>
      <c r="B158" s="20" t="s">
        <v>1153</v>
      </c>
      <c r="C158" s="10" t="s">
        <v>23</v>
      </c>
      <c r="D158" s="10" t="s">
        <v>1154</v>
      </c>
      <c r="E158" s="10" t="s">
        <v>806</v>
      </c>
      <c r="F158" s="38">
        <v>0.8</v>
      </c>
      <c r="G158" s="55">
        <v>483.21</v>
      </c>
      <c r="H158" s="55">
        <v>498.37</v>
      </c>
      <c r="I158" s="55">
        <v>517.92999999999995</v>
      </c>
      <c r="J158" s="55">
        <v>520.41</v>
      </c>
      <c r="K158" s="55">
        <v>524.47</v>
      </c>
      <c r="L158" s="55">
        <v>525.67999999999995</v>
      </c>
      <c r="M158" s="55">
        <v>545.42999999999995</v>
      </c>
      <c r="N158" s="55">
        <v>556.24</v>
      </c>
      <c r="O158" s="55">
        <v>553.65</v>
      </c>
      <c r="P158" s="55">
        <v>606.55999999999995</v>
      </c>
      <c r="Q158" s="55">
        <v>695.5</v>
      </c>
      <c r="R158" s="55">
        <v>700.4</v>
      </c>
      <c r="S158" s="55">
        <v>697.99</v>
      </c>
      <c r="T158" s="55">
        <v>702.89</v>
      </c>
      <c r="U158" s="55">
        <v>694.35</v>
      </c>
      <c r="V158" s="55">
        <v>705.87</v>
      </c>
      <c r="W158" s="55">
        <v>719.4</v>
      </c>
      <c r="X158" s="145">
        <v>3.5671832472365723E-2</v>
      </c>
      <c r="Y158" s="100">
        <v>-4.1118715093768632E-4</v>
      </c>
      <c r="Z158" s="100">
        <v>1.9566251614124841E-3</v>
      </c>
      <c r="AA158" s="100">
        <v>7.6434257970083852E-3</v>
      </c>
    </row>
    <row r="159" spans="1:27" customFormat="1" x14ac:dyDescent="0.3">
      <c r="A159" s="4">
        <v>260202</v>
      </c>
      <c r="B159" s="20" t="s">
        <v>1155</v>
      </c>
      <c r="C159" s="10" t="s">
        <v>23</v>
      </c>
      <c r="D159" s="10" t="s">
        <v>810</v>
      </c>
      <c r="E159" s="10" t="s">
        <v>806</v>
      </c>
      <c r="F159" s="38">
        <v>0.5</v>
      </c>
      <c r="G159" s="55">
        <v>316.3</v>
      </c>
      <c r="H159" s="55">
        <v>312.39999999999998</v>
      </c>
      <c r="I159" s="55">
        <v>313.39999999999998</v>
      </c>
      <c r="J159" s="55">
        <v>334.8</v>
      </c>
      <c r="K159" s="55">
        <v>314.60000000000002</v>
      </c>
      <c r="L159" s="55">
        <v>305</v>
      </c>
      <c r="M159" s="55">
        <v>324</v>
      </c>
      <c r="N159" s="55">
        <v>363.1</v>
      </c>
      <c r="O159" s="55">
        <v>356.5</v>
      </c>
      <c r="P159" s="55">
        <v>355.6</v>
      </c>
      <c r="Q159" s="55">
        <v>365.5</v>
      </c>
      <c r="R159" s="55">
        <v>378.5</v>
      </c>
      <c r="S159" s="55">
        <v>395.9</v>
      </c>
      <c r="T159" s="55">
        <v>382</v>
      </c>
      <c r="U159" s="55">
        <v>414.2</v>
      </c>
      <c r="V159" s="55">
        <v>420.9</v>
      </c>
      <c r="W159" s="55">
        <v>404.2</v>
      </c>
      <c r="X159" s="145">
        <v>1.765295887662988E-2</v>
      </c>
      <c r="Y159" s="100">
        <v>3.1999474341283703E-2</v>
      </c>
      <c r="Z159" s="100">
        <v>2.699605246402648E-2</v>
      </c>
      <c r="AA159" s="100">
        <v>5.1456912585243764E-3</v>
      </c>
    </row>
    <row r="160" spans="1:27" customFormat="1" x14ac:dyDescent="0.3">
      <c r="A160" s="4">
        <v>260202</v>
      </c>
      <c r="B160" s="20" t="s">
        <v>1156</v>
      </c>
      <c r="C160" s="10" t="s">
        <v>23</v>
      </c>
      <c r="D160" s="10" t="s">
        <v>168</v>
      </c>
      <c r="E160" s="10" t="s">
        <v>806</v>
      </c>
      <c r="F160" s="38">
        <v>-0.2</v>
      </c>
      <c r="G160" s="55">
        <v>294.12</v>
      </c>
      <c r="H160" s="55">
        <v>294.62</v>
      </c>
      <c r="I160" s="55">
        <v>293.12</v>
      </c>
      <c r="J160" s="55">
        <v>292.8</v>
      </c>
      <c r="K160" s="55">
        <v>292.25</v>
      </c>
      <c r="L160" s="55">
        <v>283.97000000000003</v>
      </c>
      <c r="M160" s="55">
        <v>290.68</v>
      </c>
      <c r="N160" s="55">
        <v>296.51</v>
      </c>
      <c r="O160" s="55">
        <v>283.95999999999998</v>
      </c>
      <c r="P160" s="55">
        <v>294.36</v>
      </c>
      <c r="Q160" s="55">
        <v>305.27999999999997</v>
      </c>
      <c r="R160" s="55">
        <v>306.64999999999998</v>
      </c>
      <c r="S160" s="55">
        <v>301.44</v>
      </c>
      <c r="T160" s="55">
        <v>306.23</v>
      </c>
      <c r="U160" s="55">
        <v>304.25</v>
      </c>
      <c r="V160" s="55">
        <v>304.51</v>
      </c>
      <c r="W160" s="55">
        <v>298.64999999999998</v>
      </c>
      <c r="X160" s="145">
        <v>9.8283556755234258E-3</v>
      </c>
      <c r="Y160" s="100">
        <v>-8.4453919317806214E-4</v>
      </c>
      <c r="Z160" s="100">
        <v>-1.756156806748788E-3</v>
      </c>
      <c r="AA160" s="100">
        <v>-2.293596836645095E-3</v>
      </c>
    </row>
    <row r="161" spans="1:27" customFormat="1" x14ac:dyDescent="0.3">
      <c r="A161" s="4">
        <v>260202</v>
      </c>
      <c r="B161" s="20" t="s">
        <v>1157</v>
      </c>
      <c r="C161" s="10" t="s">
        <v>23</v>
      </c>
      <c r="D161" s="10" t="s">
        <v>691</v>
      </c>
      <c r="E161" s="10" t="s">
        <v>806</v>
      </c>
      <c r="F161" s="38">
        <v>-0.9</v>
      </c>
      <c r="G161" s="55">
        <v>410.36</v>
      </c>
      <c r="H161" s="55">
        <v>416.97</v>
      </c>
      <c r="I161" s="55">
        <v>436.52</v>
      </c>
      <c r="J161" s="55">
        <v>437.62</v>
      </c>
      <c r="K161" s="55">
        <v>419.66</v>
      </c>
      <c r="L161" s="55">
        <v>406</v>
      </c>
      <c r="M161" s="55">
        <v>389.19</v>
      </c>
      <c r="N161" s="55">
        <v>373.12</v>
      </c>
      <c r="O161" s="55">
        <v>363.45</v>
      </c>
      <c r="P161" s="55">
        <v>351.89</v>
      </c>
      <c r="Q161" s="55">
        <v>356.32</v>
      </c>
      <c r="R161" s="55">
        <v>353.32</v>
      </c>
      <c r="S161" s="55">
        <v>343.78</v>
      </c>
      <c r="T161" s="55">
        <v>330.03</v>
      </c>
      <c r="U161" s="55">
        <v>334.32</v>
      </c>
      <c r="V161" s="55">
        <v>332.65</v>
      </c>
      <c r="W161" s="55">
        <v>332.02</v>
      </c>
      <c r="X161" s="145">
        <v>-1.555528673388795E-2</v>
      </c>
      <c r="Y161" s="100">
        <v>-1.5902273302251579E-2</v>
      </c>
      <c r="Z161" s="100">
        <v>-1.5182342355576689E-2</v>
      </c>
      <c r="AA161" s="100">
        <v>-8.7710138874386168E-3</v>
      </c>
    </row>
    <row r="162" spans="1:27" customFormat="1" x14ac:dyDescent="0.3">
      <c r="A162" s="4">
        <v>260202</v>
      </c>
      <c r="B162" s="20" t="s">
        <v>1158</v>
      </c>
      <c r="C162" s="10" t="s">
        <v>23</v>
      </c>
      <c r="D162" s="10" t="s">
        <v>41</v>
      </c>
      <c r="E162" s="10" t="s">
        <v>821</v>
      </c>
      <c r="F162" s="38">
        <v>-1</v>
      </c>
      <c r="G162" s="55">
        <v>512</v>
      </c>
      <c r="H162" s="55">
        <v>604</v>
      </c>
      <c r="I162" s="55">
        <v>644</v>
      </c>
      <c r="J162" s="55">
        <v>632</v>
      </c>
      <c r="K162" s="55">
        <v>525</v>
      </c>
      <c r="L162" s="55">
        <v>603</v>
      </c>
      <c r="M162" s="55">
        <v>546</v>
      </c>
      <c r="N162" s="55">
        <v>517</v>
      </c>
      <c r="O162" s="55">
        <v>473</v>
      </c>
      <c r="P162" s="55">
        <v>575</v>
      </c>
      <c r="Q162" s="55">
        <v>544</v>
      </c>
      <c r="R162" s="55">
        <v>522</v>
      </c>
      <c r="S162" s="55">
        <v>405</v>
      </c>
      <c r="T162" s="55">
        <v>479</v>
      </c>
      <c r="U162" s="55">
        <v>463</v>
      </c>
      <c r="V162" s="55">
        <v>477</v>
      </c>
      <c r="W162" s="55">
        <v>386</v>
      </c>
      <c r="X162" s="145">
        <v>-4.692082111436946E-2</v>
      </c>
      <c r="Y162" s="100">
        <v>-4.1538461538461517E-2</v>
      </c>
      <c r="Z162" s="100">
        <v>-2.4077046548956701E-2</v>
      </c>
      <c r="AA162" s="100">
        <v>-1.041666666666663E-2</v>
      </c>
    </row>
    <row r="163" spans="1:27" customFormat="1" x14ac:dyDescent="0.3">
      <c r="A163" s="4">
        <v>260202</v>
      </c>
      <c r="B163" s="20" t="s">
        <v>1159</v>
      </c>
      <c r="C163" s="10" t="s">
        <v>23</v>
      </c>
      <c r="D163" s="10" t="s">
        <v>1160</v>
      </c>
      <c r="E163" s="10" t="s">
        <v>806</v>
      </c>
      <c r="F163" s="38">
        <v>-2.4</v>
      </c>
      <c r="G163" s="55">
        <v>473.47</v>
      </c>
      <c r="H163" s="55">
        <v>463.42</v>
      </c>
      <c r="I163" s="55">
        <v>619.88</v>
      </c>
      <c r="J163" s="55">
        <v>632.46</v>
      </c>
      <c r="K163" s="111">
        <v>704.21</v>
      </c>
      <c r="L163" s="55">
        <v>662.92</v>
      </c>
      <c r="M163" s="55">
        <v>641.84</v>
      </c>
      <c r="N163" s="55">
        <v>636.52</v>
      </c>
      <c r="O163" s="55">
        <v>625.41999999999996</v>
      </c>
      <c r="P163" s="55">
        <v>651.70000000000005</v>
      </c>
      <c r="Q163" s="55">
        <v>593.35</v>
      </c>
      <c r="R163" s="55">
        <v>613.57000000000005</v>
      </c>
      <c r="S163" s="55">
        <v>590.09</v>
      </c>
      <c r="T163" s="55">
        <v>540.47</v>
      </c>
      <c r="U163" s="55">
        <v>547.46</v>
      </c>
      <c r="V163" s="55">
        <v>571.37</v>
      </c>
      <c r="W163" s="55">
        <v>535.51</v>
      </c>
      <c r="X163" s="145">
        <v>-4.5423917082872189E-2</v>
      </c>
      <c r="Y163" s="100">
        <v>-1.9632253537998131E-2</v>
      </c>
      <c r="Z163" s="100">
        <v>-1.8415161525403682E-2</v>
      </c>
      <c r="AA163" s="100">
        <v>-2.426435611432454E-2</v>
      </c>
    </row>
    <row r="164" spans="1:27" customFormat="1" x14ac:dyDescent="0.3">
      <c r="A164" s="4">
        <v>260202</v>
      </c>
      <c r="B164" s="20" t="s">
        <v>1161</v>
      </c>
      <c r="C164" s="10" t="s">
        <v>23</v>
      </c>
      <c r="D164" s="10" t="s">
        <v>182</v>
      </c>
      <c r="E164" s="10" t="s">
        <v>806</v>
      </c>
      <c r="F164" s="38">
        <v>-39.5</v>
      </c>
      <c r="G164" s="55">
        <v>166.7</v>
      </c>
      <c r="H164" s="55">
        <v>-33.03</v>
      </c>
      <c r="I164" s="55">
        <v>-88.9</v>
      </c>
      <c r="J164" s="55">
        <v>346.8</v>
      </c>
      <c r="K164" s="55">
        <v>-146.16999999999999</v>
      </c>
      <c r="L164" s="55">
        <v>-100.54</v>
      </c>
      <c r="M164" s="111">
        <v>239.29</v>
      </c>
      <c r="N164" s="55">
        <v>349.87</v>
      </c>
      <c r="O164" s="55">
        <v>-233.74</v>
      </c>
      <c r="P164" s="111">
        <v>259.25</v>
      </c>
      <c r="Q164" s="55">
        <v>136.57</v>
      </c>
      <c r="R164" s="55">
        <v>-73.11</v>
      </c>
      <c r="S164" s="111">
        <v>271.04000000000002</v>
      </c>
      <c r="T164" s="55">
        <v>7.89</v>
      </c>
      <c r="U164" s="55">
        <v>23.61</v>
      </c>
      <c r="V164" s="111">
        <v>201.36</v>
      </c>
      <c r="W164" s="55">
        <v>71.94</v>
      </c>
      <c r="X164" s="145">
        <v>-0.42334315789473692</v>
      </c>
      <c r="Y164" s="100">
        <v>-0.32991617745845381</v>
      </c>
      <c r="Z164" s="113">
        <v>1.196312600793271</v>
      </c>
      <c r="AA164" s="100">
        <v>-0.39511807898392542</v>
      </c>
    </row>
    <row r="165" spans="1:27" customFormat="1" x14ac:dyDescent="0.3">
      <c r="A165" s="4">
        <v>260202</v>
      </c>
      <c r="B165" s="83">
        <v>8370</v>
      </c>
      <c r="C165" s="84" t="s">
        <v>67</v>
      </c>
      <c r="D165" s="84" t="s">
        <v>1162</v>
      </c>
      <c r="E165" s="10" t="s">
        <v>817</v>
      </c>
      <c r="F165" s="121">
        <v>8.6999999999999993</v>
      </c>
      <c r="G165" s="116">
        <v>18255</v>
      </c>
      <c r="H165" s="116">
        <v>16336</v>
      </c>
      <c r="I165" s="116">
        <v>21599</v>
      </c>
      <c r="J165" s="116">
        <v>18351</v>
      </c>
      <c r="K165" s="116">
        <v>17959</v>
      </c>
      <c r="L165" s="116">
        <v>19789</v>
      </c>
      <c r="M165" s="116">
        <v>17504</v>
      </c>
      <c r="N165" s="116">
        <v>17837</v>
      </c>
      <c r="O165" s="116">
        <v>17614</v>
      </c>
      <c r="P165" s="116">
        <v>22750</v>
      </c>
      <c r="Q165" s="116">
        <v>21185</v>
      </c>
      <c r="R165" s="116">
        <v>17490</v>
      </c>
      <c r="S165" s="116">
        <v>23018</v>
      </c>
      <c r="T165" s="116">
        <v>23840</v>
      </c>
      <c r="U165" s="116">
        <v>22188</v>
      </c>
      <c r="V165" s="116">
        <v>17463</v>
      </c>
      <c r="W165" s="116">
        <v>30564</v>
      </c>
      <c r="X165" s="147">
        <v>1.290811553355509E-2</v>
      </c>
      <c r="Y165" s="119">
        <v>1.1726468146797229E-2</v>
      </c>
      <c r="Z165" s="119">
        <v>-3.1200887491911189E-4</v>
      </c>
      <c r="AA165" s="119">
        <v>8.7227918482470024E-2</v>
      </c>
    </row>
    <row r="166" spans="1:27" customFormat="1" x14ac:dyDescent="0.3">
      <c r="A166" s="4">
        <v>260202</v>
      </c>
      <c r="B166" s="20">
        <v>8601</v>
      </c>
      <c r="C166" s="10" t="s">
        <v>67</v>
      </c>
      <c r="D166" s="10" t="s">
        <v>1163</v>
      </c>
      <c r="E166" s="10" t="s">
        <v>817</v>
      </c>
      <c r="F166" s="38">
        <v>8</v>
      </c>
      <c r="G166" s="55">
        <v>166602</v>
      </c>
      <c r="H166" s="55">
        <v>148323</v>
      </c>
      <c r="I166" s="55">
        <v>146604</v>
      </c>
      <c r="J166" s="55">
        <v>192551</v>
      </c>
      <c r="K166" s="111">
        <v>233022</v>
      </c>
      <c r="L166" s="111">
        <v>293864</v>
      </c>
      <c r="M166" s="111">
        <v>266255</v>
      </c>
      <c r="N166" s="111">
        <v>303827</v>
      </c>
      <c r="O166" s="55">
        <v>335377</v>
      </c>
      <c r="P166" s="55">
        <v>372008</v>
      </c>
      <c r="Q166" s="55">
        <v>176188</v>
      </c>
      <c r="R166" s="55">
        <v>159958</v>
      </c>
      <c r="S166" s="55">
        <v>160018</v>
      </c>
      <c r="T166" s="111">
        <v>876860</v>
      </c>
      <c r="U166" s="55">
        <v>160993</v>
      </c>
      <c r="V166" s="55">
        <v>194358</v>
      </c>
      <c r="W166" s="55">
        <v>271228</v>
      </c>
      <c r="X166" s="146">
        <v>0.58151149772164956</v>
      </c>
      <c r="Y166" s="100">
        <v>-1.106681310741842E-2</v>
      </c>
      <c r="Z166" s="100">
        <v>2.5334559800976431E-2</v>
      </c>
      <c r="AA166" s="100">
        <v>7.9879100349152354E-2</v>
      </c>
    </row>
    <row r="167" spans="1:27" customFormat="1" x14ac:dyDescent="0.3">
      <c r="A167" s="4">
        <v>260202</v>
      </c>
      <c r="B167" s="20">
        <v>8331</v>
      </c>
      <c r="C167" s="10" t="s">
        <v>67</v>
      </c>
      <c r="D167" s="10" t="s">
        <v>1164</v>
      </c>
      <c r="E167" s="10" t="s">
        <v>817</v>
      </c>
      <c r="F167" s="38">
        <v>7</v>
      </c>
      <c r="G167" s="55">
        <v>52659</v>
      </c>
      <c r="H167" s="55">
        <v>49973</v>
      </c>
      <c r="I167" s="55">
        <v>61244</v>
      </c>
      <c r="J167" s="55">
        <v>63020</v>
      </c>
      <c r="K167" s="55">
        <v>60603</v>
      </c>
      <c r="L167" s="55">
        <v>55498</v>
      </c>
      <c r="M167" s="55">
        <v>60170</v>
      </c>
      <c r="N167" s="55">
        <v>60590</v>
      </c>
      <c r="O167" s="55">
        <v>61776</v>
      </c>
      <c r="P167" s="55">
        <v>55515</v>
      </c>
      <c r="Q167" s="55">
        <v>67905</v>
      </c>
      <c r="R167" s="55">
        <v>66474</v>
      </c>
      <c r="S167" s="55">
        <v>64252</v>
      </c>
      <c r="T167" s="55">
        <v>65179</v>
      </c>
      <c r="U167" s="55">
        <v>75955</v>
      </c>
      <c r="V167" s="55">
        <v>81359</v>
      </c>
      <c r="W167" s="55">
        <v>84291</v>
      </c>
      <c r="X167" s="145">
        <v>3.8025386982285747E-2</v>
      </c>
      <c r="Y167" s="100">
        <v>3.0514385353095141E-2</v>
      </c>
      <c r="Z167" s="100">
        <v>5.4752446111969499E-2</v>
      </c>
      <c r="AA167" s="100">
        <v>6.9884392055659106E-2</v>
      </c>
    </row>
    <row r="168" spans="1:27" customFormat="1" x14ac:dyDescent="0.3">
      <c r="A168" s="4">
        <v>260202</v>
      </c>
      <c r="B168" s="20">
        <v>7337</v>
      </c>
      <c r="C168" s="10" t="s">
        <v>67</v>
      </c>
      <c r="D168" s="10" t="s">
        <v>1165</v>
      </c>
      <c r="E168" s="10" t="s">
        <v>817</v>
      </c>
      <c r="F168" s="38">
        <v>6.9</v>
      </c>
      <c r="G168" s="55">
        <v>35473</v>
      </c>
      <c r="H168" s="55">
        <v>31052</v>
      </c>
      <c r="I168" s="55">
        <v>36024</v>
      </c>
      <c r="J168" s="55">
        <v>28051</v>
      </c>
      <c r="K168" s="55">
        <v>34042</v>
      </c>
      <c r="L168" s="55">
        <v>33564</v>
      </c>
      <c r="M168" s="55">
        <v>36058</v>
      </c>
      <c r="N168" s="55">
        <v>36180</v>
      </c>
      <c r="O168" s="55">
        <v>35605</v>
      </c>
      <c r="P168" s="55">
        <v>27550</v>
      </c>
      <c r="Q168" s="55">
        <v>38834</v>
      </c>
      <c r="R168" s="55">
        <v>38922</v>
      </c>
      <c r="S168" s="55">
        <v>42895</v>
      </c>
      <c r="T168" s="55">
        <v>37223</v>
      </c>
      <c r="U168" s="55">
        <v>42154</v>
      </c>
      <c r="V168" s="55">
        <v>39847</v>
      </c>
      <c r="W168" s="55">
        <v>54153</v>
      </c>
      <c r="X168" s="145">
        <v>6.5269465118318992E-2</v>
      </c>
      <c r="Y168" s="100">
        <v>2.1029428531613711E-2</v>
      </c>
      <c r="Z168" s="100">
        <v>5.7384269885976114E-3</v>
      </c>
      <c r="AA168" s="100">
        <v>6.9442816696377418E-2</v>
      </c>
    </row>
    <row r="169" spans="1:27" customFormat="1" x14ac:dyDescent="0.3">
      <c r="A169" s="4">
        <v>260202</v>
      </c>
      <c r="B169" s="20">
        <v>8386</v>
      </c>
      <c r="C169" s="10" t="s">
        <v>67</v>
      </c>
      <c r="D169" s="10" t="s">
        <v>1166</v>
      </c>
      <c r="E169" s="10" t="s">
        <v>811</v>
      </c>
      <c r="F169" s="38">
        <v>6</v>
      </c>
      <c r="G169" s="55">
        <v>17037</v>
      </c>
      <c r="H169" s="55">
        <v>18567</v>
      </c>
      <c r="I169" s="55">
        <v>15023</v>
      </c>
      <c r="J169" s="55">
        <v>21178</v>
      </c>
      <c r="K169" s="55">
        <v>20437</v>
      </c>
      <c r="L169" s="55">
        <v>19040</v>
      </c>
      <c r="M169" s="55">
        <v>14645</v>
      </c>
      <c r="N169" s="55">
        <v>16940</v>
      </c>
      <c r="O169" s="55">
        <v>14494</v>
      </c>
      <c r="P169" s="55">
        <v>17039</v>
      </c>
      <c r="Q169" s="55">
        <v>17520</v>
      </c>
      <c r="R169" s="55">
        <v>17247</v>
      </c>
      <c r="S169" s="55">
        <v>14292</v>
      </c>
      <c r="T169" s="55">
        <v>19913</v>
      </c>
      <c r="U169" s="55">
        <v>18479</v>
      </c>
      <c r="V169" s="55">
        <v>20602</v>
      </c>
      <c r="W169" s="55">
        <v>18703</v>
      </c>
      <c r="X169" s="145">
        <v>4.3480892008835433E-2</v>
      </c>
      <c r="Y169" s="100">
        <v>1.390419300585743E-2</v>
      </c>
      <c r="Z169" s="100">
        <v>4.7975861921036422E-2</v>
      </c>
      <c r="AA169" s="100">
        <v>6.018884916628009E-2</v>
      </c>
    </row>
    <row r="170" spans="1:27" customFormat="1" x14ac:dyDescent="0.3">
      <c r="A170" s="4">
        <v>260202</v>
      </c>
      <c r="B170" s="20">
        <v>3132</v>
      </c>
      <c r="C170" s="10" t="s">
        <v>67</v>
      </c>
      <c r="D170" s="10" t="s">
        <v>1167</v>
      </c>
      <c r="E170" s="10" t="s">
        <v>817</v>
      </c>
      <c r="F170" s="38">
        <v>4.5999999999999996</v>
      </c>
      <c r="G170" s="55">
        <v>194802</v>
      </c>
      <c r="H170" s="55">
        <v>204678</v>
      </c>
      <c r="I170" s="55">
        <v>241320</v>
      </c>
      <c r="J170" s="55">
        <v>251242</v>
      </c>
      <c r="K170" s="55">
        <v>275442</v>
      </c>
      <c r="L170" s="55">
        <v>261259</v>
      </c>
      <c r="M170" s="55">
        <v>278562</v>
      </c>
      <c r="N170" s="55">
        <v>268399</v>
      </c>
      <c r="O170" s="55">
        <v>253342</v>
      </c>
      <c r="P170" s="55">
        <v>228415</v>
      </c>
      <c r="Q170" s="55">
        <v>256330</v>
      </c>
      <c r="R170" s="55">
        <v>262630</v>
      </c>
      <c r="S170" s="55">
        <v>262829</v>
      </c>
      <c r="T170" s="55">
        <v>252391</v>
      </c>
      <c r="U170" s="55">
        <v>281613</v>
      </c>
      <c r="V170" s="55">
        <v>293822</v>
      </c>
      <c r="W170" s="55">
        <v>312722</v>
      </c>
      <c r="X170" s="145">
        <v>2.37338200997026E-2</v>
      </c>
      <c r="Y170" s="100">
        <v>2.4447388268966641E-2</v>
      </c>
      <c r="Z170" s="100">
        <v>2.9441330183309859E-2</v>
      </c>
      <c r="AA170" s="100">
        <v>4.5745904983702353E-2</v>
      </c>
    </row>
    <row r="171" spans="1:27" customFormat="1" x14ac:dyDescent="0.3">
      <c r="A171" s="4">
        <v>260202</v>
      </c>
      <c r="B171" s="20">
        <v>6762</v>
      </c>
      <c r="C171" s="10" t="s">
        <v>67</v>
      </c>
      <c r="D171" s="10" t="s">
        <v>1168</v>
      </c>
      <c r="E171" s="10" t="s">
        <v>817</v>
      </c>
      <c r="F171" s="38">
        <v>4.0999999999999996</v>
      </c>
      <c r="G171" s="55">
        <v>499670</v>
      </c>
      <c r="H171" s="55">
        <v>508269</v>
      </c>
      <c r="I171" s="55">
        <v>510504</v>
      </c>
      <c r="J171" s="55">
        <v>611489</v>
      </c>
      <c r="K171" s="55">
        <v>586972</v>
      </c>
      <c r="L171" s="55">
        <v>471852</v>
      </c>
      <c r="M171" s="55">
        <v>503399</v>
      </c>
      <c r="N171" s="55">
        <v>556312</v>
      </c>
      <c r="O171" s="55">
        <v>559250</v>
      </c>
      <c r="P171" s="55">
        <v>484915</v>
      </c>
      <c r="Q171" s="55">
        <v>518809</v>
      </c>
      <c r="R171" s="55">
        <v>570692</v>
      </c>
      <c r="S171" s="55">
        <v>581043</v>
      </c>
      <c r="T171" s="55">
        <v>534262</v>
      </c>
      <c r="U171" s="55">
        <v>535753</v>
      </c>
      <c r="V171" s="55">
        <v>647610</v>
      </c>
      <c r="W171" s="55">
        <v>675203</v>
      </c>
      <c r="X171" s="145">
        <v>2.2893963652289351E-2</v>
      </c>
      <c r="Y171" s="100">
        <v>7.6850298847155329E-3</v>
      </c>
      <c r="Z171" s="100">
        <v>3.4620456847080039E-2</v>
      </c>
      <c r="AA171" s="100">
        <v>4.0962853269806747E-2</v>
      </c>
    </row>
    <row r="172" spans="1:27" customFormat="1" x14ac:dyDescent="0.3">
      <c r="A172" s="4">
        <v>260202</v>
      </c>
      <c r="B172" s="20">
        <v>8346</v>
      </c>
      <c r="C172" s="10" t="s">
        <v>67</v>
      </c>
      <c r="D172" s="10" t="s">
        <v>1169</v>
      </c>
      <c r="E172" s="10" t="s">
        <v>811</v>
      </c>
      <c r="F172" s="38">
        <v>3.2</v>
      </c>
      <c r="G172" s="55">
        <v>14750</v>
      </c>
      <c r="H172" s="55">
        <v>14288</v>
      </c>
      <c r="I172" s="55">
        <v>14091</v>
      </c>
      <c r="J172" s="55">
        <v>14536</v>
      </c>
      <c r="K172" s="55">
        <v>13215</v>
      </c>
      <c r="L172" s="55">
        <v>13962</v>
      </c>
      <c r="M172" s="55">
        <v>13006</v>
      </c>
      <c r="N172" s="55">
        <v>14421</v>
      </c>
      <c r="O172" s="55">
        <v>13647</v>
      </c>
      <c r="P172" s="55">
        <v>15023</v>
      </c>
      <c r="Q172" s="55">
        <v>13888</v>
      </c>
      <c r="R172" s="55">
        <v>15806</v>
      </c>
      <c r="S172" s="55">
        <v>15618</v>
      </c>
      <c r="T172" s="55">
        <v>16217</v>
      </c>
      <c r="U172" s="55">
        <v>16230</v>
      </c>
      <c r="V172" s="55">
        <v>18249</v>
      </c>
      <c r="W172" s="55">
        <v>17757</v>
      </c>
      <c r="X172" s="145">
        <v>1.9789508577111151E-2</v>
      </c>
      <c r="Y172" s="100">
        <v>3.8063352240407022E-2</v>
      </c>
      <c r="Z172" s="100">
        <v>3.8248970581328028E-2</v>
      </c>
      <c r="AA172" s="100">
        <v>3.2255632294839742E-2</v>
      </c>
    </row>
    <row r="173" spans="1:27" customFormat="1" x14ac:dyDescent="0.3">
      <c r="A173" s="4">
        <v>260202</v>
      </c>
      <c r="B173" s="20">
        <v>4768</v>
      </c>
      <c r="C173" s="10" t="s">
        <v>67</v>
      </c>
      <c r="D173" s="10" t="s">
        <v>1170</v>
      </c>
      <c r="E173" s="10" t="s">
        <v>806</v>
      </c>
      <c r="F173" s="38">
        <v>2.5</v>
      </c>
      <c r="G173" s="55">
        <v>192635</v>
      </c>
      <c r="H173" s="55">
        <v>210069</v>
      </c>
      <c r="I173" s="55">
        <v>235267</v>
      </c>
      <c r="J173" s="55">
        <v>207843</v>
      </c>
      <c r="K173" s="55">
        <v>207843</v>
      </c>
      <c r="L173" s="55">
        <v>242609</v>
      </c>
      <c r="M173" s="55">
        <v>278447</v>
      </c>
      <c r="N173" s="55">
        <v>219002</v>
      </c>
      <c r="O173" s="55">
        <v>237312</v>
      </c>
      <c r="P173" s="55">
        <v>266664</v>
      </c>
      <c r="Q173" s="55">
        <v>303058</v>
      </c>
      <c r="R173" s="55">
        <v>252540</v>
      </c>
      <c r="S173" s="55">
        <v>285406</v>
      </c>
      <c r="T173" s="55">
        <v>315541</v>
      </c>
      <c r="U173" s="55">
        <v>379591</v>
      </c>
      <c r="V173" s="55">
        <v>310587</v>
      </c>
      <c r="W173" s="55">
        <v>317072</v>
      </c>
      <c r="X173" s="145">
        <v>4.4126037765828803E-2</v>
      </c>
      <c r="Y173" s="100">
        <v>6.6173819436338377E-2</v>
      </c>
      <c r="Z173" s="100">
        <v>4.7074880907777228E-2</v>
      </c>
      <c r="AA173" s="100">
        <v>2.4525897957207832E-2</v>
      </c>
    </row>
    <row r="174" spans="1:27" customFormat="1" x14ac:dyDescent="0.3">
      <c r="A174" s="4">
        <v>260202</v>
      </c>
      <c r="B174" s="20">
        <v>2222</v>
      </c>
      <c r="C174" s="10" t="s">
        <v>67</v>
      </c>
      <c r="D174" s="10" t="s">
        <v>1171</v>
      </c>
      <c r="E174" s="10" t="s">
        <v>817</v>
      </c>
      <c r="F174" s="38">
        <v>2.4</v>
      </c>
      <c r="G174" s="55">
        <v>10963</v>
      </c>
      <c r="H174" s="55">
        <v>9270</v>
      </c>
      <c r="I174" s="55">
        <v>9515</v>
      </c>
      <c r="J174" s="55">
        <v>10584</v>
      </c>
      <c r="K174" s="111">
        <v>15271</v>
      </c>
      <c r="L174" s="111">
        <v>14785</v>
      </c>
      <c r="M174" s="55">
        <v>13853</v>
      </c>
      <c r="N174" s="55">
        <v>15038</v>
      </c>
      <c r="O174" s="55">
        <v>18145</v>
      </c>
      <c r="P174" s="55">
        <v>16999</v>
      </c>
      <c r="Q174" s="55">
        <v>15526</v>
      </c>
      <c r="R174" s="55">
        <v>17380</v>
      </c>
      <c r="S174" s="55">
        <v>20901</v>
      </c>
      <c r="T174" s="55">
        <v>18542</v>
      </c>
      <c r="U174" s="55">
        <v>16976</v>
      </c>
      <c r="V174" s="55">
        <v>18811</v>
      </c>
      <c r="W174" s="55">
        <v>22698</v>
      </c>
      <c r="X174" s="145">
        <v>2.1791938536282141E-2</v>
      </c>
      <c r="Y174" s="100">
        <v>2.004174211115561E-2</v>
      </c>
      <c r="Z174" s="100">
        <v>1.939050664643149E-2</v>
      </c>
      <c r="AA174" s="100">
        <v>2.3886747308254689E-2</v>
      </c>
    </row>
    <row r="175" spans="1:27" customFormat="1" x14ac:dyDescent="0.3">
      <c r="A175" s="4">
        <v>260202</v>
      </c>
      <c r="B175" s="20">
        <v>9022</v>
      </c>
      <c r="C175" s="10" t="s">
        <v>67</v>
      </c>
      <c r="D175" s="10" t="s">
        <v>1172</v>
      </c>
      <c r="E175" s="10" t="s">
        <v>817</v>
      </c>
      <c r="F175" s="38">
        <v>1.9</v>
      </c>
      <c r="G175" s="55">
        <v>299440</v>
      </c>
      <c r="H175" s="55">
        <v>248750</v>
      </c>
      <c r="I175" s="55">
        <v>309342</v>
      </c>
      <c r="J175" s="55">
        <v>324797</v>
      </c>
      <c r="K175" s="55">
        <v>385012</v>
      </c>
      <c r="L175" s="111">
        <v>381134</v>
      </c>
      <c r="M175" s="55">
        <v>395091</v>
      </c>
      <c r="N175" s="55">
        <v>422454</v>
      </c>
      <c r="O175" s="55">
        <v>455472</v>
      </c>
      <c r="P175" s="55">
        <v>437390</v>
      </c>
      <c r="Q175" s="55">
        <v>435290</v>
      </c>
      <c r="R175" s="55">
        <v>438575</v>
      </c>
      <c r="S175" s="55">
        <v>494172</v>
      </c>
      <c r="T175" s="55">
        <v>463810</v>
      </c>
      <c r="U175" s="55">
        <v>478283</v>
      </c>
      <c r="V175" s="55">
        <v>503919</v>
      </c>
      <c r="W175" s="55">
        <v>531950</v>
      </c>
      <c r="X175" s="145">
        <v>1.463365730101529E-2</v>
      </c>
      <c r="Y175" s="100">
        <v>2.3469754843062681E-2</v>
      </c>
      <c r="Z175" s="100">
        <v>3.4853107465170341E-2</v>
      </c>
      <c r="AA175" s="100">
        <v>1.947134910915671E-2</v>
      </c>
    </row>
    <row r="176" spans="1:27" customFormat="1" x14ac:dyDescent="0.3">
      <c r="A176" s="4">
        <v>260202</v>
      </c>
      <c r="B176" s="20">
        <v>6971</v>
      </c>
      <c r="C176" s="10" t="s">
        <v>67</v>
      </c>
      <c r="D176" s="10" t="s">
        <v>1173</v>
      </c>
      <c r="E176" s="10" t="s">
        <v>817</v>
      </c>
      <c r="F176" s="38">
        <v>1.9</v>
      </c>
      <c r="G176" s="55">
        <v>479328</v>
      </c>
      <c r="H176" s="55">
        <v>483273</v>
      </c>
      <c r="I176" s="55">
        <v>491954</v>
      </c>
      <c r="J176" s="55">
        <v>520218</v>
      </c>
      <c r="K176" s="55">
        <v>514325</v>
      </c>
      <c r="L176" s="55">
        <v>498835</v>
      </c>
      <c r="M176" s="55">
        <v>479420</v>
      </c>
      <c r="N176" s="55">
        <v>505870</v>
      </c>
      <c r="O176" s="55">
        <v>507382</v>
      </c>
      <c r="P176" s="55">
        <v>511549</v>
      </c>
      <c r="Q176" s="55">
        <v>498868</v>
      </c>
      <c r="R176" s="55">
        <v>499720</v>
      </c>
      <c r="S176" s="55">
        <v>493467</v>
      </c>
      <c r="T176" s="55">
        <v>522399</v>
      </c>
      <c r="U176" s="55">
        <v>478038</v>
      </c>
      <c r="V176" s="55">
        <v>513347</v>
      </c>
      <c r="W176" s="55">
        <v>530611</v>
      </c>
      <c r="X176" s="145">
        <v>5.4152417343946713E-3</v>
      </c>
      <c r="Y176" s="100">
        <v>-1.034027086247691E-2</v>
      </c>
      <c r="Z176" s="100">
        <v>6.8352909074127499E-3</v>
      </c>
      <c r="AA176" s="100">
        <v>1.8504910447173731E-2</v>
      </c>
    </row>
    <row r="177" spans="1:27" customFormat="1" x14ac:dyDescent="0.3">
      <c r="A177" s="4">
        <v>260202</v>
      </c>
      <c r="B177" s="20">
        <v>9020</v>
      </c>
      <c r="C177" s="10" t="s">
        <v>67</v>
      </c>
      <c r="D177" s="10" t="s">
        <v>1174</v>
      </c>
      <c r="E177" s="10" t="s">
        <v>817</v>
      </c>
      <c r="F177" s="38">
        <v>1.6</v>
      </c>
      <c r="G177" s="55">
        <v>604954</v>
      </c>
      <c r="H177" s="55">
        <v>496173</v>
      </c>
      <c r="I177" s="55">
        <v>557618</v>
      </c>
      <c r="J177" s="55">
        <v>557455</v>
      </c>
      <c r="K177" s="55">
        <v>612011</v>
      </c>
      <c r="L177" s="55">
        <v>678454</v>
      </c>
      <c r="M177" s="55">
        <v>629472</v>
      </c>
      <c r="N177" s="55">
        <v>670357</v>
      </c>
      <c r="O177" s="55">
        <v>701193</v>
      </c>
      <c r="P177" s="55">
        <v>729096</v>
      </c>
      <c r="Q177" s="55">
        <v>686670</v>
      </c>
      <c r="R177" s="55">
        <v>708447</v>
      </c>
      <c r="S177" s="55">
        <v>730953</v>
      </c>
      <c r="T177" s="55">
        <v>761483</v>
      </c>
      <c r="U177" s="55">
        <v>715349</v>
      </c>
      <c r="V177" s="55">
        <v>747747</v>
      </c>
      <c r="W177" s="55">
        <v>776926</v>
      </c>
      <c r="X177" s="145">
        <v>1.1343298428182489E-2</v>
      </c>
      <c r="Y177" s="100">
        <v>9.9319389115974932E-3</v>
      </c>
      <c r="Z177" s="100">
        <v>1.347629406713868E-2</v>
      </c>
      <c r="AA177" s="100">
        <v>1.5554898407460939E-2</v>
      </c>
    </row>
    <row r="178" spans="1:27" customFormat="1" x14ac:dyDescent="0.3">
      <c r="A178" s="4">
        <v>260202</v>
      </c>
      <c r="B178" s="20">
        <v>9064</v>
      </c>
      <c r="C178" s="10" t="s">
        <v>67</v>
      </c>
      <c r="D178" s="10" t="s">
        <v>1175</v>
      </c>
      <c r="E178" s="10" t="s">
        <v>817</v>
      </c>
      <c r="F178" s="38">
        <v>1.5</v>
      </c>
      <c r="G178" s="55">
        <v>506916</v>
      </c>
      <c r="H178" s="55">
        <v>421232</v>
      </c>
      <c r="I178" s="55">
        <v>424159</v>
      </c>
      <c r="J178" s="55">
        <v>459596</v>
      </c>
      <c r="K178" s="55">
        <v>512212</v>
      </c>
      <c r="L178" s="55">
        <v>404701</v>
      </c>
      <c r="M178" s="55">
        <v>420212</v>
      </c>
      <c r="N178" s="55">
        <v>446370</v>
      </c>
      <c r="O178" s="55">
        <v>500245</v>
      </c>
      <c r="P178" s="55">
        <v>391799</v>
      </c>
      <c r="Q178" s="55">
        <v>405632</v>
      </c>
      <c r="R178" s="55">
        <v>434781</v>
      </c>
      <c r="S178" s="55">
        <v>504118</v>
      </c>
      <c r="T178" s="55">
        <v>418165</v>
      </c>
      <c r="U178" s="55">
        <v>437352</v>
      </c>
      <c r="V178" s="55">
        <v>469422</v>
      </c>
      <c r="W178" s="55">
        <v>531982</v>
      </c>
      <c r="X178" s="145">
        <v>1.518490148762042E-2</v>
      </c>
      <c r="Y178" s="100">
        <v>1.7995161956457562E-2</v>
      </c>
      <c r="Z178" s="100">
        <v>1.9304888052714689E-2</v>
      </c>
      <c r="AA178" s="100">
        <v>1.52340796377588E-2</v>
      </c>
    </row>
    <row r="179" spans="1:27" customFormat="1" x14ac:dyDescent="0.3">
      <c r="A179" s="4">
        <v>260202</v>
      </c>
      <c r="B179" s="20">
        <v>8411</v>
      </c>
      <c r="C179" s="10" t="s">
        <v>67</v>
      </c>
      <c r="D179" s="10" t="s">
        <v>1176</v>
      </c>
      <c r="E179" s="10" t="s">
        <v>817</v>
      </c>
      <c r="F179" s="38">
        <v>1.5</v>
      </c>
      <c r="G179" s="55">
        <v>681625</v>
      </c>
      <c r="H179" s="55">
        <v>802755</v>
      </c>
      <c r="I179" s="55">
        <v>689784</v>
      </c>
      <c r="J179" s="55">
        <v>451997</v>
      </c>
      <c r="K179" s="111">
        <v>995900</v>
      </c>
      <c r="L179" s="55">
        <v>641535</v>
      </c>
      <c r="M179" s="55">
        <v>771638</v>
      </c>
      <c r="N179" s="111">
        <v>788870</v>
      </c>
      <c r="O179" s="55">
        <v>807972</v>
      </c>
      <c r="P179" s="55">
        <v>753625</v>
      </c>
      <c r="Q179" s="55">
        <v>950408</v>
      </c>
      <c r="R179" s="55">
        <v>1071722</v>
      </c>
      <c r="S179" s="55">
        <v>1058632</v>
      </c>
      <c r="T179" s="55">
        <v>818078</v>
      </c>
      <c r="U179" s="55">
        <v>957553</v>
      </c>
      <c r="V179" s="55">
        <v>1139963</v>
      </c>
      <c r="W179" s="55">
        <v>1117111</v>
      </c>
      <c r="X179" s="145">
        <v>1.6809205747881029E-2</v>
      </c>
      <c r="Y179" s="100">
        <v>1.8325963619949539E-3</v>
      </c>
      <c r="Z179" s="100">
        <v>1.7470881224582291E-2</v>
      </c>
      <c r="AA179" s="100">
        <v>1.47145632885497E-2</v>
      </c>
    </row>
    <row r="180" spans="1:27" customFormat="1" x14ac:dyDescent="0.3">
      <c r="A180" s="4">
        <v>260202</v>
      </c>
      <c r="B180" s="20">
        <v>2281</v>
      </c>
      <c r="C180" s="10" t="s">
        <v>67</v>
      </c>
      <c r="D180" s="10" t="s">
        <v>1177</v>
      </c>
      <c r="E180" s="10" t="s">
        <v>817</v>
      </c>
      <c r="F180" s="38">
        <v>1.3</v>
      </c>
      <c r="G180" s="55">
        <v>110386</v>
      </c>
      <c r="H180" s="55">
        <v>99477</v>
      </c>
      <c r="I180" s="55">
        <v>104451</v>
      </c>
      <c r="J180" s="55">
        <v>107263</v>
      </c>
      <c r="K180" s="55">
        <v>116674</v>
      </c>
      <c r="L180" s="55">
        <v>102352</v>
      </c>
      <c r="M180" s="55">
        <v>109283</v>
      </c>
      <c r="N180" s="55">
        <v>113452</v>
      </c>
      <c r="O180" s="55">
        <v>119832</v>
      </c>
      <c r="P180" s="55">
        <v>105862</v>
      </c>
      <c r="Q180" s="55">
        <v>112891</v>
      </c>
      <c r="R180" s="55">
        <v>116550</v>
      </c>
      <c r="S180" s="55">
        <v>120844</v>
      </c>
      <c r="T180" s="55">
        <v>108069</v>
      </c>
      <c r="U180" s="55">
        <v>115809</v>
      </c>
      <c r="V180" s="55">
        <v>120250</v>
      </c>
      <c r="W180" s="55">
        <v>126814</v>
      </c>
      <c r="X180" s="145">
        <v>4.838352548630187E-3</v>
      </c>
      <c r="Y180" s="100">
        <v>6.3662583941670459E-3</v>
      </c>
      <c r="Z180" s="100">
        <v>8.0212976291644811E-3</v>
      </c>
      <c r="AA180" s="100">
        <v>1.283948280756686E-2</v>
      </c>
    </row>
    <row r="181" spans="1:27" customFormat="1" x14ac:dyDescent="0.3">
      <c r="A181" s="4">
        <v>260202</v>
      </c>
      <c r="B181" s="20">
        <v>7981</v>
      </c>
      <c r="C181" s="10" t="s">
        <v>67</v>
      </c>
      <c r="D181" s="10" t="s">
        <v>1178</v>
      </c>
      <c r="E181" s="10" t="s">
        <v>811</v>
      </c>
      <c r="F181" s="38">
        <v>1.3</v>
      </c>
      <c r="G181" s="55">
        <v>51745</v>
      </c>
      <c r="H181" s="55">
        <v>59159</v>
      </c>
      <c r="I181" s="55">
        <v>50827</v>
      </c>
      <c r="J181" s="55">
        <v>54354</v>
      </c>
      <c r="K181" s="55">
        <v>55742</v>
      </c>
      <c r="L181" s="55">
        <v>62626</v>
      </c>
      <c r="M181" s="55">
        <v>54701</v>
      </c>
      <c r="N181" s="55">
        <v>57237</v>
      </c>
      <c r="O181" s="55">
        <v>57459</v>
      </c>
      <c r="P181" s="55">
        <v>64716</v>
      </c>
      <c r="Q181" s="55">
        <v>55326</v>
      </c>
      <c r="R181" s="55">
        <v>57318</v>
      </c>
      <c r="S181" s="55">
        <v>58639</v>
      </c>
      <c r="T181" s="55">
        <v>68359</v>
      </c>
      <c r="U181" s="55">
        <v>59064</v>
      </c>
      <c r="V181" s="55">
        <v>61385</v>
      </c>
      <c r="W181" s="55">
        <v>61757</v>
      </c>
      <c r="X181" s="145">
        <v>1.543650608689018E-2</v>
      </c>
      <c r="Y181" s="100">
        <v>1.559826741556147E-2</v>
      </c>
      <c r="Z181" s="100">
        <v>1.6710493877886371E-2</v>
      </c>
      <c r="AA181" s="100">
        <v>1.260067812501253E-2</v>
      </c>
    </row>
    <row r="182" spans="1:27" customFormat="1" x14ac:dyDescent="0.3">
      <c r="A182" s="4">
        <v>260202</v>
      </c>
      <c r="B182" s="20">
        <v>6981</v>
      </c>
      <c r="C182" s="10" t="s">
        <v>67</v>
      </c>
      <c r="D182" s="10" t="s">
        <v>1179</v>
      </c>
      <c r="E182" s="10" t="s">
        <v>817</v>
      </c>
      <c r="F182" s="38">
        <v>1.1000000000000001</v>
      </c>
      <c r="G182" s="55">
        <v>471387</v>
      </c>
      <c r="H182" s="55">
        <v>433060</v>
      </c>
      <c r="I182" s="55">
        <v>436657</v>
      </c>
      <c r="J182" s="55">
        <v>483567</v>
      </c>
      <c r="K182" s="55">
        <v>418978</v>
      </c>
      <c r="L182" s="55">
        <v>347594</v>
      </c>
      <c r="M182" s="55">
        <v>367694</v>
      </c>
      <c r="N182" s="55">
        <v>442656</v>
      </c>
      <c r="O182" s="55">
        <v>439394</v>
      </c>
      <c r="P182" s="55">
        <v>390414</v>
      </c>
      <c r="Q182" s="55">
        <v>421707</v>
      </c>
      <c r="R182" s="55">
        <v>461774</v>
      </c>
      <c r="S182" s="55">
        <v>448008</v>
      </c>
      <c r="T182" s="55">
        <v>411863</v>
      </c>
      <c r="U182" s="55">
        <v>416154</v>
      </c>
      <c r="V182" s="55">
        <v>486624</v>
      </c>
      <c r="W182" s="55">
        <v>467454</v>
      </c>
      <c r="X182" s="145">
        <v>1.245656694947384E-2</v>
      </c>
      <c r="Y182" s="100">
        <v>-3.185243140800043E-3</v>
      </c>
      <c r="Z182" s="100">
        <v>1.4299697490906651E-2</v>
      </c>
      <c r="AA182" s="100">
        <v>1.103225883315395E-2</v>
      </c>
    </row>
    <row r="183" spans="1:27" customFormat="1" x14ac:dyDescent="0.3">
      <c r="A183" s="4">
        <v>260202</v>
      </c>
      <c r="B183" s="20">
        <v>2282</v>
      </c>
      <c r="C183" s="10" t="s">
        <v>67</v>
      </c>
      <c r="D183" s="10" t="s">
        <v>1180</v>
      </c>
      <c r="E183" s="10" t="s">
        <v>817</v>
      </c>
      <c r="F183" s="38">
        <v>1.1000000000000001</v>
      </c>
      <c r="G183" s="55">
        <v>349874</v>
      </c>
      <c r="H183" s="55">
        <v>0</v>
      </c>
      <c r="I183" s="55">
        <v>311512</v>
      </c>
      <c r="J183" s="55">
        <v>322512</v>
      </c>
      <c r="K183" s="55">
        <v>352079</v>
      </c>
      <c r="L183" s="111">
        <v>273689</v>
      </c>
      <c r="M183" s="55">
        <v>322175</v>
      </c>
      <c r="N183" s="55">
        <v>329947</v>
      </c>
      <c r="O183" s="55">
        <v>345835</v>
      </c>
      <c r="P183" s="55">
        <v>305475</v>
      </c>
      <c r="Q183" s="55">
        <v>338050</v>
      </c>
      <c r="R183" s="55">
        <v>345814</v>
      </c>
      <c r="S183" s="55">
        <v>371154</v>
      </c>
      <c r="T183" s="55">
        <v>315535</v>
      </c>
      <c r="U183" s="55">
        <v>354141</v>
      </c>
      <c r="V183" s="55">
        <v>368458</v>
      </c>
      <c r="W183" s="55">
        <v>385992</v>
      </c>
      <c r="X183" s="145">
        <v>7.3943783613734659E-3</v>
      </c>
      <c r="Y183" s="100">
        <v>1.174051641928475E-2</v>
      </c>
      <c r="Z183" s="100">
        <v>1.6330074626219829E-2</v>
      </c>
      <c r="AA183" s="100">
        <v>1.0528720886007649E-2</v>
      </c>
    </row>
    <row r="184" spans="1:27" customFormat="1" x14ac:dyDescent="0.3">
      <c r="A184" s="4">
        <v>260202</v>
      </c>
      <c r="B184" s="20">
        <v>4272</v>
      </c>
      <c r="C184" s="10" t="s">
        <v>67</v>
      </c>
      <c r="D184" s="10" t="s">
        <v>1181</v>
      </c>
      <c r="E184" s="10" t="s">
        <v>817</v>
      </c>
      <c r="F184" s="38">
        <v>1</v>
      </c>
      <c r="G184" s="55">
        <v>49255</v>
      </c>
      <c r="H184" s="55">
        <v>46710</v>
      </c>
      <c r="I184" s="55">
        <v>48296</v>
      </c>
      <c r="J184" s="55">
        <v>54432</v>
      </c>
      <c r="K184" s="55">
        <v>50899</v>
      </c>
      <c r="L184" s="55">
        <v>44753</v>
      </c>
      <c r="M184" s="55">
        <v>48584</v>
      </c>
      <c r="N184" s="55">
        <v>49324</v>
      </c>
      <c r="O184" s="55">
        <v>51845</v>
      </c>
      <c r="P184" s="55">
        <v>52038</v>
      </c>
      <c r="Q184" s="55">
        <v>53645</v>
      </c>
      <c r="R184" s="55">
        <v>55464</v>
      </c>
      <c r="S184" s="55">
        <v>58846</v>
      </c>
      <c r="T184" s="55">
        <v>54629</v>
      </c>
      <c r="U184" s="55">
        <v>54758</v>
      </c>
      <c r="V184" s="55">
        <v>58817</v>
      </c>
      <c r="W184" s="55">
        <v>61023</v>
      </c>
      <c r="X184" s="145">
        <v>1.1777647470601281E-2</v>
      </c>
      <c r="Y184" s="100">
        <v>5.000359414872646E-3</v>
      </c>
      <c r="Z184" s="100">
        <v>1.4989025333375089E-2</v>
      </c>
      <c r="AA184" s="100">
        <v>9.5881964325037483E-3</v>
      </c>
    </row>
    <row r="185" spans="1:27" customFormat="1" x14ac:dyDescent="0.3">
      <c r="A185" s="4">
        <v>260202</v>
      </c>
      <c r="B185" s="20">
        <v>7241</v>
      </c>
      <c r="C185" s="10" t="s">
        <v>67</v>
      </c>
      <c r="D185" s="10" t="s">
        <v>1182</v>
      </c>
      <c r="E185" s="10" t="s">
        <v>811</v>
      </c>
      <c r="F185" s="38">
        <v>0.4</v>
      </c>
      <c r="G185" s="55">
        <v>126703</v>
      </c>
      <c r="H185" s="55">
        <v>144515</v>
      </c>
      <c r="I185" s="55">
        <v>163972</v>
      </c>
      <c r="J185" s="55">
        <v>153488</v>
      </c>
      <c r="K185" s="55">
        <v>172969</v>
      </c>
      <c r="L185" s="55">
        <v>188290</v>
      </c>
      <c r="M185" s="55">
        <v>193325</v>
      </c>
      <c r="N185" s="55">
        <v>204673</v>
      </c>
      <c r="O185" s="55">
        <v>198667</v>
      </c>
      <c r="P185" s="55">
        <v>206826</v>
      </c>
      <c r="Q185" s="55">
        <v>185636</v>
      </c>
      <c r="R185" s="55">
        <v>186453</v>
      </c>
      <c r="S185" s="55">
        <v>162859</v>
      </c>
      <c r="T185" s="55">
        <v>177177</v>
      </c>
      <c r="U185" s="55">
        <v>180615</v>
      </c>
      <c r="V185" s="55">
        <v>163920</v>
      </c>
      <c r="W185" s="55">
        <v>165558</v>
      </c>
      <c r="X185" s="145">
        <v>-3.9970395295602201E-2</v>
      </c>
      <c r="Y185" s="100">
        <v>-7.0507284535720194E-3</v>
      </c>
      <c r="Z185" s="100">
        <v>-3.1866599538398883E-2</v>
      </c>
      <c r="AA185" s="100">
        <v>3.9426151560613132E-3</v>
      </c>
    </row>
    <row r="186" spans="1:27" customFormat="1" x14ac:dyDescent="0.3">
      <c r="A186" s="4">
        <v>260202</v>
      </c>
      <c r="B186" s="20">
        <v>3433</v>
      </c>
      <c r="C186" s="10" t="s">
        <v>67</v>
      </c>
      <c r="D186" s="10" t="s">
        <v>1183</v>
      </c>
      <c r="E186" s="10" t="s">
        <v>811</v>
      </c>
      <c r="F186" s="38">
        <v>0.3</v>
      </c>
      <c r="G186" s="55">
        <v>10362</v>
      </c>
      <c r="H186" s="55">
        <v>11129</v>
      </c>
      <c r="I186" s="55">
        <v>11586</v>
      </c>
      <c r="J186" s="55">
        <v>11906</v>
      </c>
      <c r="K186" s="55">
        <v>12090</v>
      </c>
      <c r="L186" s="55">
        <v>12428</v>
      </c>
      <c r="M186" s="55">
        <v>11720</v>
      </c>
      <c r="N186" s="55">
        <v>11787</v>
      </c>
      <c r="O186" s="55">
        <v>11184</v>
      </c>
      <c r="P186" s="55">
        <v>11833</v>
      </c>
      <c r="Q186" s="55">
        <v>11931</v>
      </c>
      <c r="R186" s="55">
        <v>12864</v>
      </c>
      <c r="S186" s="55">
        <v>12999</v>
      </c>
      <c r="T186" s="55">
        <v>14040</v>
      </c>
      <c r="U186" s="55">
        <v>14328</v>
      </c>
      <c r="V186" s="55">
        <v>15151</v>
      </c>
      <c r="W186" s="55">
        <v>13160</v>
      </c>
      <c r="X186" s="145">
        <v>4.4471759324561162E-2</v>
      </c>
      <c r="Y186" s="100">
        <v>4.6243778215071092E-2</v>
      </c>
      <c r="Z186" s="100">
        <v>4.2171451752687661E-2</v>
      </c>
      <c r="AA186" s="100">
        <v>2.8486499876145821E-3</v>
      </c>
    </row>
    <row r="187" spans="1:27" customFormat="1" x14ac:dyDescent="0.3">
      <c r="A187" s="4">
        <v>260202</v>
      </c>
      <c r="B187" s="20">
        <v>5992</v>
      </c>
      <c r="C187" s="10" t="s">
        <v>67</v>
      </c>
      <c r="D187" s="10" t="s">
        <v>1184</v>
      </c>
      <c r="E187" s="10" t="s">
        <v>817</v>
      </c>
      <c r="F187" s="38">
        <v>0.1</v>
      </c>
      <c r="G187" s="55">
        <v>21965</v>
      </c>
      <c r="H187" s="55">
        <v>21899</v>
      </c>
      <c r="I187" s="55">
        <v>20318</v>
      </c>
      <c r="J187" s="55">
        <v>23085</v>
      </c>
      <c r="K187" s="55">
        <v>25089</v>
      </c>
      <c r="L187" s="55">
        <v>24274</v>
      </c>
      <c r="M187" s="55">
        <v>24006</v>
      </c>
      <c r="N187" s="55">
        <v>26338</v>
      </c>
      <c r="O187" s="55">
        <v>27259</v>
      </c>
      <c r="P187" s="55">
        <v>23372</v>
      </c>
      <c r="Q187" s="55">
        <v>25520</v>
      </c>
      <c r="R187" s="55">
        <v>27736</v>
      </c>
      <c r="S187" s="55">
        <v>28994</v>
      </c>
      <c r="T187" s="55">
        <v>27907</v>
      </c>
      <c r="U187" s="55">
        <v>26306</v>
      </c>
      <c r="V187" s="55">
        <v>27751</v>
      </c>
      <c r="W187" s="55">
        <v>29071</v>
      </c>
      <c r="X187" s="145">
        <v>4.2936130730340187E-2</v>
      </c>
      <c r="Y187" s="100">
        <v>7.1352705683704887E-3</v>
      </c>
      <c r="Z187" s="100">
        <v>1.3520456450599741E-4</v>
      </c>
      <c r="AA187" s="100">
        <v>6.9395627174251295E-4</v>
      </c>
    </row>
    <row r="188" spans="1:27" customFormat="1" x14ac:dyDescent="0.3">
      <c r="A188" s="4">
        <v>260202</v>
      </c>
      <c r="B188" s="20">
        <v>7224</v>
      </c>
      <c r="C188" s="10" t="s">
        <v>67</v>
      </c>
      <c r="D188" s="10" t="s">
        <v>1185</v>
      </c>
      <c r="E188" s="10" t="s">
        <v>811</v>
      </c>
      <c r="F188" s="38">
        <v>-0.5</v>
      </c>
      <c r="G188" s="55">
        <v>53777</v>
      </c>
      <c r="H188" s="55">
        <v>54314</v>
      </c>
      <c r="I188" s="55">
        <v>62245</v>
      </c>
      <c r="J188" s="55">
        <v>47262</v>
      </c>
      <c r="K188" s="55">
        <v>56739</v>
      </c>
      <c r="L188" s="55">
        <v>56545</v>
      </c>
      <c r="M188" s="55">
        <v>64629</v>
      </c>
      <c r="N188" s="55">
        <v>52399</v>
      </c>
      <c r="O188" s="55">
        <v>64065</v>
      </c>
      <c r="P188" s="55">
        <v>61163</v>
      </c>
      <c r="Q188" s="55">
        <v>79433</v>
      </c>
      <c r="R188" s="55">
        <v>57423</v>
      </c>
      <c r="S188" s="55">
        <v>66642</v>
      </c>
      <c r="T188" s="55">
        <v>63177</v>
      </c>
      <c r="U188" s="55">
        <v>79199</v>
      </c>
      <c r="V188" s="55">
        <v>57665</v>
      </c>
      <c r="W188" s="55">
        <v>65298</v>
      </c>
      <c r="X188" s="145">
        <v>7.6097347172421337E-3</v>
      </c>
      <c r="Y188" s="100">
        <v>-8.7747257898185271E-4</v>
      </c>
      <c r="Z188" s="100">
        <v>9.0826862232162853E-4</v>
      </c>
      <c r="AA188" s="100">
        <v>-5.0396913189066916E-3</v>
      </c>
    </row>
    <row r="189" spans="1:27" customFormat="1" x14ac:dyDescent="0.3">
      <c r="A189" s="4">
        <v>260202</v>
      </c>
      <c r="B189" s="20">
        <v>9532</v>
      </c>
      <c r="C189" s="10" t="s">
        <v>67</v>
      </c>
      <c r="D189" s="10" t="s">
        <v>1186</v>
      </c>
      <c r="E189" s="10" t="s">
        <v>817</v>
      </c>
      <c r="F189" s="38">
        <v>-0.7</v>
      </c>
      <c r="G189" s="55">
        <v>393347</v>
      </c>
      <c r="H189" s="55">
        <v>543111</v>
      </c>
      <c r="I189" s="55">
        <v>467119</v>
      </c>
      <c r="J189" s="55">
        <v>514441</v>
      </c>
      <c r="K189" s="111">
        <v>614965</v>
      </c>
      <c r="L189" s="55">
        <v>678588</v>
      </c>
      <c r="M189" s="55">
        <v>512611</v>
      </c>
      <c r="N189" s="55">
        <v>483082</v>
      </c>
      <c r="O189" s="55">
        <v>514454</v>
      </c>
      <c r="P189" s="55">
        <v>572903</v>
      </c>
      <c r="Q189" s="55">
        <v>470928</v>
      </c>
      <c r="R189" s="55">
        <v>479182</v>
      </c>
      <c r="S189" s="55">
        <v>494021</v>
      </c>
      <c r="T189" s="55">
        <v>624888</v>
      </c>
      <c r="U189" s="55">
        <v>470993</v>
      </c>
      <c r="V189" s="55">
        <v>488174</v>
      </c>
      <c r="W189" s="55">
        <v>479663</v>
      </c>
      <c r="X189" s="145">
        <v>2.5772991431973979E-2</v>
      </c>
      <c r="Y189" s="100">
        <v>3.1415854566896328E-5</v>
      </c>
      <c r="Z189" s="100">
        <v>4.3458844590167356E-3</v>
      </c>
      <c r="AA189" s="100">
        <v>-6.9092756954028936E-3</v>
      </c>
    </row>
    <row r="190" spans="1:27" customFormat="1" x14ac:dyDescent="0.3">
      <c r="A190" s="4">
        <v>260202</v>
      </c>
      <c r="B190" s="20">
        <v>2811</v>
      </c>
      <c r="C190" s="10" t="s">
        <v>67</v>
      </c>
      <c r="D190" s="10" t="s">
        <v>1187</v>
      </c>
      <c r="E190" s="10" t="s">
        <v>806</v>
      </c>
      <c r="F190" s="38">
        <v>-0.9</v>
      </c>
      <c r="G190" s="55">
        <v>47825</v>
      </c>
      <c r="H190" s="55">
        <v>44144</v>
      </c>
      <c r="I190" s="55">
        <v>51645</v>
      </c>
      <c r="J190" s="55">
        <v>54817</v>
      </c>
      <c r="K190" s="55">
        <v>55011</v>
      </c>
      <c r="L190" s="55">
        <v>48009</v>
      </c>
      <c r="M190" s="55">
        <v>57313</v>
      </c>
      <c r="N190" s="55">
        <v>59544</v>
      </c>
      <c r="O190" s="55">
        <v>59863</v>
      </c>
      <c r="P190" s="55">
        <v>67378</v>
      </c>
      <c r="Q190" s="55">
        <v>80863</v>
      </c>
      <c r="R190" s="55">
        <v>78138</v>
      </c>
      <c r="S190" s="55">
        <v>80489</v>
      </c>
      <c r="T190" s="55">
        <v>67167</v>
      </c>
      <c r="U190" s="55">
        <v>71514</v>
      </c>
      <c r="V190" s="55">
        <v>77628</v>
      </c>
      <c r="W190" s="55">
        <v>77955</v>
      </c>
      <c r="X190" s="145">
        <v>-6.875920591263851E-4</v>
      </c>
      <c r="Y190" s="100">
        <v>-3.0486830563137279E-2</v>
      </c>
      <c r="Z190" s="100">
        <v>-1.7153927913140521E-3</v>
      </c>
      <c r="AA190" s="100">
        <v>-8.5377933813569618E-3</v>
      </c>
    </row>
    <row r="191" spans="1:27" customFormat="1" x14ac:dyDescent="0.3">
      <c r="A191" s="4">
        <v>260202</v>
      </c>
      <c r="B191" s="20">
        <v>9502</v>
      </c>
      <c r="C191" s="10" t="s">
        <v>67</v>
      </c>
      <c r="D191" s="10" t="s">
        <v>1188</v>
      </c>
      <c r="E191" s="10" t="s">
        <v>817</v>
      </c>
      <c r="F191" s="38">
        <v>-1.8</v>
      </c>
      <c r="G191" s="55">
        <v>666420</v>
      </c>
      <c r="H191" s="55">
        <v>878268</v>
      </c>
      <c r="I191" s="55">
        <v>765963</v>
      </c>
      <c r="J191" s="55">
        <v>1013270</v>
      </c>
      <c r="K191" s="111">
        <v>1034811</v>
      </c>
      <c r="L191" s="55">
        <v>1172637</v>
      </c>
      <c r="M191" s="55">
        <v>897604</v>
      </c>
      <c r="N191" s="55">
        <v>943940</v>
      </c>
      <c r="O191" s="55">
        <v>855599</v>
      </c>
      <c r="P191" s="55">
        <v>913271</v>
      </c>
      <c r="Q191" s="55">
        <v>820592</v>
      </c>
      <c r="R191" s="55">
        <v>945890</v>
      </c>
      <c r="S191" s="55">
        <v>885154</v>
      </c>
      <c r="T191" s="55">
        <v>1017598</v>
      </c>
      <c r="U191" s="55">
        <v>800312</v>
      </c>
      <c r="V191" s="55">
        <v>947520</v>
      </c>
      <c r="W191" s="55">
        <v>818528</v>
      </c>
      <c r="X191" s="145">
        <v>2.926499905888158E-2</v>
      </c>
      <c r="Y191" s="100">
        <v>-5.5270391585818812E-3</v>
      </c>
      <c r="Z191" s="100">
        <v>4.4670335663310468E-4</v>
      </c>
      <c r="AA191" s="100">
        <v>-1.8250778505576101E-2</v>
      </c>
    </row>
    <row r="192" spans="1:27" customFormat="1" x14ac:dyDescent="0.3">
      <c r="A192" s="4">
        <v>260202</v>
      </c>
      <c r="B192" s="83" t="s">
        <v>1189</v>
      </c>
      <c r="C192" s="84" t="s">
        <v>31</v>
      </c>
      <c r="D192" s="84" t="s">
        <v>1190</v>
      </c>
      <c r="E192" s="10" t="s">
        <v>811</v>
      </c>
      <c r="F192" s="115">
        <v>10.7</v>
      </c>
      <c r="G192" s="116">
        <v>458.99</v>
      </c>
      <c r="H192" s="116">
        <v>645.91999999999996</v>
      </c>
      <c r="I192" s="116">
        <v>1057</v>
      </c>
      <c r="J192" s="116">
        <v>562.70000000000005</v>
      </c>
      <c r="K192" s="116">
        <v>520.59</v>
      </c>
      <c r="L192" s="116">
        <v>823.52</v>
      </c>
      <c r="M192" s="116">
        <v>1068</v>
      </c>
      <c r="N192" s="116">
        <v>576.91</v>
      </c>
      <c r="O192" s="117">
        <v>871.63</v>
      </c>
      <c r="P192" s="116">
        <v>913.43</v>
      </c>
      <c r="Q192" s="116">
        <v>1354</v>
      </c>
      <c r="R192" s="116">
        <v>912.02</v>
      </c>
      <c r="S192" s="117">
        <v>1607</v>
      </c>
      <c r="T192" s="117">
        <v>1484</v>
      </c>
      <c r="U192" s="116">
        <v>1618</v>
      </c>
      <c r="V192" s="116">
        <v>1336</v>
      </c>
      <c r="W192" s="117">
        <v>2253</v>
      </c>
      <c r="X192" s="148">
        <v>0.1192052565053434</v>
      </c>
      <c r="Y192" s="119">
        <v>4.9281130180585553E-2</v>
      </c>
      <c r="Z192" s="119">
        <v>7.542759143358313E-2</v>
      </c>
      <c r="AA192" s="120">
        <v>0.1068651778329197</v>
      </c>
    </row>
    <row r="193" spans="1:27" customFormat="1" x14ac:dyDescent="0.3">
      <c r="A193" s="4">
        <v>260202</v>
      </c>
      <c r="B193" s="20" t="s">
        <v>1191</v>
      </c>
      <c r="C193" s="10" t="s">
        <v>31</v>
      </c>
      <c r="D193" s="10" t="s">
        <v>1192</v>
      </c>
      <c r="E193" s="10" t="s">
        <v>817</v>
      </c>
      <c r="F193" s="38">
        <v>9.8000000000000007</v>
      </c>
      <c r="G193" s="55">
        <v>3673</v>
      </c>
      <c r="H193" s="55">
        <v>5403</v>
      </c>
      <c r="I193" s="55">
        <v>5052</v>
      </c>
      <c r="J193" s="55">
        <v>5735</v>
      </c>
      <c r="K193" s="111">
        <v>6101</v>
      </c>
      <c r="L193" s="111">
        <v>8691</v>
      </c>
      <c r="M193" s="55">
        <v>6656</v>
      </c>
      <c r="N193" s="55">
        <v>8116</v>
      </c>
      <c r="O193" s="55">
        <v>8709</v>
      </c>
      <c r="P193" s="55">
        <v>10896</v>
      </c>
      <c r="Q193" s="111">
        <v>10105</v>
      </c>
      <c r="R193" s="55">
        <v>11672</v>
      </c>
      <c r="S193" s="111">
        <v>12916</v>
      </c>
      <c r="T193" s="55">
        <v>15079</v>
      </c>
      <c r="U193" s="55">
        <v>13480</v>
      </c>
      <c r="V193" s="55">
        <v>16136</v>
      </c>
      <c r="W193" s="55">
        <v>18560</v>
      </c>
      <c r="X193" s="145">
        <v>9.1754589923007668E-2</v>
      </c>
      <c r="Y193" s="100">
        <v>6.7809209997589104E-2</v>
      </c>
      <c r="Z193" s="100">
        <v>8.3993452123356072E-2</v>
      </c>
      <c r="AA193" s="100">
        <v>9.7967402058634745E-2</v>
      </c>
    </row>
    <row r="194" spans="1:27" customFormat="1" x14ac:dyDescent="0.3">
      <c r="A194" s="4">
        <v>260202</v>
      </c>
      <c r="B194" s="20" t="s">
        <v>1193</v>
      </c>
      <c r="C194" s="10" t="s">
        <v>31</v>
      </c>
      <c r="D194" s="10" t="s">
        <v>1194</v>
      </c>
      <c r="E194" s="10" t="s">
        <v>817</v>
      </c>
      <c r="F194" s="38">
        <v>8.1999999999999993</v>
      </c>
      <c r="G194" s="55">
        <v>6110</v>
      </c>
      <c r="H194" s="55">
        <v>1886</v>
      </c>
      <c r="I194" s="55">
        <v>5474</v>
      </c>
      <c r="J194" s="55">
        <v>8976</v>
      </c>
      <c r="K194" s="111">
        <v>8543</v>
      </c>
      <c r="L194" s="55">
        <v>1734</v>
      </c>
      <c r="M194" s="55">
        <v>676.8</v>
      </c>
      <c r="N194" s="55">
        <v>4492</v>
      </c>
      <c r="O194" s="55">
        <v>400.6</v>
      </c>
      <c r="P194" s="55">
        <v>484.9</v>
      </c>
      <c r="Q194" s="111">
        <v>4012</v>
      </c>
      <c r="R194" s="55">
        <v>5050</v>
      </c>
      <c r="S194" s="111">
        <v>6395</v>
      </c>
      <c r="T194" s="111">
        <v>6990</v>
      </c>
      <c r="U194" s="111">
        <v>7249</v>
      </c>
      <c r="V194" s="111">
        <v>8253</v>
      </c>
      <c r="W194" s="55">
        <v>8754</v>
      </c>
      <c r="X194" s="146">
        <v>0.4080504833175469</v>
      </c>
      <c r="Y194" s="113">
        <v>0.14420635274201449</v>
      </c>
      <c r="Z194" s="113">
        <v>0.12470798940974941</v>
      </c>
      <c r="AA194" s="100">
        <v>8.1663031813618669E-2</v>
      </c>
    </row>
    <row r="195" spans="1:27" customFormat="1" x14ac:dyDescent="0.3">
      <c r="A195" s="4">
        <v>260202</v>
      </c>
      <c r="B195" s="20" t="s">
        <v>1195</v>
      </c>
      <c r="C195" s="10" t="s">
        <v>31</v>
      </c>
      <c r="D195" s="10" t="s">
        <v>1196</v>
      </c>
      <c r="E195" s="10" t="s">
        <v>817</v>
      </c>
      <c r="F195" s="38">
        <v>5.5</v>
      </c>
      <c r="G195" s="55">
        <v>5106</v>
      </c>
      <c r="H195" s="55">
        <v>5873</v>
      </c>
      <c r="I195" s="55">
        <v>6201</v>
      </c>
      <c r="J195" s="55">
        <v>6522</v>
      </c>
      <c r="K195" s="55">
        <v>6360</v>
      </c>
      <c r="L195" s="55">
        <v>7010</v>
      </c>
      <c r="M195" s="55">
        <v>7164</v>
      </c>
      <c r="N195" s="55">
        <v>7516</v>
      </c>
      <c r="O195" s="55">
        <v>7657</v>
      </c>
      <c r="P195" s="55">
        <v>8556</v>
      </c>
      <c r="Q195" s="55">
        <v>8371</v>
      </c>
      <c r="R195" s="55">
        <v>8765</v>
      </c>
      <c r="S195" s="55">
        <v>8479</v>
      </c>
      <c r="T195" s="55">
        <v>9884</v>
      </c>
      <c r="U195" s="55">
        <v>9633</v>
      </c>
      <c r="V195" s="55">
        <v>10165</v>
      </c>
      <c r="W195" s="55">
        <v>10563</v>
      </c>
      <c r="X195" s="145">
        <v>3.8863363670949003E-2</v>
      </c>
      <c r="Y195" s="100">
        <v>3.5550297191470293E-2</v>
      </c>
      <c r="Z195" s="100">
        <v>3.808383885095612E-2</v>
      </c>
      <c r="AA195" s="100">
        <v>5.4610728230392258E-2</v>
      </c>
    </row>
    <row r="196" spans="1:27" customFormat="1" x14ac:dyDescent="0.3">
      <c r="A196" s="4">
        <v>260202</v>
      </c>
      <c r="B196" s="20" t="s">
        <v>1197</v>
      </c>
      <c r="C196" s="10" t="s">
        <v>31</v>
      </c>
      <c r="D196" s="10" t="s">
        <v>1198</v>
      </c>
      <c r="E196" s="10" t="s">
        <v>817</v>
      </c>
      <c r="F196" s="38">
        <v>4.4000000000000004</v>
      </c>
      <c r="G196" s="55">
        <v>6100</v>
      </c>
      <c r="H196" s="55">
        <v>7580</v>
      </c>
      <c r="I196" s="55">
        <v>6329</v>
      </c>
      <c r="J196" s="55">
        <v>7147</v>
      </c>
      <c r="K196" s="55">
        <v>7265</v>
      </c>
      <c r="L196" s="55">
        <v>8111</v>
      </c>
      <c r="M196" s="55">
        <v>7662</v>
      </c>
      <c r="N196" s="55">
        <v>8342</v>
      </c>
      <c r="O196" s="55">
        <v>8942</v>
      </c>
      <c r="P196" s="55">
        <v>11368</v>
      </c>
      <c r="Q196" s="55">
        <v>9006</v>
      </c>
      <c r="R196" s="55">
        <v>9449</v>
      </c>
      <c r="S196" s="55">
        <v>10017</v>
      </c>
      <c r="T196" s="55">
        <v>11272</v>
      </c>
      <c r="U196" s="55">
        <v>9992</v>
      </c>
      <c r="V196" s="55">
        <v>10830</v>
      </c>
      <c r="W196" s="55">
        <v>11883</v>
      </c>
      <c r="X196" s="145">
        <v>-2.4096385542168308E-3</v>
      </c>
      <c r="Y196" s="100">
        <v>2.4808776167471791E-2</v>
      </c>
      <c r="Z196" s="100">
        <v>3.3906211637613648E-2</v>
      </c>
      <c r="AA196" s="100">
        <v>4.4311462563225712E-2</v>
      </c>
    </row>
    <row r="197" spans="1:27" customFormat="1" x14ac:dyDescent="0.3">
      <c r="A197" s="4">
        <v>260202</v>
      </c>
      <c r="B197" s="20" t="s">
        <v>1199</v>
      </c>
      <c r="C197" s="10" t="s">
        <v>31</v>
      </c>
      <c r="D197" s="10" t="s">
        <v>1200</v>
      </c>
      <c r="E197" s="10" t="s">
        <v>811</v>
      </c>
      <c r="F197" s="38">
        <v>3.8</v>
      </c>
      <c r="G197" s="55">
        <v>12923</v>
      </c>
      <c r="H197" s="55">
        <v>12717</v>
      </c>
      <c r="I197" s="55">
        <v>14157</v>
      </c>
      <c r="J197" s="55">
        <v>12621</v>
      </c>
      <c r="K197" s="55">
        <v>14750</v>
      </c>
      <c r="L197" s="55">
        <v>15090</v>
      </c>
      <c r="M197" s="55">
        <v>14065</v>
      </c>
      <c r="N197" s="55">
        <v>14862</v>
      </c>
      <c r="O197" s="55">
        <v>15949</v>
      </c>
      <c r="P197" s="55">
        <v>16306</v>
      </c>
      <c r="Q197" s="55">
        <v>15170</v>
      </c>
      <c r="R197" s="55">
        <v>15617</v>
      </c>
      <c r="S197" s="55">
        <v>16480</v>
      </c>
      <c r="T197" s="55">
        <v>16928</v>
      </c>
      <c r="U197" s="55">
        <v>17696</v>
      </c>
      <c r="V197" s="55">
        <v>17107</v>
      </c>
      <c r="W197" s="55">
        <v>19102</v>
      </c>
      <c r="X197" s="145">
        <v>9.7840278105485456E-3</v>
      </c>
      <c r="Y197" s="100">
        <v>3.9348858945400737E-2</v>
      </c>
      <c r="Z197" s="100">
        <v>2.233179958333964E-2</v>
      </c>
      <c r="AA197" s="100">
        <v>3.8439547873510227E-2</v>
      </c>
    </row>
    <row r="198" spans="1:27" customFormat="1" x14ac:dyDescent="0.3">
      <c r="A198" s="4">
        <v>260202</v>
      </c>
      <c r="B198" s="20" t="s">
        <v>1201</v>
      </c>
      <c r="C198" s="10" t="s">
        <v>31</v>
      </c>
      <c r="D198" s="10" t="s">
        <v>1202</v>
      </c>
      <c r="E198" s="10" t="s">
        <v>817</v>
      </c>
      <c r="F198" s="38">
        <v>1.9</v>
      </c>
      <c r="G198" s="55">
        <v>69274</v>
      </c>
      <c r="H198" s="55">
        <v>71163</v>
      </c>
      <c r="I198" s="55">
        <v>68973</v>
      </c>
      <c r="J198" s="55">
        <v>79666</v>
      </c>
      <c r="K198" s="55">
        <v>67650</v>
      </c>
      <c r="L198" s="55">
        <v>67529</v>
      </c>
      <c r="M198" s="55">
        <v>70759</v>
      </c>
      <c r="N198" s="55">
        <v>71325</v>
      </c>
      <c r="O198" s="55">
        <v>71990</v>
      </c>
      <c r="P198" s="55">
        <v>71932</v>
      </c>
      <c r="Q198" s="55">
        <v>73830</v>
      </c>
      <c r="R198" s="55">
        <v>74653</v>
      </c>
      <c r="S198" s="55">
        <v>75474</v>
      </c>
      <c r="T198" s="55">
        <v>77271</v>
      </c>
      <c r="U198" s="55">
        <v>80576</v>
      </c>
      <c r="V198" s="55">
        <v>81882</v>
      </c>
      <c r="W198" s="55">
        <v>81463</v>
      </c>
      <c r="X198" s="145">
        <v>1.8043928635400389E-2</v>
      </c>
      <c r="Y198" s="100">
        <v>2.2394996481070791E-2</v>
      </c>
      <c r="Z198" s="100">
        <v>2.347276068759041E-2</v>
      </c>
      <c r="AA198" s="100">
        <v>1.9000453675884991E-2</v>
      </c>
    </row>
    <row r="199" spans="1:27" customFormat="1" x14ac:dyDescent="0.3">
      <c r="A199" s="4">
        <v>260202</v>
      </c>
      <c r="B199" s="20" t="s">
        <v>1203</v>
      </c>
      <c r="C199" s="10" t="s">
        <v>31</v>
      </c>
      <c r="D199" s="10" t="s">
        <v>1204</v>
      </c>
      <c r="E199" s="10" t="s">
        <v>817</v>
      </c>
      <c r="F199" s="38">
        <v>1.9</v>
      </c>
      <c r="G199" s="55">
        <v>16147</v>
      </c>
      <c r="H199" s="55">
        <v>19919</v>
      </c>
      <c r="I199" s="55">
        <v>16545</v>
      </c>
      <c r="J199" s="55">
        <v>20753</v>
      </c>
      <c r="K199" s="55">
        <v>20493</v>
      </c>
      <c r="L199" s="55">
        <v>23108</v>
      </c>
      <c r="M199" s="55">
        <v>19330</v>
      </c>
      <c r="N199" s="55">
        <v>23025</v>
      </c>
      <c r="O199" s="55">
        <v>23244</v>
      </c>
      <c r="P199" s="55">
        <v>27637</v>
      </c>
      <c r="Q199" s="55">
        <v>21844</v>
      </c>
      <c r="R199" s="55">
        <v>26116</v>
      </c>
      <c r="S199" s="55">
        <v>25078</v>
      </c>
      <c r="T199" s="55">
        <v>30849</v>
      </c>
      <c r="U199" s="55">
        <v>21502</v>
      </c>
      <c r="V199" s="55">
        <v>24739</v>
      </c>
      <c r="W199" s="55">
        <v>26974</v>
      </c>
      <c r="X199" s="145">
        <v>3.1904643655326533E-2</v>
      </c>
      <c r="Y199" s="100">
        <v>-3.292038464870473E-3</v>
      </c>
      <c r="Z199" s="100">
        <v>-1.329856584093869E-2</v>
      </c>
      <c r="AA199" s="100">
        <v>1.855766972046036E-2</v>
      </c>
    </row>
    <row r="200" spans="1:27" customFormat="1" x14ac:dyDescent="0.3">
      <c r="A200" s="4">
        <v>260202</v>
      </c>
      <c r="B200" s="20" t="s">
        <v>1205</v>
      </c>
      <c r="C200" s="10" t="s">
        <v>31</v>
      </c>
      <c r="D200" s="10" t="s">
        <v>1206</v>
      </c>
      <c r="E200" s="10" t="s">
        <v>811</v>
      </c>
      <c r="F200" s="38">
        <v>1.5</v>
      </c>
      <c r="G200" s="55">
        <v>8880</v>
      </c>
      <c r="H200" s="55">
        <v>8813</v>
      </c>
      <c r="I200" s="55">
        <v>9461</v>
      </c>
      <c r="J200" s="55">
        <v>10511</v>
      </c>
      <c r="K200" s="55">
        <v>11645</v>
      </c>
      <c r="L200" s="55">
        <v>11654</v>
      </c>
      <c r="M200" s="111">
        <v>13980</v>
      </c>
      <c r="N200" s="55">
        <v>12846</v>
      </c>
      <c r="O200" s="55">
        <v>15844</v>
      </c>
      <c r="P200" s="55">
        <v>15372</v>
      </c>
      <c r="Q200" s="55">
        <v>18450</v>
      </c>
      <c r="R200" s="55">
        <v>17095</v>
      </c>
      <c r="S200" s="55">
        <v>19519</v>
      </c>
      <c r="T200" s="55">
        <v>16702</v>
      </c>
      <c r="U200" s="55">
        <v>20258</v>
      </c>
      <c r="V200" s="55">
        <v>18614</v>
      </c>
      <c r="W200" s="55">
        <v>20642</v>
      </c>
      <c r="X200" s="145">
        <v>1.8882389687091768E-2</v>
      </c>
      <c r="Y200" s="100">
        <v>2.519298832316141E-2</v>
      </c>
      <c r="Z200" s="100">
        <v>2.064588033816284E-2</v>
      </c>
      <c r="AA200" s="100">
        <v>1.4954789394484139E-2</v>
      </c>
    </row>
    <row r="201" spans="1:27" customFormat="1" x14ac:dyDescent="0.3">
      <c r="A201" s="4">
        <v>260202</v>
      </c>
      <c r="B201" s="20" t="s">
        <v>1207</v>
      </c>
      <c r="C201" s="10" t="s">
        <v>31</v>
      </c>
      <c r="D201" s="10" t="s">
        <v>1208</v>
      </c>
      <c r="E201" s="10" t="s">
        <v>811</v>
      </c>
      <c r="F201" s="38">
        <v>0.7</v>
      </c>
      <c r="G201" s="55">
        <v>134292</v>
      </c>
      <c r="H201" s="55">
        <v>111394</v>
      </c>
      <c r="I201" s="55">
        <v>115211</v>
      </c>
      <c r="J201" s="55">
        <v>126437</v>
      </c>
      <c r="K201" s="55">
        <v>120566</v>
      </c>
      <c r="L201" s="55">
        <v>112595</v>
      </c>
      <c r="M201" s="55">
        <v>106282</v>
      </c>
      <c r="N201" s="55">
        <v>110799</v>
      </c>
      <c r="O201" s="55">
        <v>130522</v>
      </c>
      <c r="P201" s="55">
        <v>108649</v>
      </c>
      <c r="Q201" s="55">
        <v>108917</v>
      </c>
      <c r="R201" s="55">
        <v>128712</v>
      </c>
      <c r="S201" s="55">
        <v>123838</v>
      </c>
      <c r="T201" s="55">
        <v>111373</v>
      </c>
      <c r="U201" s="55">
        <v>131939</v>
      </c>
      <c r="V201" s="55">
        <v>145679</v>
      </c>
      <c r="W201" s="55">
        <v>127377</v>
      </c>
      <c r="X201" s="145">
        <v>5.7943145946957042E-3</v>
      </c>
      <c r="Y201" s="100">
        <v>4.8688774215379427E-2</v>
      </c>
      <c r="Z201" s="100">
        <v>3.4217181393210172E-2</v>
      </c>
      <c r="AA201" s="100">
        <v>6.9009357895126744E-3</v>
      </c>
    </row>
    <row r="202" spans="1:27" customFormat="1" x14ac:dyDescent="0.3">
      <c r="A202" s="4">
        <v>260202</v>
      </c>
      <c r="B202" s="20" t="s">
        <v>1209</v>
      </c>
      <c r="C202" s="10" t="s">
        <v>31</v>
      </c>
      <c r="D202" s="10" t="s">
        <v>1210</v>
      </c>
      <c r="E202" s="10" t="s">
        <v>811</v>
      </c>
      <c r="F202" s="38">
        <v>0.1</v>
      </c>
      <c r="G202" s="55">
        <v>4384</v>
      </c>
      <c r="H202" s="55">
        <v>4634</v>
      </c>
      <c r="I202" s="55">
        <v>6169</v>
      </c>
      <c r="J202" s="55">
        <v>7477</v>
      </c>
      <c r="K202" s="111">
        <v>9192</v>
      </c>
      <c r="L202" s="111">
        <v>7595</v>
      </c>
      <c r="M202" s="55">
        <v>5966</v>
      </c>
      <c r="N202" s="55">
        <v>5472</v>
      </c>
      <c r="O202" s="55">
        <v>5405</v>
      </c>
      <c r="P202" s="55">
        <v>4884</v>
      </c>
      <c r="Q202" s="55">
        <v>5469</v>
      </c>
      <c r="R202" s="55">
        <v>5497</v>
      </c>
      <c r="S202" s="55">
        <v>5958</v>
      </c>
      <c r="T202" s="55">
        <v>5132</v>
      </c>
      <c r="U202" s="55">
        <v>6104</v>
      </c>
      <c r="V202" s="55">
        <v>5884</v>
      </c>
      <c r="W202" s="55">
        <v>5973</v>
      </c>
      <c r="X202" s="145">
        <v>1.137197358767428E-2</v>
      </c>
      <c r="Y202" s="100">
        <v>2.87903518317012E-2</v>
      </c>
      <c r="Z202" s="100">
        <v>1.7055220131329651E-2</v>
      </c>
      <c r="AA202" s="100">
        <v>6.4996966808217316E-4</v>
      </c>
    </row>
    <row r="203" spans="1:27" customFormat="1" x14ac:dyDescent="0.3">
      <c r="A203" s="4">
        <v>260202</v>
      </c>
      <c r="B203" s="20" t="s">
        <v>1211</v>
      </c>
      <c r="C203" s="10" t="s">
        <v>31</v>
      </c>
      <c r="D203" s="10" t="s">
        <v>1212</v>
      </c>
      <c r="E203" s="10" t="s">
        <v>811</v>
      </c>
      <c r="F203" s="38">
        <v>-4.8</v>
      </c>
      <c r="G203" s="55">
        <v>1879</v>
      </c>
      <c r="H203" s="55">
        <v>2342</v>
      </c>
      <c r="I203" s="55">
        <v>3233</v>
      </c>
      <c r="J203" s="55">
        <v>1149</v>
      </c>
      <c r="K203" s="55">
        <v>1810</v>
      </c>
      <c r="L203" s="55">
        <v>2315</v>
      </c>
      <c r="M203" s="55">
        <v>3446</v>
      </c>
      <c r="N203" s="55">
        <v>1877</v>
      </c>
      <c r="O203" s="55">
        <v>2275</v>
      </c>
      <c r="P203" s="55">
        <v>2520</v>
      </c>
      <c r="Q203" s="55">
        <v>4055</v>
      </c>
      <c r="R203" s="55">
        <v>1635</v>
      </c>
      <c r="S203" s="55">
        <v>2621</v>
      </c>
      <c r="T203" s="55">
        <v>2380</v>
      </c>
      <c r="U203" s="55">
        <v>4106</v>
      </c>
      <c r="V203" s="55">
        <v>1705</v>
      </c>
      <c r="W203" s="55">
        <v>2097</v>
      </c>
      <c r="X203" s="145">
        <v>-1.292586095466719E-2</v>
      </c>
      <c r="Y203" s="100">
        <v>4.7703675989150263E-3</v>
      </c>
      <c r="Z203" s="100">
        <v>6.5164773785142396E-3</v>
      </c>
      <c r="AA203" s="100">
        <v>-4.8464668886422542E-2</v>
      </c>
    </row>
    <row r="204" spans="1:27" customFormat="1" x14ac:dyDescent="0.3">
      <c r="A204" s="151">
        <v>260202</v>
      </c>
      <c r="B204" s="83">
        <v>1060</v>
      </c>
      <c r="C204" s="84" t="s">
        <v>1213</v>
      </c>
      <c r="D204" s="84" t="s">
        <v>1214</v>
      </c>
      <c r="E204" s="152" t="s">
        <v>975</v>
      </c>
      <c r="F204" s="115">
        <v>15.4</v>
      </c>
      <c r="G204" s="84"/>
      <c r="H204" s="84"/>
      <c r="I204" s="84"/>
      <c r="J204" s="84"/>
      <c r="K204" s="84"/>
      <c r="L204" s="84"/>
      <c r="M204" s="84"/>
      <c r="N204" s="116">
        <v>1932</v>
      </c>
      <c r="O204" s="116">
        <v>1358</v>
      </c>
      <c r="P204" s="116">
        <v>2294</v>
      </c>
      <c r="Q204" s="116">
        <v>1829</v>
      </c>
      <c r="R204" s="116">
        <v>0</v>
      </c>
      <c r="S204" s="117">
        <v>2616</v>
      </c>
      <c r="T204" s="116">
        <v>0</v>
      </c>
      <c r="U204" s="117">
        <v>3051</v>
      </c>
      <c r="V204" s="117">
        <v>3652</v>
      </c>
      <c r="W204" s="117">
        <v>4047</v>
      </c>
      <c r="X204" s="147">
        <v>-0.34040658851461641</v>
      </c>
      <c r="Y204" s="120">
        <v>0.27491563554555692</v>
      </c>
      <c r="Z204" s="120">
        <v>0.6444326804305629</v>
      </c>
      <c r="AA204" s="120">
        <v>0.15355724863182749</v>
      </c>
    </row>
    <row r="205" spans="1:27" customFormat="1" x14ac:dyDescent="0.3">
      <c r="A205" s="101">
        <v>260202</v>
      </c>
      <c r="B205" s="109">
        <v>1140</v>
      </c>
      <c r="C205" s="102" t="s">
        <v>1213</v>
      </c>
      <c r="D205" s="102" t="s">
        <v>1215</v>
      </c>
      <c r="E205" s="102" t="s">
        <v>975</v>
      </c>
      <c r="F205" s="104">
        <v>-4.8</v>
      </c>
      <c r="G205" s="102"/>
      <c r="H205" s="102"/>
      <c r="I205" s="102"/>
      <c r="J205" s="102"/>
      <c r="K205" s="102"/>
      <c r="L205" s="102"/>
      <c r="M205" s="102"/>
      <c r="N205" s="167">
        <v>64.14</v>
      </c>
      <c r="O205" s="167">
        <v>49.92</v>
      </c>
      <c r="P205" s="167">
        <v>45.31</v>
      </c>
      <c r="Q205" s="167">
        <v>85.91</v>
      </c>
      <c r="R205" s="168">
        <v>106.83</v>
      </c>
      <c r="S205" s="168">
        <v>147.41999999999999</v>
      </c>
      <c r="T205" s="168">
        <v>160.91</v>
      </c>
      <c r="U205" s="167">
        <v>131.47</v>
      </c>
      <c r="V205" s="167">
        <v>144.16</v>
      </c>
      <c r="W205" s="167">
        <v>119.55</v>
      </c>
      <c r="X205" s="154">
        <v>0.29989363634005239</v>
      </c>
      <c r="Y205" s="108">
        <v>9.0925419602051694E-2</v>
      </c>
      <c r="Z205" s="108">
        <v>6.8291165870881576E-2</v>
      </c>
      <c r="AA205" s="108">
        <v>-4.7725871635043493E-2</v>
      </c>
    </row>
    <row r="206" spans="1:27" ht="15" x14ac:dyDescent="0.25">
      <c r="A206" s="4">
        <v>260130</v>
      </c>
      <c r="B206" s="20" t="s">
        <v>805</v>
      </c>
      <c r="C206" s="10" t="s">
        <v>23</v>
      </c>
      <c r="D206" s="10" t="s">
        <v>29</v>
      </c>
      <c r="E206" s="10" t="s">
        <v>806</v>
      </c>
      <c r="F206" s="99">
        <v>37.299999999999997</v>
      </c>
      <c r="G206" s="55">
        <v>73.05</v>
      </c>
      <c r="H206" s="55">
        <v>77.12</v>
      </c>
      <c r="I206" s="55">
        <v>76.349999999999994</v>
      </c>
      <c r="J206" s="55">
        <v>77.75</v>
      </c>
      <c r="K206" s="55">
        <v>74.25</v>
      </c>
      <c r="L206" s="55">
        <v>75.47</v>
      </c>
      <c r="M206" s="55">
        <v>62.26</v>
      </c>
      <c r="N206" s="55">
        <v>8.24</v>
      </c>
      <c r="O206" s="55">
        <v>69.45</v>
      </c>
      <c r="P206" s="55">
        <v>71.959999999999994</v>
      </c>
      <c r="Q206" s="55">
        <v>70.56</v>
      </c>
      <c r="R206" s="111">
        <v>74.400000000000006</v>
      </c>
      <c r="S206" s="55">
        <v>75.7</v>
      </c>
      <c r="T206" s="55">
        <v>76.41</v>
      </c>
      <c r="U206" s="55">
        <v>79.86</v>
      </c>
      <c r="V206" s="55">
        <v>84.95</v>
      </c>
      <c r="W206" s="112">
        <v>193.85</v>
      </c>
      <c r="X206" s="100">
        <v>1.520743626546373E-2</v>
      </c>
      <c r="Y206" s="100">
        <v>3.1305752852863078E-2</v>
      </c>
      <c r="Z206" s="100">
        <v>3.4435486503247681E-2</v>
      </c>
      <c r="AA206" s="113">
        <v>0.37280701754385959</v>
      </c>
    </row>
    <row r="207" spans="1:27" ht="15" x14ac:dyDescent="0.25">
      <c r="A207" s="4">
        <v>260130</v>
      </c>
      <c r="B207" s="20" t="s">
        <v>807</v>
      </c>
      <c r="C207" s="10" t="s">
        <v>23</v>
      </c>
      <c r="D207" s="10" t="s">
        <v>95</v>
      </c>
      <c r="E207" s="10" t="s">
        <v>806</v>
      </c>
      <c r="F207" s="99">
        <v>16.3</v>
      </c>
      <c r="G207" s="55">
        <v>697.2</v>
      </c>
      <c r="H207" s="55">
        <v>620</v>
      </c>
      <c r="I207" s="55">
        <v>555.5</v>
      </c>
      <c r="J207" s="55">
        <v>512.9</v>
      </c>
      <c r="K207" s="55">
        <v>515.20000000000005</v>
      </c>
      <c r="L207" s="55">
        <v>495.8</v>
      </c>
      <c r="M207" s="55">
        <v>516.5</v>
      </c>
      <c r="N207" s="55">
        <v>521</v>
      </c>
      <c r="O207" s="55">
        <v>568.5</v>
      </c>
      <c r="P207" s="55">
        <v>551.70000000000005</v>
      </c>
      <c r="Q207" s="55">
        <v>588.4</v>
      </c>
      <c r="R207" s="55">
        <v>624.79999999999995</v>
      </c>
      <c r="S207" s="55">
        <v>708.3</v>
      </c>
      <c r="T207" s="55">
        <v>621.4</v>
      </c>
      <c r="U207" s="55">
        <v>633.20000000000005</v>
      </c>
      <c r="V207" s="55">
        <v>700.4</v>
      </c>
      <c r="W207" s="112">
        <v>1142</v>
      </c>
      <c r="X207" s="100">
        <v>2.8182112243247511E-2</v>
      </c>
      <c r="Y207" s="100">
        <v>1.7617680600888749E-2</v>
      </c>
      <c r="Z207" s="100">
        <v>2.92151331298065E-2</v>
      </c>
      <c r="AA207" s="113">
        <v>0.16284308940036779</v>
      </c>
    </row>
    <row r="208" spans="1:27" ht="15" x14ac:dyDescent="0.25">
      <c r="A208" s="4">
        <v>260130</v>
      </c>
      <c r="B208" s="20" t="s">
        <v>808</v>
      </c>
      <c r="C208" s="10" t="s">
        <v>23</v>
      </c>
      <c r="D208" s="10" t="s">
        <v>29</v>
      </c>
      <c r="E208" s="10" t="s">
        <v>806</v>
      </c>
      <c r="F208" s="99">
        <v>13.4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55">
        <v>-68.66</v>
      </c>
      <c r="Q208" s="55">
        <v>157.94999999999999</v>
      </c>
      <c r="R208" s="55">
        <v>141.13999999999999</v>
      </c>
      <c r="S208" s="55">
        <v>151.18</v>
      </c>
      <c r="T208" s="111">
        <v>147.19</v>
      </c>
      <c r="U208" s="55">
        <v>149.4</v>
      </c>
      <c r="V208" s="55">
        <v>119.03</v>
      </c>
      <c r="W208" s="112">
        <v>227.05</v>
      </c>
      <c r="X208" s="113">
        <v>0.56562983150336743</v>
      </c>
      <c r="Y208" s="100">
        <v>-1.4310581461520529E-2</v>
      </c>
      <c r="Z208" s="100">
        <v>-3.7543937104141611E-2</v>
      </c>
      <c r="AA208" s="113">
        <v>0.1338567395906847</v>
      </c>
    </row>
    <row r="209" spans="1:27" ht="15" x14ac:dyDescent="0.25">
      <c r="A209" s="4">
        <v>260130</v>
      </c>
      <c r="B209" s="20" t="s">
        <v>809</v>
      </c>
      <c r="C209" s="10" t="s">
        <v>23</v>
      </c>
      <c r="D209" s="10" t="s">
        <v>810</v>
      </c>
      <c r="E209" s="10" t="s">
        <v>811</v>
      </c>
      <c r="F209" s="99">
        <v>11.9</v>
      </c>
      <c r="G209" s="55">
        <v>61.99</v>
      </c>
      <c r="H209" s="55">
        <v>68.16</v>
      </c>
      <c r="I209" s="55">
        <v>83.57</v>
      </c>
      <c r="J209" s="55">
        <v>76.41</v>
      </c>
      <c r="K209" s="55">
        <v>75.78</v>
      </c>
      <c r="L209" s="111">
        <v>102.53</v>
      </c>
      <c r="M209" s="111">
        <v>132.53</v>
      </c>
      <c r="N209" s="55">
        <v>110.81</v>
      </c>
      <c r="O209" s="111">
        <v>144.33000000000001</v>
      </c>
      <c r="P209" s="111">
        <v>162.33000000000001</v>
      </c>
      <c r="Q209" s="55">
        <v>141.36000000000001</v>
      </c>
      <c r="R209" s="55">
        <v>112.82</v>
      </c>
      <c r="S209" s="55">
        <v>82.31</v>
      </c>
      <c r="T209" s="55">
        <v>80.459999999999994</v>
      </c>
      <c r="U209" s="55">
        <v>74.08</v>
      </c>
      <c r="V209" s="55">
        <v>83.84</v>
      </c>
      <c r="W209" s="112">
        <v>120.63</v>
      </c>
      <c r="X209" s="100">
        <v>-0.1641273405236359</v>
      </c>
      <c r="Y209" s="100">
        <v>-0.16136227365391539</v>
      </c>
      <c r="Z209" s="100">
        <v>-8.2878142248405506E-2</v>
      </c>
      <c r="AA209" s="113">
        <v>0.1194923446318874</v>
      </c>
    </row>
    <row r="210" spans="1:27" ht="15" x14ac:dyDescent="0.25">
      <c r="A210" s="4">
        <v>260130</v>
      </c>
      <c r="B210" s="20" t="s">
        <v>812</v>
      </c>
      <c r="C210" s="10" t="s">
        <v>23</v>
      </c>
      <c r="D210" s="10" t="s">
        <v>99</v>
      </c>
      <c r="E210" s="10" t="s">
        <v>806</v>
      </c>
      <c r="F210" s="38">
        <v>8.6999999999999993</v>
      </c>
      <c r="G210" s="55">
        <v>280.92</v>
      </c>
      <c r="H210" s="55">
        <v>317.38</v>
      </c>
      <c r="I210" s="55">
        <v>352.42</v>
      </c>
      <c r="J210" s="55">
        <v>407.66</v>
      </c>
      <c r="K210" s="111">
        <v>441.73</v>
      </c>
      <c r="L210" s="55">
        <v>463.75</v>
      </c>
      <c r="M210" s="55">
        <v>485.4</v>
      </c>
      <c r="N210" s="55">
        <v>515.38</v>
      </c>
      <c r="O210" s="55">
        <v>603.30999999999995</v>
      </c>
      <c r="P210" s="55">
        <v>637.80999999999995</v>
      </c>
      <c r="Q210" s="55">
        <v>586.98</v>
      </c>
      <c r="R210" s="55">
        <v>691.11</v>
      </c>
      <c r="S210" s="55">
        <v>734.13</v>
      </c>
      <c r="T210" s="55">
        <v>766.08</v>
      </c>
      <c r="U210" s="55">
        <v>844.91</v>
      </c>
      <c r="V210" s="55">
        <v>952.4</v>
      </c>
      <c r="W210" s="58">
        <v>1020</v>
      </c>
      <c r="X210" s="100">
        <v>4.8403225623861117E-2</v>
      </c>
      <c r="Y210" s="100">
        <v>9.2837346578843016E-2</v>
      </c>
      <c r="Z210" s="100">
        <v>8.605738036973487E-2</v>
      </c>
      <c r="AA210" s="100">
        <v>8.6692423396977025E-2</v>
      </c>
    </row>
    <row r="211" spans="1:27" ht="15" x14ac:dyDescent="0.25">
      <c r="A211" s="4">
        <v>260130</v>
      </c>
      <c r="B211" s="20" t="s">
        <v>813</v>
      </c>
      <c r="C211" s="10" t="s">
        <v>23</v>
      </c>
      <c r="D211" s="10" t="s">
        <v>95</v>
      </c>
      <c r="E211" s="10" t="s">
        <v>806</v>
      </c>
      <c r="F211" s="38">
        <v>8</v>
      </c>
      <c r="G211" s="55">
        <v>79.180000000000007</v>
      </c>
      <c r="H211" s="55">
        <v>78.37</v>
      </c>
      <c r="I211" s="55">
        <v>77.25</v>
      </c>
      <c r="J211" s="55">
        <v>72.41</v>
      </c>
      <c r="K211" s="55">
        <v>73.31</v>
      </c>
      <c r="L211" s="55">
        <v>82.04</v>
      </c>
      <c r="M211" s="55">
        <v>85.72</v>
      </c>
      <c r="N211" s="55">
        <v>90.42</v>
      </c>
      <c r="O211" s="55">
        <v>90.84</v>
      </c>
      <c r="P211" s="55">
        <v>96.84</v>
      </c>
      <c r="Q211" s="55">
        <v>107.03</v>
      </c>
      <c r="R211" s="55">
        <v>113.17</v>
      </c>
      <c r="S211" s="55">
        <v>110.7</v>
      </c>
      <c r="T211" s="55">
        <v>108.08</v>
      </c>
      <c r="U211" s="55">
        <v>112.62</v>
      </c>
      <c r="V211" s="55">
        <v>125.62</v>
      </c>
      <c r="W211" s="58">
        <v>147.43</v>
      </c>
      <c r="X211" s="100">
        <v>2.6277645298545819E-2</v>
      </c>
      <c r="Y211" s="100">
        <v>1.2734065333272589E-2</v>
      </c>
      <c r="Z211" s="100">
        <v>2.8004588703691269E-2</v>
      </c>
      <c r="AA211" s="100">
        <v>8.0368474027394887E-2</v>
      </c>
    </row>
    <row r="212" spans="1:27" ht="15" x14ac:dyDescent="0.25">
      <c r="A212" s="4">
        <v>260130</v>
      </c>
      <c r="B212" s="20" t="s">
        <v>814</v>
      </c>
      <c r="C212" s="10" t="s">
        <v>23</v>
      </c>
      <c r="D212" s="10" t="s">
        <v>177</v>
      </c>
      <c r="E212" s="10" t="s">
        <v>806</v>
      </c>
      <c r="F212" s="38">
        <v>6.8</v>
      </c>
      <c r="G212" s="55">
        <v>362.84</v>
      </c>
      <c r="H212" s="55">
        <v>263.52</v>
      </c>
      <c r="I212" s="55">
        <v>233.61</v>
      </c>
      <c r="J212" s="55">
        <v>287.08999999999997</v>
      </c>
      <c r="K212" s="55">
        <v>302.89999999999998</v>
      </c>
      <c r="L212" s="55">
        <v>308.54000000000002</v>
      </c>
      <c r="M212" s="55">
        <v>288.73</v>
      </c>
      <c r="N212" s="55">
        <v>292.92</v>
      </c>
      <c r="O212" s="55">
        <v>289.97000000000003</v>
      </c>
      <c r="P212" s="55">
        <v>332.59</v>
      </c>
      <c r="Q212" s="55">
        <v>308.63</v>
      </c>
      <c r="R212" s="55">
        <v>349.25</v>
      </c>
      <c r="S212" s="55">
        <v>354.04</v>
      </c>
      <c r="T212" s="55">
        <v>346.43</v>
      </c>
      <c r="U212" s="55">
        <v>350.65</v>
      </c>
      <c r="V212" s="55">
        <v>401.94</v>
      </c>
      <c r="W212" s="58">
        <v>452.49</v>
      </c>
      <c r="X212" s="100">
        <v>1.029371295118664E-2</v>
      </c>
      <c r="Y212" s="100">
        <v>3.0934589759634919E-2</v>
      </c>
      <c r="Z212" s="100">
        <v>3.7625770332126551E-2</v>
      </c>
      <c r="AA212" s="100">
        <v>6.7753568331658798E-2</v>
      </c>
    </row>
    <row r="213" spans="1:27" ht="15" x14ac:dyDescent="0.25">
      <c r="A213" s="4">
        <v>260130</v>
      </c>
      <c r="B213" s="20" t="s">
        <v>815</v>
      </c>
      <c r="C213" s="10" t="s">
        <v>23</v>
      </c>
      <c r="D213" s="10" t="s">
        <v>29</v>
      </c>
      <c r="E213" s="10" t="s">
        <v>806</v>
      </c>
      <c r="F213" s="38">
        <v>5.8</v>
      </c>
      <c r="G213" s="55">
        <v>161.53</v>
      </c>
      <c r="H213" s="55">
        <v>166.86</v>
      </c>
      <c r="I213" s="55">
        <v>166.92</v>
      </c>
      <c r="J213" s="55">
        <v>175.31</v>
      </c>
      <c r="K213" s="55">
        <v>168.04</v>
      </c>
      <c r="L213" s="55">
        <v>172.47</v>
      </c>
      <c r="M213" s="55">
        <v>178.01</v>
      </c>
      <c r="N213" s="55">
        <v>171.86</v>
      </c>
      <c r="O213" s="55">
        <v>153.1</v>
      </c>
      <c r="P213" s="55">
        <v>167.98</v>
      </c>
      <c r="Q213" s="55">
        <v>175.15</v>
      </c>
      <c r="R213" s="55">
        <v>175.62</v>
      </c>
      <c r="S213" s="55">
        <v>175.55</v>
      </c>
      <c r="T213" s="55">
        <v>189.62</v>
      </c>
      <c r="U213" s="55">
        <v>201.03</v>
      </c>
      <c r="V213" s="55">
        <v>200.39</v>
      </c>
      <c r="W213" s="58">
        <v>220.11</v>
      </c>
      <c r="X213" s="100">
        <v>3.1168082961256172E-2</v>
      </c>
      <c r="Y213" s="100">
        <v>3.6148280582171788E-2</v>
      </c>
      <c r="Z213" s="100">
        <v>3.3390849532231481E-2</v>
      </c>
      <c r="AA213" s="100">
        <v>5.8127551885623241E-2</v>
      </c>
    </row>
    <row r="214" spans="1:27" ht="15" x14ac:dyDescent="0.25">
      <c r="A214" s="4">
        <v>260130</v>
      </c>
      <c r="B214" s="20" t="s">
        <v>816</v>
      </c>
      <c r="C214" s="10" t="s">
        <v>23</v>
      </c>
      <c r="D214" s="10" t="s">
        <v>24</v>
      </c>
      <c r="E214" s="10" t="s">
        <v>817</v>
      </c>
      <c r="F214" s="38">
        <v>4.8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55">
        <v>202.71</v>
      </c>
      <c r="Q214" s="55">
        <v>187.66</v>
      </c>
      <c r="R214" s="55">
        <v>198.58</v>
      </c>
      <c r="S214" s="55">
        <v>235.26</v>
      </c>
      <c r="T214" s="55">
        <v>240.12</v>
      </c>
      <c r="U214" s="55">
        <v>230.47</v>
      </c>
      <c r="V214" s="55">
        <v>264.36</v>
      </c>
      <c r="W214" s="58">
        <v>281.94</v>
      </c>
      <c r="X214" s="100">
        <v>4.5388917872872143E-2</v>
      </c>
      <c r="Y214" s="100">
        <v>4.9685476196003053E-2</v>
      </c>
      <c r="Z214" s="100">
        <v>7.2730891279590315E-2</v>
      </c>
      <c r="AA214" s="100">
        <v>4.8113295059832417E-2</v>
      </c>
    </row>
    <row r="215" spans="1:27" ht="15" x14ac:dyDescent="0.25">
      <c r="A215" s="4">
        <v>260130</v>
      </c>
      <c r="B215" s="20" t="s">
        <v>818</v>
      </c>
      <c r="C215" s="10" t="s">
        <v>23</v>
      </c>
      <c r="D215" s="10" t="s">
        <v>79</v>
      </c>
      <c r="E215" s="10" t="s">
        <v>806</v>
      </c>
      <c r="F215" s="38">
        <v>4.2</v>
      </c>
      <c r="G215" s="55">
        <v>419.84</v>
      </c>
      <c r="H215" s="55">
        <v>468.25</v>
      </c>
      <c r="I215" s="55">
        <v>463.42</v>
      </c>
      <c r="J215" s="55">
        <v>493.64</v>
      </c>
      <c r="K215" s="55">
        <v>493.65</v>
      </c>
      <c r="L215" s="55">
        <v>550.76</v>
      </c>
      <c r="M215" s="55">
        <v>583.47</v>
      </c>
      <c r="N215" s="55">
        <v>575.85</v>
      </c>
      <c r="O215" s="55">
        <v>589.13</v>
      </c>
      <c r="P215" s="55">
        <v>590.23</v>
      </c>
      <c r="Q215" s="55">
        <v>572.92999999999995</v>
      </c>
      <c r="R215" s="55">
        <v>608.53</v>
      </c>
      <c r="S215" s="55">
        <v>541.64</v>
      </c>
      <c r="T215" s="55">
        <v>576.77</v>
      </c>
      <c r="U215" s="55">
        <v>657.86</v>
      </c>
      <c r="V215" s="55">
        <v>655.24</v>
      </c>
      <c r="W215" s="58">
        <v>644.4</v>
      </c>
      <c r="X215" s="100">
        <v>-5.8184521879715012E-3</v>
      </c>
      <c r="Y215" s="100">
        <v>3.6928174201150687E-2</v>
      </c>
      <c r="Z215" s="100">
        <v>1.95865481382087E-2</v>
      </c>
      <c r="AA215" s="100">
        <v>4.2261804393154863E-2</v>
      </c>
    </row>
    <row r="216" spans="1:27" ht="15" x14ac:dyDescent="0.25">
      <c r="A216" s="4">
        <v>260130</v>
      </c>
      <c r="B216" s="20" t="s">
        <v>819</v>
      </c>
      <c r="C216" s="10" t="s">
        <v>23</v>
      </c>
      <c r="D216" s="10" t="s">
        <v>29</v>
      </c>
      <c r="E216" s="10" t="s">
        <v>806</v>
      </c>
      <c r="F216" s="38">
        <v>4.0999999999999996</v>
      </c>
      <c r="G216" s="55">
        <v>334</v>
      </c>
      <c r="H216" s="55">
        <v>348</v>
      </c>
      <c r="I216" s="55">
        <v>368</v>
      </c>
      <c r="J216" s="55">
        <v>341</v>
      </c>
      <c r="K216" s="55">
        <v>294</v>
      </c>
      <c r="L216" s="55">
        <v>482</v>
      </c>
      <c r="M216" s="111">
        <v>1012</v>
      </c>
      <c r="N216" s="111">
        <v>980</v>
      </c>
      <c r="O216" s="55">
        <v>326</v>
      </c>
      <c r="P216" s="55">
        <v>439</v>
      </c>
      <c r="Q216" s="55">
        <v>281</v>
      </c>
      <c r="R216" s="55">
        <v>381</v>
      </c>
      <c r="S216" s="111">
        <v>480</v>
      </c>
      <c r="T216" s="55">
        <v>411</v>
      </c>
      <c r="U216" s="55">
        <v>432</v>
      </c>
      <c r="V216" s="55">
        <v>481</v>
      </c>
      <c r="W216" s="58">
        <v>554</v>
      </c>
      <c r="X216" s="100">
        <v>-1.771030993042377E-2</v>
      </c>
      <c r="Y216" s="100">
        <v>9.7231165486155735E-2</v>
      </c>
      <c r="Z216" s="100">
        <v>5.8685446009389741E-2</v>
      </c>
      <c r="AA216" s="100">
        <v>4.1019955654101992E-2</v>
      </c>
    </row>
    <row r="217" spans="1:27" ht="15" x14ac:dyDescent="0.25">
      <c r="A217" s="4">
        <v>260130</v>
      </c>
      <c r="B217" s="20" t="s">
        <v>820</v>
      </c>
      <c r="C217" s="10" t="s">
        <v>23</v>
      </c>
      <c r="D217" s="10" t="s">
        <v>172</v>
      </c>
      <c r="E217" s="10" t="s">
        <v>821</v>
      </c>
      <c r="F217" s="38">
        <v>3.6</v>
      </c>
      <c r="G217" s="55">
        <v>480.51</v>
      </c>
      <c r="H217" s="55">
        <v>501.59</v>
      </c>
      <c r="I217" s="55">
        <v>567.29999999999995</v>
      </c>
      <c r="J217" s="55">
        <v>617.41</v>
      </c>
      <c r="K217" s="55">
        <v>574.87</v>
      </c>
      <c r="L217" s="55">
        <v>568.88</v>
      </c>
      <c r="M217" s="55">
        <v>584.45000000000005</v>
      </c>
      <c r="N217" s="55">
        <v>649.02</v>
      </c>
      <c r="O217" s="55">
        <v>634.44000000000005</v>
      </c>
      <c r="P217" s="55">
        <v>705.73</v>
      </c>
      <c r="Q217" s="55">
        <v>768.42</v>
      </c>
      <c r="R217" s="55">
        <v>775.77</v>
      </c>
      <c r="S217" s="55">
        <v>749.55</v>
      </c>
      <c r="T217" s="55">
        <v>833.96</v>
      </c>
      <c r="U217" s="55">
        <v>890.16</v>
      </c>
      <c r="V217" s="55">
        <v>897.8</v>
      </c>
      <c r="W217" s="58">
        <v>870.96</v>
      </c>
      <c r="X217" s="100">
        <v>4.2750885989858212E-2</v>
      </c>
      <c r="Y217" s="100">
        <v>3.8923170380791072E-2</v>
      </c>
      <c r="Z217" s="100">
        <v>3.7554163178886053E-2</v>
      </c>
      <c r="AA217" s="100">
        <v>3.6010998169937913E-2</v>
      </c>
    </row>
    <row r="218" spans="1:27" ht="15" x14ac:dyDescent="0.25">
      <c r="A218" s="4">
        <v>260130</v>
      </c>
      <c r="B218" s="20" t="s">
        <v>822</v>
      </c>
      <c r="C218" s="10" t="s">
        <v>23</v>
      </c>
      <c r="D218" s="10" t="s">
        <v>29</v>
      </c>
      <c r="E218" s="10" t="s">
        <v>806</v>
      </c>
      <c r="F218" s="38">
        <v>3.6</v>
      </c>
      <c r="G218" s="55">
        <v>178.9</v>
      </c>
      <c r="H218" s="55">
        <v>181</v>
      </c>
      <c r="I218" s="55">
        <v>188.28</v>
      </c>
      <c r="J218" s="55">
        <v>205.41</v>
      </c>
      <c r="K218" s="55">
        <v>216.99</v>
      </c>
      <c r="L218" s="55">
        <v>207.47</v>
      </c>
      <c r="M218" s="55">
        <v>202.29</v>
      </c>
      <c r="N218" s="55">
        <v>195.75</v>
      </c>
      <c r="O218" s="55">
        <v>204.81</v>
      </c>
      <c r="P218" s="55">
        <v>199.5</v>
      </c>
      <c r="Q218" s="55">
        <v>202.82</v>
      </c>
      <c r="R218" s="55">
        <v>202.6</v>
      </c>
      <c r="S218" s="55">
        <v>188.88</v>
      </c>
      <c r="T218" s="55">
        <v>200.5</v>
      </c>
      <c r="U218" s="55">
        <v>213.04</v>
      </c>
      <c r="V218" s="55">
        <v>221.89</v>
      </c>
      <c r="W218" s="58">
        <v>218.15</v>
      </c>
      <c r="X218" s="100">
        <v>1.25976316452503E-3</v>
      </c>
      <c r="Y218" s="100">
        <v>1.2858580775037881E-2</v>
      </c>
      <c r="Z218" s="100">
        <v>2.3962137586643669E-2</v>
      </c>
      <c r="AA218" s="100">
        <v>3.5508485885164642E-2</v>
      </c>
    </row>
    <row r="219" spans="1:27" ht="15" x14ac:dyDescent="0.25">
      <c r="A219" s="4">
        <v>260130</v>
      </c>
      <c r="B219" s="20" t="s">
        <v>823</v>
      </c>
      <c r="C219" s="10" t="s">
        <v>23</v>
      </c>
      <c r="D219" s="10" t="s">
        <v>29</v>
      </c>
      <c r="E219" s="10" t="s">
        <v>806</v>
      </c>
      <c r="F219" s="38">
        <v>3.3</v>
      </c>
      <c r="G219" s="55">
        <v>24.3</v>
      </c>
      <c r="H219" s="55">
        <v>22.98</v>
      </c>
      <c r="I219" s="55">
        <v>25.76</v>
      </c>
      <c r="J219" s="55">
        <v>27.36</v>
      </c>
      <c r="K219" s="55">
        <v>27.54</v>
      </c>
      <c r="L219" s="55">
        <v>27.25</v>
      </c>
      <c r="M219" s="55">
        <v>27.22</v>
      </c>
      <c r="N219" s="55">
        <v>26.12</v>
      </c>
      <c r="O219" s="55">
        <v>26.23</v>
      </c>
      <c r="P219" s="55">
        <v>25.85</v>
      </c>
      <c r="Q219" s="55">
        <v>26.59</v>
      </c>
      <c r="R219" s="55">
        <v>27.58</v>
      </c>
      <c r="S219" s="55">
        <v>28.38</v>
      </c>
      <c r="T219" s="55">
        <v>29.43</v>
      </c>
      <c r="U219" s="55">
        <v>30.09</v>
      </c>
      <c r="V219" s="55">
        <v>31.26</v>
      </c>
      <c r="W219" s="58">
        <v>32.31</v>
      </c>
      <c r="X219" s="100">
        <v>3.3025830258302413E-2</v>
      </c>
      <c r="Y219" s="100">
        <v>3.1255581353813122E-2</v>
      </c>
      <c r="Z219" s="100">
        <v>3.1866989954970608E-2</v>
      </c>
      <c r="AA219" s="100">
        <v>3.2980866062437109E-2</v>
      </c>
    </row>
    <row r="220" spans="1:27" ht="15" x14ac:dyDescent="0.25">
      <c r="A220" s="4">
        <v>260130</v>
      </c>
      <c r="B220" s="20" t="s">
        <v>824</v>
      </c>
      <c r="C220" s="10" t="s">
        <v>23</v>
      </c>
      <c r="D220" s="10" t="s">
        <v>99</v>
      </c>
      <c r="E220" s="10" t="s">
        <v>806</v>
      </c>
      <c r="F220" s="38">
        <v>2.6</v>
      </c>
      <c r="G220" s="55">
        <v>12092</v>
      </c>
      <c r="H220" s="55">
        <v>11768</v>
      </c>
      <c r="I220" s="55">
        <v>12985</v>
      </c>
      <c r="J220" s="55">
        <v>12778</v>
      </c>
      <c r="K220" s="55">
        <v>13149</v>
      </c>
      <c r="L220" s="55">
        <v>13226</v>
      </c>
      <c r="M220" s="55">
        <v>13856</v>
      </c>
      <c r="N220" s="55">
        <v>14148</v>
      </c>
      <c r="O220" s="55">
        <v>14362</v>
      </c>
      <c r="P220" s="55">
        <v>14532</v>
      </c>
      <c r="Q220" s="55">
        <v>15065</v>
      </c>
      <c r="R220" s="55">
        <v>15280</v>
      </c>
      <c r="S220" s="55">
        <v>15887</v>
      </c>
      <c r="T220" s="55">
        <v>15817</v>
      </c>
      <c r="U220" s="55">
        <v>16451</v>
      </c>
      <c r="V220" s="55">
        <v>17139</v>
      </c>
      <c r="W220" s="58">
        <v>17566</v>
      </c>
      <c r="X220" s="100">
        <v>2.114738990191567E-2</v>
      </c>
      <c r="Y220" s="100">
        <v>2.2337185127882849E-2</v>
      </c>
      <c r="Z220" s="100">
        <v>2.9305588397572361E-2</v>
      </c>
      <c r="AA220" s="100">
        <v>2.571446074677608E-2</v>
      </c>
    </row>
    <row r="221" spans="1:27" ht="15" x14ac:dyDescent="0.25">
      <c r="A221" s="4">
        <v>260130</v>
      </c>
      <c r="B221" s="20" t="s">
        <v>825</v>
      </c>
      <c r="C221" s="10" t="s">
        <v>23</v>
      </c>
      <c r="D221" s="10" t="s">
        <v>106</v>
      </c>
      <c r="E221" s="10" t="s">
        <v>806</v>
      </c>
      <c r="F221" s="38">
        <v>2.1</v>
      </c>
      <c r="G221" s="55">
        <v>33.6</v>
      </c>
      <c r="H221" s="55">
        <v>37.369999999999997</v>
      </c>
      <c r="I221" s="55">
        <v>40.270000000000003</v>
      </c>
      <c r="J221" s="55">
        <v>40.630000000000003</v>
      </c>
      <c r="K221" s="55">
        <v>39.69</v>
      </c>
      <c r="L221" s="55">
        <v>41.83</v>
      </c>
      <c r="M221" s="55">
        <v>43.76</v>
      </c>
      <c r="N221" s="55">
        <v>45.32</v>
      </c>
      <c r="O221" s="55">
        <v>43.33</v>
      </c>
      <c r="P221" s="55">
        <v>45.09</v>
      </c>
      <c r="Q221" s="55">
        <v>48.07</v>
      </c>
      <c r="R221" s="55">
        <v>49.05</v>
      </c>
      <c r="S221" s="55">
        <v>45.97</v>
      </c>
      <c r="T221" s="55">
        <v>50.22</v>
      </c>
      <c r="U221" s="55">
        <v>53.63</v>
      </c>
      <c r="V221" s="55">
        <v>52.1</v>
      </c>
      <c r="W221" s="58">
        <v>50.2</v>
      </c>
      <c r="X221" s="100">
        <v>2.72611329578063E-2</v>
      </c>
      <c r="Y221" s="100">
        <v>2.8762091976617828E-2</v>
      </c>
      <c r="Z221" s="100">
        <v>1.533665208427615E-2</v>
      </c>
      <c r="AA221" s="100">
        <v>2.0948890649762131E-2</v>
      </c>
    </row>
    <row r="222" spans="1:27" ht="15" x14ac:dyDescent="0.25">
      <c r="A222" s="4">
        <v>260130</v>
      </c>
      <c r="B222" s="20" t="s">
        <v>826</v>
      </c>
      <c r="C222" s="10" t="s">
        <v>23</v>
      </c>
      <c r="D222" s="10" t="s">
        <v>79</v>
      </c>
      <c r="E222" s="10" t="s">
        <v>806</v>
      </c>
      <c r="F222" s="38">
        <v>1.9</v>
      </c>
      <c r="G222" s="55">
        <v>2119</v>
      </c>
      <c r="H222" s="55">
        <v>2124</v>
      </c>
      <c r="I222" s="55">
        <v>2081</v>
      </c>
      <c r="J222" s="55">
        <v>2302</v>
      </c>
      <c r="K222" s="55">
        <v>2335</v>
      </c>
      <c r="L222" s="55">
        <v>2493</v>
      </c>
      <c r="M222" s="55">
        <v>2635</v>
      </c>
      <c r="N222" s="55">
        <v>2596</v>
      </c>
      <c r="O222" s="55">
        <v>2751</v>
      </c>
      <c r="P222" s="55">
        <v>2615</v>
      </c>
      <c r="Q222" s="55">
        <v>2605</v>
      </c>
      <c r="R222" s="55">
        <v>2555</v>
      </c>
      <c r="S222" s="55">
        <v>2616</v>
      </c>
      <c r="T222" s="55">
        <v>2578</v>
      </c>
      <c r="U222" s="55">
        <v>2714</v>
      </c>
      <c r="V222" s="55">
        <v>2706</v>
      </c>
      <c r="W222" s="58">
        <v>2817</v>
      </c>
      <c r="X222" s="100">
        <v>-3.5607737465114249E-3</v>
      </c>
      <c r="Y222" s="100">
        <v>1.05273324319104E-2</v>
      </c>
      <c r="Z222" s="100">
        <v>1.4431807321036111E-2</v>
      </c>
      <c r="AA222" s="100">
        <v>1.8937252685132799E-2</v>
      </c>
    </row>
    <row r="223" spans="1:27" ht="15" x14ac:dyDescent="0.25">
      <c r="A223" s="4">
        <v>260130</v>
      </c>
      <c r="B223" s="20" t="s">
        <v>827</v>
      </c>
      <c r="C223" s="10" t="s">
        <v>23</v>
      </c>
      <c r="D223" s="10" t="s">
        <v>41</v>
      </c>
      <c r="E223" s="10" t="s">
        <v>821</v>
      </c>
      <c r="F223" s="38">
        <v>1.4</v>
      </c>
      <c r="G223" s="55">
        <v>2994</v>
      </c>
      <c r="H223" s="55">
        <v>2945</v>
      </c>
      <c r="I223" s="55">
        <v>3189</v>
      </c>
      <c r="J223" s="55">
        <v>0</v>
      </c>
      <c r="K223" s="55">
        <v>3175</v>
      </c>
      <c r="L223" s="55">
        <v>3200</v>
      </c>
      <c r="M223" s="55">
        <v>3034</v>
      </c>
      <c r="N223" s="55">
        <v>0</v>
      </c>
      <c r="O223" s="55">
        <v>2997</v>
      </c>
      <c r="P223" s="55">
        <v>2930</v>
      </c>
      <c r="Q223" s="55">
        <v>2986</v>
      </c>
      <c r="R223" s="55">
        <v>0</v>
      </c>
      <c r="S223" s="55">
        <v>2932</v>
      </c>
      <c r="T223" s="55">
        <v>2916</v>
      </c>
      <c r="U223" s="55">
        <v>3023</v>
      </c>
      <c r="V223" s="111">
        <v>3167</v>
      </c>
      <c r="W223" s="58">
        <v>3103</v>
      </c>
      <c r="X223" s="100">
        <v>-1.5822784810126671E-3</v>
      </c>
      <c r="Y223" s="100">
        <v>4.1883631424044498E-3</v>
      </c>
      <c r="Z223" s="113">
        <v>0.35700597452372912</v>
      </c>
      <c r="AA223" s="100">
        <v>1.4205017444758329E-2</v>
      </c>
    </row>
    <row r="224" spans="1:27" ht="15" x14ac:dyDescent="0.25">
      <c r="A224" s="4">
        <v>260130</v>
      </c>
      <c r="B224" s="20" t="s">
        <v>828</v>
      </c>
      <c r="C224" s="10" t="s">
        <v>23</v>
      </c>
      <c r="D224" s="10" t="s">
        <v>476</v>
      </c>
      <c r="E224" s="10" t="s">
        <v>806</v>
      </c>
      <c r="F224" s="38">
        <v>1.4</v>
      </c>
      <c r="G224" s="55">
        <v>4403</v>
      </c>
      <c r="H224" s="55">
        <v>4399</v>
      </c>
      <c r="I224" s="55">
        <v>4484</v>
      </c>
      <c r="J224" s="55">
        <v>4455</v>
      </c>
      <c r="K224" s="55">
        <v>4629</v>
      </c>
      <c r="L224" s="55">
        <v>4770</v>
      </c>
      <c r="M224" s="55">
        <v>4822</v>
      </c>
      <c r="N224" s="55">
        <v>4915</v>
      </c>
      <c r="O224" s="55">
        <v>4950</v>
      </c>
      <c r="P224" s="55">
        <v>5065</v>
      </c>
      <c r="Q224" s="55">
        <v>5058</v>
      </c>
      <c r="R224" s="55">
        <v>5033</v>
      </c>
      <c r="S224" s="55">
        <v>4945</v>
      </c>
      <c r="T224" s="55">
        <v>4911</v>
      </c>
      <c r="U224" s="55">
        <v>5110</v>
      </c>
      <c r="V224" s="55">
        <v>5131</v>
      </c>
      <c r="W224" s="58">
        <v>5230</v>
      </c>
      <c r="X224" s="100">
        <v>-7.6613103825680104E-3</v>
      </c>
      <c r="Y224" s="100">
        <v>2.6069083070134891E-3</v>
      </c>
      <c r="Z224" s="100">
        <v>4.9002450122506147E-3</v>
      </c>
      <c r="AA224" s="100">
        <v>1.4181221077772751E-2</v>
      </c>
    </row>
    <row r="225" spans="1:27" ht="15" x14ac:dyDescent="0.25">
      <c r="A225" s="4">
        <v>260130</v>
      </c>
      <c r="B225" s="20" t="s">
        <v>829</v>
      </c>
      <c r="C225" s="10" t="s">
        <v>23</v>
      </c>
      <c r="D225" s="10" t="s">
        <v>830</v>
      </c>
      <c r="E225" s="10" t="s">
        <v>806</v>
      </c>
      <c r="F225" s="38">
        <v>1.3</v>
      </c>
      <c r="G225" s="55">
        <v>917</v>
      </c>
      <c r="H225" s="55">
        <v>993</v>
      </c>
      <c r="I225" s="55">
        <v>1003</v>
      </c>
      <c r="J225" s="55">
        <v>905</v>
      </c>
      <c r="K225" s="55">
        <v>970</v>
      </c>
      <c r="L225" s="55">
        <v>1079</v>
      </c>
      <c r="M225" s="55">
        <v>940</v>
      </c>
      <c r="N225" s="55">
        <v>1029</v>
      </c>
      <c r="O225" s="55">
        <v>919</v>
      </c>
      <c r="P225" s="55">
        <v>1149</v>
      </c>
      <c r="Q225" s="55">
        <v>965</v>
      </c>
      <c r="R225" s="55">
        <v>1041</v>
      </c>
      <c r="S225" s="55">
        <v>891</v>
      </c>
      <c r="T225" s="55">
        <v>930</v>
      </c>
      <c r="U225" s="55">
        <v>929</v>
      </c>
      <c r="V225" s="55">
        <v>931</v>
      </c>
      <c r="W225" s="58">
        <v>938</v>
      </c>
      <c r="X225" s="100">
        <v>-5.4127533366287728E-2</v>
      </c>
      <c r="Y225" s="100">
        <v>-9.4068460935458065E-3</v>
      </c>
      <c r="Z225" s="100">
        <v>-2.9016090741229239E-2</v>
      </c>
      <c r="AA225" s="100">
        <v>1.2768269491985951E-2</v>
      </c>
    </row>
    <row r="226" spans="1:27" ht="15" x14ac:dyDescent="0.25">
      <c r="A226" s="4">
        <v>260130</v>
      </c>
      <c r="B226" s="20" t="s">
        <v>831</v>
      </c>
      <c r="C226" s="10" t="s">
        <v>23</v>
      </c>
      <c r="D226" s="10" t="s">
        <v>476</v>
      </c>
      <c r="E226" s="10" t="s">
        <v>806</v>
      </c>
      <c r="F226" s="38">
        <v>1</v>
      </c>
      <c r="G226" s="55">
        <v>1369</v>
      </c>
      <c r="H226" s="55">
        <v>1297</v>
      </c>
      <c r="I226" s="55">
        <v>1325</v>
      </c>
      <c r="J226" s="55">
        <v>1317</v>
      </c>
      <c r="K226" s="55">
        <v>1436</v>
      </c>
      <c r="L226" s="55">
        <v>1430</v>
      </c>
      <c r="M226" s="55">
        <v>1454</v>
      </c>
      <c r="N226" s="55">
        <v>1456</v>
      </c>
      <c r="O226" s="55">
        <v>1528</v>
      </c>
      <c r="P226" s="55">
        <v>1503</v>
      </c>
      <c r="Q226" s="55">
        <v>1511</v>
      </c>
      <c r="R226" s="55">
        <v>1511</v>
      </c>
      <c r="S226" s="55">
        <v>1582</v>
      </c>
      <c r="T226" s="55">
        <v>1467</v>
      </c>
      <c r="U226" s="55">
        <v>1506</v>
      </c>
      <c r="V226" s="55">
        <v>1586</v>
      </c>
      <c r="W226" s="58">
        <v>1644</v>
      </c>
      <c r="X226" s="100">
        <v>-5.8948747339119256E-3</v>
      </c>
      <c r="Y226" s="100">
        <v>-8.2358754735623041E-4</v>
      </c>
      <c r="Z226" s="100">
        <v>1.236399604352134E-2</v>
      </c>
      <c r="AA226" s="100">
        <v>1.009607555772685E-2</v>
      </c>
    </row>
    <row r="227" spans="1:27" ht="15" x14ac:dyDescent="0.25">
      <c r="A227" s="4">
        <v>260130</v>
      </c>
      <c r="B227" s="20" t="s">
        <v>832</v>
      </c>
      <c r="C227" s="10" t="s">
        <v>23</v>
      </c>
      <c r="D227" s="10" t="s">
        <v>648</v>
      </c>
      <c r="E227" s="10" t="s">
        <v>806</v>
      </c>
      <c r="F227" s="38">
        <v>0.9</v>
      </c>
      <c r="G227" s="55">
        <v>3080</v>
      </c>
      <c r="H227" s="55">
        <v>3670</v>
      </c>
      <c r="I227" s="55">
        <v>2983</v>
      </c>
      <c r="J227" s="55">
        <v>2696</v>
      </c>
      <c r="K227" s="55">
        <v>3130</v>
      </c>
      <c r="L227" s="55">
        <v>3871</v>
      </c>
      <c r="M227" s="55">
        <v>3177</v>
      </c>
      <c r="N227" s="55">
        <v>2953</v>
      </c>
      <c r="O227" s="55">
        <v>3375</v>
      </c>
      <c r="P227" s="55">
        <v>4070</v>
      </c>
      <c r="Q227" s="55">
        <v>3760</v>
      </c>
      <c r="R227" s="55">
        <v>3721</v>
      </c>
      <c r="S227" s="55">
        <v>4147</v>
      </c>
      <c r="T227" s="55">
        <v>4729</v>
      </c>
      <c r="U227" s="55">
        <v>4155</v>
      </c>
      <c r="V227" s="55">
        <v>3997</v>
      </c>
      <c r="W227" s="58">
        <v>4300</v>
      </c>
      <c r="X227" s="100">
        <v>4.1979870047139663E-2</v>
      </c>
      <c r="Y227" s="100">
        <v>2.4148682521244691E-2</v>
      </c>
      <c r="Z227" s="100">
        <v>1.6475644699140309E-2</v>
      </c>
      <c r="AA227" s="100">
        <v>8.9852008456658972E-3</v>
      </c>
    </row>
    <row r="228" spans="1:27" ht="15" x14ac:dyDescent="0.25">
      <c r="A228" s="4">
        <v>260130</v>
      </c>
      <c r="B228" s="20" t="s">
        <v>833</v>
      </c>
      <c r="C228" s="10" t="s">
        <v>23</v>
      </c>
      <c r="D228" s="10" t="s">
        <v>95</v>
      </c>
      <c r="E228" s="10" t="s">
        <v>821</v>
      </c>
      <c r="F228" s="38">
        <v>0.9</v>
      </c>
      <c r="G228" s="55">
        <v>2224</v>
      </c>
      <c r="H228" s="55">
        <v>2081</v>
      </c>
      <c r="I228" s="55">
        <v>2031</v>
      </c>
      <c r="J228" s="55">
        <v>1939</v>
      </c>
      <c r="K228" s="55">
        <v>1967</v>
      </c>
      <c r="L228" s="55">
        <v>1927</v>
      </c>
      <c r="M228" s="55">
        <v>1969</v>
      </c>
      <c r="N228" s="55">
        <v>1986</v>
      </c>
      <c r="O228" s="55">
        <v>1991</v>
      </c>
      <c r="P228" s="55">
        <v>2153</v>
      </c>
      <c r="Q228" s="55">
        <v>2123</v>
      </c>
      <c r="R228" s="55">
        <v>2211</v>
      </c>
      <c r="S228" s="55">
        <v>2252</v>
      </c>
      <c r="T228" s="55">
        <v>2111</v>
      </c>
      <c r="U228" s="55">
        <v>2064</v>
      </c>
      <c r="V228" s="55">
        <v>2344</v>
      </c>
      <c r="W228" s="58">
        <v>2327</v>
      </c>
      <c r="X228" s="100">
        <v>-4.8060418812221339E-3</v>
      </c>
      <c r="Y228" s="100">
        <v>-6.7839484879843592E-3</v>
      </c>
      <c r="Z228" s="100">
        <v>1.539708265802275E-2</v>
      </c>
      <c r="AA228" s="100">
        <v>8.5509063960780285E-3</v>
      </c>
    </row>
    <row r="229" spans="1:27" ht="15" x14ac:dyDescent="0.25">
      <c r="A229" s="4">
        <v>260130</v>
      </c>
      <c r="B229" s="20" t="s">
        <v>834</v>
      </c>
      <c r="C229" s="10" t="s">
        <v>23</v>
      </c>
      <c r="D229" s="10" t="s">
        <v>835</v>
      </c>
      <c r="E229" s="10" t="s">
        <v>806</v>
      </c>
      <c r="F229" s="38">
        <v>0.7</v>
      </c>
      <c r="G229" s="55">
        <v>4952</v>
      </c>
      <c r="H229" s="55">
        <v>2965</v>
      </c>
      <c r="I229" s="55">
        <v>2857</v>
      </c>
      <c r="J229" s="55">
        <v>2936</v>
      </c>
      <c r="K229" s="55">
        <v>3414</v>
      </c>
      <c r="L229" s="55">
        <v>3162</v>
      </c>
      <c r="M229" s="55">
        <v>3158</v>
      </c>
      <c r="N229" s="55">
        <v>3363</v>
      </c>
      <c r="O229" s="55">
        <v>3434</v>
      </c>
      <c r="P229" s="55">
        <v>3145</v>
      </c>
      <c r="Q229" s="55">
        <v>3547</v>
      </c>
      <c r="R229" s="55">
        <v>3721</v>
      </c>
      <c r="S229" s="55">
        <v>3789</v>
      </c>
      <c r="T229" s="55">
        <v>3029</v>
      </c>
      <c r="U229" s="55">
        <v>3676</v>
      </c>
      <c r="V229" s="55">
        <v>3754</v>
      </c>
      <c r="W229" s="58">
        <v>3884</v>
      </c>
      <c r="X229" s="100">
        <v>-8.1678636811716165E-3</v>
      </c>
      <c r="Y229" s="100">
        <v>9.1580292488995241E-3</v>
      </c>
      <c r="Z229" s="100">
        <v>2.3214913823426109E-3</v>
      </c>
      <c r="AA229" s="100">
        <v>6.667602470522116E-3</v>
      </c>
    </row>
    <row r="230" spans="1:27" ht="15" x14ac:dyDescent="0.25">
      <c r="A230" s="4">
        <v>260130</v>
      </c>
      <c r="B230" s="20" t="s">
        <v>836</v>
      </c>
      <c r="C230" s="10" t="s">
        <v>23</v>
      </c>
      <c r="D230" s="10" t="s">
        <v>141</v>
      </c>
      <c r="E230" s="10" t="s">
        <v>806</v>
      </c>
      <c r="F230" s="38">
        <v>0.5</v>
      </c>
      <c r="G230" s="55">
        <v>34067</v>
      </c>
      <c r="H230" s="55">
        <v>33554</v>
      </c>
      <c r="I230" s="55">
        <v>33789</v>
      </c>
      <c r="J230" s="55">
        <v>34241</v>
      </c>
      <c r="K230" s="55">
        <v>35251</v>
      </c>
      <c r="L230" s="55">
        <v>32912</v>
      </c>
      <c r="M230" s="55">
        <v>32596</v>
      </c>
      <c r="N230" s="55">
        <v>33336</v>
      </c>
      <c r="O230" s="55">
        <v>35130</v>
      </c>
      <c r="P230" s="55">
        <v>32981</v>
      </c>
      <c r="Q230" s="55">
        <v>32796</v>
      </c>
      <c r="R230" s="55">
        <v>33330</v>
      </c>
      <c r="S230" s="55">
        <v>35681</v>
      </c>
      <c r="T230" s="55">
        <v>33485</v>
      </c>
      <c r="U230" s="55">
        <v>34504</v>
      </c>
      <c r="V230" s="55">
        <v>33821</v>
      </c>
      <c r="W230" s="58">
        <v>36381</v>
      </c>
      <c r="X230" s="100">
        <v>3.7392052704987582E-3</v>
      </c>
      <c r="Y230" s="100">
        <v>1.262454542766767E-2</v>
      </c>
      <c r="Z230" s="100">
        <v>3.583941605839414E-3</v>
      </c>
      <c r="AA230" s="100">
        <v>5.0912423358620007E-3</v>
      </c>
    </row>
    <row r="231" spans="1:27" ht="15" x14ac:dyDescent="0.25">
      <c r="A231" s="4">
        <v>260130</v>
      </c>
      <c r="B231" s="20" t="s">
        <v>837</v>
      </c>
      <c r="C231" s="10" t="s">
        <v>23</v>
      </c>
      <c r="D231" s="10" t="s">
        <v>166</v>
      </c>
      <c r="E231" s="10" t="s">
        <v>806</v>
      </c>
      <c r="F231" s="38">
        <v>-0.3</v>
      </c>
      <c r="G231" s="55">
        <v>82885</v>
      </c>
      <c r="H231" s="55">
        <v>87962</v>
      </c>
      <c r="I231" s="55">
        <v>111993</v>
      </c>
      <c r="J231" s="55">
        <v>107438</v>
      </c>
      <c r="K231" s="55">
        <v>93790</v>
      </c>
      <c r="L231" s="55">
        <v>84183</v>
      </c>
      <c r="M231" s="55">
        <v>80256</v>
      </c>
      <c r="N231" s="55">
        <v>88570</v>
      </c>
      <c r="O231" s="55">
        <v>81688</v>
      </c>
      <c r="P231" s="55">
        <v>80411</v>
      </c>
      <c r="Q231" s="55">
        <v>89986</v>
      </c>
      <c r="R231" s="55">
        <v>87792</v>
      </c>
      <c r="S231" s="55">
        <v>81058</v>
      </c>
      <c r="T231" s="55">
        <v>81058</v>
      </c>
      <c r="U231" s="55">
        <v>79477</v>
      </c>
      <c r="V231" s="55">
        <v>83331</v>
      </c>
      <c r="W231" s="58">
        <v>80039</v>
      </c>
      <c r="X231" s="100">
        <v>1.907164985983645E-3</v>
      </c>
      <c r="Y231" s="100">
        <v>-3.0918462814877531E-2</v>
      </c>
      <c r="Z231" s="100">
        <v>-1.3543421831595291E-2</v>
      </c>
      <c r="AA231" s="100">
        <v>-3.136117984513298E-3</v>
      </c>
    </row>
    <row r="232" spans="1:27" ht="15" x14ac:dyDescent="0.25">
      <c r="A232" s="4">
        <v>260130</v>
      </c>
      <c r="B232" s="20" t="s">
        <v>838</v>
      </c>
      <c r="C232" s="10" t="s">
        <v>23</v>
      </c>
      <c r="D232" s="10" t="s">
        <v>141</v>
      </c>
      <c r="E232" s="10" t="s">
        <v>806</v>
      </c>
      <c r="F232" s="38">
        <v>-0.6</v>
      </c>
      <c r="G232" s="55">
        <v>13212</v>
      </c>
      <c r="H232" s="55">
        <v>13200</v>
      </c>
      <c r="I232" s="55">
        <v>13598</v>
      </c>
      <c r="J232" s="55">
        <v>13550</v>
      </c>
      <c r="K232" s="55">
        <v>13674</v>
      </c>
      <c r="L232" s="55">
        <v>13653</v>
      </c>
      <c r="M232" s="55">
        <v>13659</v>
      </c>
      <c r="N232" s="55">
        <v>13584</v>
      </c>
      <c r="O232" s="55">
        <v>13711</v>
      </c>
      <c r="P232" s="55">
        <v>13679</v>
      </c>
      <c r="Q232" s="55">
        <v>13685</v>
      </c>
      <c r="R232" s="55">
        <v>13795</v>
      </c>
      <c r="S232" s="55">
        <v>13926</v>
      </c>
      <c r="T232" s="55">
        <v>13735</v>
      </c>
      <c r="U232" s="55">
        <v>13766</v>
      </c>
      <c r="V232" s="55">
        <v>13672</v>
      </c>
      <c r="W232" s="58">
        <v>13601</v>
      </c>
      <c r="X232" s="100">
        <v>1.0166106925659779E-3</v>
      </c>
      <c r="Y232" s="100">
        <v>1.468961389891277E-3</v>
      </c>
      <c r="Z232" s="100">
        <v>-2.2273731483828389E-3</v>
      </c>
      <c r="AA232" s="100">
        <v>-5.8984736565091964E-3</v>
      </c>
    </row>
    <row r="233" spans="1:27" ht="15" x14ac:dyDescent="0.25">
      <c r="A233" s="4">
        <v>260130</v>
      </c>
      <c r="B233" s="20" t="s">
        <v>839</v>
      </c>
      <c r="C233" s="10" t="s">
        <v>23</v>
      </c>
      <c r="D233" s="10" t="s">
        <v>698</v>
      </c>
      <c r="E233" s="10" t="s">
        <v>806</v>
      </c>
      <c r="F233" s="38">
        <v>-0.7</v>
      </c>
      <c r="G233" s="55">
        <v>1185</v>
      </c>
      <c r="H233" s="55">
        <v>1268</v>
      </c>
      <c r="I233" s="55">
        <v>1322</v>
      </c>
      <c r="J233" s="55">
        <v>1276</v>
      </c>
      <c r="K233" s="55">
        <v>1163</v>
      </c>
      <c r="L233" s="55">
        <v>1106</v>
      </c>
      <c r="M233" s="55">
        <v>1103</v>
      </c>
      <c r="N233" s="55">
        <v>1128</v>
      </c>
      <c r="O233" s="55">
        <v>1090</v>
      </c>
      <c r="P233" s="55">
        <v>1036</v>
      </c>
      <c r="Q233" s="55">
        <v>1078</v>
      </c>
      <c r="R233" s="55">
        <v>1063</v>
      </c>
      <c r="S233" s="55">
        <v>1002</v>
      </c>
      <c r="T233" s="55">
        <v>967.08</v>
      </c>
      <c r="U233" s="55">
        <v>1022</v>
      </c>
      <c r="V233" s="55">
        <v>1048</v>
      </c>
      <c r="W233" s="58">
        <v>972.69</v>
      </c>
      <c r="X233" s="100">
        <v>-1.6491983728164631E-2</v>
      </c>
      <c r="Y233" s="100">
        <v>-1.3625038928682611E-2</v>
      </c>
      <c r="Z233" s="100">
        <v>-3.6999763201515101E-3</v>
      </c>
      <c r="AA233" s="100">
        <v>-7.2566029887993766E-3</v>
      </c>
    </row>
    <row r="234" spans="1:27" ht="15" x14ac:dyDescent="0.25">
      <c r="A234" s="4">
        <v>260130</v>
      </c>
      <c r="B234" s="20" t="s">
        <v>840</v>
      </c>
      <c r="C234" s="10" t="s">
        <v>23</v>
      </c>
      <c r="D234" s="10" t="s">
        <v>93</v>
      </c>
      <c r="E234" s="10" t="s">
        <v>806</v>
      </c>
      <c r="F234" s="38">
        <v>-1.2</v>
      </c>
      <c r="G234" s="55">
        <v>13480</v>
      </c>
      <c r="H234" s="55">
        <v>13427</v>
      </c>
      <c r="I234" s="55">
        <v>14607</v>
      </c>
      <c r="J234" s="55">
        <v>14711</v>
      </c>
      <c r="K234" s="55">
        <v>14640</v>
      </c>
      <c r="L234" s="55">
        <v>13758</v>
      </c>
      <c r="M234" s="55">
        <v>13506</v>
      </c>
      <c r="N234" s="55">
        <v>14399</v>
      </c>
      <c r="O234" s="55">
        <v>13405</v>
      </c>
      <c r="P234" s="55">
        <v>12015</v>
      </c>
      <c r="Q234" s="55">
        <v>11946</v>
      </c>
      <c r="R234" s="55">
        <v>9232</v>
      </c>
      <c r="S234" s="55">
        <v>7427</v>
      </c>
      <c r="T234" s="55">
        <v>6749</v>
      </c>
      <c r="U234" s="55">
        <v>6695</v>
      </c>
      <c r="V234" s="55">
        <v>6919</v>
      </c>
      <c r="W234" s="58">
        <v>7094</v>
      </c>
      <c r="X234" s="100">
        <v>-0.12964057114721819</v>
      </c>
      <c r="Y234" s="100">
        <v>-0.14852633365390061</v>
      </c>
      <c r="Z234" s="100">
        <v>-7.6836195728000489E-2</v>
      </c>
      <c r="AA234" s="100">
        <v>-1.198272759985608E-2</v>
      </c>
    </row>
    <row r="235" spans="1:27" ht="15" x14ac:dyDescent="0.25">
      <c r="A235" s="4">
        <v>260130</v>
      </c>
      <c r="B235" s="20" t="s">
        <v>841</v>
      </c>
      <c r="C235" s="10" t="s">
        <v>23</v>
      </c>
      <c r="D235" s="10" t="s">
        <v>166</v>
      </c>
      <c r="E235" s="10" t="s">
        <v>806</v>
      </c>
      <c r="F235" s="38">
        <v>-1.6</v>
      </c>
      <c r="G235" s="55">
        <v>45322</v>
      </c>
      <c r="H235" s="55">
        <v>51821</v>
      </c>
      <c r="I235" s="55">
        <v>66305</v>
      </c>
      <c r="J235" s="55">
        <v>64244</v>
      </c>
      <c r="K235" s="55">
        <v>53546</v>
      </c>
      <c r="L235" s="55">
        <v>49211</v>
      </c>
      <c r="M235" s="55">
        <v>47533</v>
      </c>
      <c r="N235" s="55">
        <v>52775</v>
      </c>
      <c r="O235" s="55">
        <v>45280</v>
      </c>
      <c r="P235" s="55">
        <v>47215</v>
      </c>
      <c r="Q235" s="55">
        <v>49778</v>
      </c>
      <c r="R235" s="55">
        <v>49416</v>
      </c>
      <c r="S235" s="55">
        <v>49159</v>
      </c>
      <c r="T235" s="55">
        <v>46265</v>
      </c>
      <c r="U235" s="55">
        <v>44516</v>
      </c>
      <c r="V235" s="55">
        <v>48747</v>
      </c>
      <c r="W235" s="58">
        <v>46210</v>
      </c>
      <c r="X235" s="100">
        <v>-4.8576454225640608E-3</v>
      </c>
      <c r="Y235" s="100">
        <v>-2.703758131313649E-2</v>
      </c>
      <c r="Z235" s="100">
        <v>-3.5330277361160789E-3</v>
      </c>
      <c r="AA235" s="100">
        <v>-1.5629057645730748E-2</v>
      </c>
    </row>
    <row r="236" spans="1:27" ht="15" x14ac:dyDescent="0.25">
      <c r="A236" s="4">
        <v>260130</v>
      </c>
      <c r="B236" s="20" t="s">
        <v>842</v>
      </c>
      <c r="C236" s="10" t="s">
        <v>23</v>
      </c>
      <c r="D236" s="10" t="s">
        <v>166</v>
      </c>
      <c r="E236" s="10" t="s">
        <v>806</v>
      </c>
      <c r="F236" s="38">
        <v>-2.9</v>
      </c>
      <c r="G236" s="55">
        <v>12295</v>
      </c>
      <c r="H236" s="55">
        <v>12657</v>
      </c>
      <c r="I236" s="55">
        <v>17285</v>
      </c>
      <c r="J236" s="55">
        <v>15071</v>
      </c>
      <c r="K236" s="55">
        <v>14400</v>
      </c>
      <c r="L236" s="55">
        <v>12057</v>
      </c>
      <c r="M236" s="55">
        <v>11764</v>
      </c>
      <c r="N236" s="55">
        <v>13873</v>
      </c>
      <c r="O236" s="55">
        <v>13202</v>
      </c>
      <c r="P236" s="55">
        <v>12249</v>
      </c>
      <c r="Q236" s="55">
        <v>13348</v>
      </c>
      <c r="R236" s="55">
        <v>13215</v>
      </c>
      <c r="S236" s="55">
        <v>12702</v>
      </c>
      <c r="T236" s="55">
        <v>12466</v>
      </c>
      <c r="U236" s="55">
        <v>11208</v>
      </c>
      <c r="V236" s="55">
        <v>11994</v>
      </c>
      <c r="W236" s="58">
        <v>11280</v>
      </c>
      <c r="X236" s="100">
        <v>4.2124471017588316E-3</v>
      </c>
      <c r="Y236" s="100">
        <v>-4.1367845199203557E-2</v>
      </c>
      <c r="Z236" s="100">
        <v>-2.4621403077171311E-2</v>
      </c>
      <c r="AA236" s="100">
        <v>-2.9398387430225381E-2</v>
      </c>
    </row>
    <row r="237" spans="1:27" ht="15" x14ac:dyDescent="0.25">
      <c r="A237" s="4">
        <v>260130</v>
      </c>
      <c r="B237" s="83">
        <v>8550</v>
      </c>
      <c r="C237" s="84" t="s">
        <v>67</v>
      </c>
      <c r="D237" s="114" t="s">
        <v>843</v>
      </c>
      <c r="E237" s="84" t="s">
        <v>817</v>
      </c>
      <c r="F237" s="115">
        <v>33.4</v>
      </c>
      <c r="G237" s="116">
        <v>9261</v>
      </c>
      <c r="H237" s="116">
        <v>9547</v>
      </c>
      <c r="I237" s="116">
        <v>11915</v>
      </c>
      <c r="J237" s="116">
        <v>10457</v>
      </c>
      <c r="K237" s="116">
        <v>11143</v>
      </c>
      <c r="L237" s="116">
        <v>8064</v>
      </c>
      <c r="M237" s="116">
        <v>9243</v>
      </c>
      <c r="N237" s="116">
        <v>10474</v>
      </c>
      <c r="O237" s="116">
        <v>10896</v>
      </c>
      <c r="P237" s="116">
        <v>8660</v>
      </c>
      <c r="Q237" s="116">
        <v>10606</v>
      </c>
      <c r="R237" s="116">
        <v>7289</v>
      </c>
      <c r="S237" s="116">
        <v>11295</v>
      </c>
      <c r="T237" s="116">
        <v>-26917</v>
      </c>
      <c r="U237" s="116">
        <v>9687</v>
      </c>
      <c r="V237" s="117">
        <v>11199</v>
      </c>
      <c r="W237" s="118">
        <v>13055</v>
      </c>
      <c r="X237" s="119">
        <v>-0.93994715984147947</v>
      </c>
      <c r="Y237" s="119">
        <v>-0.40431148262208538</v>
      </c>
      <c r="Z237" s="120">
        <v>2.8877400295420981</v>
      </c>
      <c r="AA237" s="120">
        <v>0.33434650455927062</v>
      </c>
    </row>
    <row r="238" spans="1:27" ht="15" x14ac:dyDescent="0.25">
      <c r="A238" s="4">
        <v>260130</v>
      </c>
      <c r="B238" s="20">
        <v>6777</v>
      </c>
      <c r="C238" s="10" t="s">
        <v>67</v>
      </c>
      <c r="D238" s="37" t="s">
        <v>844</v>
      </c>
      <c r="E238" s="10" t="s">
        <v>817</v>
      </c>
      <c r="F238" s="99">
        <v>12.7</v>
      </c>
      <c r="G238" s="55">
        <v>2188</v>
      </c>
      <c r="H238" s="55">
        <v>3070</v>
      </c>
      <c r="I238" s="55">
        <v>3188</v>
      </c>
      <c r="J238" s="55">
        <v>3487</v>
      </c>
      <c r="K238" s="111">
        <v>3914</v>
      </c>
      <c r="L238" s="111">
        <v>4657</v>
      </c>
      <c r="M238" s="55">
        <v>3583</v>
      </c>
      <c r="N238" s="55">
        <v>4064</v>
      </c>
      <c r="O238" s="55">
        <v>4327</v>
      </c>
      <c r="P238" s="111">
        <v>6893</v>
      </c>
      <c r="Q238" s="111">
        <v>6306</v>
      </c>
      <c r="R238" s="55">
        <v>5691</v>
      </c>
      <c r="S238" s="55">
        <v>5316</v>
      </c>
      <c r="T238" s="55">
        <v>6713</v>
      </c>
      <c r="U238" s="55">
        <v>6186</v>
      </c>
      <c r="V238" s="55">
        <v>6592</v>
      </c>
      <c r="W238" s="112">
        <v>8470</v>
      </c>
      <c r="X238" s="100">
        <v>-7.436172849706657E-3</v>
      </c>
      <c r="Y238" s="100">
        <v>-4.9945891950387011E-3</v>
      </c>
      <c r="Z238" s="100">
        <v>3.7689283025182041E-2</v>
      </c>
      <c r="AA238" s="113">
        <v>0.12714153263191849</v>
      </c>
    </row>
    <row r="239" spans="1:27" ht="15" x14ac:dyDescent="0.25">
      <c r="A239" s="4">
        <v>260130</v>
      </c>
      <c r="B239" s="20">
        <v>6331</v>
      </c>
      <c r="C239" s="10" t="s">
        <v>67</v>
      </c>
      <c r="D239" s="37" t="s">
        <v>845</v>
      </c>
      <c r="E239" s="10" t="s">
        <v>817</v>
      </c>
      <c r="F239" s="99">
        <v>12.3</v>
      </c>
      <c r="G239" s="55">
        <v>10538</v>
      </c>
      <c r="H239" s="55">
        <v>13501</v>
      </c>
      <c r="I239" s="55">
        <v>8957</v>
      </c>
      <c r="J239" s="55">
        <v>12243</v>
      </c>
      <c r="K239" s="55">
        <v>10175</v>
      </c>
      <c r="L239" s="55">
        <v>13215</v>
      </c>
      <c r="M239" s="55">
        <v>9243</v>
      </c>
      <c r="N239" s="55">
        <v>12902</v>
      </c>
      <c r="O239" s="55">
        <v>12075</v>
      </c>
      <c r="P239" s="55">
        <v>13554</v>
      </c>
      <c r="Q239" s="55">
        <v>11944</v>
      </c>
      <c r="R239" s="55">
        <v>14679</v>
      </c>
      <c r="S239" s="55">
        <v>14690</v>
      </c>
      <c r="T239" s="55">
        <v>17889</v>
      </c>
      <c r="U239" s="55">
        <v>15813</v>
      </c>
      <c r="V239" s="55">
        <v>20310</v>
      </c>
      <c r="W239" s="112">
        <v>23150</v>
      </c>
      <c r="X239" s="100">
        <v>7.9009240527092794E-2</v>
      </c>
      <c r="Y239" s="100">
        <v>6.5352521874260994E-2</v>
      </c>
      <c r="Z239" s="100">
        <v>8.9280334860712518E-2</v>
      </c>
      <c r="AA239" s="113">
        <v>0.1231405199266398</v>
      </c>
    </row>
    <row r="240" spans="1:27" ht="15" x14ac:dyDescent="0.25">
      <c r="A240" s="4">
        <v>260130</v>
      </c>
      <c r="B240" s="20">
        <v>8345</v>
      </c>
      <c r="C240" s="10" t="s">
        <v>67</v>
      </c>
      <c r="D240" s="37" t="s">
        <v>846</v>
      </c>
      <c r="E240" s="10" t="s">
        <v>817</v>
      </c>
      <c r="F240" s="99">
        <v>11.3</v>
      </c>
      <c r="G240" s="55">
        <v>10189</v>
      </c>
      <c r="H240" s="55">
        <v>8142</v>
      </c>
      <c r="I240" s="55">
        <v>11594</v>
      </c>
      <c r="J240" s="55">
        <v>11452</v>
      </c>
      <c r="K240" s="55">
        <v>13951</v>
      </c>
      <c r="L240" s="55">
        <v>2403</v>
      </c>
      <c r="M240" s="55">
        <v>10474</v>
      </c>
      <c r="N240" s="55">
        <v>10609</v>
      </c>
      <c r="O240" s="55">
        <v>10051</v>
      </c>
      <c r="P240" s="111">
        <v>9375</v>
      </c>
      <c r="Q240" s="55">
        <v>11508</v>
      </c>
      <c r="R240" s="55">
        <v>10888</v>
      </c>
      <c r="S240" s="55">
        <v>12165</v>
      </c>
      <c r="T240" s="55">
        <v>9396</v>
      </c>
      <c r="U240" s="55">
        <v>12494</v>
      </c>
      <c r="V240" s="55">
        <v>14761</v>
      </c>
      <c r="W240" s="112">
        <v>17685</v>
      </c>
      <c r="X240" s="100">
        <v>4.7796795338683751E-4</v>
      </c>
      <c r="Y240" s="100">
        <v>2.243101212548626E-2</v>
      </c>
      <c r="Z240" s="100">
        <v>8.6175822708764338E-2</v>
      </c>
      <c r="AA240" s="113">
        <v>0.1130776794493609</v>
      </c>
    </row>
    <row r="241" spans="1:27" ht="15" x14ac:dyDescent="0.25">
      <c r="A241" s="4">
        <v>260130</v>
      </c>
      <c r="B241" s="20">
        <v>6946</v>
      </c>
      <c r="C241" s="10" t="s">
        <v>67</v>
      </c>
      <c r="D241" s="37" t="s">
        <v>847</v>
      </c>
      <c r="E241" s="10" t="s">
        <v>817</v>
      </c>
      <c r="F241" s="99">
        <v>10.4</v>
      </c>
      <c r="G241" s="55">
        <v>4532</v>
      </c>
      <c r="H241" s="55">
        <v>5050</v>
      </c>
      <c r="I241" s="55">
        <v>3263</v>
      </c>
      <c r="J241" s="55">
        <v>4599</v>
      </c>
      <c r="K241" s="55">
        <v>4762</v>
      </c>
      <c r="L241" s="55">
        <v>5130</v>
      </c>
      <c r="M241" s="55">
        <v>3605</v>
      </c>
      <c r="N241" s="55">
        <v>5064</v>
      </c>
      <c r="O241" s="55">
        <v>4584</v>
      </c>
      <c r="P241" s="55">
        <v>4802</v>
      </c>
      <c r="Q241" s="55">
        <v>4087</v>
      </c>
      <c r="R241" s="55">
        <v>5019</v>
      </c>
      <c r="S241" s="55">
        <v>4564</v>
      </c>
      <c r="T241" s="55">
        <v>6452</v>
      </c>
      <c r="U241" s="55">
        <v>5037</v>
      </c>
      <c r="V241" s="111">
        <v>7666</v>
      </c>
      <c r="W241" s="112">
        <v>7023</v>
      </c>
      <c r="X241" s="100">
        <v>8.9324382849718553E-2</v>
      </c>
      <c r="Y241" s="100">
        <v>4.7212006758771567E-2</v>
      </c>
      <c r="Z241" s="113">
        <v>0.12561693242217159</v>
      </c>
      <c r="AA241" s="113">
        <v>0.1036721615582445</v>
      </c>
    </row>
    <row r="242" spans="1:27" ht="15" x14ac:dyDescent="0.25">
      <c r="A242" s="4">
        <v>260130</v>
      </c>
      <c r="B242" s="20">
        <v>8316</v>
      </c>
      <c r="C242" s="10" t="s">
        <v>67</v>
      </c>
      <c r="D242" s="37" t="s">
        <v>848</v>
      </c>
      <c r="E242" s="10" t="s">
        <v>817</v>
      </c>
      <c r="F242" s="38">
        <v>8.3000000000000007</v>
      </c>
      <c r="G242" s="55">
        <v>942800</v>
      </c>
      <c r="H242" s="55">
        <v>82233</v>
      </c>
      <c r="I242" s="55">
        <v>994279</v>
      </c>
      <c r="J242" s="55">
        <v>1039205</v>
      </c>
      <c r="K242" s="55">
        <v>1013583</v>
      </c>
      <c r="L242" s="111">
        <v>479754</v>
      </c>
      <c r="M242" s="55">
        <v>1040727</v>
      </c>
      <c r="N242" s="55">
        <v>1129858</v>
      </c>
      <c r="O242" s="55">
        <v>1210013</v>
      </c>
      <c r="P242" s="55">
        <v>122089</v>
      </c>
      <c r="Q242" s="55">
        <v>1286487</v>
      </c>
      <c r="R242" s="111">
        <v>1534002</v>
      </c>
      <c r="S242" s="55">
        <v>1296678</v>
      </c>
      <c r="T242" s="55">
        <v>-842478</v>
      </c>
      <c r="U242" s="55">
        <v>1358238</v>
      </c>
      <c r="V242" s="55">
        <v>1611881</v>
      </c>
      <c r="W242" s="58">
        <v>1579788</v>
      </c>
      <c r="X242" s="100">
        <v>-0.22753214243254011</v>
      </c>
      <c r="Y242" s="100">
        <v>2.1910782978169729E-2</v>
      </c>
      <c r="Z242" s="100">
        <v>2.327219373423706E-2</v>
      </c>
      <c r="AA242" s="100">
        <v>8.2676292716887589E-2</v>
      </c>
    </row>
    <row r="243" spans="1:27" ht="15" x14ac:dyDescent="0.25">
      <c r="A243" s="4">
        <v>260130</v>
      </c>
      <c r="B243" s="20">
        <v>9719</v>
      </c>
      <c r="C243" s="10" t="s">
        <v>67</v>
      </c>
      <c r="D243" s="37" t="s">
        <v>849</v>
      </c>
      <c r="E243" s="10" t="s">
        <v>817</v>
      </c>
      <c r="F243" s="38">
        <v>8.1999999999999993</v>
      </c>
      <c r="G243" s="55">
        <v>102729</v>
      </c>
      <c r="H243" s="55">
        <v>111396</v>
      </c>
      <c r="I243" s="55">
        <v>104417</v>
      </c>
      <c r="J243" s="55">
        <v>108682</v>
      </c>
      <c r="K243" s="55">
        <v>109924</v>
      </c>
      <c r="L243" s="55">
        <v>122888</v>
      </c>
      <c r="M243" s="55">
        <v>113371</v>
      </c>
      <c r="N243" s="55">
        <v>117824</v>
      </c>
      <c r="O243" s="55">
        <v>120167</v>
      </c>
      <c r="P243" s="55">
        <v>128944</v>
      </c>
      <c r="Q243" s="55">
        <v>122543</v>
      </c>
      <c r="R243" s="55">
        <v>128980</v>
      </c>
      <c r="S243" s="55">
        <v>133317</v>
      </c>
      <c r="T243" s="111">
        <v>211225</v>
      </c>
      <c r="U243" s="55">
        <v>177474</v>
      </c>
      <c r="V243" s="55">
        <v>193805</v>
      </c>
      <c r="W243" s="58">
        <v>191813</v>
      </c>
      <c r="X243" s="113">
        <v>0.16014706569297599</v>
      </c>
      <c r="Y243" s="100">
        <v>9.2156056805885234E-2</v>
      </c>
      <c r="Z243" s="100">
        <v>9.9578184812195492E-2</v>
      </c>
      <c r="AA243" s="100">
        <v>8.1718753710773973E-2</v>
      </c>
    </row>
    <row r="244" spans="1:27" ht="15" x14ac:dyDescent="0.25">
      <c r="A244" s="4">
        <v>260130</v>
      </c>
      <c r="B244" s="20">
        <v>2127</v>
      </c>
      <c r="C244" s="10" t="s">
        <v>67</v>
      </c>
      <c r="D244" s="37" t="s">
        <v>850</v>
      </c>
      <c r="E244" s="10" t="s">
        <v>817</v>
      </c>
      <c r="F244" s="38">
        <v>8.1</v>
      </c>
      <c r="G244" s="55">
        <v>10853</v>
      </c>
      <c r="H244" s="55">
        <v>6128</v>
      </c>
      <c r="I244" s="55">
        <v>9068</v>
      </c>
      <c r="J244" s="55">
        <v>11031</v>
      </c>
      <c r="K244" s="55">
        <v>9777</v>
      </c>
      <c r="L244" s="111">
        <v>11439</v>
      </c>
      <c r="M244" s="55">
        <v>8246</v>
      </c>
      <c r="N244" s="55">
        <v>10925</v>
      </c>
      <c r="O244" s="55">
        <v>11976</v>
      </c>
      <c r="P244" s="55">
        <v>12989</v>
      </c>
      <c r="Q244" s="55">
        <v>7638</v>
      </c>
      <c r="R244" s="55">
        <v>10953</v>
      </c>
      <c r="S244" s="55">
        <v>11252</v>
      </c>
      <c r="T244" s="55">
        <v>14234</v>
      </c>
      <c r="U244" s="55">
        <v>9018</v>
      </c>
      <c r="V244" s="55">
        <v>13569</v>
      </c>
      <c r="W244" s="58">
        <v>15151</v>
      </c>
      <c r="X244" s="100">
        <v>2.9067052670900258E-2</v>
      </c>
      <c r="Y244" s="100">
        <v>3.1308845883340597E-2</v>
      </c>
      <c r="Z244" s="100">
        <v>5.7548892359812642E-2</v>
      </c>
      <c r="AA244" s="100">
        <v>8.1105818234767924E-2</v>
      </c>
    </row>
    <row r="245" spans="1:27" ht="15" x14ac:dyDescent="0.25">
      <c r="A245" s="4">
        <v>260130</v>
      </c>
      <c r="B245" s="20">
        <v>8803</v>
      </c>
      <c r="C245" s="10" t="s">
        <v>67</v>
      </c>
      <c r="D245" s="37" t="s">
        <v>851</v>
      </c>
      <c r="E245" s="10" t="s">
        <v>817</v>
      </c>
      <c r="F245" s="38">
        <v>6.1</v>
      </c>
      <c r="G245" s="55">
        <v>7105</v>
      </c>
      <c r="H245" s="55">
        <v>9432</v>
      </c>
      <c r="I245" s="55">
        <v>17385</v>
      </c>
      <c r="J245" s="55">
        <v>7569</v>
      </c>
      <c r="K245" s="55">
        <v>7179</v>
      </c>
      <c r="L245" s="55">
        <v>12389</v>
      </c>
      <c r="M245" s="55">
        <v>15028</v>
      </c>
      <c r="N245" s="111">
        <v>13163</v>
      </c>
      <c r="O245" s="55">
        <v>7524</v>
      </c>
      <c r="P245" s="55">
        <v>8718</v>
      </c>
      <c r="Q245" s="55">
        <v>10579</v>
      </c>
      <c r="R245" s="55">
        <v>8182</v>
      </c>
      <c r="S245" s="55">
        <v>8186</v>
      </c>
      <c r="T245" s="111">
        <v>15128</v>
      </c>
      <c r="U245" s="55">
        <v>13123</v>
      </c>
      <c r="V245" s="55">
        <v>8697</v>
      </c>
      <c r="W245" s="58">
        <v>10952</v>
      </c>
      <c r="X245" s="113">
        <v>0.17972802467405019</v>
      </c>
      <c r="Y245" s="100">
        <v>6.046345811051701E-2</v>
      </c>
      <c r="Z245" s="100">
        <v>1.154216813465125E-2</v>
      </c>
      <c r="AA245" s="100">
        <v>6.1284176009217102E-2</v>
      </c>
    </row>
    <row r="246" spans="1:27" ht="15" x14ac:dyDescent="0.25">
      <c r="A246" s="4">
        <v>260130</v>
      </c>
      <c r="B246" s="20">
        <v>6961</v>
      </c>
      <c r="C246" s="10" t="s">
        <v>67</v>
      </c>
      <c r="D246" s="37" t="s">
        <v>852</v>
      </c>
      <c r="E246" s="10" t="s">
        <v>817</v>
      </c>
      <c r="F246" s="38">
        <v>6</v>
      </c>
      <c r="G246" s="55">
        <v>7755</v>
      </c>
      <c r="H246" s="55">
        <v>9021</v>
      </c>
      <c r="I246" s="55">
        <v>10115</v>
      </c>
      <c r="J246" s="55">
        <v>10982</v>
      </c>
      <c r="K246" s="55">
        <v>11173</v>
      </c>
      <c r="L246" s="55">
        <v>9970</v>
      </c>
      <c r="M246" s="55">
        <v>9715</v>
      </c>
      <c r="N246" s="55">
        <v>9485</v>
      </c>
      <c r="O246" s="55">
        <v>8754</v>
      </c>
      <c r="P246" s="55">
        <v>9851</v>
      </c>
      <c r="Q246" s="55">
        <v>10601</v>
      </c>
      <c r="R246" s="55">
        <v>9099</v>
      </c>
      <c r="S246" s="55">
        <v>9105</v>
      </c>
      <c r="T246" s="55">
        <v>9264</v>
      </c>
      <c r="U246" s="55">
        <v>8999</v>
      </c>
      <c r="V246" s="55">
        <v>11902</v>
      </c>
      <c r="W246" s="58">
        <v>11473</v>
      </c>
      <c r="X246" s="100">
        <v>-1.5185223509933791E-2</v>
      </c>
      <c r="Y246" s="100">
        <v>-4.2081483621844502E-2</v>
      </c>
      <c r="Z246" s="100">
        <v>7.6864014040091133E-2</v>
      </c>
      <c r="AA246" s="100">
        <v>6.0300483829895501E-2</v>
      </c>
    </row>
    <row r="247" spans="1:27" ht="15" x14ac:dyDescent="0.25">
      <c r="A247" s="4">
        <v>260130</v>
      </c>
      <c r="B247" s="20">
        <v>6196</v>
      </c>
      <c r="C247" s="10" t="s">
        <v>67</v>
      </c>
      <c r="D247" s="37" t="s">
        <v>853</v>
      </c>
      <c r="E247" s="10" t="s">
        <v>821</v>
      </c>
      <c r="F247" s="38">
        <v>5.8</v>
      </c>
      <c r="G247" s="55">
        <v>2355</v>
      </c>
      <c r="H247" s="55">
        <v>2861</v>
      </c>
      <c r="I247" s="55">
        <v>1916</v>
      </c>
      <c r="J247" s="55">
        <v>3595</v>
      </c>
      <c r="K247" s="55">
        <v>1969</v>
      </c>
      <c r="L247" s="111">
        <v>4113</v>
      </c>
      <c r="M247" s="55">
        <v>3050</v>
      </c>
      <c r="N247" s="55">
        <v>4694</v>
      </c>
      <c r="O247" s="111">
        <v>3676</v>
      </c>
      <c r="P247" s="55">
        <v>5554</v>
      </c>
      <c r="Q247" s="55">
        <v>4042</v>
      </c>
      <c r="R247" s="55">
        <v>4866</v>
      </c>
      <c r="S247" s="55">
        <v>3665</v>
      </c>
      <c r="T247" s="55">
        <v>5286</v>
      </c>
      <c r="U247" s="55">
        <v>5490</v>
      </c>
      <c r="V247" s="55">
        <v>5873</v>
      </c>
      <c r="W247" s="58">
        <v>4842</v>
      </c>
      <c r="X247" s="100">
        <v>-1.47845754951178E-2</v>
      </c>
      <c r="Y247" s="100">
        <v>8.1079567724956503E-2</v>
      </c>
      <c r="Z247" s="100">
        <v>5.2157248666286897E-2</v>
      </c>
      <c r="AA247" s="100">
        <v>5.7940336713596441E-2</v>
      </c>
    </row>
    <row r="248" spans="1:27" ht="15" x14ac:dyDescent="0.25">
      <c r="A248" s="4">
        <v>260130</v>
      </c>
      <c r="B248" s="20">
        <v>8308</v>
      </c>
      <c r="C248" s="10" t="s">
        <v>67</v>
      </c>
      <c r="D248" s="37" t="s">
        <v>854</v>
      </c>
      <c r="E248" s="10" t="s">
        <v>817</v>
      </c>
      <c r="F248" s="38">
        <v>5.7</v>
      </c>
      <c r="G248" s="55">
        <v>173983</v>
      </c>
      <c r="H248" s="55">
        <v>178409</v>
      </c>
      <c r="I248" s="55">
        <v>194300</v>
      </c>
      <c r="J248" s="55">
        <v>217183</v>
      </c>
      <c r="K248" s="55">
        <v>195938</v>
      </c>
      <c r="L248" s="55">
        <v>193615</v>
      </c>
      <c r="M248" s="55">
        <v>178656</v>
      </c>
      <c r="N248" s="55">
        <v>210154</v>
      </c>
      <c r="O248" s="55">
        <v>187334</v>
      </c>
      <c r="P248" s="55">
        <v>236919</v>
      </c>
      <c r="Q248" s="55">
        <v>219748</v>
      </c>
      <c r="R248" s="55">
        <v>243077</v>
      </c>
      <c r="S248" s="55">
        <v>230960</v>
      </c>
      <c r="T248" s="55">
        <v>259613</v>
      </c>
      <c r="U248" s="55">
        <v>248800</v>
      </c>
      <c r="V248" s="55">
        <v>251222</v>
      </c>
      <c r="W248" s="58">
        <v>286985</v>
      </c>
      <c r="X248" s="100">
        <v>2.4383692344719599E-2</v>
      </c>
      <c r="Y248" s="100">
        <v>3.0472058888313169E-2</v>
      </c>
      <c r="Z248" s="100">
        <v>8.2904982441853736E-3</v>
      </c>
      <c r="AA248" s="100">
        <v>5.655691781202199E-2</v>
      </c>
    </row>
    <row r="249" spans="1:27" ht="15" x14ac:dyDescent="0.25">
      <c r="A249" s="4">
        <v>260130</v>
      </c>
      <c r="B249" s="20">
        <v>8341</v>
      </c>
      <c r="C249" s="10" t="s">
        <v>67</v>
      </c>
      <c r="D249" s="37" t="s">
        <v>855</v>
      </c>
      <c r="E249" s="10" t="s">
        <v>817</v>
      </c>
      <c r="F249" s="38">
        <v>5.5</v>
      </c>
      <c r="G249" s="55">
        <v>27470</v>
      </c>
      <c r="H249" s="55">
        <v>26921</v>
      </c>
      <c r="I249" s="55">
        <v>30911</v>
      </c>
      <c r="J249" s="55">
        <v>27118</v>
      </c>
      <c r="K249" s="55">
        <v>30476</v>
      </c>
      <c r="L249" s="55">
        <v>31502</v>
      </c>
      <c r="M249" s="55">
        <v>36678</v>
      </c>
      <c r="N249" s="55">
        <v>35841</v>
      </c>
      <c r="O249" s="55">
        <v>32103</v>
      </c>
      <c r="P249" s="55">
        <v>40464</v>
      </c>
      <c r="Q249" s="55">
        <v>43379</v>
      </c>
      <c r="R249" s="55">
        <v>38316</v>
      </c>
      <c r="S249" s="55">
        <v>40171</v>
      </c>
      <c r="T249" s="55">
        <v>42126</v>
      </c>
      <c r="U249" s="55">
        <v>40982</v>
      </c>
      <c r="V249" s="55">
        <v>44774</v>
      </c>
      <c r="W249" s="58">
        <v>49467</v>
      </c>
      <c r="X249" s="100">
        <v>1.023840325263348E-2</v>
      </c>
      <c r="Y249" s="100">
        <v>-1.461656666178834E-2</v>
      </c>
      <c r="Z249" s="100">
        <v>3.996410780036519E-2</v>
      </c>
      <c r="AA249" s="100">
        <v>5.5315882489452628E-2</v>
      </c>
    </row>
    <row r="250" spans="1:27" ht="15" x14ac:dyDescent="0.25">
      <c r="A250" s="4">
        <v>260130</v>
      </c>
      <c r="B250" s="20">
        <v>6526</v>
      </c>
      <c r="C250" s="10" t="s">
        <v>67</v>
      </c>
      <c r="D250" s="37" t="s">
        <v>856</v>
      </c>
      <c r="E250" s="10" t="s">
        <v>817</v>
      </c>
      <c r="F250" s="38">
        <v>5</v>
      </c>
      <c r="G250" s="10"/>
      <c r="H250" s="10"/>
      <c r="I250" s="55">
        <v>39934</v>
      </c>
      <c r="J250" s="55">
        <v>42833</v>
      </c>
      <c r="K250" s="55">
        <v>56074</v>
      </c>
      <c r="L250" s="55">
        <v>53926</v>
      </c>
      <c r="M250" s="111">
        <v>61447</v>
      </c>
      <c r="N250" s="55">
        <v>55541</v>
      </c>
      <c r="O250" s="55">
        <v>52650</v>
      </c>
      <c r="P250" s="55">
        <v>51608</v>
      </c>
      <c r="Q250" s="55">
        <v>52783</v>
      </c>
      <c r="R250" s="55">
        <v>46398</v>
      </c>
      <c r="S250" s="55">
        <v>46083</v>
      </c>
      <c r="T250" s="55">
        <v>43271</v>
      </c>
      <c r="U250" s="55">
        <v>34553</v>
      </c>
      <c r="V250" s="55">
        <v>52656</v>
      </c>
      <c r="W250" s="58">
        <v>54931</v>
      </c>
      <c r="X250" s="100">
        <v>-4.2347311959039402E-2</v>
      </c>
      <c r="Y250" s="100">
        <v>-9.6692921738669169E-2</v>
      </c>
      <c r="Z250" s="100">
        <v>3.6745838348844817E-2</v>
      </c>
      <c r="AA250" s="100">
        <v>5.0112424460390992E-2</v>
      </c>
    </row>
    <row r="251" spans="1:27" ht="15" x14ac:dyDescent="0.25">
      <c r="A251" s="4">
        <v>260130</v>
      </c>
      <c r="B251" s="20">
        <v>2121</v>
      </c>
      <c r="C251" s="10" t="s">
        <v>67</v>
      </c>
      <c r="D251" s="37" t="s">
        <v>857</v>
      </c>
      <c r="E251" s="10" t="s">
        <v>817</v>
      </c>
      <c r="F251" s="38">
        <v>4.9000000000000004</v>
      </c>
      <c r="G251" s="55">
        <v>29502</v>
      </c>
      <c r="H251" s="55">
        <v>37010</v>
      </c>
      <c r="I251" s="55">
        <v>31022</v>
      </c>
      <c r="J251" s="55">
        <v>34712</v>
      </c>
      <c r="K251" s="55">
        <v>39068</v>
      </c>
      <c r="L251" s="55">
        <v>42065</v>
      </c>
      <c r="M251" s="55">
        <v>29207</v>
      </c>
      <c r="N251" s="55">
        <v>34761</v>
      </c>
      <c r="O251" s="55">
        <v>41241</v>
      </c>
      <c r="P251" s="55">
        <v>41659</v>
      </c>
      <c r="Q251" s="55">
        <v>30087</v>
      </c>
      <c r="R251" s="55">
        <v>38733</v>
      </c>
      <c r="S251" s="55">
        <v>41532</v>
      </c>
      <c r="T251" s="55">
        <v>44495</v>
      </c>
      <c r="U251" s="55">
        <v>31323</v>
      </c>
      <c r="V251" s="55">
        <v>36105</v>
      </c>
      <c r="W251" s="58">
        <v>48997</v>
      </c>
      <c r="X251" s="100">
        <v>1.865654459216759E-2</v>
      </c>
      <c r="Y251" s="100">
        <v>7.9820726265280584E-3</v>
      </c>
      <c r="Z251" s="100">
        <v>-1.6837195594651581E-2</v>
      </c>
      <c r="AA251" s="100">
        <v>4.8646182920074388E-2</v>
      </c>
    </row>
    <row r="252" spans="1:27" ht="15" x14ac:dyDescent="0.25">
      <c r="A252" s="4">
        <v>260130</v>
      </c>
      <c r="B252" s="20">
        <v>7327</v>
      </c>
      <c r="C252" s="10" t="s">
        <v>67</v>
      </c>
      <c r="D252" s="37" t="s">
        <v>858</v>
      </c>
      <c r="E252" s="10" t="s">
        <v>817</v>
      </c>
      <c r="F252" s="38">
        <v>4.7</v>
      </c>
      <c r="G252" s="55">
        <v>30022</v>
      </c>
      <c r="H252" s="55">
        <v>30809</v>
      </c>
      <c r="I252" s="55">
        <v>37378</v>
      </c>
      <c r="J252" s="55">
        <v>33124</v>
      </c>
      <c r="K252" s="55">
        <v>30140</v>
      </c>
      <c r="L252" s="55">
        <v>28562</v>
      </c>
      <c r="M252" s="55">
        <v>38919</v>
      </c>
      <c r="N252" s="55">
        <v>34477</v>
      </c>
      <c r="O252" s="55">
        <v>31639</v>
      </c>
      <c r="P252" s="55">
        <v>31389</v>
      </c>
      <c r="Q252" s="55">
        <v>41750</v>
      </c>
      <c r="R252" s="55">
        <v>31320</v>
      </c>
      <c r="S252" s="55">
        <v>38855</v>
      </c>
      <c r="T252" s="55">
        <v>35784</v>
      </c>
      <c r="U252" s="55">
        <v>45728</v>
      </c>
      <c r="V252" s="111">
        <v>71647</v>
      </c>
      <c r="W252" s="58">
        <v>47817</v>
      </c>
      <c r="X252" s="100">
        <v>3.066692716692021E-2</v>
      </c>
      <c r="Y252" s="100">
        <v>2.6931331198505101E-2</v>
      </c>
      <c r="Z252" s="113">
        <v>0.26585666537013708</v>
      </c>
      <c r="AA252" s="100">
        <v>4.667368004416339E-2</v>
      </c>
    </row>
    <row r="253" spans="1:27" ht="15" x14ac:dyDescent="0.25">
      <c r="A253" s="4">
        <v>260130</v>
      </c>
      <c r="B253" s="20">
        <v>8388</v>
      </c>
      <c r="C253" s="10" t="s">
        <v>67</v>
      </c>
      <c r="D253" s="37" t="s">
        <v>859</v>
      </c>
      <c r="E253" s="10" t="s">
        <v>817</v>
      </c>
      <c r="F253" s="38">
        <v>4.5999999999999996</v>
      </c>
      <c r="G253" s="55">
        <v>16114</v>
      </c>
      <c r="H253" s="55">
        <v>16398</v>
      </c>
      <c r="I253" s="55">
        <v>18816</v>
      </c>
      <c r="J253" s="55">
        <v>18049</v>
      </c>
      <c r="K253" s="111">
        <v>26480</v>
      </c>
      <c r="L253" s="55">
        <v>15872</v>
      </c>
      <c r="M253" s="55">
        <v>15521</v>
      </c>
      <c r="N253" s="55">
        <v>15706</v>
      </c>
      <c r="O253" s="55">
        <v>17162</v>
      </c>
      <c r="P253" s="55">
        <v>15543</v>
      </c>
      <c r="Q253" s="55">
        <v>17950</v>
      </c>
      <c r="R253" s="55">
        <v>16573</v>
      </c>
      <c r="S253" s="55">
        <v>18265</v>
      </c>
      <c r="T253" s="55">
        <v>15297</v>
      </c>
      <c r="U253" s="55">
        <v>21196</v>
      </c>
      <c r="V253" s="55">
        <v>21441</v>
      </c>
      <c r="W253" s="58">
        <v>21746</v>
      </c>
      <c r="X253" s="100">
        <v>-3.6001229310269611E-3</v>
      </c>
      <c r="Y253" s="100">
        <v>4.7675699493280543E-2</v>
      </c>
      <c r="Z253" s="100">
        <v>6.8245222974583353E-2</v>
      </c>
      <c r="AA253" s="100">
        <v>4.5683014212784867E-2</v>
      </c>
    </row>
    <row r="254" spans="1:27" ht="15" x14ac:dyDescent="0.25">
      <c r="A254" s="4">
        <v>260130</v>
      </c>
      <c r="B254" s="20">
        <v>8377</v>
      </c>
      <c r="C254" s="10" t="s">
        <v>67</v>
      </c>
      <c r="D254" s="37" t="s">
        <v>860</v>
      </c>
      <c r="E254" s="10" t="s">
        <v>817</v>
      </c>
      <c r="F254" s="38">
        <v>4.4000000000000004</v>
      </c>
      <c r="G254" s="55">
        <v>40966</v>
      </c>
      <c r="H254" s="55">
        <v>34196</v>
      </c>
      <c r="I254" s="55">
        <v>39737</v>
      </c>
      <c r="J254" s="55">
        <v>40851</v>
      </c>
      <c r="K254" s="55">
        <v>36945</v>
      </c>
      <c r="L254" s="111">
        <v>51481</v>
      </c>
      <c r="M254" s="55">
        <v>38901</v>
      </c>
      <c r="N254" s="55">
        <v>48546</v>
      </c>
      <c r="O254" s="55">
        <v>45239</v>
      </c>
      <c r="P254" s="55">
        <v>38244</v>
      </c>
      <c r="Q254" s="55">
        <v>41538</v>
      </c>
      <c r="R254" s="55">
        <v>43956</v>
      </c>
      <c r="S254" s="55">
        <v>45085</v>
      </c>
      <c r="T254" s="55">
        <v>42665</v>
      </c>
      <c r="U254" s="55">
        <v>50206</v>
      </c>
      <c r="V254" s="55">
        <v>55838</v>
      </c>
      <c r="W254" s="58">
        <v>53614</v>
      </c>
      <c r="X254" s="100">
        <v>2.6187190134045801E-2</v>
      </c>
      <c r="Y254" s="100">
        <v>5.0033478792916419E-2</v>
      </c>
      <c r="Z254" s="100">
        <v>6.5317296275122061E-2</v>
      </c>
      <c r="AA254" s="100">
        <v>4.401065048453523E-2</v>
      </c>
    </row>
    <row r="255" spans="1:27" ht="15" x14ac:dyDescent="0.25">
      <c r="A255" s="4">
        <v>260130</v>
      </c>
      <c r="B255" s="20">
        <v>6135</v>
      </c>
      <c r="C255" s="10" t="s">
        <v>67</v>
      </c>
      <c r="D255" s="37" t="s">
        <v>861</v>
      </c>
      <c r="E255" s="10" t="s">
        <v>817</v>
      </c>
      <c r="F255" s="38">
        <v>4.0999999999999996</v>
      </c>
      <c r="G255" s="55">
        <v>47532</v>
      </c>
      <c r="H255" s="55">
        <v>63719</v>
      </c>
      <c r="I255" s="55">
        <v>46481</v>
      </c>
      <c r="J255" s="55">
        <v>56558</v>
      </c>
      <c r="K255" s="55">
        <v>62459</v>
      </c>
      <c r="L255" s="55">
        <v>62487</v>
      </c>
      <c r="M255" s="55">
        <v>53850</v>
      </c>
      <c r="N255" s="55">
        <v>54665</v>
      </c>
      <c r="O255" s="55">
        <v>54477</v>
      </c>
      <c r="P255" s="55">
        <v>62368</v>
      </c>
      <c r="Q255" s="55">
        <v>51868</v>
      </c>
      <c r="R255" s="55">
        <v>56369</v>
      </c>
      <c r="S255" s="55">
        <v>60557</v>
      </c>
      <c r="T255" s="55">
        <v>65422</v>
      </c>
      <c r="U255" s="55">
        <v>55397</v>
      </c>
      <c r="V255" s="55">
        <v>64024</v>
      </c>
      <c r="W255" s="58">
        <v>70711</v>
      </c>
      <c r="X255" s="100">
        <v>1.321151400316656E-2</v>
      </c>
      <c r="Y255" s="100">
        <v>1.5067288315059549E-2</v>
      </c>
      <c r="Z255" s="100">
        <v>3.2198363793139777E-2</v>
      </c>
      <c r="AA255" s="100">
        <v>4.1377343113284448E-2</v>
      </c>
    </row>
    <row r="256" spans="1:27" ht="15" x14ac:dyDescent="0.25">
      <c r="A256" s="4">
        <v>260130</v>
      </c>
      <c r="B256" s="20">
        <v>2326</v>
      </c>
      <c r="C256" s="10" t="s">
        <v>67</v>
      </c>
      <c r="D256" s="37" t="s">
        <v>862</v>
      </c>
      <c r="E256" s="10" t="s">
        <v>817</v>
      </c>
      <c r="F256" s="38">
        <v>4</v>
      </c>
      <c r="G256" s="55">
        <v>2134</v>
      </c>
      <c r="H256" s="55">
        <v>2365</v>
      </c>
      <c r="I256" s="55">
        <v>2386</v>
      </c>
      <c r="J256" s="55">
        <v>2698</v>
      </c>
      <c r="K256" s="55">
        <v>2574</v>
      </c>
      <c r="L256" s="55">
        <v>2778</v>
      </c>
      <c r="M256" s="55">
        <v>2541</v>
      </c>
      <c r="N256" s="55">
        <v>3022</v>
      </c>
      <c r="O256" s="55">
        <v>2759</v>
      </c>
      <c r="P256" s="55">
        <v>3190</v>
      </c>
      <c r="Q256" s="55">
        <v>2234</v>
      </c>
      <c r="R256" s="55">
        <v>2604</v>
      </c>
      <c r="S256" s="55">
        <v>2436</v>
      </c>
      <c r="T256" s="55">
        <v>2708</v>
      </c>
      <c r="U256" s="55">
        <v>2270</v>
      </c>
      <c r="V256" s="55">
        <v>2722</v>
      </c>
      <c r="W256" s="58">
        <v>2843</v>
      </c>
      <c r="X256" s="100">
        <v>-4.6062691131498523E-2</v>
      </c>
      <c r="Y256" s="100">
        <v>3.6064916850331312E-3</v>
      </c>
      <c r="Z256" s="100">
        <v>1.1778798163305961E-2</v>
      </c>
      <c r="AA256" s="100">
        <v>4.0153906866614131E-2</v>
      </c>
    </row>
    <row r="257" spans="1:27" ht="15" x14ac:dyDescent="0.25">
      <c r="A257" s="4">
        <v>260130</v>
      </c>
      <c r="B257" s="20">
        <v>4547</v>
      </c>
      <c r="C257" s="10" t="s">
        <v>67</v>
      </c>
      <c r="D257" s="37" t="s">
        <v>863</v>
      </c>
      <c r="E257" s="10" t="s">
        <v>817</v>
      </c>
      <c r="F257" s="38">
        <v>3.9</v>
      </c>
      <c r="G257" s="55">
        <v>17697</v>
      </c>
      <c r="H257" s="55">
        <v>15296</v>
      </c>
      <c r="I257" s="55">
        <v>16285</v>
      </c>
      <c r="J257" s="55">
        <v>16579</v>
      </c>
      <c r="K257" s="55">
        <v>18771</v>
      </c>
      <c r="L257" s="55">
        <v>15858</v>
      </c>
      <c r="M257" s="55">
        <v>19313</v>
      </c>
      <c r="N257" s="55">
        <v>17665</v>
      </c>
      <c r="O257" s="55">
        <v>20881</v>
      </c>
      <c r="P257" s="55">
        <v>17720</v>
      </c>
      <c r="Q257" s="55">
        <v>21164</v>
      </c>
      <c r="R257" s="55">
        <v>21302</v>
      </c>
      <c r="S257" s="55">
        <v>23203</v>
      </c>
      <c r="T257" s="55">
        <v>22661</v>
      </c>
      <c r="U257" s="55">
        <v>22191</v>
      </c>
      <c r="V257" s="55">
        <v>23640</v>
      </c>
      <c r="W257" s="58">
        <v>26802</v>
      </c>
      <c r="X257" s="100">
        <v>5.9252419383851507E-2</v>
      </c>
      <c r="Y257" s="100">
        <v>1.162685384354134E-2</v>
      </c>
      <c r="Z257" s="100">
        <v>2.6164710095459839E-2</v>
      </c>
      <c r="AA257" s="100">
        <v>3.9249686460548487E-2</v>
      </c>
    </row>
    <row r="258" spans="1:27" ht="15" x14ac:dyDescent="0.25">
      <c r="A258" s="4">
        <v>260130</v>
      </c>
      <c r="B258" s="20">
        <v>2327</v>
      </c>
      <c r="C258" s="10" t="s">
        <v>67</v>
      </c>
      <c r="D258" s="37" t="s">
        <v>864</v>
      </c>
      <c r="E258" s="10" t="s">
        <v>817</v>
      </c>
      <c r="F258" s="38">
        <v>3.7</v>
      </c>
      <c r="G258" s="55">
        <v>64831</v>
      </c>
      <c r="H258" s="55">
        <v>74714</v>
      </c>
      <c r="I258" s="55">
        <v>65132</v>
      </c>
      <c r="J258" s="55">
        <v>69552</v>
      </c>
      <c r="K258" s="55">
        <v>72094</v>
      </c>
      <c r="L258" s="55">
        <v>84908</v>
      </c>
      <c r="M258" s="55">
        <v>68773</v>
      </c>
      <c r="N258" s="55">
        <v>76000</v>
      </c>
      <c r="O258" s="55">
        <v>75345</v>
      </c>
      <c r="P258" s="55">
        <v>90513</v>
      </c>
      <c r="Q258" s="55">
        <v>76826</v>
      </c>
      <c r="R258" s="55">
        <v>79786</v>
      </c>
      <c r="S258" s="55">
        <v>83682</v>
      </c>
      <c r="T258" s="55">
        <v>98007</v>
      </c>
      <c r="U258" s="55">
        <v>82684</v>
      </c>
      <c r="V258" s="55">
        <v>95691</v>
      </c>
      <c r="W258" s="58">
        <v>97020</v>
      </c>
      <c r="X258" s="100">
        <v>2.2653692334200889E-2</v>
      </c>
      <c r="Y258" s="100">
        <v>1.7315940538159769E-2</v>
      </c>
      <c r="Z258" s="100">
        <v>4.621410452726793E-2</v>
      </c>
      <c r="AA258" s="100">
        <v>3.7043414504088101E-2</v>
      </c>
    </row>
    <row r="259" spans="1:27" ht="15" x14ac:dyDescent="0.25">
      <c r="A259" s="4">
        <v>260130</v>
      </c>
      <c r="B259" s="20">
        <v>9708</v>
      </c>
      <c r="C259" s="10" t="s">
        <v>67</v>
      </c>
      <c r="D259" s="37" t="s">
        <v>865</v>
      </c>
      <c r="E259" s="10" t="s">
        <v>817</v>
      </c>
      <c r="F259" s="38">
        <v>3.6</v>
      </c>
      <c r="G259" s="55">
        <v>9435</v>
      </c>
      <c r="H259" s="55">
        <v>6892</v>
      </c>
      <c r="I259" s="55">
        <v>9434</v>
      </c>
      <c r="J259" s="55">
        <v>9173</v>
      </c>
      <c r="K259" s="111">
        <v>13082</v>
      </c>
      <c r="L259" s="111">
        <v>12083</v>
      </c>
      <c r="M259" s="55">
        <v>12472</v>
      </c>
      <c r="N259" s="55">
        <v>11766</v>
      </c>
      <c r="O259" s="55">
        <v>15528</v>
      </c>
      <c r="P259" s="55">
        <v>13569</v>
      </c>
      <c r="Q259" s="55">
        <v>13326</v>
      </c>
      <c r="R259" s="55">
        <v>11413</v>
      </c>
      <c r="S259" s="55">
        <v>14624</v>
      </c>
      <c r="T259" s="55">
        <v>13247</v>
      </c>
      <c r="U259" s="55">
        <v>13584</v>
      </c>
      <c r="V259" s="55">
        <v>11842</v>
      </c>
      <c r="W259" s="58">
        <v>16547</v>
      </c>
      <c r="X259" s="100">
        <v>-6.0832766568427177E-3</v>
      </c>
      <c r="Y259" s="100">
        <v>4.9040106443642983E-3</v>
      </c>
      <c r="Z259" s="100">
        <v>8.1145494438981114E-3</v>
      </c>
      <c r="AA259" s="100">
        <v>3.6080830065482017E-2</v>
      </c>
    </row>
    <row r="260" spans="1:27" ht="15" x14ac:dyDescent="0.25">
      <c r="A260" s="4">
        <v>260130</v>
      </c>
      <c r="B260" s="20">
        <v>5844</v>
      </c>
      <c r="C260" s="10" t="s">
        <v>67</v>
      </c>
      <c r="D260" s="37" t="s">
        <v>866</v>
      </c>
      <c r="E260" s="10" t="s">
        <v>817</v>
      </c>
      <c r="F260" s="38">
        <v>3.6</v>
      </c>
      <c r="G260" s="55">
        <v>44138</v>
      </c>
      <c r="H260" s="55">
        <v>14686</v>
      </c>
      <c r="I260" s="55">
        <v>40416</v>
      </c>
      <c r="J260" s="55">
        <v>22321</v>
      </c>
      <c r="K260" s="55">
        <v>29984</v>
      </c>
      <c r="L260" s="55">
        <v>21488</v>
      </c>
      <c r="M260" s="55">
        <v>37856</v>
      </c>
      <c r="N260" s="55">
        <v>24361</v>
      </c>
      <c r="O260" s="55">
        <v>35514</v>
      </c>
      <c r="P260" s="55">
        <v>23192</v>
      </c>
      <c r="Q260" s="55">
        <v>35242</v>
      </c>
      <c r="R260" s="55">
        <v>28662</v>
      </c>
      <c r="S260" s="55">
        <v>38748</v>
      </c>
      <c r="T260" s="55">
        <v>29352</v>
      </c>
      <c r="U260" s="55">
        <v>42499</v>
      </c>
      <c r="V260" s="55">
        <v>41796</v>
      </c>
      <c r="W260" s="58">
        <v>44186</v>
      </c>
      <c r="X260" s="100">
        <v>4.8949493023108033E-2</v>
      </c>
      <c r="Y260" s="100">
        <v>5.4975606799793957E-2</v>
      </c>
      <c r="Z260" s="100">
        <v>9.4312118970853343E-2</v>
      </c>
      <c r="AA260" s="100">
        <v>3.5683585419469033E-2</v>
      </c>
    </row>
    <row r="261" spans="1:27" ht="15" x14ac:dyDescent="0.25">
      <c r="A261" s="4">
        <v>260130</v>
      </c>
      <c r="B261" s="20">
        <v>9202</v>
      </c>
      <c r="C261" s="10" t="s">
        <v>67</v>
      </c>
      <c r="D261" s="37" t="s">
        <v>867</v>
      </c>
      <c r="E261" s="10" t="s">
        <v>817</v>
      </c>
      <c r="F261" s="38">
        <v>3.6</v>
      </c>
      <c r="G261" s="55">
        <v>306921</v>
      </c>
      <c r="H261" s="55">
        <v>282278</v>
      </c>
      <c r="I261" s="55">
        <v>350419</v>
      </c>
      <c r="J261" s="55">
        <v>440297</v>
      </c>
      <c r="K261" s="111">
        <v>467939</v>
      </c>
      <c r="L261" s="111">
        <v>448829</v>
      </c>
      <c r="M261" s="55">
        <v>461026</v>
      </c>
      <c r="N261" s="55">
        <v>541703</v>
      </c>
      <c r="O261" s="55">
        <v>540852</v>
      </c>
      <c r="P261" s="55">
        <v>512347</v>
      </c>
      <c r="Q261" s="55">
        <v>516775</v>
      </c>
      <c r="R261" s="55">
        <v>582812</v>
      </c>
      <c r="S261" s="55">
        <v>603197</v>
      </c>
      <c r="T261" s="55">
        <v>559072</v>
      </c>
      <c r="U261" s="55">
        <v>548701</v>
      </c>
      <c r="V261" s="55">
        <v>641699</v>
      </c>
      <c r="W261" s="58">
        <v>686984</v>
      </c>
      <c r="X261" s="100">
        <v>2.1093560606573639E-2</v>
      </c>
      <c r="Y261" s="100">
        <v>1.4114956920334491E-2</v>
      </c>
      <c r="Z261" s="100">
        <v>2.567244838437133E-2</v>
      </c>
      <c r="AA261" s="100">
        <v>3.5613594602555747E-2</v>
      </c>
    </row>
    <row r="262" spans="1:27" ht="15" x14ac:dyDescent="0.25">
      <c r="A262" s="4">
        <v>260130</v>
      </c>
      <c r="B262" s="20">
        <v>1950</v>
      </c>
      <c r="C262" s="10" t="s">
        <v>67</v>
      </c>
      <c r="D262" s="37" t="s">
        <v>868</v>
      </c>
      <c r="E262" s="10" t="s">
        <v>817</v>
      </c>
      <c r="F262" s="38">
        <v>3.4</v>
      </c>
      <c r="G262" s="55">
        <v>41580</v>
      </c>
      <c r="H262" s="55">
        <v>68306</v>
      </c>
      <c r="I262" s="55">
        <v>25506</v>
      </c>
      <c r="J262" s="55">
        <v>35383</v>
      </c>
      <c r="K262" s="55">
        <v>40833</v>
      </c>
      <c r="L262" s="55">
        <v>70378</v>
      </c>
      <c r="M262" s="55">
        <v>28577</v>
      </c>
      <c r="N262" s="55">
        <v>42462</v>
      </c>
      <c r="O262" s="55">
        <v>46472</v>
      </c>
      <c r="P262" s="55">
        <v>76520</v>
      </c>
      <c r="Q262" s="55">
        <v>33011</v>
      </c>
      <c r="R262" s="55">
        <v>42614</v>
      </c>
      <c r="S262" s="55">
        <v>49388</v>
      </c>
      <c r="T262" s="55">
        <v>91909</v>
      </c>
      <c r="U262" s="55">
        <v>30234</v>
      </c>
      <c r="V262" s="55">
        <v>48185</v>
      </c>
      <c r="W262" s="58">
        <v>56872</v>
      </c>
      <c r="X262" s="100">
        <v>7.6359702877444313E-2</v>
      </c>
      <c r="Y262" s="100">
        <v>-1.280183660486256E-2</v>
      </c>
      <c r="Z262" s="100">
        <v>2.6015083237992839E-2</v>
      </c>
      <c r="AA262" s="100">
        <v>3.406215296109516E-2</v>
      </c>
    </row>
    <row r="263" spans="1:27" ht="15" x14ac:dyDescent="0.25">
      <c r="A263" s="4">
        <v>260130</v>
      </c>
      <c r="B263" s="20">
        <v>9962</v>
      </c>
      <c r="C263" s="10" t="s">
        <v>67</v>
      </c>
      <c r="D263" s="37" t="s">
        <v>869</v>
      </c>
      <c r="E263" s="10" t="s">
        <v>817</v>
      </c>
      <c r="F263" s="38">
        <v>2.8</v>
      </c>
      <c r="G263" s="55">
        <v>91917</v>
      </c>
      <c r="H263" s="55">
        <v>92005</v>
      </c>
      <c r="I263" s="55">
        <v>93101</v>
      </c>
      <c r="J263" s="55">
        <v>95057</v>
      </c>
      <c r="K263" s="55">
        <v>93837</v>
      </c>
      <c r="L263" s="55">
        <v>91156</v>
      </c>
      <c r="M263" s="55">
        <v>89866</v>
      </c>
      <c r="N263" s="55">
        <v>90228</v>
      </c>
      <c r="O263" s="55">
        <v>92729</v>
      </c>
      <c r="P263" s="55">
        <v>94826</v>
      </c>
      <c r="Q263" s="55">
        <v>99527</v>
      </c>
      <c r="R263" s="55">
        <v>98495</v>
      </c>
      <c r="S263" s="55">
        <v>103563</v>
      </c>
      <c r="T263" s="55">
        <v>100402</v>
      </c>
      <c r="U263" s="55">
        <v>99368</v>
      </c>
      <c r="V263" s="55">
        <v>106446</v>
      </c>
      <c r="W263" s="58">
        <v>114847</v>
      </c>
      <c r="X263" s="100">
        <v>1.406620906079792E-2</v>
      </c>
      <c r="Y263" s="100">
        <v>-3.9553517899837409E-4</v>
      </c>
      <c r="Z263" s="100">
        <v>1.978707307604255E-2</v>
      </c>
      <c r="AA263" s="100">
        <v>2.7536794223227631E-2</v>
      </c>
    </row>
    <row r="264" spans="1:27" ht="15" x14ac:dyDescent="0.25">
      <c r="A264" s="4">
        <v>260130</v>
      </c>
      <c r="B264" s="20">
        <v>3762</v>
      </c>
      <c r="C264" s="10" t="s">
        <v>67</v>
      </c>
      <c r="D264" s="37" t="s">
        <v>870</v>
      </c>
      <c r="E264" s="10" t="s">
        <v>817</v>
      </c>
      <c r="F264" s="38">
        <v>2.5</v>
      </c>
      <c r="G264" s="55">
        <v>8951</v>
      </c>
      <c r="H264" s="55">
        <v>11415</v>
      </c>
      <c r="I264" s="55">
        <v>9883</v>
      </c>
      <c r="J264" s="55">
        <v>10860</v>
      </c>
      <c r="K264" s="55">
        <v>11541</v>
      </c>
      <c r="L264" s="55">
        <v>13665</v>
      </c>
      <c r="M264" s="55">
        <v>11473</v>
      </c>
      <c r="N264" s="55">
        <v>13128</v>
      </c>
      <c r="O264" s="55">
        <v>13406</v>
      </c>
      <c r="P264" s="55">
        <v>15295</v>
      </c>
      <c r="Q264" s="55">
        <v>13763</v>
      </c>
      <c r="R264" s="55">
        <v>17078</v>
      </c>
      <c r="S264" s="55">
        <v>15889</v>
      </c>
      <c r="T264" s="55">
        <v>18152</v>
      </c>
      <c r="U264" s="55">
        <v>15863</v>
      </c>
      <c r="V264" s="55">
        <v>17514</v>
      </c>
      <c r="W264" s="58">
        <v>17608</v>
      </c>
      <c r="X264" s="100">
        <v>4.6062071745263999E-2</v>
      </c>
      <c r="Y264" s="100">
        <v>3.2366449862828002E-2</v>
      </c>
      <c r="Z264" s="100">
        <v>6.5092114299363244E-3</v>
      </c>
      <c r="AA264" s="100">
        <v>2.5497641579400151E-2</v>
      </c>
    </row>
    <row r="265" spans="1:27" ht="15" x14ac:dyDescent="0.25">
      <c r="A265" s="4">
        <v>260130</v>
      </c>
      <c r="B265" s="20">
        <v>9531</v>
      </c>
      <c r="C265" s="10" t="s">
        <v>67</v>
      </c>
      <c r="D265" s="37" t="s">
        <v>871</v>
      </c>
      <c r="E265" s="10" t="s">
        <v>817</v>
      </c>
      <c r="F265" s="38">
        <v>2.5</v>
      </c>
      <c r="G265" s="55">
        <v>514890</v>
      </c>
      <c r="H265" s="55">
        <v>757691</v>
      </c>
      <c r="I265" s="55">
        <v>609939</v>
      </c>
      <c r="J265" s="55">
        <v>751338</v>
      </c>
      <c r="K265" s="111">
        <v>938917</v>
      </c>
      <c r="L265" s="55">
        <v>989440</v>
      </c>
      <c r="M265" s="55">
        <v>649696</v>
      </c>
      <c r="N265" s="55">
        <v>623035</v>
      </c>
      <c r="O265" s="55">
        <v>629890</v>
      </c>
      <c r="P265" s="55">
        <v>761897</v>
      </c>
      <c r="Q265" s="55">
        <v>586932</v>
      </c>
      <c r="R265" s="55">
        <v>634562</v>
      </c>
      <c r="S265" s="55">
        <v>622227</v>
      </c>
      <c r="T265" s="55">
        <v>793088</v>
      </c>
      <c r="U265" s="55">
        <v>647341</v>
      </c>
      <c r="V265" s="55">
        <v>700179</v>
      </c>
      <c r="W265" s="58">
        <v>692116</v>
      </c>
      <c r="X265" s="100">
        <v>1.197067260051177E-2</v>
      </c>
      <c r="Y265" s="100">
        <v>2.290988842953734E-2</v>
      </c>
      <c r="Z265" s="100">
        <v>2.43276590917012E-2</v>
      </c>
      <c r="AA265" s="100">
        <v>2.5296117936829399E-2</v>
      </c>
    </row>
    <row r="266" spans="1:27" ht="15" x14ac:dyDescent="0.25">
      <c r="A266" s="4">
        <v>260130</v>
      </c>
      <c r="B266" s="20">
        <v>8604</v>
      </c>
      <c r="C266" s="10" t="s">
        <v>67</v>
      </c>
      <c r="D266" s="37" t="s">
        <v>872</v>
      </c>
      <c r="E266" s="10" t="s">
        <v>817</v>
      </c>
      <c r="F266" s="38">
        <v>2.5</v>
      </c>
      <c r="G266" s="55">
        <v>350965</v>
      </c>
      <c r="H266" s="55">
        <v>333784</v>
      </c>
      <c r="I266" s="55">
        <v>299028</v>
      </c>
      <c r="J266" s="55">
        <v>317958</v>
      </c>
      <c r="K266" s="55">
        <v>393658</v>
      </c>
      <c r="L266" s="55">
        <v>324933</v>
      </c>
      <c r="M266" s="55">
        <v>348913</v>
      </c>
      <c r="N266" s="55">
        <v>367760</v>
      </c>
      <c r="O266" s="55">
        <v>400225</v>
      </c>
      <c r="P266" s="55">
        <v>445102</v>
      </c>
      <c r="Q266" s="55">
        <v>454442</v>
      </c>
      <c r="R266" s="55">
        <v>483327</v>
      </c>
      <c r="S266" s="55">
        <v>501981</v>
      </c>
      <c r="T266" s="55">
        <v>452735</v>
      </c>
      <c r="U266" s="55">
        <v>523315</v>
      </c>
      <c r="V266" s="55">
        <v>515462</v>
      </c>
      <c r="W266" s="58">
        <v>551755</v>
      </c>
      <c r="X266" s="100">
        <v>4.0496548270103627E-3</v>
      </c>
      <c r="Y266" s="100">
        <v>3.6392890828725211E-2</v>
      </c>
      <c r="Z266" s="100">
        <v>1.638405635279239E-2</v>
      </c>
      <c r="AA266" s="100">
        <v>2.4968234149806309E-2</v>
      </c>
    </row>
    <row r="267" spans="1:27" ht="15" x14ac:dyDescent="0.25">
      <c r="A267" s="4">
        <v>260130</v>
      </c>
      <c r="B267" s="20">
        <v>9759</v>
      </c>
      <c r="C267" s="10" t="s">
        <v>67</v>
      </c>
      <c r="D267" s="37" t="s">
        <v>873</v>
      </c>
      <c r="E267" s="10" t="s">
        <v>817</v>
      </c>
      <c r="F267" s="38">
        <v>2.5</v>
      </c>
      <c r="G267" s="55">
        <v>17904</v>
      </c>
      <c r="H267" s="55">
        <v>18950</v>
      </c>
      <c r="I267" s="55">
        <v>18594</v>
      </c>
      <c r="J267" s="55">
        <v>19173</v>
      </c>
      <c r="K267" s="55">
        <v>19485</v>
      </c>
      <c r="L267" s="55">
        <v>20730</v>
      </c>
      <c r="M267" s="55">
        <v>24007</v>
      </c>
      <c r="N267" s="55">
        <v>26326</v>
      </c>
      <c r="O267" s="55">
        <v>24904</v>
      </c>
      <c r="P267" s="55">
        <v>26026</v>
      </c>
      <c r="Q267" s="55">
        <v>25281</v>
      </c>
      <c r="R267" s="55">
        <v>26769</v>
      </c>
      <c r="S267" s="55">
        <v>27447</v>
      </c>
      <c r="T267" s="55">
        <v>28294</v>
      </c>
      <c r="U267" s="55">
        <v>27298</v>
      </c>
      <c r="V267" s="55">
        <v>29307</v>
      </c>
      <c r="W267" s="58">
        <v>30244</v>
      </c>
      <c r="X267" s="100">
        <v>2.1492944666091859E-2</v>
      </c>
      <c r="Y267" s="100">
        <v>1.871213737696098E-2</v>
      </c>
      <c r="Z267" s="100">
        <v>2.3113070085968301E-2</v>
      </c>
      <c r="AA267" s="100">
        <v>2.4896302494080699E-2</v>
      </c>
    </row>
    <row r="268" spans="1:27" ht="15" x14ac:dyDescent="0.25">
      <c r="A268" s="4">
        <v>260130</v>
      </c>
      <c r="B268" s="20">
        <v>9997</v>
      </c>
      <c r="C268" s="10" t="s">
        <v>67</v>
      </c>
      <c r="D268" s="37" t="s">
        <v>874</v>
      </c>
      <c r="E268" s="10" t="s">
        <v>817</v>
      </c>
      <c r="F268" s="38">
        <v>2.2999999999999998</v>
      </c>
      <c r="G268" s="55">
        <v>62819</v>
      </c>
      <c r="H268" s="55">
        <v>51501</v>
      </c>
      <c r="I268" s="55">
        <v>53439</v>
      </c>
      <c r="J268" s="55">
        <v>45340</v>
      </c>
      <c r="K268" s="55">
        <v>61675</v>
      </c>
      <c r="L268" s="55">
        <v>51922</v>
      </c>
      <c r="M268" s="55">
        <v>51842</v>
      </c>
      <c r="N268" s="55">
        <v>44263</v>
      </c>
      <c r="O268" s="55">
        <v>60173</v>
      </c>
      <c r="P268" s="55">
        <v>52020</v>
      </c>
      <c r="Q268" s="55">
        <v>51368</v>
      </c>
      <c r="R268" s="55">
        <v>45759</v>
      </c>
      <c r="S268" s="55">
        <v>61520</v>
      </c>
      <c r="T268" s="55">
        <v>52209</v>
      </c>
      <c r="U268" s="55">
        <v>50826</v>
      </c>
      <c r="V268" s="55">
        <v>47166</v>
      </c>
      <c r="W268" s="58">
        <v>66368</v>
      </c>
      <c r="X268" s="100">
        <v>8.9715047919236568E-4</v>
      </c>
      <c r="Y268" s="100">
        <v>-2.5704746367188891E-3</v>
      </c>
      <c r="Z268" s="100">
        <v>6.6899968618352457E-3</v>
      </c>
      <c r="AA268" s="100">
        <v>2.2898059238337209E-2</v>
      </c>
    </row>
    <row r="269" spans="1:27" ht="15" x14ac:dyDescent="0.25">
      <c r="A269" s="4">
        <v>260130</v>
      </c>
      <c r="B269" s="20">
        <v>5334</v>
      </c>
      <c r="C269" s="10" t="s">
        <v>67</v>
      </c>
      <c r="D269" s="37" t="s">
        <v>875</v>
      </c>
      <c r="E269" s="10" t="s">
        <v>817</v>
      </c>
      <c r="F269" s="38">
        <v>2</v>
      </c>
      <c r="G269" s="55">
        <v>123778</v>
      </c>
      <c r="H269" s="55">
        <v>133400</v>
      </c>
      <c r="I269" s="55">
        <v>137105</v>
      </c>
      <c r="J269" s="55">
        <v>141966</v>
      </c>
      <c r="K269" s="55">
        <v>140138</v>
      </c>
      <c r="L269" s="55">
        <v>143348</v>
      </c>
      <c r="M269" s="55">
        <v>147950</v>
      </c>
      <c r="N269" s="55">
        <v>153201</v>
      </c>
      <c r="O269" s="55">
        <v>154717</v>
      </c>
      <c r="P269" s="55">
        <v>158617</v>
      </c>
      <c r="Q269" s="55">
        <v>165450</v>
      </c>
      <c r="R269" s="55">
        <v>159137</v>
      </c>
      <c r="S269" s="55">
        <v>161086</v>
      </c>
      <c r="T269" s="55">
        <v>167320</v>
      </c>
      <c r="U269" s="55">
        <v>169927</v>
      </c>
      <c r="V269" s="55">
        <v>181244</v>
      </c>
      <c r="W269" s="58">
        <v>174884</v>
      </c>
      <c r="X269" s="100">
        <v>1.3507892408697989E-2</v>
      </c>
      <c r="Y269" s="100">
        <v>6.8561225005474569E-3</v>
      </c>
      <c r="Z269" s="100">
        <v>3.3624347878990601E-2</v>
      </c>
      <c r="AA269" s="100">
        <v>2.03038066326553E-2</v>
      </c>
    </row>
    <row r="270" spans="1:27" ht="15" x14ac:dyDescent="0.25">
      <c r="A270" s="4">
        <v>260130</v>
      </c>
      <c r="B270" s="20">
        <v>3092</v>
      </c>
      <c r="C270" s="10" t="s">
        <v>67</v>
      </c>
      <c r="D270" s="37" t="s">
        <v>876</v>
      </c>
      <c r="E270" s="10" t="s">
        <v>817</v>
      </c>
      <c r="F270" s="38">
        <v>1.9</v>
      </c>
      <c r="G270" s="55">
        <v>47566</v>
      </c>
      <c r="H270" s="55">
        <v>42421</v>
      </c>
      <c r="I270" s="55">
        <v>42590</v>
      </c>
      <c r="J270" s="55">
        <v>41177</v>
      </c>
      <c r="K270" s="55">
        <v>52700</v>
      </c>
      <c r="L270" s="55">
        <v>46956</v>
      </c>
      <c r="M270" s="55">
        <v>45871</v>
      </c>
      <c r="N270" s="55">
        <v>44346</v>
      </c>
      <c r="O270" s="55">
        <v>57351</v>
      </c>
      <c r="P270" s="55">
        <v>49448</v>
      </c>
      <c r="Q270" s="55">
        <v>50387</v>
      </c>
      <c r="R270" s="55">
        <v>48414</v>
      </c>
      <c r="S270" s="55">
        <v>62275</v>
      </c>
      <c r="T270" s="55">
        <v>52055</v>
      </c>
      <c r="U270" s="55">
        <v>54028</v>
      </c>
      <c r="V270" s="55">
        <v>51221</v>
      </c>
      <c r="W270" s="58">
        <v>66556</v>
      </c>
      <c r="X270" s="100">
        <v>1.2383386217248439E-2</v>
      </c>
      <c r="Y270" s="100">
        <v>1.7083390027729409E-2</v>
      </c>
      <c r="Z270" s="100">
        <v>1.2949089365785319E-2</v>
      </c>
      <c r="AA270" s="100">
        <v>1.9496399928955022E-2</v>
      </c>
    </row>
    <row r="271" spans="1:27" ht="15" x14ac:dyDescent="0.25">
      <c r="A271" s="4">
        <v>260130</v>
      </c>
      <c r="B271" s="20">
        <v>9882</v>
      </c>
      <c r="C271" s="10" t="s">
        <v>67</v>
      </c>
      <c r="D271" s="37" t="s">
        <v>877</v>
      </c>
      <c r="E271" s="10" t="s">
        <v>817</v>
      </c>
      <c r="F271" s="38">
        <v>1.9</v>
      </c>
      <c r="G271" s="55">
        <v>46958</v>
      </c>
      <c r="H271" s="55">
        <v>34782</v>
      </c>
      <c r="I271" s="55">
        <v>33319</v>
      </c>
      <c r="J271" s="55">
        <v>33073</v>
      </c>
      <c r="K271" s="55">
        <v>46424</v>
      </c>
      <c r="L271" s="55">
        <v>34341</v>
      </c>
      <c r="M271" s="55">
        <v>34303</v>
      </c>
      <c r="N271" s="55">
        <v>32672</v>
      </c>
      <c r="O271" s="55">
        <v>46579</v>
      </c>
      <c r="P271" s="55">
        <v>33087</v>
      </c>
      <c r="Q271" s="55">
        <v>34672</v>
      </c>
      <c r="R271" s="55">
        <v>34619</v>
      </c>
      <c r="S271" s="55">
        <v>49858</v>
      </c>
      <c r="T271" s="55">
        <v>34917</v>
      </c>
      <c r="U271" s="55">
        <v>40288</v>
      </c>
      <c r="V271" s="55">
        <v>39017</v>
      </c>
      <c r="W271" s="58">
        <v>53048</v>
      </c>
      <c r="X271" s="100">
        <v>1.2020809795317829E-2</v>
      </c>
      <c r="Y271" s="100">
        <v>3.6451910220295147E-2</v>
      </c>
      <c r="Z271" s="100">
        <v>2.7542240202402372E-2</v>
      </c>
      <c r="AA271" s="100">
        <v>1.9441735738664031E-2</v>
      </c>
    </row>
    <row r="272" spans="1:27" ht="15" x14ac:dyDescent="0.25">
      <c r="A272" s="4">
        <v>260130</v>
      </c>
      <c r="B272" s="20">
        <v>9832</v>
      </c>
      <c r="C272" s="10" t="s">
        <v>67</v>
      </c>
      <c r="D272" s="37" t="s">
        <v>878</v>
      </c>
      <c r="E272" s="10" t="s">
        <v>817</v>
      </c>
      <c r="F272" s="38">
        <v>1.9</v>
      </c>
      <c r="G272" s="55">
        <v>68386</v>
      </c>
      <c r="H272" s="55">
        <v>56649</v>
      </c>
      <c r="I272" s="55">
        <v>52853</v>
      </c>
      <c r="J272" s="55">
        <v>54243</v>
      </c>
      <c r="K272" s="55">
        <v>71045</v>
      </c>
      <c r="L272" s="55">
        <v>58094</v>
      </c>
      <c r="M272" s="55">
        <v>57668</v>
      </c>
      <c r="N272" s="55">
        <v>54212</v>
      </c>
      <c r="O272" s="55">
        <v>67757</v>
      </c>
      <c r="P272" s="55">
        <v>50219</v>
      </c>
      <c r="Q272" s="55">
        <v>54011</v>
      </c>
      <c r="R272" s="55">
        <v>56288</v>
      </c>
      <c r="S272" s="55">
        <v>77917</v>
      </c>
      <c r="T272" s="55">
        <v>61309</v>
      </c>
      <c r="U272" s="55">
        <v>64223</v>
      </c>
      <c r="V272" s="55">
        <v>64615</v>
      </c>
      <c r="W272" s="58">
        <v>83123</v>
      </c>
      <c r="X272" s="100">
        <v>4.6511627906976827E-2</v>
      </c>
      <c r="Y272" s="100">
        <v>4.0925758941989798E-2</v>
      </c>
      <c r="Z272" s="100">
        <v>3.2059352344872012E-2</v>
      </c>
      <c r="AA272" s="100">
        <v>1.9420735346782791E-2</v>
      </c>
    </row>
    <row r="273" spans="1:27" ht="15" x14ac:dyDescent="0.25">
      <c r="A273" s="4">
        <v>260130</v>
      </c>
      <c r="B273" s="20">
        <v>4506</v>
      </c>
      <c r="C273" s="10" t="s">
        <v>67</v>
      </c>
      <c r="D273" s="37" t="s">
        <v>879</v>
      </c>
      <c r="E273" s="10" t="s">
        <v>817</v>
      </c>
      <c r="F273" s="38">
        <v>1.8</v>
      </c>
      <c r="G273" s="55">
        <v>138342</v>
      </c>
      <c r="H273" s="55">
        <v>127963</v>
      </c>
      <c r="I273" s="55">
        <v>159876</v>
      </c>
      <c r="J273" s="55">
        <v>159413</v>
      </c>
      <c r="K273" s="55">
        <v>140976</v>
      </c>
      <c r="L273" s="55">
        <v>95279</v>
      </c>
      <c r="M273" s="55">
        <v>75686</v>
      </c>
      <c r="N273" s="55">
        <v>76956</v>
      </c>
      <c r="O273" s="55">
        <v>82386</v>
      </c>
      <c r="P273" s="55">
        <v>79530</v>
      </c>
      <c r="Q273" s="55">
        <v>90675</v>
      </c>
      <c r="R273" s="55">
        <v>90074</v>
      </c>
      <c r="S273" s="55">
        <v>112434</v>
      </c>
      <c r="T273" s="55">
        <v>105649</v>
      </c>
      <c r="U273" s="55">
        <v>108002</v>
      </c>
      <c r="V273" s="55">
        <v>119120</v>
      </c>
      <c r="W273" s="58">
        <v>120624</v>
      </c>
      <c r="X273" s="100">
        <v>7.007804933018158E-2</v>
      </c>
      <c r="Y273" s="100">
        <v>4.3444357523970023E-2</v>
      </c>
      <c r="Z273" s="100">
        <v>6.9795438762588313E-2</v>
      </c>
      <c r="AA273" s="100">
        <v>1.8396019811098171E-2</v>
      </c>
    </row>
    <row r="274" spans="1:27" ht="15" x14ac:dyDescent="0.25">
      <c r="A274" s="4">
        <v>260130</v>
      </c>
      <c r="B274" s="20">
        <v>9715</v>
      </c>
      <c r="C274" s="10" t="s">
        <v>67</v>
      </c>
      <c r="D274" s="37" t="s">
        <v>880</v>
      </c>
      <c r="E274" s="10" t="s">
        <v>817</v>
      </c>
      <c r="F274" s="38">
        <v>1.7</v>
      </c>
      <c r="G274" s="55">
        <v>90144</v>
      </c>
      <c r="H274" s="55">
        <v>95853</v>
      </c>
      <c r="I274" s="55">
        <v>93256</v>
      </c>
      <c r="J274" s="55">
        <v>90134</v>
      </c>
      <c r="K274" s="55">
        <v>92647</v>
      </c>
      <c r="L274" s="55">
        <v>97793</v>
      </c>
      <c r="M274" s="55">
        <v>88947</v>
      </c>
      <c r="N274" s="55">
        <v>91100</v>
      </c>
      <c r="O274" s="55">
        <v>91321</v>
      </c>
      <c r="P274" s="55">
        <v>90833</v>
      </c>
      <c r="Q274" s="55">
        <v>91083</v>
      </c>
      <c r="R274" s="55">
        <v>94462</v>
      </c>
      <c r="S274" s="55">
        <v>94319</v>
      </c>
      <c r="T274" s="55">
        <v>95985</v>
      </c>
      <c r="U274" s="55">
        <v>94439</v>
      </c>
      <c r="V274" s="55">
        <v>97672</v>
      </c>
      <c r="W274" s="58">
        <v>100793</v>
      </c>
      <c r="X274" s="100">
        <v>1.389814322748761E-2</v>
      </c>
      <c r="Y274" s="100">
        <v>8.929117810610121E-3</v>
      </c>
      <c r="Z274" s="100">
        <v>8.465078255824654E-3</v>
      </c>
      <c r="AA274" s="100">
        <v>1.6929252252134489E-2</v>
      </c>
    </row>
    <row r="275" spans="1:27" ht="15" x14ac:dyDescent="0.25">
      <c r="A275" s="4">
        <v>260130</v>
      </c>
      <c r="B275" s="20">
        <v>6454</v>
      </c>
      <c r="C275" s="10" t="s">
        <v>67</v>
      </c>
      <c r="D275" s="37" t="s">
        <v>881</v>
      </c>
      <c r="E275" s="10" t="s">
        <v>817</v>
      </c>
      <c r="F275" s="38">
        <v>1.6</v>
      </c>
      <c r="G275" s="55">
        <v>18918</v>
      </c>
      <c r="H275" s="55">
        <v>19519</v>
      </c>
      <c r="I275" s="55">
        <v>20336</v>
      </c>
      <c r="J275" s="55">
        <v>21627</v>
      </c>
      <c r="K275" s="55">
        <v>21917</v>
      </c>
      <c r="L275" s="55">
        <v>20436</v>
      </c>
      <c r="M275" s="55">
        <v>21200</v>
      </c>
      <c r="N275" s="55">
        <v>21720</v>
      </c>
      <c r="O275" s="55">
        <v>22412</v>
      </c>
      <c r="P275" s="55">
        <v>21306</v>
      </c>
      <c r="Q275" s="55">
        <v>22588</v>
      </c>
      <c r="R275" s="55">
        <v>22293</v>
      </c>
      <c r="S275" s="55">
        <v>24129</v>
      </c>
      <c r="T275" s="55">
        <v>22829</v>
      </c>
      <c r="U275" s="55">
        <v>24240</v>
      </c>
      <c r="V275" s="55">
        <v>24448</v>
      </c>
      <c r="W275" s="58">
        <v>25635</v>
      </c>
      <c r="X275" s="100">
        <v>1.686301430532788E-2</v>
      </c>
      <c r="Y275" s="100">
        <v>1.798800074042628E-2</v>
      </c>
      <c r="Z275" s="100">
        <v>2.3050347092233411E-2</v>
      </c>
      <c r="AA275" s="100">
        <v>1.5745561758986341E-2</v>
      </c>
    </row>
    <row r="276" spans="1:27" ht="15" x14ac:dyDescent="0.25">
      <c r="A276" s="4">
        <v>260130</v>
      </c>
      <c r="B276" s="20">
        <v>8572</v>
      </c>
      <c r="C276" s="10" t="s">
        <v>67</v>
      </c>
      <c r="D276" s="37" t="s">
        <v>882</v>
      </c>
      <c r="E276" s="10" t="s">
        <v>817</v>
      </c>
      <c r="F276" s="38">
        <v>1.6</v>
      </c>
      <c r="G276" s="55">
        <v>65499</v>
      </c>
      <c r="H276" s="55">
        <v>65233</v>
      </c>
      <c r="I276" s="55">
        <v>66514</v>
      </c>
      <c r="J276" s="55">
        <v>68554</v>
      </c>
      <c r="K276" s="55">
        <v>68992</v>
      </c>
      <c r="L276" s="55">
        <v>69733</v>
      </c>
      <c r="M276" s="55">
        <v>70926</v>
      </c>
      <c r="N276" s="55">
        <v>73373</v>
      </c>
      <c r="O276" s="55">
        <v>74687</v>
      </c>
      <c r="P276" s="55">
        <v>75744</v>
      </c>
      <c r="Q276" s="55">
        <v>77236</v>
      </c>
      <c r="R276" s="55">
        <v>79063</v>
      </c>
      <c r="S276" s="55">
        <v>80526</v>
      </c>
      <c r="T276" s="55">
        <v>80917</v>
      </c>
      <c r="U276" s="55">
        <v>82372</v>
      </c>
      <c r="V276" s="55">
        <v>83276</v>
      </c>
      <c r="W276" s="58">
        <v>85620</v>
      </c>
      <c r="X276" s="100">
        <v>1.6549945771973551E-2</v>
      </c>
      <c r="Y276" s="100">
        <v>1.6164057631663509E-2</v>
      </c>
      <c r="Z276" s="100">
        <v>1.304827210277559E-2</v>
      </c>
      <c r="AA276" s="100">
        <v>1.5573647700487079E-2</v>
      </c>
    </row>
    <row r="277" spans="1:27" ht="15" x14ac:dyDescent="0.25">
      <c r="A277" s="4">
        <v>260130</v>
      </c>
      <c r="B277" s="20">
        <v>5332</v>
      </c>
      <c r="C277" s="10" t="s">
        <v>67</v>
      </c>
      <c r="D277" s="37" t="s">
        <v>883</v>
      </c>
      <c r="E277" s="10" t="s">
        <v>817</v>
      </c>
      <c r="F277" s="38">
        <v>1.6</v>
      </c>
      <c r="G277" s="55">
        <v>170626</v>
      </c>
      <c r="H277" s="55">
        <v>165141</v>
      </c>
      <c r="I277" s="55">
        <v>153472</v>
      </c>
      <c r="J277" s="55">
        <v>174216</v>
      </c>
      <c r="K277" s="55">
        <v>199455</v>
      </c>
      <c r="L277" s="55">
        <v>174044</v>
      </c>
      <c r="M277" s="55">
        <v>156608</v>
      </c>
      <c r="N277" s="55">
        <v>183133</v>
      </c>
      <c r="O277" s="55">
        <v>185024</v>
      </c>
      <c r="P277" s="55">
        <v>177519</v>
      </c>
      <c r="Q277" s="55">
        <v>164513</v>
      </c>
      <c r="R277" s="55">
        <v>191222</v>
      </c>
      <c r="S277" s="55">
        <v>186569</v>
      </c>
      <c r="T277" s="55">
        <v>182150</v>
      </c>
      <c r="U277" s="55">
        <v>165747</v>
      </c>
      <c r="V277" s="55">
        <v>183625</v>
      </c>
      <c r="W277" s="58">
        <v>197727</v>
      </c>
      <c r="X277" s="100">
        <v>6.4335260195909072E-3</v>
      </c>
      <c r="Y277" s="100">
        <v>1.703351765605543E-3</v>
      </c>
      <c r="Z277" s="100">
        <v>-1.0468686267376629E-2</v>
      </c>
      <c r="AA277" s="100">
        <v>1.553842061799959E-2</v>
      </c>
    </row>
    <row r="278" spans="1:27" ht="15" x14ac:dyDescent="0.25">
      <c r="A278" s="4">
        <v>260130</v>
      </c>
      <c r="B278" s="20">
        <v>2805</v>
      </c>
      <c r="C278" s="10" t="s">
        <v>67</v>
      </c>
      <c r="D278" s="37" t="s">
        <v>884</v>
      </c>
      <c r="E278" s="10" t="s">
        <v>817</v>
      </c>
      <c r="F278" s="38">
        <v>1.4</v>
      </c>
      <c r="G278" s="55">
        <v>31495</v>
      </c>
      <c r="H278" s="55">
        <v>26688</v>
      </c>
      <c r="I278" s="55">
        <v>30616</v>
      </c>
      <c r="J278" s="55">
        <v>30817</v>
      </c>
      <c r="K278" s="55">
        <v>32420</v>
      </c>
      <c r="L278" s="55">
        <v>26798</v>
      </c>
      <c r="M278" s="55">
        <v>31955</v>
      </c>
      <c r="N278" s="55">
        <v>31202</v>
      </c>
      <c r="O278" s="55">
        <v>34760</v>
      </c>
      <c r="P278" s="55">
        <v>28526</v>
      </c>
      <c r="Q278" s="55">
        <v>31039</v>
      </c>
      <c r="R278" s="55">
        <v>30452</v>
      </c>
      <c r="S278" s="55">
        <v>35030</v>
      </c>
      <c r="T278" s="55">
        <v>26999</v>
      </c>
      <c r="U278" s="55">
        <v>32088</v>
      </c>
      <c r="V278" s="55">
        <v>31262</v>
      </c>
      <c r="W278" s="58">
        <v>36782</v>
      </c>
      <c r="X278" s="100">
        <v>-1.221140851040003E-2</v>
      </c>
      <c r="Y278" s="100">
        <v>8.4925518134715272E-3</v>
      </c>
      <c r="Z278" s="100">
        <v>6.5024203453507567E-3</v>
      </c>
      <c r="AA278" s="100">
        <v>1.397363194793377E-2</v>
      </c>
    </row>
    <row r="279" spans="1:27" ht="15" x14ac:dyDescent="0.25">
      <c r="A279" s="4">
        <v>260130</v>
      </c>
      <c r="B279" s="20">
        <v>6455</v>
      </c>
      <c r="C279" s="10" t="s">
        <v>67</v>
      </c>
      <c r="D279" s="37" t="s">
        <v>885</v>
      </c>
      <c r="E279" s="10" t="s">
        <v>817</v>
      </c>
      <c r="F279" s="38">
        <v>1.4</v>
      </c>
      <c r="G279" s="55">
        <v>20499</v>
      </c>
      <c r="H279" s="55">
        <v>36092</v>
      </c>
      <c r="I279" s="55">
        <v>12417</v>
      </c>
      <c r="J279" s="55">
        <v>15739</v>
      </c>
      <c r="K279" s="55">
        <v>15648</v>
      </c>
      <c r="L279" s="55">
        <v>37540</v>
      </c>
      <c r="M279" s="55">
        <v>14598</v>
      </c>
      <c r="N279" s="55">
        <v>19990</v>
      </c>
      <c r="O279" s="55">
        <v>20120</v>
      </c>
      <c r="P279" s="55">
        <v>40497</v>
      </c>
      <c r="Q279" s="55">
        <v>18622</v>
      </c>
      <c r="R279" s="55">
        <v>24011</v>
      </c>
      <c r="S279" s="55">
        <v>22862</v>
      </c>
      <c r="T279" s="55">
        <v>46248</v>
      </c>
      <c r="U279" s="55">
        <v>18260</v>
      </c>
      <c r="V279" s="55">
        <v>28927</v>
      </c>
      <c r="W279" s="58">
        <v>24474</v>
      </c>
      <c r="X279" s="100">
        <v>5.4258811985810278E-2</v>
      </c>
      <c r="Y279" s="100">
        <v>-3.2395765282836608E-3</v>
      </c>
      <c r="Z279" s="100">
        <v>4.4136791732880758E-2</v>
      </c>
      <c r="AA279" s="100">
        <v>1.3861062624143329E-2</v>
      </c>
    </row>
    <row r="280" spans="1:27" ht="15" x14ac:dyDescent="0.25">
      <c r="A280" s="4">
        <v>260130</v>
      </c>
      <c r="B280" s="20">
        <v>2175</v>
      </c>
      <c r="C280" s="10" t="s">
        <v>67</v>
      </c>
      <c r="D280" s="37" t="s">
        <v>886</v>
      </c>
      <c r="E280" s="10" t="s">
        <v>817</v>
      </c>
      <c r="F280" s="38">
        <v>1.3</v>
      </c>
      <c r="G280" s="55">
        <v>8388</v>
      </c>
      <c r="H280" s="55">
        <v>10584</v>
      </c>
      <c r="I280" s="55">
        <v>12517</v>
      </c>
      <c r="J280" s="55">
        <v>10817</v>
      </c>
      <c r="K280" s="55">
        <v>10098</v>
      </c>
      <c r="L280" s="55">
        <v>12235</v>
      </c>
      <c r="M280" s="55">
        <v>15194</v>
      </c>
      <c r="N280" s="55">
        <v>12280</v>
      </c>
      <c r="O280" s="55">
        <v>11883</v>
      </c>
      <c r="P280" s="55">
        <v>14616</v>
      </c>
      <c r="Q280" s="55">
        <v>17426</v>
      </c>
      <c r="R280" s="55">
        <v>14416</v>
      </c>
      <c r="S280" s="55">
        <v>13043</v>
      </c>
      <c r="T280" s="55">
        <v>16067</v>
      </c>
      <c r="U280" s="55">
        <v>18672</v>
      </c>
      <c r="V280" s="55">
        <v>14803</v>
      </c>
      <c r="W280" s="58">
        <v>13871</v>
      </c>
      <c r="X280" s="100">
        <v>2.4386144770676129E-2</v>
      </c>
      <c r="Y280" s="100">
        <v>2.0442315264470379E-2</v>
      </c>
      <c r="Z280" s="100">
        <v>6.2220650181676884E-3</v>
      </c>
      <c r="AA280" s="100">
        <v>1.3230007190221381E-2</v>
      </c>
    </row>
    <row r="281" spans="1:27" ht="15" x14ac:dyDescent="0.25">
      <c r="A281" s="4">
        <v>260130</v>
      </c>
      <c r="B281" s="20">
        <v>7276</v>
      </c>
      <c r="C281" s="10" t="s">
        <v>67</v>
      </c>
      <c r="D281" s="37" t="s">
        <v>887</v>
      </c>
      <c r="E281" s="10" t="s">
        <v>817</v>
      </c>
      <c r="F281" s="38">
        <v>1.3</v>
      </c>
      <c r="G281" s="55">
        <v>199673</v>
      </c>
      <c r="H281" s="55">
        <v>208322</v>
      </c>
      <c r="I281" s="55">
        <v>193443</v>
      </c>
      <c r="J281" s="55">
        <v>222168</v>
      </c>
      <c r="K281" s="55">
        <v>219877</v>
      </c>
      <c r="L281" s="55">
        <v>229231</v>
      </c>
      <c r="M281" s="55">
        <v>225995</v>
      </c>
      <c r="N281" s="55">
        <v>242158</v>
      </c>
      <c r="O281" s="55">
        <v>246808</v>
      </c>
      <c r="P281" s="55">
        <v>235334</v>
      </c>
      <c r="Q281" s="55">
        <v>229772</v>
      </c>
      <c r="R281" s="55">
        <v>214301</v>
      </c>
      <c r="S281" s="55">
        <v>231098</v>
      </c>
      <c r="T281" s="55">
        <v>241538</v>
      </c>
      <c r="U281" s="55">
        <v>219725</v>
      </c>
      <c r="V281" s="55">
        <v>227126</v>
      </c>
      <c r="W281" s="58">
        <v>243154</v>
      </c>
      <c r="X281" s="100">
        <v>6.8138011323386483E-3</v>
      </c>
      <c r="Y281" s="100">
        <v>-1.0959857490217771E-2</v>
      </c>
      <c r="Z281" s="100">
        <v>1.4145293394892461E-2</v>
      </c>
      <c r="AA281" s="100">
        <v>1.3111659001160399E-2</v>
      </c>
    </row>
    <row r="282" spans="1:27" ht="15" x14ac:dyDescent="0.25">
      <c r="A282" s="4">
        <v>260130</v>
      </c>
      <c r="B282" s="20">
        <v>8084</v>
      </c>
      <c r="C282" s="10" t="s">
        <v>67</v>
      </c>
      <c r="D282" s="37" t="s">
        <v>888</v>
      </c>
      <c r="E282" s="10" t="s">
        <v>817</v>
      </c>
      <c r="F282" s="38">
        <v>1.2</v>
      </c>
      <c r="G282" s="55">
        <v>58696</v>
      </c>
      <c r="H282" s="55">
        <v>63120</v>
      </c>
      <c r="I282" s="55">
        <v>60079</v>
      </c>
      <c r="J282" s="55">
        <v>66954</v>
      </c>
      <c r="K282" s="55">
        <v>67683</v>
      </c>
      <c r="L282" s="55">
        <v>65587</v>
      </c>
      <c r="M282" s="55">
        <v>63497</v>
      </c>
      <c r="N282" s="55">
        <v>66346</v>
      </c>
      <c r="O282" s="55">
        <v>67064</v>
      </c>
      <c r="P282" s="55">
        <v>62101</v>
      </c>
      <c r="Q282" s="55">
        <v>55160</v>
      </c>
      <c r="R282" s="55">
        <v>54465</v>
      </c>
      <c r="S282" s="55">
        <v>49208</v>
      </c>
      <c r="T282" s="55">
        <v>56957</v>
      </c>
      <c r="U282" s="55">
        <v>49422</v>
      </c>
      <c r="V282" s="55">
        <v>52640</v>
      </c>
      <c r="W282" s="58">
        <v>51782</v>
      </c>
      <c r="X282" s="100">
        <v>-2.3282971385119589E-2</v>
      </c>
      <c r="Y282" s="100">
        <v>-2.6590666852032041E-2</v>
      </c>
      <c r="Z282" s="100">
        <v>-8.6883247957648679E-3</v>
      </c>
      <c r="AA282" s="100">
        <v>1.2361509314354089E-2</v>
      </c>
    </row>
    <row r="283" spans="1:27" ht="15" x14ac:dyDescent="0.25">
      <c r="A283" s="4">
        <v>260130</v>
      </c>
      <c r="B283" s="20">
        <v>9042</v>
      </c>
      <c r="C283" s="10" t="s">
        <v>67</v>
      </c>
      <c r="D283" s="37" t="s">
        <v>889</v>
      </c>
      <c r="E283" s="10" t="s">
        <v>817</v>
      </c>
      <c r="F283" s="38">
        <v>1.1000000000000001</v>
      </c>
      <c r="G283" s="55">
        <v>206327</v>
      </c>
      <c r="H283" s="55">
        <v>229055</v>
      </c>
      <c r="I283" s="55">
        <v>228993</v>
      </c>
      <c r="J283" s="55">
        <v>238167</v>
      </c>
      <c r="K283" s="55">
        <v>249284</v>
      </c>
      <c r="L283" s="55">
        <v>251856</v>
      </c>
      <c r="M283" s="55">
        <v>245524</v>
      </c>
      <c r="N283" s="55">
        <v>240120</v>
      </c>
      <c r="O283" s="55">
        <v>250743</v>
      </c>
      <c r="P283" s="55">
        <v>261224</v>
      </c>
      <c r="Q283" s="55">
        <v>261933</v>
      </c>
      <c r="R283" s="55">
        <v>272723</v>
      </c>
      <c r="S283" s="55">
        <v>269724</v>
      </c>
      <c r="T283" s="55">
        <v>302474</v>
      </c>
      <c r="U283" s="55">
        <v>309759</v>
      </c>
      <c r="V283" s="55">
        <v>289074</v>
      </c>
      <c r="W283" s="58">
        <v>282671</v>
      </c>
      <c r="X283" s="100">
        <v>3.8710440276125142E-2</v>
      </c>
      <c r="Y283" s="100">
        <v>4.3208950773995447E-2</v>
      </c>
      <c r="Z283" s="100">
        <v>1.416063324903871E-2</v>
      </c>
      <c r="AA283" s="100">
        <v>1.105606939525949E-2</v>
      </c>
    </row>
    <row r="284" spans="1:27" ht="15" x14ac:dyDescent="0.25">
      <c r="A284" s="4">
        <v>260130</v>
      </c>
      <c r="B284" s="20">
        <v>9936</v>
      </c>
      <c r="C284" s="10" t="s">
        <v>67</v>
      </c>
      <c r="D284" s="37" t="s">
        <v>890</v>
      </c>
      <c r="E284" s="10" t="s">
        <v>817</v>
      </c>
      <c r="F284" s="38">
        <v>1</v>
      </c>
      <c r="G284" s="55">
        <v>22295</v>
      </c>
      <c r="H284" s="55">
        <v>22017</v>
      </c>
      <c r="I284" s="55">
        <v>22617</v>
      </c>
      <c r="J284" s="55">
        <v>22519</v>
      </c>
      <c r="K284" s="55">
        <v>23922</v>
      </c>
      <c r="L284" s="55">
        <v>23964</v>
      </c>
      <c r="M284" s="55">
        <v>24623</v>
      </c>
      <c r="N284" s="55">
        <v>25121</v>
      </c>
      <c r="O284" s="55">
        <v>25785</v>
      </c>
      <c r="P284" s="55">
        <v>25872</v>
      </c>
      <c r="Q284" s="55">
        <v>26421</v>
      </c>
      <c r="R284" s="55">
        <v>27458</v>
      </c>
      <c r="S284" s="55">
        <v>27566</v>
      </c>
      <c r="T284" s="55">
        <v>29588</v>
      </c>
      <c r="U284" s="55">
        <v>29668</v>
      </c>
      <c r="V284" s="55">
        <v>28835</v>
      </c>
      <c r="W284" s="58">
        <v>28774</v>
      </c>
      <c r="X284" s="100">
        <v>3.4626387245264123E-2</v>
      </c>
      <c r="Y284" s="100">
        <v>2.9243558221429659E-2</v>
      </c>
      <c r="Z284" s="100">
        <v>1.204935246762329E-2</v>
      </c>
      <c r="AA284" s="100">
        <v>1.044467693265427E-2</v>
      </c>
    </row>
    <row r="285" spans="1:27" ht="15" x14ac:dyDescent="0.25">
      <c r="A285" s="4">
        <v>260130</v>
      </c>
      <c r="B285" s="20">
        <v>7476</v>
      </c>
      <c r="C285" s="10" t="s">
        <v>67</v>
      </c>
      <c r="D285" s="37" t="s">
        <v>891</v>
      </c>
      <c r="E285" s="10" t="s">
        <v>817</v>
      </c>
      <c r="F285" s="38">
        <v>1</v>
      </c>
      <c r="G285" s="55">
        <v>21317</v>
      </c>
      <c r="H285" s="55">
        <v>25175</v>
      </c>
      <c r="I285" s="55">
        <v>20471</v>
      </c>
      <c r="J285" s="55">
        <v>22126</v>
      </c>
      <c r="K285" s="55">
        <v>23322</v>
      </c>
      <c r="L285" s="55">
        <v>25502</v>
      </c>
      <c r="M285" s="55">
        <v>21735</v>
      </c>
      <c r="N285" s="55">
        <v>22378</v>
      </c>
      <c r="O285" s="55">
        <v>24538</v>
      </c>
      <c r="P285" s="55">
        <v>26885</v>
      </c>
      <c r="Q285" s="55">
        <v>24168</v>
      </c>
      <c r="R285" s="55">
        <v>24458</v>
      </c>
      <c r="S285" s="55">
        <v>26744</v>
      </c>
      <c r="T285" s="55">
        <v>28380</v>
      </c>
      <c r="U285" s="55">
        <v>25637</v>
      </c>
      <c r="V285" s="55">
        <v>25775</v>
      </c>
      <c r="W285" s="58">
        <v>27792</v>
      </c>
      <c r="X285" s="100">
        <v>1.4620311965185101E-2</v>
      </c>
      <c r="Y285" s="100">
        <v>1.415903614457825E-2</v>
      </c>
      <c r="Z285" s="100">
        <v>1.2516750776951019E-2</v>
      </c>
      <c r="AA285" s="100">
        <v>9.837050386723778E-3</v>
      </c>
    </row>
    <row r="286" spans="1:27" ht="15" x14ac:dyDescent="0.25">
      <c r="A286" s="4">
        <v>260130</v>
      </c>
      <c r="B286" s="20">
        <v>5703</v>
      </c>
      <c r="C286" s="10" t="s">
        <v>67</v>
      </c>
      <c r="D286" s="37" t="s">
        <v>892</v>
      </c>
      <c r="E286" s="10" t="s">
        <v>817</v>
      </c>
      <c r="F286" s="38">
        <v>1</v>
      </c>
      <c r="G286" s="55">
        <v>124467</v>
      </c>
      <c r="H286" s="55">
        <v>126064</v>
      </c>
      <c r="I286" s="55">
        <v>123241</v>
      </c>
      <c r="J286" s="55">
        <v>129853</v>
      </c>
      <c r="K286" s="55">
        <v>131956</v>
      </c>
      <c r="L286" s="55">
        <v>131904</v>
      </c>
      <c r="M286" s="55">
        <v>122471</v>
      </c>
      <c r="N286" s="55">
        <v>127981</v>
      </c>
      <c r="O286" s="55">
        <v>137261</v>
      </c>
      <c r="P286" s="55">
        <v>136002</v>
      </c>
      <c r="Q286" s="55">
        <v>130570</v>
      </c>
      <c r="R286" s="55">
        <v>132518</v>
      </c>
      <c r="S286" s="55">
        <v>142816</v>
      </c>
      <c r="T286" s="55">
        <v>146224</v>
      </c>
      <c r="U286" s="55">
        <v>139337</v>
      </c>
      <c r="V286" s="55">
        <v>141580</v>
      </c>
      <c r="W286" s="58">
        <v>148392</v>
      </c>
      <c r="X286" s="100">
        <v>1.886305004927058E-2</v>
      </c>
      <c r="Y286" s="100">
        <v>1.5878564390865879E-2</v>
      </c>
      <c r="Z286" s="100">
        <v>1.6156321593168151E-2</v>
      </c>
      <c r="AA286" s="100">
        <v>9.783194170788212E-3</v>
      </c>
    </row>
    <row r="287" spans="1:27" ht="15" x14ac:dyDescent="0.25">
      <c r="A287" s="4">
        <v>260130</v>
      </c>
      <c r="B287" s="20">
        <v>6301</v>
      </c>
      <c r="C287" s="10" t="s">
        <v>67</v>
      </c>
      <c r="D287" s="37" t="s">
        <v>893</v>
      </c>
      <c r="E287" s="10" t="s">
        <v>817</v>
      </c>
      <c r="F287" s="38">
        <v>0.9</v>
      </c>
      <c r="G287" s="55">
        <v>723277</v>
      </c>
      <c r="H287" s="55">
        <v>787646</v>
      </c>
      <c r="I287" s="55">
        <v>763808</v>
      </c>
      <c r="J287" s="55">
        <v>854927</v>
      </c>
      <c r="K287" s="55">
        <v>920497</v>
      </c>
      <c r="L287" s="55">
        <v>1004243</v>
      </c>
      <c r="M287" s="55">
        <v>899551</v>
      </c>
      <c r="N287" s="55">
        <v>923443</v>
      </c>
      <c r="O287" s="55">
        <v>971996</v>
      </c>
      <c r="P287" s="55">
        <v>1070132</v>
      </c>
      <c r="Q287" s="55">
        <v>959837</v>
      </c>
      <c r="R287" s="55">
        <v>1008229</v>
      </c>
      <c r="S287" s="55">
        <v>989196</v>
      </c>
      <c r="T287" s="55">
        <v>1147133</v>
      </c>
      <c r="U287" s="55">
        <v>909524</v>
      </c>
      <c r="V287" s="55">
        <v>982063</v>
      </c>
      <c r="W287" s="58">
        <v>1023897</v>
      </c>
      <c r="X287" s="100">
        <v>1.911931139590517E-2</v>
      </c>
      <c r="Y287" s="100">
        <v>-1.225832309024844E-2</v>
      </c>
      <c r="Z287" s="100">
        <v>-6.4542355088031966E-3</v>
      </c>
      <c r="AA287" s="100">
        <v>8.615125042329641E-3</v>
      </c>
    </row>
    <row r="288" spans="1:27" ht="15" x14ac:dyDescent="0.25">
      <c r="A288" s="4">
        <v>260130</v>
      </c>
      <c r="B288" s="20">
        <v>9009</v>
      </c>
      <c r="C288" s="10" t="s">
        <v>67</v>
      </c>
      <c r="D288" s="37" t="s">
        <v>894</v>
      </c>
      <c r="E288" s="10" t="s">
        <v>817</v>
      </c>
      <c r="F288" s="38">
        <v>0.9</v>
      </c>
      <c r="G288" s="55">
        <v>56134</v>
      </c>
      <c r="H288" s="55">
        <v>53867</v>
      </c>
      <c r="I288" s="55">
        <v>59756</v>
      </c>
      <c r="J288" s="55">
        <v>59275</v>
      </c>
      <c r="K288" s="55">
        <v>66687</v>
      </c>
      <c r="L288" s="55">
        <v>66620</v>
      </c>
      <c r="M288" s="55">
        <v>72466</v>
      </c>
      <c r="N288" s="55">
        <v>75483</v>
      </c>
      <c r="O288" s="55">
        <v>74665</v>
      </c>
      <c r="P288" s="55">
        <v>73895</v>
      </c>
      <c r="Q288" s="55">
        <v>80297</v>
      </c>
      <c r="R288" s="55">
        <v>77736</v>
      </c>
      <c r="S288" s="55">
        <v>80154</v>
      </c>
      <c r="T288" s="55">
        <v>81127</v>
      </c>
      <c r="U288" s="55">
        <v>83334</v>
      </c>
      <c r="V288" s="55">
        <v>81294</v>
      </c>
      <c r="W288" s="58">
        <v>82946</v>
      </c>
      <c r="X288" s="100">
        <v>2.3173396735473469E-2</v>
      </c>
      <c r="Y288" s="100">
        <v>9.5110142367700323E-3</v>
      </c>
      <c r="Z288" s="100">
        <v>1.1037657708522721E-2</v>
      </c>
      <c r="AA288" s="100">
        <v>8.5668085263064242E-3</v>
      </c>
    </row>
    <row r="289" spans="1:27" ht="15" x14ac:dyDescent="0.25">
      <c r="A289" s="4">
        <v>260130</v>
      </c>
      <c r="B289" s="20">
        <v>8585</v>
      </c>
      <c r="C289" s="10" t="s">
        <v>67</v>
      </c>
      <c r="D289" s="37" t="s">
        <v>895</v>
      </c>
      <c r="E289" s="10" t="s">
        <v>817</v>
      </c>
      <c r="F289" s="38">
        <v>0.8</v>
      </c>
      <c r="G289" s="55">
        <v>56941</v>
      </c>
      <c r="H289" s="55">
        <v>58253</v>
      </c>
      <c r="I289" s="55">
        <v>54332</v>
      </c>
      <c r="J289" s="55">
        <v>62063</v>
      </c>
      <c r="K289" s="55">
        <v>51694</v>
      </c>
      <c r="L289" s="55">
        <v>59604</v>
      </c>
      <c r="M289" s="55">
        <v>57688</v>
      </c>
      <c r="N289" s="55">
        <v>54502</v>
      </c>
      <c r="O289" s="55">
        <v>56447</v>
      </c>
      <c r="P289" s="55">
        <v>60417</v>
      </c>
      <c r="Q289" s="55">
        <v>63053</v>
      </c>
      <c r="R289" s="55">
        <v>60411</v>
      </c>
      <c r="S289" s="55">
        <v>59032</v>
      </c>
      <c r="T289" s="55">
        <v>62776</v>
      </c>
      <c r="U289" s="55">
        <v>62876</v>
      </c>
      <c r="V289" s="55">
        <v>62001</v>
      </c>
      <c r="W289" s="58">
        <v>61102</v>
      </c>
      <c r="X289" s="100">
        <v>9.7112958137275385E-3</v>
      </c>
      <c r="Y289" s="100">
        <v>-7.2164780325512101E-4</v>
      </c>
      <c r="Z289" s="100">
        <v>6.4872804422775321E-3</v>
      </c>
      <c r="AA289" s="100">
        <v>8.3912682165514507E-3</v>
      </c>
    </row>
    <row r="290" spans="1:27" ht="15" x14ac:dyDescent="0.25">
      <c r="A290" s="4">
        <v>260130</v>
      </c>
      <c r="B290" s="20">
        <v>6436</v>
      </c>
      <c r="C290" s="10" t="s">
        <v>67</v>
      </c>
      <c r="D290" s="37" t="s">
        <v>896</v>
      </c>
      <c r="E290" s="10" t="s">
        <v>817</v>
      </c>
      <c r="F290" s="38">
        <v>0.8</v>
      </c>
      <c r="G290" s="55">
        <v>27676</v>
      </c>
      <c r="H290" s="55">
        <v>35426</v>
      </c>
      <c r="I290" s="55">
        <v>27622</v>
      </c>
      <c r="J290" s="55">
        <v>32833</v>
      </c>
      <c r="K290" s="55">
        <v>31812</v>
      </c>
      <c r="L290" s="55">
        <v>40543</v>
      </c>
      <c r="M290" s="55">
        <v>31840</v>
      </c>
      <c r="N290" s="55">
        <v>38323</v>
      </c>
      <c r="O290" s="55">
        <v>37628</v>
      </c>
      <c r="P290" s="55">
        <v>45073</v>
      </c>
      <c r="Q290" s="55">
        <v>39032</v>
      </c>
      <c r="R290" s="55">
        <v>45196</v>
      </c>
      <c r="S290" s="55">
        <v>41688</v>
      </c>
      <c r="T290" s="55">
        <v>49507</v>
      </c>
      <c r="U290" s="55">
        <v>39056</v>
      </c>
      <c r="V290" s="55">
        <v>44872</v>
      </c>
      <c r="W290" s="58">
        <v>43113</v>
      </c>
      <c r="X290" s="100">
        <v>2.5931492669118979E-2</v>
      </c>
      <c r="Y290" s="100">
        <v>1.3681216260130749E-4</v>
      </c>
      <c r="Z290" s="100">
        <v>-1.846711542517143E-3</v>
      </c>
      <c r="AA290" s="100">
        <v>8.1371378973635888E-3</v>
      </c>
    </row>
    <row r="291" spans="1:27" ht="15" x14ac:dyDescent="0.25">
      <c r="A291" s="4">
        <v>260130</v>
      </c>
      <c r="B291" s="20">
        <v>6508</v>
      </c>
      <c r="C291" s="10" t="s">
        <v>67</v>
      </c>
      <c r="D291" s="37" t="s">
        <v>897</v>
      </c>
      <c r="E291" s="10" t="s">
        <v>817</v>
      </c>
      <c r="F291" s="38">
        <v>0.6</v>
      </c>
      <c r="G291" s="55">
        <v>59491</v>
      </c>
      <c r="H291" s="55">
        <v>96605</v>
      </c>
      <c r="I291" s="55">
        <v>47525</v>
      </c>
      <c r="J291" s="55">
        <v>64217</v>
      </c>
      <c r="K291" s="55">
        <v>58267</v>
      </c>
      <c r="L291" s="55">
        <v>102569</v>
      </c>
      <c r="M291" s="55">
        <v>53532</v>
      </c>
      <c r="N291" s="55">
        <v>65515</v>
      </c>
      <c r="O291" s="55">
        <v>64871</v>
      </c>
      <c r="P291" s="55">
        <v>103962</v>
      </c>
      <c r="Q291" s="55">
        <v>54975</v>
      </c>
      <c r="R291" s="55">
        <v>65124</v>
      </c>
      <c r="S291" s="55">
        <v>70984</v>
      </c>
      <c r="T291" s="55">
        <v>110018</v>
      </c>
      <c r="U291" s="55">
        <v>58390</v>
      </c>
      <c r="V291" s="55">
        <v>72752</v>
      </c>
      <c r="W291" s="58">
        <v>72713</v>
      </c>
      <c r="X291" s="100">
        <v>2.052568252300491E-2</v>
      </c>
      <c r="Y291" s="100">
        <v>1.134170926034783E-2</v>
      </c>
      <c r="Z291" s="100">
        <v>2.504958688541814E-2</v>
      </c>
      <c r="AA291" s="100">
        <v>5.539110154287874E-3</v>
      </c>
    </row>
    <row r="292" spans="1:27" ht="15" x14ac:dyDescent="0.25">
      <c r="A292" s="4">
        <v>260130</v>
      </c>
      <c r="B292" s="20">
        <v>2002</v>
      </c>
      <c r="C292" s="10" t="s">
        <v>67</v>
      </c>
      <c r="D292" s="37" t="s">
        <v>898</v>
      </c>
      <c r="E292" s="10" t="s">
        <v>817</v>
      </c>
      <c r="F292" s="38">
        <v>0.6</v>
      </c>
      <c r="G292" s="55">
        <v>179583</v>
      </c>
      <c r="H292" s="55">
        <v>174426</v>
      </c>
      <c r="I292" s="55">
        <v>189296</v>
      </c>
      <c r="J292" s="55">
        <v>199446</v>
      </c>
      <c r="K292" s="55">
        <v>211263</v>
      </c>
      <c r="L292" s="55">
        <v>198676</v>
      </c>
      <c r="M292" s="55">
        <v>208191</v>
      </c>
      <c r="N292" s="55">
        <v>218690</v>
      </c>
      <c r="O292" s="55">
        <v>223800</v>
      </c>
      <c r="P292" s="55">
        <v>207567</v>
      </c>
      <c r="Q292" s="55">
        <v>213874</v>
      </c>
      <c r="R292" s="55">
        <v>215639</v>
      </c>
      <c r="S292" s="55">
        <v>217928</v>
      </c>
      <c r="T292" s="55">
        <v>204045</v>
      </c>
      <c r="U292" s="55">
        <v>215364</v>
      </c>
      <c r="V292" s="55">
        <v>215946</v>
      </c>
      <c r="W292" s="58">
        <v>222645</v>
      </c>
      <c r="X292" s="100">
        <v>-4.1192597028332223E-3</v>
      </c>
      <c r="Y292" s="100">
        <v>1.749881971048195E-3</v>
      </c>
      <c r="Z292" s="100">
        <v>3.5991633996745881E-4</v>
      </c>
      <c r="AA292" s="100">
        <v>5.528060444190297E-3</v>
      </c>
    </row>
    <row r="293" spans="1:27" ht="15" x14ac:dyDescent="0.25">
      <c r="A293" s="4">
        <v>260130</v>
      </c>
      <c r="B293" s="20">
        <v>6770</v>
      </c>
      <c r="C293" s="10" t="s">
        <v>67</v>
      </c>
      <c r="D293" s="37" t="s">
        <v>899</v>
      </c>
      <c r="E293" s="10" t="s">
        <v>817</v>
      </c>
      <c r="F293" s="38">
        <v>0.5</v>
      </c>
      <c r="G293" s="55">
        <v>225856</v>
      </c>
      <c r="H293" s="55">
        <v>209537</v>
      </c>
      <c r="I293" s="55">
        <v>204978</v>
      </c>
      <c r="J293" s="55">
        <v>249308</v>
      </c>
      <c r="K293" s="55">
        <v>246330</v>
      </c>
      <c r="L293" s="55">
        <v>232498</v>
      </c>
      <c r="M293" s="55">
        <v>218508</v>
      </c>
      <c r="N293" s="55">
        <v>256501</v>
      </c>
      <c r="O293" s="55">
        <v>260350</v>
      </c>
      <c r="P293" s="55">
        <v>228731</v>
      </c>
      <c r="Q293" s="55">
        <v>233593</v>
      </c>
      <c r="R293" s="55">
        <v>256718</v>
      </c>
      <c r="S293" s="55">
        <v>250305</v>
      </c>
      <c r="T293" s="55">
        <v>249791</v>
      </c>
      <c r="U293" s="55">
        <v>238920</v>
      </c>
      <c r="V293" s="55">
        <v>266791</v>
      </c>
      <c r="W293" s="58">
        <v>255478</v>
      </c>
      <c r="X293" s="100">
        <v>2.172596603693E-2</v>
      </c>
      <c r="Y293" s="100">
        <v>5.3785968798685246E-3</v>
      </c>
      <c r="Z293" s="100">
        <v>1.0116155519446E-2</v>
      </c>
      <c r="AA293" s="100">
        <v>5.1431338218963507E-3</v>
      </c>
    </row>
    <row r="294" spans="1:27" ht="15" x14ac:dyDescent="0.25">
      <c r="A294" s="4">
        <v>260130</v>
      </c>
      <c r="B294" s="20">
        <v>7575</v>
      </c>
      <c r="C294" s="10" t="s">
        <v>67</v>
      </c>
      <c r="D294" s="37" t="s">
        <v>900</v>
      </c>
      <c r="E294" s="10" t="s">
        <v>817</v>
      </c>
      <c r="F294" s="38">
        <v>0.5</v>
      </c>
      <c r="G294" s="55">
        <v>13879</v>
      </c>
      <c r="H294" s="55">
        <v>12460</v>
      </c>
      <c r="I294" s="55">
        <v>12969</v>
      </c>
      <c r="J294" s="55">
        <v>12520</v>
      </c>
      <c r="K294" s="55">
        <v>13009</v>
      </c>
      <c r="L294" s="55">
        <v>13252</v>
      </c>
      <c r="M294" s="55">
        <v>12954</v>
      </c>
      <c r="N294" s="55">
        <v>12178</v>
      </c>
      <c r="O294" s="55">
        <v>13170</v>
      </c>
      <c r="P294" s="55">
        <v>13082</v>
      </c>
      <c r="Q294" s="55">
        <v>14010</v>
      </c>
      <c r="R294" s="55">
        <v>13975</v>
      </c>
      <c r="S294" s="55">
        <v>14826</v>
      </c>
      <c r="T294" s="55">
        <v>13799</v>
      </c>
      <c r="U294" s="55">
        <v>14616</v>
      </c>
      <c r="V294" s="55">
        <v>14669</v>
      </c>
      <c r="W294" s="58">
        <v>15120</v>
      </c>
      <c r="X294" s="100">
        <v>1.282808222854381E-2</v>
      </c>
      <c r="Y294" s="100">
        <v>1.070482246952831E-2</v>
      </c>
      <c r="Z294" s="100">
        <v>1.212947427293054E-2</v>
      </c>
      <c r="AA294" s="100">
        <v>5.0768433776549049E-3</v>
      </c>
    </row>
    <row r="295" spans="1:27" ht="15" x14ac:dyDescent="0.25">
      <c r="A295" s="4">
        <v>260130</v>
      </c>
      <c r="B295" s="20">
        <v>8818</v>
      </c>
      <c r="C295" s="10" t="s">
        <v>67</v>
      </c>
      <c r="D295" s="37" t="s">
        <v>901</v>
      </c>
      <c r="E295" s="10" t="s">
        <v>817</v>
      </c>
      <c r="F295" s="38">
        <v>0.5</v>
      </c>
      <c r="G295" s="55">
        <v>4499</v>
      </c>
      <c r="H295" s="55">
        <v>4492</v>
      </c>
      <c r="I295" s="55">
        <v>4574</v>
      </c>
      <c r="J295" s="55">
        <v>4756</v>
      </c>
      <c r="K295" s="55">
        <v>4743</v>
      </c>
      <c r="L295" s="55">
        <v>4806</v>
      </c>
      <c r="M295" s="55">
        <v>4962</v>
      </c>
      <c r="N295" s="55">
        <v>4899</v>
      </c>
      <c r="O295" s="55">
        <v>4794</v>
      </c>
      <c r="P295" s="55">
        <v>4655</v>
      </c>
      <c r="Q295" s="55">
        <v>4769</v>
      </c>
      <c r="R295" s="55">
        <v>4932</v>
      </c>
      <c r="S295" s="55">
        <v>4972</v>
      </c>
      <c r="T295" s="55">
        <v>4910</v>
      </c>
      <c r="U295" s="55">
        <v>5015</v>
      </c>
      <c r="V295" s="55">
        <v>5157</v>
      </c>
      <c r="W295" s="58">
        <v>5072</v>
      </c>
      <c r="X295" s="100">
        <v>1.3193294701986821E-2</v>
      </c>
      <c r="Y295" s="100">
        <v>1.256191594750544E-2</v>
      </c>
      <c r="Z295" s="100">
        <v>1.134701699530982E-2</v>
      </c>
      <c r="AA295" s="100">
        <v>4.9865363518499786E-3</v>
      </c>
    </row>
    <row r="296" spans="1:27" ht="15" x14ac:dyDescent="0.25">
      <c r="A296" s="4">
        <v>260130</v>
      </c>
      <c r="B296" s="20">
        <v>1959</v>
      </c>
      <c r="C296" s="10" t="s">
        <v>67</v>
      </c>
      <c r="D296" s="37" t="s">
        <v>902</v>
      </c>
      <c r="E296" s="10" t="s">
        <v>817</v>
      </c>
      <c r="F296" s="38">
        <v>0.4</v>
      </c>
      <c r="G296" s="55">
        <v>83089</v>
      </c>
      <c r="H296" s="55">
        <v>135280</v>
      </c>
      <c r="I296" s="55">
        <v>69089</v>
      </c>
      <c r="J296" s="55">
        <v>99433</v>
      </c>
      <c r="K296" s="55">
        <v>82733</v>
      </c>
      <c r="L296" s="55">
        <v>144528</v>
      </c>
      <c r="M296" s="55">
        <v>86242</v>
      </c>
      <c r="N296" s="55">
        <v>114375</v>
      </c>
      <c r="O296" s="55">
        <v>114450</v>
      </c>
      <c r="P296" s="55">
        <v>153990</v>
      </c>
      <c r="Q296" s="55">
        <v>107205</v>
      </c>
      <c r="R296" s="55">
        <v>112098</v>
      </c>
      <c r="S296" s="55">
        <v>109771</v>
      </c>
      <c r="T296" s="55">
        <v>144880</v>
      </c>
      <c r="U296" s="55">
        <v>100568</v>
      </c>
      <c r="V296" s="55">
        <v>107157</v>
      </c>
      <c r="W296" s="58">
        <v>111528</v>
      </c>
      <c r="X296" s="100">
        <v>-1.8858784757299189E-2</v>
      </c>
      <c r="Y296" s="100">
        <v>-1.4003468691054399E-2</v>
      </c>
      <c r="Z296" s="100">
        <v>-1.0573122741094339E-2</v>
      </c>
      <c r="AA296" s="100">
        <v>3.799937713029999E-3</v>
      </c>
    </row>
    <row r="297" spans="1:27" ht="15" x14ac:dyDescent="0.25">
      <c r="A297" s="4">
        <v>260130</v>
      </c>
      <c r="B297" s="20">
        <v>8014</v>
      </c>
      <c r="C297" s="10" t="s">
        <v>67</v>
      </c>
      <c r="D297" s="37" t="s">
        <v>903</v>
      </c>
      <c r="E297" s="10" t="s">
        <v>817</v>
      </c>
      <c r="F297" s="38">
        <v>0.3</v>
      </c>
      <c r="G297" s="55">
        <v>75809</v>
      </c>
      <c r="H297" s="55">
        <v>78261</v>
      </c>
      <c r="I297" s="55">
        <v>81906</v>
      </c>
      <c r="J297" s="55">
        <v>86566</v>
      </c>
      <c r="K297" s="55">
        <v>86907</v>
      </c>
      <c r="L297" s="55">
        <v>74010</v>
      </c>
      <c r="M297" s="55">
        <v>75780</v>
      </c>
      <c r="N297" s="55">
        <v>77126</v>
      </c>
      <c r="O297" s="55">
        <v>80451</v>
      </c>
      <c r="P297" s="55">
        <v>74342</v>
      </c>
      <c r="Q297" s="55">
        <v>76974</v>
      </c>
      <c r="R297" s="55">
        <v>77481</v>
      </c>
      <c r="S297" s="55">
        <v>75802</v>
      </c>
      <c r="T297" s="55">
        <v>81289</v>
      </c>
      <c r="U297" s="55">
        <v>71577</v>
      </c>
      <c r="V297" s="55">
        <v>73385</v>
      </c>
      <c r="W297" s="58">
        <v>76649</v>
      </c>
      <c r="X297" s="100">
        <v>2.2807034822832639E-2</v>
      </c>
      <c r="Y297" s="100">
        <v>-1.7323284522991811E-2</v>
      </c>
      <c r="Z297" s="100">
        <v>-1.337910625218441E-2</v>
      </c>
      <c r="AA297" s="100">
        <v>2.804143643665213E-3</v>
      </c>
    </row>
    <row r="298" spans="1:27" ht="15" x14ac:dyDescent="0.25">
      <c r="A298" s="4">
        <v>260130</v>
      </c>
      <c r="B298" s="20">
        <v>4205</v>
      </c>
      <c r="C298" s="10" t="s">
        <v>67</v>
      </c>
      <c r="D298" s="37" t="s">
        <v>904</v>
      </c>
      <c r="E298" s="10" t="s">
        <v>817</v>
      </c>
      <c r="F298" s="38">
        <v>0.3</v>
      </c>
      <c r="G298" s="55">
        <v>89681</v>
      </c>
      <c r="H298" s="55">
        <v>92974</v>
      </c>
      <c r="I298" s="55">
        <v>97576</v>
      </c>
      <c r="J298" s="55">
        <v>99841</v>
      </c>
      <c r="K298" s="55">
        <v>96788</v>
      </c>
      <c r="L298" s="55">
        <v>94409</v>
      </c>
      <c r="M298" s="55">
        <v>91927</v>
      </c>
      <c r="N298" s="55">
        <v>93515</v>
      </c>
      <c r="O298" s="55">
        <v>98364</v>
      </c>
      <c r="P298" s="55">
        <v>98473</v>
      </c>
      <c r="Q298" s="55">
        <v>106105</v>
      </c>
      <c r="R298" s="55">
        <v>107245</v>
      </c>
      <c r="S298" s="55">
        <v>102083</v>
      </c>
      <c r="T298" s="55">
        <v>105214</v>
      </c>
      <c r="U298" s="55">
        <v>103083</v>
      </c>
      <c r="V298" s="55">
        <v>103388</v>
      </c>
      <c r="W298" s="58">
        <v>103241</v>
      </c>
      <c r="X298" s="100">
        <v>1.628630655269547E-2</v>
      </c>
      <c r="Y298" s="100">
        <v>-7.184171050786059E-3</v>
      </c>
      <c r="Z298" s="100">
        <v>-9.2355582161030014E-3</v>
      </c>
      <c r="AA298" s="100">
        <v>2.79866978596699E-3</v>
      </c>
    </row>
    <row r="299" spans="1:27" ht="15" x14ac:dyDescent="0.25">
      <c r="A299" s="4">
        <v>260130</v>
      </c>
      <c r="B299" s="20">
        <v>1976</v>
      </c>
      <c r="C299" s="10" t="s">
        <v>67</v>
      </c>
      <c r="D299" s="37" t="s">
        <v>905</v>
      </c>
      <c r="E299" s="10" t="s">
        <v>817</v>
      </c>
      <c r="F299" s="38">
        <v>0.2</v>
      </c>
      <c r="G299" s="55">
        <v>12049</v>
      </c>
      <c r="H299" s="55">
        <v>14017</v>
      </c>
      <c r="I299" s="55">
        <v>12051</v>
      </c>
      <c r="J299" s="55">
        <v>13671</v>
      </c>
      <c r="K299" s="55">
        <v>14169</v>
      </c>
      <c r="L299" s="55">
        <v>15999</v>
      </c>
      <c r="M299" s="55">
        <v>12534</v>
      </c>
      <c r="N299" s="55">
        <v>14044</v>
      </c>
      <c r="O299" s="55">
        <v>15971</v>
      </c>
      <c r="P299" s="55">
        <v>17828</v>
      </c>
      <c r="Q299" s="55">
        <v>14812</v>
      </c>
      <c r="R299" s="55">
        <v>16764</v>
      </c>
      <c r="S299" s="55">
        <v>15718</v>
      </c>
      <c r="T299" s="55">
        <v>18989</v>
      </c>
      <c r="U299" s="55">
        <v>13840</v>
      </c>
      <c r="V299" s="55">
        <v>14460</v>
      </c>
      <c r="W299" s="58">
        <v>15845</v>
      </c>
      <c r="X299" s="100">
        <v>1.7828076533276119E-2</v>
      </c>
      <c r="Y299" s="100">
        <v>-1.4664393585082199E-2</v>
      </c>
      <c r="Z299" s="100">
        <v>-3.527736522178504E-2</v>
      </c>
      <c r="AA299" s="100">
        <v>2.015649054866842E-3</v>
      </c>
    </row>
    <row r="300" spans="1:27" ht="15" x14ac:dyDescent="0.25">
      <c r="A300" s="4">
        <v>260130</v>
      </c>
      <c r="B300" s="20">
        <v>4549</v>
      </c>
      <c r="C300" s="10" t="s">
        <v>67</v>
      </c>
      <c r="D300" s="37" t="s">
        <v>906</v>
      </c>
      <c r="E300" s="10" t="s">
        <v>817</v>
      </c>
      <c r="F300" s="38">
        <v>0.1</v>
      </c>
      <c r="G300" s="55">
        <v>10490</v>
      </c>
      <c r="H300" s="55">
        <v>11165</v>
      </c>
      <c r="I300" s="55">
        <v>11097</v>
      </c>
      <c r="J300" s="55">
        <v>11768</v>
      </c>
      <c r="K300" s="55">
        <v>10995</v>
      </c>
      <c r="L300" s="55">
        <v>9411</v>
      </c>
      <c r="M300" s="55">
        <v>9864</v>
      </c>
      <c r="N300" s="55">
        <v>10400</v>
      </c>
      <c r="O300" s="55">
        <v>10229</v>
      </c>
      <c r="P300" s="55">
        <v>9559</v>
      </c>
      <c r="Q300" s="55">
        <v>9519</v>
      </c>
      <c r="R300" s="55">
        <v>10210</v>
      </c>
      <c r="S300" s="55">
        <v>10911</v>
      </c>
      <c r="T300" s="55">
        <v>9899</v>
      </c>
      <c r="U300" s="55">
        <v>10197</v>
      </c>
      <c r="V300" s="55">
        <v>10233</v>
      </c>
      <c r="W300" s="58">
        <v>10947</v>
      </c>
      <c r="X300" s="100">
        <v>8.4579218388516342E-3</v>
      </c>
      <c r="Y300" s="100">
        <v>1.6724635536150331E-2</v>
      </c>
      <c r="Z300" s="100">
        <v>5.5802217531608633E-4</v>
      </c>
      <c r="AA300" s="100">
        <v>8.7293889427741966E-4</v>
      </c>
    </row>
    <row r="301" spans="1:27" ht="15" x14ac:dyDescent="0.25">
      <c r="A301" s="4">
        <v>260130</v>
      </c>
      <c r="B301" s="20">
        <v>9065</v>
      </c>
      <c r="C301" s="10" t="s">
        <v>67</v>
      </c>
      <c r="D301" s="37" t="s">
        <v>907</v>
      </c>
      <c r="E301" s="10" t="s">
        <v>817</v>
      </c>
      <c r="F301" s="38">
        <v>0</v>
      </c>
      <c r="G301" s="55">
        <v>137808</v>
      </c>
      <c r="H301" s="55">
        <v>142367</v>
      </c>
      <c r="I301" s="55">
        <v>141717</v>
      </c>
      <c r="J301" s="55">
        <v>147576</v>
      </c>
      <c r="K301" s="55">
        <v>147261</v>
      </c>
      <c r="L301" s="55">
        <v>142672</v>
      </c>
      <c r="M301" s="55">
        <v>137515</v>
      </c>
      <c r="N301" s="55">
        <v>139660</v>
      </c>
      <c r="O301" s="55">
        <v>144742</v>
      </c>
      <c r="P301" s="55">
        <v>141630</v>
      </c>
      <c r="Q301" s="55">
        <v>143020</v>
      </c>
      <c r="R301" s="55">
        <v>156078</v>
      </c>
      <c r="S301" s="55">
        <v>156581</v>
      </c>
      <c r="T301" s="55">
        <v>151112</v>
      </c>
      <c r="U301" s="55">
        <v>153954</v>
      </c>
      <c r="V301" s="55">
        <v>161585</v>
      </c>
      <c r="W301" s="58">
        <v>156837</v>
      </c>
      <c r="X301" s="100">
        <v>1.5874530603088081E-2</v>
      </c>
      <c r="Y301" s="100">
        <v>1.8019383939445351E-2</v>
      </c>
      <c r="Z301" s="100">
        <v>8.9149702537536513E-3</v>
      </c>
      <c r="AA301" s="100">
        <v>4.1076196344214111E-4</v>
      </c>
    </row>
    <row r="302" spans="1:27" ht="15" x14ac:dyDescent="0.25">
      <c r="A302" s="4">
        <v>260130</v>
      </c>
      <c r="B302" s="20">
        <v>6727</v>
      </c>
      <c r="C302" s="10" t="s">
        <v>67</v>
      </c>
      <c r="D302" s="37" t="s">
        <v>908</v>
      </c>
      <c r="E302" s="10" t="s">
        <v>817</v>
      </c>
      <c r="F302" s="38">
        <v>0</v>
      </c>
      <c r="G302" s="55">
        <v>30921</v>
      </c>
      <c r="H302" s="55">
        <v>27610</v>
      </c>
      <c r="I302" s="55">
        <v>28472</v>
      </c>
      <c r="J302" s="55">
        <v>25665</v>
      </c>
      <c r="K302" s="55">
        <v>29883</v>
      </c>
      <c r="L302" s="55">
        <v>28709</v>
      </c>
      <c r="M302" s="55">
        <v>24139</v>
      </c>
      <c r="N302" s="55">
        <v>31452</v>
      </c>
      <c r="O302" s="55">
        <v>33560</v>
      </c>
      <c r="P302" s="55">
        <v>29643</v>
      </c>
      <c r="Q302" s="55">
        <v>29175</v>
      </c>
      <c r="R302" s="55">
        <v>28140</v>
      </c>
      <c r="S302" s="55">
        <v>30203</v>
      </c>
      <c r="T302" s="55">
        <v>28162</v>
      </c>
      <c r="U302" s="55">
        <v>24505</v>
      </c>
      <c r="V302" s="55">
        <v>26889</v>
      </c>
      <c r="W302" s="58">
        <v>30244</v>
      </c>
      <c r="X302" s="100">
        <v>-1.264072515598191E-2</v>
      </c>
      <c r="Y302" s="100">
        <v>-4.0369986168741323E-2</v>
      </c>
      <c r="Z302" s="100">
        <v>-1.12692550220701E-2</v>
      </c>
      <c r="AA302" s="100">
        <v>3.735456773477086E-4</v>
      </c>
    </row>
    <row r="303" spans="1:27" ht="15" x14ac:dyDescent="0.25">
      <c r="A303" s="4">
        <v>260130</v>
      </c>
      <c r="B303" s="20">
        <v>4043</v>
      </c>
      <c r="C303" s="10" t="s">
        <v>67</v>
      </c>
      <c r="D303" s="37" t="s">
        <v>909</v>
      </c>
      <c r="E303" s="10" t="s">
        <v>817</v>
      </c>
      <c r="F303" s="38">
        <v>0</v>
      </c>
      <c r="G303" s="55">
        <v>78949</v>
      </c>
      <c r="H303" s="55">
        <v>82221</v>
      </c>
      <c r="I303" s="55">
        <v>84017</v>
      </c>
      <c r="J303" s="55">
        <v>82353</v>
      </c>
      <c r="K303" s="55">
        <v>92640</v>
      </c>
      <c r="L303" s="55">
        <v>92780</v>
      </c>
      <c r="M303" s="55">
        <v>84886</v>
      </c>
      <c r="N303" s="55">
        <v>81219</v>
      </c>
      <c r="O303" s="55">
        <v>84150</v>
      </c>
      <c r="P303" s="55">
        <v>91735</v>
      </c>
      <c r="Q303" s="55">
        <v>82524</v>
      </c>
      <c r="R303" s="55">
        <v>83014</v>
      </c>
      <c r="S303" s="55">
        <v>87849</v>
      </c>
      <c r="T303" s="55">
        <v>89686</v>
      </c>
      <c r="U303" s="55">
        <v>81828</v>
      </c>
      <c r="V303" s="55">
        <v>81928</v>
      </c>
      <c r="W303" s="58">
        <v>87768</v>
      </c>
      <c r="X303" s="100">
        <v>-5.9370309629638296E-3</v>
      </c>
      <c r="Y303" s="100">
        <v>-2.0287227499686811E-3</v>
      </c>
      <c r="Z303" s="100">
        <v>-3.1719420404991978E-3</v>
      </c>
      <c r="AA303" s="100">
        <v>-2.373341224937153E-4</v>
      </c>
    </row>
    <row r="304" spans="1:27" ht="15" x14ac:dyDescent="0.25">
      <c r="A304" s="4">
        <v>260130</v>
      </c>
      <c r="B304" s="20">
        <v>2109</v>
      </c>
      <c r="C304" s="10" t="s">
        <v>67</v>
      </c>
      <c r="D304" s="37" t="s">
        <v>910</v>
      </c>
      <c r="E304" s="10" t="s">
        <v>817</v>
      </c>
      <c r="F304" s="38">
        <v>-0.2</v>
      </c>
      <c r="G304" s="55">
        <v>40062</v>
      </c>
      <c r="H304" s="55">
        <v>35620</v>
      </c>
      <c r="I304" s="55">
        <v>39194</v>
      </c>
      <c r="J304" s="55">
        <v>39767</v>
      </c>
      <c r="K304" s="55">
        <v>44802</v>
      </c>
      <c r="L304" s="55">
        <v>39547</v>
      </c>
      <c r="M304" s="55">
        <v>42358</v>
      </c>
      <c r="N304" s="55">
        <v>41859</v>
      </c>
      <c r="O304" s="55">
        <v>45181</v>
      </c>
      <c r="P304" s="55">
        <v>41376</v>
      </c>
      <c r="Q304" s="55">
        <v>44871</v>
      </c>
      <c r="R304" s="55">
        <v>43200</v>
      </c>
      <c r="S304" s="55">
        <v>48915</v>
      </c>
      <c r="T304" s="55">
        <v>41799</v>
      </c>
      <c r="U304" s="55">
        <v>46874</v>
      </c>
      <c r="V304" s="55">
        <v>43489</v>
      </c>
      <c r="W304" s="58">
        <v>48503</v>
      </c>
      <c r="X304" s="100">
        <v>2.3715813906548529E-3</v>
      </c>
      <c r="Y304" s="100">
        <v>1.120340073272375E-2</v>
      </c>
      <c r="Z304" s="100">
        <v>1.598557426377933E-3</v>
      </c>
      <c r="AA304" s="100">
        <v>-2.2752751591864628E-3</v>
      </c>
    </row>
    <row r="305" spans="1:27" ht="15" x14ac:dyDescent="0.25">
      <c r="A305" s="4">
        <v>260130</v>
      </c>
      <c r="B305" s="20">
        <v>7173</v>
      </c>
      <c r="C305" s="10" t="s">
        <v>67</v>
      </c>
      <c r="D305" s="37" t="s">
        <v>911</v>
      </c>
      <c r="E305" s="10" t="s">
        <v>817</v>
      </c>
      <c r="F305" s="38">
        <v>-0.3</v>
      </c>
      <c r="G305" s="55">
        <v>23528</v>
      </c>
      <c r="H305" s="55">
        <v>25452</v>
      </c>
      <c r="I305" s="55">
        <v>30080</v>
      </c>
      <c r="J305" s="55">
        <v>28774</v>
      </c>
      <c r="K305" s="55">
        <v>27558</v>
      </c>
      <c r="L305" s="55">
        <v>32689</v>
      </c>
      <c r="M305" s="55">
        <v>32884</v>
      </c>
      <c r="N305" s="55">
        <v>33871</v>
      </c>
      <c r="O305" s="55">
        <v>31473</v>
      </c>
      <c r="P305" s="55">
        <v>31339</v>
      </c>
      <c r="Q305" s="55">
        <v>37280</v>
      </c>
      <c r="R305" s="55">
        <v>34115</v>
      </c>
      <c r="S305" s="55">
        <v>39041</v>
      </c>
      <c r="T305" s="55">
        <v>40183</v>
      </c>
      <c r="U305" s="55">
        <v>32983</v>
      </c>
      <c r="V305" s="55">
        <v>42267</v>
      </c>
      <c r="W305" s="58">
        <v>38566</v>
      </c>
      <c r="X305" s="100">
        <v>6.2380532533944599E-2</v>
      </c>
      <c r="Y305" s="100">
        <v>-2.8528937252272239E-2</v>
      </c>
      <c r="Z305" s="100">
        <v>5.5712743128169429E-2</v>
      </c>
      <c r="AA305" s="100">
        <v>-3.074951124461101E-3</v>
      </c>
    </row>
    <row r="306" spans="1:27" ht="15" x14ac:dyDescent="0.25">
      <c r="A306" s="4">
        <v>260130</v>
      </c>
      <c r="B306" s="20">
        <v>5352</v>
      </c>
      <c r="C306" s="10" t="s">
        <v>67</v>
      </c>
      <c r="D306" s="37" t="s">
        <v>912</v>
      </c>
      <c r="E306" s="10" t="s">
        <v>817</v>
      </c>
      <c r="F306" s="38">
        <v>-0.4</v>
      </c>
      <c r="G306" s="55">
        <v>33798</v>
      </c>
      <c r="H306" s="55">
        <v>34868</v>
      </c>
      <c r="I306" s="55">
        <v>40292</v>
      </c>
      <c r="J306" s="55">
        <v>40299</v>
      </c>
      <c r="K306" s="55">
        <v>41890</v>
      </c>
      <c r="L306" s="55">
        <v>42721</v>
      </c>
      <c r="M306" s="55">
        <v>45357</v>
      </c>
      <c r="N306" s="55">
        <v>44042</v>
      </c>
      <c r="O306" s="55">
        <v>44950</v>
      </c>
      <c r="P306" s="55">
        <v>42680</v>
      </c>
      <c r="Q306" s="55">
        <v>43939</v>
      </c>
      <c r="R306" s="55">
        <v>44151</v>
      </c>
      <c r="S306" s="55">
        <v>45198</v>
      </c>
      <c r="T306" s="55">
        <v>44633</v>
      </c>
      <c r="U306" s="55">
        <v>44015</v>
      </c>
      <c r="V306" s="55">
        <v>44390</v>
      </c>
      <c r="W306" s="58">
        <v>44573</v>
      </c>
      <c r="X306" s="100">
        <v>1.109860883797054E-2</v>
      </c>
      <c r="Y306" s="100">
        <v>4.2715587255015558E-4</v>
      </c>
      <c r="Z306" s="100">
        <v>1.3427192593133961E-3</v>
      </c>
      <c r="AA306" s="100">
        <v>-3.5065867725936339E-3</v>
      </c>
    </row>
    <row r="307" spans="1:27" ht="15" x14ac:dyDescent="0.25">
      <c r="A307" s="4">
        <v>260130</v>
      </c>
      <c r="B307" s="20">
        <v>9110</v>
      </c>
      <c r="C307" s="10" t="s">
        <v>67</v>
      </c>
      <c r="D307" s="37" t="s">
        <v>913</v>
      </c>
      <c r="E307" s="10" t="s">
        <v>817</v>
      </c>
      <c r="F307" s="38">
        <v>-0.4</v>
      </c>
      <c r="G307" s="55">
        <v>54718</v>
      </c>
      <c r="H307" s="55">
        <v>51525</v>
      </c>
      <c r="I307" s="55">
        <v>62312</v>
      </c>
      <c r="J307" s="55">
        <v>68524</v>
      </c>
      <c r="K307" s="55">
        <v>66027</v>
      </c>
      <c r="L307" s="55">
        <v>53962</v>
      </c>
      <c r="M307" s="55">
        <v>55404</v>
      </c>
      <c r="N307" s="55">
        <v>56950</v>
      </c>
      <c r="O307" s="55">
        <v>60166</v>
      </c>
      <c r="P307" s="55">
        <v>60580</v>
      </c>
      <c r="Q307" s="55">
        <v>62344</v>
      </c>
      <c r="R307" s="55">
        <v>66379</v>
      </c>
      <c r="S307" s="55">
        <v>60668</v>
      </c>
      <c r="T307" s="55">
        <v>58017</v>
      </c>
      <c r="U307" s="55">
        <v>54833</v>
      </c>
      <c r="V307" s="55">
        <v>56696</v>
      </c>
      <c r="W307" s="58">
        <v>59735</v>
      </c>
      <c r="X307" s="100">
        <v>-1.025318936996689E-2</v>
      </c>
      <c r="Y307" s="100">
        <v>-3.0358759619737441E-2</v>
      </c>
      <c r="Z307" s="100">
        <v>-4.0363155854387538E-2</v>
      </c>
      <c r="AA307" s="100">
        <v>-4.0527509187103794E-3</v>
      </c>
    </row>
    <row r="308" spans="1:27" ht="15" x14ac:dyDescent="0.25">
      <c r="A308" s="4">
        <v>260130</v>
      </c>
      <c r="B308" s="20">
        <v>6737</v>
      </c>
      <c r="C308" s="10" t="s">
        <v>67</v>
      </c>
      <c r="D308" s="37" t="s">
        <v>914</v>
      </c>
      <c r="E308" s="10" t="s">
        <v>817</v>
      </c>
      <c r="F308" s="38">
        <v>-0.5</v>
      </c>
      <c r="G308" s="55">
        <v>19973</v>
      </c>
      <c r="H308" s="55">
        <v>23073</v>
      </c>
      <c r="I308" s="55">
        <v>17847</v>
      </c>
      <c r="J308" s="55">
        <v>18719</v>
      </c>
      <c r="K308" s="55">
        <v>20571</v>
      </c>
      <c r="L308" s="55">
        <v>23712</v>
      </c>
      <c r="M308" s="55">
        <v>18548</v>
      </c>
      <c r="N308" s="55">
        <v>18637</v>
      </c>
      <c r="O308" s="55">
        <v>20976</v>
      </c>
      <c r="P308" s="55">
        <v>22310</v>
      </c>
      <c r="Q308" s="55">
        <v>18197</v>
      </c>
      <c r="R308" s="55">
        <v>18620</v>
      </c>
      <c r="S308" s="55">
        <v>21310</v>
      </c>
      <c r="T308" s="55">
        <v>22366</v>
      </c>
      <c r="U308" s="55">
        <v>17338</v>
      </c>
      <c r="V308" s="55">
        <v>20536</v>
      </c>
      <c r="W308" s="58">
        <v>20935</v>
      </c>
      <c r="X308" s="100">
        <v>6.9619702375778303E-4</v>
      </c>
      <c r="Y308" s="100">
        <v>-1.067173543041011E-2</v>
      </c>
      <c r="Z308" s="100">
        <v>2.4060074842404019E-2</v>
      </c>
      <c r="AA308" s="100">
        <v>-4.5984058859595001E-3</v>
      </c>
    </row>
    <row r="309" spans="1:27" ht="15" x14ac:dyDescent="0.25">
      <c r="A309" s="4">
        <v>260130</v>
      </c>
      <c r="B309" s="20">
        <v>1941</v>
      </c>
      <c r="C309" s="10" t="s">
        <v>67</v>
      </c>
      <c r="D309" s="37" t="s">
        <v>915</v>
      </c>
      <c r="E309" s="10" t="s">
        <v>817</v>
      </c>
      <c r="F309" s="38">
        <v>-0.6</v>
      </c>
      <c r="G309" s="55">
        <v>45692</v>
      </c>
      <c r="H309" s="55">
        <v>67841</v>
      </c>
      <c r="I309" s="55">
        <v>35526</v>
      </c>
      <c r="J309" s="55">
        <v>43989</v>
      </c>
      <c r="K309" s="55">
        <v>44848</v>
      </c>
      <c r="L309" s="55">
        <v>64669</v>
      </c>
      <c r="M309" s="55">
        <v>37677</v>
      </c>
      <c r="N309" s="55">
        <v>45022</v>
      </c>
      <c r="O309" s="55">
        <v>48601</v>
      </c>
      <c r="P309" s="55">
        <v>69725</v>
      </c>
      <c r="Q309" s="55">
        <v>45650</v>
      </c>
      <c r="R309" s="55">
        <v>52589</v>
      </c>
      <c r="S309" s="55">
        <v>55157</v>
      </c>
      <c r="T309" s="55">
        <v>68489</v>
      </c>
      <c r="U309" s="55">
        <v>44422</v>
      </c>
      <c r="V309" s="55">
        <v>51332</v>
      </c>
      <c r="W309" s="58">
        <v>53814</v>
      </c>
      <c r="X309" s="100">
        <v>-5.5395951075873917E-3</v>
      </c>
      <c r="Y309" s="100">
        <v>-5.5343984496473153E-3</v>
      </c>
      <c r="Z309" s="100">
        <v>-5.6966241723580557E-3</v>
      </c>
      <c r="AA309" s="100">
        <v>-6.1212397447584221E-3</v>
      </c>
    </row>
    <row r="310" spans="1:27" ht="15" x14ac:dyDescent="0.25">
      <c r="A310" s="4">
        <v>260130</v>
      </c>
      <c r="B310" s="20">
        <v>6810</v>
      </c>
      <c r="C310" s="10" t="s">
        <v>67</v>
      </c>
      <c r="D310" s="37" t="s">
        <v>916</v>
      </c>
      <c r="E310" s="10" t="s">
        <v>817</v>
      </c>
      <c r="F310" s="38">
        <v>-0.6</v>
      </c>
      <c r="G310" s="55">
        <v>35292</v>
      </c>
      <c r="H310" s="55">
        <v>33662</v>
      </c>
      <c r="I310" s="55">
        <v>32227</v>
      </c>
      <c r="J310" s="55">
        <v>32978</v>
      </c>
      <c r="K310" s="55">
        <v>34030</v>
      </c>
      <c r="L310" s="55">
        <v>33541</v>
      </c>
      <c r="M310" s="55">
        <v>32225</v>
      </c>
      <c r="N310" s="55">
        <v>33395</v>
      </c>
      <c r="O310" s="55">
        <v>31684</v>
      </c>
      <c r="P310" s="55">
        <v>31835</v>
      </c>
      <c r="Q310" s="55">
        <v>31385</v>
      </c>
      <c r="R310" s="55">
        <v>31737</v>
      </c>
      <c r="S310" s="55">
        <v>32465</v>
      </c>
      <c r="T310" s="55">
        <v>34219</v>
      </c>
      <c r="U310" s="55">
        <v>30270</v>
      </c>
      <c r="V310" s="55">
        <v>34389</v>
      </c>
      <c r="W310" s="58">
        <v>31640</v>
      </c>
      <c r="X310" s="100">
        <v>1.8709485018285621E-2</v>
      </c>
      <c r="Y310" s="100">
        <v>-8.5897416144091743E-3</v>
      </c>
      <c r="Z310" s="100">
        <v>2.0607501690094839E-2</v>
      </c>
      <c r="AA310" s="100">
        <v>-6.2812635618190171E-3</v>
      </c>
    </row>
    <row r="311" spans="1:27" ht="15" x14ac:dyDescent="0.25">
      <c r="A311" s="4">
        <v>260130</v>
      </c>
      <c r="B311" s="20">
        <v>7943</v>
      </c>
      <c r="C311" s="10" t="s">
        <v>67</v>
      </c>
      <c r="D311" s="37" t="s">
        <v>917</v>
      </c>
      <c r="E311" s="10" t="s">
        <v>817</v>
      </c>
      <c r="F311" s="38">
        <v>-0.6</v>
      </c>
      <c r="G311" s="55">
        <v>34514</v>
      </c>
      <c r="H311" s="55">
        <v>31402</v>
      </c>
      <c r="I311" s="55">
        <v>32100</v>
      </c>
      <c r="J311" s="55">
        <v>35109</v>
      </c>
      <c r="K311" s="55">
        <v>36485</v>
      </c>
      <c r="L311" s="55">
        <v>34369</v>
      </c>
      <c r="M311" s="55">
        <v>32827</v>
      </c>
      <c r="N311" s="55">
        <v>35581</v>
      </c>
      <c r="O311" s="55">
        <v>39416</v>
      </c>
      <c r="P311" s="55">
        <v>34966</v>
      </c>
      <c r="Q311" s="55">
        <v>35925</v>
      </c>
      <c r="R311" s="55">
        <v>37094</v>
      </c>
      <c r="S311" s="55">
        <v>39136</v>
      </c>
      <c r="T311" s="55">
        <v>36323</v>
      </c>
      <c r="U311" s="55">
        <v>34869</v>
      </c>
      <c r="V311" s="55">
        <v>36214</v>
      </c>
      <c r="W311" s="58">
        <v>38212</v>
      </c>
      <c r="X311" s="100">
        <v>9.2237002195472151E-3</v>
      </c>
      <c r="Y311" s="100">
        <v>-7.1121647651504194E-3</v>
      </c>
      <c r="Z311" s="100">
        <v>-5.9692583196537807E-3</v>
      </c>
      <c r="AA311" s="100">
        <v>-6.3053595556222808E-3</v>
      </c>
    </row>
    <row r="312" spans="1:27" ht="15" x14ac:dyDescent="0.25">
      <c r="A312" s="4">
        <v>260130</v>
      </c>
      <c r="B312" s="20">
        <v>7839</v>
      </c>
      <c r="C312" s="10" t="s">
        <v>67</v>
      </c>
      <c r="D312" s="37" t="s">
        <v>918</v>
      </c>
      <c r="E312" s="10" t="s">
        <v>821</v>
      </c>
      <c r="F312" s="38">
        <v>-1</v>
      </c>
      <c r="G312" s="55">
        <v>7350</v>
      </c>
      <c r="H312" s="55">
        <v>6089</v>
      </c>
      <c r="I312" s="55">
        <v>7694</v>
      </c>
      <c r="J312" s="55">
        <v>7820</v>
      </c>
      <c r="K312" s="55">
        <v>8117</v>
      </c>
      <c r="L312" s="55">
        <v>7099</v>
      </c>
      <c r="M312" s="55">
        <v>9375</v>
      </c>
      <c r="N312" s="55">
        <v>9025</v>
      </c>
      <c r="O312" s="55">
        <v>8145</v>
      </c>
      <c r="P312" s="55">
        <v>8309</v>
      </c>
      <c r="Q312" s="55">
        <v>9042</v>
      </c>
      <c r="R312" s="55">
        <v>10294</v>
      </c>
      <c r="S312" s="55">
        <v>7838</v>
      </c>
      <c r="T312" s="55">
        <v>6724</v>
      </c>
      <c r="U312" s="55">
        <v>8371</v>
      </c>
      <c r="V312" s="55">
        <v>9430</v>
      </c>
      <c r="W312" s="58">
        <v>7513</v>
      </c>
      <c r="X312" s="100">
        <v>-4.4669278245920603E-2</v>
      </c>
      <c r="Y312" s="100">
        <v>-1.979467815210334E-2</v>
      </c>
      <c r="Z312" s="100">
        <v>-2.600294940861347E-2</v>
      </c>
      <c r="AA312" s="100">
        <v>-1.0042332293050739E-2</v>
      </c>
    </row>
    <row r="313" spans="1:27" ht="15" x14ac:dyDescent="0.25">
      <c r="A313" s="4">
        <v>260130</v>
      </c>
      <c r="B313" s="20">
        <v>8309</v>
      </c>
      <c r="C313" s="10" t="s">
        <v>67</v>
      </c>
      <c r="D313" s="37" t="s">
        <v>919</v>
      </c>
      <c r="E313" s="10" t="s">
        <v>817</v>
      </c>
      <c r="F313" s="38">
        <v>-1.2</v>
      </c>
      <c r="G313" s="55">
        <v>244443</v>
      </c>
      <c r="H313" s="55">
        <v>280968</v>
      </c>
      <c r="I313" s="55">
        <v>300784</v>
      </c>
      <c r="J313" s="55">
        <v>293634</v>
      </c>
      <c r="K313" s="55">
        <v>280820</v>
      </c>
      <c r="L313" s="55">
        <v>301263</v>
      </c>
      <c r="M313" s="55">
        <v>264537</v>
      </c>
      <c r="N313" s="55">
        <v>237908</v>
      </c>
      <c r="O313" s="55">
        <v>224805</v>
      </c>
      <c r="P313" s="55">
        <v>289379</v>
      </c>
      <c r="Q313" s="55">
        <v>344202</v>
      </c>
      <c r="R313" s="55">
        <v>324442</v>
      </c>
      <c r="S313" s="111">
        <v>422885</v>
      </c>
      <c r="T313" s="55">
        <v>418095</v>
      </c>
      <c r="U313" s="55">
        <v>369617</v>
      </c>
      <c r="V313" s="55">
        <v>377896</v>
      </c>
      <c r="W313" s="58">
        <v>403855</v>
      </c>
      <c r="X313" s="100">
        <v>9.3211133544016E-2</v>
      </c>
      <c r="Y313" s="100">
        <v>1.6835317933472149E-2</v>
      </c>
      <c r="Z313" s="100">
        <v>3.4822568025958837E-2</v>
      </c>
      <c r="AA313" s="100">
        <v>-1.197990800085369E-2</v>
      </c>
    </row>
    <row r="314" spans="1:27" ht="15" x14ac:dyDescent="0.25">
      <c r="A314" s="4">
        <v>260130</v>
      </c>
      <c r="B314" s="20">
        <v>4816</v>
      </c>
      <c r="C314" s="10" t="s">
        <v>67</v>
      </c>
      <c r="D314" s="37" t="s">
        <v>920</v>
      </c>
      <c r="E314" s="10" t="s">
        <v>817</v>
      </c>
      <c r="F314" s="38">
        <v>-1.6</v>
      </c>
      <c r="G314" s="55">
        <v>12782</v>
      </c>
      <c r="H314" s="55">
        <v>14498</v>
      </c>
      <c r="I314" s="55">
        <v>18061</v>
      </c>
      <c r="J314" s="55">
        <v>24389</v>
      </c>
      <c r="K314" s="111">
        <v>22614</v>
      </c>
      <c r="L314" s="55">
        <v>22393</v>
      </c>
      <c r="M314" s="55">
        <v>19884</v>
      </c>
      <c r="N314" s="55">
        <v>26300</v>
      </c>
      <c r="O314" s="55">
        <v>20933</v>
      </c>
      <c r="P314" s="55">
        <v>21537</v>
      </c>
      <c r="Q314" s="55">
        <v>23059</v>
      </c>
      <c r="R314" s="55">
        <v>25905</v>
      </c>
      <c r="S314" s="55">
        <v>23736</v>
      </c>
      <c r="T314" s="55">
        <v>28136</v>
      </c>
      <c r="U314" s="55">
        <v>19488</v>
      </c>
      <c r="V314" s="55">
        <v>25466</v>
      </c>
      <c r="W314" s="58">
        <v>22187</v>
      </c>
      <c r="X314" s="100">
        <v>7.0025573819200604E-2</v>
      </c>
      <c r="Y314" s="100">
        <v>-3.5413939466063749E-2</v>
      </c>
      <c r="Z314" s="100">
        <v>-4.5134426566596497E-3</v>
      </c>
      <c r="AA314" s="100">
        <v>-1.599776919422469E-2</v>
      </c>
    </row>
    <row r="315" spans="1:27" ht="15" x14ac:dyDescent="0.25">
      <c r="A315" s="4">
        <v>260130</v>
      </c>
      <c r="B315" s="20">
        <v>9504</v>
      </c>
      <c r="C315" s="10" t="s">
        <v>67</v>
      </c>
      <c r="D315" s="37" t="s">
        <v>921</v>
      </c>
      <c r="E315" s="10" t="s">
        <v>817</v>
      </c>
      <c r="F315" s="38">
        <v>-1.6</v>
      </c>
      <c r="G315" s="55">
        <v>277589</v>
      </c>
      <c r="H315" s="55">
        <v>373574</v>
      </c>
      <c r="I315" s="55">
        <v>314753</v>
      </c>
      <c r="J315" s="55">
        <v>435021</v>
      </c>
      <c r="K315" s="111">
        <v>430113</v>
      </c>
      <c r="L315" s="55">
        <v>514715</v>
      </c>
      <c r="M315" s="55">
        <v>401078</v>
      </c>
      <c r="N315" s="55">
        <v>440469</v>
      </c>
      <c r="O315" s="55">
        <v>363281</v>
      </c>
      <c r="P315" s="55">
        <v>423957</v>
      </c>
      <c r="Q315" s="55">
        <v>330344</v>
      </c>
      <c r="R315" s="55">
        <v>411562</v>
      </c>
      <c r="S315" s="55">
        <v>354505</v>
      </c>
      <c r="T315" s="55">
        <v>432807</v>
      </c>
      <c r="U315" s="55">
        <v>329562</v>
      </c>
      <c r="V315" s="55">
        <v>396702</v>
      </c>
      <c r="W315" s="58">
        <v>329755</v>
      </c>
      <c r="X315" s="100">
        <v>5.8209591362090576E-3</v>
      </c>
      <c r="Y315" s="100">
        <v>-5.1137247926713592E-4</v>
      </c>
      <c r="Z315" s="100">
        <v>-9.7223567097346475E-3</v>
      </c>
      <c r="AA315" s="100">
        <v>-1.6352003467285381E-2</v>
      </c>
    </row>
    <row r="316" spans="1:27" ht="15" x14ac:dyDescent="0.25">
      <c r="A316" s="4">
        <v>260130</v>
      </c>
      <c r="B316" s="20">
        <v>9508</v>
      </c>
      <c r="C316" s="10" t="s">
        <v>67</v>
      </c>
      <c r="D316" s="37" t="s">
        <v>922</v>
      </c>
      <c r="E316" s="10" t="s">
        <v>817</v>
      </c>
      <c r="F316" s="38">
        <v>-1.8</v>
      </c>
      <c r="G316" s="55">
        <v>425296</v>
      </c>
      <c r="H316" s="55">
        <v>546513</v>
      </c>
      <c r="I316" s="55">
        <v>436719</v>
      </c>
      <c r="J316" s="55">
        <v>573963</v>
      </c>
      <c r="K316" s="55">
        <v>556828</v>
      </c>
      <c r="L316" s="55">
        <v>653790</v>
      </c>
      <c r="M316" s="55">
        <v>496524</v>
      </c>
      <c r="N316" s="55">
        <v>588792</v>
      </c>
      <c r="O316" s="55">
        <v>498075</v>
      </c>
      <c r="P316" s="55">
        <v>556056</v>
      </c>
      <c r="Q316" s="55">
        <v>501179</v>
      </c>
      <c r="R316" s="55">
        <v>650013</v>
      </c>
      <c r="S316" s="55">
        <v>564156</v>
      </c>
      <c r="T316" s="55">
        <v>641485</v>
      </c>
      <c r="U316" s="55">
        <v>498334</v>
      </c>
      <c r="V316" s="55">
        <v>629465</v>
      </c>
      <c r="W316" s="58">
        <v>521543</v>
      </c>
      <c r="X316" s="100">
        <v>3.7610658429764188E-2</v>
      </c>
      <c r="Y316" s="100">
        <v>-1.2071283794821139E-3</v>
      </c>
      <c r="Z316" s="100">
        <v>-8.7290164605766662E-3</v>
      </c>
      <c r="AA316" s="100">
        <v>-1.8261879456939131E-2</v>
      </c>
    </row>
    <row r="317" spans="1:27" ht="15" x14ac:dyDescent="0.25">
      <c r="A317" s="4">
        <v>260130</v>
      </c>
      <c r="B317" s="20">
        <v>7595</v>
      </c>
      <c r="C317" s="10" t="s">
        <v>67</v>
      </c>
      <c r="D317" s="37" t="s">
        <v>923</v>
      </c>
      <c r="E317" s="10" t="s">
        <v>817</v>
      </c>
      <c r="F317" s="38">
        <v>-1.8</v>
      </c>
      <c r="G317" s="55">
        <v>9909</v>
      </c>
      <c r="H317" s="55">
        <v>12844</v>
      </c>
      <c r="I317" s="55">
        <v>14056</v>
      </c>
      <c r="J317" s="55">
        <v>10978</v>
      </c>
      <c r="K317" s="55">
        <v>10867</v>
      </c>
      <c r="L317" s="55">
        <v>17444</v>
      </c>
      <c r="M317" s="55">
        <v>14461</v>
      </c>
      <c r="N317" s="55">
        <v>13905</v>
      </c>
      <c r="O317" s="55">
        <v>13820</v>
      </c>
      <c r="P317" s="55">
        <v>17325</v>
      </c>
      <c r="Q317" s="55">
        <v>18007</v>
      </c>
      <c r="R317" s="55">
        <v>15608</v>
      </c>
      <c r="S317" s="55">
        <v>16394</v>
      </c>
      <c r="T317" s="55">
        <v>19532</v>
      </c>
      <c r="U317" s="55">
        <v>16756</v>
      </c>
      <c r="V317" s="55">
        <v>17024</v>
      </c>
      <c r="W317" s="58">
        <v>15113</v>
      </c>
      <c r="X317" s="100">
        <v>3.2776903198978191E-2</v>
      </c>
      <c r="Y317" s="100">
        <v>-1.7989387555542798E-2</v>
      </c>
      <c r="Z317" s="100">
        <v>2.0735100307512019E-2</v>
      </c>
      <c r="AA317" s="100">
        <v>-1.8377184173528849E-2</v>
      </c>
    </row>
    <row r="318" spans="1:27" ht="15" x14ac:dyDescent="0.25">
      <c r="A318" s="4">
        <v>260130</v>
      </c>
      <c r="B318" s="20">
        <v>4216</v>
      </c>
      <c r="C318" s="10" t="s">
        <v>67</v>
      </c>
      <c r="D318" s="37" t="s">
        <v>924</v>
      </c>
      <c r="E318" s="10" t="s">
        <v>817</v>
      </c>
      <c r="F318" s="38">
        <v>-1.9</v>
      </c>
      <c r="G318" s="55">
        <v>17805</v>
      </c>
      <c r="H318" s="55">
        <v>17495</v>
      </c>
      <c r="I318" s="55">
        <v>16764</v>
      </c>
      <c r="J318" s="55">
        <v>19174</v>
      </c>
      <c r="K318" s="55">
        <v>20441</v>
      </c>
      <c r="L318" s="55">
        <v>20720</v>
      </c>
      <c r="M318" s="55">
        <v>21037</v>
      </c>
      <c r="N318" s="55">
        <v>22807</v>
      </c>
      <c r="O318" s="55">
        <v>22252</v>
      </c>
      <c r="P318" s="55">
        <v>21330</v>
      </c>
      <c r="Q318" s="55">
        <v>20229</v>
      </c>
      <c r="R318" s="55">
        <v>21501</v>
      </c>
      <c r="S318" s="55">
        <v>21445</v>
      </c>
      <c r="T318" s="55">
        <v>21987</v>
      </c>
      <c r="U318" s="55">
        <v>20009</v>
      </c>
      <c r="V318" s="55">
        <v>19834</v>
      </c>
      <c r="W318" s="58">
        <v>19832</v>
      </c>
      <c r="X318" s="100">
        <v>7.7746878882907211E-3</v>
      </c>
      <c r="Y318" s="100">
        <v>-2.5833118057348998E-3</v>
      </c>
      <c r="Z318" s="100">
        <v>-1.9625155988792331E-2</v>
      </c>
      <c r="AA318" s="100">
        <v>-1.936955869108381E-2</v>
      </c>
    </row>
    <row r="319" spans="1:27" ht="15" x14ac:dyDescent="0.25">
      <c r="A319" s="4">
        <v>260130</v>
      </c>
      <c r="B319" s="20">
        <v>9513</v>
      </c>
      <c r="C319" s="10" t="s">
        <v>67</v>
      </c>
      <c r="D319" s="37" t="s">
        <v>925</v>
      </c>
      <c r="E319" s="10" t="s">
        <v>817</v>
      </c>
      <c r="F319" s="38">
        <v>-2</v>
      </c>
      <c r="G319" s="55">
        <v>277702</v>
      </c>
      <c r="H319" s="55">
        <v>375108</v>
      </c>
      <c r="I319" s="55">
        <v>323319</v>
      </c>
      <c r="J319" s="55">
        <v>516479</v>
      </c>
      <c r="K319" s="111">
        <v>561756</v>
      </c>
      <c r="L319" s="55">
        <v>440368</v>
      </c>
      <c r="M319" s="55">
        <v>281381</v>
      </c>
      <c r="N319" s="55">
        <v>350212</v>
      </c>
      <c r="O319" s="55">
        <v>329248</v>
      </c>
      <c r="P319" s="55">
        <v>297156</v>
      </c>
      <c r="Q319" s="55">
        <v>259055</v>
      </c>
      <c r="R319" s="55">
        <v>381670</v>
      </c>
      <c r="S319" s="55">
        <v>318234</v>
      </c>
      <c r="T319" s="55">
        <v>357715</v>
      </c>
      <c r="U319" s="55">
        <v>250295</v>
      </c>
      <c r="V319" s="55">
        <v>321119</v>
      </c>
      <c r="W319" s="58">
        <v>293145</v>
      </c>
      <c r="X319" s="100">
        <v>4.8211350075431092E-2</v>
      </c>
      <c r="Y319" s="100">
        <v>-6.6531275015683233E-3</v>
      </c>
      <c r="Z319" s="100">
        <v>-4.629585737288533E-2</v>
      </c>
      <c r="AA319" s="100">
        <v>-2.0113631717471159E-2</v>
      </c>
    </row>
    <row r="320" spans="1:27" ht="15" x14ac:dyDescent="0.25">
      <c r="A320" s="4">
        <v>260130</v>
      </c>
      <c r="B320" s="20">
        <v>9506</v>
      </c>
      <c r="C320" s="10" t="s">
        <v>67</v>
      </c>
      <c r="D320" s="37" t="s">
        <v>926</v>
      </c>
      <c r="E320" s="10" t="s">
        <v>817</v>
      </c>
      <c r="F320" s="38">
        <v>-2</v>
      </c>
      <c r="G320" s="55">
        <v>525824</v>
      </c>
      <c r="H320" s="55">
        <v>705493</v>
      </c>
      <c r="I320" s="55">
        <v>558290</v>
      </c>
      <c r="J320" s="55">
        <v>781425</v>
      </c>
      <c r="K320" s="111">
        <v>792725</v>
      </c>
      <c r="L320" s="55">
        <v>874764</v>
      </c>
      <c r="M320" s="55">
        <v>633576</v>
      </c>
      <c r="N320" s="55">
        <v>754259</v>
      </c>
      <c r="O320" s="55">
        <v>668480</v>
      </c>
      <c r="P320" s="55">
        <v>761498</v>
      </c>
      <c r="Q320" s="55">
        <v>614563</v>
      </c>
      <c r="R320" s="55">
        <v>697010</v>
      </c>
      <c r="S320" s="55">
        <v>608863</v>
      </c>
      <c r="T320" s="55">
        <v>724476</v>
      </c>
      <c r="U320" s="55">
        <v>535380</v>
      </c>
      <c r="V320" s="55">
        <v>633576</v>
      </c>
      <c r="W320" s="58">
        <v>558272</v>
      </c>
      <c r="X320" s="100">
        <v>-1.3804217404306041E-2</v>
      </c>
      <c r="Y320" s="100">
        <v>-2.993785804593874E-2</v>
      </c>
      <c r="Z320" s="100">
        <v>-2.472357758750043E-2</v>
      </c>
      <c r="AA320" s="100">
        <v>-2.0217840022858979E-2</v>
      </c>
    </row>
    <row r="321" spans="1:27" ht="15" x14ac:dyDescent="0.25">
      <c r="A321" s="4">
        <v>260130</v>
      </c>
      <c r="B321" s="20">
        <v>9509</v>
      </c>
      <c r="C321" s="10" t="s">
        <v>67</v>
      </c>
      <c r="D321" s="37" t="s">
        <v>927</v>
      </c>
      <c r="E321" s="10" t="s">
        <v>817</v>
      </c>
      <c r="F321" s="38">
        <v>-2.7</v>
      </c>
      <c r="G321" s="55">
        <v>167735</v>
      </c>
      <c r="H321" s="55">
        <v>222210</v>
      </c>
      <c r="I321" s="55">
        <v>176029</v>
      </c>
      <c r="J321" s="55">
        <v>210824</v>
      </c>
      <c r="K321" s="55">
        <v>236994</v>
      </c>
      <c r="L321" s="55">
        <v>265027</v>
      </c>
      <c r="M321" s="55">
        <v>227791</v>
      </c>
      <c r="N321" s="55">
        <v>230788</v>
      </c>
      <c r="O321" s="55">
        <v>227002</v>
      </c>
      <c r="P321" s="55">
        <v>268203</v>
      </c>
      <c r="Q321" s="55">
        <v>202569</v>
      </c>
      <c r="R321" s="55">
        <v>214141</v>
      </c>
      <c r="S321" s="55">
        <v>229693</v>
      </c>
      <c r="T321" s="55">
        <v>255650</v>
      </c>
      <c r="U321" s="55">
        <v>202497</v>
      </c>
      <c r="V321" s="55">
        <v>209454</v>
      </c>
      <c r="W321" s="58">
        <v>205752</v>
      </c>
      <c r="X321" s="100">
        <v>-1.3725035698431859E-2</v>
      </c>
      <c r="Y321" s="100">
        <v>-7.9817926441183573E-5</v>
      </c>
      <c r="Z321" s="100">
        <v>-5.1963400559434936E-3</v>
      </c>
      <c r="AA321" s="100">
        <v>-2.668133298562125E-2</v>
      </c>
    </row>
    <row r="322" spans="1:27" ht="15" x14ac:dyDescent="0.25">
      <c r="A322" s="4">
        <v>260130</v>
      </c>
      <c r="B322" s="20">
        <v>9507</v>
      </c>
      <c r="C322" s="10" t="s">
        <v>67</v>
      </c>
      <c r="D322" s="37" t="s">
        <v>928</v>
      </c>
      <c r="E322" s="10" t="s">
        <v>817</v>
      </c>
      <c r="F322" s="38">
        <v>-2.8</v>
      </c>
      <c r="G322" s="55">
        <v>162778</v>
      </c>
      <c r="H322" s="55">
        <v>208929</v>
      </c>
      <c r="I322" s="55">
        <v>166678</v>
      </c>
      <c r="J322" s="55">
        <v>235444</v>
      </c>
      <c r="K322" s="55">
        <v>202540</v>
      </c>
      <c r="L322" s="55">
        <v>228541</v>
      </c>
      <c r="M322" s="55">
        <v>181086</v>
      </c>
      <c r="N322" s="55">
        <v>219771</v>
      </c>
      <c r="O322" s="55">
        <v>177269</v>
      </c>
      <c r="P322" s="55">
        <v>209277</v>
      </c>
      <c r="Q322" s="55">
        <v>186854</v>
      </c>
      <c r="R322" s="55">
        <v>231526</v>
      </c>
      <c r="S322" s="55">
        <v>199610</v>
      </c>
      <c r="T322" s="55">
        <v>233409</v>
      </c>
      <c r="U322" s="55">
        <v>192435</v>
      </c>
      <c r="V322" s="55">
        <v>209226</v>
      </c>
      <c r="W322" s="58">
        <v>176160</v>
      </c>
      <c r="X322" s="100">
        <v>2.9170751401905282E-2</v>
      </c>
      <c r="Y322" s="100">
        <v>6.5550934403257877E-3</v>
      </c>
      <c r="Z322" s="100">
        <v>-2.6021610772713481E-2</v>
      </c>
      <c r="AA322" s="100">
        <v>-2.8094599127809431E-2</v>
      </c>
    </row>
    <row r="323" spans="1:27" ht="15" x14ac:dyDescent="0.25">
      <c r="A323" s="4">
        <v>260130</v>
      </c>
      <c r="B323" s="20">
        <v>9301</v>
      </c>
      <c r="C323" s="10" t="s">
        <v>67</v>
      </c>
      <c r="D323" s="37" t="s">
        <v>929</v>
      </c>
      <c r="E323" s="10" t="s">
        <v>817</v>
      </c>
      <c r="F323" s="38">
        <v>-3.6</v>
      </c>
      <c r="G323" s="55">
        <v>66910</v>
      </c>
      <c r="H323" s="55">
        <v>72688</v>
      </c>
      <c r="I323" s="55">
        <v>76187</v>
      </c>
      <c r="J323" s="55">
        <v>78079</v>
      </c>
      <c r="K323" s="55">
        <v>77721</v>
      </c>
      <c r="L323" s="55">
        <v>68607</v>
      </c>
      <c r="M323" s="55">
        <v>63215</v>
      </c>
      <c r="N323" s="55">
        <v>62545</v>
      </c>
      <c r="O323" s="55">
        <v>66692</v>
      </c>
      <c r="P323" s="55">
        <v>62055</v>
      </c>
      <c r="Q323" s="55">
        <v>65877</v>
      </c>
      <c r="R323" s="55">
        <v>69013</v>
      </c>
      <c r="S323" s="55">
        <v>79355</v>
      </c>
      <c r="T323" s="55">
        <v>69824</v>
      </c>
      <c r="U323" s="55">
        <v>68562</v>
      </c>
      <c r="V323" s="55">
        <v>67554</v>
      </c>
      <c r="W323" s="58">
        <v>68973</v>
      </c>
      <c r="X323" s="100">
        <v>2.8117987694534999E-2</v>
      </c>
      <c r="Y323" s="100">
        <v>9.4519289327592571E-3</v>
      </c>
      <c r="Z323" s="100">
        <v>-5.0879848232282532E-3</v>
      </c>
      <c r="AA323" s="100">
        <v>-3.6390402916279603E-2</v>
      </c>
    </row>
    <row r="324" spans="1:27" ht="15" x14ac:dyDescent="0.25">
      <c r="A324" s="4">
        <v>260130</v>
      </c>
      <c r="B324" s="20">
        <v>7735</v>
      </c>
      <c r="C324" s="10" t="s">
        <v>67</v>
      </c>
      <c r="D324" s="37" t="s">
        <v>930</v>
      </c>
      <c r="E324" s="10" t="s">
        <v>817</v>
      </c>
      <c r="F324" s="38">
        <v>-5.0999999999999996</v>
      </c>
      <c r="G324" s="55">
        <v>103901</v>
      </c>
      <c r="H324" s="55">
        <v>120758</v>
      </c>
      <c r="I324" s="55">
        <v>101826</v>
      </c>
      <c r="J324" s="55">
        <v>116578</v>
      </c>
      <c r="K324" s="55">
        <v>116839</v>
      </c>
      <c r="L324" s="55">
        <v>125591</v>
      </c>
      <c r="M324" s="55">
        <v>99690</v>
      </c>
      <c r="N324" s="55">
        <v>123570</v>
      </c>
      <c r="O324" s="55">
        <v>124571</v>
      </c>
      <c r="P324" s="55">
        <v>157085</v>
      </c>
      <c r="Q324" s="55">
        <v>134217</v>
      </c>
      <c r="R324" s="55">
        <v>143182</v>
      </c>
      <c r="S324" s="111">
        <v>182565</v>
      </c>
      <c r="T324" s="55">
        <v>165305</v>
      </c>
      <c r="U324" s="55">
        <v>135785</v>
      </c>
      <c r="V324" s="55">
        <v>138514</v>
      </c>
      <c r="W324" s="58">
        <v>151053</v>
      </c>
      <c r="X324" s="100">
        <v>1.3321470418070641E-2</v>
      </c>
      <c r="Y324" s="100">
        <v>2.5077206770205418E-3</v>
      </c>
      <c r="Z324" s="100">
        <v>-7.4469120361433383E-3</v>
      </c>
      <c r="AA324" s="100">
        <v>-5.0648617980002197E-2</v>
      </c>
    </row>
    <row r="325" spans="1:27" ht="15" x14ac:dyDescent="0.25">
      <c r="A325" s="4">
        <v>260130</v>
      </c>
      <c r="B325" s="20">
        <v>6080</v>
      </c>
      <c r="C325" s="10" t="s">
        <v>67</v>
      </c>
      <c r="D325" s="37" t="s">
        <v>931</v>
      </c>
      <c r="E325" s="10" t="s">
        <v>821</v>
      </c>
      <c r="F325" s="38">
        <v>-6.4</v>
      </c>
      <c r="G325" s="55">
        <v>5105</v>
      </c>
      <c r="H325" s="55">
        <v>3867</v>
      </c>
      <c r="I325" s="55">
        <v>5183</v>
      </c>
      <c r="J325" s="55">
        <v>6551</v>
      </c>
      <c r="K325" s="55">
        <v>3100</v>
      </c>
      <c r="L325" s="111">
        <v>9903</v>
      </c>
      <c r="M325" s="55">
        <v>2985</v>
      </c>
      <c r="N325" s="55">
        <v>4863</v>
      </c>
      <c r="O325" s="55">
        <v>3156</v>
      </c>
      <c r="P325" s="55">
        <v>4091</v>
      </c>
      <c r="Q325" s="55">
        <v>4269</v>
      </c>
      <c r="R325" s="111">
        <v>7650</v>
      </c>
      <c r="S325" s="111">
        <v>7317</v>
      </c>
      <c r="T325" s="55">
        <v>4149</v>
      </c>
      <c r="U325" s="55">
        <v>4793</v>
      </c>
      <c r="V325" s="55">
        <v>6188</v>
      </c>
      <c r="W325" s="58">
        <v>5876</v>
      </c>
      <c r="X325" s="100">
        <v>2.486389162772662E-3</v>
      </c>
      <c r="Y325" s="100">
        <v>2.2407526192003369E-2</v>
      </c>
      <c r="Z325" s="100">
        <v>-6.1148521477268007E-2</v>
      </c>
      <c r="AA325" s="100">
        <v>-6.4195660890096651E-2</v>
      </c>
    </row>
    <row r="326" spans="1:27" ht="15" x14ac:dyDescent="0.25">
      <c r="A326" s="4">
        <v>260130</v>
      </c>
      <c r="B326" s="20">
        <v>6920</v>
      </c>
      <c r="C326" s="10" t="s">
        <v>67</v>
      </c>
      <c r="D326" s="37" t="s">
        <v>932</v>
      </c>
      <c r="E326" s="10" t="s">
        <v>811</v>
      </c>
      <c r="F326" s="38">
        <v>-6.7</v>
      </c>
      <c r="G326" s="55">
        <v>27819</v>
      </c>
      <c r="H326" s="55">
        <v>16636</v>
      </c>
      <c r="I326" s="55">
        <v>36813</v>
      </c>
      <c r="J326" s="55">
        <v>25723</v>
      </c>
      <c r="K326" s="55">
        <v>29377</v>
      </c>
      <c r="L326" s="55">
        <v>24330</v>
      </c>
      <c r="M326" s="111">
        <v>73402</v>
      </c>
      <c r="N326" s="111">
        <v>47305</v>
      </c>
      <c r="O326" s="111">
        <v>47684</v>
      </c>
      <c r="P326" s="111">
        <v>62213</v>
      </c>
      <c r="Q326" s="55">
        <v>56304</v>
      </c>
      <c r="R326" s="55">
        <v>36737</v>
      </c>
      <c r="S326" s="111">
        <v>92231</v>
      </c>
      <c r="T326" s="55">
        <v>39867</v>
      </c>
      <c r="U326" s="111">
        <v>82642</v>
      </c>
      <c r="V326" s="55">
        <v>54171</v>
      </c>
      <c r="W326" s="58">
        <v>74087</v>
      </c>
      <c r="X326" s="100">
        <v>-9.0292340949956529E-2</v>
      </c>
      <c r="Y326" s="113">
        <v>0.116985506731397</v>
      </c>
      <c r="Z326" s="100">
        <v>6.9326419513514148E-2</v>
      </c>
      <c r="AA326" s="100">
        <v>-6.747213762174098E-2</v>
      </c>
    </row>
    <row r="327" spans="1:27" ht="15" x14ac:dyDescent="0.25">
      <c r="A327" s="4">
        <v>260130</v>
      </c>
      <c r="B327" s="20">
        <v>8871</v>
      </c>
      <c r="C327" s="10" t="s">
        <v>67</v>
      </c>
      <c r="D327" s="37" t="s">
        <v>933</v>
      </c>
      <c r="E327" s="10" t="s">
        <v>817</v>
      </c>
      <c r="F327" s="38">
        <v>-11.5</v>
      </c>
      <c r="G327" s="55">
        <v>20943</v>
      </c>
      <c r="H327" s="55">
        <v>4153</v>
      </c>
      <c r="I327" s="55">
        <v>15029</v>
      </c>
      <c r="J327" s="55">
        <v>4969</v>
      </c>
      <c r="K327" s="55">
        <v>3449</v>
      </c>
      <c r="L327" s="55">
        <v>4006</v>
      </c>
      <c r="M327" s="55">
        <v>2533</v>
      </c>
      <c r="N327" s="55">
        <v>3754</v>
      </c>
      <c r="O327" s="111">
        <v>6496</v>
      </c>
      <c r="P327" s="111">
        <v>12062</v>
      </c>
      <c r="Q327" s="111">
        <v>6741</v>
      </c>
      <c r="R327" s="111">
        <v>6967</v>
      </c>
      <c r="S327" s="111">
        <v>10544</v>
      </c>
      <c r="T327" s="55">
        <v>5042</v>
      </c>
      <c r="U327" s="111">
        <v>10758</v>
      </c>
      <c r="V327" s="55">
        <v>5238</v>
      </c>
      <c r="W327" s="58">
        <v>6917</v>
      </c>
      <c r="X327" s="100">
        <v>-0.1933138734372418</v>
      </c>
      <c r="Y327" s="113">
        <v>0.1371270567351677</v>
      </c>
      <c r="Z327" s="100">
        <v>-5.190477620005407E-2</v>
      </c>
      <c r="AA327" s="100">
        <v>-0.1148438984231525</v>
      </c>
    </row>
    <row r="328" spans="1:27" ht="15" x14ac:dyDescent="0.25">
      <c r="A328" s="4">
        <v>260130</v>
      </c>
      <c r="B328" s="20">
        <v>6104</v>
      </c>
      <c r="C328" s="10" t="s">
        <v>67</v>
      </c>
      <c r="D328" s="37" t="s">
        <v>373</v>
      </c>
      <c r="E328" s="10" t="s">
        <v>817</v>
      </c>
      <c r="F328" s="38">
        <v>-14.2</v>
      </c>
      <c r="G328" s="55">
        <v>24500</v>
      </c>
      <c r="H328" s="55">
        <v>29580</v>
      </c>
      <c r="I328" s="55">
        <v>26484</v>
      </c>
      <c r="J328" s="55">
        <v>32468</v>
      </c>
      <c r="K328" s="55">
        <v>29614</v>
      </c>
      <c r="L328" s="55">
        <v>34631</v>
      </c>
      <c r="M328" s="55">
        <v>34754</v>
      </c>
      <c r="N328" s="111">
        <v>47161</v>
      </c>
      <c r="O328" s="55">
        <v>27633</v>
      </c>
      <c r="P328" s="111">
        <v>51105</v>
      </c>
      <c r="Q328" s="55">
        <v>42374</v>
      </c>
      <c r="R328" s="55">
        <v>44449</v>
      </c>
      <c r="S328" s="111">
        <v>46255</v>
      </c>
      <c r="T328" s="55">
        <v>35113</v>
      </c>
      <c r="U328" s="55">
        <v>30977</v>
      </c>
      <c r="V328" s="55">
        <v>36663</v>
      </c>
      <c r="W328" s="58">
        <v>25079</v>
      </c>
      <c r="X328" s="100">
        <v>-8.682668867376464E-2</v>
      </c>
      <c r="Y328" s="100">
        <v>-6.7762246493569767E-2</v>
      </c>
      <c r="Z328" s="100">
        <v>-4.9657512404811421E-2</v>
      </c>
      <c r="AA328" s="100">
        <v>-0.14211317513153651</v>
      </c>
    </row>
    <row r="329" spans="1:27" ht="15" x14ac:dyDescent="0.25">
      <c r="A329" s="4">
        <v>260130</v>
      </c>
      <c r="B329" s="20">
        <v>3189</v>
      </c>
      <c r="C329" s="10" t="s">
        <v>67</v>
      </c>
      <c r="D329" s="37" t="s">
        <v>934</v>
      </c>
      <c r="E329" s="10" t="s">
        <v>821</v>
      </c>
      <c r="F329" s="38">
        <v>-16.8</v>
      </c>
      <c r="G329" s="55">
        <v>1561</v>
      </c>
      <c r="H329" s="55">
        <v>1439</v>
      </c>
      <c r="I329" s="55">
        <v>1193</v>
      </c>
      <c r="J329" s="55">
        <v>1210</v>
      </c>
      <c r="K329" s="55">
        <v>1236</v>
      </c>
      <c r="L329" s="55">
        <v>1283</v>
      </c>
      <c r="M329" s="55">
        <v>1152</v>
      </c>
      <c r="N329" s="55">
        <v>1393</v>
      </c>
      <c r="O329" s="55">
        <v>1231</v>
      </c>
      <c r="P329" s="55">
        <v>1022</v>
      </c>
      <c r="Q329" s="55">
        <v>1152</v>
      </c>
      <c r="R329" s="55">
        <v>991</v>
      </c>
      <c r="S329" s="55">
        <v>1051</v>
      </c>
      <c r="T329" s="55">
        <v>852</v>
      </c>
      <c r="U329" s="55">
        <v>435</v>
      </c>
      <c r="V329" s="55">
        <v>757</v>
      </c>
      <c r="W329" s="58">
        <v>531</v>
      </c>
      <c r="X329" s="100">
        <v>-4.0322580645161248E-2</v>
      </c>
      <c r="Y329" s="100">
        <v>-0.17721206129510619</v>
      </c>
      <c r="Z329" s="100">
        <v>-7.0291378792430192E-2</v>
      </c>
      <c r="AA329" s="100">
        <v>-0.1680129240710824</v>
      </c>
    </row>
    <row r="330" spans="1:27" ht="15" x14ac:dyDescent="0.25">
      <c r="A330" s="4">
        <v>260130</v>
      </c>
      <c r="B330" s="20">
        <v>8892</v>
      </c>
      <c r="C330" s="10" t="s">
        <v>67</v>
      </c>
      <c r="D330" s="37" t="s">
        <v>935</v>
      </c>
      <c r="E330" s="10" t="s">
        <v>817</v>
      </c>
      <c r="F330" s="38">
        <v>-18.399999999999999</v>
      </c>
      <c r="G330" s="55">
        <v>18640</v>
      </c>
      <c r="H330" s="55">
        <v>35397</v>
      </c>
      <c r="I330" s="55">
        <v>12706</v>
      </c>
      <c r="J330" s="55">
        <v>28170</v>
      </c>
      <c r="K330" s="55">
        <v>9706</v>
      </c>
      <c r="L330" s="111">
        <v>48849</v>
      </c>
      <c r="M330" s="111">
        <v>28541</v>
      </c>
      <c r="N330" s="55">
        <v>19398</v>
      </c>
      <c r="O330" s="55">
        <v>14023</v>
      </c>
      <c r="P330" s="55">
        <v>41284</v>
      </c>
      <c r="Q330" s="55">
        <v>19098</v>
      </c>
      <c r="R330" s="55">
        <v>11938</v>
      </c>
      <c r="S330" s="111">
        <v>49410</v>
      </c>
      <c r="T330" s="55">
        <v>33157</v>
      </c>
      <c r="U330" s="55">
        <v>17581</v>
      </c>
      <c r="V330" s="55">
        <v>17600</v>
      </c>
      <c r="W330" s="58">
        <v>27743</v>
      </c>
      <c r="X330" s="100">
        <v>-6.6762507188039111E-2</v>
      </c>
      <c r="Y330" s="100">
        <v>-1.3353520593646249E-2</v>
      </c>
      <c r="Z330" s="100">
        <v>5.0514783291401237E-2</v>
      </c>
      <c r="AA330" s="100">
        <v>-0.1840116180317288</v>
      </c>
    </row>
    <row r="331" spans="1:27" ht="15" x14ac:dyDescent="0.25">
      <c r="A331" s="4">
        <v>260130</v>
      </c>
      <c r="B331" s="20">
        <v>2782</v>
      </c>
      <c r="C331" s="10" t="s">
        <v>67</v>
      </c>
      <c r="D331" s="37" t="s">
        <v>936</v>
      </c>
      <c r="E331" s="10" t="s">
        <v>817</v>
      </c>
      <c r="F331" s="38">
        <v>-30.4</v>
      </c>
      <c r="G331" s="55">
        <v>52506</v>
      </c>
      <c r="H331" s="55">
        <v>51951</v>
      </c>
      <c r="I331" s="55">
        <v>56241</v>
      </c>
      <c r="J331" s="55">
        <v>51661</v>
      </c>
      <c r="K331" s="55">
        <v>53848</v>
      </c>
      <c r="L331" s="55">
        <v>53280</v>
      </c>
      <c r="M331" s="111">
        <v>166469</v>
      </c>
      <c r="N331" s="111">
        <v>166469</v>
      </c>
      <c r="O331" s="55">
        <v>56733</v>
      </c>
      <c r="P331" s="55">
        <v>58115</v>
      </c>
      <c r="Q331" s="55">
        <v>57784</v>
      </c>
      <c r="R331" s="55">
        <v>178047</v>
      </c>
      <c r="S331" s="111">
        <v>178047</v>
      </c>
      <c r="T331" s="55">
        <v>60214</v>
      </c>
      <c r="U331" s="55">
        <v>60498</v>
      </c>
      <c r="V331" s="55">
        <v>60884</v>
      </c>
      <c r="W331" s="58">
        <v>68716</v>
      </c>
      <c r="X331" s="100">
        <v>4.4470998510570681E-3</v>
      </c>
      <c r="Y331" s="100">
        <v>5.7246272875306481E-3</v>
      </c>
      <c r="Z331" s="100">
        <v>-0.24572467628343611</v>
      </c>
      <c r="AA331" s="100">
        <v>-0.30399868758741311</v>
      </c>
    </row>
    <row r="332" spans="1:27" ht="15" x14ac:dyDescent="0.25">
      <c r="A332" s="4">
        <v>260130</v>
      </c>
      <c r="B332" s="83" t="s">
        <v>937</v>
      </c>
      <c r="C332" s="84" t="s">
        <v>31</v>
      </c>
      <c r="D332" s="114" t="s">
        <v>344</v>
      </c>
      <c r="E332" s="10" t="s">
        <v>817</v>
      </c>
      <c r="F332" s="121">
        <v>9.1999999999999993</v>
      </c>
      <c r="G332" s="10"/>
      <c r="H332" s="55">
        <v>13974</v>
      </c>
      <c r="I332" s="55">
        <v>12359</v>
      </c>
      <c r="J332" s="55">
        <v>13672</v>
      </c>
      <c r="K332" s="55">
        <v>14795</v>
      </c>
      <c r="L332" s="116">
        <v>15165</v>
      </c>
      <c r="M332" s="116">
        <v>15973</v>
      </c>
      <c r="N332" s="116">
        <v>16097</v>
      </c>
      <c r="O332" s="116">
        <v>16335</v>
      </c>
      <c r="P332" s="116">
        <v>17541</v>
      </c>
      <c r="Q332" s="116">
        <v>18081</v>
      </c>
      <c r="R332" s="116">
        <v>18101</v>
      </c>
      <c r="S332" s="116">
        <v>17822</v>
      </c>
      <c r="T332" s="116">
        <v>22178</v>
      </c>
      <c r="U332" s="116">
        <v>20586</v>
      </c>
      <c r="V332" s="116">
        <v>21638</v>
      </c>
      <c r="W332" s="122">
        <v>25359</v>
      </c>
      <c r="X332" s="119">
        <v>6.4812355859948267E-2</v>
      </c>
      <c r="Y332" s="119">
        <v>3.2881783098369637E-2</v>
      </c>
      <c r="Z332" s="119">
        <v>4.4950245911014493E-2</v>
      </c>
      <c r="AA332" s="119">
        <v>9.166423428682613E-2</v>
      </c>
    </row>
    <row r="333" spans="1:27" ht="15" x14ac:dyDescent="0.25">
      <c r="A333" s="4">
        <v>260130</v>
      </c>
      <c r="B333" s="20" t="s">
        <v>938</v>
      </c>
      <c r="C333" s="10" t="s">
        <v>31</v>
      </c>
      <c r="D333" s="37" t="s">
        <v>939</v>
      </c>
      <c r="E333" s="10" t="s">
        <v>817</v>
      </c>
      <c r="F333" s="38">
        <v>5.8</v>
      </c>
      <c r="G333" s="55">
        <v>14449</v>
      </c>
      <c r="H333" s="55">
        <v>16563</v>
      </c>
      <c r="I333" s="55">
        <v>16617</v>
      </c>
      <c r="J333" s="55">
        <v>18270</v>
      </c>
      <c r="K333" s="55">
        <v>16766</v>
      </c>
      <c r="L333" s="55">
        <v>18573</v>
      </c>
      <c r="M333" s="55">
        <v>18530</v>
      </c>
      <c r="N333" s="55">
        <v>20970</v>
      </c>
      <c r="O333" s="55">
        <v>21111</v>
      </c>
      <c r="P333" s="55">
        <v>22129</v>
      </c>
      <c r="Q333" s="55">
        <v>21660</v>
      </c>
      <c r="R333" s="55">
        <v>23230</v>
      </c>
      <c r="S333" s="55">
        <v>22823</v>
      </c>
      <c r="T333" s="55">
        <v>25003</v>
      </c>
      <c r="U333" s="55">
        <v>24808</v>
      </c>
      <c r="V333" s="55">
        <v>27539</v>
      </c>
      <c r="W333" s="58">
        <v>28658</v>
      </c>
      <c r="X333" s="100">
        <v>3.1989492664900698E-2</v>
      </c>
      <c r="Y333" s="100">
        <v>3.3953147245351367E-2</v>
      </c>
      <c r="Z333" s="100">
        <v>4.4949094550613473E-2</v>
      </c>
      <c r="AA333" s="100">
        <v>5.8249228834116977E-2</v>
      </c>
    </row>
    <row r="334" spans="1:27" ht="15" x14ac:dyDescent="0.25">
      <c r="A334" s="4">
        <v>260130</v>
      </c>
      <c r="B334" s="20" t="s">
        <v>56</v>
      </c>
      <c r="C334" s="10" t="s">
        <v>31</v>
      </c>
      <c r="D334" s="37" t="s">
        <v>309</v>
      </c>
      <c r="E334" s="10" t="s">
        <v>817</v>
      </c>
      <c r="F334" s="38">
        <v>4.5999999999999996</v>
      </c>
      <c r="G334" s="55">
        <v>8379</v>
      </c>
      <c r="H334" s="55">
        <v>8703</v>
      </c>
      <c r="I334" s="55">
        <v>9509</v>
      </c>
      <c r="J334" s="55">
        <v>9381</v>
      </c>
      <c r="K334" s="55">
        <v>9718</v>
      </c>
      <c r="L334" s="55">
        <v>8818</v>
      </c>
      <c r="M334" s="55">
        <v>10210</v>
      </c>
      <c r="N334" s="55">
        <v>10284</v>
      </c>
      <c r="O334" s="55">
        <v>11052</v>
      </c>
      <c r="P334" s="55">
        <v>10541</v>
      </c>
      <c r="Q334" s="55">
        <v>11449</v>
      </c>
      <c r="R334" s="55">
        <v>11866</v>
      </c>
      <c r="S334" s="55">
        <v>11461</v>
      </c>
      <c r="T334" s="55">
        <v>11704</v>
      </c>
      <c r="U334" s="55">
        <v>13027</v>
      </c>
      <c r="V334" s="55">
        <v>13537</v>
      </c>
      <c r="W334" s="58">
        <v>13748</v>
      </c>
      <c r="X334" s="100">
        <v>2.5663658229803321E-2</v>
      </c>
      <c r="Y334" s="100">
        <v>3.3950086058519791E-2</v>
      </c>
      <c r="Z334" s="100">
        <v>3.4770485663156991E-2</v>
      </c>
      <c r="AA334" s="100">
        <v>4.5989261798950347E-2</v>
      </c>
    </row>
    <row r="335" spans="1:27" ht="15" x14ac:dyDescent="0.25">
      <c r="A335" s="4">
        <v>260130</v>
      </c>
      <c r="B335" s="20" t="s">
        <v>940</v>
      </c>
      <c r="C335" s="10" t="s">
        <v>31</v>
      </c>
      <c r="D335" s="37" t="s">
        <v>941</v>
      </c>
      <c r="E335" s="10" t="s">
        <v>817</v>
      </c>
      <c r="F335" s="38">
        <v>4.4000000000000004</v>
      </c>
      <c r="G335" s="55">
        <v>5083</v>
      </c>
      <c r="H335" s="55">
        <v>5094</v>
      </c>
      <c r="I335" s="55">
        <v>5413</v>
      </c>
      <c r="J335" s="55">
        <v>5275</v>
      </c>
      <c r="K335" s="55">
        <v>5469</v>
      </c>
      <c r="L335" s="55">
        <v>6155</v>
      </c>
      <c r="M335" s="55">
        <v>6394</v>
      </c>
      <c r="N335" s="55">
        <v>6190</v>
      </c>
      <c r="O335" s="55">
        <v>6343</v>
      </c>
      <c r="P335" s="55">
        <v>6137</v>
      </c>
      <c r="Q335" s="55">
        <v>6063</v>
      </c>
      <c r="R335" s="55">
        <v>5581</v>
      </c>
      <c r="S335" s="55">
        <v>6096</v>
      </c>
      <c r="T335" s="55">
        <v>7259</v>
      </c>
      <c r="U335" s="55">
        <v>7017</v>
      </c>
      <c r="V335" s="55">
        <v>7581</v>
      </c>
      <c r="W335" s="58">
        <v>7314</v>
      </c>
      <c r="X335" s="100">
        <v>4.6990827993466537E-2</v>
      </c>
      <c r="Y335" s="100">
        <v>3.8161526461058408E-2</v>
      </c>
      <c r="Z335" s="100">
        <v>7.7062381998227458E-2</v>
      </c>
      <c r="AA335" s="100">
        <v>4.3573140628912821E-2</v>
      </c>
    </row>
    <row r="336" spans="1:27" ht="15" x14ac:dyDescent="0.25">
      <c r="A336" s="4">
        <v>260130</v>
      </c>
      <c r="B336" s="20" t="s">
        <v>942</v>
      </c>
      <c r="C336" s="10" t="s">
        <v>31</v>
      </c>
      <c r="D336" s="37" t="s">
        <v>943</v>
      </c>
      <c r="E336" s="10" t="s">
        <v>811</v>
      </c>
      <c r="F336" s="38">
        <v>4</v>
      </c>
      <c r="G336" s="55">
        <v>9019</v>
      </c>
      <c r="H336" s="55">
        <v>14014</v>
      </c>
      <c r="I336" s="55">
        <v>14062</v>
      </c>
      <c r="J336" s="55">
        <v>18204</v>
      </c>
      <c r="K336" s="55">
        <v>13854</v>
      </c>
      <c r="L336" s="55">
        <v>12011</v>
      </c>
      <c r="M336" s="55">
        <v>13799</v>
      </c>
      <c r="N336" s="55">
        <v>17078</v>
      </c>
      <c r="O336" s="55">
        <v>13498</v>
      </c>
      <c r="P336" s="111">
        <v>21903</v>
      </c>
      <c r="Q336" s="55">
        <v>15148</v>
      </c>
      <c r="R336" s="55">
        <v>17547</v>
      </c>
      <c r="S336" s="55">
        <v>12264</v>
      </c>
      <c r="T336" s="55">
        <v>11402</v>
      </c>
      <c r="U336" s="55">
        <v>13409</v>
      </c>
      <c r="V336" s="55">
        <v>15832</v>
      </c>
      <c r="W336" s="58">
        <v>14383</v>
      </c>
      <c r="X336" s="100">
        <v>-0.1570548293500045</v>
      </c>
      <c r="Y336" s="100">
        <v>-3.0854669008711699E-2</v>
      </c>
      <c r="Z336" s="100">
        <v>-3.1397605360477421E-2</v>
      </c>
      <c r="AA336" s="100">
        <v>4.0051410966412737E-2</v>
      </c>
    </row>
    <row r="337" spans="1:27" ht="15" x14ac:dyDescent="0.25">
      <c r="A337" s="4">
        <v>260130</v>
      </c>
      <c r="B337" s="20" t="s">
        <v>944</v>
      </c>
      <c r="C337" s="10" t="s">
        <v>31</v>
      </c>
      <c r="D337" s="37" t="s">
        <v>945</v>
      </c>
      <c r="E337" s="10" t="s">
        <v>811</v>
      </c>
      <c r="F337" s="38">
        <v>4</v>
      </c>
      <c r="G337" s="55">
        <v>1642</v>
      </c>
      <c r="H337" s="55">
        <v>2111</v>
      </c>
      <c r="I337" s="55">
        <v>2613</v>
      </c>
      <c r="J337" s="55">
        <v>2658</v>
      </c>
      <c r="K337" s="111">
        <v>2658</v>
      </c>
      <c r="L337" s="111">
        <v>3395</v>
      </c>
      <c r="M337" s="55">
        <v>3395</v>
      </c>
      <c r="N337" s="55">
        <v>3263</v>
      </c>
      <c r="O337" s="55">
        <v>3739</v>
      </c>
      <c r="P337" s="55">
        <v>4102</v>
      </c>
      <c r="Q337" s="55">
        <v>4493</v>
      </c>
      <c r="R337" s="55">
        <v>4175</v>
      </c>
      <c r="S337" s="55">
        <v>4658</v>
      </c>
      <c r="T337" s="55">
        <v>4821</v>
      </c>
      <c r="U337" s="55">
        <v>5284</v>
      </c>
      <c r="V337" s="55">
        <v>4927</v>
      </c>
      <c r="W337" s="58">
        <v>5445</v>
      </c>
      <c r="X337" s="100">
        <v>4.1255450998393339E-2</v>
      </c>
      <c r="Y337" s="100">
        <v>4.3588471923734051E-2</v>
      </c>
      <c r="Z337" s="100">
        <v>3.9708522547259539E-2</v>
      </c>
      <c r="AA337" s="100">
        <v>3.9969527679024841E-2</v>
      </c>
    </row>
    <row r="338" spans="1:27" ht="15" x14ac:dyDescent="0.25">
      <c r="A338" s="4">
        <v>260130</v>
      </c>
      <c r="B338" s="20" t="s">
        <v>946</v>
      </c>
      <c r="C338" s="10" t="s">
        <v>31</v>
      </c>
      <c r="D338" s="37" t="s">
        <v>947</v>
      </c>
      <c r="E338" s="10" t="s">
        <v>817</v>
      </c>
      <c r="F338" s="38">
        <v>3.9</v>
      </c>
      <c r="G338" s="55">
        <v>9335</v>
      </c>
      <c r="H338" s="55">
        <v>9659</v>
      </c>
      <c r="I338" s="55">
        <v>9937</v>
      </c>
      <c r="J338" s="55">
        <v>11206</v>
      </c>
      <c r="K338" s="55">
        <v>11903</v>
      </c>
      <c r="L338" s="55">
        <v>12530</v>
      </c>
      <c r="M338" s="55">
        <v>12843</v>
      </c>
      <c r="N338" s="55">
        <v>14086</v>
      </c>
      <c r="O338" s="55">
        <v>14415</v>
      </c>
      <c r="P338" s="55">
        <v>14905</v>
      </c>
      <c r="Q338" s="55">
        <v>14888</v>
      </c>
      <c r="R338" s="55">
        <v>15762</v>
      </c>
      <c r="S338" s="55">
        <v>15614</v>
      </c>
      <c r="T338" s="55">
        <v>15096</v>
      </c>
      <c r="U338" s="55">
        <v>15426</v>
      </c>
      <c r="V338" s="55">
        <v>16793</v>
      </c>
      <c r="W338" s="58">
        <v>18061</v>
      </c>
      <c r="X338" s="100">
        <v>3.1224966894995991E-3</v>
      </c>
      <c r="Y338" s="100">
        <v>8.767926988265895E-3</v>
      </c>
      <c r="Z338" s="100">
        <v>1.665643477979906E-2</v>
      </c>
      <c r="AA338" s="100">
        <v>3.8885092723545567E-2</v>
      </c>
    </row>
    <row r="339" spans="1:27" ht="15" x14ac:dyDescent="0.25">
      <c r="A339" s="4">
        <v>260130</v>
      </c>
      <c r="B339" s="20" t="s">
        <v>948</v>
      </c>
      <c r="C339" s="10" t="s">
        <v>31</v>
      </c>
      <c r="D339" s="37" t="s">
        <v>949</v>
      </c>
      <c r="E339" s="10" t="s">
        <v>817</v>
      </c>
      <c r="F339" s="38">
        <v>3.4</v>
      </c>
      <c r="G339" s="55">
        <v>98631</v>
      </c>
      <c r="H339" s="55">
        <v>94468</v>
      </c>
      <c r="I339" s="55">
        <v>107618</v>
      </c>
      <c r="J339" s="55">
        <v>109523</v>
      </c>
      <c r="K339" s="55">
        <v>112410</v>
      </c>
      <c r="L339" s="55">
        <v>109307</v>
      </c>
      <c r="M339" s="55">
        <v>119408</v>
      </c>
      <c r="N339" s="55">
        <v>121924</v>
      </c>
      <c r="O339" s="55">
        <v>123807</v>
      </c>
      <c r="P339" s="55">
        <v>119829</v>
      </c>
      <c r="Q339" s="55">
        <v>126528</v>
      </c>
      <c r="R339" s="55">
        <v>132914</v>
      </c>
      <c r="S339" s="55">
        <v>136755</v>
      </c>
      <c r="T339" s="55">
        <v>129588</v>
      </c>
      <c r="U339" s="55">
        <v>138514</v>
      </c>
      <c r="V339" s="55">
        <v>144783</v>
      </c>
      <c r="W339" s="58">
        <v>155205</v>
      </c>
      <c r="X339" s="100">
        <v>1.8911837775615888E-2</v>
      </c>
      <c r="Y339" s="100">
        <v>2.279639015947588E-2</v>
      </c>
      <c r="Z339" s="100">
        <v>2.2070732709647881E-2</v>
      </c>
      <c r="AA339" s="100">
        <v>3.3567425951531948E-2</v>
      </c>
    </row>
    <row r="340" spans="1:27" ht="15" x14ac:dyDescent="0.25">
      <c r="A340" s="4">
        <v>260130</v>
      </c>
      <c r="B340" s="20" t="s">
        <v>950</v>
      </c>
      <c r="C340" s="10" t="s">
        <v>31</v>
      </c>
      <c r="D340" s="37" t="s">
        <v>951</v>
      </c>
      <c r="E340" s="10" t="s">
        <v>817</v>
      </c>
      <c r="F340" s="38">
        <v>3.1</v>
      </c>
      <c r="G340" s="55">
        <v>26496</v>
      </c>
      <c r="H340" s="55">
        <v>27278</v>
      </c>
      <c r="I340" s="55">
        <v>26621</v>
      </c>
      <c r="J340" s="55">
        <v>28163</v>
      </c>
      <c r="K340" s="55">
        <v>31921</v>
      </c>
      <c r="L340" s="55">
        <v>0</v>
      </c>
      <c r="M340" s="55">
        <v>32154</v>
      </c>
      <c r="N340" s="55">
        <v>33166</v>
      </c>
      <c r="O340" s="55">
        <v>37106</v>
      </c>
      <c r="P340" s="55">
        <v>0</v>
      </c>
      <c r="Q340" s="55">
        <v>10019</v>
      </c>
      <c r="R340" s="55">
        <v>10864</v>
      </c>
      <c r="S340" s="55">
        <v>10498</v>
      </c>
      <c r="T340" s="111">
        <v>10003</v>
      </c>
      <c r="U340" s="55">
        <v>10779</v>
      </c>
      <c r="V340" s="55">
        <v>11972</v>
      </c>
      <c r="W340" s="58">
        <v>11858</v>
      </c>
      <c r="X340" s="113">
        <v>0.31875975908989518</v>
      </c>
      <c r="Y340" s="100">
        <v>1.836458534699403E-2</v>
      </c>
      <c r="Z340" s="100">
        <v>2.629081245254361E-2</v>
      </c>
      <c r="AA340" s="100">
        <v>3.1443632664385428E-2</v>
      </c>
    </row>
    <row r="341" spans="1:27" ht="15" x14ac:dyDescent="0.25">
      <c r="A341" s="4">
        <v>260130</v>
      </c>
      <c r="B341" s="20" t="s">
        <v>952</v>
      </c>
      <c r="C341" s="10" t="s">
        <v>31</v>
      </c>
      <c r="D341" s="37" t="s">
        <v>953</v>
      </c>
      <c r="E341" s="10" t="s">
        <v>817</v>
      </c>
      <c r="F341" s="38">
        <v>2.9</v>
      </c>
      <c r="G341" s="55">
        <v>94626</v>
      </c>
      <c r="H341" s="55">
        <v>85666</v>
      </c>
      <c r="I341" s="55">
        <v>85774</v>
      </c>
      <c r="J341" s="55">
        <v>115793</v>
      </c>
      <c r="K341" s="55">
        <v>105488</v>
      </c>
      <c r="L341" s="55">
        <v>102627</v>
      </c>
      <c r="M341" s="55">
        <v>98889</v>
      </c>
      <c r="N341" s="55">
        <v>105568</v>
      </c>
      <c r="O341" s="55">
        <v>113564</v>
      </c>
      <c r="P341" s="55">
        <v>113262</v>
      </c>
      <c r="Q341" s="55">
        <v>104179</v>
      </c>
      <c r="R341" s="55">
        <v>107770</v>
      </c>
      <c r="S341" s="55">
        <v>107058</v>
      </c>
      <c r="T341" s="55">
        <v>110260</v>
      </c>
      <c r="U341" s="55">
        <v>117190</v>
      </c>
      <c r="V341" s="55">
        <v>134433</v>
      </c>
      <c r="W341" s="58">
        <v>120629</v>
      </c>
      <c r="X341" s="100">
        <v>-6.9447496813327403E-3</v>
      </c>
      <c r="Y341" s="100">
        <v>3.030980718294218E-2</v>
      </c>
      <c r="Z341" s="100">
        <v>6.028561221675055E-2</v>
      </c>
      <c r="AA341" s="100">
        <v>2.8939674713876599E-2</v>
      </c>
    </row>
    <row r="342" spans="1:27" ht="15" x14ac:dyDescent="0.25">
      <c r="A342" s="4">
        <v>260130</v>
      </c>
      <c r="B342" s="20" t="s">
        <v>954</v>
      </c>
      <c r="C342" s="10" t="s">
        <v>31</v>
      </c>
      <c r="D342" s="37" t="s">
        <v>955</v>
      </c>
      <c r="E342" s="10" t="s">
        <v>817</v>
      </c>
      <c r="F342" s="38">
        <v>2.6</v>
      </c>
      <c r="G342" s="55">
        <v>125249</v>
      </c>
      <c r="H342" s="55">
        <v>143395</v>
      </c>
      <c r="I342" s="55">
        <v>130454</v>
      </c>
      <c r="J342" s="55">
        <v>135214</v>
      </c>
      <c r="K342" s="55">
        <v>124524</v>
      </c>
      <c r="L342" s="55">
        <v>136919</v>
      </c>
      <c r="M342" s="55">
        <v>125883</v>
      </c>
      <c r="N342" s="55">
        <v>122502</v>
      </c>
      <c r="O342" s="55">
        <v>117013</v>
      </c>
      <c r="P342" s="55">
        <v>134870</v>
      </c>
      <c r="Q342" s="55">
        <v>136178</v>
      </c>
      <c r="R342" s="55">
        <v>112133</v>
      </c>
      <c r="S342" s="55">
        <v>117507</v>
      </c>
      <c r="T342" s="55">
        <v>131832</v>
      </c>
      <c r="U342" s="55">
        <v>122945</v>
      </c>
      <c r="V342" s="55">
        <v>116859</v>
      </c>
      <c r="W342" s="58">
        <v>130266</v>
      </c>
      <c r="X342" s="100">
        <v>-6.0676509123446243E-3</v>
      </c>
      <c r="Y342" s="100">
        <v>-2.659097759469509E-2</v>
      </c>
      <c r="Z342" s="100">
        <v>9.7560572812267488E-3</v>
      </c>
      <c r="AA342" s="100">
        <v>2.6084396587501061E-2</v>
      </c>
    </row>
    <row r="343" spans="1:27" ht="15" x14ac:dyDescent="0.25">
      <c r="A343" s="4">
        <v>260130</v>
      </c>
      <c r="B343" s="20" t="s">
        <v>956</v>
      </c>
      <c r="C343" s="10" t="s">
        <v>31</v>
      </c>
      <c r="D343" s="37" t="s">
        <v>957</v>
      </c>
      <c r="E343" s="10" t="s">
        <v>817</v>
      </c>
      <c r="F343" s="38">
        <v>2.5</v>
      </c>
      <c r="G343" s="55">
        <v>104469</v>
      </c>
      <c r="H343" s="55">
        <v>106913</v>
      </c>
      <c r="I343" s="55">
        <v>109052</v>
      </c>
      <c r="J343" s="55">
        <v>111506</v>
      </c>
      <c r="K343" s="55">
        <v>112618</v>
      </c>
      <c r="L343" s="55">
        <v>122856</v>
      </c>
      <c r="M343" s="55">
        <v>110481</v>
      </c>
      <c r="N343" s="55">
        <v>112671</v>
      </c>
      <c r="O343" s="55">
        <v>115498</v>
      </c>
      <c r="P343" s="55">
        <v>119781</v>
      </c>
      <c r="Q343" s="55">
        <v>110062</v>
      </c>
      <c r="R343" s="55">
        <v>112778</v>
      </c>
      <c r="S343" s="55">
        <v>112330</v>
      </c>
      <c r="T343" s="55">
        <v>122754</v>
      </c>
      <c r="U343" s="55">
        <v>111962</v>
      </c>
      <c r="V343" s="55">
        <v>114760</v>
      </c>
      <c r="W343" s="58">
        <v>123951</v>
      </c>
      <c r="X343" s="100">
        <v>6.5347696784927578E-3</v>
      </c>
      <c r="Y343" s="100">
        <v>4.1491601226404384E-3</v>
      </c>
      <c r="Z343" s="100">
        <v>4.3103448275862988E-3</v>
      </c>
      <c r="AA343" s="100">
        <v>2.51642464584696E-2</v>
      </c>
    </row>
    <row r="344" spans="1:27" ht="15" x14ac:dyDescent="0.25">
      <c r="A344" s="4">
        <v>260130</v>
      </c>
      <c r="B344" s="20" t="s">
        <v>958</v>
      </c>
      <c r="C344" s="10" t="s">
        <v>31</v>
      </c>
      <c r="D344" s="37" t="s">
        <v>959</v>
      </c>
      <c r="E344" s="10" t="s">
        <v>817</v>
      </c>
      <c r="F344" s="38">
        <v>2.4</v>
      </c>
      <c r="G344" s="55">
        <v>4969</v>
      </c>
      <c r="H344" s="55">
        <v>4855</v>
      </c>
      <c r="I344" s="55">
        <v>5027</v>
      </c>
      <c r="J344" s="55">
        <v>5338</v>
      </c>
      <c r="K344" s="55">
        <v>4894</v>
      </c>
      <c r="L344" s="55">
        <v>4910</v>
      </c>
      <c r="M344" s="55">
        <v>5410</v>
      </c>
      <c r="N344" s="55">
        <v>6013</v>
      </c>
      <c r="O344" s="55">
        <v>5389</v>
      </c>
      <c r="P344" s="55">
        <v>5454</v>
      </c>
      <c r="Q344" s="55">
        <v>6019</v>
      </c>
      <c r="R344" s="55">
        <v>6602</v>
      </c>
      <c r="S344" s="55">
        <v>5967</v>
      </c>
      <c r="T344" s="55">
        <v>6026</v>
      </c>
      <c r="U344" s="55">
        <v>6698</v>
      </c>
      <c r="V344" s="55">
        <v>7306</v>
      </c>
      <c r="W344" s="58">
        <v>6598</v>
      </c>
      <c r="X344" s="100">
        <v>2.379169786207469E-2</v>
      </c>
      <c r="Y344" s="100">
        <v>2.758592670837734E-2</v>
      </c>
      <c r="Z344" s="100">
        <v>2.783378800458625E-2</v>
      </c>
      <c r="AA344" s="100">
        <v>2.4272031388237188E-2</v>
      </c>
    </row>
    <row r="345" spans="1:27" ht="15" x14ac:dyDescent="0.25">
      <c r="A345" s="4">
        <v>260130</v>
      </c>
      <c r="B345" s="20" t="s">
        <v>960</v>
      </c>
      <c r="C345" s="10" t="s">
        <v>31</v>
      </c>
      <c r="D345" s="37" t="s">
        <v>961</v>
      </c>
      <c r="E345" s="10" t="s">
        <v>817</v>
      </c>
      <c r="F345" s="38">
        <v>1.1000000000000001</v>
      </c>
      <c r="G345" s="55">
        <v>95847</v>
      </c>
      <c r="H345" s="55">
        <v>81998</v>
      </c>
      <c r="I345" s="55">
        <v>96699</v>
      </c>
      <c r="J345" s="55">
        <v>123088</v>
      </c>
      <c r="K345" s="111">
        <v>136511</v>
      </c>
      <c r="L345" s="111">
        <v>155792</v>
      </c>
      <c r="M345" s="55">
        <v>139794</v>
      </c>
      <c r="N345" s="55">
        <v>144532</v>
      </c>
      <c r="O345" s="55">
        <v>151794</v>
      </c>
      <c r="P345" s="55">
        <v>165242</v>
      </c>
      <c r="Q345" s="55">
        <v>147767</v>
      </c>
      <c r="R345" s="55">
        <v>164162</v>
      </c>
      <c r="S345" s="55">
        <v>160924</v>
      </c>
      <c r="T345" s="55">
        <v>170545</v>
      </c>
      <c r="U345" s="55">
        <v>146817</v>
      </c>
      <c r="V345" s="55">
        <v>164449</v>
      </c>
      <c r="W345" s="58">
        <v>167851</v>
      </c>
      <c r="X345" s="100">
        <v>8.3106747427890149E-3</v>
      </c>
      <c r="Y345" s="100">
        <v>-1.4765355192275511E-3</v>
      </c>
      <c r="Z345" s="100">
        <v>4.4672876248341709E-4</v>
      </c>
      <c r="AA345" s="100">
        <v>1.0777381035730119E-2</v>
      </c>
    </row>
    <row r="346" spans="1:27" ht="15" x14ac:dyDescent="0.25">
      <c r="A346" s="4">
        <v>260130</v>
      </c>
      <c r="B346" s="20" t="s">
        <v>962</v>
      </c>
      <c r="C346" s="10" t="s">
        <v>31</v>
      </c>
      <c r="D346" s="37" t="s">
        <v>963</v>
      </c>
      <c r="E346" s="10" t="s">
        <v>817</v>
      </c>
      <c r="F346" s="38">
        <v>0.4</v>
      </c>
      <c r="G346" s="55">
        <v>37733</v>
      </c>
      <c r="H346" s="55">
        <v>43746</v>
      </c>
      <c r="I346" s="55">
        <v>37833</v>
      </c>
      <c r="J346" s="55">
        <v>34896</v>
      </c>
      <c r="K346" s="55">
        <v>32900</v>
      </c>
      <c r="L346" s="55">
        <v>36940</v>
      </c>
      <c r="M346" s="55">
        <v>31784</v>
      </c>
      <c r="N346" s="55">
        <v>30434</v>
      </c>
      <c r="O346" s="55">
        <v>33469</v>
      </c>
      <c r="P346" s="55">
        <v>35805</v>
      </c>
      <c r="Q346" s="55">
        <v>28561</v>
      </c>
      <c r="R346" s="55">
        <v>40015</v>
      </c>
      <c r="S346" s="55">
        <v>46622</v>
      </c>
      <c r="T346" s="111">
        <v>52678</v>
      </c>
      <c r="U346" s="55">
        <v>38069</v>
      </c>
      <c r="V346" s="55">
        <v>42923</v>
      </c>
      <c r="W346" s="58">
        <v>47310</v>
      </c>
      <c r="X346" s="113">
        <v>0.1117395018642013</v>
      </c>
      <c r="Y346" s="100">
        <v>5.6637041625962059E-2</v>
      </c>
      <c r="Z346" s="100">
        <v>1.6393812294231761E-2</v>
      </c>
      <c r="AA346" s="100">
        <v>3.8160317706830149E-3</v>
      </c>
    </row>
    <row r="347" spans="1:27" ht="15" x14ac:dyDescent="0.25">
      <c r="A347" s="4">
        <v>260130</v>
      </c>
      <c r="B347" s="20" t="s">
        <v>964</v>
      </c>
      <c r="C347" s="10" t="s">
        <v>31</v>
      </c>
      <c r="D347" s="37" t="s">
        <v>965</v>
      </c>
      <c r="E347" s="10" t="s">
        <v>817</v>
      </c>
      <c r="F347" s="38">
        <v>0.2</v>
      </c>
      <c r="G347" s="55">
        <v>12141</v>
      </c>
      <c r="H347" s="55">
        <v>21036</v>
      </c>
      <c r="I347" s="55">
        <v>22355</v>
      </c>
      <c r="J347" s="55">
        <v>21505</v>
      </c>
      <c r="K347" s="111">
        <v>20867</v>
      </c>
      <c r="L347" s="55">
        <v>21545</v>
      </c>
      <c r="M347" s="55">
        <v>21005</v>
      </c>
      <c r="N347" s="55">
        <v>12349</v>
      </c>
      <c r="O347" s="55">
        <v>18734</v>
      </c>
      <c r="P347" s="55">
        <v>18372</v>
      </c>
      <c r="Q347" s="55">
        <v>16013</v>
      </c>
      <c r="R347" s="55">
        <v>17504</v>
      </c>
      <c r="S347" s="55">
        <v>17070</v>
      </c>
      <c r="T347" s="55">
        <v>17050</v>
      </c>
      <c r="U347" s="55">
        <v>17194</v>
      </c>
      <c r="V347" s="55">
        <v>22940</v>
      </c>
      <c r="W347" s="58">
        <v>17254</v>
      </c>
      <c r="X347" s="100">
        <v>-1.9170811641700088E-2</v>
      </c>
      <c r="Y347" s="100">
        <v>1.7460857223117628E-2</v>
      </c>
      <c r="Z347" s="100">
        <v>7.8990961667005699E-2</v>
      </c>
      <c r="AA347" s="100">
        <v>2.477980984189498E-3</v>
      </c>
    </row>
    <row r="348" spans="1:27" ht="15" x14ac:dyDescent="0.25">
      <c r="A348" s="4">
        <v>260130</v>
      </c>
      <c r="B348" s="20" t="s">
        <v>966</v>
      </c>
      <c r="C348" s="10" t="s">
        <v>31</v>
      </c>
      <c r="D348" s="37" t="s">
        <v>967</v>
      </c>
      <c r="E348" s="10" t="s">
        <v>817</v>
      </c>
      <c r="F348" s="38">
        <v>0</v>
      </c>
      <c r="G348" s="55">
        <v>8481</v>
      </c>
      <c r="H348" s="55">
        <v>10933</v>
      </c>
      <c r="I348" s="55">
        <v>10797</v>
      </c>
      <c r="J348" s="55">
        <v>13287</v>
      </c>
      <c r="K348" s="55">
        <v>12269</v>
      </c>
      <c r="L348" s="55">
        <v>12736</v>
      </c>
      <c r="M348" s="55">
        <v>12396</v>
      </c>
      <c r="N348" s="55">
        <v>12948</v>
      </c>
      <c r="O348" s="55">
        <v>11692</v>
      </c>
      <c r="P348" s="55">
        <v>11502</v>
      </c>
      <c r="Q348" s="55">
        <v>10200</v>
      </c>
      <c r="R348" s="55">
        <v>10442</v>
      </c>
      <c r="S348" s="55">
        <v>10662</v>
      </c>
      <c r="T348" s="55">
        <v>11570</v>
      </c>
      <c r="U348" s="55">
        <v>10389</v>
      </c>
      <c r="V348" s="55">
        <v>10478</v>
      </c>
      <c r="W348" s="58">
        <v>10669</v>
      </c>
      <c r="X348" s="100">
        <v>1.5885623510722979E-3</v>
      </c>
      <c r="Y348" s="100">
        <v>4.408266082007728E-3</v>
      </c>
      <c r="Z348" s="100">
        <v>8.3598448784338864E-4</v>
      </c>
      <c r="AA348" s="100">
        <v>1.6241676140982259E-4</v>
      </c>
    </row>
    <row r="349" spans="1:27" ht="15" x14ac:dyDescent="0.25">
      <c r="A349" s="4">
        <v>260130</v>
      </c>
      <c r="B349" s="20" t="s">
        <v>968</v>
      </c>
      <c r="C349" s="10" t="s">
        <v>31</v>
      </c>
      <c r="D349" s="37" t="s">
        <v>969</v>
      </c>
      <c r="E349" s="10" t="s">
        <v>817</v>
      </c>
      <c r="F349" s="38">
        <v>-0.5</v>
      </c>
      <c r="G349" s="55">
        <v>15186</v>
      </c>
      <c r="H349" s="55">
        <v>-1824</v>
      </c>
      <c r="I349" s="55">
        <v>16569</v>
      </c>
      <c r="J349" s="55">
        <v>12105</v>
      </c>
      <c r="K349" s="55">
        <v>16581</v>
      </c>
      <c r="L349" s="55">
        <v>1207</v>
      </c>
      <c r="M349" s="55">
        <v>19052</v>
      </c>
      <c r="N349" s="111">
        <v>17463</v>
      </c>
      <c r="O349" s="55">
        <v>17224</v>
      </c>
      <c r="P349" s="111">
        <v>18927</v>
      </c>
      <c r="Q349" s="55">
        <v>19044</v>
      </c>
      <c r="R349" s="55">
        <v>19824</v>
      </c>
      <c r="S349" s="55">
        <v>21636</v>
      </c>
      <c r="T349" s="55">
        <v>22714</v>
      </c>
      <c r="U349" s="55">
        <v>20113</v>
      </c>
      <c r="V349" s="55">
        <v>20175</v>
      </c>
      <c r="W349" s="58">
        <v>21198</v>
      </c>
      <c r="X349" s="100">
        <v>4.7676599816192773E-2</v>
      </c>
      <c r="Y349" s="100">
        <v>1.2845778557523561E-2</v>
      </c>
      <c r="Z349" s="100">
        <v>4.1643432557807447E-3</v>
      </c>
      <c r="AA349" s="100">
        <v>-5.1749805052104803E-3</v>
      </c>
    </row>
    <row r="350" spans="1:27" ht="15" x14ac:dyDescent="0.25">
      <c r="A350" s="4">
        <v>260130</v>
      </c>
      <c r="B350" s="20" t="s">
        <v>970</v>
      </c>
      <c r="C350" s="10" t="s">
        <v>31</v>
      </c>
      <c r="D350" s="37" t="s">
        <v>971</v>
      </c>
      <c r="E350" s="10" t="s">
        <v>817</v>
      </c>
      <c r="F350" s="38">
        <v>-1.1000000000000001</v>
      </c>
      <c r="G350" s="55">
        <v>1808</v>
      </c>
      <c r="H350" s="55">
        <v>2046</v>
      </c>
      <c r="I350" s="55">
        <v>2341</v>
      </c>
      <c r="J350" s="55">
        <v>2475</v>
      </c>
      <c r="K350" s="55">
        <v>2374</v>
      </c>
      <c r="L350" s="55">
        <v>2169</v>
      </c>
      <c r="M350" s="55">
        <v>1881</v>
      </c>
      <c r="N350" s="55">
        <v>1811</v>
      </c>
      <c r="O350" s="55">
        <v>1947</v>
      </c>
      <c r="P350" s="55">
        <v>2275</v>
      </c>
      <c r="Q350" s="55">
        <v>2240</v>
      </c>
      <c r="R350" s="55">
        <v>2381</v>
      </c>
      <c r="S350" s="55">
        <v>2408</v>
      </c>
      <c r="T350" s="55">
        <v>2637</v>
      </c>
      <c r="U350" s="55">
        <v>2429</v>
      </c>
      <c r="V350" s="55">
        <v>2446</v>
      </c>
      <c r="W350" s="58">
        <v>2295</v>
      </c>
      <c r="X350" s="100">
        <v>3.8907996560619162E-2</v>
      </c>
      <c r="Y350" s="100">
        <v>1.9553072625698279E-2</v>
      </c>
      <c r="Z350" s="100">
        <v>6.5956367326229781E-3</v>
      </c>
      <c r="AA350" s="100">
        <v>-1.1391129032258029E-2</v>
      </c>
    </row>
    <row r="351" spans="1:27" ht="15" x14ac:dyDescent="0.25">
      <c r="A351" s="4">
        <v>260130</v>
      </c>
      <c r="B351" s="20" t="s">
        <v>972</v>
      </c>
      <c r="C351" s="10" t="s">
        <v>31</v>
      </c>
      <c r="D351" s="37" t="s">
        <v>973</v>
      </c>
      <c r="E351" s="10" t="s">
        <v>817</v>
      </c>
      <c r="F351" s="38">
        <v>-2.5</v>
      </c>
      <c r="G351" s="55">
        <v>10053</v>
      </c>
      <c r="H351" s="55">
        <v>15934</v>
      </c>
      <c r="I351" s="55">
        <v>11898</v>
      </c>
      <c r="J351" s="55">
        <v>9411</v>
      </c>
      <c r="K351" s="55">
        <v>11248</v>
      </c>
      <c r="L351" s="55">
        <v>11411</v>
      </c>
      <c r="M351" s="55">
        <v>11792</v>
      </c>
      <c r="N351" s="55">
        <v>8832</v>
      </c>
      <c r="O351" s="55">
        <v>10197</v>
      </c>
      <c r="P351" s="55">
        <v>12354</v>
      </c>
      <c r="Q351" s="55">
        <v>11405</v>
      </c>
      <c r="R351" s="55">
        <v>8284</v>
      </c>
      <c r="S351" s="55">
        <v>10012</v>
      </c>
      <c r="T351" s="55">
        <v>11718</v>
      </c>
      <c r="U351" s="55">
        <v>10432</v>
      </c>
      <c r="V351" s="55">
        <v>8587</v>
      </c>
      <c r="W351" s="58">
        <v>8977</v>
      </c>
      <c r="X351" s="100">
        <v>-1.5123053144691419E-2</v>
      </c>
      <c r="Y351" s="100">
        <v>-2.3491634274125369E-2</v>
      </c>
      <c r="Z351" s="100">
        <v>7.4914701082924307E-3</v>
      </c>
      <c r="AA351" s="100">
        <v>-2.539939630420374E-2</v>
      </c>
    </row>
    <row r="352" spans="1:27" ht="15" x14ac:dyDescent="0.25">
      <c r="A352" s="101">
        <v>260130</v>
      </c>
      <c r="B352" s="123" t="s">
        <v>317</v>
      </c>
      <c r="C352" s="124" t="s">
        <v>974</v>
      </c>
      <c r="D352" s="125" t="s">
        <v>318</v>
      </c>
      <c r="E352" s="10" t="s">
        <v>975</v>
      </c>
      <c r="F352" s="126">
        <v>6.6</v>
      </c>
      <c r="G352" s="10"/>
      <c r="H352" s="10"/>
      <c r="I352" s="10"/>
      <c r="J352" s="10"/>
      <c r="K352" s="10"/>
      <c r="L352" s="124"/>
      <c r="M352" s="124"/>
      <c r="N352" s="127">
        <v>168.13</v>
      </c>
      <c r="O352" s="127">
        <v>311.41000000000003</v>
      </c>
      <c r="P352" s="127">
        <v>219.1</v>
      </c>
      <c r="Q352" s="127">
        <v>432.35</v>
      </c>
      <c r="R352" s="127">
        <v>234.64</v>
      </c>
      <c r="S352" s="128">
        <v>445.57</v>
      </c>
      <c r="T352" s="127">
        <v>258.43</v>
      </c>
      <c r="U352" s="127">
        <v>495.14</v>
      </c>
      <c r="V352" s="127">
        <v>272.88</v>
      </c>
      <c r="W352" s="129">
        <v>542.46</v>
      </c>
      <c r="X352" s="130">
        <v>2.953456588017955E-2</v>
      </c>
      <c r="Y352" s="130">
        <v>4.5799021145303653E-2</v>
      </c>
      <c r="Z352" s="130">
        <v>2.6670758414819581E-2</v>
      </c>
      <c r="AA352" s="130">
        <v>6.5821116560916382E-2</v>
      </c>
    </row>
    <row r="353" spans="1:27" ht="15" x14ac:dyDescent="0.25">
      <c r="A353" s="4">
        <v>260129</v>
      </c>
      <c r="B353" s="10" t="s">
        <v>636</v>
      </c>
      <c r="C353" s="10" t="s">
        <v>23</v>
      </c>
      <c r="D353" s="10" t="s">
        <v>29</v>
      </c>
      <c r="E353" s="10" t="s">
        <v>25</v>
      </c>
      <c r="F353" s="99">
        <v>99.862943292787378</v>
      </c>
      <c r="G353" s="49">
        <v>53.73</v>
      </c>
      <c r="H353" s="49">
        <v>48.56</v>
      </c>
      <c r="I353" s="49">
        <v>52.39</v>
      </c>
      <c r="J353" s="49">
        <v>51.41</v>
      </c>
      <c r="K353" s="49">
        <v>47.97</v>
      </c>
      <c r="L353" s="49">
        <v>48.53</v>
      </c>
      <c r="M353" s="49">
        <v>50.57</v>
      </c>
      <c r="N353" s="49">
        <v>51.2</v>
      </c>
      <c r="O353" s="49">
        <v>49.98</v>
      </c>
      <c r="P353" s="49">
        <v>56.44</v>
      </c>
      <c r="Q353" s="49">
        <v>63.17</v>
      </c>
      <c r="R353" s="49">
        <v>47.02</v>
      </c>
      <c r="S353" s="49">
        <v>-55.86</v>
      </c>
      <c r="T353" s="49">
        <v>54.31</v>
      </c>
      <c r="U353" s="49">
        <v>57.18</v>
      </c>
      <c r="V353" s="50">
        <v>61.11</v>
      </c>
      <c r="W353" s="51">
        <v>60.72</v>
      </c>
      <c r="X353" s="100">
        <v>-1.9229033131714313E-2</v>
      </c>
      <c r="Y353" s="100">
        <v>-5.5136229749631727E-2</v>
      </c>
      <c r="Z353" s="100">
        <v>0.13726254262055537</v>
      </c>
      <c r="AA353" s="100">
        <v>0.99862943292787398</v>
      </c>
    </row>
    <row r="354" spans="1:27" ht="15" x14ac:dyDescent="0.25">
      <c r="A354" s="4">
        <v>260129</v>
      </c>
      <c r="B354" s="10" t="s">
        <v>637</v>
      </c>
      <c r="C354" s="10" t="s">
        <v>23</v>
      </c>
      <c r="D354" s="10" t="s">
        <v>182</v>
      </c>
      <c r="E354" s="10" t="s">
        <v>25</v>
      </c>
      <c r="F354" s="99">
        <v>65.753803596127256</v>
      </c>
      <c r="G354" s="49">
        <v>-57.46</v>
      </c>
      <c r="H354" s="49">
        <v>-221.12</v>
      </c>
      <c r="I354" s="49">
        <v>-102.4</v>
      </c>
      <c r="J354" s="49">
        <v>-95.57</v>
      </c>
      <c r="K354" s="49">
        <v>41.5</v>
      </c>
      <c r="L354" s="49">
        <v>26.53</v>
      </c>
      <c r="M354" s="49">
        <v>9.3800000000000008</v>
      </c>
      <c r="N354" s="49">
        <v>-63.78</v>
      </c>
      <c r="O354" s="49">
        <v>32.06</v>
      </c>
      <c r="P354" s="50">
        <v>33.82</v>
      </c>
      <c r="Q354" s="49">
        <v>-8.32</v>
      </c>
      <c r="R354" s="49">
        <v>45.33</v>
      </c>
      <c r="S354" s="49">
        <v>8.52</v>
      </c>
      <c r="T354" s="49">
        <v>24.3</v>
      </c>
      <c r="U354" s="49">
        <v>-18.46</v>
      </c>
      <c r="V354" s="50">
        <v>57.94</v>
      </c>
      <c r="W354" s="51">
        <v>56.06</v>
      </c>
      <c r="X354" s="100">
        <v>-0.11997479521109011</v>
      </c>
      <c r="Y354" s="100">
        <v>-0.14520979521695554</v>
      </c>
      <c r="Z354" s="100">
        <v>0.2112581671971856</v>
      </c>
      <c r="AA354" s="100">
        <v>0.65753803596127258</v>
      </c>
    </row>
    <row r="355" spans="1:27" ht="15" x14ac:dyDescent="0.25">
      <c r="A355" s="4">
        <v>260129</v>
      </c>
      <c r="B355" s="10" t="s">
        <v>638</v>
      </c>
      <c r="C355" s="10" t="s">
        <v>23</v>
      </c>
      <c r="D355" s="10" t="s">
        <v>430</v>
      </c>
      <c r="E355" s="10" t="s">
        <v>798</v>
      </c>
      <c r="F355" s="99">
        <v>39.095503433976937</v>
      </c>
      <c r="G355" s="49">
        <v>4833</v>
      </c>
      <c r="H355" s="49">
        <v>4381</v>
      </c>
      <c r="I355" s="49">
        <v>4528</v>
      </c>
      <c r="J355" s="49">
        <v>3736</v>
      </c>
      <c r="K355" s="49">
        <v>3107</v>
      </c>
      <c r="L355" s="49">
        <v>2803</v>
      </c>
      <c r="M355" s="49">
        <v>2672</v>
      </c>
      <c r="N355" s="49">
        <v>2750</v>
      </c>
      <c r="O355" s="49">
        <v>0</v>
      </c>
      <c r="P355" s="49">
        <v>1752</v>
      </c>
      <c r="Q355" s="49">
        <v>0</v>
      </c>
      <c r="R355" s="49">
        <v>2212</v>
      </c>
      <c r="S355" s="49">
        <v>0</v>
      </c>
      <c r="T355" s="50">
        <v>2294</v>
      </c>
      <c r="U355" s="50">
        <v>2605</v>
      </c>
      <c r="V355" s="49">
        <v>2818</v>
      </c>
      <c r="W355" s="51">
        <v>3017</v>
      </c>
      <c r="X355" s="100">
        <v>0.13673057517658926</v>
      </c>
      <c r="Y355" s="100">
        <v>0.57811806480248551</v>
      </c>
      <c r="Z355" s="100">
        <v>8.5220081563774475E-2</v>
      </c>
      <c r="AA355" s="100">
        <v>0.39095503433976941</v>
      </c>
    </row>
    <row r="356" spans="1:27" ht="15" x14ac:dyDescent="0.25">
      <c r="A356" s="4">
        <v>260129</v>
      </c>
      <c r="B356" s="10" t="s">
        <v>639</v>
      </c>
      <c r="C356" s="10" t="s">
        <v>23</v>
      </c>
      <c r="D356" s="10" t="s">
        <v>640</v>
      </c>
      <c r="E356" s="10" t="s">
        <v>25</v>
      </c>
      <c r="F356" s="99">
        <v>24.722392288207811</v>
      </c>
      <c r="G356" s="49">
        <v>848.95</v>
      </c>
      <c r="H356" s="49">
        <v>444.05</v>
      </c>
      <c r="I356" s="49">
        <v>398.6</v>
      </c>
      <c r="J356" s="49">
        <v>380.35</v>
      </c>
      <c r="K356" s="49">
        <v>405.49</v>
      </c>
      <c r="L356" s="49">
        <v>539.16999999999996</v>
      </c>
      <c r="M356" s="49">
        <v>499.51</v>
      </c>
      <c r="N356" s="50">
        <v>602.23</v>
      </c>
      <c r="O356" s="49">
        <v>364.77</v>
      </c>
      <c r="P356" s="49">
        <v>333.84</v>
      </c>
      <c r="Q356" s="49">
        <v>507.25</v>
      </c>
      <c r="R356" s="50">
        <v>1040</v>
      </c>
      <c r="S356" s="49">
        <v>-79.81</v>
      </c>
      <c r="T356" s="50">
        <v>862.08</v>
      </c>
      <c r="U356" s="49">
        <v>690.76</v>
      </c>
      <c r="V356" s="49">
        <v>1026</v>
      </c>
      <c r="W356" s="51">
        <v>538.01</v>
      </c>
      <c r="X356" s="100">
        <v>0.29325812755373959</v>
      </c>
      <c r="Y356" s="100">
        <v>7.8775885160891512E-2</v>
      </c>
      <c r="Z356" s="100">
        <v>-5.5709641349287464E-3</v>
      </c>
      <c r="AA356" s="100">
        <v>0.24722392288207851</v>
      </c>
    </row>
    <row r="357" spans="1:27" ht="15" x14ac:dyDescent="0.25">
      <c r="A357" s="4">
        <v>260129</v>
      </c>
      <c r="B357" s="10" t="s">
        <v>641</v>
      </c>
      <c r="C357" s="10" t="s">
        <v>23</v>
      </c>
      <c r="D357" s="10" t="s">
        <v>430</v>
      </c>
      <c r="E357" s="10" t="s">
        <v>798</v>
      </c>
      <c r="F357" s="99">
        <v>14.76863753213367</v>
      </c>
      <c r="G357" s="49">
        <v>1746</v>
      </c>
      <c r="H357" s="49">
        <v>1735</v>
      </c>
      <c r="I357" s="49">
        <v>1332</v>
      </c>
      <c r="J357" s="49">
        <v>1237</v>
      </c>
      <c r="K357" s="49">
        <v>1452</v>
      </c>
      <c r="L357" s="49"/>
      <c r="M357" s="49"/>
      <c r="N357" s="49">
        <v>1533</v>
      </c>
      <c r="O357" s="49">
        <v>1665</v>
      </c>
      <c r="P357" s="49">
        <v>1705</v>
      </c>
      <c r="Q357" s="49">
        <v>1760</v>
      </c>
      <c r="R357" s="49">
        <v>1883</v>
      </c>
      <c r="S357" s="49">
        <v>1876</v>
      </c>
      <c r="T357" s="49">
        <v>1695</v>
      </c>
      <c r="U357" s="49">
        <v>1901</v>
      </c>
      <c r="V357" s="49">
        <v>2308</v>
      </c>
      <c r="W357" s="51">
        <v>3025</v>
      </c>
      <c r="X357" s="100">
        <v>-1.3842746400886119E-3</v>
      </c>
      <c r="Y357" s="100">
        <v>1.9545328527862393E-2</v>
      </c>
      <c r="Z357" s="100">
        <v>5.778382053025144E-2</v>
      </c>
      <c r="AA357" s="100">
        <v>0.14768637532133666</v>
      </c>
    </row>
    <row r="358" spans="1:27" ht="15" x14ac:dyDescent="0.25">
      <c r="A358" s="4">
        <v>260129</v>
      </c>
      <c r="B358" s="10" t="s">
        <v>642</v>
      </c>
      <c r="C358" s="10" t="s">
        <v>23</v>
      </c>
      <c r="D358" s="10" t="s">
        <v>63</v>
      </c>
      <c r="E358" s="10" t="s">
        <v>25</v>
      </c>
      <c r="F358" s="99">
        <v>14.67146668047965</v>
      </c>
      <c r="G358" s="49">
        <v>908.93</v>
      </c>
      <c r="H358" s="49">
        <v>812.5</v>
      </c>
      <c r="I358" s="49">
        <v>1072</v>
      </c>
      <c r="J358" s="49">
        <v>1179</v>
      </c>
      <c r="K358" s="49">
        <v>860.84</v>
      </c>
      <c r="L358" s="49">
        <v>513.70000000000005</v>
      </c>
      <c r="M358" s="49">
        <v>295.89</v>
      </c>
      <c r="N358" s="49">
        <v>302.45999999999998</v>
      </c>
      <c r="O358" s="49">
        <v>350.62</v>
      </c>
      <c r="P358" s="49">
        <v>376.78</v>
      </c>
      <c r="Q358" s="49">
        <v>307.12</v>
      </c>
      <c r="R358" s="49">
        <v>334.72</v>
      </c>
      <c r="S358" s="49">
        <v>327.24</v>
      </c>
      <c r="T358" s="50">
        <v>610.54999999999995</v>
      </c>
      <c r="U358" s="50">
        <v>541.91</v>
      </c>
      <c r="V358" s="49">
        <v>450.85</v>
      </c>
      <c r="W358" s="51">
        <v>610.48</v>
      </c>
      <c r="X358" s="100">
        <v>0.17369562956028117</v>
      </c>
      <c r="Y358" s="100">
        <v>0.14863607300443782</v>
      </c>
      <c r="Z358" s="100">
        <v>6.400392411900202E-2</v>
      </c>
      <c r="AA358" s="100">
        <v>0.14671466680479672</v>
      </c>
    </row>
    <row r="359" spans="1:27" ht="15" x14ac:dyDescent="0.25">
      <c r="A359" s="4">
        <v>260129</v>
      </c>
      <c r="B359" s="10" t="s">
        <v>643</v>
      </c>
      <c r="C359" s="10" t="s">
        <v>23</v>
      </c>
      <c r="D359" s="10" t="s">
        <v>182</v>
      </c>
      <c r="E359" s="10" t="s">
        <v>25</v>
      </c>
      <c r="F359" s="99">
        <v>13.97301030708744</v>
      </c>
      <c r="G359" s="49">
        <v>221.21</v>
      </c>
      <c r="H359" s="49">
        <v>-221.88</v>
      </c>
      <c r="I359" s="49">
        <v>-112.28</v>
      </c>
      <c r="J359" s="49">
        <v>84.09</v>
      </c>
      <c r="K359" s="50">
        <v>104.41</v>
      </c>
      <c r="L359" s="49">
        <v>227.81</v>
      </c>
      <c r="M359" s="50">
        <v>178.45</v>
      </c>
      <c r="N359" s="49">
        <v>2.5</v>
      </c>
      <c r="O359" s="50">
        <v>317.11</v>
      </c>
      <c r="P359" s="49">
        <v>102.41</v>
      </c>
      <c r="Q359" s="49">
        <v>121.75</v>
      </c>
      <c r="R359" s="50">
        <v>265.77999999999997</v>
      </c>
      <c r="S359" s="49">
        <v>14.66</v>
      </c>
      <c r="T359" s="50">
        <v>189.06</v>
      </c>
      <c r="U359" s="49">
        <v>145.33000000000001</v>
      </c>
      <c r="V359" s="49">
        <v>215.61</v>
      </c>
      <c r="W359" s="51">
        <v>93.56</v>
      </c>
      <c r="X359" s="100">
        <v>0.17172017439556098</v>
      </c>
      <c r="Y359" s="100">
        <v>3.9881606765327815E-2</v>
      </c>
      <c r="Z359" s="100">
        <v>-8.159979181237087E-2</v>
      </c>
      <c r="AA359" s="100">
        <v>0.13973010307087419</v>
      </c>
    </row>
    <row r="360" spans="1:27" ht="15" x14ac:dyDescent="0.25">
      <c r="A360" s="4">
        <v>260129</v>
      </c>
      <c r="B360" s="10" t="s">
        <v>644</v>
      </c>
      <c r="C360" s="10" t="s">
        <v>23</v>
      </c>
      <c r="D360" s="10" t="s">
        <v>95</v>
      </c>
      <c r="E360" s="10" t="s">
        <v>25</v>
      </c>
      <c r="F360" s="99">
        <v>11.10937377843797</v>
      </c>
      <c r="G360" s="49">
        <v>5655</v>
      </c>
      <c r="H360" s="49">
        <v>4987</v>
      </c>
      <c r="I360" s="49">
        <v>404.08</v>
      </c>
      <c r="J360" s="49">
        <v>778.23</v>
      </c>
      <c r="K360" s="49">
        <v>1847</v>
      </c>
      <c r="L360" s="49">
        <v>1292</v>
      </c>
      <c r="M360" s="50">
        <v>2738</v>
      </c>
      <c r="N360" s="50">
        <v>2367</v>
      </c>
      <c r="O360" s="49">
        <v>1287</v>
      </c>
      <c r="P360" s="50">
        <v>3535</v>
      </c>
      <c r="Q360" s="49">
        <v>2668</v>
      </c>
      <c r="R360" s="50">
        <v>3648</v>
      </c>
      <c r="S360" s="50">
        <v>2811</v>
      </c>
      <c r="T360" s="49">
        <v>3245</v>
      </c>
      <c r="U360" s="49">
        <v>3801</v>
      </c>
      <c r="V360" s="49">
        <v>2934</v>
      </c>
      <c r="W360" s="51">
        <v>4232</v>
      </c>
      <c r="X360" s="100">
        <v>-2.2903174853893593E-2</v>
      </c>
      <c r="Y360" s="100">
        <v>9.1577756223730988E-2</v>
      </c>
      <c r="Z360" s="100">
        <v>-5.2869307663828247E-2</v>
      </c>
      <c r="AA360" s="100">
        <v>0.1110937377843797</v>
      </c>
    </row>
    <row r="361" spans="1:27" ht="15" x14ac:dyDescent="0.25">
      <c r="A361" s="4">
        <v>260129</v>
      </c>
      <c r="B361" s="10" t="s">
        <v>645</v>
      </c>
      <c r="C361" s="10" t="s">
        <v>23</v>
      </c>
      <c r="D361" s="10" t="s">
        <v>445</v>
      </c>
      <c r="E361" s="10" t="s">
        <v>25</v>
      </c>
      <c r="F361" s="99">
        <v>10.45657462739447</v>
      </c>
      <c r="G361" s="49">
        <v>247.89</v>
      </c>
      <c r="H361" s="49">
        <v>263.93</v>
      </c>
      <c r="I361" s="49">
        <v>280.01</v>
      </c>
      <c r="J361" s="49">
        <v>285.73</v>
      </c>
      <c r="K361" s="49">
        <v>290.58999999999997</v>
      </c>
      <c r="L361" s="49">
        <v>248.44</v>
      </c>
      <c r="M361" s="49">
        <v>183.94</v>
      </c>
      <c r="N361" s="49">
        <v>135.53</v>
      </c>
      <c r="O361" s="49">
        <v>125.35</v>
      </c>
      <c r="P361" s="49">
        <v>95.27</v>
      </c>
      <c r="Q361" s="49">
        <v>91.99</v>
      </c>
      <c r="R361" s="49">
        <v>81.099999999999994</v>
      </c>
      <c r="S361" s="49">
        <v>92.17</v>
      </c>
      <c r="T361" s="49">
        <v>95.93</v>
      </c>
      <c r="U361" s="49">
        <v>108.81</v>
      </c>
      <c r="V361" s="50">
        <v>126.46</v>
      </c>
      <c r="W361" s="51">
        <v>136.44</v>
      </c>
      <c r="X361" s="100">
        <v>1.8306382270545374E-3</v>
      </c>
      <c r="Y361" s="100">
        <v>4.6568288158586935E-2</v>
      </c>
      <c r="Z361" s="100">
        <v>0.11999682548080748</v>
      </c>
      <c r="AA361" s="100">
        <v>0.10456574627394466</v>
      </c>
    </row>
    <row r="362" spans="1:27" ht="15" x14ac:dyDescent="0.25">
      <c r="A362" s="4">
        <v>260129</v>
      </c>
      <c r="B362" s="10" t="s">
        <v>646</v>
      </c>
      <c r="C362" s="10" t="s">
        <v>23</v>
      </c>
      <c r="D362" s="10" t="s">
        <v>177</v>
      </c>
      <c r="E362" s="10" t="s">
        <v>25</v>
      </c>
      <c r="F362" s="38">
        <v>9.3846864077029579</v>
      </c>
      <c r="G362" s="49">
        <v>2067</v>
      </c>
      <c r="H362" s="49">
        <v>2038</v>
      </c>
      <c r="I362" s="49">
        <v>2010</v>
      </c>
      <c r="J362" s="49">
        <v>2130</v>
      </c>
      <c r="K362" s="49">
        <v>2296</v>
      </c>
      <c r="L362" s="49">
        <v>2379</v>
      </c>
      <c r="M362" s="49">
        <v>2424</v>
      </c>
      <c r="N362" s="49">
        <v>2474</v>
      </c>
      <c r="O362" s="49">
        <v>2589</v>
      </c>
      <c r="P362" s="49">
        <v>2773</v>
      </c>
      <c r="Q362" s="49">
        <v>2867</v>
      </c>
      <c r="R362" s="49">
        <v>3041</v>
      </c>
      <c r="S362" s="49">
        <v>3404</v>
      </c>
      <c r="T362" s="49">
        <v>3584</v>
      </c>
      <c r="U362" s="49">
        <v>3729</v>
      </c>
      <c r="V362" s="50">
        <v>4446</v>
      </c>
      <c r="W362" s="52">
        <v>4827</v>
      </c>
      <c r="X362" s="100">
        <v>6.7107985105502754E-2</v>
      </c>
      <c r="Y362" s="100">
        <v>6.6842431761786614E-2</v>
      </c>
      <c r="Z362" s="100">
        <v>0.10212240151184759</v>
      </c>
      <c r="AA362" s="100">
        <v>9.3846864077029579E-2</v>
      </c>
    </row>
    <row r="363" spans="1:27" ht="15" x14ac:dyDescent="0.25">
      <c r="A363" s="4">
        <v>260129</v>
      </c>
      <c r="B363" s="10" t="s">
        <v>647</v>
      </c>
      <c r="C363" s="10" t="s">
        <v>23</v>
      </c>
      <c r="D363" s="10" t="s">
        <v>648</v>
      </c>
      <c r="E363" s="10" t="s">
        <v>25</v>
      </c>
      <c r="F363" s="38">
        <v>9.0577910250041462</v>
      </c>
      <c r="G363" s="49">
        <v>1904</v>
      </c>
      <c r="H363" s="49">
        <v>2385</v>
      </c>
      <c r="I363" s="49">
        <v>1982</v>
      </c>
      <c r="J363" s="49">
        <v>1976</v>
      </c>
      <c r="K363" s="49">
        <v>1927</v>
      </c>
      <c r="L363" s="49">
        <v>2607</v>
      </c>
      <c r="M363" s="49">
        <v>2326</v>
      </c>
      <c r="N363" s="49">
        <v>2352</v>
      </c>
      <c r="O363" s="49">
        <v>2274</v>
      </c>
      <c r="P363" s="49">
        <v>3125</v>
      </c>
      <c r="Q363" s="49">
        <v>2637</v>
      </c>
      <c r="R363" s="49">
        <v>2631</v>
      </c>
      <c r="S363" s="49">
        <v>2534</v>
      </c>
      <c r="T363" s="49">
        <v>3441</v>
      </c>
      <c r="U363" s="49">
        <v>2945</v>
      </c>
      <c r="V363" s="49">
        <v>3158</v>
      </c>
      <c r="W363" s="52">
        <v>3628</v>
      </c>
      <c r="X363" s="100">
        <v>2.8919190994783461E-2</v>
      </c>
      <c r="Y363" s="100">
        <v>2.7394823445699545E-2</v>
      </c>
      <c r="Z363" s="100">
        <v>4.5623755519002662E-2</v>
      </c>
      <c r="AA363" s="100">
        <v>9.0577910250041471E-2</v>
      </c>
    </row>
    <row r="364" spans="1:27" ht="15" x14ac:dyDescent="0.25">
      <c r="A364" s="4">
        <v>260129</v>
      </c>
      <c r="B364" s="10" t="s">
        <v>649</v>
      </c>
      <c r="C364" s="10" t="s">
        <v>23</v>
      </c>
      <c r="D364" s="10" t="s">
        <v>443</v>
      </c>
      <c r="E364" s="10" t="s">
        <v>25</v>
      </c>
      <c r="F364" s="38">
        <v>8.537388493085075</v>
      </c>
      <c r="G364" s="49">
        <v>5086</v>
      </c>
      <c r="H364" s="49">
        <v>5237</v>
      </c>
      <c r="I364" s="49">
        <v>5389</v>
      </c>
      <c r="J364" s="49">
        <v>5402</v>
      </c>
      <c r="K364" s="49">
        <v>5133</v>
      </c>
      <c r="L364" s="49">
        <v>5020</v>
      </c>
      <c r="M364" s="49">
        <v>4682</v>
      </c>
      <c r="N364" s="49">
        <v>4613</v>
      </c>
      <c r="O364" s="49">
        <v>4601</v>
      </c>
      <c r="P364" s="49">
        <v>4619</v>
      </c>
      <c r="Q364" s="49">
        <v>0</v>
      </c>
      <c r="R364" s="49">
        <v>3979</v>
      </c>
      <c r="S364" s="49">
        <v>4580</v>
      </c>
      <c r="T364" s="49">
        <v>5901</v>
      </c>
      <c r="U364" s="49">
        <v>0</v>
      </c>
      <c r="V364" s="50">
        <v>6222</v>
      </c>
      <c r="W364" s="52">
        <v>6006</v>
      </c>
      <c r="X364" s="100">
        <v>9.7283351039611388E-2</v>
      </c>
      <c r="Y364" s="100">
        <v>0</v>
      </c>
      <c r="Z364" s="100">
        <v>0.15511756569847845</v>
      </c>
      <c r="AA364" s="100">
        <v>8.5373884930850741E-2</v>
      </c>
    </row>
    <row r="365" spans="1:27" ht="15" x14ac:dyDescent="0.25">
      <c r="A365" s="4">
        <v>260129</v>
      </c>
      <c r="B365" s="10" t="s">
        <v>650</v>
      </c>
      <c r="C365" s="10" t="s">
        <v>23</v>
      </c>
      <c r="D365" s="10" t="s">
        <v>29</v>
      </c>
      <c r="E365" s="10" t="s">
        <v>25</v>
      </c>
      <c r="F365" s="38">
        <v>8.2156332333835902</v>
      </c>
      <c r="G365" s="49">
        <v>339.71</v>
      </c>
      <c r="H365" s="49">
        <v>350.49</v>
      </c>
      <c r="I365" s="49">
        <v>429.5</v>
      </c>
      <c r="J365" s="49">
        <v>505.06</v>
      </c>
      <c r="K365" s="50">
        <v>508.16</v>
      </c>
      <c r="L365" s="49">
        <v>468.93</v>
      </c>
      <c r="M365" s="49">
        <v>471.47</v>
      </c>
      <c r="N365" s="49">
        <v>457.77</v>
      </c>
      <c r="O365" s="49">
        <v>424.84</v>
      </c>
      <c r="P365" s="49">
        <v>404.2</v>
      </c>
      <c r="Q365" s="49">
        <v>365.04</v>
      </c>
      <c r="R365" s="49">
        <v>382.96</v>
      </c>
      <c r="S365" s="49">
        <v>365.9</v>
      </c>
      <c r="T365" s="49">
        <v>406.42</v>
      </c>
      <c r="U365" s="49">
        <v>448.08</v>
      </c>
      <c r="V365" s="49">
        <v>483.79</v>
      </c>
      <c r="W365" s="52">
        <v>505.91</v>
      </c>
      <c r="X365" s="100">
        <v>1.4623542586129634E-3</v>
      </c>
      <c r="Y365" s="100">
        <v>5.4620079983161318E-2</v>
      </c>
      <c r="Z365" s="100">
        <v>6.2886687955293841E-2</v>
      </c>
      <c r="AA365" s="100">
        <v>8.2156332333836124E-2</v>
      </c>
    </row>
    <row r="366" spans="1:27" ht="15" x14ac:dyDescent="0.25">
      <c r="A366" s="4">
        <v>260129</v>
      </c>
      <c r="B366" s="10" t="s">
        <v>651</v>
      </c>
      <c r="C366" s="10" t="s">
        <v>23</v>
      </c>
      <c r="D366" s="10" t="s">
        <v>29</v>
      </c>
      <c r="E366" s="10" t="s">
        <v>25</v>
      </c>
      <c r="F366" s="38">
        <v>8.0549815829664908</v>
      </c>
      <c r="G366" s="49">
        <v>94.94</v>
      </c>
      <c r="H366" s="49">
        <v>85.34</v>
      </c>
      <c r="I366" s="49">
        <v>97.79</v>
      </c>
      <c r="J366" s="49">
        <v>99.71</v>
      </c>
      <c r="K366" s="49">
        <v>123.23</v>
      </c>
      <c r="L366" s="49">
        <v>119.88</v>
      </c>
      <c r="M366" s="50">
        <v>149.30000000000001</v>
      </c>
      <c r="N366" s="49">
        <v>134.41</v>
      </c>
      <c r="O366" s="49">
        <v>124.17</v>
      </c>
      <c r="P366" s="49">
        <v>124.21</v>
      </c>
      <c r="Q366" s="49">
        <v>121.69</v>
      </c>
      <c r="R366" s="49">
        <v>124.07</v>
      </c>
      <c r="S366" s="49">
        <v>129.16999999999999</v>
      </c>
      <c r="T366" s="49">
        <v>134.44999999999999</v>
      </c>
      <c r="U366" s="49">
        <v>144.01</v>
      </c>
      <c r="V366" s="49">
        <v>148.91999999999999</v>
      </c>
      <c r="W366" s="52">
        <v>174</v>
      </c>
      <c r="X366" s="100">
        <v>2.0515286292422941E-2</v>
      </c>
      <c r="Y366" s="100">
        <v>4.3817974792885517E-2</v>
      </c>
      <c r="Z366" s="100">
        <v>4.6736881700206956E-2</v>
      </c>
      <c r="AA366" s="100">
        <v>8.0549815829664917E-2</v>
      </c>
    </row>
    <row r="367" spans="1:27" ht="15" x14ac:dyDescent="0.25">
      <c r="A367" s="4">
        <v>260129</v>
      </c>
      <c r="B367" s="10" t="s">
        <v>652</v>
      </c>
      <c r="C367" s="10" t="s">
        <v>23</v>
      </c>
      <c r="D367" s="10" t="s">
        <v>29</v>
      </c>
      <c r="E367" s="10" t="s">
        <v>25</v>
      </c>
      <c r="F367" s="38">
        <v>6.7978196854833639</v>
      </c>
      <c r="G367" s="49">
        <v>71.91</v>
      </c>
      <c r="H367" s="49">
        <v>90.71</v>
      </c>
      <c r="I367" s="49">
        <v>95.03</v>
      </c>
      <c r="J367" s="49">
        <v>99.88</v>
      </c>
      <c r="K367" s="49">
        <v>80.77</v>
      </c>
      <c r="L367" s="49">
        <v>70.040000000000006</v>
      </c>
      <c r="M367" s="49">
        <v>60.18</v>
      </c>
      <c r="N367" s="49">
        <v>65.790000000000006</v>
      </c>
      <c r="O367" s="49">
        <v>56.14</v>
      </c>
      <c r="P367" s="49">
        <v>50.49</v>
      </c>
      <c r="Q367" s="49">
        <v>58.29</v>
      </c>
      <c r="R367" s="49">
        <v>-56.74</v>
      </c>
      <c r="S367" s="49">
        <v>44.03</v>
      </c>
      <c r="T367" s="50">
        <v>67.98</v>
      </c>
      <c r="U367" s="49">
        <v>49.05</v>
      </c>
      <c r="V367" s="50">
        <v>-1.45</v>
      </c>
      <c r="W367" s="52">
        <v>54.88</v>
      </c>
      <c r="X367" s="100">
        <v>0.18205475174352048</v>
      </c>
      <c r="Y367" s="100">
        <v>-8.1366678407890136E-2</v>
      </c>
      <c r="Z367" s="100">
        <v>0.53000383435582843</v>
      </c>
      <c r="AA367" s="100">
        <v>6.7978196854833639E-2</v>
      </c>
    </row>
    <row r="368" spans="1:27" ht="15" x14ac:dyDescent="0.25">
      <c r="A368" s="4">
        <v>260129</v>
      </c>
      <c r="B368" s="10" t="s">
        <v>653</v>
      </c>
      <c r="C368" s="10" t="s">
        <v>23</v>
      </c>
      <c r="D368" s="10" t="s">
        <v>445</v>
      </c>
      <c r="E368" s="10" t="s">
        <v>799</v>
      </c>
      <c r="F368" s="38">
        <v>6.5120054795215543</v>
      </c>
      <c r="G368" s="49">
        <v>186.63</v>
      </c>
      <c r="H368" s="49">
        <v>200.29</v>
      </c>
      <c r="I368" s="49">
        <v>217.75</v>
      </c>
      <c r="J368" s="49">
        <v>237.67</v>
      </c>
      <c r="K368" s="49">
        <v>248.79</v>
      </c>
      <c r="L368" s="49">
        <v>269.45</v>
      </c>
      <c r="M368" s="49">
        <v>278.29000000000002</v>
      </c>
      <c r="N368" s="49">
        <v>275.51</v>
      </c>
      <c r="O368" s="49">
        <v>254.98</v>
      </c>
      <c r="P368" s="49">
        <v>240.58</v>
      </c>
      <c r="Q368" s="49">
        <v>166.92</v>
      </c>
      <c r="R368" s="49">
        <v>187.39</v>
      </c>
      <c r="S368" s="49">
        <v>177.87</v>
      </c>
      <c r="T368" s="49">
        <v>192.82</v>
      </c>
      <c r="U368" s="49">
        <v>203.41</v>
      </c>
      <c r="V368" s="49">
        <v>214.29</v>
      </c>
      <c r="W368" s="52">
        <v>229.21</v>
      </c>
      <c r="X368" s="100">
        <v>-6.1804441223665796E-2</v>
      </c>
      <c r="Y368" s="100">
        <v>5.0331034482758552E-2</v>
      </c>
      <c r="Z368" s="100">
        <v>3.5325480308342927E-2</v>
      </c>
      <c r="AA368" s="100">
        <v>6.5120054795215543E-2</v>
      </c>
    </row>
    <row r="369" spans="1:27" ht="15" x14ac:dyDescent="0.25">
      <c r="A369" s="4">
        <v>260129</v>
      </c>
      <c r="B369" s="10" t="s">
        <v>654</v>
      </c>
      <c r="C369" s="10" t="s">
        <v>23</v>
      </c>
      <c r="D369" s="10" t="s">
        <v>52</v>
      </c>
      <c r="E369" s="10" t="s">
        <v>170</v>
      </c>
      <c r="F369" s="38">
        <v>6.1710339836565042</v>
      </c>
      <c r="G369" s="49">
        <v>1021</v>
      </c>
      <c r="H369" s="49">
        <v>541.15</v>
      </c>
      <c r="I369" s="49">
        <v>224.05</v>
      </c>
      <c r="J369" s="49">
        <v>294.06</v>
      </c>
      <c r="K369" s="49">
        <v>232.68</v>
      </c>
      <c r="L369" s="49">
        <v>268.99</v>
      </c>
      <c r="M369" s="49">
        <v>275.44</v>
      </c>
      <c r="N369" s="50">
        <v>411.93</v>
      </c>
      <c r="O369" s="50">
        <v>373.51</v>
      </c>
      <c r="P369" s="50">
        <v>429.56</v>
      </c>
      <c r="Q369" s="49">
        <v>414.19</v>
      </c>
      <c r="R369" s="50">
        <v>619.36</v>
      </c>
      <c r="S369" s="50">
        <v>606.45000000000005</v>
      </c>
      <c r="T369" s="49">
        <v>610.24</v>
      </c>
      <c r="U369" s="49">
        <v>575</v>
      </c>
      <c r="V369" s="50">
        <v>861.35</v>
      </c>
      <c r="W369" s="52">
        <v>770.17</v>
      </c>
      <c r="X369" s="100">
        <v>8.7303581437599975E-2</v>
      </c>
      <c r="Y369" s="100">
        <v>7.1463488339021719E-2</v>
      </c>
      <c r="Z369" s="100">
        <v>0.10036705999460804</v>
      </c>
      <c r="AA369" s="100">
        <v>6.1710339836565042E-2</v>
      </c>
    </row>
    <row r="370" spans="1:27" ht="15" x14ac:dyDescent="0.25">
      <c r="A370" s="4">
        <v>260129</v>
      </c>
      <c r="B370" s="10" t="s">
        <v>655</v>
      </c>
      <c r="C370" s="10" t="s">
        <v>23</v>
      </c>
      <c r="D370" s="10" t="s">
        <v>29</v>
      </c>
      <c r="E370" s="10" t="s">
        <v>25</v>
      </c>
      <c r="F370" s="38">
        <v>5.3584792695704264</v>
      </c>
      <c r="G370" s="49">
        <v>172.36</v>
      </c>
      <c r="H370" s="49">
        <v>173.81</v>
      </c>
      <c r="I370" s="49">
        <v>186.51</v>
      </c>
      <c r="J370" s="49">
        <v>198.93</v>
      </c>
      <c r="K370" s="49">
        <v>225.24</v>
      </c>
      <c r="L370" s="49">
        <v>225.73</v>
      </c>
      <c r="M370" s="49">
        <v>229.46</v>
      </c>
      <c r="N370" s="49">
        <v>238.66</v>
      </c>
      <c r="O370" s="49">
        <v>246.84</v>
      </c>
      <c r="P370" s="49">
        <v>288.77</v>
      </c>
      <c r="Q370" s="49">
        <v>284.92</v>
      </c>
      <c r="R370" s="49">
        <v>306.66000000000003</v>
      </c>
      <c r="S370" s="49">
        <v>295.64999999999998</v>
      </c>
      <c r="T370" s="49">
        <v>294.33999999999997</v>
      </c>
      <c r="U370" s="49">
        <v>306.45</v>
      </c>
      <c r="V370" s="49">
        <v>306.14</v>
      </c>
      <c r="W370" s="52">
        <v>360.09</v>
      </c>
      <c r="X370" s="100">
        <v>4.7363945578231537E-3</v>
      </c>
      <c r="Y370" s="100">
        <v>1.822151882664591E-2</v>
      </c>
      <c r="Z370" s="100">
        <v>-4.3221677333549202E-4</v>
      </c>
      <c r="AA370" s="100">
        <v>5.3584792695704264E-2</v>
      </c>
    </row>
    <row r="371" spans="1:27" ht="15" x14ac:dyDescent="0.25">
      <c r="A371" s="4">
        <v>260129</v>
      </c>
      <c r="B371" s="10" t="s">
        <v>656</v>
      </c>
      <c r="C371" s="10" t="s">
        <v>23</v>
      </c>
      <c r="D371" s="10" t="s">
        <v>115</v>
      </c>
      <c r="E371" s="10" t="s">
        <v>25</v>
      </c>
      <c r="F371" s="38">
        <v>4.9134383034128204</v>
      </c>
      <c r="G371" s="49">
        <v>95.6</v>
      </c>
      <c r="H371" s="49">
        <v>105.3</v>
      </c>
      <c r="I371" s="49">
        <v>117.45</v>
      </c>
      <c r="J371" s="49">
        <v>125.08</v>
      </c>
      <c r="K371" s="49">
        <v>124.06</v>
      </c>
      <c r="L371" s="49">
        <v>136.1</v>
      </c>
      <c r="M371" s="49">
        <v>147.08000000000001</v>
      </c>
      <c r="N371" s="49">
        <v>165.44</v>
      </c>
      <c r="O371" s="49">
        <v>171.83</v>
      </c>
      <c r="P371" s="49">
        <v>187.43</v>
      </c>
      <c r="Q371" s="49">
        <v>197.38</v>
      </c>
      <c r="R371" s="49">
        <v>205.73</v>
      </c>
      <c r="S371" s="49">
        <v>203.66</v>
      </c>
      <c r="T371" s="49">
        <v>217.7</v>
      </c>
      <c r="U371" s="49">
        <v>235.58</v>
      </c>
      <c r="V371" s="49">
        <v>249.35</v>
      </c>
      <c r="W371" s="52">
        <v>248.19</v>
      </c>
      <c r="X371" s="100">
        <v>3.8113825232938936E-2</v>
      </c>
      <c r="Y371" s="100">
        <v>4.6332795614151934E-2</v>
      </c>
      <c r="Z371" s="100">
        <v>5.0563946816279737E-2</v>
      </c>
      <c r="AA371" s="100">
        <v>4.9134383034127982E-2</v>
      </c>
    </row>
    <row r="372" spans="1:27" ht="15" x14ac:dyDescent="0.25">
      <c r="A372" s="4">
        <v>260129</v>
      </c>
      <c r="B372" s="10" t="s">
        <v>657</v>
      </c>
      <c r="C372" s="10" t="s">
        <v>23</v>
      </c>
      <c r="D372" s="10" t="s">
        <v>658</v>
      </c>
      <c r="E372" s="10" t="s">
        <v>59</v>
      </c>
      <c r="F372" s="38">
        <v>4.6751137180081734</v>
      </c>
      <c r="G372" s="49">
        <v>123945</v>
      </c>
      <c r="H372" s="49">
        <v>97278</v>
      </c>
      <c r="I372" s="49">
        <v>82959</v>
      </c>
      <c r="J372" s="49">
        <v>90146</v>
      </c>
      <c r="K372" s="49">
        <v>117154</v>
      </c>
      <c r="L372" s="49">
        <v>94836</v>
      </c>
      <c r="M372" s="49">
        <v>81797</v>
      </c>
      <c r="N372" s="49">
        <v>89498</v>
      </c>
      <c r="O372" s="49">
        <v>119575</v>
      </c>
      <c r="P372" s="49">
        <v>90753</v>
      </c>
      <c r="Q372" s="49">
        <v>85777</v>
      </c>
      <c r="R372" s="49">
        <v>94930</v>
      </c>
      <c r="S372" s="49">
        <v>124300</v>
      </c>
      <c r="T372" s="49">
        <v>95359</v>
      </c>
      <c r="U372" s="49">
        <v>94036</v>
      </c>
      <c r="V372" s="49">
        <v>102466</v>
      </c>
      <c r="W372" s="52">
        <v>143756</v>
      </c>
      <c r="X372" s="100">
        <v>1.1638366686880897E-2</v>
      </c>
      <c r="Y372" s="100">
        <v>2.06286248083003E-2</v>
      </c>
      <c r="Z372" s="100">
        <v>1.8442337106148621E-2</v>
      </c>
      <c r="AA372" s="100">
        <v>4.6751137180081725E-2</v>
      </c>
    </row>
    <row r="373" spans="1:27" ht="15" x14ac:dyDescent="0.25">
      <c r="A373" s="4">
        <v>260129</v>
      </c>
      <c r="B373" s="10" t="s">
        <v>659</v>
      </c>
      <c r="C373" s="10" t="s">
        <v>23</v>
      </c>
      <c r="D373" s="10" t="s">
        <v>177</v>
      </c>
      <c r="E373" s="10" t="s">
        <v>25</v>
      </c>
      <c r="F373" s="38">
        <v>4.5555101889313656</v>
      </c>
      <c r="G373" s="49">
        <v>618.89</v>
      </c>
      <c r="H373" s="49">
        <v>609.80999999999995</v>
      </c>
      <c r="I373" s="49">
        <v>529.5</v>
      </c>
      <c r="J373" s="49">
        <v>472.57</v>
      </c>
      <c r="K373" s="49">
        <v>395.94</v>
      </c>
      <c r="L373" s="49">
        <v>496.02</v>
      </c>
      <c r="M373" s="49">
        <v>365.64</v>
      </c>
      <c r="N373" s="49">
        <v>469.41</v>
      </c>
      <c r="O373" s="49">
        <v>352.44</v>
      </c>
      <c r="P373" s="49">
        <v>490.19</v>
      </c>
      <c r="Q373" s="49">
        <v>520.17999999999995</v>
      </c>
      <c r="R373" s="49">
        <v>547.11</v>
      </c>
      <c r="S373" s="50">
        <v>660.31</v>
      </c>
      <c r="T373" s="49">
        <v>675.97</v>
      </c>
      <c r="U373" s="49">
        <v>734.14</v>
      </c>
      <c r="V373" s="49">
        <v>623.67999999999995</v>
      </c>
      <c r="W373" s="52">
        <v>783.04</v>
      </c>
      <c r="X373" s="100">
        <v>8.3768075426437827E-2</v>
      </c>
      <c r="Y373" s="100">
        <v>8.9017586340319088E-2</v>
      </c>
      <c r="Z373" s="100">
        <v>2.9252768831684817E-2</v>
      </c>
      <c r="AA373" s="100">
        <v>4.5555101889313665E-2</v>
      </c>
    </row>
    <row r="374" spans="1:27" ht="15" x14ac:dyDescent="0.25">
      <c r="A374" s="4">
        <v>260129</v>
      </c>
      <c r="B374" s="10" t="s">
        <v>660</v>
      </c>
      <c r="C374" s="10" t="s">
        <v>23</v>
      </c>
      <c r="D374" s="10" t="s">
        <v>474</v>
      </c>
      <c r="E374" s="10" t="s">
        <v>25</v>
      </c>
      <c r="F374" s="38">
        <v>4.5120687788962499</v>
      </c>
      <c r="G374" s="49">
        <v>13798</v>
      </c>
      <c r="H374" s="49">
        <v>13589</v>
      </c>
      <c r="I374" s="49">
        <v>14247</v>
      </c>
      <c r="J374" s="49">
        <v>14994</v>
      </c>
      <c r="K374" s="49">
        <v>16597</v>
      </c>
      <c r="L374" s="49">
        <v>15862</v>
      </c>
      <c r="M374" s="49">
        <v>17318</v>
      </c>
      <c r="N374" s="49">
        <v>16810</v>
      </c>
      <c r="O374" s="49">
        <v>17070</v>
      </c>
      <c r="P374" s="49">
        <v>15799</v>
      </c>
      <c r="Q374" s="49">
        <v>16689</v>
      </c>
      <c r="R374" s="49">
        <v>16106</v>
      </c>
      <c r="S374" s="49">
        <v>16215</v>
      </c>
      <c r="T374" s="49">
        <v>14249</v>
      </c>
      <c r="U374" s="49">
        <v>16569</v>
      </c>
      <c r="V374" s="49">
        <v>17638</v>
      </c>
      <c r="W374" s="52">
        <v>19133</v>
      </c>
      <c r="X374" s="100">
        <v>-2.3916431359842005E-2</v>
      </c>
      <c r="Y374" s="100">
        <v>-1.8969632779525236E-3</v>
      </c>
      <c r="Z374" s="100">
        <v>2.4263925624415927E-2</v>
      </c>
      <c r="AA374" s="100">
        <v>4.5120687788962499E-2</v>
      </c>
    </row>
    <row r="375" spans="1:27" ht="15" x14ac:dyDescent="0.25">
      <c r="A375" s="4">
        <v>260129</v>
      </c>
      <c r="B375" s="10" t="s">
        <v>661</v>
      </c>
      <c r="C375" s="10" t="s">
        <v>23</v>
      </c>
      <c r="D375" s="10" t="s">
        <v>99</v>
      </c>
      <c r="E375" s="10" t="s">
        <v>25</v>
      </c>
      <c r="F375" s="38">
        <v>4.1844061765266671</v>
      </c>
      <c r="G375" s="49">
        <v>5216</v>
      </c>
      <c r="H375" s="49">
        <v>5167</v>
      </c>
      <c r="I375" s="49">
        <v>5497</v>
      </c>
      <c r="J375" s="49">
        <v>5756</v>
      </c>
      <c r="K375" s="49">
        <v>5817</v>
      </c>
      <c r="L375" s="49">
        <v>5748</v>
      </c>
      <c r="M375" s="49">
        <v>6269</v>
      </c>
      <c r="N375" s="49">
        <v>6533</v>
      </c>
      <c r="O375" s="49">
        <v>6548</v>
      </c>
      <c r="P375" s="49">
        <v>6348</v>
      </c>
      <c r="Q375" s="49">
        <v>6961</v>
      </c>
      <c r="R375" s="49">
        <v>7369</v>
      </c>
      <c r="S375" s="49">
        <v>7489</v>
      </c>
      <c r="T375" s="49">
        <v>7250</v>
      </c>
      <c r="U375" s="49">
        <v>8133</v>
      </c>
      <c r="V375" s="49">
        <v>8602</v>
      </c>
      <c r="W375" s="52">
        <v>8806</v>
      </c>
      <c r="X375" s="100">
        <v>3.2023289665211063E-2</v>
      </c>
      <c r="Y375" s="100">
        <v>4.0317864391619995E-2</v>
      </c>
      <c r="Z375" s="100">
        <v>4.0772461228133938E-2</v>
      </c>
      <c r="AA375" s="100">
        <v>4.1844061765266671E-2</v>
      </c>
    </row>
    <row r="376" spans="1:27" ht="15" x14ac:dyDescent="0.25">
      <c r="A376" s="4">
        <v>260129</v>
      </c>
      <c r="B376" s="10" t="s">
        <v>662</v>
      </c>
      <c r="C376" s="10" t="s">
        <v>23</v>
      </c>
      <c r="D376" s="10" t="s">
        <v>153</v>
      </c>
      <c r="E376" s="10" t="s">
        <v>25</v>
      </c>
      <c r="F376" s="38">
        <v>4.0775290215588678</v>
      </c>
      <c r="G376" s="49">
        <v>136.29</v>
      </c>
      <c r="H376" s="49">
        <v>173.3</v>
      </c>
      <c r="I376" s="49">
        <v>199.93</v>
      </c>
      <c r="J376" s="49">
        <v>191.19</v>
      </c>
      <c r="K376" s="49">
        <v>171.09</v>
      </c>
      <c r="L376" s="49">
        <v>195.69</v>
      </c>
      <c r="M376" s="49">
        <v>203.36</v>
      </c>
      <c r="N376" s="49">
        <v>203.65</v>
      </c>
      <c r="O376" s="49">
        <v>174.97</v>
      </c>
      <c r="P376" s="49">
        <v>210.86</v>
      </c>
      <c r="Q376" s="49">
        <v>226.18</v>
      </c>
      <c r="R376" s="49">
        <v>227.93</v>
      </c>
      <c r="S376" s="49">
        <v>193.65</v>
      </c>
      <c r="T376" s="49">
        <v>230.55</v>
      </c>
      <c r="U376" s="49">
        <v>263.64999999999998</v>
      </c>
      <c r="V376" s="49">
        <v>276.95</v>
      </c>
      <c r="W376" s="52">
        <v>232.99</v>
      </c>
      <c r="X376" s="100">
        <v>2.2932146933451358E-2</v>
      </c>
      <c r="Y376" s="100">
        <v>4.2661474877890626E-2</v>
      </c>
      <c r="Z376" s="100">
        <v>5.3528139946275255E-2</v>
      </c>
      <c r="AA376" s="100">
        <v>4.0775290215588678E-2</v>
      </c>
    </row>
    <row r="377" spans="1:27" ht="15" x14ac:dyDescent="0.25">
      <c r="A377" s="4">
        <v>260129</v>
      </c>
      <c r="B377" s="10" t="s">
        <v>663</v>
      </c>
      <c r="C377" s="10" t="s">
        <v>23</v>
      </c>
      <c r="D377" s="10" t="s">
        <v>153</v>
      </c>
      <c r="E377" s="10" t="s">
        <v>25</v>
      </c>
      <c r="F377" s="38">
        <v>3.7643207855973859</v>
      </c>
      <c r="G377" s="49">
        <v>185.71</v>
      </c>
      <c r="H377" s="49">
        <v>189.28</v>
      </c>
      <c r="I377" s="49">
        <v>184.74</v>
      </c>
      <c r="J377" s="49">
        <v>180.6</v>
      </c>
      <c r="K377" s="49">
        <v>187.79</v>
      </c>
      <c r="L377" s="49">
        <v>184.33</v>
      </c>
      <c r="M377" s="49">
        <v>188.33</v>
      </c>
      <c r="N377" s="49">
        <v>184.77</v>
      </c>
      <c r="O377" s="49">
        <v>178.4</v>
      </c>
      <c r="P377" s="49">
        <v>177.27</v>
      </c>
      <c r="Q377" s="49">
        <v>180.19</v>
      </c>
      <c r="R377" s="49">
        <v>170.46</v>
      </c>
      <c r="S377" s="49">
        <v>189.81</v>
      </c>
      <c r="T377" s="49">
        <v>207.78</v>
      </c>
      <c r="U377" s="49">
        <v>222.05</v>
      </c>
      <c r="V377" s="49">
        <v>217.43</v>
      </c>
      <c r="W377" s="52">
        <v>221.32</v>
      </c>
      <c r="X377" s="100">
        <v>4.250902149833502E-2</v>
      </c>
      <c r="Y377" s="100">
        <v>5.5944616700523753E-2</v>
      </c>
      <c r="Z377" s="100">
        <v>5.9448171117580273E-2</v>
      </c>
      <c r="AA377" s="100">
        <v>3.7643207855973415E-2</v>
      </c>
    </row>
    <row r="378" spans="1:27" ht="15" x14ac:dyDescent="0.25">
      <c r="A378" s="4">
        <v>260129</v>
      </c>
      <c r="B378" s="10" t="s">
        <v>664</v>
      </c>
      <c r="C378" s="10" t="s">
        <v>23</v>
      </c>
      <c r="D378" s="10" t="s">
        <v>99</v>
      </c>
      <c r="E378" s="10" t="s">
        <v>25</v>
      </c>
      <c r="F378" s="38">
        <v>3.7465125548027172</v>
      </c>
      <c r="G378" s="49">
        <v>0</v>
      </c>
      <c r="H378" s="49">
        <v>728</v>
      </c>
      <c r="I378" s="49">
        <v>489</v>
      </c>
      <c r="J378" s="49">
        <v>675</v>
      </c>
      <c r="K378" s="50">
        <v>341</v>
      </c>
      <c r="L378" s="50">
        <v>1182</v>
      </c>
      <c r="M378" s="49">
        <v>616</v>
      </c>
      <c r="N378" s="49">
        <v>727</v>
      </c>
      <c r="O378" s="49">
        <v>534</v>
      </c>
      <c r="P378" s="49">
        <v>670</v>
      </c>
      <c r="Q378" s="49">
        <v>649</v>
      </c>
      <c r="R378" s="49">
        <v>614</v>
      </c>
      <c r="S378" s="49">
        <v>508</v>
      </c>
      <c r="T378" s="49">
        <v>674</v>
      </c>
      <c r="U378" s="49">
        <v>655</v>
      </c>
      <c r="V378" s="49">
        <v>672</v>
      </c>
      <c r="W378" s="52">
        <v>602</v>
      </c>
      <c r="X378" s="100">
        <v>1.6386726751331793E-3</v>
      </c>
      <c r="Y378" s="100">
        <v>2.4539877300613355E-3</v>
      </c>
      <c r="Z378" s="100">
        <v>2.3663810689514397E-2</v>
      </c>
      <c r="AA378" s="100">
        <v>3.7465125548027167E-2</v>
      </c>
    </row>
    <row r="379" spans="1:27" ht="15" x14ac:dyDescent="0.25">
      <c r="A379" s="4">
        <v>260129</v>
      </c>
      <c r="B379" s="10" t="s">
        <v>554</v>
      </c>
      <c r="C379" s="10" t="s">
        <v>23</v>
      </c>
      <c r="D379" s="10" t="s">
        <v>29</v>
      </c>
      <c r="E379" s="10" t="s">
        <v>25</v>
      </c>
      <c r="F379" s="38">
        <v>3.6874753840094638</v>
      </c>
      <c r="G379" s="49">
        <v>85.01</v>
      </c>
      <c r="H379" s="49">
        <v>80.53</v>
      </c>
      <c r="I379" s="49">
        <v>83.79</v>
      </c>
      <c r="J379" s="49">
        <v>87.77</v>
      </c>
      <c r="K379" s="49">
        <v>89.39</v>
      </c>
      <c r="L379" s="49">
        <v>89.84</v>
      </c>
      <c r="M379" s="49">
        <v>91.24</v>
      </c>
      <c r="N379" s="49">
        <v>92.83</v>
      </c>
      <c r="O379" s="49">
        <v>89.5</v>
      </c>
      <c r="P379" s="49">
        <v>86.59</v>
      </c>
      <c r="Q379" s="49">
        <v>97.59</v>
      </c>
      <c r="R379" s="49">
        <v>96.21</v>
      </c>
      <c r="S379" s="49">
        <v>95.14</v>
      </c>
      <c r="T379" s="49">
        <v>100.78</v>
      </c>
      <c r="U379" s="49">
        <v>100.56</v>
      </c>
      <c r="V379" s="49">
        <v>109.76</v>
      </c>
      <c r="W379" s="52">
        <v>110.12</v>
      </c>
      <c r="X379" s="100">
        <v>3.7786594945810048E-2</v>
      </c>
      <c r="Y379" s="100">
        <v>7.6208559991788327E-3</v>
      </c>
      <c r="Z379" s="100">
        <v>3.4505589650869695E-2</v>
      </c>
      <c r="AA379" s="100">
        <v>3.6874753840094643E-2</v>
      </c>
    </row>
    <row r="380" spans="1:27" ht="15" x14ac:dyDescent="0.25">
      <c r="A380" s="4">
        <v>260129</v>
      </c>
      <c r="B380" s="10" t="s">
        <v>665</v>
      </c>
      <c r="C380" s="10" t="s">
        <v>23</v>
      </c>
      <c r="D380" s="10" t="s">
        <v>666</v>
      </c>
      <c r="E380" s="10" t="s">
        <v>25</v>
      </c>
      <c r="F380" s="38">
        <v>3.6695427948031378</v>
      </c>
      <c r="G380" s="49">
        <v>5086</v>
      </c>
      <c r="H380" s="49">
        <v>4819</v>
      </c>
      <c r="I380" s="49">
        <v>5374</v>
      </c>
      <c r="J380" s="49">
        <v>5412</v>
      </c>
      <c r="K380" s="49">
        <v>5083</v>
      </c>
      <c r="L380" s="49">
        <v>4763</v>
      </c>
      <c r="M380" s="49">
        <v>5438</v>
      </c>
      <c r="N380" s="49">
        <v>5277</v>
      </c>
      <c r="O380" s="49">
        <v>5024</v>
      </c>
      <c r="P380" s="49">
        <v>4717</v>
      </c>
      <c r="Q380" s="49">
        <v>5277</v>
      </c>
      <c r="R380" s="49">
        <v>5344</v>
      </c>
      <c r="S380" s="49">
        <v>5106</v>
      </c>
      <c r="T380" s="49">
        <v>4519</v>
      </c>
      <c r="U380" s="49">
        <v>5290</v>
      </c>
      <c r="V380" s="49">
        <v>5251</v>
      </c>
      <c r="W380" s="52">
        <v>5846</v>
      </c>
      <c r="X380" s="100">
        <v>-9.6849931520250898E-3</v>
      </c>
      <c r="Y380" s="100">
        <v>6.4210214363336071E-4</v>
      </c>
      <c r="Z380" s="100">
        <v>-4.5905523471050369E-3</v>
      </c>
      <c r="AA380" s="100">
        <v>3.6695427948031378E-2</v>
      </c>
    </row>
    <row r="381" spans="1:27" ht="15" x14ac:dyDescent="0.25">
      <c r="A381" s="4">
        <v>260129</v>
      </c>
      <c r="B381" s="10" t="s">
        <v>667</v>
      </c>
      <c r="C381" s="10" t="s">
        <v>23</v>
      </c>
      <c r="D381" s="10" t="s">
        <v>99</v>
      </c>
      <c r="E381" s="10" t="s">
        <v>25</v>
      </c>
      <c r="F381" s="38">
        <v>3.4775</v>
      </c>
      <c r="G381" s="49">
        <v>7059</v>
      </c>
      <c r="H381" s="49">
        <v>7189</v>
      </c>
      <c r="I381" s="49">
        <v>7275</v>
      </c>
      <c r="J381" s="49">
        <v>7787</v>
      </c>
      <c r="K381" s="49">
        <v>7936</v>
      </c>
      <c r="L381" s="49">
        <v>7985</v>
      </c>
      <c r="M381" s="49">
        <v>8123</v>
      </c>
      <c r="N381" s="49">
        <v>8609</v>
      </c>
      <c r="O381" s="49">
        <v>8634</v>
      </c>
      <c r="P381" s="49">
        <v>8775</v>
      </c>
      <c r="Q381" s="49">
        <v>8900</v>
      </c>
      <c r="R381" s="49">
        <v>9617</v>
      </c>
      <c r="S381" s="49">
        <v>9510</v>
      </c>
      <c r="T381" s="49">
        <v>9594</v>
      </c>
      <c r="U381" s="49">
        <v>10172</v>
      </c>
      <c r="V381" s="49">
        <v>10724</v>
      </c>
      <c r="W381" s="52">
        <v>10901</v>
      </c>
      <c r="X381" s="100">
        <v>2.225422531384158E-2</v>
      </c>
      <c r="Y381" s="100">
        <v>3.3810903484755794E-2</v>
      </c>
      <c r="Z381" s="100">
        <v>2.8462705371146368E-2</v>
      </c>
      <c r="AA381" s="100">
        <v>3.4775E-2</v>
      </c>
    </row>
    <row r="382" spans="1:27" ht="15" x14ac:dyDescent="0.25">
      <c r="A382" s="4">
        <v>260129</v>
      </c>
      <c r="B382" s="10" t="s">
        <v>668</v>
      </c>
      <c r="C382" s="10" t="s">
        <v>23</v>
      </c>
      <c r="D382" s="10" t="s">
        <v>448</v>
      </c>
      <c r="E382" s="10" t="s">
        <v>25</v>
      </c>
      <c r="F382" s="38">
        <v>3.4529320987654271</v>
      </c>
      <c r="G382" s="49">
        <v>1431</v>
      </c>
      <c r="H382" s="49">
        <v>1696</v>
      </c>
      <c r="I382" s="49">
        <v>1836</v>
      </c>
      <c r="J382" s="49">
        <v>1698</v>
      </c>
      <c r="K382" s="49">
        <v>1583</v>
      </c>
      <c r="L382" s="49">
        <v>1744</v>
      </c>
      <c r="M382" s="49">
        <v>1702</v>
      </c>
      <c r="N382" s="49">
        <v>1594</v>
      </c>
      <c r="O382" s="49">
        <v>1362</v>
      </c>
      <c r="P382" s="49">
        <v>1365</v>
      </c>
      <c r="Q382" s="49">
        <v>1444</v>
      </c>
      <c r="R382" s="49">
        <v>1273</v>
      </c>
      <c r="S382" s="49">
        <v>1155</v>
      </c>
      <c r="T382" s="49">
        <v>1222</v>
      </c>
      <c r="U382" s="49">
        <v>1447</v>
      </c>
      <c r="V382" s="49">
        <v>1360</v>
      </c>
      <c r="W382" s="52">
        <v>1334</v>
      </c>
      <c r="X382" s="100">
        <v>-2.7305709375596732E-2</v>
      </c>
      <c r="Y382" s="100">
        <v>5.8892815076561078E-4</v>
      </c>
      <c r="Z382" s="100">
        <v>1.7068864037669274E-2</v>
      </c>
      <c r="AA382" s="100">
        <v>3.4529320987654266E-2</v>
      </c>
    </row>
    <row r="383" spans="1:27" ht="15" x14ac:dyDescent="0.25">
      <c r="A383" s="4">
        <v>260129</v>
      </c>
      <c r="B383" s="10" t="s">
        <v>669</v>
      </c>
      <c r="C383" s="10" t="s">
        <v>23</v>
      </c>
      <c r="D383" s="10" t="s">
        <v>95</v>
      </c>
      <c r="E383" s="10" t="s">
        <v>25</v>
      </c>
      <c r="F383" s="38">
        <v>3.3371401024958169</v>
      </c>
      <c r="G383" s="49">
        <v>321.64999999999998</v>
      </c>
      <c r="H383" s="49">
        <v>324.76</v>
      </c>
      <c r="I383" s="49">
        <v>366.01</v>
      </c>
      <c r="J383" s="49">
        <v>381.14</v>
      </c>
      <c r="K383" s="49">
        <v>373.9</v>
      </c>
      <c r="L383" s="49">
        <v>382.19</v>
      </c>
      <c r="M383" s="49">
        <v>433.23</v>
      </c>
      <c r="N383" s="49">
        <v>402.66</v>
      </c>
      <c r="O383" s="49">
        <v>391.5</v>
      </c>
      <c r="P383" s="49">
        <v>396.37</v>
      </c>
      <c r="Q383" s="49">
        <v>402.58</v>
      </c>
      <c r="R383" s="49">
        <v>408.46</v>
      </c>
      <c r="S383" s="49">
        <v>424.68</v>
      </c>
      <c r="T383" s="49">
        <v>423.54</v>
      </c>
      <c r="U383" s="49">
        <v>424.84</v>
      </c>
      <c r="V383" s="49">
        <v>469.45</v>
      </c>
      <c r="W383" s="52">
        <v>482.83</v>
      </c>
      <c r="X383" s="100">
        <v>1.6647366260438945E-2</v>
      </c>
      <c r="Y383" s="100">
        <v>1.3415619010884283E-2</v>
      </c>
      <c r="Z383" s="100">
        <v>3.6270755031162283E-2</v>
      </c>
      <c r="AA383" s="100">
        <v>3.3371401024958169E-2</v>
      </c>
    </row>
    <row r="384" spans="1:27" ht="15" x14ac:dyDescent="0.25">
      <c r="A384" s="4">
        <v>260129</v>
      </c>
      <c r="B384" s="10" t="s">
        <v>670</v>
      </c>
      <c r="C384" s="10" t="s">
        <v>23</v>
      </c>
      <c r="D384" s="10" t="s">
        <v>177</v>
      </c>
      <c r="E384" s="10" t="s">
        <v>25</v>
      </c>
      <c r="F384" s="38">
        <v>3.1599079837977269</v>
      </c>
      <c r="G384" s="49">
        <v>1001</v>
      </c>
      <c r="H384" s="49">
        <v>692.99</v>
      </c>
      <c r="I384" s="49">
        <v>635.84</v>
      </c>
      <c r="J384" s="49">
        <v>724.09</v>
      </c>
      <c r="K384" s="49">
        <v>720.25</v>
      </c>
      <c r="L384" s="49">
        <v>542.34</v>
      </c>
      <c r="M384" s="49">
        <v>643.91</v>
      </c>
      <c r="N384" s="49">
        <v>524.9</v>
      </c>
      <c r="O384" s="49">
        <v>809.91</v>
      </c>
      <c r="P384" s="49">
        <v>763.42</v>
      </c>
      <c r="Q384" s="49">
        <v>683.46</v>
      </c>
      <c r="R384" s="49">
        <v>790.73</v>
      </c>
      <c r="S384" s="49">
        <v>811.39</v>
      </c>
      <c r="T384" s="49">
        <v>653.45000000000005</v>
      </c>
      <c r="U384" s="49">
        <v>805.61</v>
      </c>
      <c r="V384" s="49">
        <v>746.41</v>
      </c>
      <c r="W384" s="52">
        <v>906.72</v>
      </c>
      <c r="X384" s="100">
        <v>-3.6067563135454339E-2</v>
      </c>
      <c r="Y384" s="100">
        <v>4.1561331459699424E-2</v>
      </c>
      <c r="Z384" s="100">
        <v>-1.447807708138682E-2</v>
      </c>
      <c r="AA384" s="100">
        <v>3.1599079837977051E-2</v>
      </c>
    </row>
    <row r="385" spans="1:27" ht="15" x14ac:dyDescent="0.25">
      <c r="A385" s="4">
        <v>260129</v>
      </c>
      <c r="B385" s="10" t="s">
        <v>671</v>
      </c>
      <c r="C385" s="10" t="s">
        <v>23</v>
      </c>
      <c r="D385" s="10" t="s">
        <v>101</v>
      </c>
      <c r="E385" s="10" t="s">
        <v>25</v>
      </c>
      <c r="F385" s="38">
        <v>3.0146425495262812</v>
      </c>
      <c r="G385" s="49">
        <v>4701</v>
      </c>
      <c r="H385" s="49">
        <v>4275</v>
      </c>
      <c r="I385" s="49">
        <v>4493</v>
      </c>
      <c r="J385" s="49">
        <v>4479</v>
      </c>
      <c r="K385" s="49">
        <v>5202</v>
      </c>
      <c r="L385" s="49">
        <v>4778</v>
      </c>
      <c r="M385" s="49">
        <v>4996</v>
      </c>
      <c r="N385" s="49">
        <v>4909</v>
      </c>
      <c r="O385" s="49">
        <v>5815</v>
      </c>
      <c r="P385" s="49">
        <v>5243</v>
      </c>
      <c r="Q385" s="49">
        <v>5422</v>
      </c>
      <c r="R385" s="49">
        <v>5494</v>
      </c>
      <c r="S385" s="49">
        <v>6436</v>
      </c>
      <c r="T385" s="49">
        <v>5866</v>
      </c>
      <c r="U385" s="49">
        <v>6022</v>
      </c>
      <c r="V385" s="49">
        <v>6057</v>
      </c>
      <c r="W385" s="52">
        <v>7171</v>
      </c>
      <c r="X385" s="100">
        <v>2.7572471785793251E-2</v>
      </c>
      <c r="Y385" s="100">
        <v>2.584201912309414E-2</v>
      </c>
      <c r="Z385" s="100">
        <v>2.363758501973301E-2</v>
      </c>
      <c r="AA385" s="100">
        <v>3.0146425495262807E-2</v>
      </c>
    </row>
    <row r="386" spans="1:27" ht="15" x14ac:dyDescent="0.25">
      <c r="A386" s="4">
        <v>260129</v>
      </c>
      <c r="B386" s="10" t="s">
        <v>672</v>
      </c>
      <c r="C386" s="10" t="s">
        <v>23</v>
      </c>
      <c r="D386" s="10" t="s">
        <v>673</v>
      </c>
      <c r="E386" s="10" t="s">
        <v>25</v>
      </c>
      <c r="F386" s="38">
        <v>2.8559958708493478</v>
      </c>
      <c r="G386" s="49">
        <v>982.25</v>
      </c>
      <c r="H386" s="49">
        <v>1059</v>
      </c>
      <c r="I386" s="49">
        <v>2184</v>
      </c>
      <c r="J386" s="49">
        <v>2993</v>
      </c>
      <c r="K386" s="50">
        <v>2603</v>
      </c>
      <c r="L386" s="50">
        <v>2886</v>
      </c>
      <c r="M386" s="50">
        <v>3523</v>
      </c>
      <c r="N386" s="49">
        <v>4160</v>
      </c>
      <c r="O386" s="49">
        <v>3331</v>
      </c>
      <c r="P386" s="49">
        <v>3728</v>
      </c>
      <c r="Q386" s="49">
        <v>4110</v>
      </c>
      <c r="R386" s="49">
        <v>4886</v>
      </c>
      <c r="S386" s="49">
        <v>3761</v>
      </c>
      <c r="T386" s="49">
        <v>3999</v>
      </c>
      <c r="U386" s="49">
        <v>4538</v>
      </c>
      <c r="V386" s="49">
        <v>5139</v>
      </c>
      <c r="W386" s="52">
        <v>4259</v>
      </c>
      <c r="X386" s="100">
        <v>1.6439187139824174E-2</v>
      </c>
      <c r="Y386" s="100">
        <v>2.554308904273106E-2</v>
      </c>
      <c r="Z386" s="100">
        <v>1.4722998137802534E-2</v>
      </c>
      <c r="AA386" s="100">
        <v>2.8559958708493483E-2</v>
      </c>
    </row>
    <row r="387" spans="1:27" ht="15" x14ac:dyDescent="0.25">
      <c r="A387" s="4">
        <v>260129</v>
      </c>
      <c r="B387" s="10" t="s">
        <v>674</v>
      </c>
      <c r="C387" s="10" t="s">
        <v>23</v>
      </c>
      <c r="D387" s="10" t="s">
        <v>54</v>
      </c>
      <c r="E387" s="10" t="s">
        <v>59</v>
      </c>
      <c r="F387" s="38">
        <v>2.7498029191292068</v>
      </c>
      <c r="G387" s="49">
        <v>431.71</v>
      </c>
      <c r="H387" s="49">
        <v>505.48</v>
      </c>
      <c r="I387" s="49">
        <v>588.34</v>
      </c>
      <c r="J387" s="49">
        <v>577.39</v>
      </c>
      <c r="K387" s="49">
        <v>500.6</v>
      </c>
      <c r="L387" s="49">
        <v>476.38</v>
      </c>
      <c r="M387" s="49">
        <v>475.88</v>
      </c>
      <c r="N387" s="49">
        <v>452.03</v>
      </c>
      <c r="O387" s="49">
        <v>446.77</v>
      </c>
      <c r="P387" s="49">
        <v>420.12</v>
      </c>
      <c r="Q387" s="49">
        <v>477.6</v>
      </c>
      <c r="R387" s="49">
        <v>507.46</v>
      </c>
      <c r="S387" s="49">
        <v>522.04</v>
      </c>
      <c r="T387" s="49">
        <v>508.36</v>
      </c>
      <c r="U387" s="49">
        <v>556.86</v>
      </c>
      <c r="V387" s="49">
        <v>556.53</v>
      </c>
      <c r="W387" s="52">
        <v>580.99</v>
      </c>
      <c r="X387" s="100">
        <v>4.5786158300557211E-2</v>
      </c>
      <c r="Y387" s="100">
        <v>3.9326009943139617E-2</v>
      </c>
      <c r="Z387" s="100">
        <v>2.3425565230675183E-2</v>
      </c>
      <c r="AA387" s="100">
        <v>2.7498029191292073E-2</v>
      </c>
    </row>
    <row r="388" spans="1:27" ht="15" x14ac:dyDescent="0.25">
      <c r="A388" s="4">
        <v>260129</v>
      </c>
      <c r="B388" s="10" t="s">
        <v>675</v>
      </c>
      <c r="C388" s="10" t="s">
        <v>23</v>
      </c>
      <c r="D388" s="10" t="s">
        <v>676</v>
      </c>
      <c r="E388" s="10" t="s">
        <v>25</v>
      </c>
      <c r="F388" s="38">
        <v>2.68162799543552</v>
      </c>
      <c r="G388" s="49">
        <v>894.87</v>
      </c>
      <c r="H388" s="49">
        <v>864.5</v>
      </c>
      <c r="I388" s="49">
        <v>914.74</v>
      </c>
      <c r="J388" s="49">
        <v>950.29</v>
      </c>
      <c r="K388" s="49">
        <v>1034</v>
      </c>
      <c r="L388" s="49">
        <v>1117</v>
      </c>
      <c r="M388" s="49">
        <v>1122</v>
      </c>
      <c r="N388" s="49">
        <v>1102</v>
      </c>
      <c r="O388" s="49">
        <v>1163</v>
      </c>
      <c r="P388" s="49">
        <v>1197</v>
      </c>
      <c r="Q388" s="49">
        <v>1223</v>
      </c>
      <c r="R388" s="49">
        <v>1225</v>
      </c>
      <c r="S388" s="49">
        <v>1282</v>
      </c>
      <c r="T388" s="49">
        <v>1292</v>
      </c>
      <c r="U388" s="49">
        <v>1348</v>
      </c>
      <c r="V388" s="49">
        <v>1336</v>
      </c>
      <c r="W388" s="52">
        <v>1423</v>
      </c>
      <c r="X388" s="100">
        <v>1.928151004668166E-2</v>
      </c>
      <c r="Y388" s="100">
        <v>2.4890481879729087E-2</v>
      </c>
      <c r="Z388" s="100">
        <v>2.156596075383721E-2</v>
      </c>
      <c r="AA388" s="100">
        <v>2.6816279954355204E-2</v>
      </c>
    </row>
    <row r="389" spans="1:27" ht="15" x14ac:dyDescent="0.25">
      <c r="A389" s="4">
        <v>260129</v>
      </c>
      <c r="B389" s="10" t="s">
        <v>677</v>
      </c>
      <c r="C389" s="10" t="s">
        <v>23</v>
      </c>
      <c r="D389" s="10" t="s">
        <v>29</v>
      </c>
      <c r="E389" s="10" t="s">
        <v>25</v>
      </c>
      <c r="F389" s="38">
        <v>2.633476502492393</v>
      </c>
      <c r="G389" s="49">
        <v>68</v>
      </c>
      <c r="H389" s="49">
        <v>69.33</v>
      </c>
      <c r="I389" s="49">
        <v>72.98</v>
      </c>
      <c r="J389" s="49">
        <v>79.89</v>
      </c>
      <c r="K389" s="49">
        <v>81.31</v>
      </c>
      <c r="L389" s="49">
        <v>75.599999999999994</v>
      </c>
      <c r="M389" s="49">
        <v>74.62</v>
      </c>
      <c r="N389" s="49">
        <v>74.959999999999994</v>
      </c>
      <c r="O389" s="49">
        <v>76.41</v>
      </c>
      <c r="P389" s="49">
        <v>78.099999999999994</v>
      </c>
      <c r="Q389" s="49">
        <v>76.02</v>
      </c>
      <c r="R389" s="49">
        <v>74.14</v>
      </c>
      <c r="S389" s="49">
        <v>76.33</v>
      </c>
      <c r="T389" s="49">
        <v>77.62</v>
      </c>
      <c r="U389" s="49">
        <v>80.540000000000006</v>
      </c>
      <c r="V389" s="49">
        <v>84.48</v>
      </c>
      <c r="W389" s="52">
        <v>84.73</v>
      </c>
      <c r="X389" s="100">
        <v>-1.5758888998324005E-3</v>
      </c>
      <c r="Y389" s="100">
        <v>1.4863042977869778E-2</v>
      </c>
      <c r="Z389" s="100">
        <v>3.3502899912516648E-2</v>
      </c>
      <c r="AA389" s="100">
        <v>2.6334765024924156E-2</v>
      </c>
    </row>
    <row r="390" spans="1:27" ht="15" x14ac:dyDescent="0.25">
      <c r="A390" s="4">
        <v>260129</v>
      </c>
      <c r="B390" s="10" t="s">
        <v>678</v>
      </c>
      <c r="C390" s="10" t="s">
        <v>23</v>
      </c>
      <c r="D390" s="10" t="s">
        <v>65</v>
      </c>
      <c r="E390" s="10" t="s">
        <v>25</v>
      </c>
      <c r="F390" s="38">
        <v>2.5225512892153019</v>
      </c>
      <c r="G390" s="49">
        <v>276.68</v>
      </c>
      <c r="H390" s="49">
        <v>290.48</v>
      </c>
      <c r="I390" s="49">
        <v>336.82</v>
      </c>
      <c r="J390" s="49">
        <v>268.07</v>
      </c>
      <c r="K390" s="49">
        <v>295.60000000000002</v>
      </c>
      <c r="L390" s="49">
        <v>302.89</v>
      </c>
      <c r="M390" s="49">
        <v>411.87</v>
      </c>
      <c r="N390" s="49">
        <v>279.20999999999998</v>
      </c>
      <c r="O390" s="49">
        <v>373.24</v>
      </c>
      <c r="P390" s="49">
        <v>405.41</v>
      </c>
      <c r="Q390" s="49">
        <v>480.91</v>
      </c>
      <c r="R390" s="49">
        <v>344.01</v>
      </c>
      <c r="S390" s="49">
        <v>419.82</v>
      </c>
      <c r="T390" s="49">
        <v>444.35</v>
      </c>
      <c r="U390" s="49">
        <v>504.99</v>
      </c>
      <c r="V390" s="49">
        <v>384.62</v>
      </c>
      <c r="W390" s="52">
        <v>464.06</v>
      </c>
      <c r="X390" s="100">
        <v>2.3597854740478263E-2</v>
      </c>
      <c r="Y390" s="100">
        <v>1.4256197123895031E-2</v>
      </c>
      <c r="Z390" s="100">
        <v>2.3704594406859902E-2</v>
      </c>
      <c r="AA390" s="100">
        <v>2.5225512892152802E-2</v>
      </c>
    </row>
    <row r="391" spans="1:27" ht="15" x14ac:dyDescent="0.25">
      <c r="A391" s="4">
        <v>260129</v>
      </c>
      <c r="B391" s="10" t="s">
        <v>679</v>
      </c>
      <c r="C391" s="10" t="s">
        <v>23</v>
      </c>
      <c r="D391" s="10" t="s">
        <v>680</v>
      </c>
      <c r="E391" s="10" t="s">
        <v>25</v>
      </c>
      <c r="F391" s="38">
        <v>2.497835844516394</v>
      </c>
      <c r="G391" s="49">
        <v>1188</v>
      </c>
      <c r="H391" s="49">
        <v>736.01</v>
      </c>
      <c r="I391" s="49">
        <v>614.46</v>
      </c>
      <c r="J391" s="49">
        <v>875.61</v>
      </c>
      <c r="K391" s="49">
        <v>1346</v>
      </c>
      <c r="L391" s="49">
        <v>791.57</v>
      </c>
      <c r="M391" s="49">
        <v>675.79</v>
      </c>
      <c r="N391" s="49">
        <v>1092</v>
      </c>
      <c r="O391" s="49">
        <v>1560</v>
      </c>
      <c r="P391" s="49">
        <v>959.76</v>
      </c>
      <c r="Q391" s="49">
        <v>825.35</v>
      </c>
      <c r="R391" s="49">
        <v>1311</v>
      </c>
      <c r="S391" s="49">
        <v>1827</v>
      </c>
      <c r="T391" s="49">
        <v>1022</v>
      </c>
      <c r="U391" s="49">
        <v>964.54</v>
      </c>
      <c r="V391" s="49">
        <v>1431</v>
      </c>
      <c r="W391" s="52">
        <v>1958</v>
      </c>
      <c r="X391" s="100">
        <v>1.2642415058773837E-2</v>
      </c>
      <c r="Y391" s="100">
        <v>2.7919805028734146E-2</v>
      </c>
      <c r="Z391" s="100">
        <v>2.3416735941177214E-2</v>
      </c>
      <c r="AA391" s="100">
        <v>2.497835844516394E-2</v>
      </c>
    </row>
    <row r="392" spans="1:27" ht="15" x14ac:dyDescent="0.25">
      <c r="A392" s="4">
        <v>260129</v>
      </c>
      <c r="B392" s="10" t="s">
        <v>681</v>
      </c>
      <c r="C392" s="10" t="s">
        <v>23</v>
      </c>
      <c r="D392" s="10" t="s">
        <v>131</v>
      </c>
      <c r="E392" s="10" t="s">
        <v>25</v>
      </c>
      <c r="F392" s="38">
        <v>2.3163233309247522</v>
      </c>
      <c r="G392" s="49">
        <v>17729</v>
      </c>
      <c r="H392" s="49">
        <v>14964</v>
      </c>
      <c r="I392" s="49">
        <v>15446</v>
      </c>
      <c r="J392" s="49">
        <v>16583</v>
      </c>
      <c r="K392" s="49">
        <v>18991</v>
      </c>
      <c r="L392" s="49">
        <v>15126</v>
      </c>
      <c r="M392" s="49">
        <v>16693</v>
      </c>
      <c r="N392" s="49">
        <v>16878</v>
      </c>
      <c r="O392" s="49">
        <v>18874</v>
      </c>
      <c r="P392" s="49">
        <v>17195</v>
      </c>
      <c r="Q392" s="49">
        <v>18122</v>
      </c>
      <c r="R392" s="49">
        <v>17104</v>
      </c>
      <c r="S392" s="49">
        <v>18622</v>
      </c>
      <c r="T392" s="49">
        <v>17963</v>
      </c>
      <c r="U392" s="49">
        <v>18155</v>
      </c>
      <c r="V392" s="49">
        <v>18609</v>
      </c>
      <c r="W392" s="52">
        <v>20321</v>
      </c>
      <c r="X392" s="100">
        <v>1.0810354292470681E-2</v>
      </c>
      <c r="Y392" s="100">
        <v>4.5953962484857058E-4</v>
      </c>
      <c r="Z392" s="100">
        <v>2.0948165469628632E-2</v>
      </c>
      <c r="AA392" s="100">
        <v>2.3163233309247522E-2</v>
      </c>
    </row>
    <row r="393" spans="1:27" ht="15" x14ac:dyDescent="0.25">
      <c r="A393" s="4">
        <v>260129</v>
      </c>
      <c r="B393" s="10" t="s">
        <v>682</v>
      </c>
      <c r="C393" s="10" t="s">
        <v>23</v>
      </c>
      <c r="D393" s="10" t="s">
        <v>29</v>
      </c>
      <c r="E393" s="10" t="s">
        <v>25</v>
      </c>
      <c r="F393" s="38">
        <v>2.3099767461407068</v>
      </c>
      <c r="G393" s="49">
        <v>349.76</v>
      </c>
      <c r="H393" s="49">
        <v>350.46</v>
      </c>
      <c r="I393" s="49">
        <v>386.14</v>
      </c>
      <c r="J393" s="49">
        <v>455.37</v>
      </c>
      <c r="K393" s="49">
        <v>501.14</v>
      </c>
      <c r="L393" s="49">
        <v>495.98</v>
      </c>
      <c r="M393" s="49">
        <v>478.89</v>
      </c>
      <c r="N393" s="49">
        <v>480.24</v>
      </c>
      <c r="O393" s="49">
        <v>485.92</v>
      </c>
      <c r="P393" s="49">
        <v>487.78</v>
      </c>
      <c r="Q393" s="49">
        <v>492.12</v>
      </c>
      <c r="R393" s="49">
        <v>498.65</v>
      </c>
      <c r="S393" s="49">
        <v>520.17999999999995</v>
      </c>
      <c r="T393" s="49">
        <v>527.16</v>
      </c>
      <c r="U393" s="49">
        <v>533.75</v>
      </c>
      <c r="V393" s="49">
        <v>560.49</v>
      </c>
      <c r="W393" s="52">
        <v>569.65</v>
      </c>
      <c r="X393" s="100">
        <v>1.9702511094544795E-2</v>
      </c>
      <c r="Y393" s="100">
        <v>2.0425786635657639E-2</v>
      </c>
      <c r="Z393" s="100">
        <v>2.973448604152451E-2</v>
      </c>
      <c r="AA393" s="100">
        <v>2.309976746140685E-2</v>
      </c>
    </row>
    <row r="394" spans="1:27" ht="15" x14ac:dyDescent="0.25">
      <c r="A394" s="4">
        <v>260129</v>
      </c>
      <c r="B394" s="10" t="s">
        <v>683</v>
      </c>
      <c r="C394" s="10" t="s">
        <v>23</v>
      </c>
      <c r="D394" s="10" t="s">
        <v>153</v>
      </c>
      <c r="E394" s="10" t="s">
        <v>25</v>
      </c>
      <c r="F394" s="38">
        <v>2.1517723414877792</v>
      </c>
      <c r="G394" s="49">
        <v>3825</v>
      </c>
      <c r="H394" s="49">
        <v>4086</v>
      </c>
      <c r="I394" s="49">
        <v>4188</v>
      </c>
      <c r="J394" s="49">
        <v>4233</v>
      </c>
      <c r="K394" s="49">
        <v>4675</v>
      </c>
      <c r="L394" s="49">
        <v>5062</v>
      </c>
      <c r="M394" s="49">
        <v>5096</v>
      </c>
      <c r="N394" s="49">
        <v>4847</v>
      </c>
      <c r="O394" s="49">
        <v>4821</v>
      </c>
      <c r="P394" s="49">
        <v>5074</v>
      </c>
      <c r="Q394" s="49">
        <v>5187</v>
      </c>
      <c r="R394" s="49">
        <v>4904</v>
      </c>
      <c r="S394" s="49">
        <v>4743</v>
      </c>
      <c r="T394" s="49">
        <v>4960</v>
      </c>
      <c r="U394" s="49">
        <v>5243</v>
      </c>
      <c r="V394" s="49">
        <v>5084</v>
      </c>
      <c r="W394" s="52">
        <v>5174</v>
      </c>
      <c r="X394" s="100">
        <v>-5.72634116937909E-3</v>
      </c>
      <c r="Y394" s="100">
        <v>2.829140143477904E-3</v>
      </c>
      <c r="Z394" s="100">
        <v>9.0680100755666793E-3</v>
      </c>
      <c r="AA394" s="100">
        <v>2.1517723414877787E-2</v>
      </c>
    </row>
    <row r="395" spans="1:27" ht="15" x14ac:dyDescent="0.25">
      <c r="A395" s="4">
        <v>260129</v>
      </c>
      <c r="B395" s="10" t="s">
        <v>684</v>
      </c>
      <c r="C395" s="10" t="s">
        <v>23</v>
      </c>
      <c r="D395" s="10" t="s">
        <v>95</v>
      </c>
      <c r="E395" s="10" t="s">
        <v>25</v>
      </c>
      <c r="F395" s="38">
        <v>2.1498406525144449</v>
      </c>
      <c r="G395" s="49">
        <v>3762</v>
      </c>
      <c r="H395" s="49">
        <v>3627</v>
      </c>
      <c r="I395" s="49">
        <v>3489</v>
      </c>
      <c r="J395" s="49">
        <v>3499</v>
      </c>
      <c r="K395" s="49">
        <v>3719</v>
      </c>
      <c r="L395" s="49">
        <v>3845</v>
      </c>
      <c r="M395" s="49">
        <v>4007</v>
      </c>
      <c r="N395" s="49">
        <v>4076</v>
      </c>
      <c r="O395" s="49">
        <v>4168</v>
      </c>
      <c r="P395" s="49">
        <v>4325</v>
      </c>
      <c r="Q395" s="49">
        <v>4392</v>
      </c>
      <c r="R395" s="49">
        <v>4560</v>
      </c>
      <c r="S395" s="49">
        <v>4649</v>
      </c>
      <c r="T395" s="49">
        <v>4481</v>
      </c>
      <c r="U395" s="49">
        <v>4490</v>
      </c>
      <c r="V395" s="49">
        <v>4893</v>
      </c>
      <c r="W395" s="52">
        <v>5047</v>
      </c>
      <c r="X395" s="100">
        <v>8.7024433783331467E-3</v>
      </c>
      <c r="Y395" s="100">
        <v>5.4197544519412055E-3</v>
      </c>
      <c r="Z395" s="100">
        <v>1.8316831683168333E-2</v>
      </c>
      <c r="AA395" s="100">
        <v>2.1498406525144453E-2</v>
      </c>
    </row>
    <row r="396" spans="1:27" ht="15" x14ac:dyDescent="0.25">
      <c r="A396" s="4">
        <v>260129</v>
      </c>
      <c r="B396" s="10" t="s">
        <v>685</v>
      </c>
      <c r="C396" s="10" t="s">
        <v>23</v>
      </c>
      <c r="D396" s="10" t="s">
        <v>153</v>
      </c>
      <c r="E396" s="10" t="s">
        <v>25</v>
      </c>
      <c r="F396" s="38">
        <v>2.1327612317011631</v>
      </c>
      <c r="G396" s="49">
        <v>1989</v>
      </c>
      <c r="H396" s="49">
        <v>2052</v>
      </c>
      <c r="I396" s="49">
        <v>2159</v>
      </c>
      <c r="J396" s="49">
        <v>2158</v>
      </c>
      <c r="K396" s="49">
        <v>2139</v>
      </c>
      <c r="L396" s="49">
        <v>2079</v>
      </c>
      <c r="M396" s="49">
        <v>0</v>
      </c>
      <c r="N396" s="49">
        <v>1958</v>
      </c>
      <c r="O396" s="49">
        <v>1905</v>
      </c>
      <c r="P396" s="49">
        <v>1884</v>
      </c>
      <c r="Q396" s="50">
        <v>1949</v>
      </c>
      <c r="R396" s="49">
        <v>1984</v>
      </c>
      <c r="S396" s="49">
        <v>1930</v>
      </c>
      <c r="T396" s="49">
        <v>1866</v>
      </c>
      <c r="U396" s="49">
        <v>2050</v>
      </c>
      <c r="V396" s="49">
        <v>2078</v>
      </c>
      <c r="W396" s="52">
        <v>2099</v>
      </c>
      <c r="X396" s="100">
        <v>-2.3234800567961678E-3</v>
      </c>
      <c r="Y396" s="100">
        <v>1.3067667227325552E-2</v>
      </c>
      <c r="Z396" s="100">
        <v>1.2005108556832678E-2</v>
      </c>
      <c r="AA396" s="100">
        <v>2.1327612317011635E-2</v>
      </c>
    </row>
    <row r="397" spans="1:27" ht="15" x14ac:dyDescent="0.25">
      <c r="A397" s="4">
        <v>260129</v>
      </c>
      <c r="B397" s="10" t="s">
        <v>686</v>
      </c>
      <c r="C397" s="10" t="s">
        <v>23</v>
      </c>
      <c r="D397" s="10" t="s">
        <v>136</v>
      </c>
      <c r="E397" s="10" t="s">
        <v>25</v>
      </c>
      <c r="F397" s="38">
        <v>2.084927314460594</v>
      </c>
      <c r="G397" s="49">
        <v>869.7</v>
      </c>
      <c r="H397" s="49">
        <v>846.06</v>
      </c>
      <c r="I397" s="49">
        <v>864.82</v>
      </c>
      <c r="J397" s="49">
        <v>895.02</v>
      </c>
      <c r="K397" s="49">
        <v>952.16</v>
      </c>
      <c r="L397" s="49">
        <v>999.82</v>
      </c>
      <c r="M397" s="49">
        <v>1041</v>
      </c>
      <c r="N397" s="49">
        <v>1081</v>
      </c>
      <c r="O397" s="49">
        <v>1111</v>
      </c>
      <c r="P397" s="49">
        <v>1165</v>
      </c>
      <c r="Q397" s="49">
        <v>1196</v>
      </c>
      <c r="R397" s="49">
        <v>1244</v>
      </c>
      <c r="S397" s="49">
        <v>1256</v>
      </c>
      <c r="T397" s="49">
        <v>1285</v>
      </c>
      <c r="U397" s="49">
        <v>1327</v>
      </c>
      <c r="V397" s="49">
        <v>1360</v>
      </c>
      <c r="W397" s="52">
        <v>1365</v>
      </c>
      <c r="X397" s="100">
        <v>2.4686278543509577E-2</v>
      </c>
      <c r="Y397" s="100">
        <v>2.6299939771130321E-2</v>
      </c>
      <c r="Z397" s="100">
        <v>2.2691705790297334E-2</v>
      </c>
      <c r="AA397" s="100">
        <v>2.084927314460594E-2</v>
      </c>
    </row>
    <row r="398" spans="1:27" ht="15" x14ac:dyDescent="0.25">
      <c r="A398" s="4">
        <v>260129</v>
      </c>
      <c r="B398" s="10" t="s">
        <v>687</v>
      </c>
      <c r="C398" s="10" t="s">
        <v>23</v>
      </c>
      <c r="D398" s="10" t="s">
        <v>189</v>
      </c>
      <c r="E398" s="10" t="s">
        <v>25</v>
      </c>
      <c r="F398" s="38">
        <v>2.0010759554132118</v>
      </c>
      <c r="G398" s="49">
        <v>777.16</v>
      </c>
      <c r="H398" s="49">
        <v>735.15</v>
      </c>
      <c r="I398" s="49">
        <v>799.09</v>
      </c>
      <c r="J398" s="49">
        <v>789.44</v>
      </c>
      <c r="K398" s="49">
        <v>681.25</v>
      </c>
      <c r="L398" s="49">
        <v>691.83</v>
      </c>
      <c r="M398" s="49">
        <v>725.64</v>
      </c>
      <c r="N398" s="49">
        <v>766.17</v>
      </c>
      <c r="O398" s="49">
        <v>751.79</v>
      </c>
      <c r="P398" s="49">
        <v>803.61</v>
      </c>
      <c r="Q398" s="49">
        <v>867.12</v>
      </c>
      <c r="R398" s="49">
        <v>912.79</v>
      </c>
      <c r="S398" s="49">
        <v>944.4</v>
      </c>
      <c r="T398" s="49">
        <v>948.46</v>
      </c>
      <c r="U398" s="49">
        <v>1035</v>
      </c>
      <c r="V398" s="49">
        <v>1050</v>
      </c>
      <c r="W398" s="52">
        <v>1024</v>
      </c>
      <c r="X398" s="100">
        <v>4.1058187260482049E-2</v>
      </c>
      <c r="Y398" s="100">
        <v>4.570936922268487E-2</v>
      </c>
      <c r="Z398" s="100">
        <v>3.5725723510343199E-2</v>
      </c>
      <c r="AA398" s="100">
        <v>2.0010759554132118E-2</v>
      </c>
    </row>
    <row r="399" spans="1:27" ht="15" x14ac:dyDescent="0.25">
      <c r="A399" s="4">
        <v>260129</v>
      </c>
      <c r="B399" s="10" t="s">
        <v>688</v>
      </c>
      <c r="C399" s="10" t="s">
        <v>23</v>
      </c>
      <c r="D399" s="10" t="s">
        <v>648</v>
      </c>
      <c r="E399" s="10" t="s">
        <v>25</v>
      </c>
      <c r="F399" s="38">
        <v>1.995992893055609</v>
      </c>
      <c r="G399" s="49">
        <v>5137</v>
      </c>
      <c r="H399" s="49">
        <v>5549</v>
      </c>
      <c r="I399" s="49">
        <v>5379</v>
      </c>
      <c r="J399" s="49">
        <v>4770</v>
      </c>
      <c r="K399" s="49">
        <v>5022</v>
      </c>
      <c r="L399" s="49">
        <v>5924</v>
      </c>
      <c r="M399" s="49">
        <v>5876</v>
      </c>
      <c r="N399" s="49">
        <v>5382</v>
      </c>
      <c r="O399" s="49">
        <v>5554</v>
      </c>
      <c r="P399" s="49">
        <v>6473</v>
      </c>
      <c r="Q399" s="49">
        <v>6221</v>
      </c>
      <c r="R399" s="49">
        <v>5697</v>
      </c>
      <c r="S399" s="49">
        <v>6067</v>
      </c>
      <c r="T399" s="49">
        <v>7061</v>
      </c>
      <c r="U399" s="49">
        <v>6974</v>
      </c>
      <c r="V399" s="49">
        <v>6351</v>
      </c>
      <c r="W399" s="52">
        <v>6595</v>
      </c>
      <c r="X399" s="100">
        <v>2.4041213508872339E-2</v>
      </c>
      <c r="Y399" s="100">
        <v>3.0064680986984005E-2</v>
      </c>
      <c r="Z399" s="100">
        <v>2.5349819760455805E-2</v>
      </c>
      <c r="AA399" s="100">
        <v>1.9959928930556092E-2</v>
      </c>
    </row>
    <row r="400" spans="1:27" ht="15" x14ac:dyDescent="0.25">
      <c r="A400" s="4">
        <v>260129</v>
      </c>
      <c r="B400" s="10" t="s">
        <v>689</v>
      </c>
      <c r="C400" s="10" t="s">
        <v>23</v>
      </c>
      <c r="D400" s="10" t="s">
        <v>139</v>
      </c>
      <c r="E400" s="10" t="s">
        <v>25</v>
      </c>
      <c r="F400" s="38">
        <v>1.874885677702576</v>
      </c>
      <c r="G400" s="49">
        <v>10702</v>
      </c>
      <c r="H400" s="49">
        <v>11818</v>
      </c>
      <c r="I400" s="49">
        <v>10970</v>
      </c>
      <c r="J400" s="49">
        <v>10677</v>
      </c>
      <c r="K400" s="49">
        <v>11450</v>
      </c>
      <c r="L400" s="49">
        <v>10710</v>
      </c>
      <c r="M400" s="49">
        <v>10687</v>
      </c>
      <c r="N400" s="49">
        <v>10574</v>
      </c>
      <c r="O400" s="49">
        <v>10886</v>
      </c>
      <c r="P400" s="49">
        <v>10345</v>
      </c>
      <c r="Q400" s="49">
        <v>10541</v>
      </c>
      <c r="R400" s="49">
        <v>10598</v>
      </c>
      <c r="S400" s="49">
        <v>11395</v>
      </c>
      <c r="T400" s="49">
        <v>10364</v>
      </c>
      <c r="U400" s="49">
        <v>10855</v>
      </c>
      <c r="V400" s="49">
        <v>11122</v>
      </c>
      <c r="W400" s="52">
        <v>12215</v>
      </c>
      <c r="X400" s="100">
        <v>4.4310734858554746E-4</v>
      </c>
      <c r="Y400" s="100">
        <v>7.3196885635693487E-3</v>
      </c>
      <c r="Z400" s="100">
        <v>1.2126261223734058E-2</v>
      </c>
      <c r="AA400" s="100">
        <v>1.8748856777025757E-2</v>
      </c>
    </row>
    <row r="401" spans="1:27" ht="15" x14ac:dyDescent="0.25">
      <c r="A401" s="4">
        <v>260129</v>
      </c>
      <c r="B401" s="10" t="s">
        <v>690</v>
      </c>
      <c r="C401" s="10" t="s">
        <v>23</v>
      </c>
      <c r="D401" s="10" t="s">
        <v>691</v>
      </c>
      <c r="E401" s="10" t="s">
        <v>25</v>
      </c>
      <c r="F401" s="38">
        <v>1.77407470384856</v>
      </c>
      <c r="G401" s="49">
        <v>5382</v>
      </c>
      <c r="H401" s="49">
        <v>5143</v>
      </c>
      <c r="I401" s="49">
        <v>5074</v>
      </c>
      <c r="J401" s="49">
        <v>4801</v>
      </c>
      <c r="K401" s="49">
        <v>4809</v>
      </c>
      <c r="L401" s="49">
        <v>4752</v>
      </c>
      <c r="M401" s="49">
        <v>4856</v>
      </c>
      <c r="N401" s="49">
        <v>4676</v>
      </c>
      <c r="O401" s="49">
        <v>4631</v>
      </c>
      <c r="P401" s="49">
        <v>4403</v>
      </c>
      <c r="Q401" s="49">
        <v>4521</v>
      </c>
      <c r="R401" s="49">
        <v>4530</v>
      </c>
      <c r="S401" s="49">
        <v>4400</v>
      </c>
      <c r="T401" s="49">
        <v>4090</v>
      </c>
      <c r="U401" s="49">
        <v>4519</v>
      </c>
      <c r="V401" s="49">
        <v>4634</v>
      </c>
      <c r="W401" s="52">
        <v>4713</v>
      </c>
      <c r="X401" s="100">
        <v>-1.7531085471042873E-2</v>
      </c>
      <c r="Y401" s="100">
        <v>-1.140185850293518E-4</v>
      </c>
      <c r="Z401" s="100">
        <v>5.9296425109756079E-3</v>
      </c>
      <c r="AA401" s="100">
        <v>1.7740747038485605E-2</v>
      </c>
    </row>
    <row r="402" spans="1:27" ht="15" x14ac:dyDescent="0.25">
      <c r="A402" s="4">
        <v>260129</v>
      </c>
      <c r="B402" s="10" t="s">
        <v>692</v>
      </c>
      <c r="C402" s="10" t="s">
        <v>23</v>
      </c>
      <c r="D402" s="10" t="s">
        <v>146</v>
      </c>
      <c r="E402" s="10" t="s">
        <v>25</v>
      </c>
      <c r="F402" s="38">
        <v>1.756487025948106</v>
      </c>
      <c r="G402" s="49">
        <v>2353</v>
      </c>
      <c r="H402" s="49">
        <v>2289</v>
      </c>
      <c r="I402" s="49">
        <v>2487</v>
      </c>
      <c r="J402" s="49">
        <v>2724</v>
      </c>
      <c r="K402" s="49">
        <v>2984</v>
      </c>
      <c r="L402" s="49">
        <v>2433</v>
      </c>
      <c r="M402" s="49">
        <v>2355</v>
      </c>
      <c r="N402" s="49">
        <v>2397</v>
      </c>
      <c r="O402" s="49">
        <v>2487</v>
      </c>
      <c r="P402" s="49">
        <v>2360</v>
      </c>
      <c r="Q402" s="49">
        <v>2569</v>
      </c>
      <c r="R402" s="49">
        <v>2842</v>
      </c>
      <c r="S402" s="49">
        <v>3077</v>
      </c>
      <c r="T402" s="49">
        <v>3063</v>
      </c>
      <c r="U402" s="49">
        <v>3175</v>
      </c>
      <c r="V402" s="49">
        <v>3210</v>
      </c>
      <c r="W402" s="52">
        <v>3297</v>
      </c>
      <c r="X402" s="100">
        <v>6.4804572271386363E-2</v>
      </c>
      <c r="Y402" s="100">
        <v>5.2462990217297278E-2</v>
      </c>
      <c r="Z402" s="100">
        <v>3.0270625976803522E-2</v>
      </c>
      <c r="AA402" s="100">
        <v>1.7564870259481058E-2</v>
      </c>
    </row>
    <row r="403" spans="1:27" ht="15" x14ac:dyDescent="0.25">
      <c r="A403" s="4">
        <v>260129</v>
      </c>
      <c r="B403" s="10" t="s">
        <v>693</v>
      </c>
      <c r="C403" s="10" t="s">
        <v>23</v>
      </c>
      <c r="D403" s="10" t="s">
        <v>694</v>
      </c>
      <c r="E403" s="10" t="s">
        <v>25</v>
      </c>
      <c r="F403" s="38">
        <v>1.6155030984704719</v>
      </c>
      <c r="G403" s="49">
        <v>5809</v>
      </c>
      <c r="H403" s="49">
        <v>5382</v>
      </c>
      <c r="I403" s="49">
        <v>5366</v>
      </c>
      <c r="J403" s="49">
        <v>5578</v>
      </c>
      <c r="K403" s="49">
        <v>6030</v>
      </c>
      <c r="L403" s="49">
        <v>5916</v>
      </c>
      <c r="M403" s="49">
        <v>6053</v>
      </c>
      <c r="N403" s="49">
        <v>6171</v>
      </c>
      <c r="O403" s="49">
        <v>6413</v>
      </c>
      <c r="P403" s="49">
        <v>6423</v>
      </c>
      <c r="Q403" s="49">
        <v>6491</v>
      </c>
      <c r="R403" s="49">
        <v>6757</v>
      </c>
      <c r="S403" s="49">
        <v>6889</v>
      </c>
      <c r="T403" s="49">
        <v>6809</v>
      </c>
      <c r="U403" s="49">
        <v>6987</v>
      </c>
      <c r="V403" s="49">
        <v>7232</v>
      </c>
      <c r="W403" s="52">
        <v>7340</v>
      </c>
      <c r="X403" s="100">
        <v>1.4533132530120563E-2</v>
      </c>
      <c r="Y403" s="100">
        <v>1.8407184739850146E-2</v>
      </c>
      <c r="Z403" s="100">
        <v>1.7309234020844055E-2</v>
      </c>
      <c r="AA403" s="100">
        <v>1.6155030984704721E-2</v>
      </c>
    </row>
    <row r="404" spans="1:27" ht="15" x14ac:dyDescent="0.25">
      <c r="A404" s="4">
        <v>260129</v>
      </c>
      <c r="B404" s="10" t="s">
        <v>695</v>
      </c>
      <c r="C404" s="10" t="s">
        <v>23</v>
      </c>
      <c r="D404" s="10" t="s">
        <v>696</v>
      </c>
      <c r="E404" s="10" t="s">
        <v>25</v>
      </c>
      <c r="F404" s="38">
        <v>1.5900991213749549</v>
      </c>
      <c r="G404" s="49">
        <v>472.69</v>
      </c>
      <c r="H404" s="49">
        <v>610.11</v>
      </c>
      <c r="I404" s="49">
        <v>688.54</v>
      </c>
      <c r="J404" s="49">
        <v>536.76</v>
      </c>
      <c r="K404" s="49">
        <v>507.93</v>
      </c>
      <c r="L404" s="49">
        <v>570.34</v>
      </c>
      <c r="M404" s="49">
        <v>721.84</v>
      </c>
      <c r="N404" s="49">
        <v>594.6</v>
      </c>
      <c r="O404" s="49">
        <v>527.27</v>
      </c>
      <c r="P404" s="49">
        <v>582.89</v>
      </c>
      <c r="Q404" s="49">
        <v>757.72</v>
      </c>
      <c r="R404" s="49">
        <v>563.12</v>
      </c>
      <c r="S404" s="49">
        <v>468.46</v>
      </c>
      <c r="T404" s="49">
        <v>631.52</v>
      </c>
      <c r="U404" s="49">
        <v>657.16</v>
      </c>
      <c r="V404" s="49">
        <v>552.15</v>
      </c>
      <c r="W404" s="52">
        <v>505.18</v>
      </c>
      <c r="X404" s="100">
        <v>2.0500044262896422E-2</v>
      </c>
      <c r="Y404" s="100">
        <v>-4.1539643591840925E-2</v>
      </c>
      <c r="Z404" s="100">
        <v>-4.7279184229352955E-3</v>
      </c>
      <c r="AA404" s="100">
        <v>1.5900991213749549E-2</v>
      </c>
    </row>
    <row r="405" spans="1:27" ht="15" x14ac:dyDescent="0.25">
      <c r="A405" s="4">
        <v>260129</v>
      </c>
      <c r="B405" s="10" t="s">
        <v>697</v>
      </c>
      <c r="C405" s="10" t="s">
        <v>23</v>
      </c>
      <c r="D405" s="10" t="s">
        <v>698</v>
      </c>
      <c r="E405" s="10" t="s">
        <v>25</v>
      </c>
      <c r="F405" s="38">
        <v>1.573580593669033</v>
      </c>
      <c r="G405" s="49">
        <v>294.23</v>
      </c>
      <c r="H405" s="49">
        <v>291.58999999999997</v>
      </c>
      <c r="I405" s="49">
        <v>317.38</v>
      </c>
      <c r="J405" s="49">
        <v>311.83999999999997</v>
      </c>
      <c r="K405" s="49">
        <v>296.06</v>
      </c>
      <c r="L405" s="49">
        <v>266.85000000000002</v>
      </c>
      <c r="M405" s="49">
        <v>274.02</v>
      </c>
      <c r="N405" s="49">
        <v>288.72000000000003</v>
      </c>
      <c r="O405" s="49">
        <v>273.99</v>
      </c>
      <c r="P405" s="49">
        <v>278.76</v>
      </c>
      <c r="Q405" s="49">
        <v>287.5</v>
      </c>
      <c r="R405" s="49">
        <v>287.89</v>
      </c>
      <c r="S405" s="49">
        <v>277.33</v>
      </c>
      <c r="T405" s="49">
        <v>269.36</v>
      </c>
      <c r="U405" s="49">
        <v>302.85000000000002</v>
      </c>
      <c r="V405" s="49">
        <v>296.89</v>
      </c>
      <c r="W405" s="52">
        <v>295.37</v>
      </c>
      <c r="X405" s="100">
        <v>-8.3077031852087924E-3</v>
      </c>
      <c r="Y405" s="100">
        <v>1.3679951518608346E-2</v>
      </c>
      <c r="Z405" s="100">
        <v>7.9125748397703699E-3</v>
      </c>
      <c r="AA405" s="100">
        <v>1.5735805936690328E-2</v>
      </c>
    </row>
    <row r="406" spans="1:27" ht="15" x14ac:dyDescent="0.25">
      <c r="A406" s="4">
        <v>260129</v>
      </c>
      <c r="B406" s="10" t="s">
        <v>699</v>
      </c>
      <c r="C406" s="10" t="s">
        <v>23</v>
      </c>
      <c r="D406" s="10" t="s">
        <v>700</v>
      </c>
      <c r="E406" s="10" t="s">
        <v>25</v>
      </c>
      <c r="F406" s="38">
        <v>1.492186085802216</v>
      </c>
      <c r="G406" s="49">
        <v>591.27</v>
      </c>
      <c r="H406" s="49">
        <v>610.78</v>
      </c>
      <c r="I406" s="49">
        <v>697.96</v>
      </c>
      <c r="J406" s="49">
        <v>745.84</v>
      </c>
      <c r="K406" s="49">
        <v>730.17</v>
      </c>
      <c r="L406" s="49">
        <v>750.44</v>
      </c>
      <c r="M406" s="49">
        <v>777.25</v>
      </c>
      <c r="N406" s="49">
        <v>764.77</v>
      </c>
      <c r="O406" s="49">
        <v>799.18</v>
      </c>
      <c r="P406" s="49">
        <v>808.02</v>
      </c>
      <c r="Q406" s="49">
        <v>824.39</v>
      </c>
      <c r="R406" s="49">
        <v>831.15</v>
      </c>
      <c r="S406" s="49">
        <v>802.32</v>
      </c>
      <c r="T406" s="49">
        <v>785.66</v>
      </c>
      <c r="U406" s="49">
        <v>855.46</v>
      </c>
      <c r="V406" s="49">
        <v>871.16</v>
      </c>
      <c r="W406" s="52">
        <v>851.78</v>
      </c>
      <c r="X406" s="100">
        <v>-6.8465467194140928E-3</v>
      </c>
      <c r="Y406" s="100">
        <v>9.5790992501973982E-3</v>
      </c>
      <c r="Z406" s="100">
        <v>1.2218323515310159E-2</v>
      </c>
      <c r="AA406" s="100">
        <v>1.492186085802194E-2</v>
      </c>
    </row>
    <row r="407" spans="1:27" ht="15" x14ac:dyDescent="0.25">
      <c r="A407" s="4">
        <v>260129</v>
      </c>
      <c r="B407" s="10" t="s">
        <v>701</v>
      </c>
      <c r="C407" s="10" t="s">
        <v>23</v>
      </c>
      <c r="D407" s="10" t="s">
        <v>191</v>
      </c>
      <c r="E407" s="10" t="s">
        <v>25</v>
      </c>
      <c r="F407" s="38">
        <v>1.2872886186585659</v>
      </c>
      <c r="G407" s="49">
        <v>3569</v>
      </c>
      <c r="H407" s="49">
        <v>3356</v>
      </c>
      <c r="I407" s="49">
        <v>4190</v>
      </c>
      <c r="J407" s="49">
        <v>4372</v>
      </c>
      <c r="K407" s="49">
        <v>4074</v>
      </c>
      <c r="L407" s="49">
        <v>3666</v>
      </c>
      <c r="M407" s="49">
        <v>4705</v>
      </c>
      <c r="N407" s="49">
        <v>4883</v>
      </c>
      <c r="O407" s="49">
        <v>4424</v>
      </c>
      <c r="P407" s="49">
        <v>4216</v>
      </c>
      <c r="Q407" s="49">
        <v>5307</v>
      </c>
      <c r="R407" s="49">
        <v>5441</v>
      </c>
      <c r="S407" s="49">
        <v>4874</v>
      </c>
      <c r="T407" s="49">
        <v>4689</v>
      </c>
      <c r="U407" s="49">
        <v>5746</v>
      </c>
      <c r="V407" s="49">
        <v>5743</v>
      </c>
      <c r="W407" s="52">
        <v>5145</v>
      </c>
      <c r="X407" s="100">
        <v>2.3843129347716596E-2</v>
      </c>
      <c r="Y407" s="100">
        <v>2.1613903795972611E-2</v>
      </c>
      <c r="Z407" s="100">
        <v>1.4554216867469938E-2</v>
      </c>
      <c r="AA407" s="100">
        <v>1.2872886186585664E-2</v>
      </c>
    </row>
    <row r="408" spans="1:27" ht="15" x14ac:dyDescent="0.25">
      <c r="A408" s="4">
        <v>260129</v>
      </c>
      <c r="B408" s="10" t="s">
        <v>702</v>
      </c>
      <c r="C408" s="10" t="s">
        <v>23</v>
      </c>
      <c r="D408" s="10" t="s">
        <v>41</v>
      </c>
      <c r="E408" s="10" t="s">
        <v>25</v>
      </c>
      <c r="F408" s="38">
        <v>1.2845849802371581</v>
      </c>
      <c r="G408" s="49">
        <v>4762</v>
      </c>
      <c r="H408" s="49">
        <v>4999</v>
      </c>
      <c r="I408" s="49">
        <v>5872</v>
      </c>
      <c r="J408" s="49">
        <v>6047</v>
      </c>
      <c r="K408" s="49">
        <v>5231</v>
      </c>
      <c r="L408" s="49">
        <v>5442</v>
      </c>
      <c r="M408" s="49">
        <v>6241</v>
      </c>
      <c r="N408" s="49">
        <v>6117</v>
      </c>
      <c r="O408" s="49">
        <v>5252</v>
      </c>
      <c r="P408" s="49">
        <v>5367</v>
      </c>
      <c r="Q408" s="49">
        <v>6272</v>
      </c>
      <c r="R408" s="49">
        <v>6163</v>
      </c>
      <c r="S408" s="49">
        <v>5297</v>
      </c>
      <c r="T408" s="49">
        <v>5306</v>
      </c>
      <c r="U408" s="49">
        <v>6315</v>
      </c>
      <c r="V408" s="49">
        <v>6358</v>
      </c>
      <c r="W408" s="52">
        <v>5596</v>
      </c>
      <c r="X408" s="100">
        <v>-2.6408069613402807E-3</v>
      </c>
      <c r="Y408" s="100">
        <v>1.8664814654050232E-3</v>
      </c>
      <c r="Z408" s="100">
        <v>8.4485074303539687E-3</v>
      </c>
      <c r="AA408" s="100">
        <v>1.2845849802371578E-2</v>
      </c>
    </row>
    <row r="409" spans="1:27" ht="15" x14ac:dyDescent="0.25">
      <c r="A409" s="4">
        <v>260129</v>
      </c>
      <c r="B409" s="10" t="s">
        <v>703</v>
      </c>
      <c r="C409" s="10" t="s">
        <v>23</v>
      </c>
      <c r="D409" s="10" t="s">
        <v>29</v>
      </c>
      <c r="E409" s="10" t="s">
        <v>25</v>
      </c>
      <c r="F409" s="38">
        <v>1.2533572068039289</v>
      </c>
      <c r="G409" s="49">
        <v>57.65</v>
      </c>
      <c r="H409" s="49">
        <v>61.66</v>
      </c>
      <c r="I409" s="49">
        <v>64.48</v>
      </c>
      <c r="J409" s="49">
        <v>64.91</v>
      </c>
      <c r="K409" s="49">
        <v>63.07</v>
      </c>
      <c r="L409" s="49">
        <v>66.489999999999995</v>
      </c>
      <c r="M409" s="49">
        <v>61.4</v>
      </c>
      <c r="N409" s="49">
        <v>67.59</v>
      </c>
      <c r="O409" s="49">
        <v>78.680000000000007</v>
      </c>
      <c r="P409" s="49">
        <v>80.31</v>
      </c>
      <c r="Q409" s="49">
        <v>78.099999999999994</v>
      </c>
      <c r="R409" s="49">
        <v>79.3</v>
      </c>
      <c r="S409" s="49">
        <v>81.67</v>
      </c>
      <c r="T409" s="49">
        <v>82.62</v>
      </c>
      <c r="U409" s="49">
        <v>84.89</v>
      </c>
      <c r="V409" s="49">
        <v>85.92</v>
      </c>
      <c r="W409" s="52">
        <v>85.87</v>
      </c>
      <c r="X409" s="100">
        <v>7.2327634792410667E-3</v>
      </c>
      <c r="Y409" s="100">
        <v>2.1107277192328189E-2</v>
      </c>
      <c r="Z409" s="100">
        <v>2.0153433999025916E-2</v>
      </c>
      <c r="AA409" s="100">
        <v>1.2533572068039289E-2</v>
      </c>
    </row>
    <row r="410" spans="1:27" ht="15" x14ac:dyDescent="0.25">
      <c r="A410" s="4">
        <v>260129</v>
      </c>
      <c r="B410" s="10" t="s">
        <v>704</v>
      </c>
      <c r="C410" s="10" t="s">
        <v>23</v>
      </c>
      <c r="D410" s="10" t="s">
        <v>705</v>
      </c>
      <c r="E410" s="10" t="s">
        <v>800</v>
      </c>
      <c r="F410" s="38">
        <v>1.2135535609963279</v>
      </c>
      <c r="G410" s="49">
        <v>253.21</v>
      </c>
      <c r="H410" s="49">
        <v>218.58</v>
      </c>
      <c r="I410" s="49">
        <v>257.75</v>
      </c>
      <c r="J410" s="49">
        <v>252.6</v>
      </c>
      <c r="K410" s="49">
        <v>274.33</v>
      </c>
      <c r="L410" s="49">
        <v>238.54</v>
      </c>
      <c r="M410" s="49">
        <v>234.22</v>
      </c>
      <c r="N410" s="49">
        <v>234.11</v>
      </c>
      <c r="O410" s="49">
        <v>291.22000000000003</v>
      </c>
      <c r="P410" s="49">
        <v>271.88</v>
      </c>
      <c r="Q410" s="49">
        <v>269.57</v>
      </c>
      <c r="R410" s="49">
        <v>276.2</v>
      </c>
      <c r="S410" s="49">
        <v>301.07</v>
      </c>
      <c r="T410" s="49">
        <v>260.91000000000003</v>
      </c>
      <c r="U410" s="49">
        <v>269.08</v>
      </c>
      <c r="V410" s="49">
        <v>298.68</v>
      </c>
      <c r="W410" s="52">
        <v>314.77999999999997</v>
      </c>
      <c r="X410" s="100">
        <v>-9.8058495423340997E-3</v>
      </c>
      <c r="Y410" s="100">
        <v>-4.4233807266980119E-4</v>
      </c>
      <c r="Z410" s="100">
        <v>2.030236800751406E-2</v>
      </c>
      <c r="AA410" s="100">
        <v>1.2135535609963277E-2</v>
      </c>
    </row>
    <row r="411" spans="1:27" ht="15" x14ac:dyDescent="0.25">
      <c r="A411" s="4">
        <v>260129</v>
      </c>
      <c r="B411" s="10" t="s">
        <v>706</v>
      </c>
      <c r="C411" s="10" t="s">
        <v>23</v>
      </c>
      <c r="D411" s="10" t="s">
        <v>707</v>
      </c>
      <c r="E411" s="10" t="s">
        <v>25</v>
      </c>
      <c r="F411" s="38">
        <v>1.201356190597203</v>
      </c>
      <c r="G411" s="49">
        <v>407.71</v>
      </c>
      <c r="H411" s="49">
        <v>316.3</v>
      </c>
      <c r="I411" s="49">
        <v>345.99</v>
      </c>
      <c r="J411" s="49">
        <v>331.24</v>
      </c>
      <c r="K411" s="49">
        <v>289.58999999999997</v>
      </c>
      <c r="L411" s="49">
        <v>281.87</v>
      </c>
      <c r="M411" s="49">
        <v>294.08</v>
      </c>
      <c r="N411" s="49">
        <v>312.54000000000002</v>
      </c>
      <c r="O411" s="49">
        <v>288.94</v>
      </c>
      <c r="P411" s="49">
        <v>288.11</v>
      </c>
      <c r="Q411" s="49">
        <v>286.02</v>
      </c>
      <c r="R411" s="49">
        <v>306.76</v>
      </c>
      <c r="S411" s="49">
        <v>306.93</v>
      </c>
      <c r="T411" s="49">
        <v>309.12</v>
      </c>
      <c r="U411" s="49">
        <v>310.64999999999998</v>
      </c>
      <c r="V411" s="49">
        <v>332.71</v>
      </c>
      <c r="W411" s="52">
        <v>322.06</v>
      </c>
      <c r="X411" s="100">
        <v>1.7687865164755623E-2</v>
      </c>
      <c r="Y411" s="100">
        <v>2.0375073418098522E-2</v>
      </c>
      <c r="Z411" s="100">
        <v>2.1038379842070132E-2</v>
      </c>
      <c r="AA411" s="100">
        <v>1.2013561905972026E-2</v>
      </c>
    </row>
    <row r="412" spans="1:27" ht="15" x14ac:dyDescent="0.25">
      <c r="A412" s="4">
        <v>260129</v>
      </c>
      <c r="B412" s="10" t="s">
        <v>708</v>
      </c>
      <c r="C412" s="10" t="s">
        <v>23</v>
      </c>
      <c r="D412" s="10" t="s">
        <v>698</v>
      </c>
      <c r="E412" s="10" t="s">
        <v>25</v>
      </c>
      <c r="F412" s="38">
        <v>1.0865692910580591</v>
      </c>
      <c r="G412" s="49">
        <v>1575</v>
      </c>
      <c r="H412" s="49">
        <v>1621</v>
      </c>
      <c r="I412" s="49">
        <v>1747</v>
      </c>
      <c r="J412" s="49">
        <v>1675</v>
      </c>
      <c r="K412" s="49">
        <v>1562</v>
      </c>
      <c r="L412" s="49">
        <v>1429</v>
      </c>
      <c r="M412" s="49">
        <v>1347</v>
      </c>
      <c r="N412" s="49">
        <v>1352</v>
      </c>
      <c r="O412" s="49">
        <v>1372</v>
      </c>
      <c r="P412" s="49">
        <v>1319</v>
      </c>
      <c r="Q412" s="49">
        <v>1317</v>
      </c>
      <c r="R412" s="49">
        <v>1316</v>
      </c>
      <c r="S412" s="49">
        <v>1339</v>
      </c>
      <c r="T412" s="49">
        <v>1402</v>
      </c>
      <c r="U412" s="49">
        <v>1421</v>
      </c>
      <c r="V412" s="49">
        <v>1452</v>
      </c>
      <c r="W412" s="52">
        <v>1400</v>
      </c>
      <c r="X412" s="100">
        <v>1.5687015687015693E-2</v>
      </c>
      <c r="Y412" s="100">
        <v>1.9352437662820909E-2</v>
      </c>
      <c r="Z412" s="100">
        <v>2.4826579043446539E-2</v>
      </c>
      <c r="AA412" s="100">
        <v>1.0865692910580593E-2</v>
      </c>
    </row>
    <row r="413" spans="1:27" ht="15" x14ac:dyDescent="0.25">
      <c r="A413" s="4">
        <v>260129</v>
      </c>
      <c r="B413" s="10" t="s">
        <v>709</v>
      </c>
      <c r="C413" s="10" t="s">
        <v>23</v>
      </c>
      <c r="D413" s="10" t="s">
        <v>710</v>
      </c>
      <c r="E413" s="10" t="s">
        <v>25</v>
      </c>
      <c r="F413" s="38">
        <v>0.97895378068346695</v>
      </c>
      <c r="G413" s="49">
        <v>34410</v>
      </c>
      <c r="H413" s="49">
        <v>37119</v>
      </c>
      <c r="I413" s="49">
        <v>50387</v>
      </c>
      <c r="J413" s="49">
        <v>43241</v>
      </c>
      <c r="K413" s="49">
        <v>40442</v>
      </c>
      <c r="L413" s="49">
        <v>35017</v>
      </c>
      <c r="M413" s="49">
        <v>33060</v>
      </c>
      <c r="N413" s="49">
        <v>36936</v>
      </c>
      <c r="O413" s="49">
        <v>33988</v>
      </c>
      <c r="P413" s="49">
        <v>30372</v>
      </c>
      <c r="Q413" s="49">
        <v>33034</v>
      </c>
      <c r="R413" s="49">
        <v>31337</v>
      </c>
      <c r="S413" s="49">
        <v>29231</v>
      </c>
      <c r="T413" s="49">
        <v>28754</v>
      </c>
      <c r="U413" s="49">
        <v>28227</v>
      </c>
      <c r="V413" s="49">
        <v>30341</v>
      </c>
      <c r="W413" s="52">
        <v>30372</v>
      </c>
      <c r="X413" s="100">
        <v>-1.3051123622695116E-2</v>
      </c>
      <c r="Y413" s="100">
        <v>-3.9286998594265876E-2</v>
      </c>
      <c r="Z413" s="100">
        <v>-8.4730622974249492E-3</v>
      </c>
      <c r="AA413" s="100">
        <v>9.7895378068346695E-3</v>
      </c>
    </row>
    <row r="414" spans="1:27" ht="15" x14ac:dyDescent="0.25">
      <c r="A414" s="4">
        <v>260129</v>
      </c>
      <c r="B414" s="10" t="s">
        <v>711</v>
      </c>
      <c r="C414" s="10" t="s">
        <v>23</v>
      </c>
      <c r="D414" s="10" t="s">
        <v>474</v>
      </c>
      <c r="E414" s="10" t="s">
        <v>25</v>
      </c>
      <c r="F414" s="38">
        <v>0.88075880758806679</v>
      </c>
      <c r="G414" s="49">
        <v>1792</v>
      </c>
      <c r="H414" s="49">
        <v>1946</v>
      </c>
      <c r="I414" s="49">
        <v>2066</v>
      </c>
      <c r="J414" s="49">
        <v>2067</v>
      </c>
      <c r="K414" s="49">
        <v>2204</v>
      </c>
      <c r="L414" s="49">
        <v>2268</v>
      </c>
      <c r="M414" s="49">
        <v>2413</v>
      </c>
      <c r="N414" s="49">
        <v>2510</v>
      </c>
      <c r="O414" s="49">
        <v>2467</v>
      </c>
      <c r="P414" s="49">
        <v>2544</v>
      </c>
      <c r="Q414" s="49">
        <v>2847</v>
      </c>
      <c r="R414" s="49">
        <v>2741</v>
      </c>
      <c r="S414" s="49">
        <v>2598</v>
      </c>
      <c r="T414" s="49">
        <v>2313</v>
      </c>
      <c r="U414" s="49">
        <v>2732</v>
      </c>
      <c r="V414" s="49">
        <v>2689</v>
      </c>
      <c r="W414" s="52">
        <v>2689</v>
      </c>
      <c r="X414" s="100">
        <v>-2.1528424976700822E-2</v>
      </c>
      <c r="Y414" s="100">
        <v>-1.095342413563194E-2</v>
      </c>
      <c r="Z414" s="100">
        <v>-5.00770416024654E-3</v>
      </c>
      <c r="AA414" s="100">
        <v>8.8075880758806679E-3</v>
      </c>
    </row>
    <row r="415" spans="1:27" ht="15" x14ac:dyDescent="0.25">
      <c r="A415" s="4">
        <v>260129</v>
      </c>
      <c r="B415" s="10" t="s">
        <v>712</v>
      </c>
      <c r="C415" s="10" t="s">
        <v>23</v>
      </c>
      <c r="D415" s="10" t="s">
        <v>115</v>
      </c>
      <c r="E415" s="10" t="s">
        <v>25</v>
      </c>
      <c r="F415" s="38">
        <v>0.83849399901354538</v>
      </c>
      <c r="G415" s="49">
        <v>7981</v>
      </c>
      <c r="H415" s="49">
        <v>6773</v>
      </c>
      <c r="I415" s="49">
        <v>7205</v>
      </c>
      <c r="J415" s="49">
        <v>7478</v>
      </c>
      <c r="K415" s="49">
        <v>8064</v>
      </c>
      <c r="L415" s="49">
        <v>7442</v>
      </c>
      <c r="M415" s="49">
        <v>7552</v>
      </c>
      <c r="N415" s="49">
        <v>7744</v>
      </c>
      <c r="O415" s="49">
        <v>8468</v>
      </c>
      <c r="P415" s="49">
        <v>8041</v>
      </c>
      <c r="Q415" s="49">
        <v>8288</v>
      </c>
      <c r="R415" s="49">
        <v>8470</v>
      </c>
      <c r="S415" s="49">
        <v>9378</v>
      </c>
      <c r="T415" s="49">
        <v>9013</v>
      </c>
      <c r="U415" s="49">
        <v>9027</v>
      </c>
      <c r="V415" s="49">
        <v>9076</v>
      </c>
      <c r="W415" s="52">
        <v>9684</v>
      </c>
      <c r="X415" s="100">
        <v>2.8440179067794169E-2</v>
      </c>
      <c r="Y415" s="100">
        <v>2.1024780221343464E-2</v>
      </c>
      <c r="Z415" s="100">
        <v>1.688586714222029E-2</v>
      </c>
      <c r="AA415" s="100">
        <v>8.3849399901354538E-3</v>
      </c>
    </row>
    <row r="416" spans="1:27" ht="15" x14ac:dyDescent="0.25">
      <c r="A416" s="4">
        <v>260129</v>
      </c>
      <c r="B416" s="10" t="s">
        <v>713</v>
      </c>
      <c r="C416" s="10" t="s">
        <v>23</v>
      </c>
      <c r="D416" s="10" t="s">
        <v>696</v>
      </c>
      <c r="E416" s="10" t="s">
        <v>59</v>
      </c>
      <c r="F416" s="38">
        <v>0.80519480519480879</v>
      </c>
      <c r="G416" s="49">
        <v>3319</v>
      </c>
      <c r="H416" s="49">
        <v>3024</v>
      </c>
      <c r="I416" s="49">
        <v>3903</v>
      </c>
      <c r="J416" s="49">
        <v>3271</v>
      </c>
      <c r="K416" s="49">
        <v>4006</v>
      </c>
      <c r="L416" s="49">
        <v>3299</v>
      </c>
      <c r="M416" s="49">
        <v>4185</v>
      </c>
      <c r="N416" s="49">
        <v>3412</v>
      </c>
      <c r="O416" s="49">
        <v>3660</v>
      </c>
      <c r="P416" s="49">
        <v>3395</v>
      </c>
      <c r="Q416" s="49">
        <v>4247</v>
      </c>
      <c r="R416" s="49">
        <v>3468</v>
      </c>
      <c r="S416" s="49">
        <v>3774</v>
      </c>
      <c r="T416" s="49">
        <v>3467</v>
      </c>
      <c r="U416" s="49">
        <v>4440</v>
      </c>
      <c r="V416" s="49">
        <v>3719</v>
      </c>
      <c r="W416" s="52">
        <v>3898</v>
      </c>
      <c r="X416" s="100">
        <v>4.8374092985756789E-3</v>
      </c>
      <c r="Y416" s="100">
        <v>1.2904519925113656E-2</v>
      </c>
      <c r="Z416" s="100">
        <v>1.6568750412568445E-2</v>
      </c>
      <c r="AA416" s="100">
        <v>8.0519480519480879E-3</v>
      </c>
    </row>
    <row r="417" spans="1:27" ht="15" x14ac:dyDescent="0.25">
      <c r="A417" s="4">
        <v>260129</v>
      </c>
      <c r="B417" s="10" t="s">
        <v>714</v>
      </c>
      <c r="C417" s="10" t="s">
        <v>23</v>
      </c>
      <c r="D417" s="10" t="s">
        <v>29</v>
      </c>
      <c r="E417" s="10" t="s">
        <v>25</v>
      </c>
      <c r="F417" s="38">
        <v>0.65557816508892142</v>
      </c>
      <c r="G417" s="49">
        <v>240.8</v>
      </c>
      <c r="H417" s="49">
        <v>243.57</v>
      </c>
      <c r="I417" s="49">
        <v>249.44</v>
      </c>
      <c r="J417" s="49">
        <v>259.32</v>
      </c>
      <c r="K417" s="49">
        <v>239.64</v>
      </c>
      <c r="L417" s="49">
        <v>217.97</v>
      </c>
      <c r="M417" s="49">
        <v>231.37</v>
      </c>
      <c r="N417" s="49">
        <v>246.47</v>
      </c>
      <c r="O417" s="49">
        <v>241.3</v>
      </c>
      <c r="P417" s="49">
        <v>246.16</v>
      </c>
      <c r="Q417" s="49">
        <v>281.86</v>
      </c>
      <c r="R417" s="49">
        <v>277.66000000000003</v>
      </c>
      <c r="S417" s="49">
        <v>276.77</v>
      </c>
      <c r="T417" s="49">
        <v>263.97000000000003</v>
      </c>
      <c r="U417" s="49">
        <v>297.95</v>
      </c>
      <c r="V417" s="49">
        <v>291.61</v>
      </c>
      <c r="W417" s="52">
        <v>284.18</v>
      </c>
      <c r="X417" s="100">
        <v>1.6453415862164533E-2</v>
      </c>
      <c r="Y417" s="100">
        <v>1.4623816188900962E-2</v>
      </c>
      <c r="Z417" s="100">
        <v>1.2496080978187774E-2</v>
      </c>
      <c r="AA417" s="100">
        <v>6.5557816508889921E-3</v>
      </c>
    </row>
    <row r="418" spans="1:27" ht="15" x14ac:dyDescent="0.25">
      <c r="A418" s="4">
        <v>260129</v>
      </c>
      <c r="B418" s="10" t="s">
        <v>715</v>
      </c>
      <c r="C418" s="10" t="s">
        <v>23</v>
      </c>
      <c r="D418" s="10" t="s">
        <v>676</v>
      </c>
      <c r="E418" s="10" t="s">
        <v>59</v>
      </c>
      <c r="F418" s="38">
        <v>0.6339917093391767</v>
      </c>
      <c r="G418" s="49">
        <v>1471</v>
      </c>
      <c r="H418" s="49">
        <v>1436</v>
      </c>
      <c r="I418" s="49">
        <v>1003</v>
      </c>
      <c r="J418" s="49">
        <v>953.2</v>
      </c>
      <c r="K418" s="49">
        <v>1074</v>
      </c>
      <c r="L418" s="49">
        <v>1027</v>
      </c>
      <c r="M418" s="49">
        <v>984.4</v>
      </c>
      <c r="N418" s="49">
        <v>945.3</v>
      </c>
      <c r="O418" s="49">
        <v>1013</v>
      </c>
      <c r="P418" s="49">
        <v>1018</v>
      </c>
      <c r="Q418" s="49">
        <v>1011</v>
      </c>
      <c r="R418" s="49">
        <v>988</v>
      </c>
      <c r="S418" s="49">
        <v>1022</v>
      </c>
      <c r="T418" s="49">
        <v>1005</v>
      </c>
      <c r="U418" s="49">
        <v>1024</v>
      </c>
      <c r="V418" s="49">
        <v>1050</v>
      </c>
      <c r="W418" s="52">
        <v>1048</v>
      </c>
      <c r="X418" s="100">
        <v>-3.2186184699183329E-3</v>
      </c>
      <c r="Y418" s="100">
        <v>3.2290114257327307E-3</v>
      </c>
      <c r="Z418" s="100">
        <v>1.5350334241148733E-2</v>
      </c>
      <c r="AA418" s="100">
        <v>6.339917093391767E-3</v>
      </c>
    </row>
    <row r="419" spans="1:27" ht="15" x14ac:dyDescent="0.25">
      <c r="A419" s="4">
        <v>260129</v>
      </c>
      <c r="B419" s="10" t="s">
        <v>716</v>
      </c>
      <c r="C419" s="10" t="s">
        <v>23</v>
      </c>
      <c r="D419" s="10" t="s">
        <v>119</v>
      </c>
      <c r="E419" s="10" t="s">
        <v>25</v>
      </c>
      <c r="F419" s="38">
        <v>0.61214495592556428</v>
      </c>
      <c r="G419" s="49">
        <v>1467</v>
      </c>
      <c r="H419" s="49">
        <v>1535</v>
      </c>
      <c r="I419" s="49">
        <v>1552</v>
      </c>
      <c r="J419" s="49">
        <v>1557</v>
      </c>
      <c r="K419" s="49">
        <v>1582</v>
      </c>
      <c r="L419" s="49">
        <v>1533</v>
      </c>
      <c r="M419" s="49">
        <v>1433</v>
      </c>
      <c r="N419" s="49">
        <v>1451</v>
      </c>
      <c r="O419" s="49">
        <v>1647</v>
      </c>
      <c r="P419" s="49">
        <v>1677</v>
      </c>
      <c r="Q419" s="49">
        <v>1792</v>
      </c>
      <c r="R419" s="49">
        <v>1902</v>
      </c>
      <c r="S419" s="49">
        <v>2030</v>
      </c>
      <c r="T419" s="49">
        <v>2090</v>
      </c>
      <c r="U419" s="49">
        <v>2090</v>
      </c>
      <c r="V419" s="49">
        <v>1958</v>
      </c>
      <c r="W419" s="52">
        <v>2080</v>
      </c>
      <c r="X419" s="100">
        <v>5.5803269828401669E-2</v>
      </c>
      <c r="Y419" s="100">
        <v>3.8136677757870441E-2</v>
      </c>
      <c r="Z419" s="100">
        <v>6.9033530571991353E-3</v>
      </c>
      <c r="AA419" s="100">
        <v>6.1214495592556428E-3</v>
      </c>
    </row>
    <row r="420" spans="1:27" ht="15" x14ac:dyDescent="0.25">
      <c r="A420" s="4">
        <v>260129</v>
      </c>
      <c r="B420" s="10" t="s">
        <v>717</v>
      </c>
      <c r="C420" s="10" t="s">
        <v>23</v>
      </c>
      <c r="D420" s="10" t="s">
        <v>131</v>
      </c>
      <c r="E420" s="10" t="s">
        <v>798</v>
      </c>
      <c r="F420" s="38">
        <v>0.57497700091997395</v>
      </c>
      <c r="G420" s="49">
        <v>4350</v>
      </c>
      <c r="H420" s="49">
        <v>4103</v>
      </c>
      <c r="I420" s="49">
        <v>4135</v>
      </c>
      <c r="J420" s="49">
        <v>4246</v>
      </c>
      <c r="K420" s="49">
        <v>4578</v>
      </c>
      <c r="L420" s="49">
        <v>4471</v>
      </c>
      <c r="M420" s="49">
        <v>4693</v>
      </c>
      <c r="N420" s="49">
        <v>4915</v>
      </c>
      <c r="O420" s="49">
        <v>5340</v>
      </c>
      <c r="P420" s="49">
        <v>5211</v>
      </c>
      <c r="Q420" s="49">
        <v>5299</v>
      </c>
      <c r="R420" s="49">
        <v>5292</v>
      </c>
      <c r="S420" s="49">
        <v>5523</v>
      </c>
      <c r="T420" s="49">
        <v>5132</v>
      </c>
      <c r="U420" s="49">
        <v>5426</v>
      </c>
      <c r="V420" s="49">
        <v>5659</v>
      </c>
      <c r="W420" s="52">
        <v>5648</v>
      </c>
      <c r="X420" s="100">
        <v>-3.7045720984759667E-3</v>
      </c>
      <c r="Y420" s="100">
        <v>5.9775957827354897E-3</v>
      </c>
      <c r="Z420" s="100">
        <v>1.7171197305011043E-2</v>
      </c>
      <c r="AA420" s="100">
        <v>5.7497700091997395E-3</v>
      </c>
    </row>
    <row r="421" spans="1:27" ht="15" x14ac:dyDescent="0.25">
      <c r="A421" s="4">
        <v>260129</v>
      </c>
      <c r="B421" s="10" t="s">
        <v>718</v>
      </c>
      <c r="C421" s="10" t="s">
        <v>23</v>
      </c>
      <c r="D421" s="10" t="s">
        <v>29</v>
      </c>
      <c r="E421" s="10" t="s">
        <v>25</v>
      </c>
      <c r="F421" s="38">
        <v>0.57152687514336886</v>
      </c>
      <c r="G421" s="49">
        <v>78.760000000000005</v>
      </c>
      <c r="H421" s="49">
        <v>76.459999999999994</v>
      </c>
      <c r="I421" s="49">
        <v>83.97</v>
      </c>
      <c r="J421" s="49">
        <v>87.26</v>
      </c>
      <c r="K421" s="49">
        <v>0</v>
      </c>
      <c r="L421" s="50">
        <v>112.9</v>
      </c>
      <c r="M421" s="50">
        <v>116.1</v>
      </c>
      <c r="N421" s="49">
        <v>113.91</v>
      </c>
      <c r="O421" s="50">
        <v>104.83</v>
      </c>
      <c r="P421" s="49">
        <v>121.63</v>
      </c>
      <c r="Q421" s="49">
        <v>123.27</v>
      </c>
      <c r="R421" s="49">
        <v>122.29</v>
      </c>
      <c r="S421" s="49">
        <v>128.19999999999999</v>
      </c>
      <c r="T421" s="49">
        <v>128.53</v>
      </c>
      <c r="U421" s="49">
        <v>136.87</v>
      </c>
      <c r="V421" s="49">
        <v>129.56</v>
      </c>
      <c r="W421" s="52">
        <v>131.19</v>
      </c>
      <c r="X421" s="100">
        <v>1.392842003270145E-2</v>
      </c>
      <c r="Y421" s="100">
        <v>2.7075991956837742E-2</v>
      </c>
      <c r="Z421" s="100">
        <v>1.4092151427630206E-2</v>
      </c>
      <c r="AA421" s="100">
        <v>5.7152687514334666E-3</v>
      </c>
    </row>
    <row r="422" spans="1:27" ht="15" x14ac:dyDescent="0.25">
      <c r="A422" s="4">
        <v>260129</v>
      </c>
      <c r="B422" s="10" t="s">
        <v>719</v>
      </c>
      <c r="C422" s="10" t="s">
        <v>23</v>
      </c>
      <c r="D422" s="10" t="s">
        <v>99</v>
      </c>
      <c r="E422" s="10" t="s">
        <v>25</v>
      </c>
      <c r="F422" s="38">
        <v>0.42988076891881111</v>
      </c>
      <c r="G422" s="49">
        <v>398.7</v>
      </c>
      <c r="H422" s="49">
        <v>395.9</v>
      </c>
      <c r="I422" s="49">
        <v>271</v>
      </c>
      <c r="J422" s="49">
        <v>238.2</v>
      </c>
      <c r="K422" s="49">
        <v>279.3</v>
      </c>
      <c r="L422" s="49">
        <v>262</v>
      </c>
      <c r="M422" s="49">
        <v>164.6</v>
      </c>
      <c r="N422" s="49">
        <v>223.5</v>
      </c>
      <c r="O422" s="49">
        <v>249.1</v>
      </c>
      <c r="P422" s="49">
        <v>229.5</v>
      </c>
      <c r="Q422" s="49">
        <v>113.1</v>
      </c>
      <c r="R422" s="49">
        <v>254.4</v>
      </c>
      <c r="S422" s="49">
        <v>331.2</v>
      </c>
      <c r="T422" s="49">
        <v>294.5</v>
      </c>
      <c r="U422" s="50">
        <v>293.10000000000002</v>
      </c>
      <c r="V422" s="49">
        <v>314.10000000000002</v>
      </c>
      <c r="W422" s="52">
        <v>336.5</v>
      </c>
      <c r="X422" s="100">
        <v>7.0028011204481766E-2</v>
      </c>
      <c r="Y422" s="100">
        <v>0.18123238018525978</v>
      </c>
      <c r="Z422" s="100">
        <v>5.0886464370951234E-2</v>
      </c>
      <c r="AA422" s="100">
        <v>4.2988076891881111E-3</v>
      </c>
    </row>
    <row r="423" spans="1:27" ht="15" x14ac:dyDescent="0.25">
      <c r="A423" s="4">
        <v>260129</v>
      </c>
      <c r="B423" s="10" t="s">
        <v>720</v>
      </c>
      <c r="C423" s="10" t="s">
        <v>23</v>
      </c>
      <c r="D423" s="10" t="s">
        <v>141</v>
      </c>
      <c r="E423" s="10" t="s">
        <v>25</v>
      </c>
      <c r="F423" s="38">
        <v>0.32113662903854312</v>
      </c>
      <c r="G423" s="49">
        <v>30336</v>
      </c>
      <c r="H423" s="49">
        <v>31010</v>
      </c>
      <c r="I423" s="49">
        <v>30016</v>
      </c>
      <c r="J423" s="49">
        <v>29849</v>
      </c>
      <c r="K423" s="49">
        <v>30553</v>
      </c>
      <c r="L423" s="49">
        <v>29691</v>
      </c>
      <c r="M423" s="49">
        <v>30513</v>
      </c>
      <c r="N423" s="49">
        <v>30115</v>
      </c>
      <c r="O423" s="49">
        <v>31253</v>
      </c>
      <c r="P423" s="49">
        <v>30058</v>
      </c>
      <c r="Q423" s="49">
        <v>29688</v>
      </c>
      <c r="R423" s="49">
        <v>32070</v>
      </c>
      <c r="S423" s="49">
        <v>31914</v>
      </c>
      <c r="T423" s="49">
        <v>29887</v>
      </c>
      <c r="U423" s="49">
        <v>30313</v>
      </c>
      <c r="V423" s="49">
        <v>31198</v>
      </c>
      <c r="W423" s="52">
        <v>32310</v>
      </c>
      <c r="X423" s="100">
        <v>-1.382041542067447E-3</v>
      </c>
      <c r="Y423" s="100">
        <v>5.0583122233103239E-3</v>
      </c>
      <c r="Z423" s="100">
        <v>-7.0218385621335644E-3</v>
      </c>
      <c r="AA423" s="100">
        <v>3.2113662903854312E-3</v>
      </c>
    </row>
    <row r="424" spans="1:27" ht="15" x14ac:dyDescent="0.25">
      <c r="A424" s="4">
        <v>260129</v>
      </c>
      <c r="B424" s="10" t="s">
        <v>721</v>
      </c>
      <c r="C424" s="10" t="s">
        <v>23</v>
      </c>
      <c r="D424" s="10" t="s">
        <v>722</v>
      </c>
      <c r="E424" s="10" t="s">
        <v>25</v>
      </c>
      <c r="F424" s="38">
        <v>0.15085633152898131</v>
      </c>
      <c r="G424" s="49">
        <v>0</v>
      </c>
      <c r="H424" s="49">
        <v>3844</v>
      </c>
      <c r="I424" s="49">
        <v>4145</v>
      </c>
      <c r="J424" s="49">
        <v>4163</v>
      </c>
      <c r="K424" s="50">
        <v>4069</v>
      </c>
      <c r="L424" s="49">
        <v>4130</v>
      </c>
      <c r="M424" s="49">
        <v>4559</v>
      </c>
      <c r="N424" s="49">
        <v>4705</v>
      </c>
      <c r="O424" s="49">
        <v>4480</v>
      </c>
      <c r="P424" s="49">
        <v>4471</v>
      </c>
      <c r="Q424" s="49">
        <v>4696</v>
      </c>
      <c r="R424" s="49">
        <v>5221</v>
      </c>
      <c r="S424" s="49">
        <v>5546</v>
      </c>
      <c r="T424" s="49">
        <v>5505</v>
      </c>
      <c r="U424" s="49">
        <v>5704</v>
      </c>
      <c r="V424" s="49">
        <v>5783</v>
      </c>
      <c r="W424" s="52">
        <v>5580</v>
      </c>
      <c r="X424" s="100">
        <v>5.1871174877094361E-2</v>
      </c>
      <c r="Y424" s="100">
        <v>4.8073254483021799E-2</v>
      </c>
      <c r="Z424" s="100">
        <v>2.557335274845296E-2</v>
      </c>
      <c r="AA424" s="100">
        <v>1.5085633152898126E-3</v>
      </c>
    </row>
    <row r="425" spans="1:27" ht="15" x14ac:dyDescent="0.25">
      <c r="A425" s="4">
        <v>260129</v>
      </c>
      <c r="B425" s="10" t="s">
        <v>723</v>
      </c>
      <c r="C425" s="10" t="s">
        <v>23</v>
      </c>
      <c r="D425" s="10" t="s">
        <v>41</v>
      </c>
      <c r="E425" s="10" t="s">
        <v>25</v>
      </c>
      <c r="F425" s="38">
        <v>6.7593665507925671E-2</v>
      </c>
      <c r="G425" s="49">
        <v>476.9</v>
      </c>
      <c r="H425" s="49">
        <v>519.1</v>
      </c>
      <c r="I425" s="49">
        <v>557</v>
      </c>
      <c r="J425" s="49">
        <v>541.9</v>
      </c>
      <c r="K425" s="49">
        <v>507.6</v>
      </c>
      <c r="L425" s="49">
        <v>546.1</v>
      </c>
      <c r="M425" s="49">
        <v>551.5</v>
      </c>
      <c r="N425" s="49">
        <v>547.79999999999995</v>
      </c>
      <c r="O425" s="49">
        <v>524.5</v>
      </c>
      <c r="P425" s="49">
        <v>534.5</v>
      </c>
      <c r="Q425" s="49">
        <v>541.20000000000005</v>
      </c>
      <c r="R425" s="49">
        <v>524.70000000000005</v>
      </c>
      <c r="S425" s="49">
        <v>518.1</v>
      </c>
      <c r="T425" s="49">
        <v>491.8</v>
      </c>
      <c r="U425" s="49">
        <v>528.9</v>
      </c>
      <c r="V425" s="49">
        <v>532.4</v>
      </c>
      <c r="W425" s="52">
        <v>519.5</v>
      </c>
      <c r="X425" s="100">
        <v>-2.0155770592400146E-2</v>
      </c>
      <c r="Y425" s="100">
        <v>-5.9254263416514963E-3</v>
      </c>
      <c r="Z425" s="100">
        <v>3.7315241095228213E-3</v>
      </c>
      <c r="AA425" s="100">
        <v>6.7593665507903467E-4</v>
      </c>
    </row>
    <row r="426" spans="1:27" ht="15" x14ac:dyDescent="0.25">
      <c r="A426" s="4">
        <v>260129</v>
      </c>
      <c r="B426" s="10" t="s">
        <v>724</v>
      </c>
      <c r="C426" s="10" t="s">
        <v>23</v>
      </c>
      <c r="D426" s="10" t="s">
        <v>153</v>
      </c>
      <c r="E426" s="10" t="s">
        <v>25</v>
      </c>
      <c r="F426" s="38">
        <v>2.6111024074237932E-3</v>
      </c>
      <c r="G426" s="49">
        <v>995.5</v>
      </c>
      <c r="H426" s="49">
        <v>977.7</v>
      </c>
      <c r="I426" s="49">
        <v>965.9</v>
      </c>
      <c r="J426" s="49">
        <v>874.2</v>
      </c>
      <c r="K426" s="49">
        <v>936.1</v>
      </c>
      <c r="L426" s="49">
        <v>966.4</v>
      </c>
      <c r="M426" s="49">
        <v>960.8</v>
      </c>
      <c r="N426" s="49">
        <v>937.5</v>
      </c>
      <c r="O426" s="49">
        <v>988.1</v>
      </c>
      <c r="P426" s="49">
        <v>978.8</v>
      </c>
      <c r="Q426" s="49">
        <v>1024</v>
      </c>
      <c r="R426" s="49">
        <v>902.6</v>
      </c>
      <c r="S426" s="49">
        <v>912.4</v>
      </c>
      <c r="T426" s="49">
        <v>963.9</v>
      </c>
      <c r="U426" s="49">
        <v>1011</v>
      </c>
      <c r="V426" s="49">
        <v>942.5</v>
      </c>
      <c r="W426" s="52">
        <v>912.5</v>
      </c>
      <c r="X426" s="100">
        <v>-3.9027712295038874E-3</v>
      </c>
      <c r="Y426" s="100">
        <v>-3.418443819190653E-3</v>
      </c>
      <c r="Z426" s="100">
        <v>1.0527982268661473E-2</v>
      </c>
      <c r="AA426" s="100">
        <v>2.6111024074237932E-5</v>
      </c>
    </row>
    <row r="427" spans="1:27" ht="15" x14ac:dyDescent="0.25">
      <c r="A427" s="4">
        <v>260129</v>
      </c>
      <c r="B427" s="10" t="s">
        <v>725</v>
      </c>
      <c r="C427" s="10" t="s">
        <v>23</v>
      </c>
      <c r="D427" s="10" t="s">
        <v>726</v>
      </c>
      <c r="E427" s="10" t="s">
        <v>25</v>
      </c>
      <c r="F427" s="38">
        <v>-8.8417329796641742E-2</v>
      </c>
      <c r="G427" s="49">
        <v>2430</v>
      </c>
      <c r="H427" s="49">
        <v>2461</v>
      </c>
      <c r="I427" s="49">
        <v>2616</v>
      </c>
      <c r="J427" s="49">
        <v>2322</v>
      </c>
      <c r="K427" s="49">
        <v>1977</v>
      </c>
      <c r="L427" s="49">
        <v>1844</v>
      </c>
      <c r="M427" s="49">
        <v>1703</v>
      </c>
      <c r="N427" s="49">
        <v>1671</v>
      </c>
      <c r="O427" s="49">
        <v>1615</v>
      </c>
      <c r="P427" s="49">
        <v>1635</v>
      </c>
      <c r="Q427" s="49">
        <v>1644</v>
      </c>
      <c r="R427" s="49">
        <v>1590</v>
      </c>
      <c r="S427" s="49">
        <v>1671</v>
      </c>
      <c r="T427" s="49">
        <v>1644</v>
      </c>
      <c r="U427" s="49">
        <v>1758</v>
      </c>
      <c r="V427" s="49">
        <v>1713</v>
      </c>
      <c r="W427" s="52">
        <v>1665</v>
      </c>
      <c r="X427" s="100">
        <v>1.3761467889907841E-3</v>
      </c>
      <c r="Y427" s="100">
        <v>1.7407237746220883E-2</v>
      </c>
      <c r="Z427" s="100">
        <v>1.8460153084196351E-2</v>
      </c>
      <c r="AA427" s="100">
        <v>-8.8417329796641742E-4</v>
      </c>
    </row>
    <row r="428" spans="1:27" ht="15" x14ac:dyDescent="0.25">
      <c r="A428" s="4">
        <v>260129</v>
      </c>
      <c r="B428" s="10" t="s">
        <v>727</v>
      </c>
      <c r="C428" s="10" t="s">
        <v>23</v>
      </c>
      <c r="D428" s="10" t="s">
        <v>728</v>
      </c>
      <c r="E428" s="10" t="s">
        <v>25</v>
      </c>
      <c r="F428" s="38">
        <v>-8.9929229606255934E-2</v>
      </c>
      <c r="G428" s="49">
        <v>462.94</v>
      </c>
      <c r="H428" s="49">
        <v>413.12</v>
      </c>
      <c r="I428" s="49">
        <v>561.39</v>
      </c>
      <c r="J428" s="49">
        <v>605.07000000000005</v>
      </c>
      <c r="K428" s="49">
        <v>511.49</v>
      </c>
      <c r="L428" s="49">
        <v>470.13</v>
      </c>
      <c r="M428" s="49">
        <v>601.52</v>
      </c>
      <c r="N428" s="49">
        <v>622.24</v>
      </c>
      <c r="O428" s="49">
        <v>558.83000000000004</v>
      </c>
      <c r="P428" s="49">
        <v>476.71</v>
      </c>
      <c r="Q428" s="49">
        <v>608.69000000000005</v>
      </c>
      <c r="R428" s="49">
        <v>623.62</v>
      </c>
      <c r="S428" s="49">
        <v>558.03</v>
      </c>
      <c r="T428" s="49">
        <v>470.18</v>
      </c>
      <c r="U428" s="49">
        <v>634.69000000000005</v>
      </c>
      <c r="V428" s="49">
        <v>638.91</v>
      </c>
      <c r="W428" s="52">
        <v>555.96</v>
      </c>
      <c r="X428" s="100">
        <v>-2.8803952272777877E-3</v>
      </c>
      <c r="Y428" s="100">
        <v>1.1501778351883818E-2</v>
      </c>
      <c r="Z428" s="100">
        <v>6.6870178262159463E-3</v>
      </c>
      <c r="AA428" s="100">
        <v>-8.9929229606255934E-4</v>
      </c>
    </row>
    <row r="429" spans="1:27" ht="15" x14ac:dyDescent="0.25">
      <c r="A429" s="4">
        <v>260129</v>
      </c>
      <c r="B429" s="10" t="s">
        <v>729</v>
      </c>
      <c r="C429" s="10" t="s">
        <v>23</v>
      </c>
      <c r="D429" s="10" t="s">
        <v>144</v>
      </c>
      <c r="E429" s="10" t="s">
        <v>25</v>
      </c>
      <c r="F429" s="38">
        <v>-0.24382570394840819</v>
      </c>
      <c r="G429" s="49">
        <v>4089</v>
      </c>
      <c r="H429" s="49">
        <v>4008</v>
      </c>
      <c r="I429" s="49">
        <v>3707</v>
      </c>
      <c r="J429" s="49">
        <v>3566</v>
      </c>
      <c r="K429" s="49">
        <v>3566</v>
      </c>
      <c r="L429" s="49">
        <v>3591</v>
      </c>
      <c r="M429" s="49">
        <v>3446</v>
      </c>
      <c r="N429" s="49">
        <v>3436</v>
      </c>
      <c r="O429" s="49">
        <v>3399</v>
      </c>
      <c r="P429" s="49">
        <v>3386</v>
      </c>
      <c r="Q429" s="49">
        <v>3236</v>
      </c>
      <c r="R429" s="49">
        <v>3241</v>
      </c>
      <c r="S429" s="49">
        <v>3225</v>
      </c>
      <c r="T429" s="49">
        <v>3169</v>
      </c>
      <c r="U429" s="49">
        <v>3159</v>
      </c>
      <c r="V429" s="49">
        <v>3161</v>
      </c>
      <c r="W429" s="52">
        <v>3194</v>
      </c>
      <c r="X429" s="100">
        <v>-1.6580073349633295E-2</v>
      </c>
      <c r="Y429" s="100">
        <v>-5.9824411467640504E-3</v>
      </c>
      <c r="Z429" s="100">
        <v>-6.2529310614350964E-3</v>
      </c>
      <c r="AA429" s="100">
        <v>-2.4382570394840819E-3</v>
      </c>
    </row>
    <row r="430" spans="1:27" ht="15" x14ac:dyDescent="0.25">
      <c r="A430" s="4">
        <v>260129</v>
      </c>
      <c r="B430" s="10" t="s">
        <v>730</v>
      </c>
      <c r="C430" s="10" t="s">
        <v>23</v>
      </c>
      <c r="D430" s="10" t="s">
        <v>124</v>
      </c>
      <c r="E430" s="10" t="s">
        <v>25</v>
      </c>
      <c r="F430" s="38">
        <v>-0.40883074407195302</v>
      </c>
      <c r="G430" s="49">
        <v>2852</v>
      </c>
      <c r="H430" s="49">
        <v>2915</v>
      </c>
      <c r="I430" s="49">
        <v>3250</v>
      </c>
      <c r="J430" s="49">
        <v>3343</v>
      </c>
      <c r="K430" s="49">
        <v>3237</v>
      </c>
      <c r="L430" s="49">
        <v>3132</v>
      </c>
      <c r="M430" s="49">
        <v>2980</v>
      </c>
      <c r="N430" s="49">
        <v>2971</v>
      </c>
      <c r="O430" s="49">
        <v>3073</v>
      </c>
      <c r="P430" s="49">
        <v>3004</v>
      </c>
      <c r="Q430" s="49">
        <v>3044</v>
      </c>
      <c r="R430" s="49">
        <v>3051</v>
      </c>
      <c r="S430" s="49">
        <v>3024</v>
      </c>
      <c r="T430" s="49">
        <v>2993</v>
      </c>
      <c r="U430" s="49">
        <v>3110</v>
      </c>
      <c r="V430" s="49">
        <v>3103</v>
      </c>
      <c r="W430" s="52">
        <v>2974</v>
      </c>
      <c r="X430" s="100">
        <v>-9.0736616349085253E-4</v>
      </c>
      <c r="Y430" s="100">
        <v>5.4491413474240247E-3</v>
      </c>
      <c r="Z430" s="100">
        <v>4.2699950730826775E-3</v>
      </c>
      <c r="AA430" s="100">
        <v>-4.0883074407195297E-3</v>
      </c>
    </row>
    <row r="431" spans="1:27" ht="15" x14ac:dyDescent="0.25">
      <c r="A431" s="4">
        <v>260129</v>
      </c>
      <c r="B431" s="10" t="s">
        <v>731</v>
      </c>
      <c r="C431" s="10" t="s">
        <v>23</v>
      </c>
      <c r="D431" s="10" t="s">
        <v>48</v>
      </c>
      <c r="E431" s="10" t="s">
        <v>799</v>
      </c>
      <c r="F431" s="38">
        <v>-0.76271374886038856</v>
      </c>
      <c r="G431" s="49">
        <v>351.63</v>
      </c>
      <c r="H431" s="49">
        <v>334.37</v>
      </c>
      <c r="I431" s="49">
        <v>289.58999999999997</v>
      </c>
      <c r="J431" s="49">
        <v>278.2</v>
      </c>
      <c r="K431" s="49">
        <v>334.92</v>
      </c>
      <c r="L431" s="49">
        <v>375.89</v>
      </c>
      <c r="M431" s="49">
        <v>298.37</v>
      </c>
      <c r="N431" s="49">
        <v>290.56</v>
      </c>
      <c r="O431" s="49">
        <v>315.57</v>
      </c>
      <c r="P431" s="49">
        <v>364.52</v>
      </c>
      <c r="Q431" s="49">
        <v>288.82</v>
      </c>
      <c r="R431" s="49">
        <v>304.81</v>
      </c>
      <c r="S431" s="49">
        <v>357</v>
      </c>
      <c r="T431" s="49">
        <v>369.56</v>
      </c>
      <c r="U431" s="49">
        <v>315.55</v>
      </c>
      <c r="V431" s="49">
        <v>307.02</v>
      </c>
      <c r="W431" s="52">
        <v>346.71</v>
      </c>
      <c r="X431" s="100">
        <v>3.8322624795652516E-3</v>
      </c>
      <c r="Y431" s="100">
        <v>2.0247085646762697E-2</v>
      </c>
      <c r="Z431" s="100">
        <v>1.6407804472426957E-3</v>
      </c>
      <c r="AA431" s="100">
        <v>-7.6271374886037746E-3</v>
      </c>
    </row>
    <row r="432" spans="1:27" ht="15" x14ac:dyDescent="0.25">
      <c r="A432" s="4">
        <v>260129</v>
      </c>
      <c r="B432" s="10" t="s">
        <v>732</v>
      </c>
      <c r="C432" s="10" t="s">
        <v>23</v>
      </c>
      <c r="D432" s="10" t="s">
        <v>93</v>
      </c>
      <c r="E432" s="10" t="s">
        <v>25</v>
      </c>
      <c r="F432" s="38">
        <v>-0.81140890090976026</v>
      </c>
      <c r="G432" s="49">
        <v>8657</v>
      </c>
      <c r="H432" s="49">
        <v>8376</v>
      </c>
      <c r="I432" s="49">
        <v>8953</v>
      </c>
      <c r="J432" s="49">
        <v>8951</v>
      </c>
      <c r="K432" s="49">
        <v>9186</v>
      </c>
      <c r="L432" s="49">
        <v>8864</v>
      </c>
      <c r="M432" s="49">
        <v>9146</v>
      </c>
      <c r="N432" s="49">
        <v>9212</v>
      </c>
      <c r="O432" s="49">
        <v>9440</v>
      </c>
      <c r="P432" s="49">
        <v>9105</v>
      </c>
      <c r="Q432" s="49">
        <v>9577</v>
      </c>
      <c r="R432" s="49">
        <v>9728</v>
      </c>
      <c r="S432" s="49">
        <v>10088</v>
      </c>
      <c r="T432" s="49">
        <v>9822</v>
      </c>
      <c r="U432" s="49">
        <v>10352</v>
      </c>
      <c r="V432" s="49">
        <v>10408</v>
      </c>
      <c r="W432" s="52">
        <v>9758</v>
      </c>
      <c r="X432" s="100">
        <v>1.8624344121772607E-2</v>
      </c>
      <c r="Y432" s="100">
        <v>1.9762845849802479E-2</v>
      </c>
      <c r="Z432" s="100">
        <v>1.7004251062765707E-2</v>
      </c>
      <c r="AA432" s="100">
        <v>-8.1140890090976026E-3</v>
      </c>
    </row>
    <row r="433" spans="1:27" ht="15" x14ac:dyDescent="0.25">
      <c r="A433" s="4">
        <v>260129</v>
      </c>
      <c r="B433" s="10" t="s">
        <v>733</v>
      </c>
      <c r="C433" s="10" t="s">
        <v>23</v>
      </c>
      <c r="D433" s="10" t="s">
        <v>29</v>
      </c>
      <c r="E433" s="10" t="s">
        <v>25</v>
      </c>
      <c r="F433" s="38">
        <v>-0.99428813200761468</v>
      </c>
      <c r="G433" s="49">
        <v>64.83</v>
      </c>
      <c r="H433" s="49">
        <v>59.34</v>
      </c>
      <c r="I433" s="49">
        <v>60.81</v>
      </c>
      <c r="J433" s="49">
        <v>64.290000000000006</v>
      </c>
      <c r="K433" s="49">
        <v>65.52</v>
      </c>
      <c r="L433" s="49">
        <v>65.430000000000007</v>
      </c>
      <c r="M433" s="49">
        <v>64.45</v>
      </c>
      <c r="N433" s="49">
        <v>57.12</v>
      </c>
      <c r="O433" s="49">
        <v>54.71</v>
      </c>
      <c r="P433" s="49">
        <v>63.01</v>
      </c>
      <c r="Q433" s="49">
        <v>65.650000000000006</v>
      </c>
      <c r="R433" s="49">
        <v>61.25</v>
      </c>
      <c r="S433" s="49">
        <v>64.599999999999994</v>
      </c>
      <c r="T433" s="49">
        <v>63.32</v>
      </c>
      <c r="U433" s="49">
        <v>65.790000000000006</v>
      </c>
      <c r="V433" s="49">
        <v>42.64</v>
      </c>
      <c r="W433" s="52">
        <v>62.25</v>
      </c>
      <c r="X433" s="100">
        <v>1.2180267965895553E-3</v>
      </c>
      <c r="Y433" s="100">
        <v>5.4940742484888005E-4</v>
      </c>
      <c r="Z433" s="100">
        <v>-7.2991841857546369E-2</v>
      </c>
      <c r="AA433" s="100">
        <v>-9.9428813200760358E-3</v>
      </c>
    </row>
    <row r="434" spans="1:27" ht="15" x14ac:dyDescent="0.25">
      <c r="A434" s="4">
        <v>260129</v>
      </c>
      <c r="B434" s="10" t="s">
        <v>734</v>
      </c>
      <c r="C434" s="10" t="s">
        <v>23</v>
      </c>
      <c r="D434" s="10" t="s">
        <v>691</v>
      </c>
      <c r="E434" s="10" t="s">
        <v>25</v>
      </c>
      <c r="F434" s="38">
        <v>-1.4657383657017189</v>
      </c>
      <c r="G434" s="49">
        <v>1770</v>
      </c>
      <c r="H434" s="49">
        <v>1815</v>
      </c>
      <c r="I434" s="49">
        <v>1863</v>
      </c>
      <c r="J434" s="49">
        <v>1833</v>
      </c>
      <c r="K434" s="49">
        <v>1727</v>
      </c>
      <c r="L434" s="49">
        <v>1716</v>
      </c>
      <c r="M434" s="49">
        <v>1639</v>
      </c>
      <c r="N434" s="49">
        <v>1564</v>
      </c>
      <c r="O434" s="49">
        <v>1473</v>
      </c>
      <c r="P434" s="49">
        <v>1476</v>
      </c>
      <c r="Q434" s="49">
        <v>1473</v>
      </c>
      <c r="R434" s="49">
        <v>1465</v>
      </c>
      <c r="S434" s="49">
        <v>1382</v>
      </c>
      <c r="T434" s="49">
        <v>1352</v>
      </c>
      <c r="U434" s="49">
        <v>1370</v>
      </c>
      <c r="V434" s="49">
        <v>1354</v>
      </c>
      <c r="W434" s="52">
        <v>1302</v>
      </c>
      <c r="X434" s="100">
        <v>-2.1394064872325758E-2</v>
      </c>
      <c r="Y434" s="100">
        <v>-1.8159379407616361E-2</v>
      </c>
      <c r="Z434" s="100">
        <v>-1.9931765128389345E-2</v>
      </c>
      <c r="AA434" s="100">
        <v>-1.4657383657017187E-2</v>
      </c>
    </row>
    <row r="435" spans="1:27" ht="15" x14ac:dyDescent="0.25">
      <c r="A435" s="4">
        <v>260129</v>
      </c>
      <c r="B435" s="10" t="s">
        <v>735</v>
      </c>
      <c r="C435" s="10" t="s">
        <v>23</v>
      </c>
      <c r="D435" s="10" t="s">
        <v>54</v>
      </c>
      <c r="E435" s="10" t="s">
        <v>25</v>
      </c>
      <c r="F435" s="38">
        <v>-1.7646391284611871</v>
      </c>
      <c r="G435" s="49">
        <v>4359</v>
      </c>
      <c r="H435" s="49">
        <v>3150</v>
      </c>
      <c r="I435" s="49">
        <v>3880</v>
      </c>
      <c r="J435" s="49">
        <v>3895</v>
      </c>
      <c r="K435" s="49">
        <v>5079</v>
      </c>
      <c r="L435" s="49">
        <v>3576</v>
      </c>
      <c r="M435" s="49">
        <v>4189</v>
      </c>
      <c r="N435" s="49">
        <v>4004</v>
      </c>
      <c r="O435" s="49">
        <v>4294</v>
      </c>
      <c r="P435" s="49">
        <v>3949</v>
      </c>
      <c r="Q435" s="49">
        <v>4600</v>
      </c>
      <c r="R435" s="49">
        <v>4476</v>
      </c>
      <c r="S435" s="49">
        <v>4922</v>
      </c>
      <c r="T435" s="49">
        <v>3893</v>
      </c>
      <c r="U435" s="49">
        <v>4404</v>
      </c>
      <c r="V435" s="49">
        <v>4405</v>
      </c>
      <c r="W435" s="52">
        <v>4611</v>
      </c>
      <c r="X435" s="100">
        <v>-3.1202986571572389E-3</v>
      </c>
      <c r="Y435" s="100">
        <v>-1.0955228886032065E-2</v>
      </c>
      <c r="Z435" s="100">
        <v>-4.0124328906471218E-3</v>
      </c>
      <c r="AA435" s="100">
        <v>-1.7646391284611873E-2</v>
      </c>
    </row>
    <row r="436" spans="1:27" ht="15" x14ac:dyDescent="0.25">
      <c r="A436" s="4">
        <v>260129</v>
      </c>
      <c r="B436" s="10" t="s">
        <v>736</v>
      </c>
      <c r="C436" s="10" t="s">
        <v>23</v>
      </c>
      <c r="D436" s="10" t="s">
        <v>726</v>
      </c>
      <c r="E436" s="10" t="s">
        <v>25</v>
      </c>
      <c r="F436" s="38">
        <v>-2.3097792877569518</v>
      </c>
      <c r="G436" s="49">
        <v>14364</v>
      </c>
      <c r="H436" s="49">
        <v>15264</v>
      </c>
      <c r="I436" s="49">
        <v>15664</v>
      </c>
      <c r="J436" s="49">
        <v>14115</v>
      </c>
      <c r="K436" s="49">
        <v>11859</v>
      </c>
      <c r="L436" s="49">
        <v>11851</v>
      </c>
      <c r="M436" s="49">
        <v>11420</v>
      </c>
      <c r="N436" s="49">
        <v>10730</v>
      </c>
      <c r="O436" s="49">
        <v>10621</v>
      </c>
      <c r="P436" s="49">
        <v>10765</v>
      </c>
      <c r="Q436" s="49">
        <v>10915</v>
      </c>
      <c r="R436" s="49">
        <v>10879</v>
      </c>
      <c r="S436" s="49">
        <v>10405</v>
      </c>
      <c r="T436" s="49">
        <v>10431</v>
      </c>
      <c r="U436" s="49">
        <v>10104</v>
      </c>
      <c r="V436" s="49">
        <v>9973</v>
      </c>
      <c r="W436" s="52">
        <v>9460</v>
      </c>
      <c r="X436" s="100">
        <v>-7.7739502839586638E-3</v>
      </c>
      <c r="Y436" s="100">
        <v>-1.902416138869345E-2</v>
      </c>
      <c r="Z436" s="100">
        <v>-2.1664793514909464E-2</v>
      </c>
      <c r="AA436" s="100">
        <v>-2.3097792877569523E-2</v>
      </c>
    </row>
    <row r="437" spans="1:27" ht="15" x14ac:dyDescent="0.25">
      <c r="A437" s="4">
        <v>260129</v>
      </c>
      <c r="B437" s="10" t="s">
        <v>737</v>
      </c>
      <c r="C437" s="10" t="s">
        <v>23</v>
      </c>
      <c r="D437" s="10" t="s">
        <v>738</v>
      </c>
      <c r="E437" s="10" t="s">
        <v>25</v>
      </c>
      <c r="F437" s="38">
        <v>-2.361425339366519</v>
      </c>
      <c r="G437" s="49">
        <v>2206</v>
      </c>
      <c r="H437" s="49">
        <v>3112</v>
      </c>
      <c r="I437" s="49">
        <v>2973</v>
      </c>
      <c r="J437" s="49">
        <v>2276</v>
      </c>
      <c r="K437" s="49">
        <v>1823</v>
      </c>
      <c r="L437" s="49">
        <v>1881</v>
      </c>
      <c r="M437" s="49">
        <v>1997</v>
      </c>
      <c r="N437" s="49">
        <v>2022</v>
      </c>
      <c r="O437" s="49">
        <v>1774</v>
      </c>
      <c r="P437" s="49">
        <v>1796</v>
      </c>
      <c r="Q437" s="49">
        <v>1939</v>
      </c>
      <c r="R437" s="49">
        <v>1681</v>
      </c>
      <c r="S437" s="49">
        <v>1708</v>
      </c>
      <c r="T437" s="49">
        <v>1763</v>
      </c>
      <c r="U437" s="49">
        <v>1884</v>
      </c>
      <c r="V437" s="49">
        <v>1717</v>
      </c>
      <c r="W437" s="52">
        <v>1541</v>
      </c>
      <c r="X437" s="100">
        <v>-4.6322290847837788E-3</v>
      </c>
      <c r="Y437" s="100">
        <v>-7.7563108165279449E-3</v>
      </c>
      <c r="Z437" s="100">
        <v>5.1165434906197405E-3</v>
      </c>
      <c r="AA437" s="100">
        <v>-2.3614253393665185E-2</v>
      </c>
    </row>
    <row r="438" spans="1:27" ht="15" x14ac:dyDescent="0.25">
      <c r="A438" s="4">
        <v>260129</v>
      </c>
      <c r="B438" s="10" t="s">
        <v>739</v>
      </c>
      <c r="C438" s="10" t="s">
        <v>23</v>
      </c>
      <c r="D438" s="10" t="s">
        <v>41</v>
      </c>
      <c r="E438" s="10" t="s">
        <v>25</v>
      </c>
      <c r="F438" s="38">
        <v>-3.0141843971631221</v>
      </c>
      <c r="G438" s="49">
        <v>2694</v>
      </c>
      <c r="H438" s="49">
        <v>2714</v>
      </c>
      <c r="I438" s="49">
        <v>2784</v>
      </c>
      <c r="J438" s="49">
        <v>2709</v>
      </c>
      <c r="K438" s="49">
        <v>2373</v>
      </c>
      <c r="L438" s="49">
        <v>2412</v>
      </c>
      <c r="M438" s="49">
        <v>2324</v>
      </c>
      <c r="N438" s="49">
        <v>2267</v>
      </c>
      <c r="O438" s="49">
        <v>2207</v>
      </c>
      <c r="P438" s="49">
        <v>2310</v>
      </c>
      <c r="Q438" s="49">
        <v>2363</v>
      </c>
      <c r="R438" s="49">
        <v>2464</v>
      </c>
      <c r="S438" s="49">
        <v>2245</v>
      </c>
      <c r="T438" s="49">
        <v>2290</v>
      </c>
      <c r="U438" s="49">
        <v>2287</v>
      </c>
      <c r="V438" s="49">
        <v>2202</v>
      </c>
      <c r="W438" s="52">
        <v>1973</v>
      </c>
      <c r="X438" s="100">
        <v>-2.1317416329140748E-3</v>
      </c>
      <c r="Y438" s="100">
        <v>-8.1179235206152445E-3</v>
      </c>
      <c r="Z438" s="100">
        <v>-2.8214516476416152E-2</v>
      </c>
      <c r="AA438" s="100">
        <v>-3.0141843971631221E-2</v>
      </c>
    </row>
    <row r="439" spans="1:27" ht="15" x14ac:dyDescent="0.25">
      <c r="A439" s="4">
        <v>260129</v>
      </c>
      <c r="B439" s="10" t="s">
        <v>740</v>
      </c>
      <c r="C439" s="10" t="s">
        <v>23</v>
      </c>
      <c r="D439" s="10" t="s">
        <v>54</v>
      </c>
      <c r="E439" s="10" t="s">
        <v>25</v>
      </c>
      <c r="F439" s="38">
        <v>-4.4468619811432131</v>
      </c>
      <c r="G439" s="49">
        <v>454.15</v>
      </c>
      <c r="H439" s="49">
        <v>508.51</v>
      </c>
      <c r="I439" s="49">
        <v>526.66999999999996</v>
      </c>
      <c r="J439" s="49">
        <v>827.67</v>
      </c>
      <c r="K439" s="49">
        <v>444.93</v>
      </c>
      <c r="L439" s="49">
        <v>543.91</v>
      </c>
      <c r="M439" s="49">
        <v>572.54</v>
      </c>
      <c r="N439" s="49">
        <v>645.41</v>
      </c>
      <c r="O439" s="49">
        <v>386.82</v>
      </c>
      <c r="P439" s="49">
        <v>541.54</v>
      </c>
      <c r="Q439" s="49">
        <v>595.67999999999995</v>
      </c>
      <c r="R439" s="49">
        <v>806.16</v>
      </c>
      <c r="S439" s="49">
        <v>468.95</v>
      </c>
      <c r="T439" s="49">
        <v>565.34</v>
      </c>
      <c r="U439" s="49">
        <v>545.37</v>
      </c>
      <c r="V439" s="49">
        <v>791.9</v>
      </c>
      <c r="W439" s="52">
        <v>363.49</v>
      </c>
      <c r="X439" s="100">
        <v>9.8659801934233293E-3</v>
      </c>
      <c r="Y439" s="100">
        <v>-2.065160726233839E-2</v>
      </c>
      <c r="Z439" s="100">
        <v>-5.9769806607370413E-3</v>
      </c>
      <c r="AA439" s="100">
        <v>-4.4468619811431909E-2</v>
      </c>
    </row>
    <row r="440" spans="1:27" ht="15" x14ac:dyDescent="0.25">
      <c r="A440" s="4">
        <v>260129</v>
      </c>
      <c r="B440" s="10" t="s">
        <v>741</v>
      </c>
      <c r="C440" s="10" t="s">
        <v>164</v>
      </c>
      <c r="D440" s="37" t="s">
        <v>742</v>
      </c>
      <c r="E440" s="10" t="s">
        <v>25</v>
      </c>
      <c r="F440" s="38">
        <v>3.7988581466842359</v>
      </c>
      <c r="G440" s="49">
        <v>4858</v>
      </c>
      <c r="H440" s="49">
        <v>6080</v>
      </c>
      <c r="I440" s="49">
        <v>6875</v>
      </c>
      <c r="J440" s="49">
        <v>6172</v>
      </c>
      <c r="K440" s="49">
        <v>5366</v>
      </c>
      <c r="L440" s="49">
        <v>5968</v>
      </c>
      <c r="M440" s="49">
        <v>6008</v>
      </c>
      <c r="N440" s="49">
        <v>5575</v>
      </c>
      <c r="O440" s="49">
        <v>4968</v>
      </c>
      <c r="P440" s="49">
        <v>5428</v>
      </c>
      <c r="Q440" s="49">
        <v>6145</v>
      </c>
      <c r="R440" s="49">
        <v>5750</v>
      </c>
      <c r="S440" s="49">
        <v>6184</v>
      </c>
      <c r="T440" s="49">
        <v>7233</v>
      </c>
      <c r="U440" s="49">
        <v>6974</v>
      </c>
      <c r="V440" s="49">
        <v>6933</v>
      </c>
      <c r="W440" s="52">
        <v>7222</v>
      </c>
      <c r="X440" s="100">
        <v>7.6785638320500338E-2</v>
      </c>
      <c r="Y440" s="100">
        <v>3.2751264222503185E-2</v>
      </c>
      <c r="Z440" s="100">
        <v>4.525458092651391E-2</v>
      </c>
      <c r="AA440" s="100">
        <v>3.7988581466842364E-2</v>
      </c>
    </row>
    <row r="441" spans="1:27" ht="15" x14ac:dyDescent="0.25">
      <c r="A441" s="4">
        <v>260129</v>
      </c>
      <c r="B441" s="10" t="s">
        <v>743</v>
      </c>
      <c r="C441" s="10" t="s">
        <v>164</v>
      </c>
      <c r="D441" s="37" t="s">
        <v>744</v>
      </c>
      <c r="E441" s="10" t="s">
        <v>25</v>
      </c>
      <c r="F441" s="38">
        <v>1.101144237420759</v>
      </c>
      <c r="G441" s="49">
        <v>17062</v>
      </c>
      <c r="H441" s="49">
        <v>16593</v>
      </c>
      <c r="I441" s="49">
        <v>18468</v>
      </c>
      <c r="J441" s="49">
        <v>18674</v>
      </c>
      <c r="K441" s="49">
        <v>19739</v>
      </c>
      <c r="L441" s="49">
        <v>19252</v>
      </c>
      <c r="M441" s="49">
        <v>20797</v>
      </c>
      <c r="N441" s="49">
        <v>20293</v>
      </c>
      <c r="O441" s="49">
        <v>20769</v>
      </c>
      <c r="P441" s="49">
        <v>20252</v>
      </c>
      <c r="Q441" s="49">
        <v>21044</v>
      </c>
      <c r="R441" s="49">
        <v>20902</v>
      </c>
      <c r="S441" s="49">
        <v>21860</v>
      </c>
      <c r="T441" s="49">
        <v>21040</v>
      </c>
      <c r="U441" s="49">
        <v>22995</v>
      </c>
      <c r="V441" s="49">
        <v>22286</v>
      </c>
      <c r="W441" s="52">
        <v>22831</v>
      </c>
      <c r="X441" s="100">
        <v>9.3744795260415348E-3</v>
      </c>
      <c r="Y441" s="100">
        <v>2.2994601984772434E-2</v>
      </c>
      <c r="Z441" s="100">
        <v>1.5945251563994178E-2</v>
      </c>
      <c r="AA441" s="100">
        <v>1.1011442374207592E-2</v>
      </c>
    </row>
    <row r="442" spans="1:27" ht="15" x14ac:dyDescent="0.25">
      <c r="A442" s="4">
        <v>260129</v>
      </c>
      <c r="B442" s="10" t="s">
        <v>745</v>
      </c>
      <c r="C442" s="10" t="s">
        <v>164</v>
      </c>
      <c r="D442" s="37" t="s">
        <v>746</v>
      </c>
      <c r="E442" s="10" t="s">
        <v>25</v>
      </c>
      <c r="F442" s="38">
        <v>-0.34014657225022171</v>
      </c>
      <c r="G442" s="49">
        <v>5726</v>
      </c>
      <c r="H442" s="49">
        <v>6398</v>
      </c>
      <c r="I442" s="49">
        <v>6683</v>
      </c>
      <c r="J442" s="49">
        <v>6707</v>
      </c>
      <c r="K442" s="49">
        <v>7228</v>
      </c>
      <c r="L442" s="49">
        <v>8063</v>
      </c>
      <c r="M442" s="49">
        <v>8100</v>
      </c>
      <c r="N442" s="49">
        <v>7851</v>
      </c>
      <c r="O442" s="49">
        <v>7821</v>
      </c>
      <c r="P442" s="49">
        <v>7744</v>
      </c>
      <c r="Q442" s="49">
        <v>8491</v>
      </c>
      <c r="R442" s="49">
        <v>7973</v>
      </c>
      <c r="S442" s="49">
        <v>8336</v>
      </c>
      <c r="T442" s="49">
        <v>8036</v>
      </c>
      <c r="U442" s="49">
        <v>8121</v>
      </c>
      <c r="V442" s="49">
        <v>7846</v>
      </c>
      <c r="W442" s="52">
        <v>8226</v>
      </c>
      <c r="X442" s="100">
        <v>8.9724680432645698E-3</v>
      </c>
      <c r="Y442" s="100">
        <v>-1.1268120355707123E-2</v>
      </c>
      <c r="Z442" s="100">
        <v>-3.9117846362348718E-3</v>
      </c>
      <c r="AA442" s="100">
        <v>-3.4014657225022171E-3</v>
      </c>
    </row>
    <row r="443" spans="1:27" ht="15" x14ac:dyDescent="0.25">
      <c r="A443" s="4">
        <v>260129</v>
      </c>
      <c r="B443" s="10">
        <v>8421</v>
      </c>
      <c r="C443" s="10" t="s">
        <v>67</v>
      </c>
      <c r="D443" s="37" t="s">
        <v>747</v>
      </c>
      <c r="E443" s="10" t="s">
        <v>25</v>
      </c>
      <c r="F443" s="38">
        <v>6.8295976680226023</v>
      </c>
      <c r="G443" s="49">
        <v>34923</v>
      </c>
      <c r="H443" s="49">
        <v>38607</v>
      </c>
      <c r="I443" s="49">
        <v>70037</v>
      </c>
      <c r="J443" s="49">
        <v>42358</v>
      </c>
      <c r="K443" s="50">
        <v>74298</v>
      </c>
      <c r="L443" s="50">
        <v>80940</v>
      </c>
      <c r="M443" s="49">
        <v>61334</v>
      </c>
      <c r="N443" s="49">
        <v>52580</v>
      </c>
      <c r="O443" s="49">
        <v>71705</v>
      </c>
      <c r="P443" s="49">
        <v>64359</v>
      </c>
      <c r="Q443" s="49">
        <v>42965</v>
      </c>
      <c r="R443" s="49">
        <v>34312</v>
      </c>
      <c r="S443" s="49">
        <v>41711</v>
      </c>
      <c r="T443" s="49">
        <v>44628</v>
      </c>
      <c r="U443" s="49">
        <v>47771</v>
      </c>
      <c r="V443" s="49">
        <v>48053</v>
      </c>
      <c r="W443" s="52">
        <v>54152</v>
      </c>
      <c r="X443" s="100">
        <v>-0.10761561410876641</v>
      </c>
      <c r="Y443" s="100">
        <v>2.9373655388226005E-2</v>
      </c>
      <c r="Z443" s="100">
        <v>8.1586728574651657E-2</v>
      </c>
      <c r="AA443" s="100">
        <v>6.8295976680226023E-2</v>
      </c>
    </row>
    <row r="444" spans="1:27" ht="15" x14ac:dyDescent="0.25">
      <c r="A444" s="4">
        <v>260129</v>
      </c>
      <c r="B444" s="10">
        <v>6952</v>
      </c>
      <c r="C444" s="10" t="s">
        <v>67</v>
      </c>
      <c r="D444" s="37" t="s">
        <v>748</v>
      </c>
      <c r="E444" s="10" t="s">
        <v>25</v>
      </c>
      <c r="F444" s="38">
        <v>6.4196130676102303</v>
      </c>
      <c r="G444" s="49">
        <v>68299</v>
      </c>
      <c r="H444" s="49">
        <v>58111</v>
      </c>
      <c r="I444" s="49">
        <v>61269</v>
      </c>
      <c r="J444" s="49">
        <v>72041</v>
      </c>
      <c r="K444" s="49">
        <v>67883</v>
      </c>
      <c r="L444" s="49">
        <v>62638</v>
      </c>
      <c r="M444" s="49">
        <v>62681</v>
      </c>
      <c r="N444" s="49">
        <v>70862</v>
      </c>
      <c r="O444" s="49">
        <v>67742</v>
      </c>
      <c r="P444" s="49">
        <v>67543</v>
      </c>
      <c r="Q444" s="49">
        <v>65217</v>
      </c>
      <c r="R444" s="49">
        <v>71730</v>
      </c>
      <c r="S444" s="49">
        <v>58826</v>
      </c>
      <c r="T444" s="49">
        <v>65984</v>
      </c>
      <c r="U444" s="49">
        <v>62191</v>
      </c>
      <c r="V444" s="49">
        <v>70460</v>
      </c>
      <c r="W444" s="52">
        <v>75354</v>
      </c>
      <c r="X444" s="100">
        <v>-5.9206428777590636E-3</v>
      </c>
      <c r="Y444" s="100">
        <v>-1.1560340315636242E-2</v>
      </c>
      <c r="Z444" s="100">
        <v>-4.9085729966644731E-3</v>
      </c>
      <c r="AA444" s="100">
        <v>6.4196130676102303E-2</v>
      </c>
    </row>
    <row r="445" spans="1:27" ht="15" x14ac:dyDescent="0.25">
      <c r="A445" s="4">
        <v>260129</v>
      </c>
      <c r="B445" s="10">
        <v>4373</v>
      </c>
      <c r="C445" s="10" t="s">
        <v>67</v>
      </c>
      <c r="D445" s="37" t="s">
        <v>749</v>
      </c>
      <c r="E445" s="10" t="s">
        <v>25</v>
      </c>
      <c r="F445" s="38">
        <v>4.6681295598192118</v>
      </c>
      <c r="G445" s="49">
        <v>7648</v>
      </c>
      <c r="H445" s="49">
        <v>7317</v>
      </c>
      <c r="I445" s="49">
        <v>8048</v>
      </c>
      <c r="J445" s="49">
        <v>8819</v>
      </c>
      <c r="K445" s="49">
        <v>8941</v>
      </c>
      <c r="L445" s="49">
        <v>9138</v>
      </c>
      <c r="M445" s="49">
        <v>9404</v>
      </c>
      <c r="N445" s="49">
        <v>10139</v>
      </c>
      <c r="O445" s="49">
        <v>10408</v>
      </c>
      <c r="P445" s="49">
        <v>10757</v>
      </c>
      <c r="Q445" s="49">
        <v>10954</v>
      </c>
      <c r="R445" s="49">
        <v>10922</v>
      </c>
      <c r="S445" s="49">
        <v>12242</v>
      </c>
      <c r="T445" s="49">
        <v>13276</v>
      </c>
      <c r="U445" s="49">
        <v>13464</v>
      </c>
      <c r="V445" s="49">
        <v>14337</v>
      </c>
      <c r="W445" s="52">
        <v>14731</v>
      </c>
      <c r="X445" s="100">
        <v>5.6133704735376044E-2</v>
      </c>
      <c r="Y445" s="100">
        <v>5.2960290332109583E-2</v>
      </c>
      <c r="Z445" s="100">
        <v>6.8431388265469684E-2</v>
      </c>
      <c r="AA445" s="100">
        <v>4.6681295598192118E-2</v>
      </c>
    </row>
    <row r="446" spans="1:27" ht="15" x14ac:dyDescent="0.25">
      <c r="A446" s="4">
        <v>260129</v>
      </c>
      <c r="B446" s="10">
        <v>4519</v>
      </c>
      <c r="C446" s="10" t="s">
        <v>67</v>
      </c>
      <c r="D446" s="37" t="s">
        <v>750</v>
      </c>
      <c r="E446" s="10" t="s">
        <v>25</v>
      </c>
      <c r="F446" s="38">
        <v>3.6440275782063658</v>
      </c>
      <c r="G446" s="49">
        <v>322266</v>
      </c>
      <c r="H446" s="49">
        <v>360554</v>
      </c>
      <c r="I446" s="49">
        <v>235612</v>
      </c>
      <c r="J446" s="49">
        <v>225284</v>
      </c>
      <c r="K446" s="50">
        <v>438496</v>
      </c>
      <c r="L446" s="49">
        <v>312240</v>
      </c>
      <c r="M446" s="49">
        <v>267417</v>
      </c>
      <c r="N446" s="49">
        <v>257897</v>
      </c>
      <c r="O446" s="49">
        <v>273812</v>
      </c>
      <c r="P446" s="49">
        <v>236949</v>
      </c>
      <c r="Q446" s="49">
        <v>315911</v>
      </c>
      <c r="R446" s="49">
        <v>315678</v>
      </c>
      <c r="S446" s="49">
        <v>302073</v>
      </c>
      <c r="T446" s="49">
        <v>288459</v>
      </c>
      <c r="U446" s="49">
        <v>290004</v>
      </c>
      <c r="V446" s="49">
        <v>333176</v>
      </c>
      <c r="W446" s="52">
        <v>346301</v>
      </c>
      <c r="X446" s="100">
        <v>4.4002661857782011E-2</v>
      </c>
      <c r="Y446" s="100">
        <v>-2.119839197591733E-2</v>
      </c>
      <c r="Z446" s="100">
        <v>1.4627817430660439E-2</v>
      </c>
      <c r="AA446" s="100">
        <v>3.6440275782063658E-2</v>
      </c>
    </row>
    <row r="447" spans="1:27" ht="15" x14ac:dyDescent="0.25">
      <c r="A447" s="4">
        <v>260129</v>
      </c>
      <c r="B447" s="10">
        <v>6861</v>
      </c>
      <c r="C447" s="10" t="s">
        <v>67</v>
      </c>
      <c r="D447" s="37" t="s">
        <v>751</v>
      </c>
      <c r="E447" s="10" t="s">
        <v>801</v>
      </c>
      <c r="F447" s="38">
        <v>2.7243214451347471</v>
      </c>
      <c r="G447" s="49">
        <v>199978</v>
      </c>
      <c r="H447" s="49">
        <v>199978</v>
      </c>
      <c r="I447" s="49">
        <v>192007</v>
      </c>
      <c r="J447" s="49">
        <v>251993</v>
      </c>
      <c r="K447" s="49">
        <v>236618</v>
      </c>
      <c r="L447" s="49">
        <v>241804</v>
      </c>
      <c r="M447" s="49">
        <v>222274</v>
      </c>
      <c r="N447" s="49">
        <v>243806</v>
      </c>
      <c r="O447" s="49">
        <v>241109</v>
      </c>
      <c r="P447" s="49">
        <v>260099</v>
      </c>
      <c r="Q447" s="49">
        <v>247223</v>
      </c>
      <c r="R447" s="49">
        <v>268327</v>
      </c>
      <c r="S447" s="49">
        <v>259640</v>
      </c>
      <c r="T447" s="49">
        <v>283955</v>
      </c>
      <c r="U447" s="49">
        <v>261076</v>
      </c>
      <c r="V447" s="49">
        <v>284224</v>
      </c>
      <c r="W447" s="52">
        <v>289305</v>
      </c>
      <c r="X447" s="100">
        <v>2.3042841177680851E-2</v>
      </c>
      <c r="Y447" s="100">
        <v>1.3079417832308149E-2</v>
      </c>
      <c r="Z447" s="100">
        <v>1.4815498258151427E-2</v>
      </c>
      <c r="AA447" s="100">
        <v>2.7243214451347475E-2</v>
      </c>
    </row>
    <row r="448" spans="1:27" ht="15" x14ac:dyDescent="0.25">
      <c r="A448" s="4">
        <v>260129</v>
      </c>
      <c r="B448" s="10">
        <v>7380</v>
      </c>
      <c r="C448" s="10" t="s">
        <v>67</v>
      </c>
      <c r="D448" s="37" t="s">
        <v>752</v>
      </c>
      <c r="E448" s="10" t="s">
        <v>25</v>
      </c>
      <c r="F448" s="38">
        <v>2.1199224022836689</v>
      </c>
      <c r="G448" s="49">
        <v>26846</v>
      </c>
      <c r="H448" s="49">
        <v>33713</v>
      </c>
      <c r="I448" s="49">
        <v>29047</v>
      </c>
      <c r="J448" s="49">
        <v>28538</v>
      </c>
      <c r="K448" s="49">
        <v>25509</v>
      </c>
      <c r="L448" s="49">
        <v>25228</v>
      </c>
      <c r="M448" s="49">
        <v>29318</v>
      </c>
      <c r="N448" s="49">
        <v>30091</v>
      </c>
      <c r="O448" s="49">
        <v>32864</v>
      </c>
      <c r="P448" s="49">
        <v>29151</v>
      </c>
      <c r="Q448" s="49">
        <v>29002</v>
      </c>
      <c r="R448" s="49">
        <v>28920</v>
      </c>
      <c r="S448" s="49">
        <v>29702</v>
      </c>
      <c r="T448" s="49">
        <v>37379</v>
      </c>
      <c r="U448" s="49">
        <v>32161</v>
      </c>
      <c r="V448" s="49">
        <v>36329</v>
      </c>
      <c r="W448" s="52">
        <v>32576</v>
      </c>
      <c r="X448" s="100">
        <v>7.0460286876471878E-2</v>
      </c>
      <c r="Y448" s="100">
        <v>2.5271393486556271E-2</v>
      </c>
      <c r="Z448" s="100">
        <v>5.7809647165306455E-2</v>
      </c>
      <c r="AA448" s="100">
        <v>2.1199224022836693E-2</v>
      </c>
    </row>
    <row r="449" spans="1:27" ht="15" x14ac:dyDescent="0.25">
      <c r="A449" s="4">
        <v>260129</v>
      </c>
      <c r="B449" s="10">
        <v>4290</v>
      </c>
      <c r="C449" s="10" t="s">
        <v>67</v>
      </c>
      <c r="D449" s="37" t="s">
        <v>753</v>
      </c>
      <c r="E449" s="10" t="s">
        <v>25</v>
      </c>
      <c r="F449" s="38">
        <v>2.0638762268185169</v>
      </c>
      <c r="G449" s="49">
        <v>11967</v>
      </c>
      <c r="H449" s="49">
        <v>12484</v>
      </c>
      <c r="I449" s="49">
        <v>12611</v>
      </c>
      <c r="J449" s="49">
        <v>13568</v>
      </c>
      <c r="K449" s="49">
        <v>14273</v>
      </c>
      <c r="L449" s="49">
        <v>14110</v>
      </c>
      <c r="M449" s="49">
        <v>13917</v>
      </c>
      <c r="N449" s="49">
        <v>14846</v>
      </c>
      <c r="O449" s="49">
        <v>14981</v>
      </c>
      <c r="P449" s="49">
        <v>14994</v>
      </c>
      <c r="Q449" s="49">
        <v>15048</v>
      </c>
      <c r="R449" s="49">
        <v>15722</v>
      </c>
      <c r="S449" s="49">
        <v>16831</v>
      </c>
      <c r="T449" s="49">
        <v>16118</v>
      </c>
      <c r="U449" s="49">
        <v>16724</v>
      </c>
      <c r="V449" s="49">
        <v>17676</v>
      </c>
      <c r="W449" s="52">
        <v>18221</v>
      </c>
      <c r="X449" s="100">
        <v>1.7956705807173012E-2</v>
      </c>
      <c r="Y449" s="100">
        <v>2.6302986550322593E-2</v>
      </c>
      <c r="Z449" s="100">
        <v>2.9879960241608661E-2</v>
      </c>
      <c r="AA449" s="100">
        <v>2.0638762268185173E-2</v>
      </c>
    </row>
    <row r="450" spans="1:27" ht="15" x14ac:dyDescent="0.25">
      <c r="A450" s="4">
        <v>260129</v>
      </c>
      <c r="B450" s="10">
        <v>9044</v>
      </c>
      <c r="C450" s="10" t="s">
        <v>67</v>
      </c>
      <c r="D450" s="37" t="s">
        <v>754</v>
      </c>
      <c r="E450" s="10" t="s">
        <v>25</v>
      </c>
      <c r="F450" s="38">
        <v>2.025223339551951</v>
      </c>
      <c r="G450" s="49">
        <v>56743</v>
      </c>
      <c r="H450" s="49">
        <v>53436</v>
      </c>
      <c r="I450" s="49">
        <v>51842</v>
      </c>
      <c r="J450" s="49">
        <v>56398</v>
      </c>
      <c r="K450" s="49">
        <v>55548</v>
      </c>
      <c r="L450" s="49">
        <v>57492</v>
      </c>
      <c r="M450" s="49">
        <v>54845</v>
      </c>
      <c r="N450" s="49">
        <v>62827</v>
      </c>
      <c r="O450" s="49">
        <v>66417</v>
      </c>
      <c r="P450" s="49">
        <v>57505</v>
      </c>
      <c r="Q450" s="49">
        <v>59722</v>
      </c>
      <c r="R450" s="49">
        <v>63857</v>
      </c>
      <c r="S450" s="49">
        <v>63535</v>
      </c>
      <c r="T450" s="49">
        <v>73673</v>
      </c>
      <c r="U450" s="49">
        <v>62713</v>
      </c>
      <c r="V450" s="49">
        <v>63803</v>
      </c>
      <c r="W450" s="52">
        <v>68876</v>
      </c>
      <c r="X450" s="100">
        <v>6.6094620614097765E-2</v>
      </c>
      <c r="Y450" s="100">
        <v>1.1469129979638559E-2</v>
      </c>
      <c r="Z450" s="100">
        <v>-2.0471760343920842E-4</v>
      </c>
      <c r="AA450" s="100">
        <v>2.0252233395519514E-2</v>
      </c>
    </row>
    <row r="451" spans="1:27" ht="15" x14ac:dyDescent="0.25">
      <c r="A451" s="4">
        <v>260129</v>
      </c>
      <c r="B451" s="10">
        <v>4307</v>
      </c>
      <c r="C451" s="10" t="s">
        <v>67</v>
      </c>
      <c r="D451" s="37" t="s">
        <v>755</v>
      </c>
      <c r="E451" s="10" t="s">
        <v>25</v>
      </c>
      <c r="F451" s="38">
        <v>1.7578652400968009</v>
      </c>
      <c r="G451" s="49">
        <v>155973</v>
      </c>
      <c r="H451" s="49">
        <v>163687</v>
      </c>
      <c r="I451" s="49">
        <v>167537</v>
      </c>
      <c r="J451" s="49">
        <v>171516</v>
      </c>
      <c r="K451" s="49">
        <v>177005</v>
      </c>
      <c r="L451" s="49">
        <v>176106</v>
      </c>
      <c r="M451" s="49">
        <v>176709</v>
      </c>
      <c r="N451" s="49">
        <v>185355</v>
      </c>
      <c r="O451" s="49">
        <v>187954</v>
      </c>
      <c r="P451" s="49">
        <v>186537</v>
      </c>
      <c r="Q451" s="49">
        <v>188110</v>
      </c>
      <c r="R451" s="49">
        <v>188668</v>
      </c>
      <c r="S451" s="49">
        <v>191467</v>
      </c>
      <c r="T451" s="49">
        <v>196568</v>
      </c>
      <c r="U451" s="49">
        <v>195770</v>
      </c>
      <c r="V451" s="49">
        <v>201295</v>
      </c>
      <c r="W451" s="52">
        <v>205268</v>
      </c>
      <c r="X451" s="100">
        <v>1.3289930072524214E-2</v>
      </c>
      <c r="Y451" s="100">
        <v>1.0015520133679789E-2</v>
      </c>
      <c r="Z451" s="100">
        <v>1.6346202391539943E-2</v>
      </c>
      <c r="AA451" s="100">
        <v>1.7578652400968009E-2</v>
      </c>
    </row>
    <row r="452" spans="1:27" ht="15" x14ac:dyDescent="0.25">
      <c r="A452" s="4">
        <v>260129</v>
      </c>
      <c r="B452" s="10">
        <v>6754</v>
      </c>
      <c r="C452" s="10" t="s">
        <v>67</v>
      </c>
      <c r="D452" s="37" t="s">
        <v>756</v>
      </c>
      <c r="E452" s="10" t="s">
        <v>25</v>
      </c>
      <c r="F452" s="38">
        <v>1.65764212530195</v>
      </c>
      <c r="G452" s="49">
        <v>24632</v>
      </c>
      <c r="H452" s="49">
        <v>29523</v>
      </c>
      <c r="I452" s="49">
        <v>26180</v>
      </c>
      <c r="J452" s="49">
        <v>27783</v>
      </c>
      <c r="K452" s="49">
        <v>27719</v>
      </c>
      <c r="L452" s="49">
        <v>29236</v>
      </c>
      <c r="M452" s="49">
        <v>22742</v>
      </c>
      <c r="N452" s="49">
        <v>28153</v>
      </c>
      <c r="O452" s="49">
        <v>26886</v>
      </c>
      <c r="P452" s="49">
        <v>32171</v>
      </c>
      <c r="Q452" s="49">
        <v>25229</v>
      </c>
      <c r="R452" s="49">
        <v>28080</v>
      </c>
      <c r="S452" s="49">
        <v>27531</v>
      </c>
      <c r="T452" s="49">
        <v>32139</v>
      </c>
      <c r="U452" s="49">
        <v>23620</v>
      </c>
      <c r="V452" s="49">
        <v>28073</v>
      </c>
      <c r="W452" s="52">
        <v>29377</v>
      </c>
      <c r="X452" s="100">
        <v>-2.8315827662794835E-4</v>
      </c>
      <c r="Y452" s="100">
        <v>-1.4241584719284162E-2</v>
      </c>
      <c r="Z452" s="100">
        <v>-6.2853551225594551E-5</v>
      </c>
      <c r="AA452" s="100">
        <v>1.6576421253019502E-2</v>
      </c>
    </row>
    <row r="453" spans="1:27" ht="15" x14ac:dyDescent="0.25">
      <c r="A453" s="4">
        <v>260129</v>
      </c>
      <c r="B453" s="10">
        <v>1944</v>
      </c>
      <c r="C453" s="10" t="s">
        <v>67</v>
      </c>
      <c r="D453" s="37" t="s">
        <v>757</v>
      </c>
      <c r="E453" s="10" t="s">
        <v>25</v>
      </c>
      <c r="F453" s="38">
        <v>1.5573946040340789</v>
      </c>
      <c r="G453" s="49">
        <v>131054</v>
      </c>
      <c r="H453" s="49">
        <v>191596</v>
      </c>
      <c r="I453" s="49">
        <v>115451</v>
      </c>
      <c r="J453" s="49">
        <v>142657</v>
      </c>
      <c r="K453" s="49">
        <v>144565</v>
      </c>
      <c r="L453" s="49">
        <v>206459</v>
      </c>
      <c r="M453" s="49">
        <v>112798</v>
      </c>
      <c r="N453" s="49">
        <v>157872</v>
      </c>
      <c r="O453" s="49">
        <v>156442</v>
      </c>
      <c r="P453" s="49">
        <v>227404</v>
      </c>
      <c r="Q453" s="49">
        <v>133244</v>
      </c>
      <c r="R453" s="49">
        <v>164796</v>
      </c>
      <c r="S453" s="49">
        <v>166545</v>
      </c>
      <c r="T453" s="49">
        <v>240473</v>
      </c>
      <c r="U453" s="49">
        <v>141412</v>
      </c>
      <c r="V453" s="49">
        <v>179966</v>
      </c>
      <c r="W453" s="52">
        <v>177889</v>
      </c>
      <c r="X453" s="100">
        <v>1.8886138363471083E-2</v>
      </c>
      <c r="Y453" s="100">
        <v>1.1584862521948569E-2</v>
      </c>
      <c r="Z453" s="100">
        <v>2.126955551255838E-2</v>
      </c>
      <c r="AA453" s="100">
        <v>1.5573946040340791E-2</v>
      </c>
    </row>
    <row r="454" spans="1:27" ht="15" x14ac:dyDescent="0.25">
      <c r="A454" s="4">
        <v>260129</v>
      </c>
      <c r="B454" s="10">
        <v>6504</v>
      </c>
      <c r="C454" s="10" t="s">
        <v>67</v>
      </c>
      <c r="D454" s="37" t="s">
        <v>758</v>
      </c>
      <c r="E454" s="10" t="s">
        <v>25</v>
      </c>
      <c r="F454" s="38">
        <v>1.2152002668514019</v>
      </c>
      <c r="G454" s="49">
        <v>222296</v>
      </c>
      <c r="H454" s="49">
        <v>290245</v>
      </c>
      <c r="I454" s="49">
        <v>203940</v>
      </c>
      <c r="J454" s="49">
        <v>243198</v>
      </c>
      <c r="K454" s="49">
        <v>243638</v>
      </c>
      <c r="L454" s="49">
        <v>318671</v>
      </c>
      <c r="M454" s="49">
        <v>234148</v>
      </c>
      <c r="N454" s="49">
        <v>257544</v>
      </c>
      <c r="O454" s="49">
        <v>267969</v>
      </c>
      <c r="P454" s="49">
        <v>343553</v>
      </c>
      <c r="Q454" s="49">
        <v>236387</v>
      </c>
      <c r="R454" s="49">
        <v>260990</v>
      </c>
      <c r="S454" s="49">
        <v>293687</v>
      </c>
      <c r="T454" s="49">
        <v>332343</v>
      </c>
      <c r="U454" s="49">
        <v>247916</v>
      </c>
      <c r="V454" s="49">
        <v>295244</v>
      </c>
      <c r="W454" s="52">
        <v>307895</v>
      </c>
      <c r="X454" s="100">
        <v>-9.879985933579305E-3</v>
      </c>
      <c r="Y454" s="100">
        <v>1.0262531744950953E-2</v>
      </c>
      <c r="Z454" s="100">
        <v>3.0181437543614686E-2</v>
      </c>
      <c r="AA454" s="100">
        <v>1.2152002668514017E-2</v>
      </c>
    </row>
    <row r="455" spans="1:27" ht="15" x14ac:dyDescent="0.25">
      <c r="A455" s="4">
        <v>260129</v>
      </c>
      <c r="B455" s="10">
        <v>9436</v>
      </c>
      <c r="C455" s="10" t="s">
        <v>67</v>
      </c>
      <c r="D455" s="37" t="s">
        <v>759</v>
      </c>
      <c r="E455" s="10" t="s">
        <v>25</v>
      </c>
      <c r="F455" s="38">
        <v>1.208437947298036</v>
      </c>
      <c r="G455" s="49">
        <v>18972</v>
      </c>
      <c r="H455" s="49">
        <v>18503</v>
      </c>
      <c r="I455" s="49">
        <v>18532</v>
      </c>
      <c r="J455" s="49">
        <v>19631</v>
      </c>
      <c r="K455" s="49">
        <v>19687</v>
      </c>
      <c r="L455" s="49">
        <v>19448</v>
      </c>
      <c r="M455" s="49">
        <v>18500</v>
      </c>
      <c r="N455" s="49">
        <v>19542</v>
      </c>
      <c r="O455" s="49">
        <v>20394</v>
      </c>
      <c r="P455" s="49">
        <v>19554</v>
      </c>
      <c r="Q455" s="49">
        <v>19812</v>
      </c>
      <c r="R455" s="49">
        <v>21335</v>
      </c>
      <c r="S455" s="49">
        <v>21262</v>
      </c>
      <c r="T455" s="49">
        <v>21905</v>
      </c>
      <c r="U455" s="49">
        <v>20612</v>
      </c>
      <c r="V455" s="49">
        <v>21455</v>
      </c>
      <c r="W455" s="52">
        <v>22292</v>
      </c>
      <c r="X455" s="100">
        <v>2.8683674340861165E-2</v>
      </c>
      <c r="Y455" s="100">
        <v>9.4883412007495949E-3</v>
      </c>
      <c r="Z455" s="100">
        <v>1.4098738162935387E-3</v>
      </c>
      <c r="AA455" s="100">
        <v>1.2084379472980356E-2</v>
      </c>
    </row>
    <row r="456" spans="1:27" ht="15" x14ac:dyDescent="0.25">
      <c r="A456" s="4">
        <v>260129</v>
      </c>
      <c r="B456" s="10">
        <v>6586</v>
      </c>
      <c r="C456" s="10" t="s">
        <v>67</v>
      </c>
      <c r="D456" s="37" t="s">
        <v>760</v>
      </c>
      <c r="E456" s="10" t="s">
        <v>25</v>
      </c>
      <c r="F456" s="38">
        <v>1.106550996634037</v>
      </c>
      <c r="G456" s="49">
        <v>182601</v>
      </c>
      <c r="H456" s="49">
        <v>192429</v>
      </c>
      <c r="I456" s="49">
        <v>195348</v>
      </c>
      <c r="J456" s="49">
        <v>195970</v>
      </c>
      <c r="K456" s="49">
        <v>188965</v>
      </c>
      <c r="L456" s="49">
        <v>184419</v>
      </c>
      <c r="M456" s="49">
        <v>184455</v>
      </c>
      <c r="N456" s="49">
        <v>185212</v>
      </c>
      <c r="O456" s="49">
        <v>180947</v>
      </c>
      <c r="P456" s="49">
        <v>190777</v>
      </c>
      <c r="Q456" s="49">
        <v>193932</v>
      </c>
      <c r="R456" s="49">
        <v>192511</v>
      </c>
      <c r="S456" s="49">
        <v>182112</v>
      </c>
      <c r="T456" s="49">
        <v>184575</v>
      </c>
      <c r="U456" s="49">
        <v>186614</v>
      </c>
      <c r="V456" s="49">
        <v>191807</v>
      </c>
      <c r="W456" s="52">
        <v>190357</v>
      </c>
      <c r="X456" s="100">
        <v>-8.1677052988679E-3</v>
      </c>
      <c r="Y456" s="100">
        <v>-9.7167819632733021E-3</v>
      </c>
      <c r="Z456" s="100">
        <v>-9.4393761430489054E-4</v>
      </c>
      <c r="AA456" s="100">
        <v>1.106550996634037E-2</v>
      </c>
    </row>
    <row r="457" spans="1:27" ht="15" x14ac:dyDescent="0.25">
      <c r="A457" s="4">
        <v>260129</v>
      </c>
      <c r="B457" s="10">
        <v>4502</v>
      </c>
      <c r="C457" s="10" t="s">
        <v>67</v>
      </c>
      <c r="D457" s="37" t="s">
        <v>761</v>
      </c>
      <c r="E457" s="10" t="s">
        <v>25</v>
      </c>
      <c r="F457" s="38">
        <v>1.07706490643884</v>
      </c>
      <c r="G457" s="49">
        <v>901294</v>
      </c>
      <c r="H457" s="49">
        <v>873289</v>
      </c>
      <c r="I457" s="49">
        <v>972465</v>
      </c>
      <c r="J457" s="49">
        <v>1002307</v>
      </c>
      <c r="K457" s="49">
        <v>1096551</v>
      </c>
      <c r="L457" s="49">
        <v>956156</v>
      </c>
      <c r="M457" s="49">
        <v>1058618</v>
      </c>
      <c r="N457" s="49">
        <v>1043089</v>
      </c>
      <c r="O457" s="49">
        <v>1111186</v>
      </c>
      <c r="P457" s="49">
        <v>1050869</v>
      </c>
      <c r="Q457" s="49">
        <v>1207990</v>
      </c>
      <c r="R457" s="49">
        <v>1176038</v>
      </c>
      <c r="S457" s="49">
        <v>1144124</v>
      </c>
      <c r="T457" s="49">
        <v>1053399</v>
      </c>
      <c r="U457" s="49">
        <v>1106685</v>
      </c>
      <c r="V457" s="49">
        <v>1112796</v>
      </c>
      <c r="W457" s="52">
        <v>1191698</v>
      </c>
      <c r="X457" s="100">
        <v>5.5251985085891242E-4</v>
      </c>
      <c r="Y457" s="100">
        <v>-2.2111507653194251E-2</v>
      </c>
      <c r="Z457" s="100">
        <v>-1.4115742751625637E-2</v>
      </c>
      <c r="AA457" s="100">
        <v>1.0770649064388405E-2</v>
      </c>
    </row>
    <row r="458" spans="1:27" ht="15" x14ac:dyDescent="0.25">
      <c r="A458" s="4">
        <v>260129</v>
      </c>
      <c r="B458" s="10">
        <v>7751</v>
      </c>
      <c r="C458" s="10" t="s">
        <v>67</v>
      </c>
      <c r="D458" s="37" t="s">
        <v>762</v>
      </c>
      <c r="E458" s="10" t="s">
        <v>25</v>
      </c>
      <c r="F458" s="38">
        <v>1.0515664354397549</v>
      </c>
      <c r="G458" s="49">
        <v>955449</v>
      </c>
      <c r="H458" s="49">
        <v>879350</v>
      </c>
      <c r="I458" s="49">
        <v>998799</v>
      </c>
      <c r="J458" s="49">
        <v>996090</v>
      </c>
      <c r="K458" s="49">
        <v>1157175</v>
      </c>
      <c r="L458" s="49">
        <v>971125</v>
      </c>
      <c r="M458" s="49">
        <v>1020882</v>
      </c>
      <c r="N458" s="49">
        <v>1025247</v>
      </c>
      <c r="O458" s="49">
        <v>1163718</v>
      </c>
      <c r="P458" s="49">
        <v>988519</v>
      </c>
      <c r="Q458" s="49">
        <v>1167786</v>
      </c>
      <c r="R458" s="49">
        <v>1079806</v>
      </c>
      <c r="S458" s="49">
        <v>1273710</v>
      </c>
      <c r="T458" s="49">
        <v>1058396</v>
      </c>
      <c r="U458" s="49">
        <v>1140171</v>
      </c>
      <c r="V458" s="49">
        <v>1104324</v>
      </c>
      <c r="W458" s="52">
        <v>1321836</v>
      </c>
      <c r="X458" s="100">
        <v>1.5494406540747407E-2</v>
      </c>
      <c r="Y458" s="100">
        <v>-6.029873585550849E-3</v>
      </c>
      <c r="Z458" s="100">
        <v>5.3861056575637001E-3</v>
      </c>
      <c r="AA458" s="100">
        <v>1.0515664354397547E-2</v>
      </c>
    </row>
    <row r="459" spans="1:27" ht="15" x14ac:dyDescent="0.25">
      <c r="A459" s="4">
        <v>260129</v>
      </c>
      <c r="B459" s="10">
        <v>4661</v>
      </c>
      <c r="C459" s="10" t="s">
        <v>67</v>
      </c>
      <c r="D459" s="37" t="s">
        <v>763</v>
      </c>
      <c r="E459" s="10" t="s">
        <v>25</v>
      </c>
      <c r="F459" s="38">
        <v>0.87799443216056705</v>
      </c>
      <c r="G459" s="49">
        <v>92745</v>
      </c>
      <c r="H459" s="49">
        <v>85415</v>
      </c>
      <c r="I459" s="49">
        <v>98166</v>
      </c>
      <c r="J459" s="49">
        <v>105877</v>
      </c>
      <c r="K459" s="50">
        <v>146982</v>
      </c>
      <c r="L459" s="50">
        <v>132098</v>
      </c>
      <c r="M459" s="49">
        <v>140604</v>
      </c>
      <c r="N459" s="49">
        <v>143726</v>
      </c>
      <c r="O459" s="49">
        <v>181946</v>
      </c>
      <c r="P459" s="49">
        <v>152217</v>
      </c>
      <c r="Q459" s="49">
        <v>148421</v>
      </c>
      <c r="R459" s="49">
        <v>148846</v>
      </c>
      <c r="S459" s="49">
        <v>207906</v>
      </c>
      <c r="T459" s="49">
        <v>174201</v>
      </c>
      <c r="U459" s="49">
        <v>163750</v>
      </c>
      <c r="V459" s="49">
        <v>152439</v>
      </c>
      <c r="W459" s="52">
        <v>214037</v>
      </c>
      <c r="X459" s="100">
        <v>3.3441336193127391E-2</v>
      </c>
      <c r="Y459" s="100">
        <v>2.2563418676605274E-2</v>
      </c>
      <c r="Z459" s="100">
        <v>5.1719943630588183E-3</v>
      </c>
      <c r="AA459" s="100">
        <v>8.7799443216056705E-3</v>
      </c>
    </row>
    <row r="460" spans="1:27" ht="15" x14ac:dyDescent="0.25">
      <c r="A460" s="4">
        <v>260129</v>
      </c>
      <c r="B460" s="10">
        <v>5333</v>
      </c>
      <c r="C460" s="10" t="s">
        <v>67</v>
      </c>
      <c r="D460" s="37" t="s">
        <v>764</v>
      </c>
      <c r="E460" s="10" t="s">
        <v>25</v>
      </c>
      <c r="F460" s="38">
        <v>0.71134522255604793</v>
      </c>
      <c r="G460" s="49">
        <v>121723</v>
      </c>
      <c r="H460" s="49">
        <v>138557</v>
      </c>
      <c r="I460" s="49">
        <v>131000</v>
      </c>
      <c r="J460" s="49">
        <v>143688</v>
      </c>
      <c r="K460" s="49">
        <v>140393</v>
      </c>
      <c r="L460" s="49">
        <v>144159</v>
      </c>
      <c r="M460" s="49">
        <v>141331</v>
      </c>
      <c r="N460" s="49">
        <v>141553</v>
      </c>
      <c r="O460" s="49">
        <v>139643</v>
      </c>
      <c r="P460" s="49">
        <v>156386</v>
      </c>
      <c r="Q460" s="49">
        <v>152521</v>
      </c>
      <c r="R460" s="49">
        <v>145831</v>
      </c>
      <c r="S460" s="49">
        <v>157099</v>
      </c>
      <c r="T460" s="49">
        <v>164062</v>
      </c>
      <c r="U460" s="49">
        <v>166458</v>
      </c>
      <c r="V460" s="49">
        <v>159746</v>
      </c>
      <c r="W460" s="52">
        <v>161704</v>
      </c>
      <c r="X460" s="100">
        <v>1.2545825113551512E-2</v>
      </c>
      <c r="Y460" s="100">
        <v>2.2496703055464584E-2</v>
      </c>
      <c r="Z460" s="100">
        <v>2.1967006077827866E-2</v>
      </c>
      <c r="AA460" s="100">
        <v>7.1134522255604793E-3</v>
      </c>
    </row>
    <row r="461" spans="1:27" ht="15" x14ac:dyDescent="0.25">
      <c r="A461" s="4">
        <v>260129</v>
      </c>
      <c r="B461" s="10">
        <v>6345</v>
      </c>
      <c r="C461" s="10" t="s">
        <v>67</v>
      </c>
      <c r="D461" s="37" t="s">
        <v>380</v>
      </c>
      <c r="E461" s="10" t="s">
        <v>25</v>
      </c>
      <c r="F461" s="38">
        <v>0.63159405727408746</v>
      </c>
      <c r="G461" s="49">
        <v>13252</v>
      </c>
      <c r="H461" s="49">
        <v>17979</v>
      </c>
      <c r="I461" s="49">
        <v>10681</v>
      </c>
      <c r="J461" s="49">
        <v>16411</v>
      </c>
      <c r="K461" s="49">
        <v>12789</v>
      </c>
      <c r="L461" s="49">
        <v>20797</v>
      </c>
      <c r="M461" s="49">
        <v>10606</v>
      </c>
      <c r="N461" s="49">
        <v>15789</v>
      </c>
      <c r="O461" s="49">
        <v>12333</v>
      </c>
      <c r="P461" s="49">
        <v>14401</v>
      </c>
      <c r="Q461" s="49">
        <v>12746</v>
      </c>
      <c r="R461" s="49">
        <v>15333</v>
      </c>
      <c r="S461" s="49">
        <v>13296</v>
      </c>
      <c r="T461" s="49">
        <v>17931</v>
      </c>
      <c r="U461" s="49">
        <v>9210</v>
      </c>
      <c r="V461" s="49">
        <v>15295</v>
      </c>
      <c r="W461" s="52">
        <v>13648</v>
      </c>
      <c r="X461" s="100">
        <v>6.3288869764773326E-2</v>
      </c>
      <c r="Y461" s="100">
        <v>-5.9622972380534822E-2</v>
      </c>
      <c r="Z461" s="100">
        <v>-6.8136991213918474E-4</v>
      </c>
      <c r="AA461" s="100">
        <v>6.3159405727408746E-3</v>
      </c>
    </row>
    <row r="462" spans="1:27" ht="15" x14ac:dyDescent="0.25">
      <c r="A462" s="4">
        <v>260129</v>
      </c>
      <c r="B462" s="10">
        <v>6701</v>
      </c>
      <c r="C462" s="10" t="s">
        <v>67</v>
      </c>
      <c r="D462" s="37" t="s">
        <v>765</v>
      </c>
      <c r="E462" s="10" t="s">
        <v>25</v>
      </c>
      <c r="F462" s="38">
        <v>0.49635908278660162</v>
      </c>
      <c r="G462" s="49">
        <v>713551</v>
      </c>
      <c r="H462" s="49">
        <v>917739</v>
      </c>
      <c r="I462" s="49">
        <v>659669</v>
      </c>
      <c r="J462" s="49">
        <v>795702</v>
      </c>
      <c r="K462" s="49">
        <v>813888</v>
      </c>
      <c r="L462" s="49">
        <v>1043759</v>
      </c>
      <c r="M462" s="49">
        <v>706542</v>
      </c>
      <c r="N462" s="49">
        <v>842259</v>
      </c>
      <c r="O462" s="49">
        <v>844475</v>
      </c>
      <c r="P462" s="49">
        <v>1083986</v>
      </c>
      <c r="Q462" s="49">
        <v>690296</v>
      </c>
      <c r="R462" s="49">
        <v>796380</v>
      </c>
      <c r="S462" s="49">
        <v>835133</v>
      </c>
      <c r="T462" s="49">
        <v>1101622</v>
      </c>
      <c r="U462" s="49">
        <v>715658</v>
      </c>
      <c r="V462" s="49">
        <v>854121</v>
      </c>
      <c r="W462" s="52">
        <v>852538</v>
      </c>
      <c r="X462" s="100">
        <v>5.1782329823140127E-3</v>
      </c>
      <c r="Y462" s="100">
        <v>7.4083572883461013E-3</v>
      </c>
      <c r="Z462" s="100">
        <v>1.6742379145399555E-2</v>
      </c>
      <c r="AA462" s="100">
        <v>4.9635908278660157E-3</v>
      </c>
    </row>
    <row r="463" spans="1:27" ht="15" x14ac:dyDescent="0.25">
      <c r="A463" s="4">
        <v>260129</v>
      </c>
      <c r="B463" s="10">
        <v>9766</v>
      </c>
      <c r="C463" s="10" t="s">
        <v>67</v>
      </c>
      <c r="D463" s="37" t="s">
        <v>766</v>
      </c>
      <c r="E463" s="10" t="s">
        <v>25</v>
      </c>
      <c r="F463" s="38">
        <v>0.31058251524254121</v>
      </c>
      <c r="G463" s="49">
        <v>75562</v>
      </c>
      <c r="H463" s="49">
        <v>84474</v>
      </c>
      <c r="I463" s="49">
        <v>71905</v>
      </c>
      <c r="J463" s="49">
        <v>76454</v>
      </c>
      <c r="K463" s="49">
        <v>78519</v>
      </c>
      <c r="L463" s="49">
        <v>87443</v>
      </c>
      <c r="M463" s="49">
        <v>72633</v>
      </c>
      <c r="N463" s="49">
        <v>81218</v>
      </c>
      <c r="O463" s="49">
        <v>99245</v>
      </c>
      <c r="P463" s="49">
        <v>107218</v>
      </c>
      <c r="Q463" s="49">
        <v>90039</v>
      </c>
      <c r="R463" s="49">
        <v>94045</v>
      </c>
      <c r="S463" s="49">
        <v>126745</v>
      </c>
      <c r="T463" s="49">
        <v>110773</v>
      </c>
      <c r="U463" s="49">
        <v>96964</v>
      </c>
      <c r="V463" s="49">
        <v>127875</v>
      </c>
      <c r="W463" s="52">
        <v>128181</v>
      </c>
      <c r="X463" s="100">
        <v>8.5038285168892447E-3</v>
      </c>
      <c r="Y463" s="100">
        <v>1.6425443902068793E-2</v>
      </c>
      <c r="Z463" s="100">
        <v>7.8944850616180506E-2</v>
      </c>
      <c r="AA463" s="100">
        <v>3.1058251524254121E-3</v>
      </c>
    </row>
    <row r="464" spans="1:27" ht="15" x14ac:dyDescent="0.25">
      <c r="A464" s="4">
        <v>260129</v>
      </c>
      <c r="B464" s="10">
        <v>4204</v>
      </c>
      <c r="C464" s="10" t="s">
        <v>67</v>
      </c>
      <c r="D464" s="37" t="s">
        <v>767</v>
      </c>
      <c r="E464" s="10" t="s">
        <v>25</v>
      </c>
      <c r="F464" s="38">
        <v>0.29441754152497168</v>
      </c>
      <c r="G464" s="49">
        <v>290709</v>
      </c>
      <c r="H464" s="49">
        <v>319294</v>
      </c>
      <c r="I464" s="49">
        <v>282271</v>
      </c>
      <c r="J464" s="49">
        <v>325494</v>
      </c>
      <c r="K464" s="49">
        <v>304466</v>
      </c>
      <c r="L464" s="49">
        <v>330290</v>
      </c>
      <c r="M464" s="49">
        <v>285393</v>
      </c>
      <c r="N464" s="49">
        <v>325901</v>
      </c>
      <c r="O464" s="49">
        <v>312637</v>
      </c>
      <c r="P464" s="49">
        <v>332607</v>
      </c>
      <c r="Q464" s="49">
        <v>298828</v>
      </c>
      <c r="R464" s="49">
        <v>330226</v>
      </c>
      <c r="S464" s="49">
        <v>326287</v>
      </c>
      <c r="T464" s="49">
        <v>342412</v>
      </c>
      <c r="U464" s="49">
        <v>305147</v>
      </c>
      <c r="V464" s="49">
        <v>324650</v>
      </c>
      <c r="W464" s="52">
        <v>330110</v>
      </c>
      <c r="X464" s="100">
        <v>7.6128849922512121E-3</v>
      </c>
      <c r="Y464" s="100">
        <v>4.869185430509404E-3</v>
      </c>
      <c r="Z464" s="100">
        <v>-4.2758375304431384E-3</v>
      </c>
      <c r="AA464" s="100">
        <v>2.9441754152497168E-3</v>
      </c>
    </row>
    <row r="465" spans="1:27" ht="15" x14ac:dyDescent="0.25">
      <c r="A465" s="4">
        <v>260129</v>
      </c>
      <c r="B465" s="10">
        <v>7947</v>
      </c>
      <c r="C465" s="10" t="s">
        <v>67</v>
      </c>
      <c r="D465" s="37" t="s">
        <v>768</v>
      </c>
      <c r="E465" s="10" t="s">
        <v>25</v>
      </c>
      <c r="F465" s="38">
        <v>0.11032656663725331</v>
      </c>
      <c r="G465" s="49">
        <v>53512</v>
      </c>
      <c r="H465" s="49">
        <v>44821</v>
      </c>
      <c r="I465" s="49">
        <v>49437</v>
      </c>
      <c r="J465" s="49">
        <v>53125</v>
      </c>
      <c r="K465" s="49">
        <v>60249</v>
      </c>
      <c r="L465" s="49">
        <v>48474</v>
      </c>
      <c r="M465" s="49">
        <v>53233</v>
      </c>
      <c r="N465" s="49">
        <v>55493</v>
      </c>
      <c r="O465" s="49">
        <v>62034</v>
      </c>
      <c r="P465" s="49">
        <v>51340</v>
      </c>
      <c r="Q465" s="49">
        <v>55131</v>
      </c>
      <c r="R465" s="49">
        <v>59761</v>
      </c>
      <c r="S465" s="49">
        <v>66714</v>
      </c>
      <c r="T465" s="49">
        <v>54022</v>
      </c>
      <c r="U465" s="49">
        <v>57813</v>
      </c>
      <c r="V465" s="49">
        <v>61647</v>
      </c>
      <c r="W465" s="52">
        <v>66979</v>
      </c>
      <c r="X465" s="100">
        <v>1.1513397954890925E-2</v>
      </c>
      <c r="Y465" s="100">
        <v>1.1382348447552815E-2</v>
      </c>
      <c r="Z465" s="100">
        <v>7.9140615165120831E-3</v>
      </c>
      <c r="AA465" s="100">
        <v>1.1032656663725326E-3</v>
      </c>
    </row>
    <row r="466" spans="1:27" ht="15" x14ac:dyDescent="0.25">
      <c r="A466" s="4">
        <v>260129</v>
      </c>
      <c r="B466" s="10">
        <v>6305</v>
      </c>
      <c r="C466" s="10" t="s">
        <v>67</v>
      </c>
      <c r="D466" s="37" t="s">
        <v>769</v>
      </c>
      <c r="E466" s="10" t="s">
        <v>25</v>
      </c>
      <c r="F466" s="38">
        <v>-1.7799365842430252E-2</v>
      </c>
      <c r="G466" s="49">
        <v>246674</v>
      </c>
      <c r="H466" s="49">
        <v>304595</v>
      </c>
      <c r="I466" s="49">
        <v>267539</v>
      </c>
      <c r="J466" s="49">
        <v>311363</v>
      </c>
      <c r="K466" s="49">
        <v>323846</v>
      </c>
      <c r="L466" s="49">
        <v>376720</v>
      </c>
      <c r="M466" s="49">
        <v>320006</v>
      </c>
      <c r="N466" s="49">
        <v>354094</v>
      </c>
      <c r="O466" s="49">
        <v>346269</v>
      </c>
      <c r="P466" s="49">
        <v>0</v>
      </c>
      <c r="Q466" s="49">
        <v>328217</v>
      </c>
      <c r="R466" s="49">
        <v>337520</v>
      </c>
      <c r="S466" s="49">
        <v>325540</v>
      </c>
      <c r="T466" s="50">
        <v>380008</v>
      </c>
      <c r="U466" s="49">
        <v>306152</v>
      </c>
      <c r="V466" s="49">
        <v>347899</v>
      </c>
      <c r="W466" s="52">
        <v>325298</v>
      </c>
      <c r="X466" s="100">
        <v>0.38335197931556975</v>
      </c>
      <c r="Y466" s="100">
        <v>-1.6090747000076622E-2</v>
      </c>
      <c r="Z466" s="100">
        <v>7.6925927572968344E-3</v>
      </c>
      <c r="AA466" s="100">
        <v>-1.7799365842430248E-4</v>
      </c>
    </row>
    <row r="467" spans="1:27" ht="15" x14ac:dyDescent="0.25">
      <c r="A467" s="4">
        <v>260129</v>
      </c>
      <c r="B467" s="10">
        <v>6923</v>
      </c>
      <c r="C467" s="10" t="s">
        <v>67</v>
      </c>
      <c r="D467" s="37" t="s">
        <v>770</v>
      </c>
      <c r="E467" s="10" t="s">
        <v>25</v>
      </c>
      <c r="F467" s="38">
        <v>-1.8869686335232231E-2</v>
      </c>
      <c r="G467" s="49">
        <v>100754</v>
      </c>
      <c r="H467" s="49">
        <v>102698</v>
      </c>
      <c r="I467" s="49">
        <v>93058</v>
      </c>
      <c r="J467" s="49">
        <v>120038</v>
      </c>
      <c r="K467" s="49">
        <v>109555</v>
      </c>
      <c r="L467" s="49">
        <v>115139</v>
      </c>
      <c r="M467" s="49">
        <v>111726</v>
      </c>
      <c r="N467" s="49">
        <v>114437</v>
      </c>
      <c r="O467" s="49">
        <v>129235</v>
      </c>
      <c r="P467" s="49">
        <v>116999</v>
      </c>
      <c r="Q467" s="49">
        <v>121441</v>
      </c>
      <c r="R467" s="49">
        <v>122546</v>
      </c>
      <c r="S467" s="49">
        <v>131910</v>
      </c>
      <c r="T467" s="49">
        <v>133668</v>
      </c>
      <c r="U467" s="49">
        <v>119838</v>
      </c>
      <c r="V467" s="49">
        <v>128636</v>
      </c>
      <c r="W467" s="52">
        <v>131813</v>
      </c>
      <c r="X467" s="100">
        <v>3.3818493150684859E-2</v>
      </c>
      <c r="Y467" s="100">
        <v>-3.1458204547015756E-3</v>
      </c>
      <c r="Z467" s="100">
        <v>1.1989085797756482E-2</v>
      </c>
      <c r="AA467" s="100">
        <v>-1.8869686335232227E-4</v>
      </c>
    </row>
    <row r="468" spans="1:27" ht="15" x14ac:dyDescent="0.25">
      <c r="A468" s="4">
        <v>260129</v>
      </c>
      <c r="B468" s="10">
        <v>5471</v>
      </c>
      <c r="C468" s="10" t="s">
        <v>67</v>
      </c>
      <c r="D468" s="37" t="s">
        <v>771</v>
      </c>
      <c r="E468" s="10" t="s">
        <v>25</v>
      </c>
      <c r="F468" s="38">
        <v>-0.83176361316308345</v>
      </c>
      <c r="G468" s="49">
        <v>135275</v>
      </c>
      <c r="H468" s="49">
        <v>139168</v>
      </c>
      <c r="I468" s="49">
        <v>137682</v>
      </c>
      <c r="J468" s="49">
        <v>144175</v>
      </c>
      <c r="K468" s="49">
        <v>152869</v>
      </c>
      <c r="L468" s="49">
        <v>143838</v>
      </c>
      <c r="M468" s="49">
        <v>141938</v>
      </c>
      <c r="N468" s="49">
        <v>146656</v>
      </c>
      <c r="O468" s="49">
        <v>149769</v>
      </c>
      <c r="P468" s="49">
        <v>140201</v>
      </c>
      <c r="Q468" s="49">
        <v>142094</v>
      </c>
      <c r="R468" s="49">
        <v>141345</v>
      </c>
      <c r="S468" s="49">
        <v>150522</v>
      </c>
      <c r="T468" s="49">
        <v>140984</v>
      </c>
      <c r="U468" s="49">
        <v>142352</v>
      </c>
      <c r="V468" s="49">
        <v>142147</v>
      </c>
      <c r="W468" s="52">
        <v>145731</v>
      </c>
      <c r="X468" s="100">
        <v>1.3637266137431769E-3</v>
      </c>
      <c r="Y468" s="100">
        <v>4.4873857499405645E-4</v>
      </c>
      <c r="Z468" s="100">
        <v>1.3942903635759674E-3</v>
      </c>
      <c r="AA468" s="100">
        <v>-8.3176361316308345E-3</v>
      </c>
    </row>
    <row r="469" spans="1:27" ht="15" x14ac:dyDescent="0.25">
      <c r="A469" s="4">
        <v>260129</v>
      </c>
      <c r="B469" s="10">
        <v>4956</v>
      </c>
      <c r="C469" s="10" t="s">
        <v>67</v>
      </c>
      <c r="D469" s="37" t="s">
        <v>772</v>
      </c>
      <c r="E469" s="10" t="s">
        <v>25</v>
      </c>
      <c r="F469" s="38">
        <v>-1.0815792383971681</v>
      </c>
      <c r="G469" s="49">
        <v>29822</v>
      </c>
      <c r="H469" s="49">
        <v>29906</v>
      </c>
      <c r="I469" s="49">
        <v>27707</v>
      </c>
      <c r="J469" s="49">
        <v>30441</v>
      </c>
      <c r="K469" s="49">
        <v>33072</v>
      </c>
      <c r="L469" s="49">
        <v>32119</v>
      </c>
      <c r="M469" s="49">
        <v>31844</v>
      </c>
      <c r="N469" s="49">
        <v>33473</v>
      </c>
      <c r="O469" s="49">
        <v>35535</v>
      </c>
      <c r="P469" s="49">
        <v>32117</v>
      </c>
      <c r="Q469" s="49">
        <v>32267</v>
      </c>
      <c r="R469" s="49">
        <v>33507</v>
      </c>
      <c r="S469" s="49">
        <v>36912</v>
      </c>
      <c r="T469" s="49">
        <v>33190</v>
      </c>
      <c r="U469" s="49">
        <v>32241</v>
      </c>
      <c r="V469" s="49">
        <v>33292</v>
      </c>
      <c r="W469" s="52">
        <v>35445</v>
      </c>
      <c r="X469" s="100">
        <v>7.9597635067469863E-3</v>
      </c>
      <c r="Y469" s="100">
        <v>-1.9135093761957211E-4</v>
      </c>
      <c r="Z469" s="100">
        <v>-1.5826278984173436E-3</v>
      </c>
      <c r="AA469" s="100">
        <v>-1.0815792383971679E-2</v>
      </c>
    </row>
    <row r="470" spans="1:27" ht="15" x14ac:dyDescent="0.25">
      <c r="A470" s="4">
        <v>260129</v>
      </c>
      <c r="B470" s="10">
        <v>3593</v>
      </c>
      <c r="C470" s="10" t="s">
        <v>67</v>
      </c>
      <c r="D470" s="37" t="s">
        <v>773</v>
      </c>
      <c r="E470" s="10" t="s">
        <v>25</v>
      </c>
      <c r="F470" s="38">
        <v>-1.394100479466331</v>
      </c>
      <c r="G470" s="49">
        <v>9882</v>
      </c>
      <c r="H470" s="49">
        <v>8968</v>
      </c>
      <c r="I470" s="49">
        <v>9447</v>
      </c>
      <c r="J470" s="49">
        <v>9754</v>
      </c>
      <c r="K470" s="49">
        <v>10334</v>
      </c>
      <c r="L470" s="49">
        <v>9446</v>
      </c>
      <c r="M470" s="49">
        <v>9679</v>
      </c>
      <c r="N470" s="49">
        <v>9857</v>
      </c>
      <c r="O470" s="49">
        <v>10218</v>
      </c>
      <c r="P470" s="49">
        <v>9346</v>
      </c>
      <c r="Q470" s="49">
        <v>9725</v>
      </c>
      <c r="R470" s="49">
        <v>9894</v>
      </c>
      <c r="S470" s="49">
        <v>10397</v>
      </c>
      <c r="T470" s="49">
        <v>9122</v>
      </c>
      <c r="U470" s="49">
        <v>9375</v>
      </c>
      <c r="V470" s="49">
        <v>9482</v>
      </c>
      <c r="W470" s="52">
        <v>9862</v>
      </c>
      <c r="X470" s="100">
        <v>-5.6907677455413364E-3</v>
      </c>
      <c r="Y470" s="100">
        <v>-8.9427155194440333E-3</v>
      </c>
      <c r="Z470" s="100">
        <v>-1.0621841806744303E-2</v>
      </c>
      <c r="AA470" s="100">
        <v>-1.3941004794663314E-2</v>
      </c>
    </row>
    <row r="471" spans="1:27" ht="15" x14ac:dyDescent="0.25">
      <c r="A471" s="4">
        <v>260129</v>
      </c>
      <c r="B471" s="10">
        <v>6702</v>
      </c>
      <c r="C471" s="10" t="s">
        <v>67</v>
      </c>
      <c r="D471" s="37" t="s">
        <v>774</v>
      </c>
      <c r="E471" s="10" t="s">
        <v>25</v>
      </c>
      <c r="F471" s="38">
        <v>-1.610164661152536</v>
      </c>
      <c r="G471" s="49">
        <v>880526</v>
      </c>
      <c r="H471" s="49">
        <v>1043302</v>
      </c>
      <c r="I471" s="49">
        <v>818862</v>
      </c>
      <c r="J471" s="49">
        <v>886449</v>
      </c>
      <c r="K471" s="49">
        <v>931424</v>
      </c>
      <c r="L471" s="49">
        <v>1077032</v>
      </c>
      <c r="M471" s="49">
        <v>799640</v>
      </c>
      <c r="N471" s="49">
        <v>912257</v>
      </c>
      <c r="O471" s="49">
        <v>930825</v>
      </c>
      <c r="P471" s="49">
        <v>1113337</v>
      </c>
      <c r="Q471" s="49">
        <v>830030</v>
      </c>
      <c r="R471" s="49">
        <v>866646</v>
      </c>
      <c r="S471" s="49">
        <v>924756</v>
      </c>
      <c r="T471" s="49">
        <v>0</v>
      </c>
      <c r="U471" s="49">
        <v>749859</v>
      </c>
      <c r="V471" s="49">
        <v>816683</v>
      </c>
      <c r="W471" s="52">
        <v>884642</v>
      </c>
      <c r="X471" s="100">
        <v>-0.29810063219438743</v>
      </c>
      <c r="Y471" s="100">
        <v>-3.0582902779854648E-2</v>
      </c>
      <c r="Z471" s="100">
        <v>-1.9660711749009629E-2</v>
      </c>
      <c r="AA471" s="100">
        <v>-1.6101646611525355E-2</v>
      </c>
    </row>
    <row r="472" spans="1:27" ht="15" x14ac:dyDescent="0.25">
      <c r="A472" s="4">
        <v>260129</v>
      </c>
      <c r="B472" s="10">
        <v>7205</v>
      </c>
      <c r="C472" s="10" t="s">
        <v>67</v>
      </c>
      <c r="D472" s="37" t="s">
        <v>775</v>
      </c>
      <c r="E472" s="10" t="s">
        <v>25</v>
      </c>
      <c r="F472" s="38">
        <v>-2.1527218748390919</v>
      </c>
      <c r="G472" s="49">
        <v>380042</v>
      </c>
      <c r="H472" s="49">
        <v>390279</v>
      </c>
      <c r="I472" s="49">
        <v>355856</v>
      </c>
      <c r="J472" s="49">
        <v>377503</v>
      </c>
      <c r="K472" s="49">
        <v>377018</v>
      </c>
      <c r="L472" s="49">
        <v>396959</v>
      </c>
      <c r="M472" s="49">
        <v>371914</v>
      </c>
      <c r="N472" s="49">
        <v>383474</v>
      </c>
      <c r="O472" s="49">
        <v>386124</v>
      </c>
      <c r="P472" s="49">
        <v>374743</v>
      </c>
      <c r="Q472" s="49">
        <v>411060</v>
      </c>
      <c r="R472" s="49">
        <v>436486</v>
      </c>
      <c r="S472" s="49">
        <v>432661</v>
      </c>
      <c r="T472" s="49">
        <v>417022</v>
      </c>
      <c r="U472" s="49">
        <v>364244</v>
      </c>
      <c r="V472" s="49">
        <v>378615</v>
      </c>
      <c r="W472" s="52">
        <v>398378</v>
      </c>
      <c r="X472" s="100">
        <v>2.5546995377503823E-2</v>
      </c>
      <c r="Y472" s="100">
        <v>-2.7583785099123292E-2</v>
      </c>
      <c r="Z472" s="100">
        <v>-3.5064556568567995E-2</v>
      </c>
      <c r="AA472" s="100">
        <v>-2.1527218748390919E-2</v>
      </c>
    </row>
    <row r="473" spans="1:27" ht="15" x14ac:dyDescent="0.25">
      <c r="A473" s="4">
        <v>260129</v>
      </c>
      <c r="B473" s="10">
        <v>9505</v>
      </c>
      <c r="C473" s="10" t="s">
        <v>67</v>
      </c>
      <c r="D473" s="37" t="s">
        <v>776</v>
      </c>
      <c r="E473" s="10" t="s">
        <v>25</v>
      </c>
      <c r="F473" s="38">
        <v>-3.151667613791731</v>
      </c>
      <c r="G473" s="49">
        <v>149166</v>
      </c>
      <c r="H473" s="49">
        <v>192954</v>
      </c>
      <c r="I473" s="49">
        <v>163560</v>
      </c>
      <c r="J473" s="49">
        <v>211372</v>
      </c>
      <c r="K473" s="49">
        <v>205252</v>
      </c>
      <c r="L473" s="49">
        <v>237417</v>
      </c>
      <c r="M473" s="49">
        <v>192987</v>
      </c>
      <c r="N473" s="49">
        <v>214934</v>
      </c>
      <c r="O473" s="49">
        <v>185783</v>
      </c>
      <c r="P473" s="49">
        <v>214534</v>
      </c>
      <c r="Q473" s="49">
        <v>187635</v>
      </c>
      <c r="R473" s="49">
        <v>232677</v>
      </c>
      <c r="S473" s="49">
        <v>206445</v>
      </c>
      <c r="T473" s="49">
        <v>231518</v>
      </c>
      <c r="U473" s="49">
        <v>186079</v>
      </c>
      <c r="V473" s="49">
        <v>217100</v>
      </c>
      <c r="W473" s="52">
        <v>179935</v>
      </c>
      <c r="X473" s="100">
        <v>2.0188020554124497E-2</v>
      </c>
      <c r="Y473" s="100">
        <v>-1.8129387434097088E-3</v>
      </c>
      <c r="Z473" s="100">
        <v>-1.8182157743670935E-2</v>
      </c>
      <c r="AA473" s="100">
        <v>-3.151667613791731E-2</v>
      </c>
    </row>
    <row r="474" spans="1:27" ht="15" x14ac:dyDescent="0.25">
      <c r="A474" s="4">
        <v>260129</v>
      </c>
      <c r="B474" s="10">
        <v>7148</v>
      </c>
      <c r="C474" s="10" t="s">
        <v>67</v>
      </c>
      <c r="D474" s="37" t="s">
        <v>777</v>
      </c>
      <c r="E474" s="10" t="s">
        <v>25</v>
      </c>
      <c r="F474" s="38">
        <v>-9.9919854505101551</v>
      </c>
      <c r="G474" s="49">
        <v>15673</v>
      </c>
      <c r="H474" s="49">
        <v>15462</v>
      </c>
      <c r="I474" s="49">
        <v>16346</v>
      </c>
      <c r="J474" s="49">
        <v>11712</v>
      </c>
      <c r="K474" s="49">
        <v>17416</v>
      </c>
      <c r="L474" s="49">
        <v>14944</v>
      </c>
      <c r="M474" s="49">
        <v>15676</v>
      </c>
      <c r="N474" s="50">
        <v>23113</v>
      </c>
      <c r="O474" s="49">
        <v>24393</v>
      </c>
      <c r="P474" s="50">
        <v>26303</v>
      </c>
      <c r="Q474" s="50">
        <v>30620</v>
      </c>
      <c r="R474" s="49">
        <v>26465</v>
      </c>
      <c r="S474" s="49">
        <v>27963</v>
      </c>
      <c r="T474" s="49">
        <v>35508</v>
      </c>
      <c r="U474" s="49">
        <v>27227</v>
      </c>
      <c r="V474" s="50">
        <v>39066</v>
      </c>
      <c r="W474" s="52">
        <v>14997</v>
      </c>
      <c r="X474" s="100">
        <v>8.2666522976892809E-2</v>
      </c>
      <c r="Y474" s="100">
        <v>-2.8144596701947688E-2</v>
      </c>
      <c r="Z474" s="100">
        <v>0.10755101866630246</v>
      </c>
      <c r="AA474" s="100">
        <v>-9.9919854505101546E-2</v>
      </c>
    </row>
    <row r="475" spans="1:27" ht="15" x14ac:dyDescent="0.25">
      <c r="A475" s="4">
        <v>260129</v>
      </c>
      <c r="B475" s="10" t="s">
        <v>778</v>
      </c>
      <c r="C475" s="10" t="s">
        <v>31</v>
      </c>
      <c r="D475" s="37" t="s">
        <v>779</v>
      </c>
      <c r="E475" s="10" t="s">
        <v>25</v>
      </c>
      <c r="F475" s="99">
        <v>26.065198741778659</v>
      </c>
      <c r="G475" s="49">
        <v>13776</v>
      </c>
      <c r="H475" s="49">
        <v>22516</v>
      </c>
      <c r="I475" s="49">
        <v>19385</v>
      </c>
      <c r="J475" s="49">
        <v>14277</v>
      </c>
      <c r="K475" s="50">
        <v>23170</v>
      </c>
      <c r="L475" s="49">
        <v>26318</v>
      </c>
      <c r="M475" s="49">
        <v>16809</v>
      </c>
      <c r="N475" s="50">
        <v>22364</v>
      </c>
      <c r="O475" s="49">
        <v>17958</v>
      </c>
      <c r="P475" s="49">
        <v>21640</v>
      </c>
      <c r="Q475" s="49">
        <v>18621</v>
      </c>
      <c r="R475" s="49">
        <v>25862</v>
      </c>
      <c r="S475" s="49">
        <v>16979</v>
      </c>
      <c r="T475" s="49">
        <v>15284</v>
      </c>
      <c r="U475" s="49">
        <v>23073</v>
      </c>
      <c r="V475" s="49">
        <v>28592</v>
      </c>
      <c r="W475" s="51">
        <v>38855</v>
      </c>
      <c r="X475" s="100">
        <v>-7.6484320473634848E-2</v>
      </c>
      <c r="Y475" s="100">
        <v>5.8009537956375645E-2</v>
      </c>
      <c r="Z475" s="100">
        <v>3.3621517771373677E-2</v>
      </c>
      <c r="AA475" s="100">
        <v>0.26065198741778661</v>
      </c>
    </row>
    <row r="476" spans="1:27" ht="15" x14ac:dyDescent="0.25">
      <c r="A476" s="4">
        <v>260129</v>
      </c>
      <c r="B476" s="10" t="s">
        <v>780</v>
      </c>
      <c r="C476" s="10" t="s">
        <v>31</v>
      </c>
      <c r="D476" s="37" t="s">
        <v>781</v>
      </c>
      <c r="E476" s="10" t="s">
        <v>25</v>
      </c>
      <c r="F476" s="38">
        <v>7.4917722667081188</v>
      </c>
      <c r="G476" s="49">
        <v>14561</v>
      </c>
      <c r="H476" s="49">
        <v>15409</v>
      </c>
      <c r="I476" s="49">
        <v>16796</v>
      </c>
      <c r="J476" s="49">
        <v>19140</v>
      </c>
      <c r="K476" s="49">
        <v>20622</v>
      </c>
      <c r="L476" s="50">
        <v>23345</v>
      </c>
      <c r="M476" s="49">
        <v>23416</v>
      </c>
      <c r="N476" s="49">
        <v>25186</v>
      </c>
      <c r="O476" s="49">
        <v>28505</v>
      </c>
      <c r="P476" s="49">
        <v>22671</v>
      </c>
      <c r="Q476" s="49">
        <v>15016</v>
      </c>
      <c r="R476" s="49">
        <v>16595</v>
      </c>
      <c r="S476" s="49">
        <v>18278</v>
      </c>
      <c r="T476" s="49">
        <v>19115</v>
      </c>
      <c r="U476" s="49">
        <v>19175</v>
      </c>
      <c r="V476" s="49">
        <v>20610</v>
      </c>
      <c r="W476" s="52">
        <v>24060</v>
      </c>
      <c r="X476" s="100">
        <v>-4.9007717750826907E-2</v>
      </c>
      <c r="Y476" s="100">
        <v>6.0271868297490094E-2</v>
      </c>
      <c r="Z476" s="100">
        <v>5.4877465385509083E-2</v>
      </c>
      <c r="AA476" s="100">
        <v>7.4917722667081188E-2</v>
      </c>
    </row>
    <row r="477" spans="1:27" ht="15" x14ac:dyDescent="0.25">
      <c r="A477" s="4">
        <v>260129</v>
      </c>
      <c r="B477" s="10" t="s">
        <v>782</v>
      </c>
      <c r="C477" s="10" t="s">
        <v>31</v>
      </c>
      <c r="D477" s="37" t="s">
        <v>783</v>
      </c>
      <c r="E477" s="10" t="s">
        <v>25</v>
      </c>
      <c r="F477" s="38">
        <v>6.4440950384346607</v>
      </c>
      <c r="G477" s="49">
        <v>50736</v>
      </c>
      <c r="H477" s="49">
        <v>42259</v>
      </c>
      <c r="I477" s="49">
        <v>57291</v>
      </c>
      <c r="J477" s="49">
        <v>101134</v>
      </c>
      <c r="K477" s="50">
        <v>83096</v>
      </c>
      <c r="L477" s="49">
        <v>54758</v>
      </c>
      <c r="M477" s="49">
        <v>56934</v>
      </c>
      <c r="N477" s="49">
        <v>69881</v>
      </c>
      <c r="O477" s="49">
        <v>54642</v>
      </c>
      <c r="P477" s="49">
        <v>39127</v>
      </c>
      <c r="Q477" s="49">
        <v>47288</v>
      </c>
      <c r="R477" s="49">
        <v>74328</v>
      </c>
      <c r="S477" s="49">
        <v>69352</v>
      </c>
      <c r="T477" s="49">
        <v>49884</v>
      </c>
      <c r="U477" s="49">
        <v>70423</v>
      </c>
      <c r="V477" s="49">
        <v>96541</v>
      </c>
      <c r="W477" s="52">
        <v>87795</v>
      </c>
      <c r="X477" s="100">
        <v>4.6750255329320423E-2</v>
      </c>
      <c r="Y477" s="100">
        <v>9.6054838656104202E-2</v>
      </c>
      <c r="Z477" s="100">
        <v>8.4144294984222601E-2</v>
      </c>
      <c r="AA477" s="100">
        <v>6.4440950384346607E-2</v>
      </c>
    </row>
    <row r="478" spans="1:27" ht="15" x14ac:dyDescent="0.25">
      <c r="A478" s="4">
        <v>260129</v>
      </c>
      <c r="B478" s="10" t="s">
        <v>784</v>
      </c>
      <c r="C478" s="10" t="s">
        <v>31</v>
      </c>
      <c r="D478" s="37" t="s">
        <v>785</v>
      </c>
      <c r="E478" s="10" t="s">
        <v>25</v>
      </c>
      <c r="F478" s="38">
        <v>2.129006463650307</v>
      </c>
      <c r="G478" s="49">
        <v>19380</v>
      </c>
      <c r="H478" s="49">
        <v>20786</v>
      </c>
      <c r="I478" s="49">
        <v>19940</v>
      </c>
      <c r="J478" s="49">
        <v>19863</v>
      </c>
      <c r="K478" s="49">
        <v>20045</v>
      </c>
      <c r="L478" s="49">
        <v>22312</v>
      </c>
      <c r="M478" s="49">
        <v>19228</v>
      </c>
      <c r="N478" s="49">
        <v>21949</v>
      </c>
      <c r="O478" s="49">
        <v>22106</v>
      </c>
      <c r="P478" s="49">
        <v>23251</v>
      </c>
      <c r="Q478" s="49">
        <v>21031</v>
      </c>
      <c r="R478" s="49">
        <v>22878</v>
      </c>
      <c r="S478" s="49">
        <v>22083</v>
      </c>
      <c r="T478" s="49">
        <v>22878</v>
      </c>
      <c r="U478" s="49">
        <v>21536</v>
      </c>
      <c r="V478" s="49">
        <v>23545</v>
      </c>
      <c r="W478" s="52">
        <v>24000</v>
      </c>
      <c r="X478" s="100">
        <v>-4.1795995204105818E-3</v>
      </c>
      <c r="Y478" s="100">
        <v>5.6824575222234053E-3</v>
      </c>
      <c r="Z478" s="100">
        <v>7.4629370629371028E-3</v>
      </c>
      <c r="AA478" s="100">
        <v>2.129006463650307E-2</v>
      </c>
    </row>
    <row r="479" spans="1:27" ht="15" x14ac:dyDescent="0.25">
      <c r="A479" s="4">
        <v>260129</v>
      </c>
      <c r="B479" s="10" t="s">
        <v>786</v>
      </c>
      <c r="C479" s="10" t="s">
        <v>31</v>
      </c>
      <c r="D479" s="37" t="s">
        <v>787</v>
      </c>
      <c r="E479" s="10" t="s">
        <v>25</v>
      </c>
      <c r="F479" s="38">
        <v>2.0113571292231351</v>
      </c>
      <c r="G479" s="49">
        <v>6749</v>
      </c>
      <c r="H479" s="49">
        <v>7009</v>
      </c>
      <c r="I479" s="49">
        <v>7138</v>
      </c>
      <c r="J479" s="49">
        <v>7547</v>
      </c>
      <c r="K479" s="49">
        <v>8001</v>
      </c>
      <c r="L479" s="49">
        <v>9457</v>
      </c>
      <c r="M479" s="49">
        <v>9145</v>
      </c>
      <c r="N479" s="49">
        <v>9470</v>
      </c>
      <c r="O479" s="49">
        <v>9906</v>
      </c>
      <c r="P479" s="49">
        <v>10261</v>
      </c>
      <c r="Q479" s="49">
        <v>10102</v>
      </c>
      <c r="R479" s="49">
        <v>10412</v>
      </c>
      <c r="S479" s="49">
        <v>10568</v>
      </c>
      <c r="T479" s="49">
        <v>10544</v>
      </c>
      <c r="U479" s="49">
        <v>10774</v>
      </c>
      <c r="V479" s="49">
        <v>10026</v>
      </c>
      <c r="W479" s="52">
        <v>11411</v>
      </c>
      <c r="X479" s="100">
        <v>6.8451733062429021E-3</v>
      </c>
      <c r="Y479" s="100">
        <v>1.6143756306154833E-2</v>
      </c>
      <c r="Z479" s="100">
        <v>-9.1257269847273559E-3</v>
      </c>
      <c r="AA479" s="100">
        <v>2.0113571292231347E-2</v>
      </c>
    </row>
    <row r="480" spans="1:27" ht="15" x14ac:dyDescent="0.25">
      <c r="A480" s="4">
        <v>260129</v>
      </c>
      <c r="B480" s="10" t="s">
        <v>788</v>
      </c>
      <c r="C480" s="10" t="s">
        <v>31</v>
      </c>
      <c r="D480" s="37" t="s">
        <v>789</v>
      </c>
      <c r="E480" s="10" t="s">
        <v>25</v>
      </c>
      <c r="F480" s="38">
        <v>1.998502863708373</v>
      </c>
      <c r="G480" s="49">
        <v>169.36</v>
      </c>
      <c r="H480" s="49">
        <v>191.77</v>
      </c>
      <c r="I480" s="49">
        <v>188.03</v>
      </c>
      <c r="J480" s="49">
        <v>3375</v>
      </c>
      <c r="K480" s="49">
        <v>260.24</v>
      </c>
      <c r="L480" s="49">
        <v>244.52</v>
      </c>
      <c r="M480" s="49">
        <v>261.16000000000003</v>
      </c>
      <c r="N480" s="49">
        <v>891.65</v>
      </c>
      <c r="O480" s="49">
        <v>272.93</v>
      </c>
      <c r="P480" s="49">
        <v>269.87</v>
      </c>
      <c r="Q480" s="49">
        <v>272.32</v>
      </c>
      <c r="R480" s="50">
        <v>1622</v>
      </c>
      <c r="S480" s="49">
        <v>292.19</v>
      </c>
      <c r="T480" s="49">
        <v>294.63</v>
      </c>
      <c r="U480" s="49">
        <v>300.75</v>
      </c>
      <c r="V480" s="49">
        <v>835.72</v>
      </c>
      <c r="W480" s="52">
        <v>326.63</v>
      </c>
      <c r="X480" s="100">
        <v>1.0079873635186587E-2</v>
      </c>
      <c r="Y480" s="100">
        <v>1.1458442490145826E-2</v>
      </c>
      <c r="Z480" s="100">
        <v>-0.31331263921707708</v>
      </c>
      <c r="AA480" s="100">
        <v>1.9985028637083735E-2</v>
      </c>
    </row>
    <row r="481" spans="1:27" ht="15" x14ac:dyDescent="0.25">
      <c r="A481" s="4">
        <v>260129</v>
      </c>
      <c r="B481" s="10" t="s">
        <v>790</v>
      </c>
      <c r="C481" s="10" t="s">
        <v>31</v>
      </c>
      <c r="D481" s="37" t="s">
        <v>791</v>
      </c>
      <c r="E481" s="10" t="s">
        <v>25</v>
      </c>
      <c r="F481" s="38">
        <v>0.7094614906707708</v>
      </c>
      <c r="G481" s="49">
        <v>8992</v>
      </c>
      <c r="H481" s="49">
        <v>8693</v>
      </c>
      <c r="I481" s="49">
        <v>11398</v>
      </c>
      <c r="J481" s="49">
        <v>11278</v>
      </c>
      <c r="K481" s="49">
        <v>11871</v>
      </c>
      <c r="L481" s="49">
        <v>11996</v>
      </c>
      <c r="M481" s="49">
        <v>12032</v>
      </c>
      <c r="N481" s="49">
        <v>11463</v>
      </c>
      <c r="O481" s="49">
        <v>11514</v>
      </c>
      <c r="P481" s="49">
        <v>12012</v>
      </c>
      <c r="Q481" s="49">
        <v>11975</v>
      </c>
      <c r="R481" s="49">
        <v>12241</v>
      </c>
      <c r="S481" s="49">
        <v>12555</v>
      </c>
      <c r="T481" s="49">
        <v>12171</v>
      </c>
      <c r="U481" s="49">
        <v>12190</v>
      </c>
      <c r="V481" s="49">
        <v>12981</v>
      </c>
      <c r="W481" s="52">
        <v>12909</v>
      </c>
      <c r="X481" s="100">
        <v>3.2593321443945555E-3</v>
      </c>
      <c r="Y481" s="100">
        <v>4.3929549262391454E-3</v>
      </c>
      <c r="Z481" s="100">
        <v>1.5053807189210122E-2</v>
      </c>
      <c r="AA481" s="100">
        <v>7.094614906707708E-3</v>
      </c>
    </row>
    <row r="482" spans="1:27" ht="15" x14ac:dyDescent="0.25">
      <c r="A482" s="4">
        <v>260129</v>
      </c>
      <c r="B482" s="10" t="s">
        <v>792</v>
      </c>
      <c r="C482" s="10" t="s">
        <v>31</v>
      </c>
      <c r="D482" s="37" t="s">
        <v>793</v>
      </c>
      <c r="E482" s="10" t="s">
        <v>25</v>
      </c>
      <c r="F482" s="38">
        <v>0.10241125535011</v>
      </c>
      <c r="G482" s="49">
        <v>17936</v>
      </c>
      <c r="H482" s="49">
        <v>26666</v>
      </c>
      <c r="I482" s="49">
        <v>27680</v>
      </c>
      <c r="J482" s="49">
        <v>17684</v>
      </c>
      <c r="K482" s="49">
        <v>20056</v>
      </c>
      <c r="L482" s="49">
        <v>29568</v>
      </c>
      <c r="M482" s="49">
        <v>33599</v>
      </c>
      <c r="N482" s="49">
        <v>22928</v>
      </c>
      <c r="O482" s="49">
        <v>26257</v>
      </c>
      <c r="P482" s="50">
        <v>42029</v>
      </c>
      <c r="Q482" s="50">
        <v>49210</v>
      </c>
      <c r="R482" s="49">
        <v>26191</v>
      </c>
      <c r="S482" s="49">
        <v>31051</v>
      </c>
      <c r="T482" s="49">
        <v>47676</v>
      </c>
      <c r="U482" s="49">
        <v>39386</v>
      </c>
      <c r="V482" s="49">
        <v>23473</v>
      </c>
      <c r="W482" s="52">
        <v>31196</v>
      </c>
      <c r="X482" s="100">
        <v>3.8031802048746899E-2</v>
      </c>
      <c r="Y482" s="100">
        <v>-6.3739229731132552E-2</v>
      </c>
      <c r="Z482" s="100">
        <v>-1.883523672247478E-2</v>
      </c>
      <c r="AA482" s="100">
        <v>1.0241125535010998E-3</v>
      </c>
    </row>
    <row r="483" spans="1:27" ht="15" x14ac:dyDescent="0.25">
      <c r="A483" s="4">
        <v>260129</v>
      </c>
      <c r="B483" s="10" t="s">
        <v>794</v>
      </c>
      <c r="C483" s="10" t="s">
        <v>31</v>
      </c>
      <c r="D483" s="37" t="s">
        <v>795</v>
      </c>
      <c r="E483" s="10" t="s">
        <v>25</v>
      </c>
      <c r="F483" s="38">
        <v>-2.1988441557036942</v>
      </c>
      <c r="G483" s="49">
        <v>53609</v>
      </c>
      <c r="H483" s="49">
        <v>105978</v>
      </c>
      <c r="I483" s="49">
        <v>137231</v>
      </c>
      <c r="J483" s="49">
        <v>70438</v>
      </c>
      <c r="K483" s="49">
        <v>77644</v>
      </c>
      <c r="L483" s="49">
        <v>102421</v>
      </c>
      <c r="M483" s="49">
        <v>110055</v>
      </c>
      <c r="N483" s="50">
        <v>129906</v>
      </c>
      <c r="O483" s="50">
        <v>129914</v>
      </c>
      <c r="P483" s="49">
        <v>133637</v>
      </c>
      <c r="Q483" s="49">
        <v>149556</v>
      </c>
      <c r="R483" s="49">
        <v>133389</v>
      </c>
      <c r="S483" s="49">
        <v>136712</v>
      </c>
      <c r="T483" s="49">
        <v>142374</v>
      </c>
      <c r="U483" s="49">
        <v>141092</v>
      </c>
      <c r="V483" s="49">
        <v>134568</v>
      </c>
      <c r="W483" s="52">
        <v>124514</v>
      </c>
      <c r="X483" s="100">
        <v>1.5790881520493683E-2</v>
      </c>
      <c r="Y483" s="100">
        <v>-1.5059667527236087E-2</v>
      </c>
      <c r="Z483" s="100">
        <v>2.129823490200744E-3</v>
      </c>
      <c r="AA483" s="100">
        <v>-2.1988441557036942E-2</v>
      </c>
    </row>
    <row r="484" spans="1:27" ht="15" x14ac:dyDescent="0.25">
      <c r="A484" s="101">
        <v>260129</v>
      </c>
      <c r="B484" s="102" t="s">
        <v>796</v>
      </c>
      <c r="C484" s="102" t="s">
        <v>31</v>
      </c>
      <c r="D484" s="103" t="s">
        <v>797</v>
      </c>
      <c r="E484" s="10" t="s">
        <v>25</v>
      </c>
      <c r="F484" s="104">
        <v>-9.9423939271984558</v>
      </c>
      <c r="G484" s="49">
        <v>98361</v>
      </c>
      <c r="H484" s="49">
        <v>85803</v>
      </c>
      <c r="I484" s="49">
        <v>86549</v>
      </c>
      <c r="J484" s="49">
        <v>110396</v>
      </c>
      <c r="K484" s="49">
        <v>115931</v>
      </c>
      <c r="L484" s="105">
        <v>133846</v>
      </c>
      <c r="M484" s="105">
        <v>132028</v>
      </c>
      <c r="N484" s="106">
        <v>133484</v>
      </c>
      <c r="O484" s="106">
        <v>151109</v>
      </c>
      <c r="P484" s="106">
        <v>104572</v>
      </c>
      <c r="Q484" s="106">
        <v>151495</v>
      </c>
      <c r="R484" s="106">
        <v>153269</v>
      </c>
      <c r="S484" s="106">
        <v>138677</v>
      </c>
      <c r="T484" s="106">
        <v>111805</v>
      </c>
      <c r="U484" s="106">
        <v>170904</v>
      </c>
      <c r="V484" s="106">
        <v>172475</v>
      </c>
      <c r="W484" s="107">
        <v>79633</v>
      </c>
      <c r="X484" s="108">
        <v>1.3198592004204368E-2</v>
      </c>
      <c r="Y484" s="108">
        <v>3.495567730339344E-2</v>
      </c>
      <c r="Z484" s="108">
        <v>3.3421792205758249E-2</v>
      </c>
      <c r="AA484" s="108">
        <v>-9.9423939271984563E-2</v>
      </c>
    </row>
    <row r="485" spans="1:27" ht="15" x14ac:dyDescent="0.25">
      <c r="A485" s="4">
        <v>260128</v>
      </c>
      <c r="B485" s="20" t="s">
        <v>76</v>
      </c>
      <c r="C485" s="10" t="s">
        <v>23</v>
      </c>
      <c r="D485" s="10" t="s">
        <v>29</v>
      </c>
      <c r="E485" s="10" t="s">
        <v>25</v>
      </c>
      <c r="F485" s="38">
        <v>90.775772301284292</v>
      </c>
      <c r="G485" s="49">
        <v>60.87</v>
      </c>
      <c r="H485" s="49">
        <v>52.15</v>
      </c>
      <c r="I485" s="49">
        <v>56.37</v>
      </c>
      <c r="J485" s="49">
        <v>57.05</v>
      </c>
      <c r="K485" s="49">
        <v>54.33</v>
      </c>
      <c r="L485" s="49">
        <v>49.68</v>
      </c>
      <c r="M485" s="49">
        <v>47.13</v>
      </c>
      <c r="N485" s="49">
        <v>48.48</v>
      </c>
      <c r="O485" s="49">
        <v>44.76</v>
      </c>
      <c r="P485" s="49">
        <v>46.03</v>
      </c>
      <c r="Q485" s="49">
        <v>47.75</v>
      </c>
      <c r="R485" s="49">
        <v>48.33</v>
      </c>
      <c r="S485" s="49">
        <v>-45.96</v>
      </c>
      <c r="T485" s="50">
        <v>57.87</v>
      </c>
      <c r="U485" s="49">
        <v>53.66</v>
      </c>
      <c r="V485" s="49">
        <v>49.67</v>
      </c>
      <c r="W485" s="51">
        <v>58.65</v>
      </c>
      <c r="X485" s="13">
        <f>SUM(Q485:T485)/SUM(P485:S485)-1</f>
        <v>0.12314092563702528</v>
      </c>
      <c r="Y485" s="13">
        <f t="shared" ref="Y485:AA485" si="0">SUM(R485:U485)/SUM(Q485:T485)-1</f>
        <v>5.4727289563848425E-2</v>
      </c>
      <c r="Z485" s="13">
        <f t="shared" si="0"/>
        <v>1.1764705882352899E-2</v>
      </c>
      <c r="AA485" s="13">
        <f t="shared" si="0"/>
        <v>0.90775772301284285</v>
      </c>
    </row>
    <row r="486" spans="1:27" ht="15" x14ac:dyDescent="0.25">
      <c r="A486" s="4">
        <v>260128</v>
      </c>
      <c r="B486" s="20" t="s">
        <v>49</v>
      </c>
      <c r="C486" s="10" t="s">
        <v>23</v>
      </c>
      <c r="D486" s="10" t="s">
        <v>50</v>
      </c>
      <c r="E486" s="10" t="s">
        <v>25</v>
      </c>
      <c r="F486" s="38">
        <v>46.891904143120477</v>
      </c>
      <c r="G486" s="49">
        <v>147.9</v>
      </c>
      <c r="H486" s="49">
        <v>183.25</v>
      </c>
      <c r="I486" s="49">
        <v>196.9</v>
      </c>
      <c r="J486" s="49">
        <v>190.46</v>
      </c>
      <c r="K486" s="50">
        <v>290.89</v>
      </c>
      <c r="L486" s="49">
        <v>238.35</v>
      </c>
      <c r="M486" s="49">
        <v>224.1</v>
      </c>
      <c r="N486" s="49">
        <v>195.06</v>
      </c>
      <c r="O486" s="49">
        <v>179.69</v>
      </c>
      <c r="P486" s="49">
        <v>299.04000000000002</v>
      </c>
      <c r="Q486" s="49">
        <v>227.15</v>
      </c>
      <c r="R486" s="49">
        <v>214.26</v>
      </c>
      <c r="S486" s="49">
        <v>-33.869999999999997</v>
      </c>
      <c r="T486" s="49">
        <v>241.02</v>
      </c>
      <c r="U486" s="49">
        <v>219.14</v>
      </c>
      <c r="V486" s="49">
        <v>235.53</v>
      </c>
      <c r="W486" s="51">
        <v>276.47000000000003</v>
      </c>
      <c r="X486" s="13">
        <f t="shared" ref="X486:X509" si="1">SUM(Q486:T486)/SUM(P486:S486)-1</f>
        <v>-8.211384415069789E-2</v>
      </c>
      <c r="Y486" s="13">
        <f t="shared" ref="Y486:Y509" si="2">SUM(R486:U486)/SUM(Q486:T486)-1</f>
        <v>-1.235043789317869E-2</v>
      </c>
      <c r="Z486" s="13">
        <f t="shared" ref="Z486:Z509" si="3">SUM(S486:V486)/SUM(R486:U486)-1</f>
        <v>3.3205838732339288E-2</v>
      </c>
      <c r="AA486" s="13">
        <f t="shared" ref="AA486:AA509" si="4">SUM(T486:W486)/SUM(S486:V486)-1</f>
        <v>0.468919041431205</v>
      </c>
    </row>
    <row r="487" spans="1:27" ht="15" x14ac:dyDescent="0.25">
      <c r="A487" s="4">
        <v>260128</v>
      </c>
      <c r="B487" s="20" t="s">
        <v>28</v>
      </c>
      <c r="C487" s="10" t="s">
        <v>23</v>
      </c>
      <c r="D487" s="10" t="s">
        <v>29</v>
      </c>
      <c r="E487" s="10" t="s">
        <v>25</v>
      </c>
      <c r="F487" s="38">
        <v>40.868225826732044</v>
      </c>
      <c r="G487" s="49">
        <v>81.41</v>
      </c>
      <c r="H487" s="49">
        <v>75.540000000000006</v>
      </c>
      <c r="I487" s="49">
        <v>78.569999999999993</v>
      </c>
      <c r="J487" s="49">
        <v>82.03</v>
      </c>
      <c r="K487" s="49">
        <v>83.36</v>
      </c>
      <c r="L487" s="49">
        <v>73.44</v>
      </c>
      <c r="M487" s="49">
        <v>85.64</v>
      </c>
      <c r="N487" s="49">
        <v>86.55</v>
      </c>
      <c r="O487" s="49">
        <v>87.81</v>
      </c>
      <c r="P487" s="49">
        <v>80.489999999999995</v>
      </c>
      <c r="Q487" s="49">
        <v>80.83</v>
      </c>
      <c r="R487" s="49">
        <v>84.7</v>
      </c>
      <c r="S487" s="49">
        <v>87.54</v>
      </c>
      <c r="T487" s="49">
        <v>85.5</v>
      </c>
      <c r="U487" s="49">
        <v>87.66</v>
      </c>
      <c r="V487" s="49">
        <v>57.42</v>
      </c>
      <c r="W487" s="51">
        <v>217.55</v>
      </c>
      <c r="X487" s="13">
        <f t="shared" si="1"/>
        <v>1.501978654514935E-2</v>
      </c>
      <c r="Y487" s="13">
        <f t="shared" si="2"/>
        <v>2.0173080899075435E-2</v>
      </c>
      <c r="Z487" s="13">
        <f t="shared" si="3"/>
        <v>-7.8980891719744983E-2</v>
      </c>
      <c r="AA487" s="13">
        <f t="shared" si="4"/>
        <v>0.40868225826732019</v>
      </c>
    </row>
    <row r="488" spans="1:27" ht="15" x14ac:dyDescent="0.25">
      <c r="A488" s="4">
        <v>260128</v>
      </c>
      <c r="B488" s="20" t="s">
        <v>142</v>
      </c>
      <c r="C488" s="10" t="s">
        <v>23</v>
      </c>
      <c r="D488" s="10" t="s">
        <v>65</v>
      </c>
      <c r="E488" s="10" t="s">
        <v>25</v>
      </c>
      <c r="F488" s="38">
        <v>10.1130024316979</v>
      </c>
      <c r="G488" s="49">
        <v>3027</v>
      </c>
      <c r="H488" s="49">
        <v>2952</v>
      </c>
      <c r="I488" s="49">
        <v>3137</v>
      </c>
      <c r="J488" s="49">
        <v>3295</v>
      </c>
      <c r="K488" s="49">
        <v>3239</v>
      </c>
      <c r="L488" s="49">
        <v>2974</v>
      </c>
      <c r="M488" s="49">
        <v>3054</v>
      </c>
      <c r="N488" s="49">
        <v>3199</v>
      </c>
      <c r="O488" s="49">
        <v>3328</v>
      </c>
      <c r="P488" s="49">
        <v>3256</v>
      </c>
      <c r="Q488" s="49">
        <v>3610</v>
      </c>
      <c r="R488" s="49">
        <v>4039</v>
      </c>
      <c r="S488" s="49">
        <v>4318</v>
      </c>
      <c r="T488" s="50">
        <v>4811</v>
      </c>
      <c r="U488" s="50">
        <v>5650</v>
      </c>
      <c r="V488" s="50">
        <v>6194</v>
      </c>
      <c r="W488" s="51">
        <v>6439</v>
      </c>
      <c r="X488" s="13">
        <f t="shared" si="1"/>
        <v>0.10214806542731392</v>
      </c>
      <c r="Y488" s="13">
        <f t="shared" si="2"/>
        <v>0.1215877935391585</v>
      </c>
      <c r="Z488" s="13">
        <f t="shared" si="3"/>
        <v>0.11451801466680833</v>
      </c>
      <c r="AA488" s="13">
        <f t="shared" si="4"/>
        <v>0.10113002431697904</v>
      </c>
    </row>
    <row r="489" spans="1:27" customFormat="1" hidden="1" x14ac:dyDescent="0.3">
      <c r="B489" s="10" t="s">
        <v>33</v>
      </c>
      <c r="C489" s="10" t="s">
        <v>23</v>
      </c>
      <c r="D489" s="10" t="s">
        <v>34</v>
      </c>
      <c r="E489" s="10" t="s">
        <v>35</v>
      </c>
      <c r="F489" s="10">
        <v>0.43913149548671088</v>
      </c>
      <c r="G489" s="10">
        <v>61.58</v>
      </c>
      <c r="H489" s="10">
        <v>69.92</v>
      </c>
      <c r="I489" s="10">
        <v>55.36</v>
      </c>
      <c r="J489" s="10">
        <v>53.73</v>
      </c>
      <c r="K489" s="10">
        <v>56.18</v>
      </c>
      <c r="L489" s="10">
        <v>67.260000000000005</v>
      </c>
      <c r="M489" s="10">
        <v>55.91</v>
      </c>
      <c r="N489" s="10">
        <v>58.53</v>
      </c>
      <c r="O489" s="10">
        <v>59.39</v>
      </c>
      <c r="P489" s="10">
        <v>66.849999999999994</v>
      </c>
      <c r="Q489" s="10">
        <v>57.71</v>
      </c>
      <c r="R489" s="10">
        <v>62.08</v>
      </c>
      <c r="S489" s="10">
        <v>61.73</v>
      </c>
      <c r="T489" s="10">
        <v>63.47</v>
      </c>
      <c r="U489" s="10">
        <v>55.65</v>
      </c>
      <c r="V489" s="10">
        <v>65.09</v>
      </c>
      <c r="W489" s="16">
        <v>62.81</v>
      </c>
      <c r="X489" s="13">
        <f t="shared" si="1"/>
        <v>-1.3608728912509527E-2</v>
      </c>
      <c r="Y489" s="13">
        <f t="shared" si="2"/>
        <v>-8.4085064696517442E-3</v>
      </c>
      <c r="Z489" s="13">
        <f t="shared" si="3"/>
        <v>1.2390400526900658E-2</v>
      </c>
      <c r="AA489" s="13">
        <f t="shared" si="4"/>
        <v>4.3913149548671093E-3</v>
      </c>
    </row>
    <row r="490" spans="1:27" ht="15" x14ac:dyDescent="0.25">
      <c r="A490" s="4">
        <v>260128</v>
      </c>
      <c r="B490" s="20" t="s">
        <v>132</v>
      </c>
      <c r="C490" s="10" t="s">
        <v>23</v>
      </c>
      <c r="D490" s="10" t="s">
        <v>65</v>
      </c>
      <c r="E490" s="10" t="s">
        <v>25</v>
      </c>
      <c r="F490" s="38">
        <v>9.8298174082609435</v>
      </c>
      <c r="G490" s="49">
        <v>1512</v>
      </c>
      <c r="H490" s="49">
        <v>1567</v>
      </c>
      <c r="I490" s="49">
        <v>1717</v>
      </c>
      <c r="J490" s="49">
        <v>1923</v>
      </c>
      <c r="K490" s="49">
        <v>2043</v>
      </c>
      <c r="L490" s="49">
        <v>1838</v>
      </c>
      <c r="M490" s="49">
        <v>1939</v>
      </c>
      <c r="N490" s="49">
        <v>2043</v>
      </c>
      <c r="O490" s="49">
        <v>2141</v>
      </c>
      <c r="P490" s="49">
        <v>2209</v>
      </c>
      <c r="Q490" s="49">
        <v>2392</v>
      </c>
      <c r="R490" s="49">
        <v>2500</v>
      </c>
      <c r="S490" s="49">
        <v>2546</v>
      </c>
      <c r="T490" s="49">
        <v>2649</v>
      </c>
      <c r="U490" s="49">
        <v>2893</v>
      </c>
      <c r="V490" s="49">
        <v>3194</v>
      </c>
      <c r="W490" s="52">
        <v>3655</v>
      </c>
      <c r="X490" s="13">
        <f t="shared" si="1"/>
        <v>4.5610034207525629E-2</v>
      </c>
      <c r="Y490" s="13">
        <f t="shared" si="2"/>
        <v>4.9667889362545958E-2</v>
      </c>
      <c r="Z490" s="13">
        <f t="shared" si="3"/>
        <v>6.5545901020022557E-2</v>
      </c>
      <c r="AA490" s="13">
        <f t="shared" si="4"/>
        <v>9.8298174082609435E-2</v>
      </c>
    </row>
    <row r="491" spans="1:27" ht="15" x14ac:dyDescent="0.25">
      <c r="A491" s="4">
        <v>260128</v>
      </c>
      <c r="B491" s="20" t="s">
        <v>58</v>
      </c>
      <c r="C491" s="10" t="s">
        <v>23</v>
      </c>
      <c r="D491" s="10" t="s">
        <v>37</v>
      </c>
      <c r="E491" s="10" t="s">
        <v>59</v>
      </c>
      <c r="F491" s="38">
        <v>8.6011177086971813</v>
      </c>
      <c r="G491" s="49">
        <v>314.8</v>
      </c>
      <c r="H491" s="49">
        <v>315.5</v>
      </c>
      <c r="I491" s="49">
        <v>335.3</v>
      </c>
      <c r="J491" s="49">
        <v>310.2</v>
      </c>
      <c r="K491" s="49">
        <v>284.5</v>
      </c>
      <c r="L491" s="49">
        <v>247.8</v>
      </c>
      <c r="M491" s="49">
        <v>263.60000000000002</v>
      </c>
      <c r="N491" s="49">
        <v>247.9</v>
      </c>
      <c r="O491" s="49">
        <v>254.5</v>
      </c>
      <c r="P491" s="49">
        <v>246</v>
      </c>
      <c r="Q491" s="49">
        <v>252</v>
      </c>
      <c r="R491" s="49">
        <v>238.2</v>
      </c>
      <c r="S491" s="49">
        <v>270.8</v>
      </c>
      <c r="T491" s="49">
        <v>284.8</v>
      </c>
      <c r="U491" s="49">
        <v>290.5</v>
      </c>
      <c r="V491" s="49">
        <v>299.10000000000002</v>
      </c>
      <c r="W491" s="52">
        <v>369.3</v>
      </c>
      <c r="X491" s="13">
        <f t="shared" si="1"/>
        <v>3.8530287984111178E-2</v>
      </c>
      <c r="Y491" s="13">
        <f t="shared" si="2"/>
        <v>3.6813922356091044E-2</v>
      </c>
      <c r="Z491" s="13">
        <f t="shared" si="3"/>
        <v>5.6165267914783712E-2</v>
      </c>
      <c r="AA491" s="13">
        <f t="shared" si="4"/>
        <v>8.6011177086971813E-2</v>
      </c>
    </row>
    <row r="492" spans="1:27" customFormat="1" hidden="1" x14ac:dyDescent="0.3">
      <c r="B492" s="10" t="s">
        <v>39</v>
      </c>
      <c r="C492" s="10" t="s">
        <v>23</v>
      </c>
      <c r="D492" s="10" t="s">
        <v>29</v>
      </c>
      <c r="E492" s="10" t="s">
        <v>35</v>
      </c>
      <c r="F492" s="10">
        <v>4.3778064912303183</v>
      </c>
      <c r="G492" s="10">
        <v>160.78</v>
      </c>
      <c r="H492" s="10">
        <v>158.07</v>
      </c>
      <c r="I492" s="10">
        <v>153.44999999999999</v>
      </c>
      <c r="J492" s="10">
        <v>167.57</v>
      </c>
      <c r="K492" s="10">
        <v>154.93</v>
      </c>
      <c r="L492" s="10">
        <v>197.49</v>
      </c>
      <c r="M492" s="10">
        <v>204.38</v>
      </c>
      <c r="N492" s="10">
        <v>201.77</v>
      </c>
      <c r="O492" s="10">
        <v>200.31</v>
      </c>
      <c r="P492" s="10">
        <v>189.13</v>
      </c>
      <c r="Q492" s="10">
        <v>184.06</v>
      </c>
      <c r="R492" s="10">
        <v>198.34</v>
      </c>
      <c r="S492" s="10">
        <v>190.61</v>
      </c>
      <c r="T492" s="10">
        <v>183.07</v>
      </c>
      <c r="U492" s="10">
        <v>191.57</v>
      </c>
      <c r="V492" s="10">
        <v>216.42</v>
      </c>
      <c r="W492" s="16">
        <v>224.83</v>
      </c>
      <c r="X492" s="13">
        <f t="shared" si="1"/>
        <v>-7.9512950376572356E-3</v>
      </c>
      <c r="Y492" s="13">
        <f t="shared" si="2"/>
        <v>9.9328113427150644E-3</v>
      </c>
      <c r="Z492" s="13">
        <f t="shared" si="3"/>
        <v>2.3677628046464783E-2</v>
      </c>
      <c r="AA492" s="13">
        <f t="shared" si="4"/>
        <v>4.3778064912303183E-2</v>
      </c>
    </row>
    <row r="493" spans="1:27" ht="15" x14ac:dyDescent="0.25">
      <c r="A493" s="4">
        <v>260128</v>
      </c>
      <c r="B493" s="20" t="s">
        <v>55</v>
      </c>
      <c r="C493" s="10" t="s">
        <v>23</v>
      </c>
      <c r="D493" s="10" t="s">
        <v>29</v>
      </c>
      <c r="E493" s="10" t="s">
        <v>25</v>
      </c>
      <c r="F493" s="38">
        <v>8.2101289713746297</v>
      </c>
      <c r="G493" s="49">
        <v>167.7</v>
      </c>
      <c r="H493" s="49">
        <v>162.5</v>
      </c>
      <c r="I493" s="49">
        <v>290.60000000000002</v>
      </c>
      <c r="J493" s="49">
        <v>281.3</v>
      </c>
      <c r="K493" s="50">
        <v>285.3</v>
      </c>
      <c r="L493" s="49">
        <v>240.1</v>
      </c>
      <c r="M493" s="49">
        <v>250.8</v>
      </c>
      <c r="N493" s="49">
        <v>255.8</v>
      </c>
      <c r="O493" s="49">
        <v>246.9</v>
      </c>
      <c r="P493" s="49">
        <v>236.9</v>
      </c>
      <c r="Q493" s="49">
        <v>235.3</v>
      </c>
      <c r="R493" s="49">
        <v>232.1</v>
      </c>
      <c r="S493" s="49">
        <v>227.6</v>
      </c>
      <c r="T493" s="49">
        <v>227</v>
      </c>
      <c r="U493" s="49">
        <v>248.6</v>
      </c>
      <c r="V493" s="49">
        <v>250.5</v>
      </c>
      <c r="W493" s="52">
        <v>305.89999999999998</v>
      </c>
      <c r="X493" s="13">
        <f t="shared" si="1"/>
        <v>-1.0623457452516472E-2</v>
      </c>
      <c r="Y493" s="13">
        <f t="shared" si="2"/>
        <v>1.4425162689804871E-2</v>
      </c>
      <c r="Z493" s="13">
        <f t="shared" si="3"/>
        <v>1.9672832246337979E-2</v>
      </c>
      <c r="AA493" s="13">
        <f t="shared" si="4"/>
        <v>8.2101289713746306E-2</v>
      </c>
    </row>
    <row r="494" spans="1:27" ht="15" x14ac:dyDescent="0.25">
      <c r="A494" s="4">
        <v>260128</v>
      </c>
      <c r="B494" s="20" t="s">
        <v>57</v>
      </c>
      <c r="C494" s="10" t="s">
        <v>23</v>
      </c>
      <c r="D494" s="10" t="s">
        <v>24</v>
      </c>
      <c r="E494" s="10" t="s">
        <v>25</v>
      </c>
      <c r="F494" s="38">
        <v>7.1041470311027144</v>
      </c>
      <c r="G494" s="49">
        <v>176.42</v>
      </c>
      <c r="H494" s="49">
        <v>184.95</v>
      </c>
      <c r="I494" s="49">
        <v>202.04</v>
      </c>
      <c r="J494" s="49">
        <v>236.33</v>
      </c>
      <c r="K494" s="49">
        <v>244.5</v>
      </c>
      <c r="L494" s="49">
        <v>250.01</v>
      </c>
      <c r="M494" s="49">
        <v>261.02</v>
      </c>
      <c r="N494" s="49">
        <v>263.83999999999997</v>
      </c>
      <c r="O494" s="49">
        <v>264.73</v>
      </c>
      <c r="P494" s="49">
        <v>226.31</v>
      </c>
      <c r="Q494" s="49">
        <v>198.14</v>
      </c>
      <c r="R494" s="49">
        <v>200.95</v>
      </c>
      <c r="S494" s="49">
        <v>206.12</v>
      </c>
      <c r="T494" s="49">
        <v>220.24</v>
      </c>
      <c r="U494" s="49">
        <v>241.88</v>
      </c>
      <c r="V494" s="49">
        <v>265.44</v>
      </c>
      <c r="W494" s="52">
        <v>272.45</v>
      </c>
      <c r="X494" s="13">
        <f t="shared" si="1"/>
        <v>-7.2998845487780573E-3</v>
      </c>
      <c r="Y494" s="13">
        <f t="shared" si="2"/>
        <v>5.2989278575322318E-2</v>
      </c>
      <c r="Z494" s="13">
        <f t="shared" si="3"/>
        <v>7.4195515364880116E-2</v>
      </c>
      <c r="AA494" s="13">
        <f t="shared" si="4"/>
        <v>7.1041470311027144E-2</v>
      </c>
    </row>
    <row r="495" spans="1:27" customFormat="1" hidden="1" x14ac:dyDescent="0.3">
      <c r="B495" s="10" t="s">
        <v>44</v>
      </c>
      <c r="C495" s="10" t="s">
        <v>31</v>
      </c>
      <c r="D495" s="10" t="s">
        <v>32</v>
      </c>
      <c r="E495" s="10" t="s">
        <v>35</v>
      </c>
      <c r="F495" s="10">
        <v>-0.75271149674620563</v>
      </c>
      <c r="G495" s="10">
        <v>27005</v>
      </c>
      <c r="H495" s="10">
        <v>27110</v>
      </c>
      <c r="I495" s="10">
        <v>28022</v>
      </c>
      <c r="J495" s="10">
        <v>28919</v>
      </c>
      <c r="K495" s="10">
        <v>30035</v>
      </c>
      <c r="L495" s="10">
        <v>30744</v>
      </c>
      <c r="M495" s="10">
        <v>31302</v>
      </c>
      <c r="N495" s="10">
        <v>32934</v>
      </c>
      <c r="O495" s="10">
        <v>34628</v>
      </c>
      <c r="P495" s="10">
        <v>35786</v>
      </c>
      <c r="Q495" s="10">
        <v>36897</v>
      </c>
      <c r="R495" s="10">
        <v>4367</v>
      </c>
      <c r="S495" s="10">
        <v>1601</v>
      </c>
      <c r="T495" s="10">
        <v>41466</v>
      </c>
      <c r="U495" s="10">
        <v>40861</v>
      </c>
      <c r="V495" s="10">
        <v>3662</v>
      </c>
      <c r="W495" s="16">
        <v>941.7</v>
      </c>
      <c r="X495" s="13">
        <f t="shared" si="1"/>
        <v>7.2217772183443385E-2</v>
      </c>
      <c r="Y495" s="13">
        <f t="shared" si="2"/>
        <v>4.7005253109769773E-2</v>
      </c>
      <c r="Z495" s="13">
        <f t="shared" si="3"/>
        <v>-7.9845970893028806E-3</v>
      </c>
      <c r="AA495" s="13">
        <f t="shared" si="4"/>
        <v>-7.5271149674620563E-3</v>
      </c>
    </row>
    <row r="496" spans="1:27" ht="15" x14ac:dyDescent="0.25">
      <c r="A496" s="4">
        <v>260128</v>
      </c>
      <c r="B496" s="20" t="s">
        <v>88</v>
      </c>
      <c r="C496" s="10" t="s">
        <v>23</v>
      </c>
      <c r="D496" s="10" t="s">
        <v>29</v>
      </c>
      <c r="E496" s="10" t="s">
        <v>25</v>
      </c>
      <c r="F496" s="38">
        <v>6.2569532358921256</v>
      </c>
      <c r="G496" s="49">
        <v>72.290000000000006</v>
      </c>
      <c r="H496" s="49">
        <v>63.68</v>
      </c>
      <c r="I496" s="49">
        <v>69.13</v>
      </c>
      <c r="J496" s="49">
        <v>64.63</v>
      </c>
      <c r="K496" s="49">
        <v>67.31</v>
      </c>
      <c r="L496" s="49">
        <v>63.35</v>
      </c>
      <c r="M496" s="49">
        <v>58.85</v>
      </c>
      <c r="N496" s="49">
        <v>57.11</v>
      </c>
      <c r="O496" s="49">
        <v>61.65</v>
      </c>
      <c r="P496" s="49">
        <v>57.49</v>
      </c>
      <c r="Q496" s="49">
        <v>61.79</v>
      </c>
      <c r="R496" s="49">
        <v>63.71</v>
      </c>
      <c r="S496" s="49">
        <v>57.58</v>
      </c>
      <c r="T496" s="49">
        <v>64.62</v>
      </c>
      <c r="U496" s="49">
        <v>67.819999999999993</v>
      </c>
      <c r="V496" s="49">
        <v>70.650000000000006</v>
      </c>
      <c r="W496" s="52">
        <v>73.89</v>
      </c>
      <c r="X496" s="13">
        <f t="shared" si="1"/>
        <v>2.9637943218190133E-2</v>
      </c>
      <c r="Y496" s="13">
        <f t="shared" si="2"/>
        <v>2.4343964473153124E-2</v>
      </c>
      <c r="Z496" s="13">
        <f t="shared" si="3"/>
        <v>2.7351909510109129E-2</v>
      </c>
      <c r="AA496" s="13">
        <f t="shared" si="4"/>
        <v>6.2569532358921487E-2</v>
      </c>
    </row>
    <row r="497" spans="1:27" customFormat="1" hidden="1" x14ac:dyDescent="0.3">
      <c r="B497" s="10" t="s">
        <v>47</v>
      </c>
      <c r="C497" s="10" t="s">
        <v>23</v>
      </c>
      <c r="D497" s="10" t="s">
        <v>48</v>
      </c>
      <c r="E497" s="10" t="s">
        <v>35</v>
      </c>
      <c r="F497" s="10">
        <v>1.713447817859115</v>
      </c>
      <c r="G497" s="10">
        <v>657.6</v>
      </c>
      <c r="H497" s="10">
        <v>849.72</v>
      </c>
      <c r="I497" s="10">
        <v>657.41</v>
      </c>
      <c r="J497" s="10">
        <v>722.83</v>
      </c>
      <c r="K497" s="10">
        <v>703.42</v>
      </c>
      <c r="L497" s="10">
        <v>845.2</v>
      </c>
      <c r="M497" s="10">
        <v>742.16</v>
      </c>
      <c r="N497" s="10">
        <v>788.85</v>
      </c>
      <c r="O497" s="10">
        <v>757.29</v>
      </c>
      <c r="P497" s="10">
        <v>921.36</v>
      </c>
      <c r="Q497" s="10">
        <v>780.59</v>
      </c>
      <c r="R497" s="10">
        <v>832.61</v>
      </c>
      <c r="S497" s="10">
        <v>804.97</v>
      </c>
      <c r="T497" s="10">
        <v>939.16</v>
      </c>
      <c r="U497" s="10">
        <v>789.47</v>
      </c>
      <c r="V497" s="10">
        <v>869.48</v>
      </c>
      <c r="W497" s="16">
        <v>863.28</v>
      </c>
      <c r="X497" s="13">
        <f t="shared" si="1"/>
        <v>5.330091360161493E-3</v>
      </c>
      <c r="Y497" s="13">
        <f t="shared" si="2"/>
        <v>2.6449589405868057E-3</v>
      </c>
      <c r="Z497" s="13">
        <f t="shared" si="3"/>
        <v>1.0952970848521204E-2</v>
      </c>
      <c r="AA497" s="13">
        <f t="shared" si="4"/>
        <v>1.713447817859115E-2</v>
      </c>
    </row>
    <row r="498" spans="1:27" ht="15" x14ac:dyDescent="0.25">
      <c r="A498" s="4">
        <v>260128</v>
      </c>
      <c r="B498" s="20" t="s">
        <v>116</v>
      </c>
      <c r="C498" s="10" t="s">
        <v>23</v>
      </c>
      <c r="D498" s="10" t="s">
        <v>117</v>
      </c>
      <c r="E498" s="10" t="s">
        <v>25</v>
      </c>
      <c r="F498" s="38">
        <v>6.1399217221135061</v>
      </c>
      <c r="G498" s="49">
        <v>1008</v>
      </c>
      <c r="H498" s="49">
        <v>943</v>
      </c>
      <c r="I498" s="49">
        <v>1045</v>
      </c>
      <c r="J498" s="49">
        <v>1005</v>
      </c>
      <c r="K498" s="49">
        <v>1117</v>
      </c>
      <c r="L498" s="50">
        <v>2120</v>
      </c>
      <c r="M498" s="50">
        <v>2542</v>
      </c>
      <c r="N498" s="50">
        <v>2795</v>
      </c>
      <c r="O498" s="50">
        <v>2915</v>
      </c>
      <c r="P498" s="49">
        <v>2959</v>
      </c>
      <c r="Q498" s="49">
        <v>2761</v>
      </c>
      <c r="R498" s="49">
        <v>2682</v>
      </c>
      <c r="S498" s="49">
        <v>2896</v>
      </c>
      <c r="T498" s="49">
        <v>2862</v>
      </c>
      <c r="U498" s="49">
        <v>3175</v>
      </c>
      <c r="V498" s="49">
        <v>3331</v>
      </c>
      <c r="W498" s="52">
        <v>3649</v>
      </c>
      <c r="X498" s="13">
        <f t="shared" si="1"/>
        <v>-8.5855903699769698E-3</v>
      </c>
      <c r="Y498" s="13">
        <f t="shared" si="2"/>
        <v>3.696098562628336E-2</v>
      </c>
      <c r="Z498" s="13">
        <f t="shared" si="3"/>
        <v>5.5876022384847124E-2</v>
      </c>
      <c r="AA498" s="13">
        <f t="shared" si="4"/>
        <v>6.1399217221135061E-2</v>
      </c>
    </row>
    <row r="499" spans="1:27" ht="15" x14ac:dyDescent="0.25">
      <c r="A499" s="4">
        <v>260128</v>
      </c>
      <c r="B499" s="20" t="s">
        <v>150</v>
      </c>
      <c r="C499" s="10" t="s">
        <v>23</v>
      </c>
      <c r="D499" s="10" t="s">
        <v>151</v>
      </c>
      <c r="E499" s="10" t="s">
        <v>25</v>
      </c>
      <c r="F499" s="38">
        <v>6.074201533857293</v>
      </c>
      <c r="G499" s="49">
        <v>33671</v>
      </c>
      <c r="H499" s="49">
        <v>27908</v>
      </c>
      <c r="I499" s="49">
        <v>28822</v>
      </c>
      <c r="J499" s="49">
        <v>27714</v>
      </c>
      <c r="K499" s="49">
        <v>32165</v>
      </c>
      <c r="L499" s="49">
        <v>28645</v>
      </c>
      <c r="M499" s="49">
        <v>31999</v>
      </c>
      <c r="N499" s="49">
        <v>34146</v>
      </c>
      <c r="O499" s="49">
        <v>40111</v>
      </c>
      <c r="P499" s="49">
        <v>36455</v>
      </c>
      <c r="Q499" s="49">
        <v>39071</v>
      </c>
      <c r="R499" s="49">
        <v>40589</v>
      </c>
      <c r="S499" s="49">
        <v>48385</v>
      </c>
      <c r="T499" s="49">
        <v>42314</v>
      </c>
      <c r="U499" s="49">
        <v>47516</v>
      </c>
      <c r="V499" s="49">
        <v>51242</v>
      </c>
      <c r="W499" s="52">
        <v>59893</v>
      </c>
      <c r="X499" s="13">
        <f t="shared" si="1"/>
        <v>3.5617021276595828E-2</v>
      </c>
      <c r="Y499" s="13">
        <f t="shared" si="2"/>
        <v>4.9571786638803905E-2</v>
      </c>
      <c r="Z499" s="13">
        <f t="shared" si="3"/>
        <v>5.9579204044652334E-2</v>
      </c>
      <c r="AA499" s="13">
        <f t="shared" si="4"/>
        <v>6.074201533857293E-2</v>
      </c>
    </row>
    <row r="500" spans="1:27" ht="15" x14ac:dyDescent="0.25">
      <c r="A500" s="4">
        <v>260128</v>
      </c>
      <c r="B500" s="20" t="s">
        <v>97</v>
      </c>
      <c r="C500" s="10" t="s">
        <v>23</v>
      </c>
      <c r="D500" s="10" t="s">
        <v>29</v>
      </c>
      <c r="E500" s="10" t="s">
        <v>25</v>
      </c>
      <c r="F500" s="38">
        <v>5.175220369175948</v>
      </c>
      <c r="G500" s="49">
        <v>73.53</v>
      </c>
      <c r="H500" s="49">
        <v>68.739999999999995</v>
      </c>
      <c r="I500" s="49">
        <v>70.27</v>
      </c>
      <c r="J500" s="49">
        <v>75.3</v>
      </c>
      <c r="K500" s="49">
        <v>93.55</v>
      </c>
      <c r="L500" s="49">
        <v>87.33</v>
      </c>
      <c r="M500" s="49">
        <v>86.62</v>
      </c>
      <c r="N500" s="49">
        <v>88.73</v>
      </c>
      <c r="O500" s="49">
        <v>78.45</v>
      </c>
      <c r="P500" s="49">
        <v>87.57</v>
      </c>
      <c r="Q500" s="49">
        <v>91.12</v>
      </c>
      <c r="R500" s="49">
        <v>86.19</v>
      </c>
      <c r="S500" s="49">
        <v>83.42</v>
      </c>
      <c r="T500" s="49">
        <v>90.62</v>
      </c>
      <c r="U500" s="49">
        <v>80.64</v>
      </c>
      <c r="V500" s="49">
        <v>70.91</v>
      </c>
      <c r="W500" s="52">
        <v>100.27</v>
      </c>
      <c r="X500" s="13">
        <f t="shared" si="1"/>
        <v>8.7568188343383202E-3</v>
      </c>
      <c r="Y500" s="13">
        <f t="shared" si="2"/>
        <v>-2.9827807030027076E-2</v>
      </c>
      <c r="Z500" s="13">
        <f t="shared" si="3"/>
        <v>-4.4826473435620517E-2</v>
      </c>
      <c r="AA500" s="13">
        <f t="shared" si="4"/>
        <v>5.175220369175948E-2</v>
      </c>
    </row>
    <row r="501" spans="1:27" ht="15" x14ac:dyDescent="0.25">
      <c r="A501" s="4">
        <v>260128</v>
      </c>
      <c r="B501" s="20" t="s">
        <v>145</v>
      </c>
      <c r="C501" s="10" t="s">
        <v>23</v>
      </c>
      <c r="D501" s="10" t="s">
        <v>146</v>
      </c>
      <c r="E501" s="10" t="s">
        <v>42</v>
      </c>
      <c r="F501" s="38">
        <v>4.9461487417691741</v>
      </c>
      <c r="G501" s="49">
        <v>4227</v>
      </c>
      <c r="H501" s="49">
        <v>4060</v>
      </c>
      <c r="I501" s="49">
        <v>4636</v>
      </c>
      <c r="J501" s="49">
        <v>5074</v>
      </c>
      <c r="K501" s="49">
        <v>5278</v>
      </c>
      <c r="L501" s="49">
        <v>3870</v>
      </c>
      <c r="M501" s="49">
        <v>3207</v>
      </c>
      <c r="N501" s="49">
        <v>3482</v>
      </c>
      <c r="O501" s="49">
        <v>3758</v>
      </c>
      <c r="P501" s="49">
        <v>3794</v>
      </c>
      <c r="Q501" s="49">
        <v>3872</v>
      </c>
      <c r="R501" s="49">
        <v>4168</v>
      </c>
      <c r="S501" s="49">
        <v>4376</v>
      </c>
      <c r="T501" s="49">
        <v>4720</v>
      </c>
      <c r="U501" s="49">
        <v>5171</v>
      </c>
      <c r="V501" s="49">
        <v>5324</v>
      </c>
      <c r="W501" s="52">
        <v>5345</v>
      </c>
      <c r="X501" s="13">
        <f t="shared" si="1"/>
        <v>5.712523133867986E-2</v>
      </c>
      <c r="Y501" s="13">
        <f t="shared" si="2"/>
        <v>7.5805322128851493E-2</v>
      </c>
      <c r="Z501" s="13">
        <f t="shared" si="3"/>
        <v>6.2706807702739287E-2</v>
      </c>
      <c r="AA501" s="13">
        <f t="shared" si="4"/>
        <v>4.9461487417691741E-2</v>
      </c>
    </row>
    <row r="502" spans="1:27" customFormat="1" hidden="1" x14ac:dyDescent="0.3">
      <c r="B502" s="10" t="s">
        <v>56</v>
      </c>
      <c r="C502" s="10" t="s">
        <v>31</v>
      </c>
      <c r="D502" s="10" t="s">
        <v>32</v>
      </c>
      <c r="E502" s="10" t="s">
        <v>35</v>
      </c>
      <c r="F502" s="10">
        <v>3.4770485663156991</v>
      </c>
      <c r="G502" s="10">
        <v>8848</v>
      </c>
      <c r="H502" s="10">
        <v>8379</v>
      </c>
      <c r="I502" s="10">
        <v>8703</v>
      </c>
      <c r="J502" s="10">
        <v>9509</v>
      </c>
      <c r="K502" s="10">
        <v>9381</v>
      </c>
      <c r="L502" s="10">
        <v>9718</v>
      </c>
      <c r="M502" s="10">
        <v>8818</v>
      </c>
      <c r="N502" s="10">
        <v>10210</v>
      </c>
      <c r="O502" s="10">
        <v>10284</v>
      </c>
      <c r="P502" s="10">
        <v>11052</v>
      </c>
      <c r="Q502" s="10">
        <v>10541</v>
      </c>
      <c r="R502" s="10">
        <v>11449</v>
      </c>
      <c r="S502" s="10">
        <v>11866</v>
      </c>
      <c r="T502" s="10">
        <v>11461</v>
      </c>
      <c r="U502" s="10">
        <v>11704</v>
      </c>
      <c r="V502" s="10">
        <v>13027</v>
      </c>
      <c r="W502" s="16">
        <v>13537</v>
      </c>
      <c r="X502" s="13">
        <f t="shared" si="1"/>
        <v>9.1075086844214503E-3</v>
      </c>
      <c r="Y502" s="13">
        <f t="shared" si="2"/>
        <v>2.5663658229803321E-2</v>
      </c>
      <c r="Z502" s="13">
        <f t="shared" si="3"/>
        <v>3.3950086058519791E-2</v>
      </c>
      <c r="AA502" s="13">
        <f t="shared" si="4"/>
        <v>3.4770485663156991E-2</v>
      </c>
    </row>
    <row r="503" spans="1:27" ht="15" x14ac:dyDescent="0.25">
      <c r="A503" s="4">
        <v>260128</v>
      </c>
      <c r="B503" s="20" t="s">
        <v>137</v>
      </c>
      <c r="C503" s="10" t="s">
        <v>23</v>
      </c>
      <c r="D503" s="10" t="s">
        <v>115</v>
      </c>
      <c r="E503" s="10" t="s">
        <v>25</v>
      </c>
      <c r="F503" s="38">
        <v>4.8235572748085653</v>
      </c>
      <c r="G503" s="49">
        <v>1614</v>
      </c>
      <c r="H503" s="49">
        <v>1722</v>
      </c>
      <c r="I503" s="49">
        <v>1752</v>
      </c>
      <c r="J503" s="49">
        <v>1831</v>
      </c>
      <c r="K503" s="49">
        <v>1940</v>
      </c>
      <c r="L503" s="49">
        <v>2096</v>
      </c>
      <c r="M503" s="49">
        <v>2150</v>
      </c>
      <c r="N503" s="49">
        <v>2288</v>
      </c>
      <c r="O503" s="49">
        <v>2437</v>
      </c>
      <c r="P503" s="49">
        <v>2603</v>
      </c>
      <c r="Q503" s="49">
        <v>2627</v>
      </c>
      <c r="R503" s="49">
        <v>2797</v>
      </c>
      <c r="S503" s="49">
        <v>2957</v>
      </c>
      <c r="T503" s="49">
        <v>3088</v>
      </c>
      <c r="U503" s="49">
        <v>3215</v>
      </c>
      <c r="V503" s="49">
        <v>3407</v>
      </c>
      <c r="W503" s="52">
        <v>3568</v>
      </c>
      <c r="X503" s="13">
        <f t="shared" si="1"/>
        <v>4.415513474144217E-2</v>
      </c>
      <c r="Y503" s="13">
        <f t="shared" si="2"/>
        <v>5.1268637195919453E-2</v>
      </c>
      <c r="Z503" s="13">
        <f t="shared" si="3"/>
        <v>5.0593016504934862E-2</v>
      </c>
      <c r="AA503" s="13">
        <f t="shared" si="4"/>
        <v>4.8235572748085653E-2</v>
      </c>
    </row>
    <row r="504" spans="1:27" ht="15" x14ac:dyDescent="0.25">
      <c r="A504" s="4">
        <v>260128</v>
      </c>
      <c r="B504" s="20" t="s">
        <v>125</v>
      </c>
      <c r="C504" s="10" t="s">
        <v>23</v>
      </c>
      <c r="D504" s="10" t="s">
        <v>65</v>
      </c>
      <c r="E504" s="10" t="s">
        <v>25</v>
      </c>
      <c r="F504" s="38">
        <v>4.7871270533020427</v>
      </c>
      <c r="G504" s="49">
        <v>3676</v>
      </c>
      <c r="H504" s="49">
        <v>3680</v>
      </c>
      <c r="I504" s="49">
        <v>3615</v>
      </c>
      <c r="J504" s="49">
        <v>3488</v>
      </c>
      <c r="K504" s="49">
        <v>3406</v>
      </c>
      <c r="L504" s="49">
        <v>3178</v>
      </c>
      <c r="M504" s="49">
        <v>3243</v>
      </c>
      <c r="N504" s="49">
        <v>3173</v>
      </c>
      <c r="O504" s="49">
        <v>2994</v>
      </c>
      <c r="P504" s="49">
        <v>2975</v>
      </c>
      <c r="Q504" s="49">
        <v>3251</v>
      </c>
      <c r="R504" s="49">
        <v>3391</v>
      </c>
      <c r="S504" s="49">
        <v>3501</v>
      </c>
      <c r="T504" s="49">
        <v>3452</v>
      </c>
      <c r="U504" s="49">
        <v>3862</v>
      </c>
      <c r="V504" s="49">
        <v>4100</v>
      </c>
      <c r="W504" s="52">
        <v>4215</v>
      </c>
      <c r="X504" s="13">
        <f t="shared" si="1"/>
        <v>3.6362250343040081E-2</v>
      </c>
      <c r="Y504" s="13">
        <f t="shared" si="2"/>
        <v>4.4942993747701276E-2</v>
      </c>
      <c r="Z504" s="13">
        <f t="shared" si="3"/>
        <v>4.990848937068848E-2</v>
      </c>
      <c r="AA504" s="13">
        <f t="shared" si="4"/>
        <v>4.7871270533020427E-2</v>
      </c>
    </row>
    <row r="505" spans="1:27" ht="15" x14ac:dyDescent="0.25">
      <c r="A505" s="4">
        <v>260128</v>
      </c>
      <c r="B505" s="20" t="s">
        <v>104</v>
      </c>
      <c r="C505" s="10" t="s">
        <v>23</v>
      </c>
      <c r="D505" s="10" t="s">
        <v>29</v>
      </c>
      <c r="E505" s="10" t="s">
        <v>25</v>
      </c>
      <c r="F505" s="38">
        <v>4.7129306040938568</v>
      </c>
      <c r="G505" s="49">
        <v>54.56</v>
      </c>
      <c r="H505" s="49">
        <v>55.71</v>
      </c>
      <c r="I505" s="49">
        <v>55.16</v>
      </c>
      <c r="J505" s="49">
        <v>54.63</v>
      </c>
      <c r="K505" s="49">
        <v>47.52</v>
      </c>
      <c r="L505" s="49">
        <v>46.15</v>
      </c>
      <c r="M505" s="49">
        <v>39.24</v>
      </c>
      <c r="N505" s="49">
        <v>-157.93</v>
      </c>
      <c r="O505" s="50">
        <v>30.58</v>
      </c>
      <c r="P505" s="49">
        <v>45.66</v>
      </c>
      <c r="Q505" s="49">
        <v>43.56</v>
      </c>
      <c r="R505" s="49">
        <v>46.25</v>
      </c>
      <c r="S505" s="49">
        <v>46.25</v>
      </c>
      <c r="T505" s="49">
        <v>48.79</v>
      </c>
      <c r="U505" s="49">
        <v>51.2</v>
      </c>
      <c r="V505" s="49">
        <v>54.06</v>
      </c>
      <c r="W505" s="52">
        <v>55.69</v>
      </c>
      <c r="X505" s="13">
        <f t="shared" si="1"/>
        <v>1.7224301122606089E-2</v>
      </c>
      <c r="Y505" s="13">
        <f t="shared" si="2"/>
        <v>4.1330808763862636E-2</v>
      </c>
      <c r="Z505" s="13">
        <f t="shared" si="3"/>
        <v>4.057353628759941E-2</v>
      </c>
      <c r="AA505" s="13">
        <f t="shared" si="4"/>
        <v>4.7129306040938568E-2</v>
      </c>
    </row>
    <row r="506" spans="1:27" customFormat="1" hidden="1" x14ac:dyDescent="0.3">
      <c r="B506" s="10" t="s">
        <v>62</v>
      </c>
      <c r="C506" s="10" t="s">
        <v>23</v>
      </c>
      <c r="D506" s="10" t="s">
        <v>63</v>
      </c>
      <c r="E506" s="10" t="s">
        <v>35</v>
      </c>
      <c r="F506" s="10">
        <v>-1.158886173624174</v>
      </c>
      <c r="G506" s="10">
        <v>687.55</v>
      </c>
      <c r="H506" s="10">
        <v>0</v>
      </c>
      <c r="I506" s="10">
        <v>871.37</v>
      </c>
      <c r="J506" s="10">
        <v>1196</v>
      </c>
      <c r="K506" s="11">
        <v>1166</v>
      </c>
      <c r="L506" s="11">
        <v>986.12</v>
      </c>
      <c r="M506" s="10">
        <v>839.97</v>
      </c>
      <c r="N506" s="10">
        <v>812.85</v>
      </c>
      <c r="O506" s="10">
        <v>953.77</v>
      </c>
      <c r="P506" s="10">
        <v>842.27</v>
      </c>
      <c r="Q506" s="10">
        <v>794.85</v>
      </c>
      <c r="R506" s="10">
        <v>801.01</v>
      </c>
      <c r="S506" s="10">
        <v>753.17</v>
      </c>
      <c r="T506" s="10">
        <v>669.57</v>
      </c>
      <c r="U506" s="10">
        <v>663.27</v>
      </c>
      <c r="V506" s="10">
        <v>692.52</v>
      </c>
      <c r="W506" s="16">
        <v>720.97</v>
      </c>
      <c r="X506" s="13">
        <f t="shared" si="1"/>
        <v>-5.4115877542067481E-2</v>
      </c>
      <c r="Y506" s="13">
        <f t="shared" si="2"/>
        <v>-4.3589743589743657E-2</v>
      </c>
      <c r="Z506" s="13">
        <f t="shared" si="3"/>
        <v>-3.75785411947267E-2</v>
      </c>
      <c r="AA506" s="13">
        <f t="shared" si="4"/>
        <v>-1.1588861736241962E-2</v>
      </c>
    </row>
    <row r="507" spans="1:27" customFormat="1" hidden="1" x14ac:dyDescent="0.3">
      <c r="B507" s="10" t="s">
        <v>64</v>
      </c>
      <c r="C507" s="10" t="s">
        <v>23</v>
      </c>
      <c r="D507" s="10" t="s">
        <v>65</v>
      </c>
      <c r="E507" s="10" t="s">
        <v>66</v>
      </c>
      <c r="F507" s="10">
        <v>0.1739005140002359</v>
      </c>
      <c r="G507" s="10">
        <v>843.24</v>
      </c>
      <c r="H507" s="10">
        <v>817.46</v>
      </c>
      <c r="I507" s="10">
        <v>888.72</v>
      </c>
      <c r="J507" s="10">
        <v>981.34</v>
      </c>
      <c r="K507" s="10">
        <v>1124</v>
      </c>
      <c r="L507" s="10">
        <v>1094</v>
      </c>
      <c r="M507" s="10">
        <v>1071</v>
      </c>
      <c r="N507" s="10">
        <v>1022</v>
      </c>
      <c r="O507" s="10">
        <v>1024</v>
      </c>
      <c r="P507" s="10">
        <v>982.61</v>
      </c>
      <c r="Q507" s="10">
        <v>966.9</v>
      </c>
      <c r="R507" s="10">
        <v>960.75</v>
      </c>
      <c r="S507" s="10">
        <v>1051</v>
      </c>
      <c r="T507" s="10">
        <v>976.12</v>
      </c>
      <c r="U507" s="10">
        <v>980.17</v>
      </c>
      <c r="V507" s="10">
        <v>1018</v>
      </c>
      <c r="W507" s="16">
        <v>1058</v>
      </c>
      <c r="X507" s="13">
        <f t="shared" si="1"/>
        <v>-1.6383675901102679E-3</v>
      </c>
      <c r="Y507" s="13">
        <f t="shared" si="2"/>
        <v>3.3554416565311218E-3</v>
      </c>
      <c r="Z507" s="13">
        <f t="shared" si="3"/>
        <v>1.4427777945786868E-2</v>
      </c>
      <c r="AA507" s="13">
        <f t="shared" si="4"/>
        <v>1.7390051400023587E-3</v>
      </c>
    </row>
    <row r="508" spans="1:27" ht="15" x14ac:dyDescent="0.25">
      <c r="A508" s="4">
        <v>260128</v>
      </c>
      <c r="B508" s="20" t="s">
        <v>165</v>
      </c>
      <c r="C508" s="10" t="s">
        <v>23</v>
      </c>
      <c r="D508" s="10" t="s">
        <v>166</v>
      </c>
      <c r="E508" s="10" t="s">
        <v>25</v>
      </c>
      <c r="F508" s="38">
        <v>4.4798335045707294</v>
      </c>
      <c r="G508" s="49">
        <v>546.55999999999995</v>
      </c>
      <c r="H508" s="49">
        <v>701.72</v>
      </c>
      <c r="I508" s="49">
        <v>502.62</v>
      </c>
      <c r="J508" s="49">
        <v>435.15</v>
      </c>
      <c r="K508" s="49">
        <v>658.86</v>
      </c>
      <c r="L508" s="49">
        <v>717.26</v>
      </c>
      <c r="M508" s="49">
        <v>428.7</v>
      </c>
      <c r="N508" s="49">
        <v>368.95</v>
      </c>
      <c r="O508" s="49">
        <v>525.36</v>
      </c>
      <c r="P508" s="49">
        <v>629.94000000000005</v>
      </c>
      <c r="Q508" s="49">
        <v>417.44</v>
      </c>
      <c r="R508" s="49">
        <v>372.07</v>
      </c>
      <c r="S508" s="49">
        <v>549.48</v>
      </c>
      <c r="T508" s="49">
        <v>729.95</v>
      </c>
      <c r="U508" s="49">
        <v>531.83000000000004</v>
      </c>
      <c r="V508" s="49">
        <v>466.28</v>
      </c>
      <c r="W508" s="52">
        <v>651.51</v>
      </c>
      <c r="X508" s="13">
        <f t="shared" si="1"/>
        <v>5.0794086127998517E-2</v>
      </c>
      <c r="Y508" s="13">
        <f t="shared" si="2"/>
        <v>5.5289181899909945E-2</v>
      </c>
      <c r="Z508" s="13">
        <f t="shared" si="3"/>
        <v>4.3149684197991256E-2</v>
      </c>
      <c r="AA508" s="13">
        <f t="shared" si="4"/>
        <v>4.4798335045707294E-2</v>
      </c>
    </row>
    <row r="509" spans="1:27" ht="15" x14ac:dyDescent="0.25">
      <c r="A509" s="4">
        <v>260128</v>
      </c>
      <c r="B509" s="20" t="s">
        <v>22</v>
      </c>
      <c r="C509" s="10" t="s">
        <v>23</v>
      </c>
      <c r="D509" s="10" t="s">
        <v>24</v>
      </c>
      <c r="E509" s="10" t="s">
        <v>25</v>
      </c>
      <c r="F509" s="38">
        <v>3.9620573700189339</v>
      </c>
      <c r="G509" s="49">
        <v>51728</v>
      </c>
      <c r="H509" s="49">
        <v>49360</v>
      </c>
      <c r="I509" s="49">
        <v>51865</v>
      </c>
      <c r="J509" s="49">
        <v>50122</v>
      </c>
      <c r="K509" s="49">
        <v>52747</v>
      </c>
      <c r="L509" s="49">
        <v>52857</v>
      </c>
      <c r="M509" s="49">
        <v>56189</v>
      </c>
      <c r="N509" s="49">
        <v>56517</v>
      </c>
      <c r="O509" s="49">
        <v>62020</v>
      </c>
      <c r="P509" s="49">
        <v>61858</v>
      </c>
      <c r="Q509" s="49">
        <v>64727</v>
      </c>
      <c r="R509" s="49">
        <v>65585</v>
      </c>
      <c r="S509" s="49">
        <v>69632</v>
      </c>
      <c r="T509" s="49">
        <v>70066</v>
      </c>
      <c r="U509" s="49">
        <v>76441</v>
      </c>
      <c r="V509" s="49">
        <v>77673</v>
      </c>
      <c r="W509" s="52">
        <v>81273</v>
      </c>
      <c r="X509" s="13">
        <f t="shared" si="1"/>
        <v>3.1351937723928858E-2</v>
      </c>
      <c r="Y509" s="13">
        <f t="shared" si="2"/>
        <v>4.3383578385985722E-2</v>
      </c>
      <c r="Z509" s="13">
        <f t="shared" si="3"/>
        <v>4.2907242549445446E-2</v>
      </c>
      <c r="AA509" s="13">
        <f t="shared" si="4"/>
        <v>3.9620573700189343E-2</v>
      </c>
    </row>
    <row r="510" spans="1:27" ht="15" x14ac:dyDescent="0.25">
      <c r="A510" s="4">
        <v>260128</v>
      </c>
      <c r="B510" s="20" t="s">
        <v>184</v>
      </c>
      <c r="C510" s="10" t="s">
        <v>23</v>
      </c>
      <c r="D510" s="10" t="s">
        <v>131</v>
      </c>
      <c r="E510" s="10" t="s">
        <v>185</v>
      </c>
      <c r="F510" s="38">
        <v>3.947460841469419</v>
      </c>
      <c r="G510" s="49">
        <v>3322</v>
      </c>
      <c r="H510" s="49">
        <v>3001</v>
      </c>
      <c r="I510" s="49">
        <v>3154</v>
      </c>
      <c r="J510" s="49">
        <v>3078</v>
      </c>
      <c r="K510" s="49">
        <v>3636</v>
      </c>
      <c r="L510" s="49">
        <v>3024</v>
      </c>
      <c r="M510" s="49">
        <v>3424</v>
      </c>
      <c r="N510" s="49">
        <v>3343</v>
      </c>
      <c r="O510" s="49">
        <v>0</v>
      </c>
      <c r="P510" s="49">
        <v>3135</v>
      </c>
      <c r="Q510" s="49">
        <v>3527</v>
      </c>
      <c r="R510" s="49">
        <v>3427</v>
      </c>
      <c r="S510" s="50">
        <v>3613</v>
      </c>
      <c r="T510" s="49">
        <v>3306</v>
      </c>
      <c r="U510" s="49">
        <v>3716</v>
      </c>
      <c r="V510" s="49">
        <v>3602</v>
      </c>
      <c r="W510" s="52">
        <v>4175</v>
      </c>
      <c r="X510" s="13">
        <f t="shared" ref="X510:X574" si="5">SUM(Q510:T510)/SUM(P510:S510)-1</f>
        <v>1.2479929937235346E-2</v>
      </c>
      <c r="Y510" s="13">
        <f t="shared" ref="Y510:Y574" si="6">SUM(R510:U510)/SUM(Q510:T510)-1</f>
        <v>1.3623585381676628E-2</v>
      </c>
      <c r="Z510" s="13">
        <f t="shared" ref="Z510:Z574" si="7">SUM(S510:V510)/SUM(R510:U510)-1</f>
        <v>1.2444886929313004E-2</v>
      </c>
      <c r="AA510" s="13">
        <f t="shared" ref="AA510:AA574" si="8">SUM(T510:W510)/SUM(S510:V510)-1</f>
        <v>3.947460841469419E-2</v>
      </c>
    </row>
    <row r="511" spans="1:27" customFormat="1" hidden="1" x14ac:dyDescent="0.3">
      <c r="B511" s="10" t="s">
        <v>72</v>
      </c>
      <c r="C511" s="10" t="s">
        <v>23</v>
      </c>
      <c r="D511" s="10" t="s">
        <v>54</v>
      </c>
      <c r="E511" s="10" t="s">
        <v>35</v>
      </c>
      <c r="F511" s="10">
        <v>-2.7826926170178572</v>
      </c>
      <c r="G511" s="10">
        <v>1265</v>
      </c>
      <c r="H511" s="10">
        <v>1504</v>
      </c>
      <c r="I511" s="10">
        <v>1292</v>
      </c>
      <c r="J511" s="10">
        <v>1418</v>
      </c>
      <c r="K511" s="10">
        <v>1584</v>
      </c>
      <c r="L511" s="10">
        <v>1999</v>
      </c>
      <c r="M511" s="10">
        <v>1285</v>
      </c>
      <c r="N511" s="10">
        <v>1574</v>
      </c>
      <c r="O511" s="10">
        <v>1619</v>
      </c>
      <c r="P511" s="10">
        <v>1660</v>
      </c>
      <c r="Q511" s="10">
        <v>1475</v>
      </c>
      <c r="R511" s="10">
        <v>1702</v>
      </c>
      <c r="S511" s="10">
        <v>1597</v>
      </c>
      <c r="T511" s="10">
        <v>1622</v>
      </c>
      <c r="U511" s="10">
        <v>1365</v>
      </c>
      <c r="V511" s="10">
        <v>1633</v>
      </c>
      <c r="W511" s="16">
        <v>1424</v>
      </c>
      <c r="X511" s="13">
        <f t="shared" si="5"/>
        <v>-5.9061237177494563E-3</v>
      </c>
      <c r="Y511" s="13">
        <f t="shared" si="6"/>
        <v>-1.7198248905565983E-2</v>
      </c>
      <c r="Z511" s="13">
        <f t="shared" si="7"/>
        <v>-1.0976773783009874E-2</v>
      </c>
      <c r="AA511" s="13">
        <f t="shared" si="8"/>
        <v>-2.7826926170178568E-2</v>
      </c>
    </row>
    <row r="512" spans="1:27" ht="15" x14ac:dyDescent="0.25">
      <c r="A512" s="4">
        <v>260128</v>
      </c>
      <c r="B512" s="20" t="s">
        <v>176</v>
      </c>
      <c r="C512" s="10" t="s">
        <v>23</v>
      </c>
      <c r="D512" s="10" t="s">
        <v>177</v>
      </c>
      <c r="E512" s="10" t="s">
        <v>25</v>
      </c>
      <c r="F512" s="38">
        <v>3.6946277097078322</v>
      </c>
      <c r="G512" s="49">
        <v>1300</v>
      </c>
      <c r="H512" s="49">
        <v>1108</v>
      </c>
      <c r="I512" s="49">
        <v>1095</v>
      </c>
      <c r="J512" s="49">
        <v>1039</v>
      </c>
      <c r="K512" s="49">
        <v>1116</v>
      </c>
      <c r="L512" s="49">
        <v>1102</v>
      </c>
      <c r="M512" s="49">
        <v>1043</v>
      </c>
      <c r="N512" s="49">
        <v>1035</v>
      </c>
      <c r="O512" s="49">
        <v>1144</v>
      </c>
      <c r="P512" s="49">
        <v>1158</v>
      </c>
      <c r="Q512" s="49">
        <v>1215</v>
      </c>
      <c r="R512" s="49">
        <v>1219</v>
      </c>
      <c r="S512" s="49">
        <v>1365</v>
      </c>
      <c r="T512" s="49">
        <v>1243</v>
      </c>
      <c r="U512" s="49">
        <v>1276</v>
      </c>
      <c r="V512" s="49">
        <v>1421</v>
      </c>
      <c r="W512" s="52">
        <v>1561</v>
      </c>
      <c r="X512" s="13">
        <f t="shared" si="5"/>
        <v>1.7147468226750062E-2</v>
      </c>
      <c r="Y512" s="13">
        <f t="shared" si="6"/>
        <v>1.2098373661245443E-2</v>
      </c>
      <c r="Z512" s="13">
        <f t="shared" si="7"/>
        <v>3.9584558103076706E-2</v>
      </c>
      <c r="AA512" s="13">
        <f t="shared" si="8"/>
        <v>3.6946277097078317E-2</v>
      </c>
    </row>
    <row r="513" spans="1:27" ht="15" x14ac:dyDescent="0.25">
      <c r="A513" s="4">
        <v>260128</v>
      </c>
      <c r="B513" s="20" t="s">
        <v>114</v>
      </c>
      <c r="C513" s="10" t="s">
        <v>23</v>
      </c>
      <c r="D513" s="10" t="s">
        <v>115</v>
      </c>
      <c r="E513" s="10" t="s">
        <v>25</v>
      </c>
      <c r="F513" s="38">
        <v>3.615988909426981</v>
      </c>
      <c r="G513" s="49">
        <v>322.36</v>
      </c>
      <c r="H513" s="49">
        <v>357.2</v>
      </c>
      <c r="I513" s="49">
        <v>348.97</v>
      </c>
      <c r="J513" s="49">
        <v>348.75</v>
      </c>
      <c r="K513" s="49">
        <v>344.87</v>
      </c>
      <c r="L513" s="49">
        <v>380.27</v>
      </c>
      <c r="M513" s="49">
        <v>398.69</v>
      </c>
      <c r="N513" s="49">
        <v>389.73</v>
      </c>
      <c r="O513" s="49">
        <v>382.06</v>
      </c>
      <c r="P513" s="49">
        <v>433.81</v>
      </c>
      <c r="Q513" s="49">
        <v>447.85</v>
      </c>
      <c r="R513" s="49">
        <v>453.81</v>
      </c>
      <c r="S513" s="49">
        <v>439.97</v>
      </c>
      <c r="T513" s="49">
        <v>498.74</v>
      </c>
      <c r="U513" s="49">
        <v>536.41999999999996</v>
      </c>
      <c r="V513" s="49">
        <v>515.75</v>
      </c>
      <c r="W513" s="52">
        <v>511.96</v>
      </c>
      <c r="X513" s="13">
        <f t="shared" si="5"/>
        <v>3.6571216149236196E-2</v>
      </c>
      <c r="Y513" s="13">
        <f t="shared" si="6"/>
        <v>4.8126192015735869E-2</v>
      </c>
      <c r="Z513" s="13">
        <f t="shared" si="7"/>
        <v>3.2110900287204425E-2</v>
      </c>
      <c r="AA513" s="13">
        <f t="shared" si="8"/>
        <v>3.6159889094269815E-2</v>
      </c>
    </row>
    <row r="514" spans="1:27" customFormat="1" hidden="1" x14ac:dyDescent="0.3">
      <c r="B514" s="10" t="s">
        <v>74</v>
      </c>
      <c r="C514" s="10" t="s">
        <v>23</v>
      </c>
      <c r="D514" s="10" t="s">
        <v>32</v>
      </c>
      <c r="E514" s="10" t="s">
        <v>75</v>
      </c>
      <c r="F514" s="10">
        <v>1.25936847278536</v>
      </c>
      <c r="G514" s="10">
        <v>58.52</v>
      </c>
      <c r="H514" s="10">
        <v>56.44</v>
      </c>
      <c r="I514" s="10">
        <v>54.59</v>
      </c>
      <c r="J514" s="10">
        <v>51.99</v>
      </c>
      <c r="K514" s="10">
        <v>48.75</v>
      </c>
      <c r="L514" s="10">
        <v>52.91</v>
      </c>
      <c r="M514" s="10">
        <v>46.98</v>
      </c>
      <c r="N514" s="10">
        <v>41.22</v>
      </c>
      <c r="O514" s="10">
        <v>41.48</v>
      </c>
      <c r="P514" s="10">
        <v>42.79</v>
      </c>
      <c r="Q514" s="10">
        <v>37.950000000000003</v>
      </c>
      <c r="R514" s="10">
        <v>41.49</v>
      </c>
      <c r="S514" s="10">
        <v>42.65</v>
      </c>
      <c r="T514" s="10">
        <v>36.56</v>
      </c>
      <c r="U514" s="10">
        <v>43.59</v>
      </c>
      <c r="V514" s="10">
        <v>39.979999999999997</v>
      </c>
      <c r="W514" s="16">
        <v>44.7</v>
      </c>
      <c r="X514" s="13">
        <f t="shared" si="5"/>
        <v>-3.7785055798156386E-2</v>
      </c>
      <c r="Y514" s="13">
        <f t="shared" si="6"/>
        <v>3.554995272612671E-2</v>
      </c>
      <c r="Z514" s="13">
        <f t="shared" si="7"/>
        <v>-9.1910645809241132E-3</v>
      </c>
      <c r="AA514" s="13">
        <f t="shared" si="8"/>
        <v>1.2593684727853383E-2</v>
      </c>
    </row>
    <row r="515" spans="1:27" ht="15" x14ac:dyDescent="0.25">
      <c r="A515" s="4">
        <v>260128</v>
      </c>
      <c r="B515" s="20" t="s">
        <v>36</v>
      </c>
      <c r="C515" s="10" t="s">
        <v>23</v>
      </c>
      <c r="D515" s="10" t="s">
        <v>37</v>
      </c>
      <c r="E515" s="10" t="s">
        <v>25</v>
      </c>
      <c r="F515" s="38">
        <v>3.2655445678678059</v>
      </c>
      <c r="G515" s="49">
        <v>280.93</v>
      </c>
      <c r="H515" s="49">
        <v>285.51</v>
      </c>
      <c r="I515" s="49">
        <v>278.2</v>
      </c>
      <c r="J515" s="49">
        <v>297.69</v>
      </c>
      <c r="K515" s="49">
        <v>318.35000000000002</v>
      </c>
      <c r="L515" s="49">
        <v>332.51</v>
      </c>
      <c r="M515" s="49">
        <v>363.91</v>
      </c>
      <c r="N515" s="49">
        <v>353.14</v>
      </c>
      <c r="O515" s="49">
        <v>296.38</v>
      </c>
      <c r="P515" s="49">
        <v>211.04</v>
      </c>
      <c r="Q515" s="49">
        <v>256.64999999999998</v>
      </c>
      <c r="R515" s="49">
        <v>269.2</v>
      </c>
      <c r="S515" s="49">
        <v>279.36</v>
      </c>
      <c r="T515" s="49">
        <v>284.51</v>
      </c>
      <c r="U515" s="49">
        <v>307</v>
      </c>
      <c r="V515" s="49">
        <v>310.25</v>
      </c>
      <c r="W515" s="52">
        <v>317.93</v>
      </c>
      <c r="X515" s="13">
        <f t="shared" si="5"/>
        <v>7.2295202952029403E-2</v>
      </c>
      <c r="Y515" s="13">
        <f t="shared" si="6"/>
        <v>4.6204529603935063E-2</v>
      </c>
      <c r="Z515" s="13">
        <f t="shared" si="7"/>
        <v>3.6006561000640369E-2</v>
      </c>
      <c r="AA515" s="13">
        <f t="shared" si="8"/>
        <v>3.2655445678678063E-2</v>
      </c>
    </row>
    <row r="516" spans="1:27" customFormat="1" hidden="1" x14ac:dyDescent="0.3">
      <c r="B516" s="10" t="s">
        <v>77</v>
      </c>
      <c r="C516" s="10" t="s">
        <v>67</v>
      </c>
      <c r="D516" s="10" t="s">
        <v>32</v>
      </c>
      <c r="E516" s="10" t="s">
        <v>35</v>
      </c>
      <c r="F516" s="10">
        <v>-6.8136991213918474E-2</v>
      </c>
      <c r="G516" s="10">
        <v>15953</v>
      </c>
      <c r="H516" s="10">
        <v>13252</v>
      </c>
      <c r="I516" s="10">
        <v>17979</v>
      </c>
      <c r="J516" s="10">
        <v>10681</v>
      </c>
      <c r="K516" s="10">
        <v>16411</v>
      </c>
      <c r="L516" s="10">
        <v>12789</v>
      </c>
      <c r="M516" s="10">
        <v>20797</v>
      </c>
      <c r="N516" s="10">
        <v>10606</v>
      </c>
      <c r="O516" s="10">
        <v>15789</v>
      </c>
      <c r="P516" s="10">
        <v>12333</v>
      </c>
      <c r="Q516" s="10">
        <v>14401</v>
      </c>
      <c r="R516" s="10">
        <v>12746</v>
      </c>
      <c r="S516" s="10">
        <v>15333</v>
      </c>
      <c r="T516" s="10">
        <v>13296</v>
      </c>
      <c r="U516" s="10">
        <v>17931</v>
      </c>
      <c r="V516" s="10">
        <v>9210</v>
      </c>
      <c r="W516" s="16">
        <v>15295</v>
      </c>
      <c r="X516" s="13">
        <f t="shared" si="5"/>
        <v>1.7568824913797743E-2</v>
      </c>
      <c r="Y516" s="13">
        <f t="shared" si="6"/>
        <v>6.3288869764773326E-2</v>
      </c>
      <c r="Z516" s="13">
        <f t="shared" si="7"/>
        <v>-5.9622972380534822E-2</v>
      </c>
      <c r="AA516" s="13">
        <f t="shared" si="8"/>
        <v>-6.8136991213918474E-4</v>
      </c>
    </row>
    <row r="517" spans="1:27" ht="15" x14ac:dyDescent="0.25">
      <c r="A517" s="4">
        <v>260128</v>
      </c>
      <c r="B517" s="20" t="s">
        <v>143</v>
      </c>
      <c r="C517" s="10" t="s">
        <v>23</v>
      </c>
      <c r="D517" s="10" t="s">
        <v>144</v>
      </c>
      <c r="E517" s="10" t="s">
        <v>25</v>
      </c>
      <c r="F517" s="38">
        <v>3.2613681538790962</v>
      </c>
      <c r="G517" s="49">
        <v>16695</v>
      </c>
      <c r="H517" s="49">
        <v>14197</v>
      </c>
      <c r="I517" s="49">
        <v>15535</v>
      </c>
      <c r="J517" s="49">
        <v>14106</v>
      </c>
      <c r="K517" s="49">
        <v>16691</v>
      </c>
      <c r="L517" s="49">
        <v>14252</v>
      </c>
      <c r="M517" s="49">
        <v>15475</v>
      </c>
      <c r="N517" s="49">
        <v>14752</v>
      </c>
      <c r="O517" s="49">
        <v>17380</v>
      </c>
      <c r="P517" s="49">
        <v>14462</v>
      </c>
      <c r="Q517" s="49">
        <v>15771</v>
      </c>
      <c r="R517" s="49">
        <v>14967</v>
      </c>
      <c r="S517" s="49">
        <v>17553</v>
      </c>
      <c r="T517" s="49">
        <v>14541</v>
      </c>
      <c r="U517" s="49">
        <v>16977</v>
      </c>
      <c r="V517" s="49">
        <v>16331</v>
      </c>
      <c r="W517" s="52">
        <v>19686</v>
      </c>
      <c r="X517" s="13">
        <f t="shared" si="5"/>
        <v>1.2589039567829641E-3</v>
      </c>
      <c r="Y517" s="13">
        <f t="shared" si="6"/>
        <v>1.9194041252864835E-2</v>
      </c>
      <c r="Z517" s="13">
        <f t="shared" si="7"/>
        <v>2.1299853212155329E-2</v>
      </c>
      <c r="AA517" s="13">
        <f t="shared" si="8"/>
        <v>3.2613681538790962E-2</v>
      </c>
    </row>
    <row r="518" spans="1:27" ht="15" x14ac:dyDescent="0.25">
      <c r="A518" s="4">
        <v>260128</v>
      </c>
      <c r="B518" s="20" t="s">
        <v>183</v>
      </c>
      <c r="C518" s="10" t="s">
        <v>23</v>
      </c>
      <c r="D518" s="10" t="s">
        <v>177</v>
      </c>
      <c r="E518" s="10" t="s">
        <v>25</v>
      </c>
      <c r="F518" s="38">
        <v>3.22400835724086</v>
      </c>
      <c r="G518" s="49">
        <v>888.72</v>
      </c>
      <c r="H518" s="49">
        <v>471.09</v>
      </c>
      <c r="I518" s="49">
        <v>418.61</v>
      </c>
      <c r="J518" s="49">
        <v>489.52</v>
      </c>
      <c r="K518" s="49">
        <v>456.48</v>
      </c>
      <c r="L518" s="49">
        <v>444.75</v>
      </c>
      <c r="M518" s="49">
        <v>415.83</v>
      </c>
      <c r="N518" s="49">
        <v>466.99</v>
      </c>
      <c r="O518" s="49">
        <v>511.11</v>
      </c>
      <c r="P518" s="49">
        <v>520.38</v>
      </c>
      <c r="Q518" s="49">
        <v>513.54</v>
      </c>
      <c r="R518" s="49">
        <v>574.96</v>
      </c>
      <c r="S518" s="49">
        <v>634.36</v>
      </c>
      <c r="T518" s="49">
        <v>666.35</v>
      </c>
      <c r="U518" s="49">
        <v>605.28</v>
      </c>
      <c r="V518" s="49">
        <v>659.45</v>
      </c>
      <c r="W518" s="52">
        <v>717.07</v>
      </c>
      <c r="X518" s="13">
        <f t="shared" si="5"/>
        <v>6.5071057934059651E-2</v>
      </c>
      <c r="Y518" s="13">
        <f t="shared" si="6"/>
        <v>3.8397629341916373E-2</v>
      </c>
      <c r="Z518" s="13">
        <f t="shared" si="7"/>
        <v>3.4055502932344606E-2</v>
      </c>
      <c r="AA518" s="13">
        <f t="shared" si="8"/>
        <v>3.2240083572408595E-2</v>
      </c>
    </row>
    <row r="519" spans="1:27" customFormat="1" hidden="1" x14ac:dyDescent="0.3">
      <c r="B519" s="10" t="s">
        <v>81</v>
      </c>
      <c r="C519" s="10" t="s">
        <v>23</v>
      </c>
      <c r="D519" s="10" t="s">
        <v>69</v>
      </c>
      <c r="E519" s="10" t="s">
        <v>35</v>
      </c>
      <c r="F519" s="10">
        <v>-1.1974099502163771</v>
      </c>
      <c r="G519" s="10">
        <v>182.33</v>
      </c>
      <c r="H519" s="10">
        <v>208.09</v>
      </c>
      <c r="I519" s="10">
        <v>197.66</v>
      </c>
      <c r="J519" s="10">
        <v>229.68</v>
      </c>
      <c r="K519" s="10">
        <v>214.53</v>
      </c>
      <c r="L519" s="10">
        <v>203.16</v>
      </c>
      <c r="M519" s="10">
        <v>186.32</v>
      </c>
      <c r="N519" s="10">
        <v>187.38</v>
      </c>
      <c r="O519" s="10">
        <v>163.89</v>
      </c>
      <c r="P519" s="10">
        <v>167.28</v>
      </c>
      <c r="Q519" s="10">
        <v>146.41999999999999</v>
      </c>
      <c r="R519" s="10">
        <v>168.63</v>
      </c>
      <c r="S519" s="10">
        <v>154.34</v>
      </c>
      <c r="T519" s="10">
        <v>157.26</v>
      </c>
      <c r="U519" s="10">
        <v>142.69999999999999</v>
      </c>
      <c r="V519" s="10">
        <v>160.36000000000001</v>
      </c>
      <c r="W519" s="16">
        <v>146.97999999999999</v>
      </c>
      <c r="X519" s="13">
        <f t="shared" si="5"/>
        <v>-1.5738137496662308E-2</v>
      </c>
      <c r="Y519" s="13">
        <f t="shared" si="6"/>
        <v>-5.936328093832155E-3</v>
      </c>
      <c r="Z519" s="13">
        <f t="shared" si="7"/>
        <v>-1.3275970012681992E-2</v>
      </c>
      <c r="AA519" s="13">
        <f t="shared" si="8"/>
        <v>-1.1974099502163993E-2</v>
      </c>
    </row>
    <row r="520" spans="1:27" customFormat="1" hidden="1" x14ac:dyDescent="0.3">
      <c r="B520" s="10" t="s">
        <v>82</v>
      </c>
      <c r="C520" s="10" t="s">
        <v>67</v>
      </c>
      <c r="D520" s="10" t="s">
        <v>32</v>
      </c>
      <c r="E520" s="10" t="s">
        <v>35</v>
      </c>
      <c r="F520" s="10">
        <v>-4.9657512404811417</v>
      </c>
      <c r="G520" s="10">
        <v>28099</v>
      </c>
      <c r="H520" s="10">
        <v>24500</v>
      </c>
      <c r="I520" s="10">
        <v>29580</v>
      </c>
      <c r="J520" s="10">
        <v>26484</v>
      </c>
      <c r="K520" s="10">
        <v>32468</v>
      </c>
      <c r="L520" s="10">
        <v>29614</v>
      </c>
      <c r="M520" s="10">
        <v>34631</v>
      </c>
      <c r="N520" s="10">
        <v>34754</v>
      </c>
      <c r="O520" s="11">
        <v>47161</v>
      </c>
      <c r="P520" s="10">
        <v>27633</v>
      </c>
      <c r="Q520" s="11">
        <v>51105</v>
      </c>
      <c r="R520" s="10">
        <v>42374</v>
      </c>
      <c r="S520" s="10">
        <v>44449</v>
      </c>
      <c r="T520" s="11">
        <v>46255</v>
      </c>
      <c r="U520" s="10">
        <v>35113</v>
      </c>
      <c r="V520" s="10">
        <v>30977</v>
      </c>
      <c r="W520" s="16">
        <v>36663</v>
      </c>
      <c r="X520" s="13">
        <f t="shared" si="5"/>
        <v>0.11247818024776368</v>
      </c>
      <c r="Y520" s="13">
        <f t="shared" si="6"/>
        <v>-8.682668867376464E-2</v>
      </c>
      <c r="Z520" s="13">
        <f t="shared" si="7"/>
        <v>-6.7762246493569767E-2</v>
      </c>
      <c r="AA520" s="13">
        <f t="shared" si="8"/>
        <v>-4.9657512404811421E-2</v>
      </c>
    </row>
    <row r="521" spans="1:27" customFormat="1" hidden="1" x14ac:dyDescent="0.3">
      <c r="B521" s="10" t="s">
        <v>83</v>
      </c>
      <c r="C521" s="10" t="s">
        <v>67</v>
      </c>
      <c r="D521" s="10" t="s">
        <v>32</v>
      </c>
      <c r="E521" s="10" t="s">
        <v>35</v>
      </c>
      <c r="F521" s="10">
        <v>-0.69530075836730099</v>
      </c>
      <c r="G521" s="10">
        <v>77280</v>
      </c>
      <c r="H521" s="10">
        <v>67815</v>
      </c>
      <c r="I521" s="10">
        <v>82701</v>
      </c>
      <c r="J521" s="10">
        <v>91060</v>
      </c>
      <c r="K521" s="10">
        <v>91778</v>
      </c>
      <c r="L521" s="10">
        <v>88494</v>
      </c>
      <c r="M521" s="10">
        <v>84383</v>
      </c>
      <c r="N521" s="10">
        <v>76625</v>
      </c>
      <c r="O521" s="10">
        <v>78913</v>
      </c>
      <c r="P521" s="10">
        <v>81953</v>
      </c>
      <c r="Q521" s="10">
        <v>83491</v>
      </c>
      <c r="R521" s="10">
        <v>78290</v>
      </c>
      <c r="S521" s="10">
        <v>82747</v>
      </c>
      <c r="T521" s="10">
        <v>79362</v>
      </c>
      <c r="U521" s="10">
        <v>82450</v>
      </c>
      <c r="V521" s="10">
        <v>74152</v>
      </c>
      <c r="W521" s="16">
        <v>80531</v>
      </c>
      <c r="X521" s="13">
        <f t="shared" si="5"/>
        <v>-7.9361432977722579E-3</v>
      </c>
      <c r="Y521" s="13">
        <f t="shared" si="6"/>
        <v>-3.214054154188184E-3</v>
      </c>
      <c r="Z521" s="13">
        <f t="shared" si="7"/>
        <v>-1.2817137423377534E-2</v>
      </c>
      <c r="AA521" s="13">
        <f t="shared" si="8"/>
        <v>-6.9530075836730099E-3</v>
      </c>
    </row>
    <row r="522" spans="1:27" customFormat="1" hidden="1" x14ac:dyDescent="0.3">
      <c r="B522" s="10" t="s">
        <v>84</v>
      </c>
      <c r="C522" s="10" t="s">
        <v>31</v>
      </c>
      <c r="D522" s="10" t="s">
        <v>32</v>
      </c>
      <c r="E522" s="10" t="s">
        <v>35</v>
      </c>
      <c r="F522" s="10">
        <v>4.8324742268041287</v>
      </c>
      <c r="G522" s="10">
        <v>4542</v>
      </c>
      <c r="H522" s="10">
        <v>4497</v>
      </c>
      <c r="I522" s="10">
        <v>4634</v>
      </c>
      <c r="J522" s="10">
        <v>4706</v>
      </c>
      <c r="K522" s="10">
        <v>5180</v>
      </c>
      <c r="L522" s="10">
        <v>5035</v>
      </c>
      <c r="M522" s="10">
        <v>5338</v>
      </c>
      <c r="N522" s="10">
        <v>5152</v>
      </c>
      <c r="O522" s="10">
        <v>6036</v>
      </c>
      <c r="P522" s="10">
        <v>5634</v>
      </c>
      <c r="Q522" s="10">
        <v>6241</v>
      </c>
      <c r="R522" s="10">
        <v>6047</v>
      </c>
      <c r="S522" s="10">
        <v>6808</v>
      </c>
      <c r="T522" s="10">
        <v>6020</v>
      </c>
      <c r="U522" s="10">
        <v>6818</v>
      </c>
      <c r="V522" s="10">
        <v>6738</v>
      </c>
      <c r="W522" s="16">
        <v>8083</v>
      </c>
      <c r="X522" s="13">
        <f t="shared" si="5"/>
        <v>1.5608572583906133E-2</v>
      </c>
      <c r="Y522" s="13">
        <f t="shared" si="6"/>
        <v>2.2973403408186099E-2</v>
      </c>
      <c r="Z522" s="13">
        <f t="shared" si="7"/>
        <v>2.6894484879149916E-2</v>
      </c>
      <c r="AA522" s="13">
        <f t="shared" si="8"/>
        <v>4.8324742268041287E-2</v>
      </c>
    </row>
    <row r="523" spans="1:27" customFormat="1" hidden="1" x14ac:dyDescent="0.3">
      <c r="B523" s="10" t="s">
        <v>85</v>
      </c>
      <c r="C523" s="10" t="s">
        <v>31</v>
      </c>
      <c r="D523" s="10" t="s">
        <v>32</v>
      </c>
      <c r="E523" s="10" t="s">
        <v>35</v>
      </c>
      <c r="F523" s="10">
        <v>4.3914550250866444</v>
      </c>
      <c r="G523" s="10">
        <v>2632</v>
      </c>
      <c r="H523" s="10">
        <v>3150</v>
      </c>
      <c r="I523" s="10">
        <v>3872</v>
      </c>
      <c r="J523" s="10">
        <v>2701</v>
      </c>
      <c r="K523" s="10">
        <v>3176</v>
      </c>
      <c r="L523" s="10">
        <v>3575</v>
      </c>
      <c r="M523" s="10">
        <v>4421</v>
      </c>
      <c r="N523" s="10">
        <v>3222</v>
      </c>
      <c r="O523" s="10">
        <v>3814</v>
      </c>
      <c r="P523" s="10">
        <v>4085</v>
      </c>
      <c r="Q523" s="10">
        <v>5069</v>
      </c>
      <c r="R523" s="10">
        <v>4282</v>
      </c>
      <c r="S523" s="10">
        <v>3977</v>
      </c>
      <c r="T523" s="10">
        <v>4835</v>
      </c>
      <c r="U523" s="10">
        <v>6285</v>
      </c>
      <c r="V523" s="10">
        <v>4236</v>
      </c>
      <c r="W523" s="16">
        <v>4826</v>
      </c>
      <c r="X523" s="13">
        <f t="shared" si="5"/>
        <v>4.3071268592431045E-2</v>
      </c>
      <c r="Y523" s="13">
        <f t="shared" si="6"/>
        <v>6.6949292517755943E-2</v>
      </c>
      <c r="Z523" s="13">
        <f t="shared" si="7"/>
        <v>-2.3737034934723233E-3</v>
      </c>
      <c r="AA523" s="13">
        <f t="shared" si="8"/>
        <v>4.3914550250866435E-2</v>
      </c>
    </row>
    <row r="524" spans="1:27" ht="15" x14ac:dyDescent="0.25">
      <c r="A524" s="4">
        <v>260128</v>
      </c>
      <c r="B524" s="20" t="s">
        <v>169</v>
      </c>
      <c r="C524" s="10" t="s">
        <v>23</v>
      </c>
      <c r="D524" s="10" t="s">
        <v>52</v>
      </c>
      <c r="E524" s="10" t="s">
        <v>170</v>
      </c>
      <c r="F524" s="38">
        <v>3.0473135525260542</v>
      </c>
      <c r="G524" s="49">
        <v>658.32</v>
      </c>
      <c r="H524" s="49">
        <v>614.09</v>
      </c>
      <c r="I524" s="49">
        <v>524.02</v>
      </c>
      <c r="J524" s="49">
        <v>744.82</v>
      </c>
      <c r="K524" s="49">
        <v>638.21</v>
      </c>
      <c r="L524" s="49">
        <v>754.15</v>
      </c>
      <c r="M524" s="50">
        <v>860.57</v>
      </c>
      <c r="N524" s="50">
        <v>1100</v>
      </c>
      <c r="O524" s="49">
        <v>869.6</v>
      </c>
      <c r="P524" s="50">
        <v>1207</v>
      </c>
      <c r="Q524" s="49">
        <v>1137</v>
      </c>
      <c r="R524" s="49">
        <v>1435</v>
      </c>
      <c r="S524" s="49">
        <v>1039</v>
      </c>
      <c r="T524" s="49">
        <v>1183</v>
      </c>
      <c r="U524" s="49">
        <v>1243</v>
      </c>
      <c r="V524" s="49">
        <v>1523</v>
      </c>
      <c r="W524" s="52">
        <v>1191</v>
      </c>
      <c r="X524" s="13">
        <f t="shared" si="5"/>
        <v>-4.9813200498132204E-3</v>
      </c>
      <c r="Y524" s="13">
        <f t="shared" si="6"/>
        <v>2.2110972048393851E-2</v>
      </c>
      <c r="Z524" s="13">
        <f t="shared" si="7"/>
        <v>1.7959183673469381E-2</v>
      </c>
      <c r="AA524" s="13">
        <f t="shared" si="8"/>
        <v>3.0473135525260542E-2</v>
      </c>
    </row>
    <row r="525" spans="1:27" customFormat="1" hidden="1" x14ac:dyDescent="0.3">
      <c r="B525" s="10" t="s">
        <v>87</v>
      </c>
      <c r="C525" s="10" t="s">
        <v>31</v>
      </c>
      <c r="D525" s="10" t="s">
        <v>32</v>
      </c>
      <c r="E525" s="10" t="s">
        <v>35</v>
      </c>
      <c r="F525" s="10">
        <v>5.8255312825085559</v>
      </c>
      <c r="G525" s="10">
        <v>775.68</v>
      </c>
      <c r="H525" s="10">
        <v>887.76</v>
      </c>
      <c r="I525" s="10">
        <v>931.41</v>
      </c>
      <c r="J525" s="10">
        <v>827.8</v>
      </c>
      <c r="K525" s="10">
        <v>878.87</v>
      </c>
      <c r="L525" s="10">
        <v>972.08</v>
      </c>
      <c r="M525" s="10">
        <v>958.65</v>
      </c>
      <c r="N525" s="10">
        <v>860.7</v>
      </c>
      <c r="O525" s="11">
        <v>3143</v>
      </c>
      <c r="P525" s="10">
        <v>1386</v>
      </c>
      <c r="Q525" s="10">
        <v>1453</v>
      </c>
      <c r="R525" s="10">
        <v>1412</v>
      </c>
      <c r="S525" s="10">
        <v>1542</v>
      </c>
      <c r="T525" s="10">
        <v>1762</v>
      </c>
      <c r="U525" s="10">
        <v>1695</v>
      </c>
      <c r="V525" s="10">
        <v>1730</v>
      </c>
      <c r="W525" s="16">
        <v>1934</v>
      </c>
      <c r="X525" s="13">
        <f t="shared" si="5"/>
        <v>6.4905920939064332E-2</v>
      </c>
      <c r="Y525" s="13">
        <f t="shared" si="6"/>
        <v>3.9228400064840407E-2</v>
      </c>
      <c r="Z525" s="13">
        <f t="shared" si="7"/>
        <v>4.9602246139447859E-2</v>
      </c>
      <c r="AA525" s="13">
        <f t="shared" si="8"/>
        <v>5.8255312825085559E-2</v>
      </c>
    </row>
    <row r="526" spans="1:27" ht="15" x14ac:dyDescent="0.25">
      <c r="A526" s="4">
        <v>260128</v>
      </c>
      <c r="B526" s="20" t="s">
        <v>51</v>
      </c>
      <c r="C526" s="10" t="s">
        <v>23</v>
      </c>
      <c r="D526" s="10" t="s">
        <v>52</v>
      </c>
      <c r="E526" s="10" t="s">
        <v>25</v>
      </c>
      <c r="F526" s="38">
        <v>3.03623737855867</v>
      </c>
      <c r="G526" s="49">
        <v>367.84</v>
      </c>
      <c r="H526" s="49">
        <v>364.28</v>
      </c>
      <c r="I526" s="49">
        <v>360.65</v>
      </c>
      <c r="J526" s="49">
        <v>354.27</v>
      </c>
      <c r="K526" s="49">
        <v>362.83</v>
      </c>
      <c r="L526" s="49">
        <v>369.08</v>
      </c>
      <c r="M526" s="49">
        <v>364.64</v>
      </c>
      <c r="N526" s="49">
        <v>368.85</v>
      </c>
      <c r="O526" s="49">
        <v>393.24</v>
      </c>
      <c r="P526" s="49">
        <v>412.66</v>
      </c>
      <c r="Q526" s="49">
        <v>409.91</v>
      </c>
      <c r="R526" s="49">
        <v>417.4</v>
      </c>
      <c r="S526" s="49">
        <v>447.73</v>
      </c>
      <c r="T526" s="49">
        <v>466.06</v>
      </c>
      <c r="U526" s="49">
        <v>457.11</v>
      </c>
      <c r="V526" s="49">
        <v>462.29</v>
      </c>
      <c r="W526" s="52">
        <v>503.39</v>
      </c>
      <c r="X526" s="13">
        <f t="shared" si="5"/>
        <v>3.1640694436214867E-2</v>
      </c>
      <c r="Y526" s="13">
        <f t="shared" si="6"/>
        <v>2.7109298719200758E-2</v>
      </c>
      <c r="Z526" s="13">
        <f t="shared" si="7"/>
        <v>2.510205222837314E-2</v>
      </c>
      <c r="AA526" s="13">
        <f t="shared" si="8"/>
        <v>3.0362373785586705E-2</v>
      </c>
    </row>
    <row r="527" spans="1:27" ht="15" x14ac:dyDescent="0.25">
      <c r="A527" s="4">
        <v>260128</v>
      </c>
      <c r="B527" s="20" t="s">
        <v>38</v>
      </c>
      <c r="C527" s="10" t="s">
        <v>23</v>
      </c>
      <c r="D527" s="10" t="s">
        <v>29</v>
      </c>
      <c r="E527" s="10" t="s">
        <v>25</v>
      </c>
      <c r="F527" s="38">
        <v>2.9797313458170378</v>
      </c>
      <c r="G527" s="49">
        <v>281.38</v>
      </c>
      <c r="H527" s="49">
        <v>299.97000000000003</v>
      </c>
      <c r="I527" s="49">
        <v>340.99</v>
      </c>
      <c r="J527" s="49">
        <v>324.45999999999998</v>
      </c>
      <c r="K527" s="49">
        <v>301.45999999999998</v>
      </c>
      <c r="L527" s="49">
        <v>301.39999999999998</v>
      </c>
      <c r="M527" s="49">
        <v>300.3</v>
      </c>
      <c r="N527" s="49">
        <v>271.26</v>
      </c>
      <c r="O527" s="49">
        <v>262.45</v>
      </c>
      <c r="P527" s="49">
        <v>265.14999999999998</v>
      </c>
      <c r="Q527" s="49">
        <v>278.35000000000002</v>
      </c>
      <c r="R527" s="49">
        <v>302.02</v>
      </c>
      <c r="S527" s="49">
        <v>315.41000000000003</v>
      </c>
      <c r="T527" s="49">
        <v>299.81</v>
      </c>
      <c r="U527" s="49">
        <v>331.28</v>
      </c>
      <c r="V527" s="49">
        <v>349.59</v>
      </c>
      <c r="W527" s="52">
        <v>354.03</v>
      </c>
      <c r="X527" s="13">
        <f t="shared" si="5"/>
        <v>2.9855374570387339E-2</v>
      </c>
      <c r="Y527" s="13">
        <f t="shared" si="6"/>
        <v>4.4271029366254266E-2</v>
      </c>
      <c r="Z527" s="13">
        <f t="shared" si="7"/>
        <v>3.8101111716271951E-2</v>
      </c>
      <c r="AA527" s="13">
        <f t="shared" si="8"/>
        <v>2.979731345817016E-2</v>
      </c>
    </row>
    <row r="528" spans="1:27" customFormat="1" hidden="1" x14ac:dyDescent="0.3">
      <c r="B528" s="10" t="s">
        <v>90</v>
      </c>
      <c r="C528" s="10" t="s">
        <v>67</v>
      </c>
      <c r="D528" s="10" t="s">
        <v>32</v>
      </c>
      <c r="E528" s="10" t="s">
        <v>35</v>
      </c>
      <c r="F528" s="10">
        <v>4.5010767742728497</v>
      </c>
      <c r="G528" s="10">
        <v>23548</v>
      </c>
      <c r="H528" s="10">
        <v>27115</v>
      </c>
      <c r="I528" s="10">
        <v>68960</v>
      </c>
      <c r="J528" s="10">
        <v>19918</v>
      </c>
      <c r="K528" s="10">
        <v>26812</v>
      </c>
      <c r="L528" s="10">
        <v>31018</v>
      </c>
      <c r="M528" s="10">
        <v>72968</v>
      </c>
      <c r="N528" s="10">
        <v>21161</v>
      </c>
      <c r="O528" s="10">
        <v>31850</v>
      </c>
      <c r="P528" s="10">
        <v>37719</v>
      </c>
      <c r="Q528" s="10">
        <v>74831</v>
      </c>
      <c r="R528" s="10">
        <v>25015</v>
      </c>
      <c r="S528" s="10">
        <v>34180</v>
      </c>
      <c r="T528" s="10">
        <v>39261</v>
      </c>
      <c r="U528" s="10">
        <v>80638</v>
      </c>
      <c r="V528" s="10">
        <v>33054</v>
      </c>
      <c r="W528" s="16">
        <v>42603</v>
      </c>
      <c r="X528" s="13">
        <f t="shared" si="5"/>
        <v>8.9784273195725461E-3</v>
      </c>
      <c r="Y528" s="13">
        <f t="shared" si="6"/>
        <v>3.3510880793135023E-2</v>
      </c>
      <c r="Z528" s="13">
        <f t="shared" si="7"/>
        <v>4.4887042558656276E-2</v>
      </c>
      <c r="AA528" s="13">
        <f t="shared" si="8"/>
        <v>4.5010767742728497E-2</v>
      </c>
    </row>
    <row r="529" spans="1:27" customFormat="1" hidden="1" x14ac:dyDescent="0.3">
      <c r="B529" s="10" t="s">
        <v>91</v>
      </c>
      <c r="C529" s="10" t="s">
        <v>67</v>
      </c>
      <c r="D529" s="10" t="s">
        <v>32</v>
      </c>
      <c r="E529" s="10" t="s">
        <v>35</v>
      </c>
      <c r="F529" s="10">
        <v>2.7610855818703151</v>
      </c>
      <c r="G529" s="10">
        <v>15968</v>
      </c>
      <c r="H529" s="10">
        <v>17212</v>
      </c>
      <c r="I529" s="10">
        <v>16383</v>
      </c>
      <c r="J529" s="10">
        <v>18697</v>
      </c>
      <c r="K529" s="10">
        <v>18068</v>
      </c>
      <c r="L529" s="10">
        <v>20207</v>
      </c>
      <c r="M529" s="10">
        <v>20172</v>
      </c>
      <c r="N529" s="10">
        <v>18431</v>
      </c>
      <c r="O529" s="10">
        <v>19101</v>
      </c>
      <c r="P529" s="10">
        <v>18967</v>
      </c>
      <c r="Q529" s="10">
        <v>18750</v>
      </c>
      <c r="R529" s="10">
        <v>19068</v>
      </c>
      <c r="S529" s="10">
        <v>18808</v>
      </c>
      <c r="T529" s="10">
        <v>19306</v>
      </c>
      <c r="U529" s="10">
        <v>17523</v>
      </c>
      <c r="V529" s="10">
        <v>20746</v>
      </c>
      <c r="W529" s="16">
        <v>20917</v>
      </c>
      <c r="X529" s="13">
        <f t="shared" si="5"/>
        <v>4.4845422195176621E-3</v>
      </c>
      <c r="Y529" s="13">
        <f t="shared" si="6"/>
        <v>-1.6159195069272547E-2</v>
      </c>
      <c r="Z529" s="13">
        <f t="shared" si="7"/>
        <v>2.2461682618298617E-2</v>
      </c>
      <c r="AA529" s="13">
        <f t="shared" si="8"/>
        <v>2.7610855818703151E-2</v>
      </c>
    </row>
    <row r="530" spans="1:27" ht="15" x14ac:dyDescent="0.25">
      <c r="A530" s="4">
        <v>260128</v>
      </c>
      <c r="B530" s="20" t="s">
        <v>60</v>
      </c>
      <c r="C530" s="10" t="s">
        <v>23</v>
      </c>
      <c r="D530" s="10" t="s">
        <v>61</v>
      </c>
      <c r="E530" s="10" t="s">
        <v>59</v>
      </c>
      <c r="F530" s="38">
        <v>2.9162036008001819</v>
      </c>
      <c r="G530" s="49">
        <v>5865</v>
      </c>
      <c r="H530" s="49">
        <v>6488</v>
      </c>
      <c r="I530" s="49">
        <v>6373</v>
      </c>
      <c r="J530" s="49">
        <v>6750</v>
      </c>
      <c r="K530" s="49">
        <v>6718</v>
      </c>
      <c r="L530" s="49">
        <v>6515</v>
      </c>
      <c r="M530" s="49">
        <v>6555</v>
      </c>
      <c r="N530" s="49">
        <v>6336</v>
      </c>
      <c r="O530" s="49">
        <v>6205</v>
      </c>
      <c r="P530" s="49">
        <v>5654</v>
      </c>
      <c r="Q530" s="49">
        <v>5563</v>
      </c>
      <c r="R530" s="49">
        <v>5604</v>
      </c>
      <c r="S530" s="49">
        <v>5663</v>
      </c>
      <c r="T530" s="49">
        <v>5315</v>
      </c>
      <c r="U530" s="49">
        <v>5618</v>
      </c>
      <c r="V530" s="49">
        <v>5899</v>
      </c>
      <c r="W530" s="52">
        <v>6319</v>
      </c>
      <c r="X530" s="13">
        <f t="shared" si="5"/>
        <v>-1.5077388365059563E-2</v>
      </c>
      <c r="Y530" s="13">
        <f t="shared" si="6"/>
        <v>2.4836306163920074E-3</v>
      </c>
      <c r="Z530" s="13">
        <f t="shared" si="7"/>
        <v>1.3288288288288319E-2</v>
      </c>
      <c r="AA530" s="13">
        <f t="shared" si="8"/>
        <v>2.9162036008001824E-2</v>
      </c>
    </row>
    <row r="531" spans="1:27" customFormat="1" hidden="1" x14ac:dyDescent="0.3">
      <c r="B531" s="10" t="s">
        <v>94</v>
      </c>
      <c r="C531" s="10" t="s">
        <v>23</v>
      </c>
      <c r="D531" s="10" t="s">
        <v>95</v>
      </c>
      <c r="E531" s="10" t="s">
        <v>96</v>
      </c>
      <c r="F531" s="10">
        <v>1.5267175572519109</v>
      </c>
      <c r="G531" s="10">
        <v>0.27</v>
      </c>
      <c r="H531" s="10">
        <v>0.81</v>
      </c>
      <c r="I531" s="10">
        <v>0.34</v>
      </c>
      <c r="J531" s="10">
        <v>0.89</v>
      </c>
      <c r="K531" s="10">
        <v>0.4</v>
      </c>
      <c r="L531" s="10">
        <v>0.93</v>
      </c>
      <c r="M531" s="10">
        <v>0.51</v>
      </c>
      <c r="N531" s="10">
        <v>0.56999999999999995</v>
      </c>
      <c r="O531" s="11">
        <v>0.83</v>
      </c>
      <c r="P531" s="10">
        <v>0.49</v>
      </c>
      <c r="Q531" s="10">
        <v>0.56000000000000005</v>
      </c>
      <c r="R531" s="10">
        <v>0.47</v>
      </c>
      <c r="S531" s="10">
        <v>0.47</v>
      </c>
      <c r="T531" s="10">
        <v>0.64</v>
      </c>
      <c r="U531" s="11">
        <v>1.98</v>
      </c>
      <c r="V531" s="11">
        <v>0.84</v>
      </c>
      <c r="W531" s="16">
        <v>0.53</v>
      </c>
      <c r="X531" s="13">
        <f t="shared" si="5"/>
        <v>7.5376884422110546E-2</v>
      </c>
      <c r="Y531" s="13">
        <f t="shared" si="6"/>
        <v>0.66355140186915884</v>
      </c>
      <c r="Z531" s="13">
        <f t="shared" si="7"/>
        <v>0.10393258426966279</v>
      </c>
      <c r="AA531" s="13">
        <f t="shared" si="8"/>
        <v>1.5267175572519109E-2</v>
      </c>
    </row>
    <row r="532" spans="1:27" ht="15" x14ac:dyDescent="0.25">
      <c r="A532" s="4">
        <v>260128</v>
      </c>
      <c r="B532" s="20" t="s">
        <v>135</v>
      </c>
      <c r="C532" s="10" t="s">
        <v>23</v>
      </c>
      <c r="D532" s="10" t="s">
        <v>136</v>
      </c>
      <c r="E532" s="10" t="s">
        <v>25</v>
      </c>
      <c r="F532" s="38">
        <v>2.9013925745015712</v>
      </c>
      <c r="G532" s="49">
        <v>12485</v>
      </c>
      <c r="H532" s="49">
        <v>11836</v>
      </c>
      <c r="I532" s="49">
        <v>11513</v>
      </c>
      <c r="J532" s="49">
        <v>12774</v>
      </c>
      <c r="K532" s="49">
        <v>13463</v>
      </c>
      <c r="L532" s="49">
        <v>14298</v>
      </c>
      <c r="M532" s="49">
        <v>15347</v>
      </c>
      <c r="N532" s="49">
        <v>15553</v>
      </c>
      <c r="O532" s="49">
        <v>16885</v>
      </c>
      <c r="P532" s="49">
        <v>17237</v>
      </c>
      <c r="Q532" s="49">
        <v>18127</v>
      </c>
      <c r="R532" s="49">
        <v>19712</v>
      </c>
      <c r="S532" s="49">
        <v>20267</v>
      </c>
      <c r="T532" s="49">
        <v>20402</v>
      </c>
      <c r="U532" s="49">
        <v>21995</v>
      </c>
      <c r="V532" s="49">
        <v>22502</v>
      </c>
      <c r="W532" s="52">
        <v>22738</v>
      </c>
      <c r="X532" s="13">
        <f t="shared" si="5"/>
        <v>4.2007883944095603E-2</v>
      </c>
      <c r="Y532" s="13">
        <f t="shared" si="6"/>
        <v>4.9268864319559791E-2</v>
      </c>
      <c r="Z532" s="13">
        <f t="shared" si="7"/>
        <v>3.3869088083907872E-2</v>
      </c>
      <c r="AA532" s="13">
        <f t="shared" si="8"/>
        <v>2.9013925745015712E-2</v>
      </c>
    </row>
    <row r="533" spans="1:27" ht="15" x14ac:dyDescent="0.25">
      <c r="A533" s="4">
        <v>260128</v>
      </c>
      <c r="B533" s="20" t="s">
        <v>112</v>
      </c>
      <c r="C533" s="10" t="s">
        <v>23</v>
      </c>
      <c r="D533" s="10" t="s">
        <v>113</v>
      </c>
      <c r="E533" s="10" t="s">
        <v>25</v>
      </c>
      <c r="F533" s="38">
        <v>2.87315212207917</v>
      </c>
      <c r="G533" s="49">
        <v>4100</v>
      </c>
      <c r="H533" s="49">
        <v>3661</v>
      </c>
      <c r="I533" s="49">
        <v>3786</v>
      </c>
      <c r="J533" s="49">
        <v>3595</v>
      </c>
      <c r="K533" s="49">
        <v>3884</v>
      </c>
      <c r="L533" s="49">
        <v>3661</v>
      </c>
      <c r="M533" s="49">
        <v>3878</v>
      </c>
      <c r="N533" s="49">
        <v>3850</v>
      </c>
      <c r="O533" s="49">
        <v>4457</v>
      </c>
      <c r="P533" s="49">
        <v>3819</v>
      </c>
      <c r="Q533" s="49">
        <v>4164</v>
      </c>
      <c r="R533" s="49">
        <v>4332</v>
      </c>
      <c r="S533" s="49">
        <v>4229</v>
      </c>
      <c r="T533" s="49">
        <v>3891</v>
      </c>
      <c r="U533" s="49">
        <v>4176</v>
      </c>
      <c r="V533" s="49">
        <v>4480</v>
      </c>
      <c r="W533" s="52">
        <v>4711</v>
      </c>
      <c r="X533" s="13">
        <f t="shared" si="5"/>
        <v>4.352030947775587E-3</v>
      </c>
      <c r="Y533" s="13">
        <f t="shared" si="6"/>
        <v>7.2219547424179353E-4</v>
      </c>
      <c r="Z533" s="13">
        <f t="shared" si="7"/>
        <v>8.9006495068559843E-3</v>
      </c>
      <c r="AA533" s="13">
        <f t="shared" si="8"/>
        <v>2.87315212207917E-2</v>
      </c>
    </row>
    <row r="534" spans="1:27" ht="15" x14ac:dyDescent="0.25">
      <c r="A534" s="4">
        <v>260128</v>
      </c>
      <c r="B534" s="20" t="s">
        <v>158</v>
      </c>
      <c r="C534" s="10" t="s">
        <v>23</v>
      </c>
      <c r="D534" s="10" t="s">
        <v>65</v>
      </c>
      <c r="E534" s="10" t="s">
        <v>59</v>
      </c>
      <c r="F534" s="38">
        <v>2.7744878050881332</v>
      </c>
      <c r="G534" s="49">
        <v>553.07000000000005</v>
      </c>
      <c r="H534" s="49">
        <v>623.33000000000004</v>
      </c>
      <c r="I534" s="49">
        <v>618.44000000000005</v>
      </c>
      <c r="J534" s="49">
        <v>658.88</v>
      </c>
      <c r="K534" s="49">
        <v>613.25</v>
      </c>
      <c r="L534" s="49">
        <v>609.78</v>
      </c>
      <c r="M534" s="49">
        <v>612</v>
      </c>
      <c r="N534" s="49">
        <v>607.07000000000005</v>
      </c>
      <c r="O534" s="49">
        <v>533.80999999999995</v>
      </c>
      <c r="P534" s="49">
        <v>535.39</v>
      </c>
      <c r="Q534" s="49">
        <v>558.49</v>
      </c>
      <c r="R534" s="49">
        <v>567.39</v>
      </c>
      <c r="S534" s="49">
        <v>529.51</v>
      </c>
      <c r="T534" s="49">
        <v>554.30999999999995</v>
      </c>
      <c r="U534" s="49">
        <v>613.41</v>
      </c>
      <c r="V534" s="49">
        <v>624.64</v>
      </c>
      <c r="W534" s="52">
        <v>593.92999999999995</v>
      </c>
      <c r="X534" s="13">
        <f t="shared" si="5"/>
        <v>8.6361935018577363E-3</v>
      </c>
      <c r="Y534" s="13">
        <f t="shared" si="6"/>
        <v>2.4854052586323894E-2</v>
      </c>
      <c r="Z534" s="13">
        <f t="shared" si="7"/>
        <v>2.5280179456155905E-2</v>
      </c>
      <c r="AA534" s="13">
        <f t="shared" si="8"/>
        <v>2.7744878050881328E-2</v>
      </c>
    </row>
    <row r="535" spans="1:27" customFormat="1" hidden="1" x14ac:dyDescent="0.3">
      <c r="B535" s="10" t="s">
        <v>100</v>
      </c>
      <c r="C535" s="10" t="s">
        <v>23</v>
      </c>
      <c r="D535" s="10" t="s">
        <v>101</v>
      </c>
      <c r="E535" s="10" t="s">
        <v>35</v>
      </c>
      <c r="F535" s="10">
        <v>1.6007540056550471</v>
      </c>
      <c r="G535" s="10">
        <v>248.83</v>
      </c>
      <c r="H535" s="10">
        <v>273.97000000000003</v>
      </c>
      <c r="I535" s="10">
        <v>242.33</v>
      </c>
      <c r="J535" s="10">
        <v>277.19</v>
      </c>
      <c r="K535" s="10">
        <v>275.08999999999997</v>
      </c>
      <c r="L535" s="10">
        <v>250.87</v>
      </c>
      <c r="M535" s="10">
        <v>295.47000000000003</v>
      </c>
      <c r="N535" s="10">
        <v>317.64999999999998</v>
      </c>
      <c r="O535" s="10">
        <v>304.58</v>
      </c>
      <c r="P535" s="10">
        <v>327.05</v>
      </c>
      <c r="Q535" s="10">
        <v>312.27</v>
      </c>
      <c r="R535" s="10">
        <v>332.1</v>
      </c>
      <c r="S535" s="10">
        <v>316.7</v>
      </c>
      <c r="T535" s="10">
        <v>345.94</v>
      </c>
      <c r="U535" s="10">
        <v>321.26</v>
      </c>
      <c r="V535" s="10">
        <v>342.35</v>
      </c>
      <c r="W535" s="16">
        <v>337.93</v>
      </c>
      <c r="X535" s="13">
        <f t="shared" si="5"/>
        <v>1.4664782784212793E-2</v>
      </c>
      <c r="Y535" s="13">
        <f t="shared" si="6"/>
        <v>6.8782947337817646E-3</v>
      </c>
      <c r="Z535" s="13">
        <f t="shared" si="7"/>
        <v>7.7887537993921452E-3</v>
      </c>
      <c r="AA535" s="13">
        <f t="shared" si="8"/>
        <v>1.6007540056550473E-2</v>
      </c>
    </row>
    <row r="536" spans="1:27" customFormat="1" hidden="1" x14ac:dyDescent="0.3">
      <c r="B536" s="10" t="s">
        <v>102</v>
      </c>
      <c r="C536" s="10" t="s">
        <v>31</v>
      </c>
      <c r="D536" s="10" t="s">
        <v>32</v>
      </c>
      <c r="E536" s="10" t="s">
        <v>35</v>
      </c>
      <c r="F536" s="10">
        <v>-0.32917775598823029</v>
      </c>
      <c r="G536" s="10">
        <v>1999</v>
      </c>
      <c r="H536" s="10">
        <v>3847</v>
      </c>
      <c r="I536" s="10">
        <v>2963</v>
      </c>
      <c r="J536" s="10">
        <v>3250</v>
      </c>
      <c r="K536" s="10">
        <v>2469</v>
      </c>
      <c r="L536" s="10">
        <v>4414</v>
      </c>
      <c r="M536" s="10">
        <v>3416</v>
      </c>
      <c r="N536" s="10">
        <v>3116</v>
      </c>
      <c r="O536" s="10">
        <v>2183</v>
      </c>
      <c r="P536" s="10">
        <v>4745</v>
      </c>
      <c r="Q536" s="10">
        <v>3632</v>
      </c>
      <c r="R536" s="10">
        <v>2398</v>
      </c>
      <c r="S536" s="10">
        <v>2679</v>
      </c>
      <c r="T536" s="10">
        <v>5113</v>
      </c>
      <c r="U536" s="10">
        <v>3674</v>
      </c>
      <c r="V536" s="10">
        <v>2812</v>
      </c>
      <c r="W536" s="16">
        <v>2632</v>
      </c>
      <c r="X536" s="13">
        <f t="shared" si="5"/>
        <v>2.7352460234874476E-2</v>
      </c>
      <c r="Y536" s="13">
        <f t="shared" si="6"/>
        <v>3.0386340616408436E-3</v>
      </c>
      <c r="Z536" s="13">
        <f t="shared" si="7"/>
        <v>2.9861511829197829E-2</v>
      </c>
      <c r="AA536" s="13">
        <f t="shared" si="8"/>
        <v>-3.2917775598823029E-3</v>
      </c>
    </row>
    <row r="537" spans="1:27" ht="15" x14ac:dyDescent="0.25">
      <c r="A537" s="4">
        <v>260128</v>
      </c>
      <c r="B537" s="20" t="s">
        <v>118</v>
      </c>
      <c r="C537" s="10" t="s">
        <v>23</v>
      </c>
      <c r="D537" s="10" t="s">
        <v>119</v>
      </c>
      <c r="E537" s="10" t="s">
        <v>25</v>
      </c>
      <c r="F537" s="38">
        <v>2.5861984323094722</v>
      </c>
      <c r="G537" s="49">
        <v>549.84</v>
      </c>
      <c r="H537" s="49">
        <v>559.95000000000005</v>
      </c>
      <c r="I537" s="49">
        <v>551.80999999999995</v>
      </c>
      <c r="J537" s="49">
        <v>560.64</v>
      </c>
      <c r="K537" s="49">
        <v>576.21</v>
      </c>
      <c r="L537" s="49">
        <v>592.22</v>
      </c>
      <c r="M537" s="49">
        <v>621.16</v>
      </c>
      <c r="N537" s="49">
        <v>625.44000000000005</v>
      </c>
      <c r="O537" s="49">
        <v>690.11</v>
      </c>
      <c r="P537" s="49">
        <v>679.97</v>
      </c>
      <c r="Q537" s="49">
        <v>707.95</v>
      </c>
      <c r="R537" s="49">
        <v>724.71</v>
      </c>
      <c r="S537" s="49">
        <v>743.51</v>
      </c>
      <c r="T537" s="49">
        <v>745.83</v>
      </c>
      <c r="U537" s="49">
        <v>772.68</v>
      </c>
      <c r="V537" s="49">
        <v>793.43</v>
      </c>
      <c r="W537" s="52">
        <v>822.53</v>
      </c>
      <c r="X537" s="13">
        <f t="shared" si="5"/>
        <v>2.3059093741903292E-2</v>
      </c>
      <c r="Y537" s="13">
        <f t="shared" si="6"/>
        <v>2.2152635181382552E-2</v>
      </c>
      <c r="Z537" s="13">
        <f t="shared" si="7"/>
        <v>2.3008440669226804E-2</v>
      </c>
      <c r="AA537" s="13">
        <f t="shared" si="8"/>
        <v>2.5861984323094944E-2</v>
      </c>
    </row>
    <row r="538" spans="1:27" ht="15" x14ac:dyDescent="0.25">
      <c r="A538" s="4">
        <v>260128</v>
      </c>
      <c r="B538" s="20" t="s">
        <v>45</v>
      </c>
      <c r="C538" s="10" t="s">
        <v>23</v>
      </c>
      <c r="D538" s="10" t="s">
        <v>46</v>
      </c>
      <c r="E538" s="10" t="s">
        <v>25</v>
      </c>
      <c r="F538" s="38">
        <v>2.4397726662627179</v>
      </c>
      <c r="G538" s="49">
        <v>683.74</v>
      </c>
      <c r="H538" s="49">
        <v>792.77</v>
      </c>
      <c r="I538" s="49">
        <v>942.62</v>
      </c>
      <c r="J538" s="49">
        <v>1188</v>
      </c>
      <c r="K538" s="50">
        <v>1226</v>
      </c>
      <c r="L538" s="50">
        <v>1262</v>
      </c>
      <c r="M538" s="49">
        <v>1195</v>
      </c>
      <c r="N538" s="49">
        <v>1216</v>
      </c>
      <c r="O538" s="49">
        <v>1075</v>
      </c>
      <c r="P538" s="49">
        <v>1073</v>
      </c>
      <c r="Q538" s="49">
        <v>1160</v>
      </c>
      <c r="R538" s="49">
        <v>1139</v>
      </c>
      <c r="S538" s="49">
        <v>943.57</v>
      </c>
      <c r="T538" s="49">
        <v>977.46</v>
      </c>
      <c r="U538" s="49">
        <v>1043</v>
      </c>
      <c r="V538" s="49">
        <v>947.4</v>
      </c>
      <c r="W538" s="52">
        <v>1039</v>
      </c>
      <c r="X538" s="13">
        <f t="shared" si="5"/>
        <v>-2.2138442893985921E-2</v>
      </c>
      <c r="Y538" s="13">
        <f t="shared" si="6"/>
        <v>-2.7724921386814816E-2</v>
      </c>
      <c r="Z538" s="13">
        <f t="shared" si="7"/>
        <v>-4.6697196949571529E-2</v>
      </c>
      <c r="AA538" s="13">
        <f t="shared" si="8"/>
        <v>2.4397726662627184E-2</v>
      </c>
    </row>
    <row r="539" spans="1:27" ht="15" x14ac:dyDescent="0.25">
      <c r="A539" s="4">
        <v>260128</v>
      </c>
      <c r="B539" s="20" t="s">
        <v>89</v>
      </c>
      <c r="C539" s="10" t="s">
        <v>23</v>
      </c>
      <c r="D539" s="10" t="s">
        <v>29</v>
      </c>
      <c r="E539" s="10" t="s">
        <v>25</v>
      </c>
      <c r="F539" s="38">
        <v>2.2657487313746389</v>
      </c>
      <c r="G539" s="49">
        <v>64.23</v>
      </c>
      <c r="H539" s="49">
        <v>70.58</v>
      </c>
      <c r="I539" s="49">
        <v>63.8</v>
      </c>
      <c r="J539" s="49">
        <v>72.209999999999994</v>
      </c>
      <c r="K539" s="49">
        <v>75.98</v>
      </c>
      <c r="L539" s="49">
        <v>75.61</v>
      </c>
      <c r="M539" s="49">
        <v>70.739999999999995</v>
      </c>
      <c r="N539" s="49">
        <v>70.260000000000005</v>
      </c>
      <c r="O539" s="49">
        <v>69.45</v>
      </c>
      <c r="P539" s="49">
        <v>75.63</v>
      </c>
      <c r="Q539" s="49">
        <v>71.3</v>
      </c>
      <c r="R539" s="49">
        <v>71.94</v>
      </c>
      <c r="S539" s="49">
        <v>74.42</v>
      </c>
      <c r="T539" s="49">
        <v>76.89</v>
      </c>
      <c r="U539" s="49">
        <v>75.349999999999994</v>
      </c>
      <c r="V539" s="49">
        <v>82.73</v>
      </c>
      <c r="W539" s="52">
        <v>81.430000000000007</v>
      </c>
      <c r="X539" s="13">
        <f t="shared" si="5"/>
        <v>4.296089194994579E-3</v>
      </c>
      <c r="Y539" s="13">
        <f t="shared" si="6"/>
        <v>1.3749787811916603E-2</v>
      </c>
      <c r="Z539" s="13">
        <f t="shared" si="7"/>
        <v>3.6135298057601961E-2</v>
      </c>
      <c r="AA539" s="13">
        <f t="shared" si="8"/>
        <v>2.2657487313746616E-2</v>
      </c>
    </row>
    <row r="540" spans="1:27" ht="15" x14ac:dyDescent="0.25">
      <c r="A540" s="4">
        <v>260128</v>
      </c>
      <c r="B540" s="20" t="s">
        <v>126</v>
      </c>
      <c r="C540" s="10" t="s">
        <v>23</v>
      </c>
      <c r="D540" s="10" t="s">
        <v>127</v>
      </c>
      <c r="E540" s="10" t="s">
        <v>25</v>
      </c>
      <c r="F540" s="38">
        <v>2.2097320603634119</v>
      </c>
      <c r="G540" s="49">
        <v>36585</v>
      </c>
      <c r="H540" s="49">
        <v>38095</v>
      </c>
      <c r="I540" s="49">
        <v>38632</v>
      </c>
      <c r="J540" s="49">
        <v>39939</v>
      </c>
      <c r="K540" s="49">
        <v>39933</v>
      </c>
      <c r="L540" s="49">
        <v>42172</v>
      </c>
      <c r="M540" s="49">
        <v>43672</v>
      </c>
      <c r="N540" s="49">
        <v>42849</v>
      </c>
      <c r="O540" s="49">
        <v>42647</v>
      </c>
      <c r="P540" s="49">
        <v>42577</v>
      </c>
      <c r="Q540" s="49">
        <v>43646</v>
      </c>
      <c r="R540" s="49">
        <v>45145</v>
      </c>
      <c r="S540" s="49">
        <v>45442</v>
      </c>
      <c r="T540" s="49">
        <v>48891</v>
      </c>
      <c r="U540" s="49">
        <v>49776</v>
      </c>
      <c r="V540" s="49">
        <v>50711</v>
      </c>
      <c r="W540" s="52">
        <v>49747</v>
      </c>
      <c r="X540" s="13">
        <f t="shared" si="5"/>
        <v>3.5710649850121623E-2</v>
      </c>
      <c r="Y540" s="13">
        <f t="shared" si="6"/>
        <v>3.3474585526746869E-2</v>
      </c>
      <c r="Z540" s="13">
        <f t="shared" si="7"/>
        <v>2.941021061642024E-2</v>
      </c>
      <c r="AA540" s="13">
        <f t="shared" si="8"/>
        <v>2.2097320603634119E-2</v>
      </c>
    </row>
    <row r="541" spans="1:27" ht="15" x14ac:dyDescent="0.25">
      <c r="A541" s="4">
        <v>260128</v>
      </c>
      <c r="B541" s="20" t="s">
        <v>130</v>
      </c>
      <c r="C541" s="10" t="s">
        <v>23</v>
      </c>
      <c r="D541" s="10" t="s">
        <v>131</v>
      </c>
      <c r="E541" s="10" t="s">
        <v>25</v>
      </c>
      <c r="F541" s="38">
        <v>2.021006037779816</v>
      </c>
      <c r="G541" s="49">
        <v>10292</v>
      </c>
      <c r="H541" s="49">
        <v>9392</v>
      </c>
      <c r="I541" s="49">
        <v>9189</v>
      </c>
      <c r="J541" s="49">
        <v>9975</v>
      </c>
      <c r="K541" s="49">
        <v>10851</v>
      </c>
      <c r="L541" s="49">
        <v>9881</v>
      </c>
      <c r="M541" s="49">
        <v>10152</v>
      </c>
      <c r="N541" s="49">
        <v>10571</v>
      </c>
      <c r="O541" s="49">
        <v>11668</v>
      </c>
      <c r="P541" s="49">
        <v>10731</v>
      </c>
      <c r="Q541" s="49">
        <v>11976</v>
      </c>
      <c r="R541" s="49">
        <v>11671</v>
      </c>
      <c r="S541" s="49">
        <v>13338</v>
      </c>
      <c r="T541" s="49">
        <v>12223</v>
      </c>
      <c r="U541" s="49">
        <v>13041</v>
      </c>
      <c r="V541" s="49">
        <v>12907</v>
      </c>
      <c r="W541" s="52">
        <v>14379</v>
      </c>
      <c r="X541" s="13">
        <f t="shared" si="5"/>
        <v>3.1268337664515089E-2</v>
      </c>
      <c r="Y541" s="13">
        <f t="shared" si="6"/>
        <v>2.1642822305316223E-2</v>
      </c>
      <c r="Z541" s="13">
        <f t="shared" si="7"/>
        <v>2.4585761740894663E-2</v>
      </c>
      <c r="AA541" s="13">
        <f t="shared" si="8"/>
        <v>2.0210060377798156E-2</v>
      </c>
    </row>
    <row r="542" spans="1:27" ht="15" x14ac:dyDescent="0.25">
      <c r="A542" s="4">
        <v>260128</v>
      </c>
      <c r="B542" s="20" t="s">
        <v>154</v>
      </c>
      <c r="C542" s="10" t="s">
        <v>23</v>
      </c>
      <c r="D542" s="10" t="s">
        <v>95</v>
      </c>
      <c r="E542" s="10" t="s">
        <v>25</v>
      </c>
      <c r="F542" s="38">
        <v>1.869425615412057</v>
      </c>
      <c r="G542" s="49">
        <v>2793</v>
      </c>
      <c r="H542" s="49">
        <v>2651</v>
      </c>
      <c r="I542" s="49">
        <v>2662</v>
      </c>
      <c r="J542" s="49">
        <v>2721</v>
      </c>
      <c r="K542" s="49">
        <v>2802</v>
      </c>
      <c r="L542" s="49">
        <v>2851</v>
      </c>
      <c r="M542" s="49">
        <v>2873</v>
      </c>
      <c r="N542" s="49">
        <v>2984</v>
      </c>
      <c r="O542" s="49">
        <v>3034</v>
      </c>
      <c r="P542" s="49">
        <v>3072</v>
      </c>
      <c r="Q542" s="49">
        <v>3227</v>
      </c>
      <c r="R542" s="49">
        <v>3464</v>
      </c>
      <c r="S542" s="49">
        <v>3476</v>
      </c>
      <c r="T542" s="49">
        <v>3400</v>
      </c>
      <c r="U542" s="49">
        <v>3431</v>
      </c>
      <c r="V542" s="49">
        <v>3708</v>
      </c>
      <c r="W542" s="52">
        <v>3738</v>
      </c>
      <c r="X542" s="13">
        <f t="shared" si="5"/>
        <v>2.4775285142382364E-2</v>
      </c>
      <c r="Y542" s="13">
        <f t="shared" si="6"/>
        <v>1.5036485590034676E-2</v>
      </c>
      <c r="Z542" s="13">
        <f t="shared" si="7"/>
        <v>1.7718393725945747E-2</v>
      </c>
      <c r="AA542" s="13">
        <f t="shared" si="8"/>
        <v>1.869425615412057E-2</v>
      </c>
    </row>
    <row r="543" spans="1:27" ht="15" x14ac:dyDescent="0.25">
      <c r="A543" s="4">
        <v>260128</v>
      </c>
      <c r="B543" s="20" t="s">
        <v>188</v>
      </c>
      <c r="C543" s="10" t="s">
        <v>23</v>
      </c>
      <c r="D543" s="10" t="s">
        <v>189</v>
      </c>
      <c r="E543" s="10" t="s">
        <v>25</v>
      </c>
      <c r="F543" s="38">
        <v>1.858371746942034</v>
      </c>
      <c r="G543" s="49">
        <v>5051</v>
      </c>
      <c r="H543" s="49">
        <v>4694</v>
      </c>
      <c r="I543" s="49">
        <v>6728</v>
      </c>
      <c r="J543" s="49">
        <v>6220</v>
      </c>
      <c r="K543" s="49">
        <v>6172</v>
      </c>
      <c r="L543" s="49">
        <v>5706</v>
      </c>
      <c r="M543" s="49">
        <v>7037</v>
      </c>
      <c r="N543" s="49">
        <v>6525</v>
      </c>
      <c r="O543" s="49">
        <v>6823</v>
      </c>
      <c r="P543" s="49">
        <v>6329</v>
      </c>
      <c r="Q543" s="49">
        <v>7354</v>
      </c>
      <c r="R543" s="49">
        <v>6870</v>
      </c>
      <c r="S543" s="49">
        <v>6930</v>
      </c>
      <c r="T543" s="49">
        <v>6428</v>
      </c>
      <c r="U543" s="49">
        <v>7244</v>
      </c>
      <c r="V543" s="49">
        <v>6949</v>
      </c>
      <c r="W543" s="52">
        <v>7442</v>
      </c>
      <c r="X543" s="13">
        <f t="shared" si="5"/>
        <v>3.6022268311319827E-3</v>
      </c>
      <c r="Y543" s="13">
        <f t="shared" si="6"/>
        <v>-3.988108186498418E-3</v>
      </c>
      <c r="Z543" s="13">
        <f t="shared" si="7"/>
        <v>2.8756552125801527E-3</v>
      </c>
      <c r="AA543" s="13">
        <f t="shared" si="8"/>
        <v>1.8583717469420336E-2</v>
      </c>
    </row>
    <row r="544" spans="1:27" ht="15" x14ac:dyDescent="0.25">
      <c r="A544" s="4">
        <v>260128</v>
      </c>
      <c r="B544" s="20" t="s">
        <v>110</v>
      </c>
      <c r="C544" s="10" t="s">
        <v>23</v>
      </c>
      <c r="D544" s="10" t="s">
        <v>111</v>
      </c>
      <c r="E544" s="10" t="s">
        <v>25</v>
      </c>
      <c r="F544" s="38">
        <v>1.723372616907493</v>
      </c>
      <c r="G544" s="49">
        <v>135.75</v>
      </c>
      <c r="H544" s="49">
        <v>132.4</v>
      </c>
      <c r="I544" s="49">
        <v>137.83000000000001</v>
      </c>
      <c r="J544" s="49">
        <v>148.01</v>
      </c>
      <c r="K544" s="49">
        <v>147.32</v>
      </c>
      <c r="L544" s="49">
        <v>159.1</v>
      </c>
      <c r="M544" s="49">
        <v>175.86</v>
      </c>
      <c r="N544" s="49">
        <v>186.19</v>
      </c>
      <c r="O544" s="49">
        <v>182.44</v>
      </c>
      <c r="P544" s="49">
        <v>196.28</v>
      </c>
      <c r="Q544" s="49">
        <v>216.66</v>
      </c>
      <c r="R544" s="49">
        <v>208.44</v>
      </c>
      <c r="S544" s="49">
        <v>205.18</v>
      </c>
      <c r="T544" s="49">
        <v>222.21</v>
      </c>
      <c r="U544" s="49">
        <v>238.1</v>
      </c>
      <c r="V544" s="49">
        <v>235.65</v>
      </c>
      <c r="W544" s="52">
        <v>220.71</v>
      </c>
      <c r="X544" s="13">
        <f t="shared" si="5"/>
        <v>3.1370983352690729E-2</v>
      </c>
      <c r="Y544" s="13">
        <f t="shared" si="6"/>
        <v>2.5149855130265575E-2</v>
      </c>
      <c r="Z544" s="13">
        <f t="shared" si="7"/>
        <v>3.1135216779375918E-2</v>
      </c>
      <c r="AA544" s="13">
        <f t="shared" si="8"/>
        <v>1.7233726169074925E-2</v>
      </c>
    </row>
    <row r="545" spans="1:27" ht="15" x14ac:dyDescent="0.25">
      <c r="A545" s="4">
        <v>260128</v>
      </c>
      <c r="B545" s="20" t="s">
        <v>40</v>
      </c>
      <c r="C545" s="10" t="s">
        <v>23</v>
      </c>
      <c r="D545" s="10" t="s">
        <v>41</v>
      </c>
      <c r="E545" s="10" t="s">
        <v>42</v>
      </c>
      <c r="F545" s="38">
        <v>1.7096715555427799</v>
      </c>
      <c r="G545" s="49">
        <v>187.05</v>
      </c>
      <c r="H545" s="49">
        <v>222.97</v>
      </c>
      <c r="I545" s="49">
        <v>246.54</v>
      </c>
      <c r="J545" s="49">
        <v>241.19</v>
      </c>
      <c r="K545" s="49">
        <v>219.22</v>
      </c>
      <c r="L545" s="49">
        <v>228.15</v>
      </c>
      <c r="M545" s="49">
        <v>251.12</v>
      </c>
      <c r="N545" s="49">
        <v>236.53</v>
      </c>
      <c r="O545" s="49">
        <v>208.5</v>
      </c>
      <c r="P545" s="49">
        <v>223.02</v>
      </c>
      <c r="Q545" s="49">
        <v>255.88</v>
      </c>
      <c r="R545" s="49">
        <v>247.03</v>
      </c>
      <c r="S545" s="49">
        <v>226.21</v>
      </c>
      <c r="T545" s="49">
        <v>245.32</v>
      </c>
      <c r="U545" s="49">
        <v>293.27</v>
      </c>
      <c r="V545" s="49">
        <v>280.43</v>
      </c>
      <c r="W545" s="52">
        <v>244.08</v>
      </c>
      <c r="X545" s="13">
        <f t="shared" si="5"/>
        <v>2.3420925494150202E-2</v>
      </c>
      <c r="Y545" s="13">
        <f t="shared" si="6"/>
        <v>3.837075653708788E-2</v>
      </c>
      <c r="Z545" s="13">
        <f t="shared" si="7"/>
        <v>3.3009497642884744E-2</v>
      </c>
      <c r="AA545" s="13">
        <f t="shared" si="8"/>
        <v>1.7096715555427799E-2</v>
      </c>
    </row>
    <row r="546" spans="1:27" ht="15" x14ac:dyDescent="0.25">
      <c r="A546" s="4">
        <v>260128</v>
      </c>
      <c r="B546" s="20" t="s">
        <v>128</v>
      </c>
      <c r="C546" s="10" t="s">
        <v>23</v>
      </c>
      <c r="D546" s="10" t="s">
        <v>129</v>
      </c>
      <c r="E546" s="10" t="s">
        <v>25</v>
      </c>
      <c r="F546" s="38">
        <v>1.694641704325361</v>
      </c>
      <c r="G546" s="49">
        <v>4678</v>
      </c>
      <c r="H546" s="49">
        <v>4661</v>
      </c>
      <c r="I546" s="49">
        <v>5027</v>
      </c>
      <c r="J546" s="49">
        <v>5075</v>
      </c>
      <c r="K546" s="49">
        <v>4935</v>
      </c>
      <c r="L546" s="49">
        <v>4892</v>
      </c>
      <c r="M546" s="49">
        <v>5119</v>
      </c>
      <c r="N546" s="49">
        <v>5198</v>
      </c>
      <c r="O546" s="49">
        <v>5217</v>
      </c>
      <c r="P546" s="49">
        <v>5159</v>
      </c>
      <c r="Q546" s="49">
        <v>5402</v>
      </c>
      <c r="R546" s="49">
        <v>5609</v>
      </c>
      <c r="S546" s="49">
        <v>5893</v>
      </c>
      <c r="T546" s="49">
        <v>6018</v>
      </c>
      <c r="U546" s="49">
        <v>6430</v>
      </c>
      <c r="V546" s="49">
        <v>6443</v>
      </c>
      <c r="W546" s="52">
        <v>6313</v>
      </c>
      <c r="X546" s="13">
        <f t="shared" si="5"/>
        <v>3.893396183655895E-2</v>
      </c>
      <c r="Y546" s="13">
        <f t="shared" si="6"/>
        <v>4.4847744524910471E-2</v>
      </c>
      <c r="Z546" s="13">
        <f t="shared" si="7"/>
        <v>3.4822546972860025E-2</v>
      </c>
      <c r="AA546" s="13">
        <f t="shared" si="8"/>
        <v>1.6946417043253614E-2</v>
      </c>
    </row>
    <row r="547" spans="1:27" ht="15" x14ac:dyDescent="0.25">
      <c r="A547" s="4">
        <v>260128</v>
      </c>
      <c r="B547" s="20" t="s">
        <v>105</v>
      </c>
      <c r="C547" s="10" t="s">
        <v>23</v>
      </c>
      <c r="D547" s="10" t="s">
        <v>106</v>
      </c>
      <c r="E547" s="10" t="s">
        <v>107</v>
      </c>
      <c r="F547" s="38">
        <v>1.680371826957461</v>
      </c>
      <c r="G547" s="49">
        <v>925.8</v>
      </c>
      <c r="H547" s="49">
        <v>980.4</v>
      </c>
      <c r="I547" s="49">
        <v>1022</v>
      </c>
      <c r="J547" s="49">
        <v>955.5</v>
      </c>
      <c r="K547" s="49">
        <v>1019</v>
      </c>
      <c r="L547" s="49">
        <v>1083</v>
      </c>
      <c r="M547" s="49">
        <v>1076</v>
      </c>
      <c r="N547" s="49">
        <v>1013</v>
      </c>
      <c r="O547" s="49">
        <v>1074</v>
      </c>
      <c r="P547" s="49">
        <v>1120</v>
      </c>
      <c r="Q547" s="49">
        <v>1208</v>
      </c>
      <c r="R547" s="49">
        <v>1139</v>
      </c>
      <c r="S547" s="49">
        <v>1358</v>
      </c>
      <c r="T547" s="49">
        <v>1425</v>
      </c>
      <c r="U547" s="49">
        <v>1462</v>
      </c>
      <c r="V547" s="49">
        <v>1349</v>
      </c>
      <c r="W547" s="52">
        <v>1452</v>
      </c>
      <c r="X547" s="13">
        <f t="shared" si="5"/>
        <v>6.3212435233160669E-2</v>
      </c>
      <c r="Y547" s="13">
        <f t="shared" si="6"/>
        <v>4.9512670565302175E-2</v>
      </c>
      <c r="Z547" s="13">
        <f t="shared" si="7"/>
        <v>3.9004457652303204E-2</v>
      </c>
      <c r="AA547" s="13">
        <f t="shared" si="8"/>
        <v>1.6803718269574608E-2</v>
      </c>
    </row>
    <row r="548" spans="1:27" ht="15" x14ac:dyDescent="0.25">
      <c r="A548" s="4">
        <v>260128</v>
      </c>
      <c r="B548" s="20" t="s">
        <v>133</v>
      </c>
      <c r="C548" s="10" t="s">
        <v>23</v>
      </c>
      <c r="D548" s="10" t="s">
        <v>115</v>
      </c>
      <c r="E548" s="10" t="s">
        <v>25</v>
      </c>
      <c r="F548" s="38">
        <v>1.487824714155872</v>
      </c>
      <c r="G548" s="49">
        <v>4025</v>
      </c>
      <c r="H548" s="49">
        <v>4513</v>
      </c>
      <c r="I548" s="49">
        <v>4128</v>
      </c>
      <c r="J548" s="49">
        <v>4216</v>
      </c>
      <c r="K548" s="49">
        <v>4391</v>
      </c>
      <c r="L548" s="49">
        <v>4928</v>
      </c>
      <c r="M548" s="49">
        <v>4478</v>
      </c>
      <c r="N548" s="49">
        <v>4512</v>
      </c>
      <c r="O548" s="49">
        <v>4668</v>
      </c>
      <c r="P548" s="49">
        <v>5254</v>
      </c>
      <c r="Q548" s="49">
        <v>4769</v>
      </c>
      <c r="R548" s="49">
        <v>4833</v>
      </c>
      <c r="S548" s="49">
        <v>5048</v>
      </c>
      <c r="T548" s="49">
        <v>5553</v>
      </c>
      <c r="U548" s="49">
        <v>5127</v>
      </c>
      <c r="V548" s="49">
        <v>5175</v>
      </c>
      <c r="W548" s="52">
        <v>5359</v>
      </c>
      <c r="X548" s="13">
        <f t="shared" si="5"/>
        <v>1.5022106109324751E-2</v>
      </c>
      <c r="Y548" s="13">
        <f t="shared" si="6"/>
        <v>1.7720140573182164E-2</v>
      </c>
      <c r="Z548" s="13">
        <f t="shared" si="7"/>
        <v>1.6633432226059064E-2</v>
      </c>
      <c r="AA548" s="13">
        <f t="shared" si="8"/>
        <v>1.487824714155872E-2</v>
      </c>
    </row>
    <row r="549" spans="1:27" ht="15" x14ac:dyDescent="0.25">
      <c r="A549" s="4">
        <v>260128</v>
      </c>
      <c r="B549" s="20" t="s">
        <v>147</v>
      </c>
      <c r="C549" s="10" t="s">
        <v>23</v>
      </c>
      <c r="D549" s="10" t="s">
        <v>146</v>
      </c>
      <c r="E549" s="10" t="s">
        <v>25</v>
      </c>
      <c r="F549" s="38">
        <v>1.4124732250954559</v>
      </c>
      <c r="G549" s="49">
        <v>4986</v>
      </c>
      <c r="H549" s="49">
        <v>3534</v>
      </c>
      <c r="I549" s="49">
        <v>5431</v>
      </c>
      <c r="J549" s="49">
        <v>5778</v>
      </c>
      <c r="K549" s="49">
        <v>6430</v>
      </c>
      <c r="L549" s="50">
        <v>6746</v>
      </c>
      <c r="M549" s="49">
        <v>6902</v>
      </c>
      <c r="N549" s="49">
        <v>6673</v>
      </c>
      <c r="O549" s="49">
        <v>7237</v>
      </c>
      <c r="P549" s="49">
        <v>5290</v>
      </c>
      <c r="Q549" s="49">
        <v>6243</v>
      </c>
      <c r="R549" s="49">
        <v>7467</v>
      </c>
      <c r="S549" s="49">
        <v>9263</v>
      </c>
      <c r="T549" s="49">
        <v>7742</v>
      </c>
      <c r="U549" s="49">
        <v>7692</v>
      </c>
      <c r="V549" s="49">
        <v>7516</v>
      </c>
      <c r="W549" s="52">
        <v>9718</v>
      </c>
      <c r="X549" s="13">
        <f t="shared" si="5"/>
        <v>8.6756536814917018E-2</v>
      </c>
      <c r="Y549" s="13">
        <f t="shared" si="6"/>
        <v>4.7175647077974947E-2</v>
      </c>
      <c r="Z549" s="13">
        <f t="shared" si="7"/>
        <v>1.523442357915572E-3</v>
      </c>
      <c r="AA549" s="13">
        <f t="shared" si="8"/>
        <v>1.4124732250954564E-2</v>
      </c>
    </row>
    <row r="550" spans="1:27" ht="15" x14ac:dyDescent="0.25">
      <c r="A550" s="4">
        <v>260128</v>
      </c>
      <c r="B550" s="20" t="s">
        <v>134</v>
      </c>
      <c r="C550" s="10" t="s">
        <v>23</v>
      </c>
      <c r="D550" s="10" t="s">
        <v>106</v>
      </c>
      <c r="E550" s="10" t="s">
        <v>42</v>
      </c>
      <c r="F550" s="38">
        <v>1.3903455694500579</v>
      </c>
      <c r="G550" s="49">
        <v>8050</v>
      </c>
      <c r="H550" s="49">
        <v>7636</v>
      </c>
      <c r="I550" s="49">
        <v>8150</v>
      </c>
      <c r="J550" s="49">
        <v>8414</v>
      </c>
      <c r="K550" s="49">
        <v>8714</v>
      </c>
      <c r="L550" s="49">
        <v>8720</v>
      </c>
      <c r="M550" s="49">
        <v>9168</v>
      </c>
      <c r="N550" s="49">
        <v>9374</v>
      </c>
      <c r="O550" s="49">
        <v>9425</v>
      </c>
      <c r="P550" s="49">
        <v>8563</v>
      </c>
      <c r="Q550" s="49">
        <v>9114</v>
      </c>
      <c r="R550" s="49">
        <v>9074</v>
      </c>
      <c r="S550" s="49">
        <v>9398</v>
      </c>
      <c r="T550" s="49">
        <v>8762</v>
      </c>
      <c r="U550" s="49">
        <v>9456</v>
      </c>
      <c r="V550" s="49">
        <v>9569</v>
      </c>
      <c r="W550" s="52">
        <v>9915</v>
      </c>
      <c r="X550" s="13">
        <f t="shared" si="5"/>
        <v>5.5049932224957576E-3</v>
      </c>
      <c r="Y550" s="13">
        <f t="shared" si="6"/>
        <v>9.4090458897326812E-3</v>
      </c>
      <c r="Z550" s="13">
        <f t="shared" si="7"/>
        <v>1.3491414554374526E-2</v>
      </c>
      <c r="AA550" s="13">
        <f t="shared" si="8"/>
        <v>1.3903455694500577E-2</v>
      </c>
    </row>
    <row r="551" spans="1:27" ht="15" x14ac:dyDescent="0.25">
      <c r="A551" s="4">
        <v>260128</v>
      </c>
      <c r="B551" s="48" t="s">
        <v>413</v>
      </c>
      <c r="C551" s="10" t="s">
        <v>414</v>
      </c>
      <c r="D551" s="46" t="s">
        <v>153</v>
      </c>
      <c r="E551" s="47">
        <v>1.0565436687018925E-2</v>
      </c>
      <c r="G551" s="53"/>
      <c r="H551" s="53"/>
      <c r="I551" s="53"/>
      <c r="J551" s="53"/>
      <c r="K551" s="53"/>
      <c r="L551" s="54">
        <v>6822</v>
      </c>
      <c r="M551" s="54">
        <v>8120</v>
      </c>
      <c r="N551" s="54">
        <v>8252</v>
      </c>
      <c r="O551" s="54">
        <v>10045</v>
      </c>
      <c r="P551" s="54">
        <v>7259</v>
      </c>
      <c r="Q551" s="54">
        <v>8204</v>
      </c>
      <c r="R551" s="54">
        <v>8913</v>
      </c>
      <c r="S551" s="54">
        <v>10558</v>
      </c>
      <c r="T551" s="54">
        <v>8032</v>
      </c>
      <c r="U551" s="54">
        <v>9111</v>
      </c>
      <c r="V551" s="54">
        <v>9969</v>
      </c>
      <c r="W551" s="52">
        <v>10956</v>
      </c>
      <c r="X551" s="13">
        <v>2.2127440316024538E-2</v>
      </c>
      <c r="Y551" s="13">
        <v>2.5401181841095521E-2</v>
      </c>
      <c r="Z551" s="13">
        <v>2.8841426776642809E-2</v>
      </c>
      <c r="AA551" s="13">
        <v>1.0565436687018925E-2</v>
      </c>
    </row>
    <row r="552" spans="1:27" ht="15" x14ac:dyDescent="0.25">
      <c r="A552" s="4">
        <v>260128</v>
      </c>
      <c r="B552" s="20" t="s">
        <v>140</v>
      </c>
      <c r="C552" s="10" t="s">
        <v>23</v>
      </c>
      <c r="D552" s="10" t="s">
        <v>141</v>
      </c>
      <c r="E552" s="10" t="s">
        <v>25</v>
      </c>
      <c r="F552" s="38">
        <v>0.93830334190232456</v>
      </c>
      <c r="G552" s="49">
        <v>31095</v>
      </c>
      <c r="H552" s="49">
        <v>29712</v>
      </c>
      <c r="I552" s="49">
        <v>29643</v>
      </c>
      <c r="J552" s="49">
        <v>30043</v>
      </c>
      <c r="K552" s="49">
        <v>31343</v>
      </c>
      <c r="L552" s="49">
        <v>30139</v>
      </c>
      <c r="M552" s="49">
        <v>29917</v>
      </c>
      <c r="N552" s="49">
        <v>30350</v>
      </c>
      <c r="O552" s="49">
        <v>32022</v>
      </c>
      <c r="P552" s="49">
        <v>30028</v>
      </c>
      <c r="Q552" s="49">
        <v>29797</v>
      </c>
      <c r="R552" s="49">
        <v>30213</v>
      </c>
      <c r="S552" s="49">
        <v>32298</v>
      </c>
      <c r="T552" s="49">
        <v>30626</v>
      </c>
      <c r="U552" s="49">
        <v>30847</v>
      </c>
      <c r="V552" s="49">
        <v>30709</v>
      </c>
      <c r="W552" s="52">
        <v>33466</v>
      </c>
      <c r="X552" s="13">
        <f t="shared" si="5"/>
        <v>4.8881768244832813E-3</v>
      </c>
      <c r="Y552" s="13">
        <f t="shared" si="6"/>
        <v>8.5411684318414949E-3</v>
      </c>
      <c r="Z552" s="13">
        <f t="shared" si="7"/>
        <v>4.0005161956382373E-3</v>
      </c>
      <c r="AA552" s="13">
        <f t="shared" si="8"/>
        <v>9.3830334190232456E-3</v>
      </c>
    </row>
    <row r="553" spans="1:27" ht="15" x14ac:dyDescent="0.25">
      <c r="A553" s="4">
        <v>260128</v>
      </c>
      <c r="B553" s="20" t="s">
        <v>157</v>
      </c>
      <c r="C553" s="10" t="s">
        <v>23</v>
      </c>
      <c r="D553" s="10" t="s">
        <v>131</v>
      </c>
      <c r="E553" s="10" t="s">
        <v>25</v>
      </c>
      <c r="F553" s="38">
        <v>0.93263696439991328</v>
      </c>
      <c r="G553" s="49">
        <v>360.3</v>
      </c>
      <c r="H553" s="49">
        <v>390.6</v>
      </c>
      <c r="I553" s="49">
        <v>393</v>
      </c>
      <c r="J553" s="49">
        <v>364.7</v>
      </c>
      <c r="K553" s="49">
        <v>429.4</v>
      </c>
      <c r="L553" s="49">
        <v>457.7</v>
      </c>
      <c r="M553" s="49">
        <v>454.3</v>
      </c>
      <c r="N553" s="49">
        <v>419.5</v>
      </c>
      <c r="O553" s="49">
        <v>457.5</v>
      </c>
      <c r="P553" s="49">
        <v>472.3</v>
      </c>
      <c r="Q553" s="49">
        <v>500.4</v>
      </c>
      <c r="R553" s="49">
        <v>456.5</v>
      </c>
      <c r="S553" s="49">
        <v>473.8</v>
      </c>
      <c r="T553" s="49">
        <v>456.5</v>
      </c>
      <c r="U553" s="49">
        <v>489.9</v>
      </c>
      <c r="V553" s="49">
        <v>456.2</v>
      </c>
      <c r="W553" s="52">
        <v>491.3</v>
      </c>
      <c r="X553" s="13">
        <f t="shared" si="5"/>
        <v>-8.3026799789804873E-3</v>
      </c>
      <c r="Y553" s="13">
        <f t="shared" si="6"/>
        <v>-5.5637982195846369E-3</v>
      </c>
      <c r="Z553" s="13">
        <f t="shared" si="7"/>
        <v>-1.5985506474125444E-4</v>
      </c>
      <c r="AA553" s="13">
        <f t="shared" si="8"/>
        <v>9.3263696439991328E-3</v>
      </c>
    </row>
    <row r="554" spans="1:27" ht="15" x14ac:dyDescent="0.25">
      <c r="A554" s="4">
        <v>260128</v>
      </c>
      <c r="B554" s="20" t="s">
        <v>152</v>
      </c>
      <c r="C554" s="10" t="s">
        <v>23</v>
      </c>
      <c r="D554" s="10" t="s">
        <v>153</v>
      </c>
      <c r="E554" s="10" t="s">
        <v>25</v>
      </c>
      <c r="F554" s="38">
        <v>0.84556254367575967</v>
      </c>
      <c r="G554" s="49">
        <v>3569</v>
      </c>
      <c r="H554" s="49">
        <v>3414</v>
      </c>
      <c r="I554" s="49">
        <v>3488</v>
      </c>
      <c r="J554" s="49">
        <v>3344</v>
      </c>
      <c r="K554" s="49">
        <v>3439</v>
      </c>
      <c r="L554" s="49">
        <v>3346</v>
      </c>
      <c r="M554" s="49">
        <v>3720</v>
      </c>
      <c r="N554" s="49">
        <v>3523</v>
      </c>
      <c r="O554" s="49">
        <v>3620</v>
      </c>
      <c r="P554" s="49">
        <v>3437</v>
      </c>
      <c r="Q554" s="49">
        <v>3601</v>
      </c>
      <c r="R554" s="49">
        <v>3548</v>
      </c>
      <c r="S554" s="49">
        <v>3675</v>
      </c>
      <c r="T554" s="49">
        <v>3350</v>
      </c>
      <c r="U554" s="49">
        <v>3595</v>
      </c>
      <c r="V554" s="49">
        <v>3690</v>
      </c>
      <c r="W554" s="52">
        <v>3796</v>
      </c>
      <c r="X554" s="13">
        <f t="shared" si="5"/>
        <v>-6.1005539583479651E-3</v>
      </c>
      <c r="Y554" s="13">
        <f t="shared" si="6"/>
        <v>-4.233102864399374E-4</v>
      </c>
      <c r="Z554" s="13">
        <f t="shared" si="7"/>
        <v>1.0022586109542653E-2</v>
      </c>
      <c r="AA554" s="13">
        <f t="shared" si="8"/>
        <v>8.4556254367575967E-3</v>
      </c>
    </row>
    <row r="555" spans="1:27" ht="15" x14ac:dyDescent="0.25">
      <c r="A555" s="4">
        <v>260128</v>
      </c>
      <c r="B555" s="20" t="s">
        <v>160</v>
      </c>
      <c r="C555" s="10" t="s">
        <v>23</v>
      </c>
      <c r="D555" s="10" t="s">
        <v>29</v>
      </c>
      <c r="E555" s="10" t="s">
        <v>25</v>
      </c>
      <c r="F555" s="38">
        <v>0.81635287094847797</v>
      </c>
      <c r="G555" s="49">
        <v>280.52</v>
      </c>
      <c r="H555" s="49">
        <v>275.07</v>
      </c>
      <c r="I555" s="49">
        <v>286.07</v>
      </c>
      <c r="J555" s="49">
        <v>295.37</v>
      </c>
      <c r="K555" s="49">
        <v>293.86</v>
      </c>
      <c r="L555" s="49">
        <v>281.73</v>
      </c>
      <c r="M555" s="49">
        <v>257.61</v>
      </c>
      <c r="N555" s="49">
        <v>278.27</v>
      </c>
      <c r="O555" s="49">
        <v>273.55</v>
      </c>
      <c r="P555" s="49">
        <v>277.11</v>
      </c>
      <c r="Q555" s="49">
        <v>295.72000000000003</v>
      </c>
      <c r="R555" s="49">
        <v>302.79000000000002</v>
      </c>
      <c r="S555" s="49">
        <v>307.61</v>
      </c>
      <c r="T555" s="49">
        <v>306.68</v>
      </c>
      <c r="U555" s="49">
        <v>310.7</v>
      </c>
      <c r="V555" s="49">
        <v>314.67</v>
      </c>
      <c r="W555" s="52">
        <v>317.73</v>
      </c>
      <c r="X555" s="13">
        <f t="shared" si="5"/>
        <v>2.4990914699593469E-2</v>
      </c>
      <c r="Y555" s="13">
        <f t="shared" si="6"/>
        <v>1.2351583113456632E-2</v>
      </c>
      <c r="Z555" s="13">
        <f t="shared" si="7"/>
        <v>9.6760005864242604E-3</v>
      </c>
      <c r="AA555" s="13">
        <f t="shared" si="8"/>
        <v>8.1635287094847797E-3</v>
      </c>
    </row>
    <row r="556" spans="1:27" ht="15" x14ac:dyDescent="0.25">
      <c r="A556" s="4">
        <v>260128</v>
      </c>
      <c r="B556" s="20" t="s">
        <v>121</v>
      </c>
      <c r="C556" s="10" t="s">
        <v>23</v>
      </c>
      <c r="D556" s="10" t="s">
        <v>122</v>
      </c>
      <c r="E556" s="10" t="s">
        <v>25</v>
      </c>
      <c r="F556" s="38">
        <v>0.70686850994621242</v>
      </c>
      <c r="G556" s="49">
        <v>2776</v>
      </c>
      <c r="H556" s="49">
        <v>2524</v>
      </c>
      <c r="I556" s="49">
        <v>2771</v>
      </c>
      <c r="J556" s="49">
        <v>3051</v>
      </c>
      <c r="K556" s="49">
        <v>3296</v>
      </c>
      <c r="L556" s="49">
        <v>3285</v>
      </c>
      <c r="M556" s="49">
        <v>3554</v>
      </c>
      <c r="N556" s="49">
        <v>3765</v>
      </c>
      <c r="O556" s="49">
        <v>3728</v>
      </c>
      <c r="P556" s="49">
        <v>3485</v>
      </c>
      <c r="Q556" s="49">
        <v>3773</v>
      </c>
      <c r="R556" s="49">
        <v>3992</v>
      </c>
      <c r="S556" s="49">
        <v>4095</v>
      </c>
      <c r="T556" s="49">
        <v>3719</v>
      </c>
      <c r="U556" s="49">
        <v>3943</v>
      </c>
      <c r="V556" s="49">
        <v>4229</v>
      </c>
      <c r="W556" s="52">
        <v>4208</v>
      </c>
      <c r="X556" s="13">
        <f t="shared" si="5"/>
        <v>1.5249266862169986E-2</v>
      </c>
      <c r="Y556" s="13">
        <f t="shared" si="6"/>
        <v>1.091212529687402E-2</v>
      </c>
      <c r="Z556" s="13">
        <f t="shared" si="7"/>
        <v>1.504857451266739E-2</v>
      </c>
      <c r="AA556" s="13">
        <f t="shared" si="8"/>
        <v>7.0686850994621242E-3</v>
      </c>
    </row>
    <row r="557" spans="1:27" ht="15" x14ac:dyDescent="0.25">
      <c r="A557" s="4">
        <v>260128</v>
      </c>
      <c r="B557" s="20" t="s">
        <v>92</v>
      </c>
      <c r="C557" s="10" t="s">
        <v>23</v>
      </c>
      <c r="D557" s="10" t="s">
        <v>93</v>
      </c>
      <c r="E557" s="10" t="s">
        <v>25</v>
      </c>
      <c r="F557" s="38">
        <v>0.69623748542622099</v>
      </c>
      <c r="G557" s="49">
        <v>570.58000000000004</v>
      </c>
      <c r="H557" s="49">
        <v>556.02</v>
      </c>
      <c r="I557" s="49">
        <v>562.95000000000005</v>
      </c>
      <c r="J557" s="49">
        <v>555.04</v>
      </c>
      <c r="K557" s="49">
        <v>564</v>
      </c>
      <c r="L557" s="49">
        <v>545.37</v>
      </c>
      <c r="M557" s="49">
        <v>571.69000000000005</v>
      </c>
      <c r="N557" s="49">
        <v>537.84</v>
      </c>
      <c r="O557" s="49">
        <v>537.36</v>
      </c>
      <c r="P557" s="49">
        <v>534.96</v>
      </c>
      <c r="Q557" s="49">
        <v>537.82000000000005</v>
      </c>
      <c r="R557" s="49">
        <v>528.44000000000005</v>
      </c>
      <c r="S557" s="49">
        <v>520.54999999999995</v>
      </c>
      <c r="T557" s="49">
        <v>536.47</v>
      </c>
      <c r="U557" s="49">
        <v>521.26</v>
      </c>
      <c r="V557" s="49">
        <v>540.25</v>
      </c>
      <c r="W557" s="52">
        <v>535.29999999999995</v>
      </c>
      <c r="X557" s="13">
        <f t="shared" si="5"/>
        <v>7.1166997365401663E-4</v>
      </c>
      <c r="Y557" s="13">
        <f t="shared" si="6"/>
        <v>-7.7992539844015107E-3</v>
      </c>
      <c r="Z557" s="13">
        <f t="shared" si="7"/>
        <v>5.6058707374493366E-3</v>
      </c>
      <c r="AA557" s="13">
        <f t="shared" si="8"/>
        <v>6.9623748542622099E-3</v>
      </c>
    </row>
    <row r="558" spans="1:27" ht="15" x14ac:dyDescent="0.25">
      <c r="A558" s="4">
        <v>260128</v>
      </c>
      <c r="B558" s="20" t="s">
        <v>161</v>
      </c>
      <c r="C558" s="10" t="s">
        <v>23</v>
      </c>
      <c r="D558" s="10" t="s">
        <v>162</v>
      </c>
      <c r="E558" s="10" t="s">
        <v>59</v>
      </c>
      <c r="F558" s="38">
        <v>0.44015929574512391</v>
      </c>
      <c r="G558" s="49">
        <v>3624</v>
      </c>
      <c r="H558" s="49">
        <v>2825</v>
      </c>
      <c r="I558" s="49">
        <v>2262</v>
      </c>
      <c r="J558" s="49">
        <v>3081</v>
      </c>
      <c r="K558" s="49">
        <v>3531</v>
      </c>
      <c r="L558" s="49">
        <v>2740</v>
      </c>
      <c r="M558" s="49">
        <v>1968</v>
      </c>
      <c r="N558" s="49">
        <v>2920</v>
      </c>
      <c r="O558" s="49">
        <v>2780</v>
      </c>
      <c r="P558" s="49">
        <v>2247</v>
      </c>
      <c r="Q558" s="49">
        <v>1769</v>
      </c>
      <c r="R558" s="49">
        <v>2758</v>
      </c>
      <c r="S558" s="49">
        <v>2834</v>
      </c>
      <c r="T558" s="49">
        <v>2144</v>
      </c>
      <c r="U558" s="49">
        <v>1761</v>
      </c>
      <c r="V558" s="49">
        <v>2803</v>
      </c>
      <c r="W558" s="52">
        <v>2876</v>
      </c>
      <c r="X558" s="13">
        <f t="shared" si="5"/>
        <v>-1.0720233139050794E-2</v>
      </c>
      <c r="Y558" s="13">
        <f t="shared" si="6"/>
        <v>-8.4166228300897039E-4</v>
      </c>
      <c r="Z558" s="13">
        <f t="shared" si="7"/>
        <v>4.7383384226598046E-3</v>
      </c>
      <c r="AA558" s="13">
        <f t="shared" si="8"/>
        <v>4.4015929574512391E-3</v>
      </c>
    </row>
    <row r="559" spans="1:27" ht="15" x14ac:dyDescent="0.25">
      <c r="A559" s="4">
        <v>260128</v>
      </c>
      <c r="B559" s="20" t="s">
        <v>123</v>
      </c>
      <c r="C559" s="10" t="s">
        <v>23</v>
      </c>
      <c r="D559" s="10" t="s">
        <v>124</v>
      </c>
      <c r="E559" s="10" t="s">
        <v>25</v>
      </c>
      <c r="F559" s="38">
        <v>0.3260363297624691</v>
      </c>
      <c r="G559" s="49">
        <v>2040</v>
      </c>
      <c r="H559" s="49">
        <v>1838</v>
      </c>
      <c r="I559" s="49">
        <v>2202</v>
      </c>
      <c r="J559" s="49">
        <v>2312</v>
      </c>
      <c r="K559" s="49">
        <v>2462</v>
      </c>
      <c r="L559" s="49">
        <v>2266</v>
      </c>
      <c r="M559" s="50">
        <v>3174</v>
      </c>
      <c r="N559" s="50">
        <v>3339</v>
      </c>
      <c r="O559" s="50">
        <v>3776</v>
      </c>
      <c r="P559" s="49">
        <v>3520</v>
      </c>
      <c r="Q559" s="49">
        <v>3603</v>
      </c>
      <c r="R559" s="49">
        <v>3549</v>
      </c>
      <c r="S559" s="49">
        <v>3874</v>
      </c>
      <c r="T559" s="49">
        <v>3795</v>
      </c>
      <c r="U559" s="49">
        <v>3699</v>
      </c>
      <c r="V559" s="49">
        <v>3661</v>
      </c>
      <c r="W559" s="52">
        <v>3923</v>
      </c>
      <c r="X559" s="13">
        <f t="shared" si="5"/>
        <v>1.8905541042210983E-2</v>
      </c>
      <c r="Y559" s="13">
        <f t="shared" si="6"/>
        <v>6.4772957290331057E-3</v>
      </c>
      <c r="Z559" s="13">
        <f t="shared" si="7"/>
        <v>7.5082121069920404E-3</v>
      </c>
      <c r="AA559" s="13">
        <f t="shared" si="8"/>
        <v>3.260363297624691E-3</v>
      </c>
    </row>
    <row r="560" spans="1:27" ht="15" x14ac:dyDescent="0.25">
      <c r="A560" s="4">
        <v>260128</v>
      </c>
      <c r="B560" s="20" t="s">
        <v>178</v>
      </c>
      <c r="C560" s="10" t="s">
        <v>23</v>
      </c>
      <c r="D560" s="10" t="s">
        <v>179</v>
      </c>
      <c r="E560" s="10" t="s">
        <v>25</v>
      </c>
      <c r="F560" s="38">
        <v>0.13216834210114661</v>
      </c>
      <c r="G560" s="49">
        <v>336.43</v>
      </c>
      <c r="H560" s="49">
        <v>360.36</v>
      </c>
      <c r="I560" s="49">
        <v>366.56</v>
      </c>
      <c r="J560" s="49">
        <v>382.43</v>
      </c>
      <c r="K560" s="49">
        <v>341.08</v>
      </c>
      <c r="L560" s="49">
        <v>370.48</v>
      </c>
      <c r="M560" s="49">
        <v>370.99</v>
      </c>
      <c r="N560" s="49">
        <v>389.47</v>
      </c>
      <c r="O560" s="49">
        <v>361.2</v>
      </c>
      <c r="P560" s="49">
        <v>386.85</v>
      </c>
      <c r="Q560" s="49">
        <v>380.6</v>
      </c>
      <c r="R560" s="49">
        <v>393.13</v>
      </c>
      <c r="S560" s="49">
        <v>371.84</v>
      </c>
      <c r="T560" s="49">
        <v>392.24</v>
      </c>
      <c r="U560" s="49">
        <v>376.82</v>
      </c>
      <c r="V560" s="49">
        <v>395.02</v>
      </c>
      <c r="W560" s="52">
        <v>373.87</v>
      </c>
      <c r="X560" s="13">
        <f t="shared" si="5"/>
        <v>3.5173124861331839E-3</v>
      </c>
      <c r="Y560" s="13">
        <f t="shared" si="6"/>
        <v>-2.4580409803551806E-3</v>
      </c>
      <c r="Z560" s="13">
        <f t="shared" si="7"/>
        <v>1.232048916905093E-3</v>
      </c>
      <c r="AA560" s="13">
        <f t="shared" si="8"/>
        <v>1.3216834210114659E-3</v>
      </c>
    </row>
    <row r="561" spans="1:27" ht="15" x14ac:dyDescent="0.25">
      <c r="A561" s="4">
        <v>260128</v>
      </c>
      <c r="B561" s="20" t="s">
        <v>68</v>
      </c>
      <c r="C561" s="10" t="s">
        <v>23</v>
      </c>
      <c r="D561" s="10" t="s">
        <v>69</v>
      </c>
      <c r="E561" s="10" t="s">
        <v>25</v>
      </c>
      <c r="F561" s="38">
        <v>-0.2441688620445914</v>
      </c>
      <c r="G561" s="49">
        <v>5815</v>
      </c>
      <c r="H561" s="49">
        <v>4920</v>
      </c>
      <c r="I561" s="49">
        <v>5097</v>
      </c>
      <c r="J561" s="49">
        <v>4784</v>
      </c>
      <c r="K561" s="49">
        <v>4923</v>
      </c>
      <c r="L561" s="49">
        <v>4649</v>
      </c>
      <c r="M561" s="49">
        <v>4792</v>
      </c>
      <c r="N561" s="49">
        <v>4926</v>
      </c>
      <c r="O561" s="49">
        <v>5088</v>
      </c>
      <c r="P561" s="49">
        <v>4490</v>
      </c>
      <c r="Q561" s="49">
        <v>3989</v>
      </c>
      <c r="R561" s="49">
        <v>3993</v>
      </c>
      <c r="S561" s="49">
        <v>4136</v>
      </c>
      <c r="T561" s="49">
        <v>3621</v>
      </c>
      <c r="U561" s="49">
        <v>3773</v>
      </c>
      <c r="V561" s="49">
        <v>4033</v>
      </c>
      <c r="W561" s="52">
        <v>4098</v>
      </c>
      <c r="X561" s="13">
        <f t="shared" si="5"/>
        <v>-5.2324181117533675E-2</v>
      </c>
      <c r="Y561" s="13">
        <f t="shared" si="6"/>
        <v>-1.3723870639811953E-2</v>
      </c>
      <c r="Z561" s="13">
        <f t="shared" si="7"/>
        <v>2.5768214906911613E-3</v>
      </c>
      <c r="AA561" s="13">
        <f t="shared" si="8"/>
        <v>-2.4416886204459143E-3</v>
      </c>
    </row>
    <row r="562" spans="1:27" ht="15" x14ac:dyDescent="0.25">
      <c r="A562" s="4">
        <v>260128</v>
      </c>
      <c r="B562" s="20" t="s">
        <v>108</v>
      </c>
      <c r="C562" s="10" t="s">
        <v>23</v>
      </c>
      <c r="D562" s="10" t="s">
        <v>109</v>
      </c>
      <c r="E562" s="10" t="s">
        <v>59</v>
      </c>
      <c r="F562" s="38">
        <v>-0.73023158773211083</v>
      </c>
      <c r="G562" s="49">
        <v>1946</v>
      </c>
      <c r="H562" s="49">
        <v>1971</v>
      </c>
      <c r="I562" s="49">
        <v>1976</v>
      </c>
      <c r="J562" s="49">
        <v>1817</v>
      </c>
      <c r="K562" s="49">
        <v>1676</v>
      </c>
      <c r="L562" s="49">
        <v>1437</v>
      </c>
      <c r="M562" s="49">
        <v>1376</v>
      </c>
      <c r="N562" s="49">
        <v>1292</v>
      </c>
      <c r="O562" s="49">
        <v>1208</v>
      </c>
      <c r="P562" s="49">
        <v>1174</v>
      </c>
      <c r="Q562" s="49">
        <v>1229</v>
      </c>
      <c r="R562" s="49">
        <v>1218</v>
      </c>
      <c r="S562" s="49">
        <v>1213</v>
      </c>
      <c r="T562" s="49">
        <v>1156</v>
      </c>
      <c r="U562" s="49">
        <v>1215</v>
      </c>
      <c r="V562" s="49">
        <v>1209</v>
      </c>
      <c r="W562" s="52">
        <v>1178</v>
      </c>
      <c r="X562" s="13">
        <f t="shared" si="5"/>
        <v>-3.7236243276789205E-3</v>
      </c>
      <c r="Y562" s="13">
        <f t="shared" si="6"/>
        <v>-2.9069767441860517E-3</v>
      </c>
      <c r="Z562" s="13">
        <f t="shared" si="7"/>
        <v>-1.8742190753852084E-3</v>
      </c>
      <c r="AA562" s="13">
        <f t="shared" si="8"/>
        <v>-7.3023158773211083E-3</v>
      </c>
    </row>
    <row r="563" spans="1:27" ht="15" x14ac:dyDescent="0.25">
      <c r="A563" s="4">
        <v>260128</v>
      </c>
      <c r="B563" s="20" t="s">
        <v>148</v>
      </c>
      <c r="C563" s="10" t="s">
        <v>23</v>
      </c>
      <c r="D563" s="10" t="s">
        <v>149</v>
      </c>
      <c r="E563" s="10" t="s">
        <v>25</v>
      </c>
      <c r="F563" s="38">
        <v>-0.84280530779123897</v>
      </c>
      <c r="G563" s="49">
        <v>17719</v>
      </c>
      <c r="H563" s="49">
        <v>18756</v>
      </c>
      <c r="I563" s="49">
        <v>16934</v>
      </c>
      <c r="J563" s="49">
        <v>21454</v>
      </c>
      <c r="K563" s="49">
        <v>24318</v>
      </c>
      <c r="L563" s="49">
        <v>23329</v>
      </c>
      <c r="M563" s="49">
        <v>24927</v>
      </c>
      <c r="N563" s="49">
        <v>23350</v>
      </c>
      <c r="O563" s="49">
        <v>25167</v>
      </c>
      <c r="P563" s="49">
        <v>21301</v>
      </c>
      <c r="Q563" s="49">
        <v>25500</v>
      </c>
      <c r="R563" s="49">
        <v>25182</v>
      </c>
      <c r="S563" s="49">
        <v>25707</v>
      </c>
      <c r="T563" s="49">
        <v>19335</v>
      </c>
      <c r="U563" s="49">
        <v>22496</v>
      </c>
      <c r="V563" s="49">
        <v>28095</v>
      </c>
      <c r="W563" s="52">
        <v>24901</v>
      </c>
      <c r="X563" s="13">
        <f t="shared" si="5"/>
        <v>-2.0124884839799351E-2</v>
      </c>
      <c r="Y563" s="13">
        <f t="shared" si="6"/>
        <v>-3.1381889599264579E-2</v>
      </c>
      <c r="Z563" s="13">
        <f t="shared" si="7"/>
        <v>3.14171699741157E-2</v>
      </c>
      <c r="AA563" s="13">
        <f t="shared" si="8"/>
        <v>-8.4280530779123897E-3</v>
      </c>
    </row>
    <row r="564" spans="1:27" ht="15" x14ac:dyDescent="0.25">
      <c r="A564" s="4">
        <v>260128</v>
      </c>
      <c r="B564" s="20" t="s">
        <v>26</v>
      </c>
      <c r="C564" s="10" t="s">
        <v>23</v>
      </c>
      <c r="D564" s="10" t="s">
        <v>27</v>
      </c>
      <c r="E564" s="10" t="s">
        <v>25</v>
      </c>
      <c r="F564" s="38">
        <v>-0.93806148391705202</v>
      </c>
      <c r="G564" s="49">
        <v>1207</v>
      </c>
      <c r="H564" s="49">
        <v>1016</v>
      </c>
      <c r="I564" s="49">
        <v>1166</v>
      </c>
      <c r="J564" s="49">
        <v>1144</v>
      </c>
      <c r="K564" s="49">
        <v>1179</v>
      </c>
      <c r="L564" s="49">
        <v>752.99</v>
      </c>
      <c r="M564" s="49">
        <v>844.19</v>
      </c>
      <c r="N564" s="49">
        <v>889.42</v>
      </c>
      <c r="O564" s="49">
        <v>1206</v>
      </c>
      <c r="P564" s="49">
        <v>948.54</v>
      </c>
      <c r="Q564" s="49">
        <v>1039</v>
      </c>
      <c r="R564" s="49">
        <v>1137</v>
      </c>
      <c r="S564" s="49">
        <v>1273</v>
      </c>
      <c r="T564" s="49">
        <v>903.23</v>
      </c>
      <c r="U564" s="49">
        <v>1001</v>
      </c>
      <c r="V564" s="49">
        <v>980.28</v>
      </c>
      <c r="W564" s="52">
        <v>1234</v>
      </c>
      <c r="X564" s="13">
        <f t="shared" si="5"/>
        <v>-1.0303487859121274E-2</v>
      </c>
      <c r="Y564" s="13">
        <f t="shared" si="6"/>
        <v>-8.7311562118730368E-3</v>
      </c>
      <c r="Z564" s="13">
        <f t="shared" si="7"/>
        <v>-3.6326296928999913E-2</v>
      </c>
      <c r="AA564" s="13">
        <f t="shared" si="8"/>
        <v>-9.3806148391705202E-3</v>
      </c>
    </row>
    <row r="565" spans="1:27" ht="15" x14ac:dyDescent="0.25">
      <c r="A565" s="4">
        <v>260128</v>
      </c>
      <c r="B565" s="20" t="s">
        <v>78</v>
      </c>
      <c r="C565" s="10" t="s">
        <v>23</v>
      </c>
      <c r="D565" s="10" t="s">
        <v>79</v>
      </c>
      <c r="E565" s="10" t="s">
        <v>59</v>
      </c>
      <c r="F565" s="38">
        <v>-1.03971579981692</v>
      </c>
      <c r="G565" s="49">
        <v>341.78</v>
      </c>
      <c r="H565" s="49">
        <v>328.03</v>
      </c>
      <c r="I565" s="49">
        <v>349.54</v>
      </c>
      <c r="J565" s="49">
        <v>329.82</v>
      </c>
      <c r="K565" s="49">
        <v>335.19</v>
      </c>
      <c r="L565" s="49">
        <v>310.83999999999997</v>
      </c>
      <c r="M565" s="49">
        <v>326.97000000000003</v>
      </c>
      <c r="N565" s="49">
        <v>322.08999999999997</v>
      </c>
      <c r="O565" s="49">
        <v>317.64999999999998</v>
      </c>
      <c r="P565" s="49">
        <v>310.08</v>
      </c>
      <c r="Q565" s="49">
        <v>293.18</v>
      </c>
      <c r="R565" s="49">
        <v>301.39</v>
      </c>
      <c r="S565" s="49">
        <v>305.77</v>
      </c>
      <c r="T565" s="49">
        <v>294.99</v>
      </c>
      <c r="U565" s="49">
        <v>301.04000000000002</v>
      </c>
      <c r="V565" s="49">
        <v>288.91000000000003</v>
      </c>
      <c r="W565" s="52">
        <v>293.39</v>
      </c>
      <c r="X565" s="13">
        <f t="shared" si="5"/>
        <v>-1.2466747079526219E-2</v>
      </c>
      <c r="Y565" s="13">
        <f t="shared" si="6"/>
        <v>6.5755900044339732E-3</v>
      </c>
      <c r="Z565" s="13">
        <f t="shared" si="7"/>
        <v>-1.0372426632535237E-2</v>
      </c>
      <c r="AA565" s="13">
        <f t="shared" si="8"/>
        <v>-1.0397157998169204E-2</v>
      </c>
    </row>
    <row r="566" spans="1:27" ht="15" x14ac:dyDescent="0.25">
      <c r="A566" s="4">
        <v>260128</v>
      </c>
      <c r="B566" s="20" t="s">
        <v>53</v>
      </c>
      <c r="C566" s="10" t="s">
        <v>23</v>
      </c>
      <c r="D566" s="10" t="s">
        <v>54</v>
      </c>
      <c r="E566" s="10" t="s">
        <v>25</v>
      </c>
      <c r="F566" s="38">
        <v>-1.2957737668366831</v>
      </c>
      <c r="G566" s="49">
        <v>1052</v>
      </c>
      <c r="H566" s="49">
        <v>860.81</v>
      </c>
      <c r="I566" s="49">
        <v>1041</v>
      </c>
      <c r="J566" s="49">
        <v>1013</v>
      </c>
      <c r="K566" s="49">
        <v>1217</v>
      </c>
      <c r="L566" s="49">
        <v>1001</v>
      </c>
      <c r="M566" s="49">
        <v>1014</v>
      </c>
      <c r="N566" s="49">
        <v>1046</v>
      </c>
      <c r="O566" s="49">
        <v>972.59</v>
      </c>
      <c r="P566" s="49">
        <v>1047</v>
      </c>
      <c r="Q566" s="49">
        <v>1110</v>
      </c>
      <c r="R566" s="49">
        <v>1143</v>
      </c>
      <c r="S566" s="49">
        <v>1205</v>
      </c>
      <c r="T566" s="49">
        <v>976.09</v>
      </c>
      <c r="U566" s="49">
        <v>1163</v>
      </c>
      <c r="V566" s="49">
        <v>1132</v>
      </c>
      <c r="W566" s="52">
        <v>1147</v>
      </c>
      <c r="X566" s="13">
        <f t="shared" si="5"/>
        <v>-1.5740288568257488E-2</v>
      </c>
      <c r="Y566" s="13">
        <f t="shared" si="6"/>
        <v>1.1952847145637602E-2</v>
      </c>
      <c r="Z566" s="13">
        <f t="shared" si="7"/>
        <v>-2.4514774608933587E-3</v>
      </c>
      <c r="AA566" s="13">
        <f t="shared" si="8"/>
        <v>-1.2957737668366831E-2</v>
      </c>
    </row>
    <row r="567" spans="1:27" ht="15" x14ac:dyDescent="0.25">
      <c r="A567" s="4">
        <v>260128</v>
      </c>
      <c r="B567" s="20" t="s">
        <v>186</v>
      </c>
      <c r="C567" s="10" t="s">
        <v>23</v>
      </c>
      <c r="D567" s="10" t="s">
        <v>109</v>
      </c>
      <c r="E567" s="10" t="s">
        <v>25</v>
      </c>
      <c r="F567" s="38">
        <v>-1.647885617351263</v>
      </c>
      <c r="G567" s="49">
        <v>6502</v>
      </c>
      <c r="H567" s="49">
        <v>6816</v>
      </c>
      <c r="I567" s="49">
        <v>6798</v>
      </c>
      <c r="J567" s="49">
        <v>6015</v>
      </c>
      <c r="K567" s="49">
        <v>5067</v>
      </c>
      <c r="L567" s="49">
        <v>4612</v>
      </c>
      <c r="M567" s="49">
        <v>4422</v>
      </c>
      <c r="N567" s="49">
        <v>4341</v>
      </c>
      <c r="O567" s="49">
        <v>4222</v>
      </c>
      <c r="P567" s="49">
        <v>4412</v>
      </c>
      <c r="Q567" s="49">
        <v>4483</v>
      </c>
      <c r="R567" s="49">
        <v>4645</v>
      </c>
      <c r="S567" s="49">
        <v>4185</v>
      </c>
      <c r="T567" s="49">
        <v>4047</v>
      </c>
      <c r="U567" s="49">
        <v>4137</v>
      </c>
      <c r="V567" s="49">
        <v>4137</v>
      </c>
      <c r="W567" s="52">
        <v>3913</v>
      </c>
      <c r="X567" s="13">
        <f t="shared" si="5"/>
        <v>-2.0592383638928013E-2</v>
      </c>
      <c r="Y567" s="13">
        <f t="shared" si="6"/>
        <v>-1.9930875576036899E-2</v>
      </c>
      <c r="Z567" s="13">
        <f t="shared" si="7"/>
        <v>-2.9857764194193059E-2</v>
      </c>
      <c r="AA567" s="13">
        <f t="shared" si="8"/>
        <v>-1.6478856173512635E-2</v>
      </c>
    </row>
    <row r="568" spans="1:27" ht="15" x14ac:dyDescent="0.25">
      <c r="A568" s="4">
        <v>260128</v>
      </c>
      <c r="B568" s="20" t="s">
        <v>70</v>
      </c>
      <c r="C568" s="10" t="s">
        <v>23</v>
      </c>
      <c r="D568" s="10" t="s">
        <v>71</v>
      </c>
      <c r="E568" s="10" t="s">
        <v>59</v>
      </c>
      <c r="F568" s="38">
        <v>-1.8282499780258421</v>
      </c>
      <c r="G568" s="49">
        <v>566</v>
      </c>
      <c r="H568" s="49">
        <v>1678</v>
      </c>
      <c r="I568" s="49">
        <v>1186</v>
      </c>
      <c r="J568" s="49">
        <v>493.7</v>
      </c>
      <c r="K568" s="49">
        <v>526.6</v>
      </c>
      <c r="L568" s="49">
        <v>1532</v>
      </c>
      <c r="M568" s="49">
        <v>1119</v>
      </c>
      <c r="N568" s="49">
        <v>374.5</v>
      </c>
      <c r="O568" s="49">
        <v>410.4</v>
      </c>
      <c r="P568" s="49">
        <v>1525</v>
      </c>
      <c r="Q568" s="49">
        <v>1202</v>
      </c>
      <c r="R568" s="49">
        <v>414.7</v>
      </c>
      <c r="S568" s="49">
        <v>416.8</v>
      </c>
      <c r="T568" s="49">
        <v>1421</v>
      </c>
      <c r="U568" s="49">
        <v>1188</v>
      </c>
      <c r="V568" s="49">
        <v>387.3</v>
      </c>
      <c r="W568" s="52">
        <v>354.4</v>
      </c>
      <c r="X568" s="13">
        <f t="shared" si="5"/>
        <v>-2.9225797386539298E-2</v>
      </c>
      <c r="Y568" s="13">
        <f t="shared" si="6"/>
        <v>-4.0526849037487711E-3</v>
      </c>
      <c r="Z568" s="13">
        <f t="shared" si="7"/>
        <v>-7.9639587269291212E-3</v>
      </c>
      <c r="AA568" s="13">
        <f t="shared" si="8"/>
        <v>-1.8282499780258421E-2</v>
      </c>
    </row>
    <row r="569" spans="1:27" ht="15" x14ac:dyDescent="0.25">
      <c r="A569" s="4">
        <v>260128</v>
      </c>
      <c r="B569" s="20" t="s">
        <v>190</v>
      </c>
      <c r="C569" s="10" t="s">
        <v>23</v>
      </c>
      <c r="D569" s="10" t="s">
        <v>191</v>
      </c>
      <c r="E569" s="10" t="s">
        <v>25</v>
      </c>
      <c r="F569" s="38">
        <v>-2.8058361391694708</v>
      </c>
      <c r="G569" s="49">
        <v>964.8</v>
      </c>
      <c r="H569" s="49">
        <v>1013</v>
      </c>
      <c r="I569" s="49">
        <v>1366</v>
      </c>
      <c r="J569" s="49">
        <v>1245</v>
      </c>
      <c r="K569" s="49">
        <v>1094</v>
      </c>
      <c r="L569" s="49">
        <v>1049</v>
      </c>
      <c r="M569" s="49">
        <v>1411</v>
      </c>
      <c r="N569" s="49">
        <v>1366</v>
      </c>
      <c r="O569" s="49">
        <v>1155</v>
      </c>
      <c r="P569" s="49">
        <v>1047</v>
      </c>
      <c r="Q569" s="49">
        <v>1451</v>
      </c>
      <c r="R569" s="49">
        <v>1498</v>
      </c>
      <c r="S569" s="49">
        <v>1345</v>
      </c>
      <c r="T569" s="49">
        <v>1073</v>
      </c>
      <c r="U569" s="49">
        <v>1501</v>
      </c>
      <c r="V569" s="49">
        <v>1427</v>
      </c>
      <c r="W569" s="52">
        <v>1195</v>
      </c>
      <c r="X569" s="13">
        <f t="shared" si="5"/>
        <v>4.8680022467701978E-3</v>
      </c>
      <c r="Y569" s="13">
        <f t="shared" si="6"/>
        <v>9.3161915408981333E-3</v>
      </c>
      <c r="Z569" s="13">
        <f t="shared" si="7"/>
        <v>-1.3106885730108875E-2</v>
      </c>
      <c r="AA569" s="13">
        <f t="shared" si="8"/>
        <v>-2.8058361391694708E-2</v>
      </c>
    </row>
    <row r="570" spans="1:27" ht="15" x14ac:dyDescent="0.25">
      <c r="A570" s="4">
        <v>260128</v>
      </c>
      <c r="B570" s="20" t="s">
        <v>171</v>
      </c>
      <c r="C570" s="10" t="s">
        <v>23</v>
      </c>
      <c r="D570" s="10" t="s">
        <v>172</v>
      </c>
      <c r="E570" s="10" t="s">
        <v>42</v>
      </c>
      <c r="F570" s="38">
        <v>-3.4654537578514222</v>
      </c>
      <c r="G570" s="49">
        <v>679.33</v>
      </c>
      <c r="H570" s="49">
        <v>699.64</v>
      </c>
      <c r="I570" s="49">
        <v>720.49</v>
      </c>
      <c r="J570" s="49">
        <v>736.12</v>
      </c>
      <c r="K570" s="49">
        <v>736.56</v>
      </c>
      <c r="L570" s="49">
        <v>969.57</v>
      </c>
      <c r="M570" s="49">
        <v>987.56</v>
      </c>
      <c r="N570" s="49">
        <v>1057</v>
      </c>
      <c r="O570" s="49">
        <v>1015</v>
      </c>
      <c r="P570" s="49">
        <v>1053</v>
      </c>
      <c r="Q570" s="49">
        <v>1110</v>
      </c>
      <c r="R570" s="49">
        <v>1144</v>
      </c>
      <c r="S570" s="49">
        <v>1197</v>
      </c>
      <c r="T570" s="49">
        <v>1104</v>
      </c>
      <c r="U570" s="49">
        <v>1153</v>
      </c>
      <c r="V570" s="49">
        <v>1163</v>
      </c>
      <c r="W570" s="52">
        <v>1037</v>
      </c>
      <c r="X570" s="13">
        <f t="shared" si="5"/>
        <v>1.1323268206039128E-2</v>
      </c>
      <c r="Y570" s="13">
        <f t="shared" si="6"/>
        <v>9.4401756311746077E-3</v>
      </c>
      <c r="Z570" s="13">
        <f t="shared" si="7"/>
        <v>4.1322314049587749E-3</v>
      </c>
      <c r="AA570" s="13">
        <f t="shared" si="8"/>
        <v>-3.4654537578514222E-2</v>
      </c>
    </row>
    <row r="571" spans="1:27" customFormat="1" hidden="1" x14ac:dyDescent="0.3">
      <c r="B571" s="10" t="s">
        <v>156</v>
      </c>
      <c r="C571" s="10" t="s">
        <v>31</v>
      </c>
      <c r="D571" s="10" t="s">
        <v>32</v>
      </c>
      <c r="E571" s="10" t="s">
        <v>35</v>
      </c>
      <c r="F571" s="10">
        <v>6.6864340636564989</v>
      </c>
      <c r="G571" s="10">
        <v>28887</v>
      </c>
      <c r="H571" s="10">
        <v>34354</v>
      </c>
      <c r="I571" s="10">
        <v>28571</v>
      </c>
      <c r="J571" s="10">
        <v>33326</v>
      </c>
      <c r="K571" s="10">
        <v>34729</v>
      </c>
      <c r="L571" s="10">
        <v>38841</v>
      </c>
      <c r="M571" s="10">
        <v>33818</v>
      </c>
      <c r="N571" s="10">
        <v>43757</v>
      </c>
      <c r="O571" s="10">
        <v>44145</v>
      </c>
      <c r="P571" s="10">
        <v>52231</v>
      </c>
      <c r="Q571" s="10">
        <v>45022</v>
      </c>
      <c r="R571" s="10">
        <v>55355</v>
      </c>
      <c r="S571" s="10">
        <v>60655</v>
      </c>
      <c r="T571" s="10">
        <v>72869</v>
      </c>
      <c r="U571" s="10">
        <v>61572</v>
      </c>
      <c r="V571" s="10">
        <v>72685</v>
      </c>
      <c r="W571" s="16">
        <v>78560</v>
      </c>
      <c r="X571" s="13">
        <f t="shared" si="5"/>
        <v>9.6772529693383236E-2</v>
      </c>
      <c r="Y571" s="13">
        <f t="shared" si="6"/>
        <v>7.0756431139670228E-2</v>
      </c>
      <c r="Z571" s="13">
        <f t="shared" si="7"/>
        <v>6.9195171909874675E-2</v>
      </c>
      <c r="AA571" s="13">
        <f t="shared" si="8"/>
        <v>6.6864340636564989E-2</v>
      </c>
    </row>
    <row r="572" spans="1:27" ht="15" x14ac:dyDescent="0.25">
      <c r="A572" s="4">
        <v>260128</v>
      </c>
      <c r="B572" s="20" t="s">
        <v>73</v>
      </c>
      <c r="C572" s="10" t="s">
        <v>23</v>
      </c>
      <c r="D572" s="10" t="s">
        <v>29</v>
      </c>
      <c r="E572" s="10" t="s">
        <v>25</v>
      </c>
      <c r="F572" s="38">
        <v>-5.6175071997856758</v>
      </c>
      <c r="G572" s="49">
        <v>110.43</v>
      </c>
      <c r="H572" s="49">
        <v>97.87</v>
      </c>
      <c r="I572" s="49">
        <v>104.99</v>
      </c>
      <c r="J572" s="49">
        <v>112.35</v>
      </c>
      <c r="K572" s="49">
        <v>111.99</v>
      </c>
      <c r="L572" s="49">
        <v>108.09</v>
      </c>
      <c r="M572" s="49">
        <v>112.9</v>
      </c>
      <c r="N572" s="49">
        <v>149.49</v>
      </c>
      <c r="O572" s="49">
        <v>152.03</v>
      </c>
      <c r="P572" s="50">
        <v>163.19999999999999</v>
      </c>
      <c r="Q572" s="49">
        <v>149.51</v>
      </c>
      <c r="R572" s="49">
        <v>142.66999999999999</v>
      </c>
      <c r="S572" s="49">
        <v>191.08</v>
      </c>
      <c r="T572" s="49">
        <v>138.16</v>
      </c>
      <c r="U572" s="49">
        <v>126.17</v>
      </c>
      <c r="V572" s="49">
        <v>141.83000000000001</v>
      </c>
      <c r="W572" s="52">
        <v>157.53</v>
      </c>
      <c r="X572" s="13">
        <f t="shared" si="5"/>
        <v>-3.873402840082929E-2</v>
      </c>
      <c r="Y572" s="13">
        <f t="shared" si="6"/>
        <v>-3.7559138746741438E-2</v>
      </c>
      <c r="Z572" s="13">
        <f t="shared" si="7"/>
        <v>-1.4044943820222811E-3</v>
      </c>
      <c r="AA572" s="13">
        <f t="shared" si="8"/>
        <v>-5.6175071997856874E-2</v>
      </c>
    </row>
    <row r="573" spans="1:27" ht="15" x14ac:dyDescent="0.25">
      <c r="A573" s="4">
        <v>260128</v>
      </c>
      <c r="B573" s="20" t="s">
        <v>80</v>
      </c>
      <c r="C573" s="10" t="s">
        <v>23</v>
      </c>
      <c r="D573" s="10" t="s">
        <v>29</v>
      </c>
      <c r="E573" s="10" t="s">
        <v>25</v>
      </c>
      <c r="F573" s="38">
        <v>-18.746142955675769</v>
      </c>
      <c r="G573" s="49">
        <v>58.01</v>
      </c>
      <c r="H573" s="49">
        <v>51.14</v>
      </c>
      <c r="I573" s="49">
        <v>52</v>
      </c>
      <c r="J573" s="49">
        <v>55.33</v>
      </c>
      <c r="K573" s="49">
        <v>52.48</v>
      </c>
      <c r="L573" s="49">
        <v>48.36</v>
      </c>
      <c r="M573" s="49">
        <v>48.01</v>
      </c>
      <c r="N573" s="49">
        <v>48.8</v>
      </c>
      <c r="O573" s="49">
        <v>20.84</v>
      </c>
      <c r="P573" s="49">
        <v>47.54</v>
      </c>
      <c r="Q573" s="49">
        <v>46.88</v>
      </c>
      <c r="R573" s="49">
        <v>49.24</v>
      </c>
      <c r="S573" s="50">
        <v>60.17</v>
      </c>
      <c r="T573" s="50">
        <v>67.930000000000007</v>
      </c>
      <c r="U573" s="50">
        <v>74.8</v>
      </c>
      <c r="V573" s="49">
        <v>72.569999999999993</v>
      </c>
      <c r="W573" s="52">
        <v>8.5299999999999994</v>
      </c>
      <c r="X573" s="13">
        <f t="shared" si="5"/>
        <v>0.10003434234411057</v>
      </c>
      <c r="Y573" s="13">
        <f t="shared" si="6"/>
        <v>0.12452056016412438</v>
      </c>
      <c r="Z573" s="13">
        <f t="shared" si="7"/>
        <v>9.2527960656778152E-2</v>
      </c>
      <c r="AA573" s="13">
        <f t="shared" si="8"/>
        <v>-0.1874614295567576</v>
      </c>
    </row>
    <row r="574" spans="1:27" customFormat="1" hidden="1" x14ac:dyDescent="0.3">
      <c r="B574" s="10" t="s">
        <v>159</v>
      </c>
      <c r="C574" s="10" t="s">
        <v>67</v>
      </c>
      <c r="D574" s="10" t="s">
        <v>32</v>
      </c>
      <c r="E574" s="10" t="s">
        <v>35</v>
      </c>
      <c r="F574" s="10">
        <v>2.4104813532900731</v>
      </c>
      <c r="G574" s="10">
        <v>112254</v>
      </c>
      <c r="H574" s="10">
        <v>123453</v>
      </c>
      <c r="I574" s="10">
        <v>151783</v>
      </c>
      <c r="J574" s="10">
        <v>109018</v>
      </c>
      <c r="K574" s="10">
        <v>124675</v>
      </c>
      <c r="L574" s="10">
        <v>133808</v>
      </c>
      <c r="M574" s="10">
        <v>174078</v>
      </c>
      <c r="N574" s="10">
        <v>118782</v>
      </c>
      <c r="O574" s="10">
        <v>143039</v>
      </c>
      <c r="P574" s="10">
        <v>141536</v>
      </c>
      <c r="Q574" s="10">
        <v>195070</v>
      </c>
      <c r="R574" s="10">
        <v>128864</v>
      </c>
      <c r="S574" s="10">
        <v>157876</v>
      </c>
      <c r="T574" s="10">
        <v>168752</v>
      </c>
      <c r="U574" s="10">
        <v>216396</v>
      </c>
      <c r="V574" s="10">
        <v>170319</v>
      </c>
      <c r="W574" s="16">
        <v>175071</v>
      </c>
      <c r="X574" s="13">
        <f t="shared" si="5"/>
        <v>4.3661144853740952E-2</v>
      </c>
      <c r="Y574" s="13">
        <f t="shared" si="6"/>
        <v>3.2780887909223067E-2</v>
      </c>
      <c r="Z574" s="13">
        <f t="shared" si="7"/>
        <v>6.1699271307122716E-2</v>
      </c>
      <c r="AA574" s="13">
        <f t="shared" si="8"/>
        <v>2.4104813532900726E-2</v>
      </c>
    </row>
    <row r="575" spans="1:27" ht="15" x14ac:dyDescent="0.25">
      <c r="A575" s="4">
        <v>260128</v>
      </c>
      <c r="B575" s="20" t="s">
        <v>98</v>
      </c>
      <c r="C575" s="10" t="s">
        <v>23</v>
      </c>
      <c r="D575" s="10" t="s">
        <v>99</v>
      </c>
      <c r="E575" s="10" t="s">
        <v>25</v>
      </c>
      <c r="F575" s="38">
        <v>-25.45045045045045</v>
      </c>
      <c r="G575" s="49">
        <v>515</v>
      </c>
      <c r="H575" s="49">
        <v>544</v>
      </c>
      <c r="I575" s="49">
        <v>437</v>
      </c>
      <c r="J575" s="49">
        <v>362</v>
      </c>
      <c r="K575" s="49">
        <v>315</v>
      </c>
      <c r="L575" s="49">
        <v>336</v>
      </c>
      <c r="M575" s="49">
        <v>296</v>
      </c>
      <c r="N575" s="49">
        <v>350</v>
      </c>
      <c r="O575" s="49">
        <v>175</v>
      </c>
      <c r="P575" s="49">
        <v>275</v>
      </c>
      <c r="Q575" s="49">
        <v>233</v>
      </c>
      <c r="R575" s="49">
        <v>135</v>
      </c>
      <c r="S575" s="49">
        <v>206</v>
      </c>
      <c r="T575" s="49">
        <v>126</v>
      </c>
      <c r="U575" s="49">
        <v>119</v>
      </c>
      <c r="V575" s="49">
        <v>-7</v>
      </c>
      <c r="W575" s="52">
        <v>93</v>
      </c>
      <c r="X575" s="13">
        <f t="shared" ref="X575:X597" si="9">SUM(Q575:T575)/SUM(P575:S575)-1</f>
        <v>-0.17550058892815079</v>
      </c>
      <c r="Y575" s="13">
        <f t="shared" ref="Y575:Y597" si="10">SUM(R575:U575)/SUM(Q575:T575)-1</f>
        <v>-0.16285714285714281</v>
      </c>
      <c r="Z575" s="13">
        <f t="shared" ref="Z575:Z597" si="11">SUM(S575:V575)/SUM(R575:U575)-1</f>
        <v>-0.24232081911262804</v>
      </c>
      <c r="AA575" s="13">
        <f t="shared" ref="AA575:AA597" si="12">SUM(T575:W575)/SUM(S575:V575)-1</f>
        <v>-0.25450450450450446</v>
      </c>
    </row>
    <row r="576" spans="1:27" ht="15" x14ac:dyDescent="0.25">
      <c r="A576" s="4">
        <v>260128</v>
      </c>
      <c r="B576" s="20" t="s">
        <v>138</v>
      </c>
      <c r="C576" s="10" t="s">
        <v>23</v>
      </c>
      <c r="D576" s="10" t="s">
        <v>139</v>
      </c>
      <c r="E576" s="10" t="s">
        <v>25</v>
      </c>
      <c r="F576" s="38">
        <v>-26.940827427064448</v>
      </c>
      <c r="G576" s="49">
        <v>8148</v>
      </c>
      <c r="H576" s="49">
        <v>7688</v>
      </c>
      <c r="I576" s="49">
        <v>7751</v>
      </c>
      <c r="J576" s="49">
        <v>7663</v>
      </c>
      <c r="K576" s="49">
        <v>0</v>
      </c>
      <c r="L576" s="49">
        <v>5949</v>
      </c>
      <c r="M576" s="49">
        <v>5912</v>
      </c>
      <c r="N576" s="49">
        <v>5624</v>
      </c>
      <c r="O576" s="50">
        <v>6405</v>
      </c>
      <c r="P576" s="49">
        <v>5796</v>
      </c>
      <c r="Q576" s="49">
        <v>5743</v>
      </c>
      <c r="R576" s="49">
        <v>5798</v>
      </c>
      <c r="S576" s="49">
        <v>6538</v>
      </c>
      <c r="T576" s="49">
        <v>5741</v>
      </c>
      <c r="U576" s="49">
        <v>5936</v>
      </c>
      <c r="V576" s="49">
        <v>6053</v>
      </c>
      <c r="W576" s="52">
        <v>0</v>
      </c>
      <c r="X576" s="13">
        <f t="shared" si="9"/>
        <v>-2.3036649214659422E-3</v>
      </c>
      <c r="Y576" s="13">
        <f t="shared" si="10"/>
        <v>8.1024349286313857E-3</v>
      </c>
      <c r="Z576" s="13">
        <f t="shared" si="11"/>
        <v>1.0619247907383444E-2</v>
      </c>
      <c r="AA576" s="13">
        <f t="shared" si="12"/>
        <v>-0.26940827427064451</v>
      </c>
    </row>
    <row r="577" spans="1:27" ht="15" x14ac:dyDescent="0.25">
      <c r="A577" s="4">
        <v>260128</v>
      </c>
      <c r="B577" s="20" t="s">
        <v>163</v>
      </c>
      <c r="C577" s="10" t="s">
        <v>164</v>
      </c>
      <c r="D577" s="37" t="str">
        <f>VLOOKUP(B577,'실적 기업 정보'!B223:G378,2,FALSE)</f>
        <v>Nordnet AB (publ)</v>
      </c>
      <c r="E577" s="10" t="s">
        <v>25</v>
      </c>
      <c r="F577" s="38">
        <v>0.64687344501574984</v>
      </c>
      <c r="G577" s="49">
        <v>1041</v>
      </c>
      <c r="H577" s="49">
        <v>1080</v>
      </c>
      <c r="I577" s="49">
        <v>868.5</v>
      </c>
      <c r="J577" s="49">
        <v>952.8</v>
      </c>
      <c r="K577" s="49">
        <v>1109</v>
      </c>
      <c r="L577" s="49">
        <v>1288</v>
      </c>
      <c r="M577" s="49">
        <v>1180</v>
      </c>
      <c r="N577" s="49">
        <v>1280</v>
      </c>
      <c r="O577" s="49">
        <v>1317</v>
      </c>
      <c r="P577" s="49">
        <v>1403</v>
      </c>
      <c r="Q577" s="49">
        <v>1422</v>
      </c>
      <c r="R577" s="49">
        <v>1377</v>
      </c>
      <c r="S577" s="49">
        <v>1541</v>
      </c>
      <c r="T577" s="49">
        <v>1574</v>
      </c>
      <c r="U577" s="49">
        <v>1446</v>
      </c>
      <c r="V577" s="49">
        <v>1468</v>
      </c>
      <c r="W577" s="52">
        <v>1580</v>
      </c>
      <c r="X577" s="13">
        <f t="shared" si="9"/>
        <v>2.9775378721922374E-2</v>
      </c>
      <c r="Y577" s="13">
        <f t="shared" si="10"/>
        <v>4.0581670612107601E-3</v>
      </c>
      <c r="Z577" s="13">
        <f t="shared" si="11"/>
        <v>1.5325025261030634E-2</v>
      </c>
      <c r="AA577" s="13">
        <f t="shared" si="12"/>
        <v>6.4687344501574984E-3</v>
      </c>
    </row>
    <row r="578" spans="1:27" ht="15" x14ac:dyDescent="0.25">
      <c r="A578" s="4">
        <v>260128</v>
      </c>
      <c r="B578" s="20">
        <v>6857</v>
      </c>
      <c r="C578" s="10" t="s">
        <v>67</v>
      </c>
      <c r="D578" s="37" t="e">
        <f>VLOOKUP(B578,'실적 기업 정보'!B224:G379,2,FALSE)</f>
        <v>#N/A</v>
      </c>
      <c r="E578" s="10" t="s">
        <v>25</v>
      </c>
      <c r="F578" s="38">
        <v>5.689657642318191</v>
      </c>
      <c r="G578" s="49">
        <v>112077</v>
      </c>
      <c r="H578" s="49">
        <v>116834</v>
      </c>
      <c r="I578" s="49">
        <v>135943</v>
      </c>
      <c r="J578" s="49">
        <v>138863</v>
      </c>
      <c r="K578" s="49">
        <v>137993</v>
      </c>
      <c r="L578" s="49">
        <v>147392</v>
      </c>
      <c r="M578" s="49">
        <v>101251</v>
      </c>
      <c r="N578" s="49">
        <v>116260</v>
      </c>
      <c r="O578" s="49">
        <v>133233</v>
      </c>
      <c r="P578" s="49">
        <v>135763</v>
      </c>
      <c r="Q578" s="49">
        <v>138725</v>
      </c>
      <c r="R578" s="50">
        <v>190481</v>
      </c>
      <c r="S578" s="50">
        <v>218200</v>
      </c>
      <c r="T578" s="50">
        <v>232349</v>
      </c>
      <c r="U578" s="50">
        <v>263776</v>
      </c>
      <c r="V578" s="49">
        <v>262957</v>
      </c>
      <c r="W578" s="52">
        <v>273804</v>
      </c>
      <c r="X578" s="13">
        <f t="shared" si="9"/>
        <v>0.14137936586701105</v>
      </c>
      <c r="Y578" s="13">
        <f t="shared" si="10"/>
        <v>0.16037216818103128</v>
      </c>
      <c r="Z578" s="13">
        <f t="shared" si="11"/>
        <v>8.0101148754539553E-2</v>
      </c>
      <c r="AA578" s="13">
        <f t="shared" si="12"/>
        <v>5.689657642318191E-2</v>
      </c>
    </row>
    <row r="579" spans="1:27" customFormat="1" hidden="1" x14ac:dyDescent="0.3">
      <c r="B579" s="10" t="s">
        <v>167</v>
      </c>
      <c r="C579" s="10" t="s">
        <v>23</v>
      </c>
      <c r="D579" s="10" t="s">
        <v>168</v>
      </c>
      <c r="E579" s="10" t="s">
        <v>35</v>
      </c>
      <c r="F579" s="10">
        <v>1.009939083039435</v>
      </c>
      <c r="G579" s="10">
        <v>1337</v>
      </c>
      <c r="H579" s="10">
        <v>1393</v>
      </c>
      <c r="I579" s="10">
        <v>1262</v>
      </c>
      <c r="J579" s="10">
        <v>1198</v>
      </c>
      <c r="K579" s="10">
        <v>1228</v>
      </c>
      <c r="L579" s="10">
        <v>1448</v>
      </c>
      <c r="M579" s="10">
        <v>1344</v>
      </c>
      <c r="N579" s="10">
        <v>1384</v>
      </c>
      <c r="O579" s="10">
        <v>1434</v>
      </c>
      <c r="P579" s="10">
        <v>1481</v>
      </c>
      <c r="Q579" s="10">
        <v>1425</v>
      </c>
      <c r="R579" s="10">
        <v>1451</v>
      </c>
      <c r="S579" s="10">
        <v>1611</v>
      </c>
      <c r="T579" s="10">
        <v>1472</v>
      </c>
      <c r="U579" s="10">
        <v>1522</v>
      </c>
      <c r="V579" s="10">
        <v>1633</v>
      </c>
      <c r="W579" s="16">
        <v>1674</v>
      </c>
      <c r="X579" s="13">
        <f t="shared" si="9"/>
        <v>-1.5080428954423741E-3</v>
      </c>
      <c r="Y579" s="13">
        <f t="shared" si="10"/>
        <v>1.6277898976338356E-2</v>
      </c>
      <c r="Z579" s="13">
        <f t="shared" si="11"/>
        <v>3.00528401585205E-2</v>
      </c>
      <c r="AA579" s="13">
        <f t="shared" si="12"/>
        <v>1.009939083039435E-2</v>
      </c>
    </row>
    <row r="580" spans="1:27" ht="15" x14ac:dyDescent="0.25">
      <c r="A580" s="4">
        <v>260128</v>
      </c>
      <c r="B580" s="20">
        <v>2303</v>
      </c>
      <c r="C580" s="10" t="s">
        <v>67</v>
      </c>
      <c r="D580" s="37" t="e">
        <f>VLOOKUP(B580,'실적 기업 정보'!B226:G381,2,FALSE)</f>
        <v>#N/A</v>
      </c>
      <c r="E580" s="10" t="s">
        <v>170</v>
      </c>
      <c r="F580" s="38">
        <v>3.7780408440063469</v>
      </c>
      <c r="G580" s="49">
        <v>312</v>
      </c>
      <c r="H580" s="49">
        <v>304</v>
      </c>
      <c r="I580" s="49">
        <v>393</v>
      </c>
      <c r="J580" s="49">
        <v>272</v>
      </c>
      <c r="K580" s="49">
        <v>245</v>
      </c>
      <c r="L580" s="50">
        <v>467</v>
      </c>
      <c r="M580" s="49">
        <v>384</v>
      </c>
      <c r="N580" s="49">
        <v>252</v>
      </c>
      <c r="O580" s="49">
        <v>299</v>
      </c>
      <c r="P580" s="49">
        <v>413</v>
      </c>
      <c r="Q580" s="50">
        <v>536</v>
      </c>
      <c r="R580" s="49">
        <v>356</v>
      </c>
      <c r="S580" s="49">
        <v>279</v>
      </c>
      <c r="T580" s="49">
        <v>505.54</v>
      </c>
      <c r="U580" s="49">
        <v>593</v>
      </c>
      <c r="V580" s="49">
        <v>303.49</v>
      </c>
      <c r="W580" s="52">
        <v>342.51</v>
      </c>
      <c r="X580" s="13">
        <f t="shared" si="9"/>
        <v>5.842171717171718E-2</v>
      </c>
      <c r="Y580" s="13">
        <f t="shared" si="10"/>
        <v>3.3998592338983835E-2</v>
      </c>
      <c r="Z580" s="13">
        <f t="shared" si="11"/>
        <v>-3.0290619195403656E-2</v>
      </c>
      <c r="AA580" s="13">
        <f t="shared" si="12"/>
        <v>3.7780408440063473E-2</v>
      </c>
    </row>
    <row r="581" spans="1:27" ht="15" x14ac:dyDescent="0.25">
      <c r="A581" s="4">
        <v>260128</v>
      </c>
      <c r="B581" s="20">
        <v>6807</v>
      </c>
      <c r="C581" s="10" t="s">
        <v>67</v>
      </c>
      <c r="D581" s="37" t="e">
        <f>VLOOKUP(B581,'실적 기업 정보'!B227:G382,2,FALSE)</f>
        <v>#N/A</v>
      </c>
      <c r="E581" s="10" t="s">
        <v>25</v>
      </c>
      <c r="F581" s="38">
        <v>1.5294967845806311</v>
      </c>
      <c r="G581" s="49">
        <v>57726</v>
      </c>
      <c r="H581" s="49">
        <v>55328</v>
      </c>
      <c r="I581" s="49">
        <v>56452</v>
      </c>
      <c r="J581" s="49">
        <v>65754</v>
      </c>
      <c r="K581" s="49">
        <v>61556</v>
      </c>
      <c r="L581" s="49">
        <v>52102</v>
      </c>
      <c r="M581" s="49">
        <v>51734</v>
      </c>
      <c r="N581" s="49">
        <v>61551</v>
      </c>
      <c r="O581" s="49">
        <v>58065</v>
      </c>
      <c r="P581" s="49">
        <v>54431</v>
      </c>
      <c r="Q581" s="49">
        <v>55560</v>
      </c>
      <c r="R581" s="49">
        <v>57891</v>
      </c>
      <c r="S581" s="49">
        <v>53002</v>
      </c>
      <c r="T581" s="49">
        <v>55191</v>
      </c>
      <c r="U581" s="49">
        <v>51605</v>
      </c>
      <c r="V581" s="49">
        <v>58836</v>
      </c>
      <c r="W581" s="52">
        <v>56346</v>
      </c>
      <c r="X581" s="13">
        <f t="shared" si="9"/>
        <v>3.440720015935872E-3</v>
      </c>
      <c r="Y581" s="13">
        <f t="shared" si="10"/>
        <v>-1.7843929905614453E-2</v>
      </c>
      <c r="Z581" s="13">
        <f t="shared" si="11"/>
        <v>4.3410553587917011E-3</v>
      </c>
      <c r="AA581" s="13">
        <f t="shared" si="12"/>
        <v>1.5294967845806307E-2</v>
      </c>
    </row>
    <row r="582" spans="1:27" ht="15" x14ac:dyDescent="0.25">
      <c r="A582" s="4">
        <v>260128</v>
      </c>
      <c r="B582" s="20">
        <v>8060</v>
      </c>
      <c r="C582" s="10" t="s">
        <v>67</v>
      </c>
      <c r="D582" s="37" t="str">
        <f>VLOOKUP(B582,'실적 기업 정보'!B228:G383,2,FALSE)</f>
        <v>Canon Marketing Japan Inc.</v>
      </c>
      <c r="E582" s="10" t="s">
        <v>25</v>
      </c>
      <c r="F582" s="38">
        <v>1.0763351968597681</v>
      </c>
      <c r="G582" s="49">
        <v>153890</v>
      </c>
      <c r="H582" s="49">
        <v>147419</v>
      </c>
      <c r="I582" s="49">
        <v>142454</v>
      </c>
      <c r="J582" s="49">
        <v>138206</v>
      </c>
      <c r="K582" s="49">
        <v>160053</v>
      </c>
      <c r="L582" s="49">
        <v>154825</v>
      </c>
      <c r="M582" s="49">
        <v>147953</v>
      </c>
      <c r="N582" s="49">
        <v>141772</v>
      </c>
      <c r="O582" s="49">
        <v>164923</v>
      </c>
      <c r="P582" s="49">
        <v>157226</v>
      </c>
      <c r="Q582" s="49">
        <v>161677</v>
      </c>
      <c r="R582" s="49">
        <v>154278</v>
      </c>
      <c r="S582" s="49">
        <v>180738</v>
      </c>
      <c r="T582" s="49">
        <v>167316</v>
      </c>
      <c r="U582" s="49">
        <v>166533</v>
      </c>
      <c r="V582" s="49">
        <v>157973</v>
      </c>
      <c r="W582" s="52">
        <v>187977</v>
      </c>
      <c r="X582" s="13">
        <f t="shared" si="9"/>
        <v>1.5430045617270682E-2</v>
      </c>
      <c r="Y582" s="13">
        <f t="shared" si="10"/>
        <v>7.3131538879744884E-3</v>
      </c>
      <c r="Z582" s="13">
        <f t="shared" si="11"/>
        <v>5.5242836745830193E-3</v>
      </c>
      <c r="AA582" s="13">
        <f t="shared" si="12"/>
        <v>1.0763351968597679E-2</v>
      </c>
    </row>
    <row r="583" spans="1:27" customFormat="1" hidden="1" x14ac:dyDescent="0.3">
      <c r="B583" s="10" t="s">
        <v>174</v>
      </c>
      <c r="C583" s="10" t="s">
        <v>23</v>
      </c>
      <c r="D583" s="10" t="s">
        <v>162</v>
      </c>
      <c r="E583" s="10" t="s">
        <v>96</v>
      </c>
      <c r="F583" s="10">
        <v>1.598465473145771</v>
      </c>
      <c r="G583" s="10">
        <v>1498</v>
      </c>
      <c r="H583" s="10">
        <v>1685</v>
      </c>
      <c r="I583" s="10">
        <v>1592</v>
      </c>
      <c r="J583" s="10">
        <v>1471</v>
      </c>
      <c r="K583" s="10">
        <v>1517</v>
      </c>
      <c r="L583" s="10">
        <v>1589</v>
      </c>
      <c r="M583" s="10">
        <v>1689</v>
      </c>
      <c r="N583" s="10">
        <v>1337</v>
      </c>
      <c r="O583" s="10">
        <v>1511</v>
      </c>
      <c r="P583" s="10">
        <v>1642</v>
      </c>
      <c r="Q583" s="10">
        <v>1480</v>
      </c>
      <c r="R583" s="10">
        <v>1359</v>
      </c>
      <c r="S583" s="10">
        <v>1443</v>
      </c>
      <c r="T583" s="10">
        <v>1840</v>
      </c>
      <c r="U583" s="10">
        <v>1527</v>
      </c>
      <c r="V583" s="10">
        <v>1446</v>
      </c>
      <c r="W583" s="16">
        <v>1543</v>
      </c>
      <c r="X583" s="13">
        <f t="shared" si="9"/>
        <v>3.342336259284262E-2</v>
      </c>
      <c r="Y583" s="13">
        <f t="shared" si="10"/>
        <v>7.677229663508589E-3</v>
      </c>
      <c r="Z583" s="13">
        <f t="shared" si="11"/>
        <v>1.4102771924136892E-2</v>
      </c>
      <c r="AA583" s="13">
        <f t="shared" si="12"/>
        <v>1.5984654731457715E-2</v>
      </c>
    </row>
    <row r="584" spans="1:27" customFormat="1" hidden="1" x14ac:dyDescent="0.3">
      <c r="B584" s="10" t="s">
        <v>175</v>
      </c>
      <c r="C584" s="10" t="s">
        <v>23</v>
      </c>
      <c r="D584" s="10" t="s">
        <v>95</v>
      </c>
      <c r="E584" s="10" t="s">
        <v>35</v>
      </c>
      <c r="F584" s="10">
        <v>1.863951068450675</v>
      </c>
      <c r="G584" s="10">
        <v>485.32</v>
      </c>
      <c r="H584" s="10">
        <v>501.65</v>
      </c>
      <c r="I584" s="10">
        <v>581.44000000000005</v>
      </c>
      <c r="J584" s="10">
        <v>481.67</v>
      </c>
      <c r="K584" s="10">
        <v>471.33</v>
      </c>
      <c r="L584" s="10">
        <v>456.59</v>
      </c>
      <c r="M584" s="10">
        <v>469.12</v>
      </c>
      <c r="N584" s="10">
        <v>489.06</v>
      </c>
      <c r="O584" s="10">
        <v>476.76</v>
      </c>
      <c r="P584" s="10">
        <v>484.86</v>
      </c>
      <c r="Q584" s="10">
        <v>511.58</v>
      </c>
      <c r="R584" s="10">
        <v>518.99</v>
      </c>
      <c r="S584" s="10">
        <v>537.4</v>
      </c>
      <c r="T584" s="10">
        <v>557.19000000000005</v>
      </c>
      <c r="U584" s="10">
        <v>551.34</v>
      </c>
      <c r="V584" s="10">
        <v>559.6</v>
      </c>
      <c r="W584" s="16">
        <v>578.51</v>
      </c>
      <c r="X584" s="13">
        <f t="shared" si="9"/>
        <v>3.5234286326680797E-2</v>
      </c>
      <c r="Y584" s="13">
        <f t="shared" si="10"/>
        <v>1.870917954412854E-2</v>
      </c>
      <c r="Z584" s="13">
        <f t="shared" si="11"/>
        <v>1.8758198917281144E-2</v>
      </c>
      <c r="AA584" s="13">
        <f t="shared" si="12"/>
        <v>1.8639510684506755E-2</v>
      </c>
    </row>
    <row r="585" spans="1:27" ht="15" x14ac:dyDescent="0.25">
      <c r="A585" s="4">
        <v>260128</v>
      </c>
      <c r="B585" s="20">
        <v>7278</v>
      </c>
      <c r="C585" s="10" t="s">
        <v>67</v>
      </c>
      <c r="D585" s="37" t="e">
        <f>VLOOKUP(B585,'실적 기업 정보'!B231:G386,2,FALSE)</f>
        <v>#N/A</v>
      </c>
      <c r="E585" s="10" t="s">
        <v>25</v>
      </c>
      <c r="F585" s="38">
        <v>-0.42281698111965582</v>
      </c>
      <c r="G585" s="49">
        <v>65714</v>
      </c>
      <c r="H585" s="49">
        <v>72028</v>
      </c>
      <c r="I585" s="49">
        <v>64447</v>
      </c>
      <c r="J585" s="49">
        <v>73759</v>
      </c>
      <c r="K585" s="49">
        <v>75129</v>
      </c>
      <c r="L585" s="49">
        <v>72304</v>
      </c>
      <c r="M585" s="49">
        <v>73367</v>
      </c>
      <c r="N585" s="49">
        <v>77827</v>
      </c>
      <c r="O585" s="49">
        <v>80686</v>
      </c>
      <c r="P585" s="49">
        <v>76457</v>
      </c>
      <c r="Q585" s="49">
        <v>75447</v>
      </c>
      <c r="R585" s="49">
        <v>78352</v>
      </c>
      <c r="S585" s="49">
        <v>79584</v>
      </c>
      <c r="T585" s="49">
        <v>76181</v>
      </c>
      <c r="U585" s="49">
        <v>71899</v>
      </c>
      <c r="V585" s="49">
        <v>76250</v>
      </c>
      <c r="W585" s="52">
        <v>78299</v>
      </c>
      <c r="X585" s="13">
        <f t="shared" si="9"/>
        <v>-8.9078233927186723E-4</v>
      </c>
      <c r="Y585" s="13">
        <f t="shared" si="10"/>
        <v>-1.1461281027509651E-2</v>
      </c>
      <c r="Z585" s="13">
        <f t="shared" si="11"/>
        <v>-6.8689218864372847E-3</v>
      </c>
      <c r="AA585" s="13">
        <f t="shared" si="12"/>
        <v>-4.2281698111965582E-3</v>
      </c>
    </row>
    <row r="586" spans="1:27" ht="15" x14ac:dyDescent="0.25">
      <c r="A586" s="4">
        <v>260128</v>
      </c>
      <c r="B586" s="20">
        <v>4552</v>
      </c>
      <c r="C586" s="10" t="s">
        <v>67</v>
      </c>
      <c r="D586" s="37" t="e">
        <f>VLOOKUP(B586,'실적 기업 정보'!B232:G387,2,FALSE)</f>
        <v>#N/A</v>
      </c>
      <c r="E586" s="10" t="s">
        <v>25</v>
      </c>
      <c r="F586" s="38">
        <v>-0.61413029091775817</v>
      </c>
      <c r="G586" s="49">
        <v>11887</v>
      </c>
      <c r="H586" s="49">
        <v>10812</v>
      </c>
      <c r="I586" s="49">
        <v>9606</v>
      </c>
      <c r="J586" s="49">
        <v>5975</v>
      </c>
      <c r="K586" s="49">
        <v>11115</v>
      </c>
      <c r="L586" s="49">
        <v>7647</v>
      </c>
      <c r="M586" s="49">
        <v>10808</v>
      </c>
      <c r="N586" s="50">
        <v>13464</v>
      </c>
      <c r="O586" s="49">
        <v>9446</v>
      </c>
      <c r="P586" s="49">
        <v>9153</v>
      </c>
      <c r="Q586" s="49">
        <v>8145</v>
      </c>
      <c r="R586" s="49">
        <v>8512</v>
      </c>
      <c r="S586" s="49">
        <v>9223</v>
      </c>
      <c r="T586" s="49">
        <v>7192</v>
      </c>
      <c r="U586" s="49">
        <v>8569</v>
      </c>
      <c r="V586" s="50">
        <v>12793</v>
      </c>
      <c r="W586" s="52">
        <v>8991</v>
      </c>
      <c r="X586" s="13">
        <f t="shared" si="9"/>
        <v>-5.5975794251134636E-2</v>
      </c>
      <c r="Y586" s="13">
        <f t="shared" si="10"/>
        <v>1.2820512820512775E-2</v>
      </c>
      <c r="Z586" s="13">
        <f t="shared" si="11"/>
        <v>0.1278063052304752</v>
      </c>
      <c r="AA586" s="13">
        <f t="shared" si="12"/>
        <v>-6.1413029091775817E-3</v>
      </c>
    </row>
    <row r="587" spans="1:27" ht="15" x14ac:dyDescent="0.25">
      <c r="A587" s="4">
        <v>260128</v>
      </c>
      <c r="B587" s="20">
        <v>2678</v>
      </c>
      <c r="C587" s="10" t="s">
        <v>67</v>
      </c>
      <c r="D587" s="37" t="e">
        <f>VLOOKUP(B587,'실적 기업 정보'!B233:G388,2,FALSE)</f>
        <v>#N/A</v>
      </c>
      <c r="E587" s="10" t="s">
        <v>86</v>
      </c>
      <c r="F587" s="38">
        <v>-6.8338552823369536</v>
      </c>
      <c r="G587" s="49">
        <v>106596</v>
      </c>
      <c r="H587" s="49">
        <v>108956</v>
      </c>
      <c r="I587" s="49">
        <v>110523</v>
      </c>
      <c r="J587" s="49">
        <v>110087</v>
      </c>
      <c r="K587" s="49">
        <v>110164</v>
      </c>
      <c r="L587" s="49">
        <v>113973</v>
      </c>
      <c r="M587" s="49">
        <v>112489</v>
      </c>
      <c r="N587" s="49">
        <v>113074</v>
      </c>
      <c r="O587" s="49">
        <v>118214</v>
      </c>
      <c r="P587" s="49">
        <v>118775</v>
      </c>
      <c r="Q587" s="49">
        <v>121619</v>
      </c>
      <c r="R587" s="49">
        <v>118384</v>
      </c>
      <c r="S587" s="49">
        <v>119548</v>
      </c>
      <c r="T587" s="49">
        <v>120901</v>
      </c>
      <c r="U587" s="49">
        <v>122268</v>
      </c>
      <c r="V587" s="49">
        <v>122324</v>
      </c>
      <c r="W587" s="52">
        <v>86401</v>
      </c>
      <c r="X587" s="13">
        <f t="shared" si="9"/>
        <v>4.4446674443789913E-3</v>
      </c>
      <c r="Y587" s="13">
        <f t="shared" si="10"/>
        <v>1.3508113193410054E-3</v>
      </c>
      <c r="Z587" s="13">
        <f t="shared" si="11"/>
        <v>8.189548556332138E-3</v>
      </c>
      <c r="AA587" s="13">
        <f t="shared" si="12"/>
        <v>-6.8338552823369536E-2</v>
      </c>
    </row>
    <row r="588" spans="1:27" customFormat="1" hidden="1" x14ac:dyDescent="0.3">
      <c r="B588" s="10" t="s">
        <v>181</v>
      </c>
      <c r="C588" s="10" t="s">
        <v>23</v>
      </c>
      <c r="D588" s="10" t="s">
        <v>182</v>
      </c>
      <c r="E588" s="10" t="s">
        <v>35</v>
      </c>
      <c r="F588" s="10">
        <v>57.940204455555737</v>
      </c>
      <c r="G588" s="10">
        <v>575.66999999999996</v>
      </c>
      <c r="H588" s="10">
        <v>486.59</v>
      </c>
      <c r="I588" s="10">
        <v>2100</v>
      </c>
      <c r="J588" s="10">
        <v>952.7</v>
      </c>
      <c r="K588" s="10">
        <v>-229.65</v>
      </c>
      <c r="L588" s="10">
        <v>-823.22</v>
      </c>
      <c r="M588" s="10">
        <v>-779.59</v>
      </c>
      <c r="N588" s="11">
        <v>227.31</v>
      </c>
      <c r="O588" s="11">
        <v>-507.16</v>
      </c>
      <c r="P588" s="10">
        <v>-339.38</v>
      </c>
      <c r="Q588" s="10">
        <v>536.25</v>
      </c>
      <c r="R588" s="11">
        <v>41.89</v>
      </c>
      <c r="S588" s="10">
        <v>227.14</v>
      </c>
      <c r="T588" s="11">
        <v>539.11</v>
      </c>
      <c r="U588" s="10">
        <v>244.54</v>
      </c>
      <c r="V588" s="11">
        <v>157.19</v>
      </c>
      <c r="W588" s="17">
        <v>903.87</v>
      </c>
      <c r="X588" s="13">
        <f t="shared" si="9"/>
        <v>1.8855763039278814</v>
      </c>
      <c r="Y588" s="13">
        <f t="shared" si="10"/>
        <v>-0.21698316708693155</v>
      </c>
      <c r="Z588" s="13">
        <f t="shared" si="11"/>
        <v>0.10952996162176531</v>
      </c>
      <c r="AA588" s="13">
        <f t="shared" si="12"/>
        <v>0.57940204455555744</v>
      </c>
    </row>
    <row r="589" spans="1:27" ht="15" x14ac:dyDescent="0.25">
      <c r="A589" s="4">
        <v>260128</v>
      </c>
      <c r="B589" s="20" t="s">
        <v>411</v>
      </c>
      <c r="C589" s="10" t="s">
        <v>31</v>
      </c>
      <c r="D589" s="37" t="e">
        <f>VLOOKUP(B589,'실적 기업 정보'!B235:G390,2,FALSE)</f>
        <v>#N/A</v>
      </c>
      <c r="E589" s="10" t="s">
        <v>25</v>
      </c>
      <c r="F589" s="38">
        <v>26.23977685698604</v>
      </c>
      <c r="G589" s="49">
        <v>206727</v>
      </c>
      <c r="H589" s="49">
        <v>205458</v>
      </c>
      <c r="I589" s="49">
        <v>48079</v>
      </c>
      <c r="J589" s="49">
        <v>277229</v>
      </c>
      <c r="K589" s="49">
        <v>268097</v>
      </c>
      <c r="L589" s="49">
        <v>212993</v>
      </c>
      <c r="M589" s="50">
        <v>278944</v>
      </c>
      <c r="N589" s="49">
        <v>287927</v>
      </c>
      <c r="O589" s="50">
        <v>390656</v>
      </c>
      <c r="P589" s="50">
        <v>362961</v>
      </c>
      <c r="Q589" s="49">
        <v>346745</v>
      </c>
      <c r="R589" s="49">
        <v>402801</v>
      </c>
      <c r="S589" s="49">
        <v>188592</v>
      </c>
      <c r="T589" s="49">
        <v>230614</v>
      </c>
      <c r="U589" s="49">
        <v>390129</v>
      </c>
      <c r="V589" s="49">
        <v>231074</v>
      </c>
      <c r="W589" s="51">
        <v>461593</v>
      </c>
      <c r="X589" s="13">
        <f t="shared" si="9"/>
        <v>-0.10171939260578944</v>
      </c>
      <c r="Y589" s="13">
        <f t="shared" si="10"/>
        <v>3.7119936479253157E-2</v>
      </c>
      <c r="Z589" s="13">
        <f t="shared" si="11"/>
        <v>-0.14167304658883162</v>
      </c>
      <c r="AA589" s="13">
        <f t="shared" si="12"/>
        <v>0.26239776856986041</v>
      </c>
    </row>
    <row r="590" spans="1:27" ht="15" x14ac:dyDescent="0.25">
      <c r="A590" s="4">
        <v>260128</v>
      </c>
      <c r="B590" s="20" t="s">
        <v>173</v>
      </c>
      <c r="C590" s="10" t="s">
        <v>31</v>
      </c>
      <c r="D590" s="37" t="e">
        <f>VLOOKUP(B590,'실적 기업 정보'!B236:G391,2,FALSE)</f>
        <v>#N/A</v>
      </c>
      <c r="E590" s="10" t="s">
        <v>25</v>
      </c>
      <c r="F590" s="38">
        <v>19.49080675072457</v>
      </c>
      <c r="G590" s="49">
        <v>19872</v>
      </c>
      <c r="H590" s="49">
        <v>21924</v>
      </c>
      <c r="I590" s="49">
        <v>23417</v>
      </c>
      <c r="J590" s="49">
        <v>23834</v>
      </c>
      <c r="K590" s="49">
        <v>25098</v>
      </c>
      <c r="L590" s="49">
        <v>26331</v>
      </c>
      <c r="M590" s="49">
        <v>26220</v>
      </c>
      <c r="N590" s="49">
        <v>27409</v>
      </c>
      <c r="O590" s="49">
        <v>30433</v>
      </c>
      <c r="P590" s="49">
        <v>26863</v>
      </c>
      <c r="Q590" s="49">
        <v>24911</v>
      </c>
      <c r="R590" s="49">
        <v>24213</v>
      </c>
      <c r="S590" s="49">
        <v>24769</v>
      </c>
      <c r="T590" s="49">
        <v>26330</v>
      </c>
      <c r="U590" s="49">
        <v>27126</v>
      </c>
      <c r="V590" s="49">
        <v>29082</v>
      </c>
      <c r="W590" s="51">
        <v>45684</v>
      </c>
      <c r="X590" s="13">
        <f t="shared" si="9"/>
        <v>-5.2900075429751503E-3</v>
      </c>
      <c r="Y590" s="13">
        <f t="shared" si="10"/>
        <v>2.2100715404647531E-2</v>
      </c>
      <c r="Z590" s="13">
        <f t="shared" si="11"/>
        <v>4.7531189597610268E-2</v>
      </c>
      <c r="AA590" s="13">
        <f t="shared" si="12"/>
        <v>0.19490806750724565</v>
      </c>
    </row>
    <row r="591" spans="1:27" ht="15" x14ac:dyDescent="0.25">
      <c r="A591" s="4">
        <v>260128</v>
      </c>
      <c r="B591" s="20" t="s">
        <v>120</v>
      </c>
      <c r="C591" s="10" t="s">
        <v>31</v>
      </c>
      <c r="D591" s="37" t="e">
        <f>VLOOKUP(B591,'실적 기업 정보'!B237:G392,2,FALSE)</f>
        <v>#N/A</v>
      </c>
      <c r="E591" s="10" t="s">
        <v>25</v>
      </c>
      <c r="F591" s="38">
        <v>6.9349041110899456</v>
      </c>
      <c r="G591" s="49">
        <v>232533</v>
      </c>
      <c r="H591" s="49">
        <v>267492</v>
      </c>
      <c r="I591" s="49">
        <v>265117</v>
      </c>
      <c r="J591" s="49">
        <v>299425</v>
      </c>
      <c r="K591" s="49">
        <v>290575</v>
      </c>
      <c r="L591" s="49">
        <v>328982</v>
      </c>
      <c r="M591" s="49">
        <v>323385</v>
      </c>
      <c r="N591" s="49">
        <v>370728</v>
      </c>
      <c r="O591" s="49">
        <v>335128</v>
      </c>
      <c r="P591" s="49">
        <v>384712</v>
      </c>
      <c r="Q591" s="49">
        <v>357794</v>
      </c>
      <c r="R591" s="49">
        <v>374492</v>
      </c>
      <c r="S591" s="49">
        <v>387643</v>
      </c>
      <c r="T591" s="49">
        <v>409201</v>
      </c>
      <c r="U591" s="49">
        <v>386052</v>
      </c>
      <c r="V591" s="49">
        <v>423442</v>
      </c>
      <c r="W591" s="52">
        <v>499041</v>
      </c>
      <c r="X591" s="13">
        <f t="shared" si="9"/>
        <v>1.6275643160062803E-2</v>
      </c>
      <c r="Y591" s="13">
        <f t="shared" si="10"/>
        <v>1.8479789161157001E-2</v>
      </c>
      <c r="Z591" s="13">
        <f t="shared" si="11"/>
        <v>3.1430831623205036E-2</v>
      </c>
      <c r="AA591" s="13">
        <f t="shared" si="12"/>
        <v>6.9349041110899456E-2</v>
      </c>
    </row>
    <row r="592" spans="1:27" customFormat="1" hidden="1" x14ac:dyDescent="0.3">
      <c r="B592" s="10" t="s">
        <v>187</v>
      </c>
      <c r="C592" s="10" t="s">
        <v>23</v>
      </c>
      <c r="D592" s="10" t="s">
        <v>113</v>
      </c>
      <c r="E592" s="10" t="s">
        <v>35</v>
      </c>
      <c r="F592" s="10">
        <v>-2.7015205701494849</v>
      </c>
      <c r="G592" s="10">
        <v>159.66</v>
      </c>
      <c r="H592" s="10">
        <v>187.07</v>
      </c>
      <c r="I592" s="10">
        <v>164.67</v>
      </c>
      <c r="J592" s="10">
        <v>172.2</v>
      </c>
      <c r="K592" s="10">
        <v>173.88</v>
      </c>
      <c r="L592" s="10">
        <v>240.69</v>
      </c>
      <c r="M592" s="10">
        <v>213.56</v>
      </c>
      <c r="N592" s="10">
        <v>170.28</v>
      </c>
      <c r="O592" s="10">
        <v>196.28</v>
      </c>
      <c r="P592" s="10">
        <v>201.31</v>
      </c>
      <c r="Q592" s="10">
        <v>208.73</v>
      </c>
      <c r="R592" s="10">
        <v>182.12</v>
      </c>
      <c r="S592" s="10">
        <v>184.89</v>
      </c>
      <c r="T592" s="10">
        <v>221.23</v>
      </c>
      <c r="U592" s="10">
        <v>199.98</v>
      </c>
      <c r="V592" s="10">
        <v>171.24</v>
      </c>
      <c r="W592" s="16">
        <v>163.89</v>
      </c>
      <c r="X592" s="13">
        <f t="shared" si="9"/>
        <v>2.5635415996396738E-2</v>
      </c>
      <c r="Y592" s="13">
        <f t="shared" si="10"/>
        <v>-1.097908327791508E-2</v>
      </c>
      <c r="Z592" s="13">
        <f t="shared" si="11"/>
        <v>-1.3803252898936802E-2</v>
      </c>
      <c r="AA592" s="13">
        <f t="shared" si="12"/>
        <v>-2.7015205701494849E-2</v>
      </c>
    </row>
    <row r="593" spans="1:27" ht="15" x14ac:dyDescent="0.25">
      <c r="A593" s="4">
        <v>260128</v>
      </c>
      <c r="B593" s="20" t="s">
        <v>180</v>
      </c>
      <c r="C593" s="10" t="s">
        <v>31</v>
      </c>
      <c r="D593" s="37" t="e">
        <f>VLOOKUP(B593,'실적 기업 정보'!B239:G394,2,FALSE)</f>
        <v>#N/A</v>
      </c>
      <c r="E593" s="10" t="s">
        <v>25</v>
      </c>
      <c r="F593" s="38">
        <v>3.7415505696423379</v>
      </c>
      <c r="G593" s="49">
        <v>20594</v>
      </c>
      <c r="H593" s="49">
        <v>34446</v>
      </c>
      <c r="I593" s="49">
        <v>26758</v>
      </c>
      <c r="J593" s="49">
        <v>17654</v>
      </c>
      <c r="K593" s="49">
        <v>17738</v>
      </c>
      <c r="L593" s="49">
        <v>32554</v>
      </c>
      <c r="M593" s="49">
        <v>16174</v>
      </c>
      <c r="N593" s="49">
        <v>17496</v>
      </c>
      <c r="O593" s="50">
        <v>29306</v>
      </c>
      <c r="P593" s="49">
        <v>41300</v>
      </c>
      <c r="Q593" s="50">
        <v>28465</v>
      </c>
      <c r="R593" s="49">
        <v>26257</v>
      </c>
      <c r="S593" s="49">
        <v>40830</v>
      </c>
      <c r="T593" s="49">
        <v>43823</v>
      </c>
      <c r="U593" s="49">
        <v>34917</v>
      </c>
      <c r="V593" s="49">
        <v>37985</v>
      </c>
      <c r="W593" s="52">
        <v>46725</v>
      </c>
      <c r="X593" s="13">
        <f t="shared" si="9"/>
        <v>1.8435974629526841E-2</v>
      </c>
      <c r="Y593" s="13">
        <f t="shared" si="10"/>
        <v>4.6292376681614344E-2</v>
      </c>
      <c r="Z593" s="13">
        <f t="shared" si="11"/>
        <v>8.0424064130785178E-2</v>
      </c>
      <c r="AA593" s="13">
        <f t="shared" si="12"/>
        <v>3.7415505696423379E-2</v>
      </c>
    </row>
    <row r="594" spans="1:27" ht="15" x14ac:dyDescent="0.25">
      <c r="A594" s="4">
        <v>260128</v>
      </c>
      <c r="B594" s="20" t="s">
        <v>30</v>
      </c>
      <c r="C594" s="10" t="s">
        <v>31</v>
      </c>
      <c r="D594" s="37" t="e">
        <f>VLOOKUP(B594,'실적 기업 정보'!B240:G395,2,FALSE)</f>
        <v>#N/A</v>
      </c>
      <c r="E594" s="10" t="s">
        <v>25</v>
      </c>
      <c r="F594" s="38">
        <v>1.8652196279517419</v>
      </c>
      <c r="G594" s="49">
        <v>12075</v>
      </c>
      <c r="H594" s="49">
        <v>13398</v>
      </c>
      <c r="I594" s="49">
        <v>14101</v>
      </c>
      <c r="J594" s="49">
        <v>14017</v>
      </c>
      <c r="K594" s="49">
        <v>14030</v>
      </c>
      <c r="L594" s="49">
        <v>14480</v>
      </c>
      <c r="M594" s="49">
        <v>14108</v>
      </c>
      <c r="N594" s="49">
        <v>14218</v>
      </c>
      <c r="O594" s="49">
        <v>13673</v>
      </c>
      <c r="P594" s="49">
        <v>14665</v>
      </c>
      <c r="Q594" s="49">
        <v>14977</v>
      </c>
      <c r="R594" s="49">
        <v>14860</v>
      </c>
      <c r="S594" s="49">
        <v>14411</v>
      </c>
      <c r="T594" s="49">
        <v>15306</v>
      </c>
      <c r="U594" s="49">
        <v>15334</v>
      </c>
      <c r="V594" s="49">
        <v>15210</v>
      </c>
      <c r="W594" s="52">
        <v>15535</v>
      </c>
      <c r="X594" s="13">
        <f t="shared" si="9"/>
        <v>1.0880450834281019E-2</v>
      </c>
      <c r="Y594" s="13">
        <f t="shared" si="10"/>
        <v>5.9945595593915435E-3</v>
      </c>
      <c r="Z594" s="13">
        <f t="shared" si="11"/>
        <v>5.8419989651317117E-3</v>
      </c>
      <c r="AA594" s="13">
        <f t="shared" si="12"/>
        <v>1.8652196279517419E-2</v>
      </c>
    </row>
    <row r="595" spans="1:27" ht="15" x14ac:dyDescent="0.25">
      <c r="A595" s="4">
        <v>260128</v>
      </c>
      <c r="B595" s="20" t="s">
        <v>103</v>
      </c>
      <c r="C595" s="10" t="s">
        <v>31</v>
      </c>
      <c r="D595" s="37" t="e">
        <f>VLOOKUP(B595,'실적 기업 정보'!B241:G396,2,FALSE)</f>
        <v>#N/A</v>
      </c>
      <c r="E595" s="10" t="s">
        <v>25</v>
      </c>
      <c r="F595" s="38">
        <v>0.32115464540749539</v>
      </c>
      <c r="G595" s="49">
        <v>10719</v>
      </c>
      <c r="H595" s="49">
        <v>11014</v>
      </c>
      <c r="I595" s="49">
        <v>11544</v>
      </c>
      <c r="J595" s="49">
        <v>11921</v>
      </c>
      <c r="K595" s="49">
        <v>12219</v>
      </c>
      <c r="L595" s="49">
        <v>12264</v>
      </c>
      <c r="M595" s="49">
        <v>12628</v>
      </c>
      <c r="N595" s="49">
        <v>13099</v>
      </c>
      <c r="O595" s="49">
        <v>13430</v>
      </c>
      <c r="P595" s="49">
        <v>13625</v>
      </c>
      <c r="Q595" s="49">
        <v>13274</v>
      </c>
      <c r="R595" s="49">
        <v>13682</v>
      </c>
      <c r="S595" s="49">
        <v>13627</v>
      </c>
      <c r="T595" s="49">
        <v>13169</v>
      </c>
      <c r="U595" s="49">
        <v>12849</v>
      </c>
      <c r="V595" s="49">
        <v>13289</v>
      </c>
      <c r="W595" s="52">
        <v>13797</v>
      </c>
      <c r="X595" s="13">
        <f t="shared" si="9"/>
        <v>-8.4120425029515777E-3</v>
      </c>
      <c r="Y595" s="13">
        <f t="shared" si="10"/>
        <v>-7.9066825420449627E-3</v>
      </c>
      <c r="Z595" s="13">
        <f t="shared" si="11"/>
        <v>-7.3696251429857806E-3</v>
      </c>
      <c r="AA595" s="13">
        <f t="shared" si="12"/>
        <v>3.2115464540749539E-3</v>
      </c>
    </row>
    <row r="596" spans="1:27" ht="15" x14ac:dyDescent="0.25">
      <c r="A596" s="4">
        <v>260128</v>
      </c>
      <c r="B596" s="20" t="s">
        <v>43</v>
      </c>
      <c r="C596" s="10" t="s">
        <v>31</v>
      </c>
      <c r="D596" s="37" t="str">
        <f>VLOOKUP(B596,'실적 기업 정보'!B242:G397,2,FALSE)</f>
        <v>Piramal Pharma Limited</v>
      </c>
      <c r="E596" s="10" t="s">
        <v>25</v>
      </c>
      <c r="F596" s="38">
        <v>-0.23613147263225051</v>
      </c>
      <c r="G596" s="49">
        <v>15020</v>
      </c>
      <c r="H596" s="49">
        <v>23064</v>
      </c>
      <c r="I596" s="49">
        <v>14820</v>
      </c>
      <c r="J596" s="49">
        <v>17662</v>
      </c>
      <c r="K596" s="49">
        <v>15979</v>
      </c>
      <c r="L596" s="49">
        <v>21636</v>
      </c>
      <c r="M596" s="49">
        <v>17489</v>
      </c>
      <c r="N596" s="49">
        <v>19114</v>
      </c>
      <c r="O596" s="49">
        <v>19586</v>
      </c>
      <c r="P596" s="49">
        <v>25524</v>
      </c>
      <c r="Q596" s="49">
        <v>19511</v>
      </c>
      <c r="R596" s="49">
        <v>22418</v>
      </c>
      <c r="S596" s="49">
        <v>22042</v>
      </c>
      <c r="T596" s="49">
        <v>27541</v>
      </c>
      <c r="U596" s="49">
        <v>19337</v>
      </c>
      <c r="V596" s="49">
        <v>20437</v>
      </c>
      <c r="W596" s="52">
        <v>21831</v>
      </c>
      <c r="X596" s="13">
        <f t="shared" si="9"/>
        <v>2.2537571931392719E-2</v>
      </c>
      <c r="Y596" s="13">
        <f t="shared" si="10"/>
        <v>-1.901389981641799E-3</v>
      </c>
      <c r="Z596" s="13">
        <f t="shared" si="11"/>
        <v>-2.1688672841533641E-2</v>
      </c>
      <c r="AA596" s="13">
        <f t="shared" si="12"/>
        <v>-2.3613147263225054E-3</v>
      </c>
    </row>
    <row r="597" spans="1:27" customFormat="1" hidden="1" x14ac:dyDescent="0.3">
      <c r="B597" s="10" t="s">
        <v>192</v>
      </c>
      <c r="C597" s="10" t="s">
        <v>31</v>
      </c>
      <c r="D597" s="10" t="s">
        <v>32</v>
      </c>
      <c r="E597" s="10" t="s">
        <v>35</v>
      </c>
      <c r="F597" s="10">
        <v>4.5530247660583889</v>
      </c>
      <c r="G597" s="10">
        <v>763.86</v>
      </c>
      <c r="H597" s="10">
        <v>561.66</v>
      </c>
      <c r="I597" s="10">
        <v>658.81</v>
      </c>
      <c r="J597" s="10">
        <v>545.69000000000005</v>
      </c>
      <c r="K597" s="10">
        <v>847.65</v>
      </c>
      <c r="L597" s="10">
        <v>621.5</v>
      </c>
      <c r="M597" s="10">
        <v>775.1</v>
      </c>
      <c r="N597" s="10">
        <v>664.19</v>
      </c>
      <c r="O597" s="10">
        <v>964.41</v>
      </c>
      <c r="P597" s="10">
        <v>786.77</v>
      </c>
      <c r="Q597" s="10">
        <v>901.48</v>
      </c>
      <c r="R597" s="10">
        <v>789.2</v>
      </c>
      <c r="S597" s="10">
        <v>1174</v>
      </c>
      <c r="T597" s="10">
        <v>1030</v>
      </c>
      <c r="U597" s="10">
        <v>1030</v>
      </c>
      <c r="V597" s="10">
        <v>939.05</v>
      </c>
      <c r="W597" s="16">
        <v>1364</v>
      </c>
      <c r="X597" s="13">
        <f t="shared" si="9"/>
        <v>6.6611893905161201E-2</v>
      </c>
      <c r="Y597" s="13">
        <f t="shared" si="10"/>
        <v>3.2998859983361717E-2</v>
      </c>
      <c r="Z597" s="13">
        <f t="shared" si="11"/>
        <v>3.7246470471266724E-2</v>
      </c>
      <c r="AA597" s="13">
        <f t="shared" si="12"/>
        <v>4.5530247660583889E-2</v>
      </c>
    </row>
    <row r="598" spans="1:27" x14ac:dyDescent="0.3">
      <c r="A598" s="61">
        <v>260127</v>
      </c>
      <c r="B598" s="59" t="s">
        <v>417</v>
      </c>
      <c r="C598" s="2" t="s">
        <v>23</v>
      </c>
      <c r="D598" s="2" t="s">
        <v>29</v>
      </c>
      <c r="F598" s="60">
        <v>57.008956467402612</v>
      </c>
      <c r="G598" s="2">
        <v>61.63</v>
      </c>
      <c r="H598" s="2">
        <v>63.43</v>
      </c>
      <c r="I598" s="2">
        <v>70.489999999999995</v>
      </c>
      <c r="J598" s="2">
        <v>68.06</v>
      </c>
      <c r="K598" s="2">
        <v>46.56</v>
      </c>
      <c r="L598" s="2">
        <v>44.61</v>
      </c>
      <c r="M598" s="2">
        <v>46.98</v>
      </c>
      <c r="N598" s="2">
        <v>47.14</v>
      </c>
      <c r="O598" s="2">
        <v>52.49</v>
      </c>
      <c r="P598" s="2">
        <v>44.89</v>
      </c>
      <c r="Q598" s="2">
        <v>46.18</v>
      </c>
      <c r="R598" s="2">
        <v>50.33</v>
      </c>
      <c r="S598" s="2">
        <v>-26.05</v>
      </c>
      <c r="T598" s="2">
        <v>53.75</v>
      </c>
      <c r="U598" s="3">
        <v>59.29</v>
      </c>
      <c r="V598" s="2">
        <v>57.04</v>
      </c>
      <c r="W598" s="3">
        <v>56.06</v>
      </c>
      <c r="X598" s="98">
        <f t="shared" ref="X598:X661" si="13">SUM(Q598:T598)/SUM(P598:S598)-1</f>
        <v>7.6809709579540586E-2</v>
      </c>
      <c r="Y598" s="13">
        <f t="shared" ref="Y598:Y661" si="14">SUM(R598:U598)/SUM(Q598:T598)-1</f>
        <v>0.10554705740278569</v>
      </c>
      <c r="Z598" s="13">
        <f t="shared" ref="Z598:Z661" si="15">SUM(S598:V598)/SUM(R598:U598)-1</f>
        <v>4.8863967375473383E-2</v>
      </c>
      <c r="AA598" s="13">
        <f t="shared" ref="AA598:AA661" si="16">SUM(T598:W598)/SUM(S598:V598)-1</f>
        <v>0.57008956467402605</v>
      </c>
    </row>
    <row r="599" spans="1:27" x14ac:dyDescent="0.3">
      <c r="A599" s="61">
        <v>260127</v>
      </c>
      <c r="B599" s="59" t="s">
        <v>418</v>
      </c>
      <c r="C599" s="2" t="s">
        <v>23</v>
      </c>
      <c r="D599" s="2" t="s">
        <v>29</v>
      </c>
      <c r="F599" s="60">
        <v>19.927170622559551</v>
      </c>
      <c r="G599" s="2">
        <v>50.17</v>
      </c>
      <c r="H599" s="2">
        <v>50.63</v>
      </c>
      <c r="I599" s="2">
        <v>51.54</v>
      </c>
      <c r="J599" s="2">
        <v>56.78</v>
      </c>
      <c r="K599" s="2">
        <v>56.89</v>
      </c>
      <c r="L599" s="2">
        <v>54.39</v>
      </c>
      <c r="M599" s="2">
        <v>53.15</v>
      </c>
      <c r="N599" s="2">
        <v>54.04</v>
      </c>
      <c r="O599" s="2">
        <v>55.59</v>
      </c>
      <c r="P599" s="2">
        <v>52.86</v>
      </c>
      <c r="Q599" s="2">
        <v>51.99</v>
      </c>
      <c r="R599" s="2">
        <v>56.08</v>
      </c>
      <c r="S599" s="2">
        <v>56.44</v>
      </c>
      <c r="T599" s="2">
        <v>55.38</v>
      </c>
      <c r="U599" s="2">
        <v>56.87</v>
      </c>
      <c r="V599" s="2">
        <v>59.24</v>
      </c>
      <c r="W599" s="3">
        <v>101.86</v>
      </c>
      <c r="X599" s="98">
        <f t="shared" si="13"/>
        <v>1.1593136127340475E-2</v>
      </c>
      <c r="Y599" s="13">
        <f t="shared" si="14"/>
        <v>2.2192914639137751E-2</v>
      </c>
      <c r="Z599" s="13">
        <f t="shared" si="15"/>
        <v>1.4058815678248848E-2</v>
      </c>
      <c r="AA599" s="13">
        <f t="shared" si="16"/>
        <v>0.19927170622559554</v>
      </c>
    </row>
    <row r="600" spans="1:27" x14ac:dyDescent="0.3">
      <c r="A600" s="61">
        <v>260127</v>
      </c>
      <c r="B600" s="59" t="s">
        <v>419</v>
      </c>
      <c r="C600" s="2" t="s">
        <v>23</v>
      </c>
      <c r="D600" s="2" t="s">
        <v>29</v>
      </c>
      <c r="F600" s="60">
        <v>14.067738624700651</v>
      </c>
      <c r="G600" s="2">
        <v>110.33</v>
      </c>
      <c r="H600" s="2">
        <v>106.08</v>
      </c>
      <c r="I600" s="2">
        <v>105.29</v>
      </c>
      <c r="J600" s="2">
        <v>114.87</v>
      </c>
      <c r="K600" s="2">
        <v>119.37</v>
      </c>
      <c r="L600" s="2">
        <v>116.75</v>
      </c>
      <c r="M600" s="2">
        <v>106.06</v>
      </c>
      <c r="N600" s="2">
        <v>108.44</v>
      </c>
      <c r="O600" s="2">
        <v>108.19</v>
      </c>
      <c r="P600" s="2">
        <v>101.55</v>
      </c>
      <c r="Q600" s="2">
        <v>119.19</v>
      </c>
      <c r="R600" s="2">
        <v>118.08</v>
      </c>
      <c r="S600" s="2">
        <v>115.53</v>
      </c>
      <c r="T600" s="2">
        <v>72.64</v>
      </c>
      <c r="U600" s="3">
        <v>199.07</v>
      </c>
      <c r="V600" s="3">
        <v>197.36</v>
      </c>
      <c r="W600" s="3">
        <v>197.77</v>
      </c>
      <c r="X600" s="98">
        <f t="shared" si="13"/>
        <v>-6.3629360625068965E-2</v>
      </c>
      <c r="Y600" s="13">
        <f t="shared" si="14"/>
        <v>0.18775855584806322</v>
      </c>
      <c r="Z600" s="13">
        <f t="shared" si="15"/>
        <v>0.15689068313148113</v>
      </c>
      <c r="AA600" s="13">
        <f t="shared" si="16"/>
        <v>0.14067738624700654</v>
      </c>
    </row>
    <row r="601" spans="1:27" x14ac:dyDescent="0.3">
      <c r="A601" s="61">
        <v>260127</v>
      </c>
      <c r="B601" s="59" t="s">
        <v>420</v>
      </c>
      <c r="C601" s="2" t="s">
        <v>23</v>
      </c>
      <c r="D601" s="2" t="s">
        <v>29</v>
      </c>
      <c r="F601" s="60">
        <v>13.293955299913589</v>
      </c>
      <c r="G601" s="2">
        <v>149.53</v>
      </c>
      <c r="H601" s="2">
        <v>135.59</v>
      </c>
      <c r="I601" s="2">
        <v>148.72999999999999</v>
      </c>
      <c r="J601" s="2">
        <v>161.69999999999999</v>
      </c>
      <c r="K601" s="2">
        <v>160.66</v>
      </c>
      <c r="L601" s="2">
        <v>166.61</v>
      </c>
      <c r="M601" s="2">
        <v>145.44</v>
      </c>
      <c r="N601" s="2">
        <v>160.97</v>
      </c>
      <c r="O601" s="2">
        <v>143.79</v>
      </c>
      <c r="P601" s="2">
        <v>162.22999999999999</v>
      </c>
      <c r="Q601" s="2">
        <v>160.49</v>
      </c>
      <c r="R601" s="2">
        <v>219.36</v>
      </c>
      <c r="S601" s="2">
        <v>164.5</v>
      </c>
      <c r="T601" s="2">
        <v>165.92</v>
      </c>
      <c r="U601" s="2">
        <v>185.87</v>
      </c>
      <c r="V601" s="2">
        <v>259.10000000000002</v>
      </c>
      <c r="W601" s="3">
        <v>267.58</v>
      </c>
      <c r="X601" s="98">
        <f t="shared" si="13"/>
        <v>5.2223385886946971E-3</v>
      </c>
      <c r="Y601" s="13">
        <f t="shared" si="14"/>
        <v>3.5732890309319032E-2</v>
      </c>
      <c r="Z601" s="13">
        <f t="shared" si="15"/>
        <v>5.4020254196968764E-2</v>
      </c>
      <c r="AA601" s="13">
        <f t="shared" si="16"/>
        <v>0.13293955299913596</v>
      </c>
    </row>
    <row r="602" spans="1:27" x14ac:dyDescent="0.3">
      <c r="A602" s="61">
        <v>260127</v>
      </c>
      <c r="B602" s="59" t="s">
        <v>421</v>
      </c>
      <c r="C602" s="2" t="s">
        <v>23</v>
      </c>
      <c r="D602" s="2" t="s">
        <v>29</v>
      </c>
      <c r="F602" s="60">
        <v>12.659894997023139</v>
      </c>
      <c r="G602" s="2">
        <v>320.85000000000002</v>
      </c>
      <c r="H602" s="2">
        <v>340.53</v>
      </c>
      <c r="I602" s="2">
        <v>387.73</v>
      </c>
      <c r="J602" s="2">
        <v>340.21</v>
      </c>
      <c r="K602" s="2">
        <v>361.66</v>
      </c>
      <c r="L602" s="2">
        <v>348.65</v>
      </c>
      <c r="M602" s="2">
        <v>350.69</v>
      </c>
      <c r="N602" s="2">
        <v>350.63</v>
      </c>
      <c r="O602" s="2">
        <v>370.78</v>
      </c>
      <c r="P602" s="2">
        <v>388.68</v>
      </c>
      <c r="Q602" s="2">
        <v>375.98</v>
      </c>
      <c r="R602" s="2">
        <v>388.12</v>
      </c>
      <c r="S602" s="2">
        <v>415.19</v>
      </c>
      <c r="T602" s="2">
        <v>477.84</v>
      </c>
      <c r="U602" s="3">
        <v>665.71</v>
      </c>
      <c r="V602" s="3">
        <v>658.34</v>
      </c>
      <c r="W602" s="3">
        <v>695.87</v>
      </c>
      <c r="X602" s="98">
        <f t="shared" si="13"/>
        <v>5.6863332844378167E-2</v>
      </c>
      <c r="Y602" s="13">
        <f t="shared" si="14"/>
        <v>0.1748384254705424</v>
      </c>
      <c r="Z602" s="13">
        <f t="shared" si="15"/>
        <v>0.13879785911673159</v>
      </c>
      <c r="AA602" s="13">
        <f t="shared" si="16"/>
        <v>0.12659894997023113</v>
      </c>
    </row>
    <row r="603" spans="1:27" x14ac:dyDescent="0.3">
      <c r="A603" s="61">
        <v>260127</v>
      </c>
      <c r="B603" s="59" t="s">
        <v>422</v>
      </c>
      <c r="C603" s="2" t="s">
        <v>23</v>
      </c>
      <c r="D603" s="2" t="s">
        <v>29</v>
      </c>
      <c r="F603" s="60">
        <v>12.38035969879892</v>
      </c>
      <c r="G603" s="2">
        <v>154.6</v>
      </c>
      <c r="H603" s="2">
        <v>141.53</v>
      </c>
      <c r="I603" s="2">
        <v>140.02000000000001</v>
      </c>
      <c r="J603" s="2">
        <v>157.29</v>
      </c>
      <c r="K603" s="2">
        <v>154.52000000000001</v>
      </c>
      <c r="L603" s="2">
        <v>148.41</v>
      </c>
      <c r="M603" s="2">
        <v>150.38</v>
      </c>
      <c r="N603" s="2">
        <v>142.22999999999999</v>
      </c>
      <c r="O603" s="2">
        <v>143.03</v>
      </c>
      <c r="P603" s="2">
        <v>140.58000000000001</v>
      </c>
      <c r="Q603" s="2">
        <v>137.41</v>
      </c>
      <c r="R603" s="2">
        <v>145.96</v>
      </c>
      <c r="S603" s="2">
        <v>163.04</v>
      </c>
      <c r="T603" s="2">
        <v>123.4</v>
      </c>
      <c r="U603" s="3">
        <v>257.51</v>
      </c>
      <c r="V603" s="3">
        <v>259.5</v>
      </c>
      <c r="W603" s="3">
        <v>262.51</v>
      </c>
      <c r="X603" s="98">
        <f t="shared" si="13"/>
        <v>-2.926796027189571E-2</v>
      </c>
      <c r="Y603" s="13">
        <f t="shared" si="14"/>
        <v>0.21077201172320614</v>
      </c>
      <c r="Z603" s="13">
        <f t="shared" si="15"/>
        <v>0.16457219057558237</v>
      </c>
      <c r="AA603" s="13">
        <f t="shared" si="16"/>
        <v>0.12380359698798915</v>
      </c>
    </row>
    <row r="604" spans="1:27" x14ac:dyDescent="0.3">
      <c r="A604" s="61">
        <v>260127</v>
      </c>
      <c r="B604" s="59" t="s">
        <v>423</v>
      </c>
      <c r="C604" s="2" t="s">
        <v>23</v>
      </c>
      <c r="D604" s="2" t="s">
        <v>131</v>
      </c>
      <c r="F604" s="60">
        <v>10.78048961699916</v>
      </c>
      <c r="G604" s="2">
        <v>14793</v>
      </c>
      <c r="H604" s="2">
        <v>13991</v>
      </c>
      <c r="I604" s="2">
        <v>16681</v>
      </c>
      <c r="J604" s="2">
        <v>15956</v>
      </c>
      <c r="K604" s="2">
        <v>19980</v>
      </c>
      <c r="L604" s="2">
        <v>17921</v>
      </c>
      <c r="M604" s="2">
        <v>19751</v>
      </c>
      <c r="N604" s="2">
        <v>18104</v>
      </c>
      <c r="O604" s="2">
        <v>22018</v>
      </c>
      <c r="P604" s="2">
        <v>16569</v>
      </c>
      <c r="Q604" s="2">
        <v>16866</v>
      </c>
      <c r="R604" s="2">
        <v>17840</v>
      </c>
      <c r="S604" s="2">
        <v>15242</v>
      </c>
      <c r="T604" s="2">
        <v>19496</v>
      </c>
      <c r="U604" s="2">
        <v>22749</v>
      </c>
      <c r="V604" s="2">
        <v>23270</v>
      </c>
      <c r="W604" s="3">
        <v>23948</v>
      </c>
      <c r="X604" s="98">
        <f t="shared" si="13"/>
        <v>4.4003788505194263E-2</v>
      </c>
      <c r="Y604" s="13">
        <f t="shared" si="14"/>
        <v>8.4715742180750064E-2</v>
      </c>
      <c r="Z604" s="13">
        <f t="shared" si="15"/>
        <v>7.2085706320442977E-2</v>
      </c>
      <c r="AA604" s="13">
        <f t="shared" si="16"/>
        <v>0.10780489616999156</v>
      </c>
    </row>
    <row r="605" spans="1:27" x14ac:dyDescent="0.3">
      <c r="A605" s="61">
        <v>260127</v>
      </c>
      <c r="B605" s="59" t="s">
        <v>424</v>
      </c>
      <c r="C605" s="2" t="s">
        <v>23</v>
      </c>
      <c r="D605" s="2" t="s">
        <v>29</v>
      </c>
      <c r="F605" s="60">
        <v>8.5087597007295948</v>
      </c>
      <c r="G605" s="2">
        <v>47.67</v>
      </c>
      <c r="H605" s="2">
        <v>47.27</v>
      </c>
      <c r="I605" s="2">
        <v>45.33</v>
      </c>
      <c r="J605" s="2">
        <v>45</v>
      </c>
      <c r="K605" s="2">
        <v>46.3</v>
      </c>
      <c r="L605" s="2">
        <v>42.14</v>
      </c>
      <c r="M605" s="2">
        <v>42.7</v>
      </c>
      <c r="N605" s="2">
        <v>38.229999999999997</v>
      </c>
      <c r="O605" s="2">
        <v>38.130000000000003</v>
      </c>
      <c r="P605" s="2">
        <v>43.7</v>
      </c>
      <c r="Q605" s="2">
        <v>42.18</v>
      </c>
      <c r="R605" s="2">
        <v>44.75</v>
      </c>
      <c r="S605" s="2">
        <v>46.77</v>
      </c>
      <c r="T605" s="2">
        <v>50.63</v>
      </c>
      <c r="U605" s="2">
        <v>55.36</v>
      </c>
      <c r="V605" s="2">
        <v>62.43</v>
      </c>
      <c r="W605" s="2">
        <v>65.08</v>
      </c>
      <c r="X605" s="98">
        <f t="shared" si="13"/>
        <v>3.9064261555806112E-2</v>
      </c>
      <c r="Y605" s="13">
        <f t="shared" si="14"/>
        <v>7.1502197146422031E-2</v>
      </c>
      <c r="Z605" s="13">
        <f t="shared" si="15"/>
        <v>8.9514454964305656E-2</v>
      </c>
      <c r="AA605" s="13">
        <f t="shared" si="16"/>
        <v>8.5087597007295956E-2</v>
      </c>
    </row>
    <row r="606" spans="1:27" x14ac:dyDescent="0.3">
      <c r="A606" s="61">
        <v>260127</v>
      </c>
      <c r="B606" s="59" t="s">
        <v>425</v>
      </c>
      <c r="C606" s="2" t="s">
        <v>23</v>
      </c>
      <c r="D606" s="2" t="s">
        <v>29</v>
      </c>
      <c r="F606" s="60">
        <v>7.9056974459724927</v>
      </c>
      <c r="G606" s="2">
        <v>29.14</v>
      </c>
      <c r="H606" s="2">
        <v>29.95</v>
      </c>
      <c r="I606" s="2">
        <v>31.09</v>
      </c>
      <c r="J606" s="2">
        <v>33.869999999999997</v>
      </c>
      <c r="K606" s="2">
        <v>33.020000000000003</v>
      </c>
      <c r="L606" s="2">
        <v>29.89</v>
      </c>
      <c r="M606" s="2">
        <v>27.24</v>
      </c>
      <c r="N606" s="2">
        <v>27.75</v>
      </c>
      <c r="O606" s="2">
        <v>26.97</v>
      </c>
      <c r="P606" s="2">
        <v>25.43</v>
      </c>
      <c r="Q606" s="2">
        <v>26.16</v>
      </c>
      <c r="R606" s="2">
        <v>27.12</v>
      </c>
      <c r="S606" s="2">
        <v>27.33</v>
      </c>
      <c r="T606" s="2">
        <v>30.79</v>
      </c>
      <c r="U606" s="2">
        <v>34.08</v>
      </c>
      <c r="V606" s="2">
        <v>35.049999999999997</v>
      </c>
      <c r="W606" s="2">
        <v>37.39</v>
      </c>
      <c r="X606" s="98">
        <f t="shared" si="13"/>
        <v>5.0546963410033952E-2</v>
      </c>
      <c r="Y606" s="13">
        <f t="shared" si="14"/>
        <v>7.1095152603231515E-2</v>
      </c>
      <c r="Z606" s="13">
        <f t="shared" si="15"/>
        <v>6.6459939658062073E-2</v>
      </c>
      <c r="AA606" s="13">
        <f t="shared" si="16"/>
        <v>7.9056974459725149E-2</v>
      </c>
    </row>
    <row r="607" spans="1:27" x14ac:dyDescent="0.3">
      <c r="A607" s="61">
        <v>260127</v>
      </c>
      <c r="B607" s="59" t="s">
        <v>426</v>
      </c>
      <c r="C607" s="2" t="s">
        <v>23</v>
      </c>
      <c r="D607" s="2" t="s">
        <v>427</v>
      </c>
      <c r="F607" s="60">
        <v>6.8181144425800699</v>
      </c>
      <c r="G607" s="2">
        <v>337.61</v>
      </c>
      <c r="H607" s="2">
        <v>439.81</v>
      </c>
      <c r="I607" s="2">
        <v>403.23</v>
      </c>
      <c r="J607" s="2">
        <v>467.14</v>
      </c>
      <c r="K607" s="3">
        <v>513.37</v>
      </c>
      <c r="L607" s="2">
        <v>518.4</v>
      </c>
      <c r="M607" s="2">
        <v>479.54</v>
      </c>
      <c r="N607" s="2">
        <v>573.36</v>
      </c>
      <c r="O607" s="2">
        <v>710.43</v>
      </c>
      <c r="P607" s="2">
        <v>736.52</v>
      </c>
      <c r="Q607" s="2">
        <v>719.92</v>
      </c>
      <c r="R607" s="2">
        <v>635.57000000000005</v>
      </c>
      <c r="S607" s="2">
        <v>679.36</v>
      </c>
      <c r="T607" s="2">
        <v>924.34</v>
      </c>
      <c r="U607" s="2">
        <v>864.25</v>
      </c>
      <c r="V607" s="2">
        <v>905.27</v>
      </c>
      <c r="W607" s="2">
        <v>909.35</v>
      </c>
      <c r="X607" s="98">
        <f t="shared" si="13"/>
        <v>6.7771535377809444E-2</v>
      </c>
      <c r="Y607" s="13">
        <f t="shared" si="14"/>
        <v>4.8773481932555818E-2</v>
      </c>
      <c r="Z607" s="13">
        <f t="shared" si="15"/>
        <v>8.6901324947156633E-2</v>
      </c>
      <c r="AA607" s="13">
        <f t="shared" si="16"/>
        <v>6.8181144425800921E-2</v>
      </c>
    </row>
    <row r="608" spans="1:27" x14ac:dyDescent="0.3">
      <c r="A608" s="61">
        <v>260127</v>
      </c>
      <c r="B608" s="59" t="s">
        <v>428</v>
      </c>
      <c r="C608" s="2" t="s">
        <v>23</v>
      </c>
      <c r="D608" s="2" t="s">
        <v>99</v>
      </c>
      <c r="F608" s="60">
        <v>5.4323536899273162</v>
      </c>
      <c r="G608" s="2">
        <v>261.36</v>
      </c>
      <c r="H608" s="2">
        <v>246.21</v>
      </c>
      <c r="I608" s="2">
        <v>239.62</v>
      </c>
      <c r="J608" s="2">
        <v>263.27</v>
      </c>
      <c r="K608" s="2">
        <v>252.58</v>
      </c>
      <c r="L608" s="2">
        <v>242.57</v>
      </c>
      <c r="M608" s="2">
        <v>253.8</v>
      </c>
      <c r="N608" s="2">
        <v>270.95</v>
      </c>
      <c r="O608" s="2">
        <v>267.83</v>
      </c>
      <c r="P608" s="2">
        <v>280.27</v>
      </c>
      <c r="Q608" s="2">
        <v>299.24</v>
      </c>
      <c r="R608" s="2">
        <v>323.45</v>
      </c>
      <c r="S608" s="2">
        <v>336.05</v>
      </c>
      <c r="T608" s="2">
        <v>345.64</v>
      </c>
      <c r="U608" s="2">
        <v>358.68</v>
      </c>
      <c r="V608" s="2">
        <v>373.75</v>
      </c>
      <c r="W608" s="2">
        <v>412.87</v>
      </c>
      <c r="X608" s="98">
        <f t="shared" si="13"/>
        <v>5.2759864730712591E-2</v>
      </c>
      <c r="Y608" s="13">
        <f t="shared" si="14"/>
        <v>4.5569542617948544E-2</v>
      </c>
      <c r="Z608" s="13">
        <f t="shared" si="15"/>
        <v>3.6881699931076151E-2</v>
      </c>
      <c r="AA608" s="13">
        <f t="shared" si="16"/>
        <v>5.4323536899272939E-2</v>
      </c>
    </row>
    <row r="609" spans="1:27" x14ac:dyDescent="0.3">
      <c r="A609" s="61">
        <v>260127</v>
      </c>
      <c r="B609" s="59" t="s">
        <v>429</v>
      </c>
      <c r="C609" s="2" t="s">
        <v>23</v>
      </c>
      <c r="D609" s="2" t="s">
        <v>430</v>
      </c>
      <c r="F609" s="60">
        <v>5.0676047048477502</v>
      </c>
      <c r="G609" s="2">
        <v>3116</v>
      </c>
      <c r="H609" s="2">
        <v>2802</v>
      </c>
      <c r="I609" s="2">
        <v>2628</v>
      </c>
      <c r="J609" s="2">
        <v>2035</v>
      </c>
      <c r="K609" s="2">
        <v>1887</v>
      </c>
      <c r="L609" s="2">
        <v>1860</v>
      </c>
      <c r="M609" s="2">
        <v>1602</v>
      </c>
      <c r="N609" s="2">
        <v>1454</v>
      </c>
      <c r="O609" s="2">
        <v>1555</v>
      </c>
      <c r="P609" s="2">
        <v>1655</v>
      </c>
      <c r="Q609" s="2">
        <v>1887</v>
      </c>
      <c r="R609" s="3">
        <v>2168</v>
      </c>
      <c r="S609" s="3">
        <v>2325</v>
      </c>
      <c r="T609" s="2">
        <v>2160</v>
      </c>
      <c r="U609" s="2">
        <v>2444</v>
      </c>
      <c r="V609" s="2">
        <v>2629</v>
      </c>
      <c r="W609" s="2">
        <v>2825</v>
      </c>
      <c r="X609" s="98">
        <f t="shared" si="13"/>
        <v>6.2850031113876881E-2</v>
      </c>
      <c r="Y609" s="13">
        <f t="shared" si="14"/>
        <v>6.522248243559714E-2</v>
      </c>
      <c r="Z609" s="13">
        <f t="shared" si="15"/>
        <v>5.0676047048477502E-2</v>
      </c>
      <c r="AA609" s="13">
        <f t="shared" si="16"/>
        <v>5.2312199204854526E-2</v>
      </c>
    </row>
    <row r="610" spans="1:27" x14ac:dyDescent="0.3">
      <c r="A610" s="61">
        <v>260127</v>
      </c>
      <c r="B610" s="59" t="s">
        <v>431</v>
      </c>
      <c r="C610" s="2" t="s">
        <v>23</v>
      </c>
      <c r="D610" s="2" t="s">
        <v>115</v>
      </c>
      <c r="F610" s="60">
        <v>4.6722149218863862</v>
      </c>
      <c r="G610" s="2">
        <v>202.38</v>
      </c>
      <c r="H610" s="2">
        <v>205.95</v>
      </c>
      <c r="I610" s="2">
        <v>197.98</v>
      </c>
      <c r="J610" s="2">
        <v>188.06</v>
      </c>
      <c r="K610" s="2">
        <v>195.07</v>
      </c>
      <c r="L610" s="2">
        <v>203.48</v>
      </c>
      <c r="M610" s="2">
        <v>198.15</v>
      </c>
      <c r="N610" s="2">
        <v>201</v>
      </c>
      <c r="O610" s="2">
        <v>216.81</v>
      </c>
      <c r="P610" s="2">
        <v>223.29</v>
      </c>
      <c r="Q610" s="2">
        <v>224.67</v>
      </c>
      <c r="R610" s="2">
        <v>233.28</v>
      </c>
      <c r="S610" s="2">
        <v>262.63</v>
      </c>
      <c r="T610" s="2">
        <v>275.04000000000002</v>
      </c>
      <c r="U610" s="2">
        <v>281.98</v>
      </c>
      <c r="V610" s="2">
        <v>276.19</v>
      </c>
      <c r="W610" s="2">
        <v>313.83</v>
      </c>
      <c r="X610" s="98">
        <f t="shared" si="13"/>
        <v>5.4827465646752005E-2</v>
      </c>
      <c r="Y610" s="13">
        <f t="shared" si="14"/>
        <v>5.7562122094775292E-2</v>
      </c>
      <c r="Z610" s="13">
        <f t="shared" si="15"/>
        <v>4.075294653965611E-2</v>
      </c>
      <c r="AA610" s="13">
        <f t="shared" si="16"/>
        <v>4.6722149218863862E-2</v>
      </c>
    </row>
    <row r="611" spans="1:27" x14ac:dyDescent="0.3">
      <c r="A611" s="61">
        <v>260127</v>
      </c>
      <c r="B611" s="59" t="s">
        <v>432</v>
      </c>
      <c r="C611" s="2" t="s">
        <v>23</v>
      </c>
      <c r="D611" s="2" t="s">
        <v>29</v>
      </c>
      <c r="F611" s="60">
        <v>4.4085318757055569</v>
      </c>
      <c r="G611" s="2">
        <v>72.72</v>
      </c>
      <c r="H611" s="2">
        <v>64.28</v>
      </c>
      <c r="I611" s="2">
        <v>70.98</v>
      </c>
      <c r="J611" s="2">
        <v>81.86</v>
      </c>
      <c r="K611" s="2">
        <v>86.44</v>
      </c>
      <c r="L611" s="2">
        <v>78.72</v>
      </c>
      <c r="M611" s="2">
        <v>82.12</v>
      </c>
      <c r="N611" s="2">
        <v>78.040000000000006</v>
      </c>
      <c r="O611" s="2">
        <v>98.27</v>
      </c>
      <c r="P611" s="2">
        <v>78.59</v>
      </c>
      <c r="Q611" s="2">
        <v>81.56</v>
      </c>
      <c r="R611" s="2">
        <v>83.4</v>
      </c>
      <c r="S611" s="2">
        <v>86.68</v>
      </c>
      <c r="T611" s="2">
        <v>72.64</v>
      </c>
      <c r="U611" s="2">
        <v>80.150000000000006</v>
      </c>
      <c r="V611" s="2">
        <v>97.15</v>
      </c>
      <c r="W611" s="2">
        <v>101.52</v>
      </c>
      <c r="X611" s="98">
        <f t="shared" si="13"/>
        <v>-1.801774520788535E-2</v>
      </c>
      <c r="Y611" s="13">
        <f t="shared" si="14"/>
        <v>-4.3480942395461852E-3</v>
      </c>
      <c r="Z611" s="13">
        <f t="shared" si="15"/>
        <v>4.2586799640722317E-2</v>
      </c>
      <c r="AA611" s="13">
        <f t="shared" si="16"/>
        <v>4.4085318757055569E-2</v>
      </c>
    </row>
    <row r="612" spans="1:27" x14ac:dyDescent="0.3">
      <c r="A612" s="61">
        <v>260127</v>
      </c>
      <c r="B612" s="59" t="s">
        <v>433</v>
      </c>
      <c r="C612" s="2" t="s">
        <v>23</v>
      </c>
      <c r="D612" s="2" t="s">
        <v>434</v>
      </c>
      <c r="F612" s="60">
        <v>4.2398661495170797</v>
      </c>
      <c r="G612" s="2">
        <v>5046</v>
      </c>
      <c r="H612" s="2">
        <v>2890</v>
      </c>
      <c r="I612" s="2">
        <v>5183</v>
      </c>
      <c r="J612" s="2">
        <v>6719</v>
      </c>
      <c r="K612" s="2">
        <v>6164</v>
      </c>
      <c r="L612" s="3">
        <v>6716</v>
      </c>
      <c r="M612" s="2">
        <v>7349</v>
      </c>
      <c r="N612" s="2">
        <v>7172</v>
      </c>
      <c r="O612" s="2">
        <v>6878</v>
      </c>
      <c r="P612" s="2">
        <v>5731</v>
      </c>
      <c r="Q612" s="2">
        <v>6069</v>
      </c>
      <c r="R612" s="2">
        <v>7567</v>
      </c>
      <c r="S612" s="2">
        <v>5385</v>
      </c>
      <c r="T612" s="2">
        <v>6247</v>
      </c>
      <c r="U612" s="2">
        <v>6700</v>
      </c>
      <c r="V612" s="2">
        <v>7966</v>
      </c>
      <c r="W612" s="2">
        <v>6500</v>
      </c>
      <c r="X612" s="98">
        <f t="shared" si="13"/>
        <v>2.084680025856489E-2</v>
      </c>
      <c r="Y612" s="13">
        <f t="shared" si="14"/>
        <v>2.4972296976412789E-2</v>
      </c>
      <c r="Z612" s="13">
        <f t="shared" si="15"/>
        <v>1.5406000231669159E-2</v>
      </c>
      <c r="AA612" s="13">
        <f t="shared" si="16"/>
        <v>4.2398661495170797E-2</v>
      </c>
    </row>
    <row r="613" spans="1:27" x14ac:dyDescent="0.3">
      <c r="A613" s="61">
        <v>260127</v>
      </c>
      <c r="B613" s="59" t="s">
        <v>435</v>
      </c>
      <c r="C613" s="2" t="s">
        <v>23</v>
      </c>
      <c r="D613" s="2" t="s">
        <v>29</v>
      </c>
      <c r="F613" s="60">
        <v>3.8075908260604812</v>
      </c>
      <c r="G613" s="2">
        <v>74.739999999999995</v>
      </c>
      <c r="H613" s="2">
        <v>60.85</v>
      </c>
      <c r="I613" s="2">
        <v>66.760000000000005</v>
      </c>
      <c r="J613" s="2">
        <v>71.44</v>
      </c>
      <c r="K613" s="2">
        <v>71.97</v>
      </c>
      <c r="L613" s="2">
        <v>64.06</v>
      </c>
      <c r="M613" s="2">
        <v>61.49</v>
      </c>
      <c r="N613" s="2">
        <v>60.93</v>
      </c>
      <c r="O613" s="2">
        <v>62.69</v>
      </c>
      <c r="P613" s="2">
        <v>58.16</v>
      </c>
      <c r="Q613" s="2">
        <v>55.72</v>
      </c>
      <c r="R613" s="2">
        <v>56.2</v>
      </c>
      <c r="S613" s="2">
        <v>59.86</v>
      </c>
      <c r="T613" s="2">
        <v>60.1</v>
      </c>
      <c r="U613" s="2">
        <v>57.58</v>
      </c>
      <c r="V613" s="2">
        <v>68.81</v>
      </c>
      <c r="W613" s="2">
        <v>69.239999999999995</v>
      </c>
      <c r="X613" s="98">
        <f t="shared" si="13"/>
        <v>8.4369835609290345E-3</v>
      </c>
      <c r="Y613" s="13">
        <f t="shared" si="14"/>
        <v>8.0213903743315829E-3</v>
      </c>
      <c r="Z613" s="13">
        <f t="shared" si="15"/>
        <v>5.3948832035595196E-2</v>
      </c>
      <c r="AA613" s="13">
        <f t="shared" si="16"/>
        <v>3.8075908260604807E-2</v>
      </c>
    </row>
    <row r="614" spans="1:27" x14ac:dyDescent="0.3">
      <c r="A614" s="61">
        <v>260127</v>
      </c>
      <c r="B614" s="59" t="s">
        <v>436</v>
      </c>
      <c r="C614" s="2" t="s">
        <v>23</v>
      </c>
      <c r="D614" s="2" t="s">
        <v>29</v>
      </c>
      <c r="F614" s="60">
        <v>3.5841529238580749</v>
      </c>
      <c r="G614" s="2">
        <v>98.97</v>
      </c>
      <c r="H614" s="2">
        <v>90.11</v>
      </c>
      <c r="I614" s="2">
        <v>93.99</v>
      </c>
      <c r="J614" s="2">
        <v>102.3</v>
      </c>
      <c r="K614" s="2">
        <v>103.09</v>
      </c>
      <c r="L614" s="2">
        <v>109.28</v>
      </c>
      <c r="M614" s="2">
        <v>119.55</v>
      </c>
      <c r="N614" s="2">
        <v>116.65</v>
      </c>
      <c r="O614" s="2">
        <v>121.79</v>
      </c>
      <c r="P614" s="2">
        <v>111.91</v>
      </c>
      <c r="Q614" s="2">
        <v>112.3</v>
      </c>
      <c r="R614" s="2">
        <v>110.47</v>
      </c>
      <c r="S614" s="2">
        <v>113.83</v>
      </c>
      <c r="T614" s="2">
        <v>112.07</v>
      </c>
      <c r="U614" s="2">
        <v>118.26</v>
      </c>
      <c r="V614" s="2">
        <v>124.57</v>
      </c>
      <c r="W614" s="2">
        <v>130.63</v>
      </c>
      <c r="X614" s="98">
        <f t="shared" si="13"/>
        <v>3.5673675057412702E-4</v>
      </c>
      <c r="Y614" s="13">
        <f t="shared" si="14"/>
        <v>1.3283705173067206E-2</v>
      </c>
      <c r="Z614" s="13">
        <f t="shared" si="15"/>
        <v>3.1014231352968213E-2</v>
      </c>
      <c r="AA614" s="13">
        <f t="shared" si="16"/>
        <v>3.5841529238580971E-2</v>
      </c>
    </row>
    <row r="615" spans="1:27" x14ac:dyDescent="0.3">
      <c r="A615" s="61">
        <v>260127</v>
      </c>
      <c r="B615" s="59" t="s">
        <v>437</v>
      </c>
      <c r="C615" s="2" t="s">
        <v>23</v>
      </c>
      <c r="D615" s="2" t="s">
        <v>29</v>
      </c>
      <c r="F615" s="60">
        <v>3.5738182860966421</v>
      </c>
      <c r="G615" s="2">
        <v>110.75</v>
      </c>
      <c r="H615" s="2">
        <v>121.08</v>
      </c>
      <c r="I615" s="2">
        <v>117.41</v>
      </c>
      <c r="J615" s="2">
        <v>129.52000000000001</v>
      </c>
      <c r="K615" s="2">
        <v>128.94</v>
      </c>
      <c r="L615" s="2">
        <v>124.48</v>
      </c>
      <c r="M615" s="2">
        <v>108.74</v>
      </c>
      <c r="N615" s="2">
        <v>103.02</v>
      </c>
      <c r="O615" s="2">
        <v>115.62</v>
      </c>
      <c r="P615" s="2">
        <v>114.8</v>
      </c>
      <c r="Q615" s="2">
        <v>94.08</v>
      </c>
      <c r="R615" s="3">
        <v>201.26</v>
      </c>
      <c r="S615" s="3">
        <v>197.03</v>
      </c>
      <c r="T615" s="3">
        <v>208.12</v>
      </c>
      <c r="U615" s="3">
        <v>217.06</v>
      </c>
      <c r="V615" s="2">
        <v>214.71</v>
      </c>
      <c r="W615" s="2">
        <v>226.94</v>
      </c>
      <c r="X615" s="98">
        <f t="shared" si="13"/>
        <v>0.15369665826704226</v>
      </c>
      <c r="Y615" s="13">
        <f t="shared" si="14"/>
        <v>0.17556282031149628</v>
      </c>
      <c r="Z615" s="13">
        <f t="shared" si="15"/>
        <v>1.6333321189600181E-2</v>
      </c>
      <c r="AA615" s="13">
        <f t="shared" si="16"/>
        <v>3.5738182860966194E-2</v>
      </c>
    </row>
    <row r="616" spans="1:27" x14ac:dyDescent="0.3">
      <c r="A616" s="61">
        <v>260127</v>
      </c>
      <c r="B616" s="59" t="s">
        <v>438</v>
      </c>
      <c r="C616" s="2" t="s">
        <v>23</v>
      </c>
      <c r="D616" s="2" t="s">
        <v>131</v>
      </c>
      <c r="F616" s="60">
        <v>3.041122017025621</v>
      </c>
      <c r="G616" s="2">
        <v>17044</v>
      </c>
      <c r="H616" s="2">
        <v>15716</v>
      </c>
      <c r="I616" s="2">
        <v>16314</v>
      </c>
      <c r="J616" s="2">
        <v>16951</v>
      </c>
      <c r="K616" s="2">
        <v>18093</v>
      </c>
      <c r="L616" s="2">
        <v>17214</v>
      </c>
      <c r="M616" s="2">
        <v>18315</v>
      </c>
      <c r="N616" s="2">
        <v>13464</v>
      </c>
      <c r="O616" s="2">
        <v>19927</v>
      </c>
      <c r="P616" s="2">
        <v>19305</v>
      </c>
      <c r="Q616" s="2">
        <v>19721</v>
      </c>
      <c r="R616" s="2">
        <v>20089</v>
      </c>
      <c r="S616" s="2">
        <v>21623</v>
      </c>
      <c r="T616" s="2">
        <v>20306</v>
      </c>
      <c r="U616" s="2">
        <v>21581</v>
      </c>
      <c r="V616" s="2">
        <v>22478</v>
      </c>
      <c r="W616" s="2">
        <v>24238</v>
      </c>
      <c r="X616" s="98">
        <f t="shared" si="13"/>
        <v>1.2398127275879967E-2</v>
      </c>
      <c r="Y616" s="13">
        <f t="shared" si="14"/>
        <v>2.2755355460673643E-2</v>
      </c>
      <c r="Z616" s="13">
        <f t="shared" si="15"/>
        <v>2.8576896852833267E-2</v>
      </c>
      <c r="AA616" s="13">
        <f t="shared" si="16"/>
        <v>3.0411220170256215E-2</v>
      </c>
    </row>
    <row r="617" spans="1:27" x14ac:dyDescent="0.3">
      <c r="A617" s="61">
        <v>260127</v>
      </c>
      <c r="B617" s="59" t="s">
        <v>439</v>
      </c>
      <c r="C617" s="2" t="s">
        <v>23</v>
      </c>
      <c r="D617" s="2" t="s">
        <v>127</v>
      </c>
      <c r="F617" s="60">
        <v>2.91874991130936</v>
      </c>
      <c r="G617" s="2">
        <v>73743</v>
      </c>
      <c r="H617" s="2">
        <v>80149</v>
      </c>
      <c r="I617" s="2">
        <v>80332</v>
      </c>
      <c r="J617" s="2">
        <v>80894</v>
      </c>
      <c r="K617" s="2">
        <v>82787</v>
      </c>
      <c r="L617" s="2">
        <v>91931</v>
      </c>
      <c r="M617" s="2">
        <v>92903</v>
      </c>
      <c r="N617" s="2">
        <v>92361</v>
      </c>
      <c r="O617" s="2">
        <v>94427</v>
      </c>
      <c r="P617" s="2">
        <v>99796</v>
      </c>
      <c r="Q617" s="2">
        <v>98855</v>
      </c>
      <c r="R617" s="2">
        <v>100820</v>
      </c>
      <c r="S617" s="2">
        <v>100807</v>
      </c>
      <c r="T617" s="2">
        <v>109575</v>
      </c>
      <c r="U617" s="2">
        <v>111616</v>
      </c>
      <c r="V617" s="2">
        <v>113161</v>
      </c>
      <c r="W617" s="2">
        <v>113215</v>
      </c>
      <c r="X617" s="98">
        <f t="shared" si="13"/>
        <v>2.4430520788052412E-2</v>
      </c>
      <c r="Y617" s="13">
        <f t="shared" si="14"/>
        <v>3.1120063796008957E-2</v>
      </c>
      <c r="Z617" s="13">
        <f t="shared" si="15"/>
        <v>2.9187499113093596E-2</v>
      </c>
      <c r="AA617" s="13">
        <f t="shared" si="16"/>
        <v>2.8513715676339091E-2</v>
      </c>
    </row>
    <row r="618" spans="1:27" x14ac:dyDescent="0.3">
      <c r="A618" s="61">
        <v>260127</v>
      </c>
      <c r="B618" s="59" t="s">
        <v>440</v>
      </c>
      <c r="C618" s="2" t="s">
        <v>23</v>
      </c>
      <c r="D618" s="2" t="s">
        <v>29</v>
      </c>
      <c r="F618" s="60">
        <v>2.626663403197349</v>
      </c>
      <c r="G618" s="2">
        <v>157.52000000000001</v>
      </c>
      <c r="H618" s="2">
        <v>159.63999999999999</v>
      </c>
      <c r="I618" s="2">
        <v>161.19999999999999</v>
      </c>
      <c r="J618" s="2">
        <v>170.58</v>
      </c>
      <c r="K618" s="2">
        <v>173.16</v>
      </c>
      <c r="L618" s="2">
        <v>120.78</v>
      </c>
      <c r="M618" s="2">
        <v>174.51</v>
      </c>
      <c r="N618" s="2">
        <v>172.49</v>
      </c>
      <c r="O618" s="2">
        <v>172.89</v>
      </c>
      <c r="P618" s="2">
        <v>171.13</v>
      </c>
      <c r="Q618" s="2">
        <v>181.09</v>
      </c>
      <c r="R618" s="2">
        <v>181.23</v>
      </c>
      <c r="S618" s="2">
        <v>190.08</v>
      </c>
      <c r="T618" s="2">
        <v>189.56</v>
      </c>
      <c r="U618" s="2">
        <v>195.14</v>
      </c>
      <c r="V618" s="2">
        <v>201.49</v>
      </c>
      <c r="W618" s="2">
        <v>210.47</v>
      </c>
      <c r="X618" s="98">
        <f t="shared" si="13"/>
        <v>2.5472337014360136E-2</v>
      </c>
      <c r="Y618" s="13">
        <f t="shared" si="14"/>
        <v>1.8936330799503853E-2</v>
      </c>
      <c r="Z618" s="13">
        <f t="shared" si="15"/>
        <v>2.6798587320273626E-2</v>
      </c>
      <c r="AA618" s="13">
        <f t="shared" si="16"/>
        <v>2.626663403197349E-2</v>
      </c>
    </row>
    <row r="619" spans="1:27" x14ac:dyDescent="0.3">
      <c r="A619" s="61">
        <v>260127</v>
      </c>
      <c r="B619" s="59" t="s">
        <v>441</v>
      </c>
      <c r="C619" s="2" t="s">
        <v>23</v>
      </c>
      <c r="D619" s="2" t="s">
        <v>131</v>
      </c>
      <c r="F619" s="60">
        <v>2.506841282251759</v>
      </c>
      <c r="G619" s="2">
        <v>8639</v>
      </c>
      <c r="H619" s="2">
        <v>8797</v>
      </c>
      <c r="I619" s="2">
        <v>8801</v>
      </c>
      <c r="J619" s="2">
        <v>8971</v>
      </c>
      <c r="K619" s="2">
        <v>10033</v>
      </c>
      <c r="L619" s="2">
        <v>9301</v>
      </c>
      <c r="M619" s="2">
        <v>9576</v>
      </c>
      <c r="N619" s="2">
        <v>9775</v>
      </c>
      <c r="O619" s="2">
        <v>10638</v>
      </c>
      <c r="P619" s="2">
        <v>10133</v>
      </c>
      <c r="Q619" s="2">
        <v>10218</v>
      </c>
      <c r="R619" s="2">
        <v>9996</v>
      </c>
      <c r="S619" s="2">
        <v>10686</v>
      </c>
      <c r="T619" s="2">
        <v>9468</v>
      </c>
      <c r="U619" s="2">
        <v>10351</v>
      </c>
      <c r="V619" s="2">
        <v>10423</v>
      </c>
      <c r="W619" s="2">
        <v>11712</v>
      </c>
      <c r="X619" s="98">
        <f t="shared" si="13"/>
        <v>-1.6206467964808846E-2</v>
      </c>
      <c r="Y619" s="13">
        <f t="shared" si="14"/>
        <v>3.2946888624654225E-3</v>
      </c>
      <c r="Z619" s="13">
        <f t="shared" si="15"/>
        <v>1.0542949556801018E-2</v>
      </c>
      <c r="AA619" s="13">
        <f t="shared" si="16"/>
        <v>2.5068412822517594E-2</v>
      </c>
    </row>
    <row r="620" spans="1:27" x14ac:dyDescent="0.3">
      <c r="A620" s="61">
        <v>260127</v>
      </c>
      <c r="B620" s="59" t="s">
        <v>442</v>
      </c>
      <c r="C620" s="2" t="s">
        <v>23</v>
      </c>
      <c r="D620" s="2" t="s">
        <v>443</v>
      </c>
      <c r="F620" s="60">
        <v>2.4854634591266578</v>
      </c>
      <c r="G620" s="2">
        <v>2043</v>
      </c>
      <c r="H620" s="2">
        <v>2136</v>
      </c>
      <c r="I620" s="2">
        <v>2237</v>
      </c>
      <c r="J620" s="2">
        <v>2126</v>
      </c>
      <c r="K620" s="2">
        <v>1978</v>
      </c>
      <c r="L620" s="2">
        <v>1976</v>
      </c>
      <c r="M620" s="2">
        <v>1952</v>
      </c>
      <c r="N620" s="2">
        <v>1936</v>
      </c>
      <c r="O620" s="2">
        <v>1938</v>
      </c>
      <c r="P620" s="2">
        <v>1980</v>
      </c>
      <c r="Q620" s="2">
        <v>2075</v>
      </c>
      <c r="R620" s="2">
        <v>2182</v>
      </c>
      <c r="S620" s="2">
        <v>2146</v>
      </c>
      <c r="T620" s="2">
        <v>2141</v>
      </c>
      <c r="U620" s="2">
        <v>2171</v>
      </c>
      <c r="V620" s="2">
        <v>2313</v>
      </c>
      <c r="W620" s="2">
        <v>2364</v>
      </c>
      <c r="X620" s="98">
        <f t="shared" si="13"/>
        <v>1.9205535011332486E-2</v>
      </c>
      <c r="Y620" s="13">
        <f t="shared" si="14"/>
        <v>1.1235955056179803E-2</v>
      </c>
      <c r="Z620" s="13">
        <f t="shared" si="15"/>
        <v>1.5162037037037113E-2</v>
      </c>
      <c r="AA620" s="13">
        <f t="shared" si="16"/>
        <v>2.4854634591266578E-2</v>
      </c>
    </row>
    <row r="621" spans="1:27" x14ac:dyDescent="0.3">
      <c r="A621" s="61">
        <v>260127</v>
      </c>
      <c r="B621" s="59" t="s">
        <v>444</v>
      </c>
      <c r="C621" s="2" t="s">
        <v>23</v>
      </c>
      <c r="D621" s="2" t="s">
        <v>445</v>
      </c>
      <c r="F621" s="60">
        <v>2.409359434727198</v>
      </c>
      <c r="G621" s="2">
        <v>4832</v>
      </c>
      <c r="H621" s="2">
        <v>4905</v>
      </c>
      <c r="I621" s="2">
        <v>5212</v>
      </c>
      <c r="J621" s="2">
        <v>5241</v>
      </c>
      <c r="K621" s="2">
        <v>4670</v>
      </c>
      <c r="L621" s="2">
        <v>4379</v>
      </c>
      <c r="M621" s="2">
        <v>4531</v>
      </c>
      <c r="N621" s="2">
        <v>4532</v>
      </c>
      <c r="O621" s="2">
        <v>4077</v>
      </c>
      <c r="P621" s="2">
        <v>3661</v>
      </c>
      <c r="Q621" s="2">
        <v>3822</v>
      </c>
      <c r="R621" s="2">
        <v>4151</v>
      </c>
      <c r="S621" s="2">
        <v>4007</v>
      </c>
      <c r="T621" s="2">
        <v>4069</v>
      </c>
      <c r="U621" s="2">
        <v>4448</v>
      </c>
      <c r="V621" s="2">
        <v>4742</v>
      </c>
      <c r="W621" s="2">
        <v>4423</v>
      </c>
      <c r="X621" s="98">
        <f t="shared" si="13"/>
        <v>2.6085288664407624E-2</v>
      </c>
      <c r="Y621" s="13">
        <f t="shared" si="14"/>
        <v>3.9005545516854534E-2</v>
      </c>
      <c r="Z621" s="13">
        <f t="shared" si="15"/>
        <v>3.544227886056972E-2</v>
      </c>
      <c r="AA621" s="13">
        <f t="shared" si="16"/>
        <v>2.4093594347271985E-2</v>
      </c>
    </row>
    <row r="622" spans="1:27" x14ac:dyDescent="0.3">
      <c r="A622" s="61">
        <v>260127</v>
      </c>
      <c r="B622" s="59" t="s">
        <v>446</v>
      </c>
      <c r="C622" s="2" t="s">
        <v>23</v>
      </c>
      <c r="D622" s="2" t="s">
        <v>115</v>
      </c>
      <c r="F622" s="60">
        <v>2.3569023569023568</v>
      </c>
      <c r="G622" s="2">
        <v>1257</v>
      </c>
      <c r="H622" s="2">
        <v>1280</v>
      </c>
      <c r="I622" s="2">
        <v>1311</v>
      </c>
      <c r="J622" s="2">
        <v>1350</v>
      </c>
      <c r="K622" s="2">
        <v>1431</v>
      </c>
      <c r="L622" s="2">
        <v>1470</v>
      </c>
      <c r="M622" s="2">
        <v>1531</v>
      </c>
      <c r="N622" s="2">
        <v>1563</v>
      </c>
      <c r="O622" s="2">
        <v>1614</v>
      </c>
      <c r="P622" s="2">
        <v>1681</v>
      </c>
      <c r="Q622" s="2">
        <v>1717</v>
      </c>
      <c r="R622" s="2">
        <v>1765</v>
      </c>
      <c r="S622" s="2">
        <v>1877</v>
      </c>
      <c r="T622" s="2">
        <v>1883</v>
      </c>
      <c r="U622" s="2">
        <v>1944</v>
      </c>
      <c r="V622" s="2">
        <v>2018</v>
      </c>
      <c r="W622" s="2">
        <v>2059</v>
      </c>
      <c r="X622" s="98">
        <f t="shared" si="13"/>
        <v>2.8693181818181923E-2</v>
      </c>
      <c r="Y622" s="13">
        <f t="shared" si="14"/>
        <v>3.1344932339132825E-2</v>
      </c>
      <c r="Z622" s="13">
        <f t="shared" si="15"/>
        <v>3.3873343151693769E-2</v>
      </c>
      <c r="AA622" s="13">
        <f t="shared" si="16"/>
        <v>2.3569023569023573E-2</v>
      </c>
    </row>
    <row r="623" spans="1:27" x14ac:dyDescent="0.3">
      <c r="A623" s="61">
        <v>260127</v>
      </c>
      <c r="B623" s="59" t="s">
        <v>447</v>
      </c>
      <c r="C623" s="2" t="s">
        <v>23</v>
      </c>
      <c r="D623" s="2" t="s">
        <v>448</v>
      </c>
      <c r="F623" s="60">
        <v>2.2608449908153139</v>
      </c>
      <c r="G623" s="2">
        <v>2005</v>
      </c>
      <c r="H623" s="2">
        <v>1793</v>
      </c>
      <c r="I623" s="2">
        <v>2073</v>
      </c>
      <c r="J623" s="2">
        <v>2353</v>
      </c>
      <c r="K623" s="2">
        <v>2419</v>
      </c>
      <c r="L623" s="2">
        <v>2197</v>
      </c>
      <c r="M623" s="2">
        <v>2237</v>
      </c>
      <c r="N623" s="2">
        <v>2269</v>
      </c>
      <c r="O623" s="2">
        <v>2312</v>
      </c>
      <c r="P623" s="2">
        <v>1758</v>
      </c>
      <c r="Q623" s="2">
        <v>1987</v>
      </c>
      <c r="R623" s="2">
        <v>1747</v>
      </c>
      <c r="S623" s="2">
        <v>1782</v>
      </c>
      <c r="T623" s="2">
        <v>1558</v>
      </c>
      <c r="U623" s="2">
        <v>1876</v>
      </c>
      <c r="V623" s="2">
        <v>1861</v>
      </c>
      <c r="W623" s="2">
        <v>1942</v>
      </c>
      <c r="X623" s="98">
        <f t="shared" si="13"/>
        <v>-2.7495188342040122E-2</v>
      </c>
      <c r="Y623" s="13">
        <f t="shared" si="14"/>
        <v>-1.5691263782866782E-2</v>
      </c>
      <c r="Z623" s="13">
        <f t="shared" si="15"/>
        <v>1.6372253339077991E-2</v>
      </c>
      <c r="AA623" s="13">
        <f t="shared" si="16"/>
        <v>2.2608449908153139E-2</v>
      </c>
    </row>
    <row r="624" spans="1:27" x14ac:dyDescent="0.3">
      <c r="A624" s="61">
        <v>260127</v>
      </c>
      <c r="B624" s="59" t="s">
        <v>449</v>
      </c>
      <c r="C624" s="2" t="s">
        <v>23</v>
      </c>
      <c r="D624" s="2" t="s">
        <v>29</v>
      </c>
      <c r="F624" s="60">
        <v>2.1713058078780318</v>
      </c>
      <c r="G624" s="2">
        <v>699.01</v>
      </c>
      <c r="H624" s="2">
        <v>664.5</v>
      </c>
      <c r="I624" s="2">
        <v>440.8</v>
      </c>
      <c r="J624" s="2">
        <v>830.83</v>
      </c>
      <c r="K624" s="3">
        <v>1045</v>
      </c>
      <c r="L624" s="2">
        <v>645.98</v>
      </c>
      <c r="M624" s="2">
        <v>654.95000000000005</v>
      </c>
      <c r="N624" s="2">
        <v>648.45000000000005</v>
      </c>
      <c r="O624" s="2">
        <v>613.05999999999995</v>
      </c>
      <c r="P624" s="2">
        <v>641.96</v>
      </c>
      <c r="Q624" s="2">
        <v>687.82</v>
      </c>
      <c r="R624" s="2">
        <v>665.11</v>
      </c>
      <c r="S624" s="2">
        <v>689.36</v>
      </c>
      <c r="T624" s="2">
        <v>693.58</v>
      </c>
      <c r="U624" s="2">
        <v>751.09</v>
      </c>
      <c r="V624" s="2">
        <v>742.58</v>
      </c>
      <c r="W624" s="2">
        <v>751.82</v>
      </c>
      <c r="X624" s="98">
        <f t="shared" si="13"/>
        <v>1.9230697587780288E-2</v>
      </c>
      <c r="Y624" s="13">
        <f t="shared" si="14"/>
        <v>2.3126098827795261E-2</v>
      </c>
      <c r="Z624" s="13">
        <f t="shared" si="15"/>
        <v>2.7676357738448232E-2</v>
      </c>
      <c r="AA624" s="13">
        <f t="shared" si="16"/>
        <v>2.1713058078780323E-2</v>
      </c>
    </row>
    <row r="625" spans="1:27" x14ac:dyDescent="0.3">
      <c r="A625" s="61">
        <v>260127</v>
      </c>
      <c r="B625" s="59" t="s">
        <v>450</v>
      </c>
      <c r="C625" s="2" t="s">
        <v>23</v>
      </c>
      <c r="D625" s="2" t="s">
        <v>29</v>
      </c>
      <c r="F625" s="60">
        <v>2.1348677830219209</v>
      </c>
      <c r="G625" s="2">
        <v>150.66999999999999</v>
      </c>
      <c r="H625" s="2">
        <v>155.43</v>
      </c>
      <c r="I625" s="2">
        <v>164.78</v>
      </c>
      <c r="J625" s="2">
        <v>177.12</v>
      </c>
      <c r="K625" s="2">
        <v>179.64</v>
      </c>
      <c r="L625" s="2">
        <v>173.67</v>
      </c>
      <c r="M625" s="2">
        <v>169.28</v>
      </c>
      <c r="N625" s="2">
        <v>167.13</v>
      </c>
      <c r="O625" s="2">
        <v>166.65</v>
      </c>
      <c r="P625" s="2">
        <v>164.67</v>
      </c>
      <c r="Q625" s="2">
        <v>-19.989999999999998</v>
      </c>
      <c r="R625" s="2">
        <v>185.73</v>
      </c>
      <c r="S625" s="2">
        <v>189.34</v>
      </c>
      <c r="T625" s="2">
        <v>189.35</v>
      </c>
      <c r="U625" s="3">
        <v>193.97</v>
      </c>
      <c r="V625" s="2">
        <v>200.69</v>
      </c>
      <c r="W625" s="2">
        <v>205.85</v>
      </c>
      <c r="X625" s="98">
        <f t="shared" si="13"/>
        <v>4.7484367484367462E-2</v>
      </c>
      <c r="Y625" s="13">
        <f t="shared" si="14"/>
        <v>0.39299818158440947</v>
      </c>
      <c r="Z625" s="13">
        <f t="shared" si="15"/>
        <v>1.9725998496815444E-2</v>
      </c>
      <c r="AA625" s="13">
        <f t="shared" si="16"/>
        <v>2.1348677830219209E-2</v>
      </c>
    </row>
    <row r="626" spans="1:27" x14ac:dyDescent="0.3">
      <c r="A626" s="61">
        <v>260127</v>
      </c>
      <c r="B626" s="59" t="s">
        <v>451</v>
      </c>
      <c r="C626" s="2" t="s">
        <v>23</v>
      </c>
      <c r="D626" s="2" t="s">
        <v>445</v>
      </c>
      <c r="F626" s="60">
        <v>2.0919485638325459</v>
      </c>
      <c r="G626" s="2">
        <v>1114</v>
      </c>
      <c r="H626" s="2">
        <v>1166</v>
      </c>
      <c r="I626" s="2">
        <v>1035</v>
      </c>
      <c r="J626" s="2">
        <v>1158</v>
      </c>
      <c r="K626" s="2">
        <v>743.28</v>
      </c>
      <c r="L626" s="2">
        <v>632.70000000000005</v>
      </c>
      <c r="M626" s="2">
        <v>651.16</v>
      </c>
      <c r="N626" s="2">
        <v>1103</v>
      </c>
      <c r="O626" s="3">
        <v>1074</v>
      </c>
      <c r="P626" s="2">
        <v>940.99</v>
      </c>
      <c r="Q626" s="2">
        <v>886.67</v>
      </c>
      <c r="R626" s="2">
        <v>1047</v>
      </c>
      <c r="S626" s="2">
        <v>916.32</v>
      </c>
      <c r="T626" s="2">
        <v>869.47</v>
      </c>
      <c r="U626" s="2">
        <v>818.78</v>
      </c>
      <c r="V626" s="2">
        <v>1059</v>
      </c>
      <c r="W626" s="2">
        <v>992.96</v>
      </c>
      <c r="X626" s="98">
        <f t="shared" si="13"/>
        <v>-1.8865834164253026E-2</v>
      </c>
      <c r="Y626" s="13">
        <f t="shared" si="14"/>
        <v>-1.8252649578164637E-2</v>
      </c>
      <c r="Z626" s="13">
        <f t="shared" si="15"/>
        <v>3.2862576918968323E-3</v>
      </c>
      <c r="AA626" s="13">
        <f t="shared" si="16"/>
        <v>2.0919485638325463E-2</v>
      </c>
    </row>
    <row r="627" spans="1:27" x14ac:dyDescent="0.3">
      <c r="A627" s="61">
        <v>260127</v>
      </c>
      <c r="B627" s="59" t="s">
        <v>452</v>
      </c>
      <c r="C627" s="2" t="s">
        <v>23</v>
      </c>
      <c r="D627" s="2" t="s">
        <v>29</v>
      </c>
      <c r="F627" s="60">
        <v>1.93287505054589</v>
      </c>
      <c r="G627" s="2">
        <v>28.5</v>
      </c>
      <c r="H627" s="2">
        <v>29.72</v>
      </c>
      <c r="I627" s="2">
        <v>29.51</v>
      </c>
      <c r="J627" s="2">
        <v>30.01</v>
      </c>
      <c r="K627" s="2">
        <v>33.130000000000003</v>
      </c>
      <c r="L627" s="2">
        <v>31.64</v>
      </c>
      <c r="M627" s="2">
        <v>33.130000000000003</v>
      </c>
      <c r="N627" s="2">
        <v>32.01</v>
      </c>
      <c r="O627" s="2">
        <v>32.090000000000003</v>
      </c>
      <c r="P627" s="2">
        <v>33.21</v>
      </c>
      <c r="Q627" s="2">
        <v>32.46</v>
      </c>
      <c r="R627" s="3">
        <v>50.4</v>
      </c>
      <c r="S627" s="3">
        <v>60.07</v>
      </c>
      <c r="T627" s="3">
        <v>60.94</v>
      </c>
      <c r="U627" s="3">
        <v>62.32</v>
      </c>
      <c r="V627" s="2">
        <v>63.97</v>
      </c>
      <c r="W627" s="2">
        <v>64.849999999999994</v>
      </c>
      <c r="X627" s="98">
        <f t="shared" si="13"/>
        <v>0.15743158850914063</v>
      </c>
      <c r="Y627" s="13">
        <f t="shared" si="14"/>
        <v>0.1464658851228724</v>
      </c>
      <c r="Z627" s="13">
        <f t="shared" si="15"/>
        <v>5.8058443503187451E-2</v>
      </c>
      <c r="AA627" s="13">
        <f t="shared" si="16"/>
        <v>1.9328750505458903E-2</v>
      </c>
    </row>
    <row r="628" spans="1:27" x14ac:dyDescent="0.3">
      <c r="A628" s="61">
        <v>260127</v>
      </c>
      <c r="B628" s="59" t="s">
        <v>453</v>
      </c>
      <c r="C628" s="2" t="s">
        <v>23</v>
      </c>
      <c r="D628" s="2" t="s">
        <v>454</v>
      </c>
      <c r="F628" s="60">
        <v>1.9292604501607751</v>
      </c>
      <c r="G628" s="2">
        <v>876.87</v>
      </c>
      <c r="H628" s="2">
        <v>980.66</v>
      </c>
      <c r="I628" s="2">
        <v>1061</v>
      </c>
      <c r="J628" s="2">
        <v>1062</v>
      </c>
      <c r="K628" s="2">
        <v>1060</v>
      </c>
      <c r="L628" s="2">
        <v>1132</v>
      </c>
      <c r="M628" s="2">
        <v>1158</v>
      </c>
      <c r="N628" s="2">
        <v>1095</v>
      </c>
      <c r="O628" s="2">
        <v>1077</v>
      </c>
      <c r="P628" s="2">
        <v>1146</v>
      </c>
      <c r="Q628" s="2">
        <v>1161</v>
      </c>
      <c r="R628" s="2">
        <v>1099</v>
      </c>
      <c r="S628" s="2">
        <v>1073</v>
      </c>
      <c r="T628" s="2">
        <v>1167</v>
      </c>
      <c r="U628" s="2">
        <v>1225</v>
      </c>
      <c r="V628" s="2">
        <v>1200</v>
      </c>
      <c r="W628" s="2">
        <v>1163</v>
      </c>
      <c r="X628" s="98">
        <f t="shared" si="13"/>
        <v>4.6885465505692725E-3</v>
      </c>
      <c r="Y628" s="13">
        <f t="shared" si="14"/>
        <v>1.4222222222222136E-2</v>
      </c>
      <c r="Z628" s="13">
        <f t="shared" si="15"/>
        <v>2.2129710780017575E-2</v>
      </c>
      <c r="AA628" s="13">
        <f t="shared" si="16"/>
        <v>1.9292604501607746E-2</v>
      </c>
    </row>
    <row r="629" spans="1:27" x14ac:dyDescent="0.3">
      <c r="A629" s="61">
        <v>260127</v>
      </c>
      <c r="B629" s="59" t="s">
        <v>455</v>
      </c>
      <c r="C629" s="2" t="s">
        <v>23</v>
      </c>
      <c r="D629" s="2" t="s">
        <v>29</v>
      </c>
      <c r="F629" s="60">
        <v>1.923662263346926</v>
      </c>
      <c r="G629" s="2">
        <v>35.29</v>
      </c>
      <c r="H629" s="2">
        <v>32.39</v>
      </c>
      <c r="I629" s="2">
        <v>35.89</v>
      </c>
      <c r="J629" s="2">
        <v>38.61</v>
      </c>
      <c r="K629" s="2">
        <v>36.39</v>
      </c>
      <c r="L629" s="2">
        <v>36.25</v>
      </c>
      <c r="M629" s="2">
        <v>37.54</v>
      </c>
      <c r="N629" s="2">
        <v>41.86</v>
      </c>
      <c r="O629" s="2">
        <v>41.5</v>
      </c>
      <c r="P629" s="2">
        <v>39.880000000000003</v>
      </c>
      <c r="Q629" s="2">
        <v>41.11</v>
      </c>
      <c r="R629" s="2">
        <v>40.69</v>
      </c>
      <c r="S629" s="2">
        <v>40.590000000000003</v>
      </c>
      <c r="T629" s="2">
        <v>40.21</v>
      </c>
      <c r="U629" s="2">
        <v>41.28</v>
      </c>
      <c r="V629" s="2">
        <v>42.19</v>
      </c>
      <c r="W629" s="2">
        <v>43.75</v>
      </c>
      <c r="X629" s="98">
        <f t="shared" si="13"/>
        <v>2.0336476243296708E-3</v>
      </c>
      <c r="Y629" s="13">
        <f t="shared" si="14"/>
        <v>1.0455104551045924E-3</v>
      </c>
      <c r="Z629" s="13">
        <f t="shared" si="15"/>
        <v>9.2154573938687534E-3</v>
      </c>
      <c r="AA629" s="13">
        <f t="shared" si="16"/>
        <v>1.9236622633469258E-2</v>
      </c>
    </row>
    <row r="630" spans="1:27" x14ac:dyDescent="0.3">
      <c r="A630" s="61">
        <v>260127</v>
      </c>
      <c r="B630" s="59" t="s">
        <v>456</v>
      </c>
      <c r="C630" s="2" t="s">
        <v>23</v>
      </c>
      <c r="D630" s="2" t="s">
        <v>24</v>
      </c>
      <c r="F630" s="60">
        <v>1.81278274132386</v>
      </c>
      <c r="G630" s="2">
        <v>687.1</v>
      </c>
      <c r="H630" s="2">
        <v>634.22</v>
      </c>
      <c r="I630" s="2">
        <v>674.49</v>
      </c>
      <c r="J630" s="2">
        <v>700.03</v>
      </c>
      <c r="K630" s="2">
        <v>700.38</v>
      </c>
      <c r="L630" s="2">
        <v>703.18</v>
      </c>
      <c r="M630" s="2">
        <v>702.64</v>
      </c>
      <c r="N630" s="2">
        <v>706.97</v>
      </c>
      <c r="O630" s="2">
        <v>692.6</v>
      </c>
      <c r="P630" s="2">
        <v>681.35</v>
      </c>
      <c r="Q630" s="2">
        <v>695.5</v>
      </c>
      <c r="R630" s="2">
        <v>746.67</v>
      </c>
      <c r="S630" s="2">
        <v>766.49</v>
      </c>
      <c r="T630" s="2">
        <v>731.12</v>
      </c>
      <c r="U630" s="2">
        <v>780.37</v>
      </c>
      <c r="V630" s="2">
        <v>810.09</v>
      </c>
      <c r="W630" s="2">
        <v>822.47</v>
      </c>
      <c r="X630" s="98">
        <f t="shared" si="13"/>
        <v>1.7221393697599563E-2</v>
      </c>
      <c r="Y630" s="13">
        <f t="shared" si="14"/>
        <v>2.8869507242038406E-2</v>
      </c>
      <c r="Z630" s="13">
        <f t="shared" si="15"/>
        <v>2.0967715272841581E-2</v>
      </c>
      <c r="AA630" s="13">
        <f t="shared" si="16"/>
        <v>1.8127827413238595E-2</v>
      </c>
    </row>
    <row r="631" spans="1:27" x14ac:dyDescent="0.3">
      <c r="A631" s="61">
        <v>260127</v>
      </c>
      <c r="B631" s="59" t="s">
        <v>457</v>
      </c>
      <c r="C631" s="2" t="s">
        <v>23</v>
      </c>
      <c r="D631" s="2" t="s">
        <v>52</v>
      </c>
      <c r="F631" s="60">
        <v>1.7797116907463111</v>
      </c>
      <c r="G631" s="2">
        <v>409.51</v>
      </c>
      <c r="H631" s="2">
        <v>421.72</v>
      </c>
      <c r="I631" s="2">
        <v>455.21</v>
      </c>
      <c r="J631" s="2">
        <v>425.15</v>
      </c>
      <c r="K631" s="2">
        <v>458.44</v>
      </c>
      <c r="L631" s="2">
        <v>470.28</v>
      </c>
      <c r="M631" s="2">
        <v>483.49</v>
      </c>
      <c r="N631" s="2">
        <v>480.18</v>
      </c>
      <c r="O631" s="2">
        <v>504.87</v>
      </c>
      <c r="P631" s="2">
        <v>520.84</v>
      </c>
      <c r="Q631" s="2">
        <v>534.17999999999995</v>
      </c>
      <c r="R631" s="2">
        <v>551.08000000000004</v>
      </c>
      <c r="S631" s="2">
        <v>587.21</v>
      </c>
      <c r="T631" s="2">
        <v>613.38</v>
      </c>
      <c r="U631" s="2">
        <v>653.65</v>
      </c>
      <c r="V631" s="2">
        <v>620.88</v>
      </c>
      <c r="W631" s="2">
        <v>631.26</v>
      </c>
      <c r="X631" s="98">
        <f t="shared" si="13"/>
        <v>4.2191938212108537E-2</v>
      </c>
      <c r="Y631" s="13">
        <f t="shared" si="14"/>
        <v>5.2265021764332786E-2</v>
      </c>
      <c r="Z631" s="13">
        <f t="shared" si="15"/>
        <v>2.9019007865897395E-2</v>
      </c>
      <c r="AA631" s="13">
        <f t="shared" si="16"/>
        <v>1.7797116907462884E-2</v>
      </c>
    </row>
    <row r="632" spans="1:27" x14ac:dyDescent="0.3">
      <c r="A632" s="61">
        <v>260127</v>
      </c>
      <c r="B632" s="59" t="s">
        <v>458</v>
      </c>
      <c r="C632" s="2" t="s">
        <v>23</v>
      </c>
      <c r="D632" s="2" t="s">
        <v>459</v>
      </c>
      <c r="F632" s="60">
        <v>1.6511590383477599</v>
      </c>
      <c r="G632" s="2">
        <v>15064</v>
      </c>
      <c r="H632" s="2">
        <v>14945</v>
      </c>
      <c r="I632" s="2">
        <v>14820</v>
      </c>
      <c r="J632" s="2">
        <v>14971</v>
      </c>
      <c r="K632" s="2">
        <v>15497</v>
      </c>
      <c r="L632" s="2">
        <v>15591</v>
      </c>
      <c r="M632" s="2">
        <v>15861</v>
      </c>
      <c r="N632" s="2">
        <v>16213</v>
      </c>
      <c r="O632" s="2">
        <v>17303</v>
      </c>
      <c r="P632" s="2">
        <v>17339</v>
      </c>
      <c r="Q632" s="2">
        <v>17492</v>
      </c>
      <c r="R632" s="2">
        <v>17487</v>
      </c>
      <c r="S632" s="2">
        <v>18285</v>
      </c>
      <c r="T632" s="2">
        <v>18321</v>
      </c>
      <c r="U632" s="2">
        <v>18605</v>
      </c>
      <c r="V632" s="2">
        <v>19161</v>
      </c>
      <c r="W632" s="2">
        <v>19513</v>
      </c>
      <c r="X632" s="98">
        <f t="shared" si="13"/>
        <v>1.3908757418239936E-2</v>
      </c>
      <c r="Y632" s="13">
        <f t="shared" si="14"/>
        <v>1.5547949989523024E-2</v>
      </c>
      <c r="Z632" s="13">
        <f t="shared" si="15"/>
        <v>2.3026768274230447E-2</v>
      </c>
      <c r="AA632" s="13">
        <f t="shared" si="16"/>
        <v>1.6511590383477603E-2</v>
      </c>
    </row>
    <row r="633" spans="1:27" x14ac:dyDescent="0.3">
      <c r="A633" s="61">
        <v>260127</v>
      </c>
      <c r="B633" s="59" t="s">
        <v>460</v>
      </c>
      <c r="C633" s="2" t="s">
        <v>23</v>
      </c>
      <c r="D633" s="2" t="s">
        <v>95</v>
      </c>
      <c r="F633" s="60">
        <v>1.576935329722851</v>
      </c>
      <c r="G633" s="2">
        <v>1763</v>
      </c>
      <c r="H633" s="2">
        <v>1629</v>
      </c>
      <c r="I633" s="2">
        <v>1530</v>
      </c>
      <c r="J633" s="2">
        <v>1446</v>
      </c>
      <c r="K633" s="2">
        <v>1443</v>
      </c>
      <c r="L633" s="2">
        <v>1418</v>
      </c>
      <c r="M633" s="2">
        <v>1443</v>
      </c>
      <c r="N633" s="2">
        <v>1442</v>
      </c>
      <c r="O633" s="2">
        <v>1413</v>
      </c>
      <c r="P633" s="2">
        <v>1475</v>
      </c>
      <c r="Q633" s="2">
        <v>1483</v>
      </c>
      <c r="R633" s="2">
        <v>1515</v>
      </c>
      <c r="S633" s="2">
        <v>1593</v>
      </c>
      <c r="T633" s="2">
        <v>1529</v>
      </c>
      <c r="U633" s="2">
        <v>1516</v>
      </c>
      <c r="V633" s="2">
        <v>1640</v>
      </c>
      <c r="W633" s="2">
        <v>1692</v>
      </c>
      <c r="X633" s="98">
        <f t="shared" si="13"/>
        <v>8.9020771513352859E-3</v>
      </c>
      <c r="Y633" s="13">
        <f t="shared" si="14"/>
        <v>5.3921568627450789E-3</v>
      </c>
      <c r="Z633" s="13">
        <f t="shared" si="15"/>
        <v>2.0315293352836106E-2</v>
      </c>
      <c r="AA633" s="13">
        <f t="shared" si="16"/>
        <v>1.5769353297228506E-2</v>
      </c>
    </row>
    <row r="634" spans="1:27" x14ac:dyDescent="0.3">
      <c r="A634" s="61">
        <v>260127</v>
      </c>
      <c r="B634" s="59" t="s">
        <v>461</v>
      </c>
      <c r="C634" s="2" t="s">
        <v>23</v>
      </c>
      <c r="D634" s="2" t="s">
        <v>115</v>
      </c>
      <c r="F634" s="60">
        <v>1.3676287248901129</v>
      </c>
      <c r="G634" s="2">
        <v>171.49</v>
      </c>
      <c r="H634" s="2">
        <v>178.96</v>
      </c>
      <c r="I634" s="2">
        <v>191.92</v>
      </c>
      <c r="J634" s="2">
        <v>198.1</v>
      </c>
      <c r="K634" s="2">
        <v>198.1</v>
      </c>
      <c r="L634" s="2">
        <v>221.01</v>
      </c>
      <c r="M634" s="2">
        <v>231.02</v>
      </c>
      <c r="N634" s="2">
        <v>238.44</v>
      </c>
      <c r="O634" s="2">
        <v>238.26</v>
      </c>
      <c r="P634" s="2">
        <v>254.55</v>
      </c>
      <c r="Q634" s="2">
        <v>265.32</v>
      </c>
      <c r="R634" s="2">
        <v>266.68</v>
      </c>
      <c r="S634" s="2">
        <v>255.8</v>
      </c>
      <c r="T634" s="2">
        <v>262.79000000000002</v>
      </c>
      <c r="U634" s="2">
        <v>272.42</v>
      </c>
      <c r="V634" s="2">
        <v>275.8</v>
      </c>
      <c r="W634" s="2">
        <v>270.39</v>
      </c>
      <c r="X634" s="98">
        <f t="shared" si="13"/>
        <v>7.9052141794981878E-3</v>
      </c>
      <c r="Y634" s="13">
        <f t="shared" si="14"/>
        <v>6.7581073492040122E-3</v>
      </c>
      <c r="Z634" s="13">
        <f t="shared" si="15"/>
        <v>8.6225642674129244E-3</v>
      </c>
      <c r="AA634" s="13">
        <f t="shared" si="16"/>
        <v>1.3676287248901131E-2</v>
      </c>
    </row>
    <row r="635" spans="1:27" x14ac:dyDescent="0.3">
      <c r="A635" s="61">
        <v>260127</v>
      </c>
      <c r="B635" s="59" t="s">
        <v>462</v>
      </c>
      <c r="C635" s="2" t="s">
        <v>23</v>
      </c>
      <c r="D635" s="2" t="s">
        <v>29</v>
      </c>
      <c r="F635" s="60">
        <v>1.3369665149148831</v>
      </c>
      <c r="G635" s="2">
        <v>226.05</v>
      </c>
      <c r="H635" s="2">
        <v>232.28</v>
      </c>
      <c r="I635" s="2">
        <v>217.12</v>
      </c>
      <c r="J635" s="2">
        <v>221.82</v>
      </c>
      <c r="K635" s="2">
        <v>219.4</v>
      </c>
      <c r="L635" s="2">
        <v>217.9</v>
      </c>
      <c r="M635" s="2">
        <v>208.65</v>
      </c>
      <c r="N635" s="2">
        <v>225.62</v>
      </c>
      <c r="O635" s="2">
        <v>211.1</v>
      </c>
      <c r="P635" s="2">
        <v>218.34</v>
      </c>
      <c r="Q635" s="2">
        <v>220.06</v>
      </c>
      <c r="R635" s="2">
        <v>219.32</v>
      </c>
      <c r="S635" s="2">
        <v>222.13</v>
      </c>
      <c r="T635" s="2">
        <v>223.32</v>
      </c>
      <c r="U635" s="2">
        <v>226.22</v>
      </c>
      <c r="V635" s="2">
        <v>231.12</v>
      </c>
      <c r="W635" s="2">
        <v>234.2</v>
      </c>
      <c r="X635" s="98">
        <f t="shared" si="13"/>
        <v>5.6600556913108946E-3</v>
      </c>
      <c r="Y635" s="13">
        <f t="shared" si="14"/>
        <v>6.9617892702553696E-3</v>
      </c>
      <c r="Z635" s="13">
        <f t="shared" si="15"/>
        <v>1.3243695215434448E-2</v>
      </c>
      <c r="AA635" s="13">
        <f t="shared" si="16"/>
        <v>1.3369665149148613E-2</v>
      </c>
    </row>
    <row r="636" spans="1:27" x14ac:dyDescent="0.3">
      <c r="A636" s="61">
        <v>260127</v>
      </c>
      <c r="B636" s="59" t="s">
        <v>463</v>
      </c>
      <c r="C636" s="2" t="s">
        <v>23</v>
      </c>
      <c r="D636" s="2" t="s">
        <v>41</v>
      </c>
      <c r="F636" s="60">
        <v>1.1790949649458149</v>
      </c>
      <c r="G636" s="2">
        <v>0</v>
      </c>
      <c r="H636" s="2">
        <v>4308</v>
      </c>
      <c r="I636" s="2">
        <v>4691</v>
      </c>
      <c r="J636" s="2">
        <v>4468</v>
      </c>
      <c r="K636" s="3">
        <v>4185</v>
      </c>
      <c r="L636" s="2">
        <v>4380</v>
      </c>
      <c r="M636" s="2">
        <v>4872</v>
      </c>
      <c r="N636" s="2">
        <v>4644</v>
      </c>
      <c r="O636" s="2">
        <v>0</v>
      </c>
      <c r="P636" s="2">
        <v>3849</v>
      </c>
      <c r="Q636" s="2">
        <v>4235</v>
      </c>
      <c r="R636" s="2">
        <v>4032</v>
      </c>
      <c r="S636" s="3">
        <v>3729</v>
      </c>
      <c r="T636" s="2">
        <v>3684</v>
      </c>
      <c r="U636" s="2">
        <v>4195</v>
      </c>
      <c r="V636" s="2">
        <v>4082</v>
      </c>
      <c r="W636" s="2">
        <v>3914</v>
      </c>
      <c r="X636" s="98">
        <f t="shared" si="13"/>
        <v>-1.0413379615020535E-2</v>
      </c>
      <c r="Y636" s="13">
        <f t="shared" si="14"/>
        <v>-2.5510204081632404E-3</v>
      </c>
      <c r="Z636" s="13">
        <f t="shared" si="15"/>
        <v>3.1969309462915874E-3</v>
      </c>
      <c r="AA636" s="13">
        <f t="shared" si="16"/>
        <v>1.1790949649458149E-2</v>
      </c>
    </row>
    <row r="637" spans="1:27" x14ac:dyDescent="0.3">
      <c r="A637" s="61">
        <v>260127</v>
      </c>
      <c r="B637" s="59" t="s">
        <v>464</v>
      </c>
      <c r="C637" s="2" t="s">
        <v>23</v>
      </c>
      <c r="D637" s="2" t="s">
        <v>99</v>
      </c>
      <c r="F637" s="60">
        <v>1.1508553654743461</v>
      </c>
      <c r="G637" s="2">
        <v>2169</v>
      </c>
      <c r="H637" s="2">
        <v>2272</v>
      </c>
      <c r="I637" s="2">
        <v>2149</v>
      </c>
      <c r="J637" s="2">
        <v>1986</v>
      </c>
      <c r="K637" s="2">
        <v>1892</v>
      </c>
      <c r="L637" s="2">
        <v>1909</v>
      </c>
      <c r="M637" s="2">
        <v>1911</v>
      </c>
      <c r="N637" s="2">
        <v>1987</v>
      </c>
      <c r="O637" s="2">
        <v>1855</v>
      </c>
      <c r="P637" s="3">
        <v>2914</v>
      </c>
      <c r="Q637" s="2">
        <v>2021</v>
      </c>
      <c r="R637" s="2">
        <v>2217</v>
      </c>
      <c r="S637" s="2">
        <v>2240</v>
      </c>
      <c r="T637" s="2">
        <v>2227</v>
      </c>
      <c r="U637" s="2">
        <v>2501</v>
      </c>
      <c r="V637" s="2">
        <v>2677</v>
      </c>
      <c r="W637" s="2">
        <v>2351</v>
      </c>
      <c r="X637" s="98">
        <f t="shared" si="13"/>
        <v>-7.3147359454855176E-2</v>
      </c>
      <c r="Y637" s="13">
        <f t="shared" si="14"/>
        <v>5.5140723721998741E-2</v>
      </c>
      <c r="Z637" s="13">
        <f t="shared" si="15"/>
        <v>5.0081654872073944E-2</v>
      </c>
      <c r="AA637" s="13">
        <f t="shared" si="16"/>
        <v>1.1508553654743459E-2</v>
      </c>
    </row>
    <row r="638" spans="1:27" x14ac:dyDescent="0.3">
      <c r="A638" s="61">
        <v>260127</v>
      </c>
      <c r="B638" s="59" t="s">
        <v>465</v>
      </c>
      <c r="C638" s="2" t="s">
        <v>23</v>
      </c>
      <c r="D638" s="2" t="s">
        <v>29</v>
      </c>
      <c r="F638" s="60">
        <v>0.93734783314396442</v>
      </c>
      <c r="G638" s="2">
        <v>49.38</v>
      </c>
      <c r="H638" s="2">
        <v>50.51</v>
      </c>
      <c r="I638" s="2">
        <v>42.66</v>
      </c>
      <c r="J638" s="2">
        <v>49.76</v>
      </c>
      <c r="K638" s="2">
        <v>49.78</v>
      </c>
      <c r="L638" s="2">
        <v>55.06</v>
      </c>
      <c r="M638" s="2">
        <v>57.91</v>
      </c>
      <c r="N638" s="2">
        <v>53.62</v>
      </c>
      <c r="O638" s="2">
        <v>54.3</v>
      </c>
      <c r="P638" s="2">
        <v>55.53</v>
      </c>
      <c r="Q638" s="2">
        <v>57.67</v>
      </c>
      <c r="R638" s="2">
        <v>58.52</v>
      </c>
      <c r="S638" s="2">
        <v>59.16</v>
      </c>
      <c r="T638" s="2">
        <v>60.69</v>
      </c>
      <c r="U638" s="2">
        <v>62.58</v>
      </c>
      <c r="V638" s="2">
        <v>64.010000000000005</v>
      </c>
      <c r="W638" s="2">
        <v>61.47</v>
      </c>
      <c r="X638" s="98">
        <f t="shared" si="13"/>
        <v>2.234927234927242E-2</v>
      </c>
      <c r="Y638" s="13">
        <f t="shared" si="14"/>
        <v>2.08015590577868E-2</v>
      </c>
      <c r="Z638" s="13">
        <f t="shared" si="15"/>
        <v>2.27848101265824E-2</v>
      </c>
      <c r="AA638" s="13">
        <f t="shared" si="16"/>
        <v>9.3734783314396442E-3</v>
      </c>
    </row>
    <row r="639" spans="1:27" x14ac:dyDescent="0.3">
      <c r="A639" s="61">
        <v>260127</v>
      </c>
      <c r="B639" s="59" t="s">
        <v>466</v>
      </c>
      <c r="C639" s="2" t="s">
        <v>23</v>
      </c>
      <c r="D639" s="2" t="s">
        <v>50</v>
      </c>
      <c r="F639" s="60">
        <v>0.72203747120465067</v>
      </c>
      <c r="G639" s="2">
        <v>727.76</v>
      </c>
      <c r="H639" s="2">
        <v>753.64</v>
      </c>
      <c r="I639" s="2">
        <v>771.77</v>
      </c>
      <c r="J639" s="2">
        <v>784.37</v>
      </c>
      <c r="K639" s="2">
        <v>780.8</v>
      </c>
      <c r="L639" s="2">
        <v>791.06</v>
      </c>
      <c r="M639" s="2">
        <v>813.18</v>
      </c>
      <c r="N639" s="2">
        <v>815.9</v>
      </c>
      <c r="O639" s="2">
        <v>816.05</v>
      </c>
      <c r="P639" s="2">
        <v>838.11</v>
      </c>
      <c r="Q639" s="2">
        <v>843.59</v>
      </c>
      <c r="R639" s="2">
        <v>846.26</v>
      </c>
      <c r="S639" s="2">
        <v>852.37</v>
      </c>
      <c r="T639" s="2">
        <v>854.92</v>
      </c>
      <c r="U639" s="2">
        <v>856.66</v>
      </c>
      <c r="V639" s="2">
        <v>861.08</v>
      </c>
      <c r="W639" s="2">
        <v>877.1</v>
      </c>
      <c r="X639" s="98">
        <f t="shared" si="13"/>
        <v>4.9728872624861253E-3</v>
      </c>
      <c r="Y639" s="13">
        <f t="shared" si="14"/>
        <v>3.8473539506762577E-3</v>
      </c>
      <c r="Z639" s="13">
        <f t="shared" si="15"/>
        <v>4.3457734274428006E-3</v>
      </c>
      <c r="AA639" s="13">
        <f t="shared" si="16"/>
        <v>7.2203747120462847E-3</v>
      </c>
    </row>
    <row r="640" spans="1:27" x14ac:dyDescent="0.3">
      <c r="A640" s="61">
        <v>260127</v>
      </c>
      <c r="B640" s="59" t="s">
        <v>467</v>
      </c>
      <c r="C640" s="2" t="s">
        <v>23</v>
      </c>
      <c r="D640" s="2" t="s">
        <v>99</v>
      </c>
      <c r="F640" s="60">
        <v>0.45903707337584532</v>
      </c>
      <c r="G640" s="2">
        <v>148.57</v>
      </c>
      <c r="H640" s="2">
        <v>169.55</v>
      </c>
      <c r="I640" s="2">
        <v>152.02000000000001</v>
      </c>
      <c r="J640" s="2">
        <v>151.26</v>
      </c>
      <c r="K640" s="2">
        <v>146.53</v>
      </c>
      <c r="L640" s="2">
        <v>161.55000000000001</v>
      </c>
      <c r="M640" s="2">
        <v>139.32</v>
      </c>
      <c r="N640" s="2">
        <v>136.88</v>
      </c>
      <c r="O640" s="2">
        <v>137.75</v>
      </c>
      <c r="P640" s="2">
        <v>159.05000000000001</v>
      </c>
      <c r="Q640" s="2">
        <v>129.53</v>
      </c>
      <c r="R640" s="2">
        <v>131.41</v>
      </c>
      <c r="S640" s="2">
        <v>138.63</v>
      </c>
      <c r="T640" s="2">
        <v>165.21</v>
      </c>
      <c r="U640" s="2">
        <v>132.44999999999999</v>
      </c>
      <c r="V640" s="2">
        <v>134.47</v>
      </c>
      <c r="W640" s="2">
        <v>141.25</v>
      </c>
      <c r="X640" s="98">
        <f t="shared" si="13"/>
        <v>1.1027174107622217E-2</v>
      </c>
      <c r="Y640" s="13">
        <f t="shared" si="14"/>
        <v>5.1701547505225154E-3</v>
      </c>
      <c r="Z640" s="13">
        <f t="shared" si="15"/>
        <v>5.3901708648933511E-3</v>
      </c>
      <c r="AA640" s="13">
        <f t="shared" si="16"/>
        <v>4.5903707337584532E-3</v>
      </c>
    </row>
    <row r="641" spans="1:27" x14ac:dyDescent="0.3">
      <c r="A641" s="61">
        <v>260127</v>
      </c>
      <c r="B641" s="59" t="s">
        <v>468</v>
      </c>
      <c r="C641" s="2" t="s">
        <v>23</v>
      </c>
      <c r="D641" s="2" t="s">
        <v>124</v>
      </c>
      <c r="F641" s="60">
        <v>-0.14666340747983009</v>
      </c>
      <c r="G641" s="2">
        <v>5733</v>
      </c>
      <c r="H641" s="2">
        <v>5860</v>
      </c>
      <c r="I641" s="2">
        <v>6269</v>
      </c>
      <c r="J641" s="2">
        <v>6566</v>
      </c>
      <c r="K641" s="2">
        <v>6180</v>
      </c>
      <c r="L641" s="2">
        <v>6056</v>
      </c>
      <c r="M641" s="2">
        <v>5963</v>
      </c>
      <c r="N641" s="2">
        <v>5941</v>
      </c>
      <c r="O641" s="2">
        <v>6159</v>
      </c>
      <c r="P641" s="2">
        <v>6031</v>
      </c>
      <c r="Q641" s="2">
        <v>6007</v>
      </c>
      <c r="R641" s="2">
        <v>6091</v>
      </c>
      <c r="S641" s="2">
        <v>6121</v>
      </c>
      <c r="T641" s="2">
        <v>6027</v>
      </c>
      <c r="U641" s="2">
        <v>6154</v>
      </c>
      <c r="V641" s="2">
        <v>6244</v>
      </c>
      <c r="W641" s="2">
        <v>6085</v>
      </c>
      <c r="X641" s="98">
        <f t="shared" si="13"/>
        <v>-1.6494845360826016E-4</v>
      </c>
      <c r="Y641" s="13">
        <f t="shared" si="14"/>
        <v>6.06285572878007E-3</v>
      </c>
      <c r="Z641" s="13">
        <f t="shared" si="15"/>
        <v>6.2722912310908541E-3</v>
      </c>
      <c r="AA641" s="13">
        <f t="shared" si="16"/>
        <v>-1.4666340747983009E-3</v>
      </c>
    </row>
    <row r="642" spans="1:27" x14ac:dyDescent="0.3">
      <c r="A642" s="61">
        <v>260127</v>
      </c>
      <c r="B642" s="59" t="s">
        <v>469</v>
      </c>
      <c r="C642" s="2" t="s">
        <v>23</v>
      </c>
      <c r="D642" s="2" t="s">
        <v>189</v>
      </c>
      <c r="F642" s="60">
        <v>-0.36283672347443557</v>
      </c>
      <c r="G642" s="2">
        <v>1834</v>
      </c>
      <c r="H642" s="2">
        <v>1736</v>
      </c>
      <c r="I642" s="2">
        <v>2445</v>
      </c>
      <c r="J642" s="2">
        <v>2562</v>
      </c>
      <c r="K642" s="2">
        <v>2415</v>
      </c>
      <c r="L642" s="2">
        <v>2328</v>
      </c>
      <c r="M642" s="2">
        <v>2610</v>
      </c>
      <c r="N642" s="2">
        <v>2353</v>
      </c>
      <c r="O642" s="2">
        <v>2325</v>
      </c>
      <c r="P642" s="2">
        <v>2209</v>
      </c>
      <c r="Q642" s="2">
        <v>2428</v>
      </c>
      <c r="R642" s="2">
        <v>2365</v>
      </c>
      <c r="S642" s="2">
        <v>2277</v>
      </c>
      <c r="T642" s="2">
        <v>2140</v>
      </c>
      <c r="U642" s="2">
        <v>2356</v>
      </c>
      <c r="V642" s="2">
        <v>2322</v>
      </c>
      <c r="W642" s="2">
        <v>2244</v>
      </c>
      <c r="X642" s="98">
        <f t="shared" si="13"/>
        <v>-7.4361461364370607E-3</v>
      </c>
      <c r="Y642" s="13">
        <f t="shared" si="14"/>
        <v>-7.8175895765472125E-3</v>
      </c>
      <c r="Z642" s="13">
        <f t="shared" si="15"/>
        <v>-4.7056248632085795E-3</v>
      </c>
      <c r="AA642" s="13">
        <f t="shared" si="16"/>
        <v>-3.6283672347443563E-3</v>
      </c>
    </row>
    <row r="643" spans="1:27" x14ac:dyDescent="0.3">
      <c r="A643" s="61">
        <v>260127</v>
      </c>
      <c r="B643" s="59" t="s">
        <v>470</v>
      </c>
      <c r="C643" s="2" t="s">
        <v>23</v>
      </c>
      <c r="D643" s="2" t="s">
        <v>109</v>
      </c>
      <c r="F643" s="60">
        <v>-0.91861023881630866</v>
      </c>
      <c r="G643" s="2">
        <v>27771</v>
      </c>
      <c r="H643" s="2">
        <v>24378</v>
      </c>
      <c r="I643" s="2">
        <v>24766</v>
      </c>
      <c r="J643" s="2">
        <v>24161</v>
      </c>
      <c r="K643" s="2">
        <v>27033</v>
      </c>
      <c r="L643" s="2">
        <v>22925</v>
      </c>
      <c r="M643" s="2">
        <v>22055</v>
      </c>
      <c r="N643" s="2">
        <v>21061</v>
      </c>
      <c r="O643" s="2">
        <v>24917</v>
      </c>
      <c r="P643" s="2">
        <v>21706</v>
      </c>
      <c r="Q643" s="2">
        <v>21818</v>
      </c>
      <c r="R643" s="2">
        <v>22245</v>
      </c>
      <c r="S643" s="2">
        <v>25301</v>
      </c>
      <c r="T643" s="2">
        <v>21546</v>
      </c>
      <c r="U643" s="2">
        <v>21221</v>
      </c>
      <c r="V643" s="2">
        <v>21415</v>
      </c>
      <c r="W643" s="2">
        <v>24479</v>
      </c>
      <c r="X643" s="98">
        <f t="shared" si="13"/>
        <v>-1.7568903041615958E-3</v>
      </c>
      <c r="Y643" s="13">
        <f t="shared" si="14"/>
        <v>-6.566934330656693E-3</v>
      </c>
      <c r="Z643" s="13">
        <f t="shared" si="15"/>
        <v>-9.1902605383499258E-3</v>
      </c>
      <c r="AA643" s="13">
        <f t="shared" si="16"/>
        <v>-9.1861023881630866E-3</v>
      </c>
    </row>
    <row r="644" spans="1:27" x14ac:dyDescent="0.3">
      <c r="A644" s="61">
        <v>260127</v>
      </c>
      <c r="B644" s="59" t="s">
        <v>471</v>
      </c>
      <c r="C644" s="2" t="s">
        <v>23</v>
      </c>
      <c r="D644" s="2" t="s">
        <v>149</v>
      </c>
      <c r="F644" s="60">
        <v>-1.2889801797956619</v>
      </c>
      <c r="G644" s="2">
        <v>33584</v>
      </c>
      <c r="H644" s="2">
        <v>35979</v>
      </c>
      <c r="I644" s="2">
        <v>35759</v>
      </c>
      <c r="J644" s="2">
        <v>41888</v>
      </c>
      <c r="K644" s="2">
        <v>43108</v>
      </c>
      <c r="L644" s="2">
        <v>39985</v>
      </c>
      <c r="M644" s="2">
        <v>44746</v>
      </c>
      <c r="N644" s="2">
        <v>44131</v>
      </c>
      <c r="O644" s="2">
        <v>42979</v>
      </c>
      <c r="P644" s="2">
        <v>43014</v>
      </c>
      <c r="Q644" s="2">
        <v>47970</v>
      </c>
      <c r="R644" s="2">
        <v>48756</v>
      </c>
      <c r="S644" s="2">
        <v>47702</v>
      </c>
      <c r="T644" s="2">
        <v>44019</v>
      </c>
      <c r="U644" s="2">
        <v>47123</v>
      </c>
      <c r="V644" s="2">
        <v>48591</v>
      </c>
      <c r="W644" s="2">
        <v>45286</v>
      </c>
      <c r="X644" s="98">
        <f t="shared" si="13"/>
        <v>5.3616585397082694E-3</v>
      </c>
      <c r="Y644" s="13">
        <f t="shared" si="14"/>
        <v>-4.4946324430741313E-3</v>
      </c>
      <c r="Z644" s="13">
        <f t="shared" si="15"/>
        <v>-8.7953091684433993E-4</v>
      </c>
      <c r="AA644" s="13">
        <f t="shared" si="16"/>
        <v>-1.2889801797956624E-2</v>
      </c>
    </row>
    <row r="645" spans="1:27" x14ac:dyDescent="0.3">
      <c r="A645" s="61">
        <v>260127</v>
      </c>
      <c r="B645" s="59" t="s">
        <v>472</v>
      </c>
      <c r="C645" s="2" t="s">
        <v>23</v>
      </c>
      <c r="D645" s="2" t="s">
        <v>29</v>
      </c>
      <c r="F645" s="60">
        <v>-1.870056914775664</v>
      </c>
      <c r="G645" s="2">
        <v>71.52</v>
      </c>
      <c r="H645" s="2">
        <v>66.040000000000006</v>
      </c>
      <c r="I645" s="2">
        <v>70.28</v>
      </c>
      <c r="J645" s="2">
        <v>73.77</v>
      </c>
      <c r="K645" s="2">
        <v>87.39</v>
      </c>
      <c r="L645" s="3">
        <v>108.65</v>
      </c>
      <c r="M645" s="2">
        <v>101.91</v>
      </c>
      <c r="N645" s="2">
        <v>106.02</v>
      </c>
      <c r="O645" s="2">
        <v>101.14</v>
      </c>
      <c r="P645" s="2">
        <v>101.72</v>
      </c>
      <c r="Q645" s="2">
        <v>94.83</v>
      </c>
      <c r="R645" s="2">
        <v>104.04</v>
      </c>
      <c r="S645" s="2">
        <v>99.13</v>
      </c>
      <c r="T645" s="2">
        <v>91.87</v>
      </c>
      <c r="U645" s="2">
        <v>104.48</v>
      </c>
      <c r="V645" s="2">
        <v>110.39</v>
      </c>
      <c r="W645" s="2">
        <v>91.54</v>
      </c>
      <c r="X645" s="98">
        <f t="shared" si="13"/>
        <v>-2.4642249574702402E-2</v>
      </c>
      <c r="Y645" s="13">
        <f t="shared" si="14"/>
        <v>2.4751840357042143E-2</v>
      </c>
      <c r="Z645" s="13">
        <f t="shared" si="15"/>
        <v>1.5894072887464805E-2</v>
      </c>
      <c r="AA645" s="13">
        <f t="shared" si="16"/>
        <v>-1.870056914775664E-2</v>
      </c>
    </row>
    <row r="646" spans="1:27" x14ac:dyDescent="0.3">
      <c r="A646" s="61">
        <v>260127</v>
      </c>
      <c r="B646" s="59" t="s">
        <v>473</v>
      </c>
      <c r="C646" s="2" t="s">
        <v>23</v>
      </c>
      <c r="D646" s="2" t="s">
        <v>474</v>
      </c>
      <c r="F646" s="60">
        <v>-3.680628449531032</v>
      </c>
      <c r="G646" s="2">
        <v>6686</v>
      </c>
      <c r="H646" s="2">
        <v>6473</v>
      </c>
      <c r="I646" s="2">
        <v>7159</v>
      </c>
      <c r="J646" s="2">
        <v>7059</v>
      </c>
      <c r="K646" s="2">
        <v>8130</v>
      </c>
      <c r="L646" s="2">
        <v>8473</v>
      </c>
      <c r="M646" s="2">
        <v>8881</v>
      </c>
      <c r="N646" s="2">
        <v>8696</v>
      </c>
      <c r="O646" s="2">
        <v>9077</v>
      </c>
      <c r="P646" s="2">
        <v>8744</v>
      </c>
      <c r="Q646" s="2">
        <v>8772</v>
      </c>
      <c r="R646" s="2">
        <v>8240</v>
      </c>
      <c r="S646" s="2">
        <v>7908</v>
      </c>
      <c r="T646" s="2">
        <v>7442</v>
      </c>
      <c r="U646" s="2">
        <v>7511</v>
      </c>
      <c r="V646" s="2">
        <v>6672</v>
      </c>
      <c r="W646" s="2">
        <v>6821</v>
      </c>
      <c r="X646" s="98">
        <f t="shared" si="13"/>
        <v>-3.8676330798479097E-2</v>
      </c>
      <c r="Y646" s="13">
        <f t="shared" si="14"/>
        <v>-3.8965453309437015E-2</v>
      </c>
      <c r="Z646" s="13">
        <f t="shared" si="15"/>
        <v>-5.0416385325230739E-2</v>
      </c>
      <c r="AA646" s="13">
        <f t="shared" si="16"/>
        <v>-3.6806284495310315E-2</v>
      </c>
    </row>
    <row r="647" spans="1:27" x14ac:dyDescent="0.3">
      <c r="A647" s="61">
        <v>260127</v>
      </c>
      <c r="B647" s="59" t="s">
        <v>475</v>
      </c>
      <c r="C647" s="2" t="s">
        <v>23</v>
      </c>
      <c r="D647" s="2" t="s">
        <v>476</v>
      </c>
      <c r="F647" s="60">
        <v>-4.9031511997687183</v>
      </c>
      <c r="G647" s="2">
        <v>4965</v>
      </c>
      <c r="H647" s="2">
        <v>5095</v>
      </c>
      <c r="I647" s="2">
        <v>5063</v>
      </c>
      <c r="J647" s="2">
        <v>5053</v>
      </c>
      <c r="K647" s="2">
        <v>4964</v>
      </c>
      <c r="L647" s="2">
        <v>5195</v>
      </c>
      <c r="M647" s="2">
        <v>5134</v>
      </c>
      <c r="N647" s="2">
        <v>5132</v>
      </c>
      <c r="O647" s="2">
        <v>4970</v>
      </c>
      <c r="P647" s="2">
        <v>4326</v>
      </c>
      <c r="Q647" s="2">
        <v>4231</v>
      </c>
      <c r="R647" s="2">
        <v>4144</v>
      </c>
      <c r="S647" s="2">
        <v>4928</v>
      </c>
      <c r="T647" s="2">
        <v>4054</v>
      </c>
      <c r="U647" s="2">
        <v>4163</v>
      </c>
      <c r="V647" s="2">
        <v>4150</v>
      </c>
      <c r="W647" s="2">
        <v>4080</v>
      </c>
      <c r="X647" s="98">
        <f t="shared" si="13"/>
        <v>-1.5429122468659573E-2</v>
      </c>
      <c r="Y647" s="13">
        <f t="shared" si="14"/>
        <v>-3.9177277179236469E-3</v>
      </c>
      <c r="Z647" s="13">
        <f t="shared" si="15"/>
        <v>3.4704147145592223E-4</v>
      </c>
      <c r="AA647" s="13">
        <f t="shared" si="16"/>
        <v>-4.9031511997687183E-2</v>
      </c>
    </row>
    <row r="648" spans="1:27" x14ac:dyDescent="0.3">
      <c r="A648" s="61">
        <v>260127</v>
      </c>
      <c r="B648" s="59" t="s">
        <v>477</v>
      </c>
      <c r="C648" s="2" t="s">
        <v>23</v>
      </c>
      <c r="D648" s="2" t="s">
        <v>443</v>
      </c>
      <c r="F648" s="60">
        <v>-8.7419011700996094</v>
      </c>
      <c r="G648" s="2">
        <v>1667</v>
      </c>
      <c r="H648" s="2">
        <v>1622</v>
      </c>
      <c r="I648" s="2">
        <v>1496</v>
      </c>
      <c r="J648" s="2">
        <v>1271</v>
      </c>
      <c r="K648" s="2">
        <v>1309</v>
      </c>
      <c r="L648" s="2">
        <v>1330</v>
      </c>
      <c r="M648" s="2">
        <v>1308</v>
      </c>
      <c r="N648" s="2">
        <v>1206</v>
      </c>
      <c r="O648" s="2">
        <v>0</v>
      </c>
      <c r="P648" s="2">
        <v>1165</v>
      </c>
      <c r="Q648" s="2">
        <v>724.9</v>
      </c>
      <c r="R648" s="2">
        <v>1017</v>
      </c>
      <c r="S648" s="3">
        <v>1266</v>
      </c>
      <c r="T648" s="2">
        <v>0</v>
      </c>
      <c r="U648" s="3">
        <v>1135</v>
      </c>
      <c r="V648" s="2">
        <v>701.3</v>
      </c>
      <c r="W648" s="2">
        <v>994.8</v>
      </c>
      <c r="X648" s="98">
        <f t="shared" si="13"/>
        <v>-0.27918234321455093</v>
      </c>
      <c r="Y648" s="13">
        <f t="shared" si="14"/>
        <v>0.13634096878220681</v>
      </c>
      <c r="Z648" s="13">
        <f t="shared" si="15"/>
        <v>-9.2363955529549346E-2</v>
      </c>
      <c r="AA648" s="13">
        <f t="shared" si="16"/>
        <v>-8.7419011700996085E-2</v>
      </c>
    </row>
    <row r="649" spans="1:27" x14ac:dyDescent="0.3">
      <c r="A649" s="61">
        <v>260127</v>
      </c>
      <c r="B649" s="59" t="s">
        <v>478</v>
      </c>
      <c r="C649" s="2" t="s">
        <v>164</v>
      </c>
      <c r="D649" s="2" t="s">
        <v>32</v>
      </c>
      <c r="F649" s="60">
        <v>1.4669223394055519</v>
      </c>
      <c r="G649" s="2">
        <v>3487</v>
      </c>
      <c r="H649" s="2">
        <v>3111</v>
      </c>
      <c r="I649" s="2">
        <v>3909</v>
      </c>
      <c r="J649" s="2">
        <v>3107</v>
      </c>
      <c r="K649" s="2">
        <v>3308</v>
      </c>
      <c r="L649" s="2">
        <v>2618</v>
      </c>
      <c r="M649" s="2">
        <v>3482</v>
      </c>
      <c r="N649" s="2">
        <v>2862</v>
      </c>
      <c r="O649" s="2">
        <v>2829</v>
      </c>
      <c r="P649" s="2">
        <v>2009</v>
      </c>
      <c r="Q649" s="2">
        <v>2716</v>
      </c>
      <c r="R649" s="2">
        <v>2354</v>
      </c>
      <c r="S649" s="2">
        <v>2884</v>
      </c>
      <c r="T649" s="2">
        <v>2204</v>
      </c>
      <c r="U649" s="2">
        <v>2745</v>
      </c>
      <c r="V649" s="2">
        <v>2597</v>
      </c>
      <c r="W649" s="2">
        <v>3037</v>
      </c>
      <c r="X649" s="98">
        <f t="shared" si="13"/>
        <v>1.9572417946401632E-2</v>
      </c>
      <c r="Y649" s="13">
        <f t="shared" si="14"/>
        <v>2.8548926954123921E-3</v>
      </c>
      <c r="Z649" s="13">
        <f t="shared" si="15"/>
        <v>2.3853931481299773E-2</v>
      </c>
      <c r="AA649" s="13">
        <f t="shared" si="16"/>
        <v>1.4669223394055519E-2</v>
      </c>
    </row>
    <row r="650" spans="1:27" x14ac:dyDescent="0.3">
      <c r="A650" s="61">
        <v>260127</v>
      </c>
      <c r="B650" s="59" t="s">
        <v>479</v>
      </c>
      <c r="C650" s="2" t="s">
        <v>164</v>
      </c>
      <c r="D650" s="2" t="s">
        <v>32</v>
      </c>
      <c r="F650" s="60">
        <v>0.25753925396694299</v>
      </c>
      <c r="G650" s="2">
        <v>25311</v>
      </c>
      <c r="H650" s="2">
        <v>24921</v>
      </c>
      <c r="I650" s="2">
        <v>27050</v>
      </c>
      <c r="J650" s="2">
        <v>29267</v>
      </c>
      <c r="K650" s="2">
        <v>31093</v>
      </c>
      <c r="L650" s="2">
        <v>30968</v>
      </c>
      <c r="M650" s="2">
        <v>32243</v>
      </c>
      <c r="N650" s="2">
        <v>31476</v>
      </c>
      <c r="O650" s="2">
        <v>31816</v>
      </c>
      <c r="P650" s="2">
        <v>29002</v>
      </c>
      <c r="Q650" s="2">
        <v>31419</v>
      </c>
      <c r="R650" s="2">
        <v>30306</v>
      </c>
      <c r="S650" s="2">
        <v>32151</v>
      </c>
      <c r="T650" s="2">
        <v>29301</v>
      </c>
      <c r="U650" s="2">
        <v>29700</v>
      </c>
      <c r="V650" s="2">
        <v>29218</v>
      </c>
      <c r="W650" s="2">
        <v>32461</v>
      </c>
      <c r="X650" s="98">
        <f t="shared" si="13"/>
        <v>2.4333078337863689E-3</v>
      </c>
      <c r="Y650" s="13">
        <f t="shared" si="14"/>
        <v>-1.3955527411773305E-2</v>
      </c>
      <c r="Z650" s="13">
        <f t="shared" si="15"/>
        <v>-8.9578290437847263E-3</v>
      </c>
      <c r="AA650" s="13">
        <f t="shared" si="16"/>
        <v>2.5753925396694299E-3</v>
      </c>
    </row>
    <row r="651" spans="1:27" x14ac:dyDescent="0.3">
      <c r="A651" s="61">
        <v>260127</v>
      </c>
      <c r="B651" s="59">
        <v>8218</v>
      </c>
      <c r="C651" s="2" t="s">
        <v>67</v>
      </c>
      <c r="D651" s="2" t="s">
        <v>32</v>
      </c>
      <c r="F651" s="60">
        <v>2.9594884964100339</v>
      </c>
      <c r="G651" s="2">
        <v>97040</v>
      </c>
      <c r="H651" s="2">
        <v>82110</v>
      </c>
      <c r="I651" s="2">
        <v>107594</v>
      </c>
      <c r="J651" s="2">
        <v>90294</v>
      </c>
      <c r="K651" s="2">
        <v>98897</v>
      </c>
      <c r="L651" s="2">
        <v>82615</v>
      </c>
      <c r="M651" s="2">
        <v>104073</v>
      </c>
      <c r="N651" s="2">
        <v>90204</v>
      </c>
      <c r="O651" s="2">
        <v>95787</v>
      </c>
      <c r="P651" s="2">
        <v>80687</v>
      </c>
      <c r="Q651" s="2">
        <v>107449</v>
      </c>
      <c r="R651" s="2">
        <v>91355</v>
      </c>
      <c r="S651" s="2">
        <v>86667</v>
      </c>
      <c r="T651" s="2">
        <v>93720</v>
      </c>
      <c r="U651" s="2">
        <v>105409</v>
      </c>
      <c r="V651" s="2">
        <v>95824</v>
      </c>
      <c r="W651" s="2">
        <v>97961</v>
      </c>
      <c r="X651" s="98">
        <f t="shared" si="13"/>
        <v>3.5593923934476468E-2</v>
      </c>
      <c r="Y651" s="13">
        <f t="shared" si="14"/>
        <v>-5.379874522338346E-3</v>
      </c>
      <c r="Z651" s="13">
        <f t="shared" si="15"/>
        <v>1.1849365373550746E-2</v>
      </c>
      <c r="AA651" s="13">
        <f t="shared" si="16"/>
        <v>2.9594884964100343E-2</v>
      </c>
    </row>
    <row r="652" spans="1:27" x14ac:dyDescent="0.3">
      <c r="A652" s="61">
        <v>260127</v>
      </c>
      <c r="B652" s="59">
        <v>9697</v>
      </c>
      <c r="C652" s="2" t="s">
        <v>67</v>
      </c>
      <c r="D652" s="2" t="s">
        <v>32</v>
      </c>
      <c r="F652" s="60">
        <v>0.88086687179065315</v>
      </c>
      <c r="G652" s="2">
        <v>18168</v>
      </c>
      <c r="H652" s="2">
        <v>21891</v>
      </c>
      <c r="I652" s="2">
        <v>25232</v>
      </c>
      <c r="J652" s="2">
        <v>23835</v>
      </c>
      <c r="K652" s="3">
        <v>30604</v>
      </c>
      <c r="L652" s="3">
        <v>46259</v>
      </c>
      <c r="M652" s="3">
        <v>43858</v>
      </c>
      <c r="N652" s="2">
        <v>31076</v>
      </c>
      <c r="O652" s="2">
        <v>31245</v>
      </c>
      <c r="P652" s="2">
        <v>46231</v>
      </c>
      <c r="Q652" s="2">
        <v>29597</v>
      </c>
      <c r="R652" s="2">
        <v>26805</v>
      </c>
      <c r="S652" s="2">
        <v>32451</v>
      </c>
      <c r="T652" s="3">
        <v>80751</v>
      </c>
      <c r="U652" s="2">
        <v>45502</v>
      </c>
      <c r="V652" s="2">
        <v>35650</v>
      </c>
      <c r="W652" s="2">
        <v>34163</v>
      </c>
      <c r="X652" s="98">
        <f t="shared" si="13"/>
        <v>0.25554469811376634</v>
      </c>
      <c r="Y652" s="13">
        <f t="shared" si="14"/>
        <v>9.3777269404023533E-2</v>
      </c>
      <c r="Z652" s="13">
        <f t="shared" si="15"/>
        <v>4.7679627403522273E-2</v>
      </c>
      <c r="AA652" s="13">
        <f t="shared" si="16"/>
        <v>8.8086687179065315E-3</v>
      </c>
    </row>
    <row r="653" spans="1:27" x14ac:dyDescent="0.3">
      <c r="A653" s="61">
        <v>260127</v>
      </c>
      <c r="B653" s="59">
        <v>4063</v>
      </c>
      <c r="C653" s="2" t="s">
        <v>67</v>
      </c>
      <c r="D653" s="2" t="s">
        <v>32</v>
      </c>
      <c r="F653" s="60">
        <v>-0.5334758003203155</v>
      </c>
      <c r="G653" s="2">
        <v>542362</v>
      </c>
      <c r="H653" s="2">
        <v>590725</v>
      </c>
      <c r="I653" s="2">
        <v>656707</v>
      </c>
      <c r="J653" s="2">
        <v>752629</v>
      </c>
      <c r="K653" s="2">
        <v>753901</v>
      </c>
      <c r="L653" s="2">
        <v>645587</v>
      </c>
      <c r="M653" s="2">
        <v>599201</v>
      </c>
      <c r="N653" s="2">
        <v>596701</v>
      </c>
      <c r="O653" s="2">
        <v>627501</v>
      </c>
      <c r="P653" s="2">
        <v>591534</v>
      </c>
      <c r="Q653" s="2">
        <v>597930</v>
      </c>
      <c r="R653" s="2">
        <v>668530</v>
      </c>
      <c r="S653" s="2">
        <v>663238</v>
      </c>
      <c r="T653" s="2">
        <v>631551</v>
      </c>
      <c r="U653" s="2">
        <v>628549</v>
      </c>
      <c r="V653" s="2">
        <v>655973</v>
      </c>
      <c r="W653" s="2">
        <v>649478</v>
      </c>
      <c r="X653" s="98">
        <f t="shared" si="13"/>
        <v>1.5872002259212925E-2</v>
      </c>
      <c r="Y653" s="13">
        <f t="shared" si="14"/>
        <v>1.1954714281977363E-2</v>
      </c>
      <c r="Z653" s="13">
        <f t="shared" si="15"/>
        <v>-4.8447683292512922E-3</v>
      </c>
      <c r="AA653" s="13">
        <f t="shared" si="16"/>
        <v>-5.334758003203155E-3</v>
      </c>
    </row>
    <row r="654" spans="1:27" x14ac:dyDescent="0.3">
      <c r="A654" s="61">
        <v>260127</v>
      </c>
      <c r="B654" s="59" t="s">
        <v>480</v>
      </c>
      <c r="C654" s="2" t="s">
        <v>31</v>
      </c>
      <c r="D654" s="2" t="s">
        <v>32</v>
      </c>
      <c r="F654" s="60">
        <v>6.6498635879089996</v>
      </c>
      <c r="G654" s="2">
        <v>15510</v>
      </c>
      <c r="H654" s="2">
        <v>14287</v>
      </c>
      <c r="I654" s="2">
        <v>16652</v>
      </c>
      <c r="J654" s="2">
        <v>16963</v>
      </c>
      <c r="K654" s="2">
        <v>17754</v>
      </c>
      <c r="L654" s="2">
        <v>18356</v>
      </c>
      <c r="M654" s="2">
        <v>18740</v>
      </c>
      <c r="N654" s="2">
        <v>20015</v>
      </c>
      <c r="O654" s="2">
        <v>19788</v>
      </c>
      <c r="P654" s="2">
        <v>21917</v>
      </c>
      <c r="Q654" s="2">
        <v>22275</v>
      </c>
      <c r="R654" s="2">
        <v>24127</v>
      </c>
      <c r="S654" s="2">
        <v>25157</v>
      </c>
      <c r="T654" s="2">
        <v>27528</v>
      </c>
      <c r="U654" s="2">
        <v>28781</v>
      </c>
      <c r="V654" s="2">
        <v>29228</v>
      </c>
      <c r="W654" s="2">
        <v>32518</v>
      </c>
      <c r="X654" s="98">
        <f t="shared" si="13"/>
        <v>6.0026102956908689E-2</v>
      </c>
      <c r="Y654" s="13">
        <f t="shared" si="14"/>
        <v>6.5659470969955613E-2</v>
      </c>
      <c r="Z654" s="13">
        <f t="shared" si="15"/>
        <v>4.8308126485657299E-2</v>
      </c>
      <c r="AA654" s="13">
        <f t="shared" si="16"/>
        <v>6.6498635879089996E-2</v>
      </c>
    </row>
    <row r="655" spans="1:27" x14ac:dyDescent="0.3">
      <c r="A655" s="61">
        <v>260127</v>
      </c>
      <c r="B655" s="59" t="s">
        <v>481</v>
      </c>
      <c r="C655" s="2" t="s">
        <v>31</v>
      </c>
      <c r="D655" s="2" t="s">
        <v>32</v>
      </c>
      <c r="F655" s="60">
        <v>3.7315259142610908</v>
      </c>
      <c r="G655" s="2">
        <v>32084</v>
      </c>
      <c r="H655" s="2">
        <v>31754</v>
      </c>
      <c r="I655" s="2">
        <v>33268</v>
      </c>
      <c r="J655" s="2">
        <v>33631</v>
      </c>
      <c r="K655" s="2">
        <v>34746</v>
      </c>
      <c r="L655" s="2">
        <v>36187</v>
      </c>
      <c r="M655" s="2">
        <v>37412</v>
      </c>
      <c r="N655" s="2">
        <v>37338</v>
      </c>
      <c r="O655" s="2">
        <v>38039</v>
      </c>
      <c r="P655" s="2">
        <v>39269</v>
      </c>
      <c r="Q655" s="2">
        <v>43521</v>
      </c>
      <c r="R655" s="2">
        <v>42145</v>
      </c>
      <c r="S655" s="2">
        <v>44436</v>
      </c>
      <c r="T655" s="2">
        <v>46082</v>
      </c>
      <c r="U655" s="2">
        <v>47789</v>
      </c>
      <c r="V655" s="2">
        <v>49659</v>
      </c>
      <c r="W655" s="2">
        <v>51450</v>
      </c>
      <c r="X655" s="98">
        <f t="shared" si="13"/>
        <v>4.0225304213826529E-2</v>
      </c>
      <c r="Y655" s="13">
        <f t="shared" si="14"/>
        <v>2.4224674204241126E-2</v>
      </c>
      <c r="Z655" s="13">
        <f t="shared" si="15"/>
        <v>4.1639882073903234E-2</v>
      </c>
      <c r="AA655" s="13">
        <f t="shared" si="16"/>
        <v>3.7315259142610913E-2</v>
      </c>
    </row>
    <row r="656" spans="1:27" x14ac:dyDescent="0.3">
      <c r="A656" s="61">
        <v>260127</v>
      </c>
      <c r="B656" s="59" t="s">
        <v>482</v>
      </c>
      <c r="C656" s="2" t="s">
        <v>31</v>
      </c>
      <c r="D656" s="2" t="s">
        <v>32</v>
      </c>
      <c r="F656" s="60">
        <v>0.92508446929977506</v>
      </c>
      <c r="G656" s="2">
        <v>85272</v>
      </c>
      <c r="H656" s="2">
        <v>77733</v>
      </c>
      <c r="I656" s="2">
        <v>86069</v>
      </c>
      <c r="J656" s="2">
        <v>84576</v>
      </c>
      <c r="K656" s="2">
        <v>86367</v>
      </c>
      <c r="L656" s="2">
        <v>87288</v>
      </c>
      <c r="M656" s="2">
        <v>91823</v>
      </c>
      <c r="N656" s="2">
        <v>84786</v>
      </c>
      <c r="O656" s="2">
        <v>91031</v>
      </c>
      <c r="P656" s="2">
        <v>86736</v>
      </c>
      <c r="Q656" s="2">
        <v>89432</v>
      </c>
      <c r="R656" s="2">
        <v>80275</v>
      </c>
      <c r="S656" s="2">
        <v>85494</v>
      </c>
      <c r="T656" s="2">
        <v>83127</v>
      </c>
      <c r="U656" s="2">
        <v>89386</v>
      </c>
      <c r="V656" s="2">
        <v>85313</v>
      </c>
      <c r="W656" s="2">
        <v>88670</v>
      </c>
      <c r="X656" s="98">
        <f t="shared" si="13"/>
        <v>-1.0554575842918412E-2</v>
      </c>
      <c r="Y656" s="13">
        <f t="shared" si="14"/>
        <v>-1.3596273438798434E-4</v>
      </c>
      <c r="Z656" s="13">
        <f t="shared" si="15"/>
        <v>1.4892900006503451E-2</v>
      </c>
      <c r="AA656" s="13">
        <f t="shared" si="16"/>
        <v>9.2508446929977506E-3</v>
      </c>
    </row>
    <row r="657" spans="1:27" x14ac:dyDescent="0.3">
      <c r="A657" s="4">
        <v>260126</v>
      </c>
      <c r="B657" s="23" t="s">
        <v>483</v>
      </c>
      <c r="C657" s="4" t="s">
        <v>635</v>
      </c>
      <c r="D657" s="4" t="s">
        <v>484</v>
      </c>
      <c r="F657" s="65">
        <v>1.9163817708496731</v>
      </c>
      <c r="G657" s="4">
        <v>10364</v>
      </c>
      <c r="H657" s="4">
        <v>10493</v>
      </c>
      <c r="I657" s="4">
        <v>11794</v>
      </c>
      <c r="J657" s="4">
        <v>10501</v>
      </c>
      <c r="K657" s="4">
        <v>8724</v>
      </c>
      <c r="L657" s="4">
        <v>8710</v>
      </c>
      <c r="M657" s="4">
        <v>9523</v>
      </c>
      <c r="N657" s="4">
        <v>8776</v>
      </c>
      <c r="O657" s="4">
        <v>7705</v>
      </c>
      <c r="P657" s="4">
        <v>8137</v>
      </c>
      <c r="Q657" s="4">
        <v>8077</v>
      </c>
      <c r="R657" s="4">
        <v>7444</v>
      </c>
      <c r="S657" s="4">
        <v>7076</v>
      </c>
      <c r="T657" s="4">
        <v>7830</v>
      </c>
      <c r="U657" s="4">
        <v>8456</v>
      </c>
      <c r="V657" s="4">
        <v>8521</v>
      </c>
      <c r="W657" s="4">
        <v>7687</v>
      </c>
      <c r="X657" s="98">
        <f t="shared" si="13"/>
        <v>-9.9889373332465725E-3</v>
      </c>
      <c r="Y657" s="13">
        <f t="shared" si="14"/>
        <v>1.2456042330824646E-2</v>
      </c>
      <c r="Z657" s="13">
        <f t="shared" si="15"/>
        <v>3.4960721937284944E-2</v>
      </c>
      <c r="AA657" s="13">
        <f t="shared" si="16"/>
        <v>1.9163817708496733E-2</v>
      </c>
    </row>
    <row r="658" spans="1:27" x14ac:dyDescent="0.3">
      <c r="A658" s="4">
        <v>260126</v>
      </c>
      <c r="B658" s="23" t="s">
        <v>485</v>
      </c>
      <c r="C658" s="4" t="s">
        <v>635</v>
      </c>
      <c r="D658" s="4" t="s">
        <v>29</v>
      </c>
      <c r="F658" s="65">
        <v>0.59826883910387707</v>
      </c>
      <c r="G658" s="4">
        <v>42.21</v>
      </c>
      <c r="H658" s="4">
        <v>41.97</v>
      </c>
      <c r="I658" s="4">
        <v>42.92</v>
      </c>
      <c r="J658" s="4">
        <v>45.62</v>
      </c>
      <c r="K658" s="4">
        <v>50.07</v>
      </c>
      <c r="L658" s="4">
        <v>54.27</v>
      </c>
      <c r="M658" s="4">
        <v>58.79</v>
      </c>
      <c r="N658" s="4">
        <v>57.77</v>
      </c>
      <c r="O658" s="4">
        <v>56.29</v>
      </c>
      <c r="P658" s="4">
        <v>52.31</v>
      </c>
      <c r="Q658" s="4">
        <v>56.64</v>
      </c>
      <c r="R658" s="4">
        <v>56.44</v>
      </c>
      <c r="S658" s="4">
        <v>59.03</v>
      </c>
      <c r="T658" s="4">
        <v>58.01</v>
      </c>
      <c r="U658" s="4">
        <v>58.8</v>
      </c>
      <c r="V658" s="4">
        <v>59.84</v>
      </c>
      <c r="W658" s="4">
        <v>60.44</v>
      </c>
      <c r="X658" s="98">
        <f t="shared" si="13"/>
        <v>2.5398805810533887E-2</v>
      </c>
      <c r="Y658" s="13">
        <f t="shared" si="14"/>
        <v>9.3864070919518205E-3</v>
      </c>
      <c r="Z658" s="13">
        <f t="shared" si="15"/>
        <v>1.4637506457723548E-2</v>
      </c>
      <c r="AA658" s="13">
        <f t="shared" si="16"/>
        <v>5.9826883910387707E-3</v>
      </c>
    </row>
    <row r="659" spans="1:27" x14ac:dyDescent="0.3">
      <c r="A659" s="4">
        <v>260126</v>
      </c>
      <c r="B659" s="23" t="s">
        <v>486</v>
      </c>
      <c r="C659" s="4" t="s">
        <v>635</v>
      </c>
      <c r="D659" s="4" t="s">
        <v>29</v>
      </c>
      <c r="F659" s="65">
        <v>4.5858196682798669</v>
      </c>
      <c r="G659" s="4">
        <v>27.2</v>
      </c>
      <c r="H659" s="4">
        <v>26.55</v>
      </c>
      <c r="I659" s="4">
        <v>26.36</v>
      </c>
      <c r="J659" s="4">
        <v>27.76</v>
      </c>
      <c r="K659" s="4">
        <v>25.31</v>
      </c>
      <c r="L659" s="4">
        <v>30.05</v>
      </c>
      <c r="M659" s="4">
        <v>33.43</v>
      </c>
      <c r="N659" s="4">
        <v>35.270000000000003</v>
      </c>
      <c r="O659" s="66">
        <v>37.9</v>
      </c>
      <c r="P659" s="4">
        <v>38.47</v>
      </c>
      <c r="Q659" s="4">
        <v>38.049999999999997</v>
      </c>
      <c r="R659" s="4">
        <v>40.03</v>
      </c>
      <c r="S659" s="4">
        <v>43.12</v>
      </c>
      <c r="T659" s="66">
        <v>54.44</v>
      </c>
      <c r="U659" s="4">
        <v>52.57</v>
      </c>
      <c r="V659" s="66">
        <v>62.7</v>
      </c>
      <c r="W659" s="4">
        <v>52.88</v>
      </c>
      <c r="X659" s="98">
        <f t="shared" si="13"/>
        <v>0.10001878875180048</v>
      </c>
      <c r="Y659" s="13">
        <f t="shared" si="14"/>
        <v>8.2669095877932142E-2</v>
      </c>
      <c r="Z659" s="13">
        <f t="shared" si="15"/>
        <v>0.11921539755994948</v>
      </c>
      <c r="AA659" s="13">
        <f t="shared" si="16"/>
        <v>4.5858196682798447E-2</v>
      </c>
    </row>
    <row r="660" spans="1:27" x14ac:dyDescent="0.3">
      <c r="A660" s="4">
        <v>260126</v>
      </c>
      <c r="B660" s="23" t="s">
        <v>487</v>
      </c>
      <c r="C660" s="4" t="s">
        <v>635</v>
      </c>
      <c r="D660" s="4" t="s">
        <v>29</v>
      </c>
      <c r="F660" s="65">
        <v>2.370984929212971</v>
      </c>
      <c r="G660" s="4">
        <v>54.72</v>
      </c>
      <c r="H660" s="4">
        <v>55.57</v>
      </c>
      <c r="I660" s="4">
        <v>59.17</v>
      </c>
      <c r="J660" s="4">
        <v>62.66</v>
      </c>
      <c r="K660" s="4">
        <v>67.36</v>
      </c>
      <c r="L660" s="4">
        <v>61.83</v>
      </c>
      <c r="M660" s="4">
        <v>60.03</v>
      </c>
      <c r="N660" s="4">
        <v>59.23</v>
      </c>
      <c r="O660" s="4">
        <v>65.81</v>
      </c>
      <c r="P660" s="4">
        <v>59.03</v>
      </c>
      <c r="Q660" s="4">
        <v>68.739999999999995</v>
      </c>
      <c r="R660" s="4">
        <v>61.19</v>
      </c>
      <c r="S660" s="4">
        <v>63.57</v>
      </c>
      <c r="T660" s="4">
        <v>63.8</v>
      </c>
      <c r="U660" s="4">
        <v>66.36</v>
      </c>
      <c r="V660" s="4">
        <v>69.03</v>
      </c>
      <c r="W660" s="4">
        <v>69.8</v>
      </c>
      <c r="X660" s="98">
        <f t="shared" si="13"/>
        <v>1.8888844889716205E-2</v>
      </c>
      <c r="Y660" s="13">
        <f t="shared" si="14"/>
        <v>-9.2499028371550995E-3</v>
      </c>
      <c r="Z660" s="13">
        <f t="shared" si="15"/>
        <v>3.0754746587164483E-2</v>
      </c>
      <c r="AA660" s="13">
        <f t="shared" si="16"/>
        <v>2.3709849292129714E-2</v>
      </c>
    </row>
    <row r="661" spans="1:27" x14ac:dyDescent="0.3">
      <c r="A661" s="4">
        <v>260126</v>
      </c>
      <c r="B661" s="23" t="s">
        <v>488</v>
      </c>
      <c r="C661" s="4" t="s">
        <v>635</v>
      </c>
      <c r="D661" s="4" t="s">
        <v>182</v>
      </c>
      <c r="F661" s="65">
        <v>-88.36003770028276</v>
      </c>
      <c r="G661" s="4">
        <v>17.54</v>
      </c>
      <c r="H661" s="4">
        <v>314.37</v>
      </c>
      <c r="I661" s="4">
        <v>150.47999999999999</v>
      </c>
      <c r="J661" s="4">
        <v>282.45999999999998</v>
      </c>
      <c r="K661" s="4">
        <v>2.0499999999999998</v>
      </c>
      <c r="L661" s="4">
        <v>-110.63</v>
      </c>
      <c r="M661" s="4">
        <v>170.01</v>
      </c>
      <c r="N661" s="4">
        <v>216.75</v>
      </c>
      <c r="O661" s="4">
        <v>-286.97000000000003</v>
      </c>
      <c r="P661" s="4">
        <v>139.81</v>
      </c>
      <c r="Q661" s="4">
        <v>64.209999999999994</v>
      </c>
      <c r="R661" s="4">
        <v>-216.19</v>
      </c>
      <c r="S661" s="4">
        <v>186.28</v>
      </c>
      <c r="T661" s="4">
        <v>-44.35</v>
      </c>
      <c r="U661" s="66">
        <v>6.32</v>
      </c>
      <c r="V661" s="4">
        <v>-20.93</v>
      </c>
      <c r="W661" s="4">
        <v>73.78</v>
      </c>
      <c r="X661" s="98">
        <f t="shared" si="13"/>
        <v>-1.0577221296881283</v>
      </c>
      <c r="Y661" s="13">
        <f t="shared" si="14"/>
        <v>5.7601990049751119</v>
      </c>
      <c r="Z661" s="13">
        <f t="shared" si="15"/>
        <v>-2.8740064763026201</v>
      </c>
      <c r="AA661" s="13">
        <f t="shared" si="16"/>
        <v>-0.88360037700282756</v>
      </c>
    </row>
    <row r="662" spans="1:27" x14ac:dyDescent="0.3">
      <c r="A662" s="4">
        <v>260126</v>
      </c>
      <c r="B662" s="23" t="s">
        <v>489</v>
      </c>
      <c r="C662" s="4" t="s">
        <v>635</v>
      </c>
      <c r="D662" s="4" t="s">
        <v>115</v>
      </c>
      <c r="F662" s="65">
        <v>3.612287782262102</v>
      </c>
      <c r="G662" s="4">
        <v>39.46</v>
      </c>
      <c r="H662" s="4">
        <v>46.56</v>
      </c>
      <c r="I662" s="4">
        <v>47.51</v>
      </c>
      <c r="J662" s="4">
        <v>47.74</v>
      </c>
      <c r="K662" s="4">
        <v>49.92</v>
      </c>
      <c r="L662" s="4">
        <v>52.9</v>
      </c>
      <c r="M662" s="4">
        <v>56.06</v>
      </c>
      <c r="N662" s="4">
        <v>58.62</v>
      </c>
      <c r="O662" s="4">
        <v>60.57</v>
      </c>
      <c r="P662" s="4">
        <v>62.22</v>
      </c>
      <c r="Q662" s="4">
        <v>63.51</v>
      </c>
      <c r="R662" s="4">
        <v>68.28</v>
      </c>
      <c r="S662" s="4">
        <v>69.56</v>
      </c>
      <c r="T662" s="4">
        <v>74.27</v>
      </c>
      <c r="U662" s="4">
        <v>76.680000000000007</v>
      </c>
      <c r="V662" s="4">
        <v>79.3</v>
      </c>
      <c r="W662" s="4">
        <v>80.39</v>
      </c>
      <c r="X662" s="98">
        <f t="shared" ref="X662:X671" si="17">SUM(Q662:T662)/SUM(P662:S662)-1</f>
        <v>4.5718404977804772E-2</v>
      </c>
      <c r="Y662" s="13">
        <f t="shared" ref="Y662:Y671" si="18">SUM(R662:U662)/SUM(Q662:T662)-1</f>
        <v>4.778317974022217E-2</v>
      </c>
      <c r="Z662" s="13">
        <f t="shared" ref="Z662:Z671" si="19">SUM(S662:V662)/SUM(R662:U662)-1</f>
        <v>3.8159216039336474E-2</v>
      </c>
      <c r="AA662" s="13">
        <f t="shared" ref="AA662:AA671" si="20">SUM(T662:W662)/SUM(S662:V662)-1</f>
        <v>3.6122877822621025E-2</v>
      </c>
    </row>
    <row r="663" spans="1:27" x14ac:dyDescent="0.3">
      <c r="A663" s="4">
        <v>260126</v>
      </c>
      <c r="B663" s="23" t="s">
        <v>490</v>
      </c>
      <c r="C663" s="4" t="s">
        <v>635</v>
      </c>
      <c r="D663" s="4" t="s">
        <v>29</v>
      </c>
      <c r="F663" s="65">
        <v>0.98142306344197738</v>
      </c>
      <c r="G663" s="4">
        <v>154.25</v>
      </c>
      <c r="H663" s="4">
        <v>199.13</v>
      </c>
      <c r="I663" s="4">
        <v>225.64</v>
      </c>
      <c r="J663" s="4">
        <v>239.48</v>
      </c>
      <c r="K663" s="66">
        <v>258.77</v>
      </c>
      <c r="L663" s="4">
        <v>245.66</v>
      </c>
      <c r="M663" s="4">
        <v>248.71</v>
      </c>
      <c r="N663" s="4">
        <v>255.27</v>
      </c>
      <c r="O663" s="4">
        <v>265.33</v>
      </c>
      <c r="P663" s="4">
        <v>251.14</v>
      </c>
      <c r="Q663" s="4">
        <v>266.05</v>
      </c>
      <c r="R663" s="4">
        <v>267.66000000000003</v>
      </c>
      <c r="S663" s="4">
        <v>261.51</v>
      </c>
      <c r="T663" s="4">
        <v>256.11</v>
      </c>
      <c r="U663" s="4">
        <v>267.5</v>
      </c>
      <c r="V663" s="4">
        <v>270.49</v>
      </c>
      <c r="W663" s="4">
        <v>271.87</v>
      </c>
      <c r="X663" s="98">
        <f t="shared" si="17"/>
        <v>4.749799304254454E-3</v>
      </c>
      <c r="Y663" s="13">
        <f t="shared" si="18"/>
        <v>1.3792053874619459E-3</v>
      </c>
      <c r="Z663" s="13">
        <f t="shared" si="19"/>
        <v>2.6881209749425317E-3</v>
      </c>
      <c r="AA663" s="13">
        <f t="shared" si="20"/>
        <v>9.8142306344197738E-3</v>
      </c>
    </row>
    <row r="664" spans="1:27" x14ac:dyDescent="0.3">
      <c r="A664" s="4">
        <v>260126</v>
      </c>
      <c r="B664" s="23" t="s">
        <v>491</v>
      </c>
      <c r="C664" s="4" t="s">
        <v>635</v>
      </c>
      <c r="D664" s="4" t="s">
        <v>65</v>
      </c>
      <c r="F664" s="65">
        <v>14.56692913385826</v>
      </c>
      <c r="G664" s="4">
        <v>1756</v>
      </c>
      <c r="H664" s="4">
        <v>1915</v>
      </c>
      <c r="I664" s="4">
        <v>2023</v>
      </c>
      <c r="J664" s="4">
        <v>2225</v>
      </c>
      <c r="K664" s="4">
        <v>2356</v>
      </c>
      <c r="L664" s="4">
        <v>2320</v>
      </c>
      <c r="M664" s="4">
        <v>2207</v>
      </c>
      <c r="N664" s="4">
        <v>2052</v>
      </c>
      <c r="O664" s="4">
        <v>1875</v>
      </c>
      <c r="P664" s="4">
        <v>1835</v>
      </c>
      <c r="Q664" s="4">
        <v>1841</v>
      </c>
      <c r="R664" s="4">
        <v>2018</v>
      </c>
      <c r="S664" s="4">
        <v>2006</v>
      </c>
      <c r="T664" s="4">
        <v>1984</v>
      </c>
      <c r="U664" s="4">
        <v>2042</v>
      </c>
      <c r="V664" s="4">
        <v>2096</v>
      </c>
      <c r="W664" s="66">
        <v>3190</v>
      </c>
      <c r="X664" s="98">
        <f t="shared" si="17"/>
        <v>1.9350649350649451E-2</v>
      </c>
      <c r="Y664" s="13">
        <f t="shared" si="18"/>
        <v>2.5608357752579858E-2</v>
      </c>
      <c r="Z664" s="13">
        <f t="shared" si="19"/>
        <v>9.6894409937888781E-3</v>
      </c>
      <c r="AA664" s="13">
        <f t="shared" si="20"/>
        <v>0.14566929133858264</v>
      </c>
    </row>
    <row r="665" spans="1:27" x14ac:dyDescent="0.3">
      <c r="A665" s="4">
        <v>260126</v>
      </c>
      <c r="B665" s="23" t="s">
        <v>492</v>
      </c>
      <c r="C665" s="4" t="s">
        <v>635</v>
      </c>
      <c r="D665" s="4" t="s">
        <v>153</v>
      </c>
      <c r="F665" s="65">
        <v>1.6269123936334171</v>
      </c>
      <c r="G665" s="4">
        <v>825.2</v>
      </c>
      <c r="H665" s="4">
        <v>538.79999999999995</v>
      </c>
      <c r="I665" s="4">
        <v>530.29999999999995</v>
      </c>
      <c r="J665" s="4">
        <v>480</v>
      </c>
      <c r="K665" s="4">
        <v>485.9</v>
      </c>
      <c r="L665" s="4">
        <v>513.79999999999995</v>
      </c>
      <c r="M665" s="4">
        <v>509.6</v>
      </c>
      <c r="N665" s="4">
        <v>530.1</v>
      </c>
      <c r="O665" s="4">
        <v>308.60000000000002</v>
      </c>
      <c r="P665" s="4">
        <v>510.2</v>
      </c>
      <c r="Q665" s="4">
        <v>528.6</v>
      </c>
      <c r="R665" s="4">
        <v>548.29999999999995</v>
      </c>
      <c r="S665" s="66">
        <v>544.1</v>
      </c>
      <c r="T665" s="4">
        <v>557.6</v>
      </c>
      <c r="U665" s="4">
        <v>577.20000000000005</v>
      </c>
      <c r="V665" s="4">
        <v>589.20000000000005</v>
      </c>
      <c r="W665" s="4">
        <v>581</v>
      </c>
      <c r="X665" s="98">
        <f t="shared" si="17"/>
        <v>2.2240990990991083E-2</v>
      </c>
      <c r="Y665" s="13">
        <f t="shared" si="18"/>
        <v>2.230790415863404E-2</v>
      </c>
      <c r="Z665" s="13">
        <f t="shared" si="19"/>
        <v>1.8363864942529062E-2</v>
      </c>
      <c r="AA665" s="13">
        <f t="shared" si="20"/>
        <v>1.6269123936334173E-2</v>
      </c>
    </row>
    <row r="666" spans="1:27" x14ac:dyDescent="0.3">
      <c r="A666" s="4">
        <v>260126</v>
      </c>
      <c r="B666" s="23" t="s">
        <v>493</v>
      </c>
      <c r="C666" s="4" t="s">
        <v>635</v>
      </c>
      <c r="D666" s="4" t="s">
        <v>182</v>
      </c>
      <c r="F666" s="65">
        <v>-892.70072992700739</v>
      </c>
      <c r="G666" s="4">
        <v>-148</v>
      </c>
      <c r="H666" s="4">
        <v>-161</v>
      </c>
      <c r="I666" s="4">
        <v>383</v>
      </c>
      <c r="J666" s="4">
        <v>10</v>
      </c>
      <c r="K666" s="66">
        <v>-86</v>
      </c>
      <c r="L666" s="4">
        <v>-312</v>
      </c>
      <c r="M666" s="66">
        <v>174</v>
      </c>
      <c r="N666" s="4">
        <v>863</v>
      </c>
      <c r="O666" s="4">
        <v>-1042</v>
      </c>
      <c r="P666" s="4">
        <v>410</v>
      </c>
      <c r="Q666" s="4">
        <v>208</v>
      </c>
      <c r="R666" s="4">
        <v>-360</v>
      </c>
      <c r="S666" s="4">
        <v>724</v>
      </c>
      <c r="T666" s="4">
        <v>-450</v>
      </c>
      <c r="U666" s="4">
        <v>-128</v>
      </c>
      <c r="V666" s="4">
        <v>-9</v>
      </c>
      <c r="W666" s="4">
        <v>-499</v>
      </c>
      <c r="X666" s="98">
        <f t="shared" si="17"/>
        <v>-0.87576374745417518</v>
      </c>
      <c r="Y666" s="13">
        <f t="shared" si="18"/>
        <v>-2.7540983606557377</v>
      </c>
      <c r="Z666" s="13">
        <f t="shared" si="19"/>
        <v>-1.6401869158878504</v>
      </c>
      <c r="AA666" s="13">
        <f t="shared" si="20"/>
        <v>-8.9270072992700733</v>
      </c>
    </row>
    <row r="667" spans="1:27" x14ac:dyDescent="0.3">
      <c r="A667" s="4">
        <v>260126</v>
      </c>
      <c r="B667" s="23" t="s">
        <v>494</v>
      </c>
      <c r="C667" s="4" t="s">
        <v>635</v>
      </c>
      <c r="D667" s="4" t="s">
        <v>153</v>
      </c>
      <c r="F667" s="65">
        <v>2.029542178347898</v>
      </c>
      <c r="G667" s="4">
        <v>539.62</v>
      </c>
      <c r="H667" s="4">
        <v>494.29</v>
      </c>
      <c r="I667" s="4">
        <v>548.54999999999995</v>
      </c>
      <c r="J667" s="4">
        <v>545.64</v>
      </c>
      <c r="K667" s="4">
        <v>555.04999999999995</v>
      </c>
      <c r="L667" s="4">
        <v>529.65</v>
      </c>
      <c r="M667" s="4">
        <v>559.64</v>
      </c>
      <c r="N667" s="4">
        <v>539.66999999999996</v>
      </c>
      <c r="O667" s="4">
        <v>566.64</v>
      </c>
      <c r="P667" s="4">
        <v>492.19</v>
      </c>
      <c r="Q667" s="4">
        <v>553.24</v>
      </c>
      <c r="R667" s="4">
        <v>519.21</v>
      </c>
      <c r="S667" s="4">
        <v>548.66999999999996</v>
      </c>
      <c r="T667" s="4">
        <v>528.28</v>
      </c>
      <c r="U667" s="4">
        <v>571.80999999999995</v>
      </c>
      <c r="V667" s="4">
        <v>543.36</v>
      </c>
      <c r="W667" s="4">
        <v>593.16</v>
      </c>
      <c r="X667" s="98">
        <f t="shared" si="17"/>
        <v>1.7077475618815896E-2</v>
      </c>
      <c r="Y667" s="13">
        <f t="shared" si="18"/>
        <v>8.6396203591703191E-3</v>
      </c>
      <c r="Z667" s="13">
        <f t="shared" si="19"/>
        <v>1.1139453036711489E-2</v>
      </c>
      <c r="AA667" s="13">
        <f t="shared" si="20"/>
        <v>2.0295421783478984E-2</v>
      </c>
    </row>
    <row r="668" spans="1:27" x14ac:dyDescent="0.3">
      <c r="A668" s="4">
        <v>260126</v>
      </c>
      <c r="B668" s="23" t="s">
        <v>495</v>
      </c>
      <c r="C668" s="4" t="s">
        <v>635</v>
      </c>
      <c r="D668" s="4" t="s">
        <v>50</v>
      </c>
      <c r="F668" s="65">
        <v>-1.1538616440011309</v>
      </c>
      <c r="G668" s="4">
        <v>574.66</v>
      </c>
      <c r="H668" s="4">
        <v>612.54999999999995</v>
      </c>
      <c r="I668" s="4">
        <v>640.96</v>
      </c>
      <c r="J668" s="4">
        <v>656.85</v>
      </c>
      <c r="K668" s="4">
        <v>665.67</v>
      </c>
      <c r="L668" s="4">
        <v>687.95</v>
      </c>
      <c r="M668" s="4">
        <v>704.34</v>
      </c>
      <c r="N668" s="4">
        <v>707.53</v>
      </c>
      <c r="O668" s="4">
        <v>742.64</v>
      </c>
      <c r="P668" s="4">
        <v>755.55</v>
      </c>
      <c r="Q668" s="4">
        <v>755.16</v>
      </c>
      <c r="R668" s="4">
        <v>775.74</v>
      </c>
      <c r="S668" s="4">
        <v>763.25</v>
      </c>
      <c r="T668" s="4">
        <v>743.18</v>
      </c>
      <c r="U668" s="4">
        <v>737.28</v>
      </c>
      <c r="V668" s="4">
        <v>735.85</v>
      </c>
      <c r="W668" s="4">
        <v>728.87</v>
      </c>
      <c r="X668" s="98">
        <f t="shared" si="17"/>
        <v>-4.0561366691805878E-3</v>
      </c>
      <c r="Y668" s="13">
        <f t="shared" si="18"/>
        <v>-5.8867492172401947E-3</v>
      </c>
      <c r="Z668" s="13">
        <f t="shared" si="19"/>
        <v>-1.3211015251121894E-2</v>
      </c>
      <c r="AA668" s="13">
        <f t="shared" si="20"/>
        <v>-1.1538616440011307E-2</v>
      </c>
    </row>
    <row r="669" spans="1:27" x14ac:dyDescent="0.3">
      <c r="A669" s="4">
        <v>260126</v>
      </c>
      <c r="B669" s="23" t="s">
        <v>496</v>
      </c>
      <c r="C669" s="4" t="s">
        <v>635</v>
      </c>
      <c r="D669" s="4" t="s">
        <v>484</v>
      </c>
      <c r="F669" s="65">
        <v>3.0736078031076359</v>
      </c>
      <c r="G669" s="4">
        <v>5311</v>
      </c>
      <c r="H669" s="4">
        <v>5570</v>
      </c>
      <c r="I669" s="4">
        <v>6213</v>
      </c>
      <c r="J669" s="4">
        <v>5652</v>
      </c>
      <c r="K669" s="4">
        <v>4826</v>
      </c>
      <c r="L669" s="4">
        <v>4893</v>
      </c>
      <c r="M669" s="4">
        <v>5082</v>
      </c>
      <c r="N669" s="4">
        <v>4587</v>
      </c>
      <c r="O669" s="4">
        <v>4233</v>
      </c>
      <c r="P669" s="4">
        <v>4694</v>
      </c>
      <c r="Q669" s="4">
        <v>4633</v>
      </c>
      <c r="R669" s="4">
        <v>4342</v>
      </c>
      <c r="S669" s="4">
        <v>3872</v>
      </c>
      <c r="T669" s="4">
        <v>4369</v>
      </c>
      <c r="U669" s="4">
        <v>4565</v>
      </c>
      <c r="V669" s="4">
        <v>4828</v>
      </c>
      <c r="W669" s="4">
        <v>4414</v>
      </c>
      <c r="X669" s="98">
        <f t="shared" si="17"/>
        <v>-1.8528020067270945E-2</v>
      </c>
      <c r="Y669" s="13">
        <f t="shared" si="18"/>
        <v>-3.9498141263940578E-3</v>
      </c>
      <c r="Z669" s="13">
        <f t="shared" si="19"/>
        <v>2.8341497550734784E-2</v>
      </c>
      <c r="AA669" s="13">
        <f t="shared" si="20"/>
        <v>3.0736078031076364E-2</v>
      </c>
    </row>
    <row r="670" spans="1:27" x14ac:dyDescent="0.3">
      <c r="A670" s="4">
        <v>260126</v>
      </c>
      <c r="B670" s="23" t="s">
        <v>497</v>
      </c>
      <c r="C670" s="4" t="s">
        <v>635</v>
      </c>
      <c r="D670" s="4" t="s">
        <v>136</v>
      </c>
      <c r="F670" s="65">
        <v>1.3765577909912841</v>
      </c>
      <c r="G670" s="4">
        <v>2203</v>
      </c>
      <c r="H670" s="4">
        <v>2249</v>
      </c>
      <c r="I670" s="4">
        <v>2357</v>
      </c>
      <c r="J670" s="4">
        <v>2442</v>
      </c>
      <c r="K670" s="4">
        <v>2513</v>
      </c>
      <c r="L670" s="4">
        <v>2491</v>
      </c>
      <c r="M670" s="4">
        <v>2553</v>
      </c>
      <c r="N670" s="4">
        <v>2642</v>
      </c>
      <c r="O670" s="4">
        <v>2715</v>
      </c>
      <c r="P670" s="4">
        <v>2764</v>
      </c>
      <c r="Q670" s="4">
        <v>2846</v>
      </c>
      <c r="R670" s="4">
        <v>2927</v>
      </c>
      <c r="S670" s="4">
        <v>3011</v>
      </c>
      <c r="T670" s="4">
        <v>3012</v>
      </c>
      <c r="U670" s="4">
        <v>3098</v>
      </c>
      <c r="V670" s="4">
        <v>3156</v>
      </c>
      <c r="W670" s="4">
        <v>3180</v>
      </c>
      <c r="X670" s="98">
        <f t="shared" si="17"/>
        <v>2.1475580187045429E-2</v>
      </c>
      <c r="Y670" s="13">
        <f t="shared" si="18"/>
        <v>2.1363173957273718E-2</v>
      </c>
      <c r="Z670" s="13">
        <f t="shared" si="19"/>
        <v>1.9007304116865908E-2</v>
      </c>
      <c r="AA670" s="13">
        <f t="shared" si="20"/>
        <v>1.3765577909912841E-2</v>
      </c>
    </row>
    <row r="671" spans="1:27" x14ac:dyDescent="0.3">
      <c r="A671" s="4">
        <v>260126</v>
      </c>
      <c r="B671" s="23" t="s">
        <v>498</v>
      </c>
      <c r="C671" s="4" t="s">
        <v>635</v>
      </c>
      <c r="D671" s="4" t="s">
        <v>29</v>
      </c>
      <c r="F671" s="65">
        <v>3.8277650604155111</v>
      </c>
      <c r="G671" s="4">
        <v>164.85</v>
      </c>
      <c r="H671" s="4">
        <v>168.81</v>
      </c>
      <c r="I671" s="4">
        <v>175.06</v>
      </c>
      <c r="J671" s="4">
        <v>172.32</v>
      </c>
      <c r="K671" s="4">
        <v>178.89</v>
      </c>
      <c r="L671" s="4">
        <v>176.69</v>
      </c>
      <c r="M671" s="4">
        <v>167.6</v>
      </c>
      <c r="N671" s="4">
        <v>171.27</v>
      </c>
      <c r="O671" s="4">
        <v>158.07</v>
      </c>
      <c r="P671" s="4">
        <v>156.22</v>
      </c>
      <c r="Q671" s="4">
        <v>156.93</v>
      </c>
      <c r="R671" s="4">
        <v>162.72999999999999</v>
      </c>
      <c r="S671" s="4">
        <v>163.22999999999999</v>
      </c>
      <c r="T671" s="4">
        <v>169.87</v>
      </c>
      <c r="U671" s="4">
        <v>174.48</v>
      </c>
      <c r="V671" s="4">
        <v>182.64</v>
      </c>
      <c r="W671" s="4">
        <v>189.65</v>
      </c>
      <c r="X671" s="13">
        <f t="shared" si="17"/>
        <v>2.1357825726400659E-2</v>
      </c>
      <c r="Y671" s="13">
        <f t="shared" si="18"/>
        <v>2.6885838593051048E-2</v>
      </c>
      <c r="Z671" s="13">
        <f t="shared" si="19"/>
        <v>2.9702674881771252E-2</v>
      </c>
      <c r="AA671" s="13">
        <f t="shared" si="20"/>
        <v>3.8277650604155111E-2</v>
      </c>
    </row>
  </sheetData>
  <autoFilter ref="B2:W597" xr:uid="{00000000-0001-0000-00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596">
      <sortCondition descending="1" ref="C2:C597"/>
    </sortState>
  </autoFilter>
  <phoneticPr fontId="5" type="noConversion"/>
  <conditionalFormatting sqref="X353:AA484">
    <cfRule type="cellIs" dxfId="8" priority="1" operator="greaterThan">
      <formula>0.1</formula>
    </cfRule>
  </conditionalFormatting>
  <conditionalFormatting sqref="X485:AA671">
    <cfRule type="cellIs" dxfId="7" priority="2" operator="greaterThan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808"/>
  <sheetViews>
    <sheetView zoomScale="70" zoomScaleNormal="70" workbookViewId="0">
      <selection activeCell="D1" sqref="D1"/>
    </sheetView>
  </sheetViews>
  <sheetFormatPr defaultRowHeight="16.5" x14ac:dyDescent="0.3"/>
  <cols>
    <col min="1" max="1" width="9" style="4"/>
    <col min="2" max="2" width="12.5" style="23" bestFit="1" customWidth="1"/>
    <col min="3" max="3" width="12.625" style="4" bestFit="1" customWidth="1"/>
    <col min="4" max="4" width="34" style="4" bestFit="1" customWidth="1"/>
    <col min="5" max="5" width="9" customWidth="1"/>
    <col min="6" max="6" width="16.75" style="4" customWidth="1"/>
    <col min="7" max="11" width="9" customWidth="1"/>
    <col min="12" max="27" width="9.375" style="4" customWidth="1"/>
    <col min="28" max="16384" width="9" style="4"/>
  </cols>
  <sheetData>
    <row r="1" spans="1:27" x14ac:dyDescent="0.3">
      <c r="B1" s="4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x14ac:dyDescent="0.25">
      <c r="B2" s="9" t="s">
        <v>415</v>
      </c>
      <c r="C2" s="9" t="s">
        <v>1</v>
      </c>
      <c r="D2" s="9" t="s">
        <v>412</v>
      </c>
      <c r="E2" s="1" t="s">
        <v>3</v>
      </c>
      <c r="F2" s="9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  <c r="Q2" s="9" t="s">
        <v>15</v>
      </c>
      <c r="R2" s="9" t="s">
        <v>16</v>
      </c>
      <c r="S2" s="9" t="s">
        <v>17</v>
      </c>
      <c r="T2" s="9" t="s">
        <v>18</v>
      </c>
      <c r="U2" s="9" t="s">
        <v>19</v>
      </c>
      <c r="V2" s="9" t="s">
        <v>20</v>
      </c>
      <c r="W2" s="15" t="s">
        <v>21</v>
      </c>
      <c r="X2" s="39" t="s">
        <v>387</v>
      </c>
      <c r="Y2" s="40" t="s">
        <v>388</v>
      </c>
      <c r="Z2" s="40" t="s">
        <v>389</v>
      </c>
      <c r="AA2" s="40" t="s">
        <v>390</v>
      </c>
    </row>
    <row r="3" spans="1:27" customFormat="1" x14ac:dyDescent="0.3">
      <c r="A3">
        <v>260203</v>
      </c>
      <c r="B3" s="20" t="s">
        <v>1327</v>
      </c>
      <c r="C3" s="10" t="s">
        <v>23</v>
      </c>
      <c r="D3" s="10" t="s">
        <v>182</v>
      </c>
      <c r="E3" s="10" t="s">
        <v>806</v>
      </c>
      <c r="F3" s="99">
        <v>1180.3</v>
      </c>
      <c r="G3" s="49">
        <v>35.67</v>
      </c>
      <c r="H3" s="49">
        <v>35.409999999999997</v>
      </c>
      <c r="I3" s="49">
        <v>25</v>
      </c>
      <c r="J3" s="49">
        <v>-42.92</v>
      </c>
      <c r="K3" s="49">
        <v>18.86</v>
      </c>
      <c r="L3" s="49">
        <v>-25.09</v>
      </c>
      <c r="M3" s="131">
        <v>-19.95</v>
      </c>
      <c r="N3" s="49">
        <v>27</v>
      </c>
      <c r="O3" s="49">
        <v>-12.91</v>
      </c>
      <c r="P3" s="49">
        <v>-3.39</v>
      </c>
      <c r="Q3" s="49">
        <v>25.6</v>
      </c>
      <c r="R3" s="49">
        <v>-7.24</v>
      </c>
      <c r="S3" s="131">
        <v>19.600000000000001</v>
      </c>
      <c r="T3" s="49">
        <v>-5.75</v>
      </c>
      <c r="U3" s="49">
        <v>-30.57</v>
      </c>
      <c r="V3" s="49">
        <v>12.77</v>
      </c>
      <c r="W3" s="131">
        <v>-27.02</v>
      </c>
      <c r="X3" s="145">
        <v>-6.8267283772056708E-2</v>
      </c>
      <c r="Y3" s="100">
        <v>-1.743868363862155</v>
      </c>
      <c r="Z3" s="100">
        <v>-0.83514190317195336</v>
      </c>
      <c r="AA3" s="113">
        <v>11.802531645569619</v>
      </c>
    </row>
    <row r="4" spans="1:27" customFormat="1" x14ac:dyDescent="0.3">
      <c r="A4">
        <v>260203</v>
      </c>
      <c r="B4" s="20" t="s">
        <v>1244</v>
      </c>
      <c r="C4" s="10" t="s">
        <v>23</v>
      </c>
      <c r="D4" s="10" t="s">
        <v>459</v>
      </c>
      <c r="E4" s="10" t="s">
        <v>811</v>
      </c>
      <c r="F4" s="99">
        <v>239.2</v>
      </c>
      <c r="G4" s="49">
        <v>2.95</v>
      </c>
      <c r="H4" s="49">
        <v>-6.27</v>
      </c>
      <c r="I4" s="49">
        <v>-12.35</v>
      </c>
      <c r="J4" s="49">
        <v>-16.600000000000001</v>
      </c>
      <c r="K4" s="131">
        <v>-13.68</v>
      </c>
      <c r="L4" s="49">
        <v>-8.17</v>
      </c>
      <c r="M4" s="49">
        <v>-10.94</v>
      </c>
      <c r="N4" s="49">
        <v>-10.72</v>
      </c>
      <c r="O4" s="49">
        <v>-1.79</v>
      </c>
      <c r="P4" s="49">
        <v>-5.79</v>
      </c>
      <c r="Q4" s="49">
        <v>-4.88</v>
      </c>
      <c r="R4" s="49">
        <v>-4.9000000000000004</v>
      </c>
      <c r="S4" s="131">
        <v>-4.0599999999999996</v>
      </c>
      <c r="T4" s="131">
        <v>-10.16</v>
      </c>
      <c r="U4" s="49">
        <v>13.07</v>
      </c>
      <c r="V4" s="49">
        <v>8.39</v>
      </c>
      <c r="W4" s="131">
        <v>13.26</v>
      </c>
      <c r="X4" s="146">
        <v>0.22261844116148749</v>
      </c>
      <c r="Y4" s="100">
        <v>-0.74791666666666667</v>
      </c>
      <c r="Z4" s="100">
        <v>-2.1966942148760329</v>
      </c>
      <c r="AA4" s="113">
        <v>2.3922651933701662</v>
      </c>
    </row>
    <row r="5" spans="1:27" customFormat="1" x14ac:dyDescent="0.3">
      <c r="A5">
        <v>260203</v>
      </c>
      <c r="B5" s="20" t="s">
        <v>1325</v>
      </c>
      <c r="C5" s="10" t="s">
        <v>23</v>
      </c>
      <c r="D5" s="10" t="s">
        <v>151</v>
      </c>
      <c r="E5" s="10" t="s">
        <v>806</v>
      </c>
      <c r="F5" s="99">
        <v>63.8</v>
      </c>
      <c r="G5" s="49">
        <v>-4.5199999999999996</v>
      </c>
      <c r="H5" s="49">
        <v>-117.74</v>
      </c>
      <c r="I5" s="49">
        <v>-106.37</v>
      </c>
      <c r="J5" s="49">
        <v>-97.26</v>
      </c>
      <c r="K5" s="49">
        <v>0</v>
      </c>
      <c r="L5" s="49">
        <v>-65.5</v>
      </c>
      <c r="M5" s="49">
        <v>-51.8</v>
      </c>
      <c r="N5" s="49">
        <v>-15.39</v>
      </c>
      <c r="O5" s="131">
        <v>-105.06</v>
      </c>
      <c r="P5" s="49">
        <v>-63.37</v>
      </c>
      <c r="Q5" s="49">
        <v>-21.54</v>
      </c>
      <c r="R5" s="49">
        <v>8.15</v>
      </c>
      <c r="S5" s="49">
        <v>51.24</v>
      </c>
      <c r="T5" s="49">
        <v>35.67</v>
      </c>
      <c r="U5" s="131">
        <v>0.68</v>
      </c>
      <c r="V5" s="49">
        <v>-20.399999999999999</v>
      </c>
      <c r="W5" s="131">
        <v>94.08</v>
      </c>
      <c r="X5" s="145">
        <v>-3.880877742946709</v>
      </c>
      <c r="Y5" s="113">
        <v>0.30223068552774751</v>
      </c>
      <c r="Z5" s="100">
        <v>-0.29820346772508882</v>
      </c>
      <c r="AA5" s="113">
        <v>0.63759488019050425</v>
      </c>
    </row>
    <row r="6" spans="1:27" customFormat="1" x14ac:dyDescent="0.3">
      <c r="A6">
        <v>260203</v>
      </c>
      <c r="B6" s="20" t="s">
        <v>1237</v>
      </c>
      <c r="C6" s="10" t="s">
        <v>23</v>
      </c>
      <c r="D6" s="10" t="s">
        <v>153</v>
      </c>
      <c r="E6" s="10" t="s">
        <v>811</v>
      </c>
      <c r="F6" s="99">
        <v>60.8</v>
      </c>
      <c r="G6" s="49">
        <v>43.65</v>
      </c>
      <c r="H6" s="49">
        <v>53.69</v>
      </c>
      <c r="I6" s="49">
        <v>66.61</v>
      </c>
      <c r="J6" s="49">
        <v>67.150000000000006</v>
      </c>
      <c r="K6" s="49">
        <v>58.72</v>
      </c>
      <c r="L6" s="49">
        <v>67.17</v>
      </c>
      <c r="M6" s="49">
        <v>69.13</v>
      </c>
      <c r="N6" s="49">
        <v>79.150000000000006</v>
      </c>
      <c r="O6" s="49">
        <v>84.22</v>
      </c>
      <c r="P6" s="49">
        <v>96.46</v>
      </c>
      <c r="Q6" s="49">
        <v>88.05</v>
      </c>
      <c r="R6" s="49">
        <v>69.89</v>
      </c>
      <c r="S6" s="49">
        <v>40.94</v>
      </c>
      <c r="T6" s="49">
        <v>39.54</v>
      </c>
      <c r="U6" s="49">
        <v>-84.45</v>
      </c>
      <c r="V6" s="49">
        <v>60.58</v>
      </c>
      <c r="W6" s="131">
        <v>75.34</v>
      </c>
      <c r="X6" s="145">
        <v>-0.19272702647795761</v>
      </c>
      <c r="Y6" s="100">
        <v>-0.72351312809328072</v>
      </c>
      <c r="Z6" s="100">
        <v>-0.1412317961165048</v>
      </c>
      <c r="AA6" s="113">
        <v>0.60766649001943129</v>
      </c>
    </row>
    <row r="7" spans="1:27" customFormat="1" x14ac:dyDescent="0.3">
      <c r="A7">
        <v>260203</v>
      </c>
      <c r="B7" s="20" t="s">
        <v>1322</v>
      </c>
      <c r="C7" s="10" t="s">
        <v>23</v>
      </c>
      <c r="D7" s="10" t="s">
        <v>698</v>
      </c>
      <c r="E7" s="10" t="s">
        <v>806</v>
      </c>
      <c r="F7" s="99">
        <v>59.2</v>
      </c>
      <c r="G7" s="49">
        <v>16.41</v>
      </c>
      <c r="H7" s="49">
        <v>18.14</v>
      </c>
      <c r="I7" s="49">
        <v>23.34</v>
      </c>
      <c r="J7" s="49">
        <v>27.91</v>
      </c>
      <c r="K7" s="49">
        <v>22.07</v>
      </c>
      <c r="L7" s="49">
        <v>16.100000000000001</v>
      </c>
      <c r="M7" s="49">
        <v>8.2100000000000009</v>
      </c>
      <c r="N7" s="49">
        <v>-8.51</v>
      </c>
      <c r="O7" s="49">
        <v>-14.51</v>
      </c>
      <c r="P7" s="49">
        <v>-14.29</v>
      </c>
      <c r="Q7" s="131">
        <v>-0.86</v>
      </c>
      <c r="R7" s="49">
        <v>-7.62</v>
      </c>
      <c r="S7" s="49">
        <v>-4.9800000000000004</v>
      </c>
      <c r="T7" s="49">
        <v>-16.68</v>
      </c>
      <c r="U7" s="131">
        <v>-15.2</v>
      </c>
      <c r="V7" s="131">
        <v>-13.94</v>
      </c>
      <c r="W7" s="131">
        <v>-35.04</v>
      </c>
      <c r="X7" s="145">
        <v>8.6126126126126135E-2</v>
      </c>
      <c r="Y7" s="113">
        <v>0.4757796947577968</v>
      </c>
      <c r="Z7" s="113">
        <v>0.1420863309352518</v>
      </c>
      <c r="AA7" s="113">
        <v>0.59173228346456708</v>
      </c>
    </row>
    <row r="8" spans="1:27" customFormat="1" x14ac:dyDescent="0.3">
      <c r="A8">
        <v>260203</v>
      </c>
      <c r="B8" s="20" t="s">
        <v>1253</v>
      </c>
      <c r="C8" s="10" t="s">
        <v>23</v>
      </c>
      <c r="D8" s="10" t="s">
        <v>34</v>
      </c>
      <c r="E8" s="10" t="s">
        <v>806</v>
      </c>
      <c r="F8" s="99">
        <v>57.7</v>
      </c>
      <c r="G8" s="49">
        <v>2448</v>
      </c>
      <c r="H8" s="49">
        <v>-657</v>
      </c>
      <c r="I8" s="49">
        <v>-1061</v>
      </c>
      <c r="J8" s="49">
        <v>-126</v>
      </c>
      <c r="K8" s="49">
        <v>-1435</v>
      </c>
      <c r="L8" s="49">
        <v>1847</v>
      </c>
      <c r="M8" s="49">
        <v>621</v>
      </c>
      <c r="N8" s="49">
        <v>-1058</v>
      </c>
      <c r="O8" s="49">
        <v>2069</v>
      </c>
      <c r="P8" s="49">
        <v>1390</v>
      </c>
      <c r="Q8" s="131">
        <v>1415</v>
      </c>
      <c r="R8" s="131">
        <v>553</v>
      </c>
      <c r="S8" s="49">
        <v>-148</v>
      </c>
      <c r="T8" s="49">
        <v>920</v>
      </c>
      <c r="U8" s="49">
        <v>740</v>
      </c>
      <c r="V8" s="131">
        <v>1773</v>
      </c>
      <c r="W8" s="131">
        <v>1747</v>
      </c>
      <c r="X8" s="145">
        <v>-0.14641744548286609</v>
      </c>
      <c r="Y8" s="100">
        <v>-0.2463503649635036</v>
      </c>
      <c r="Z8" s="113">
        <v>0.59079903147699753</v>
      </c>
      <c r="AA8" s="113">
        <v>0.57686453576864527</v>
      </c>
    </row>
    <row r="9" spans="1:27" customFormat="1" x14ac:dyDescent="0.3">
      <c r="A9">
        <v>260203</v>
      </c>
      <c r="B9" s="20" t="s">
        <v>1300</v>
      </c>
      <c r="C9" s="10" t="s">
        <v>23</v>
      </c>
      <c r="D9" s="10" t="s">
        <v>710</v>
      </c>
      <c r="E9" s="10" t="s">
        <v>806</v>
      </c>
      <c r="F9" s="99">
        <v>28.4</v>
      </c>
      <c r="G9" s="49">
        <v>1610</v>
      </c>
      <c r="H9" s="49">
        <v>1613</v>
      </c>
      <c r="I9" s="49">
        <v>8110</v>
      </c>
      <c r="J9" s="49">
        <v>5462</v>
      </c>
      <c r="K9" s="49">
        <v>0</v>
      </c>
      <c r="L9" s="131">
        <v>3948</v>
      </c>
      <c r="M9" s="49">
        <v>3118</v>
      </c>
      <c r="N9" s="49">
        <v>4448</v>
      </c>
      <c r="O9" s="131">
        <v>2130</v>
      </c>
      <c r="P9" s="49">
        <v>1571</v>
      </c>
      <c r="Q9" s="49">
        <v>2161</v>
      </c>
      <c r="R9" s="49">
        <v>1140</v>
      </c>
      <c r="S9" s="49">
        <v>886</v>
      </c>
      <c r="T9" s="49">
        <v>452</v>
      </c>
      <c r="U9" s="49">
        <v>1973</v>
      </c>
      <c r="V9" s="131">
        <v>1733</v>
      </c>
      <c r="W9" s="131">
        <v>2321</v>
      </c>
      <c r="X9" s="145">
        <v>-0.194338311913859</v>
      </c>
      <c r="Y9" s="100">
        <v>-4.0525975425738332E-2</v>
      </c>
      <c r="Z9" s="113">
        <v>0.13322848798022921</v>
      </c>
      <c r="AA9" s="113">
        <v>0.284496431403648</v>
      </c>
    </row>
    <row r="10" spans="1:27" customFormat="1" x14ac:dyDescent="0.3">
      <c r="A10">
        <v>260203</v>
      </c>
      <c r="B10" s="20" t="s">
        <v>1229</v>
      </c>
      <c r="C10" s="10" t="s">
        <v>23</v>
      </c>
      <c r="D10" s="10" t="s">
        <v>445</v>
      </c>
      <c r="E10" s="10" t="s">
        <v>1230</v>
      </c>
      <c r="F10" s="99">
        <v>22.8995057660626</v>
      </c>
      <c r="G10" s="49">
        <v>1174</v>
      </c>
      <c r="H10" s="49">
        <v>951</v>
      </c>
      <c r="I10" s="49">
        <v>526</v>
      </c>
      <c r="J10" s="49">
        <v>-64</v>
      </c>
      <c r="K10" s="49">
        <v>-149</v>
      </c>
      <c r="L10" s="49">
        <v>-145</v>
      </c>
      <c r="M10" s="49">
        <v>-20</v>
      </c>
      <c r="N10" s="49">
        <v>224</v>
      </c>
      <c r="O10" s="49">
        <v>342</v>
      </c>
      <c r="P10" s="131">
        <v>36</v>
      </c>
      <c r="Q10" s="131">
        <v>269</v>
      </c>
      <c r="R10" s="131">
        <v>724</v>
      </c>
      <c r="S10" s="131">
        <v>1057</v>
      </c>
      <c r="T10" s="131">
        <v>806</v>
      </c>
      <c r="U10" s="49">
        <v>-98</v>
      </c>
      <c r="V10" s="131">
        <v>1270</v>
      </c>
      <c r="W10" s="149">
        <v>1752</v>
      </c>
      <c r="X10" s="146">
        <v>0.36912751677852351</v>
      </c>
      <c r="Y10" s="100">
        <v>-0.1285014005602241</v>
      </c>
      <c r="Z10" s="113">
        <v>0.2193652069104057</v>
      </c>
      <c r="AA10" s="150">
        <v>0.22899505766062611</v>
      </c>
    </row>
    <row r="11" spans="1:27" customFormat="1" x14ac:dyDescent="0.3">
      <c r="A11">
        <v>260203</v>
      </c>
      <c r="B11" s="20" t="s">
        <v>1233</v>
      </c>
      <c r="C11" s="10" t="s">
        <v>23</v>
      </c>
      <c r="D11" s="10" t="s">
        <v>1234</v>
      </c>
      <c r="E11" s="10" t="s">
        <v>811</v>
      </c>
      <c r="F11" s="99">
        <v>19.8</v>
      </c>
      <c r="G11" s="49">
        <v>59.98</v>
      </c>
      <c r="H11" s="49">
        <v>21.19</v>
      </c>
      <c r="I11" s="49">
        <v>-5.27</v>
      </c>
      <c r="J11" s="49">
        <v>-11.31</v>
      </c>
      <c r="K11" s="131">
        <v>116.62</v>
      </c>
      <c r="L11" s="49">
        <v>27.42</v>
      </c>
      <c r="M11" s="49">
        <v>-25.42</v>
      </c>
      <c r="N11" s="49">
        <v>-20.48</v>
      </c>
      <c r="O11" s="131">
        <v>137.25</v>
      </c>
      <c r="P11" s="49">
        <v>18.309999999999999</v>
      </c>
      <c r="Q11" s="131">
        <v>-6.9</v>
      </c>
      <c r="R11" s="49">
        <v>-19.38</v>
      </c>
      <c r="S11" s="49">
        <v>138.11000000000001</v>
      </c>
      <c r="T11" s="131">
        <v>36.25</v>
      </c>
      <c r="U11" s="49">
        <v>-23.19</v>
      </c>
      <c r="V11" s="49">
        <v>-15.41</v>
      </c>
      <c r="W11" s="131">
        <v>164.94</v>
      </c>
      <c r="X11" s="146">
        <v>0.13785154449054859</v>
      </c>
      <c r="Y11" s="100">
        <v>-0.11000810372771461</v>
      </c>
      <c r="Z11" s="100">
        <v>3.012368161468992E-2</v>
      </c>
      <c r="AA11" s="113">
        <v>0.1976281673541542</v>
      </c>
    </row>
    <row r="12" spans="1:27" customFormat="1" x14ac:dyDescent="0.3">
      <c r="A12">
        <v>260203</v>
      </c>
      <c r="B12" s="20" t="s">
        <v>1228</v>
      </c>
      <c r="C12" s="10" t="s">
        <v>23</v>
      </c>
      <c r="D12" s="10" t="s">
        <v>445</v>
      </c>
      <c r="E12" s="10" t="s">
        <v>806</v>
      </c>
      <c r="F12" s="99">
        <v>17.7</v>
      </c>
      <c r="G12" s="49">
        <v>68.87</v>
      </c>
      <c r="H12" s="49">
        <v>66.459999999999994</v>
      </c>
      <c r="I12" s="49">
        <v>67.849999999999994</v>
      </c>
      <c r="J12" s="49">
        <v>55.07</v>
      </c>
      <c r="K12" s="49">
        <v>24.93</v>
      </c>
      <c r="L12" s="49">
        <v>5.52</v>
      </c>
      <c r="M12" s="49">
        <v>5.04</v>
      </c>
      <c r="N12" s="49">
        <v>15.69</v>
      </c>
      <c r="O12" s="49">
        <v>14.94</v>
      </c>
      <c r="P12" s="131">
        <v>17.95</v>
      </c>
      <c r="Q12" s="131">
        <v>32.04</v>
      </c>
      <c r="R12" s="131">
        <v>24.46</v>
      </c>
      <c r="S12" s="49">
        <v>17.690000000000001</v>
      </c>
      <c r="T12" s="49">
        <v>9.77</v>
      </c>
      <c r="U12" s="49">
        <v>22.33</v>
      </c>
      <c r="V12" s="49">
        <v>29.23</v>
      </c>
      <c r="W12" s="131">
        <v>31.71</v>
      </c>
      <c r="X12" s="145">
        <v>-8.8777946602995317E-2</v>
      </c>
      <c r="Y12" s="100">
        <v>-0.1156503096712721</v>
      </c>
      <c r="Z12" s="100">
        <v>6.4242424242424212E-2</v>
      </c>
      <c r="AA12" s="113">
        <v>0.17742343710453051</v>
      </c>
    </row>
    <row r="13" spans="1:27" customFormat="1" x14ac:dyDescent="0.3">
      <c r="A13">
        <v>260203</v>
      </c>
      <c r="B13" s="20" t="s">
        <v>1320</v>
      </c>
      <c r="C13" s="10" t="s">
        <v>23</v>
      </c>
      <c r="D13" s="10" t="s">
        <v>1321</v>
      </c>
      <c r="E13" s="10" t="s">
        <v>817</v>
      </c>
      <c r="F13" s="99">
        <v>17.2</v>
      </c>
      <c r="G13" s="49">
        <v>343</v>
      </c>
      <c r="H13" s="49">
        <v>172</v>
      </c>
      <c r="I13" s="49">
        <v>233</v>
      </c>
      <c r="J13" s="49">
        <v>263</v>
      </c>
      <c r="K13" s="49">
        <v>237</v>
      </c>
      <c r="L13" s="49">
        <v>89</v>
      </c>
      <c r="M13" s="49">
        <v>78</v>
      </c>
      <c r="N13" s="49">
        <v>124</v>
      </c>
      <c r="O13" s="49">
        <v>141</v>
      </c>
      <c r="P13" s="49">
        <v>41</v>
      </c>
      <c r="Q13" s="49">
        <v>17</v>
      </c>
      <c r="R13" s="49">
        <v>25</v>
      </c>
      <c r="S13" s="49">
        <v>69</v>
      </c>
      <c r="T13" s="49">
        <v>-39</v>
      </c>
      <c r="U13" s="49">
        <v>17</v>
      </c>
      <c r="V13" s="49">
        <v>11</v>
      </c>
      <c r="W13" s="131">
        <v>79</v>
      </c>
      <c r="X13" s="145">
        <v>-0.52631578947368429</v>
      </c>
      <c r="Y13" s="100">
        <v>0</v>
      </c>
      <c r="Z13" s="100">
        <v>-0.19444444444444439</v>
      </c>
      <c r="AA13" s="113">
        <v>0.1724137931034482</v>
      </c>
    </row>
    <row r="14" spans="1:27" customFormat="1" x14ac:dyDescent="0.3">
      <c r="A14">
        <v>260203</v>
      </c>
      <c r="B14" s="20" t="s">
        <v>1256</v>
      </c>
      <c r="C14" s="10" t="s">
        <v>23</v>
      </c>
      <c r="D14" s="10" t="s">
        <v>24</v>
      </c>
      <c r="E14" s="10" t="s">
        <v>806</v>
      </c>
      <c r="F14" s="99">
        <v>15.3</v>
      </c>
      <c r="G14" s="49">
        <v>-17.829999999999998</v>
      </c>
      <c r="H14" s="49">
        <v>-48.09</v>
      </c>
      <c r="I14" s="49">
        <v>-37.57</v>
      </c>
      <c r="J14" s="49">
        <v>-25.58</v>
      </c>
      <c r="K14" s="49">
        <v>-9.99</v>
      </c>
      <c r="L14" s="49">
        <v>-43.12</v>
      </c>
      <c r="M14" s="49">
        <v>-39.72</v>
      </c>
      <c r="N14" s="49">
        <v>-29.15</v>
      </c>
      <c r="O14" s="49">
        <v>-5.24</v>
      </c>
      <c r="P14" s="49">
        <v>-47.63</v>
      </c>
      <c r="Q14" s="49">
        <v>-28.83</v>
      </c>
      <c r="R14" s="49">
        <v>-23.64</v>
      </c>
      <c r="S14" s="49">
        <v>-10.9</v>
      </c>
      <c r="T14" s="49">
        <v>-43.16</v>
      </c>
      <c r="U14" s="49">
        <v>-36.549999999999997</v>
      </c>
      <c r="V14" s="131">
        <v>-35.93</v>
      </c>
      <c r="W14" s="131">
        <v>-30.26</v>
      </c>
      <c r="X14" s="145">
        <v>-4.0270270270270303E-2</v>
      </c>
      <c r="Y14" s="100">
        <v>7.2467849432084952E-2</v>
      </c>
      <c r="Z14" s="113">
        <v>0.1075711159737418</v>
      </c>
      <c r="AA14" s="113">
        <v>0.15299510036352151</v>
      </c>
    </row>
    <row r="15" spans="1:27" customFormat="1" x14ac:dyDescent="0.3">
      <c r="A15">
        <v>260203</v>
      </c>
      <c r="B15" s="20" t="s">
        <v>1226</v>
      </c>
      <c r="C15" s="10" t="s">
        <v>23</v>
      </c>
      <c r="D15" s="10" t="s">
        <v>443</v>
      </c>
      <c r="E15" s="10" t="s">
        <v>811</v>
      </c>
      <c r="F15" s="99">
        <v>11.4</v>
      </c>
      <c r="G15" s="49">
        <v>355</v>
      </c>
      <c r="H15" s="49">
        <v>404</v>
      </c>
      <c r="I15" s="49">
        <v>386</v>
      </c>
      <c r="J15" s="49">
        <v>360</v>
      </c>
      <c r="K15" s="49">
        <v>336</v>
      </c>
      <c r="L15" s="49">
        <v>335</v>
      </c>
      <c r="M15" s="49">
        <v>355</v>
      </c>
      <c r="N15" s="49">
        <v>299</v>
      </c>
      <c r="O15" s="49">
        <v>268</v>
      </c>
      <c r="P15" s="49">
        <v>338</v>
      </c>
      <c r="Q15" s="49">
        <v>369</v>
      </c>
      <c r="R15" s="49">
        <v>319</v>
      </c>
      <c r="S15" s="49">
        <v>276</v>
      </c>
      <c r="T15" s="49">
        <v>359</v>
      </c>
      <c r="U15" s="49">
        <v>319</v>
      </c>
      <c r="V15" s="131">
        <v>558</v>
      </c>
      <c r="W15" s="131">
        <v>449</v>
      </c>
      <c r="X15" s="145">
        <v>1.6129032258064498E-2</v>
      </c>
      <c r="Y15" s="100">
        <v>-3.7792894935752108E-2</v>
      </c>
      <c r="Z15" s="113">
        <v>0.18774548311076189</v>
      </c>
      <c r="AA15" s="113">
        <v>0.11441798941798929</v>
      </c>
    </row>
    <row r="16" spans="1:27" customFormat="1" x14ac:dyDescent="0.3">
      <c r="A16">
        <v>260203</v>
      </c>
      <c r="B16" s="20" t="s">
        <v>1224</v>
      </c>
      <c r="C16" s="10" t="s">
        <v>23</v>
      </c>
      <c r="D16" s="10" t="s">
        <v>430</v>
      </c>
      <c r="E16" s="10" t="s">
        <v>811</v>
      </c>
      <c r="F16" s="99">
        <v>11.4</v>
      </c>
      <c r="G16" s="49">
        <v>51.05</v>
      </c>
      <c r="H16" s="49">
        <v>89.78</v>
      </c>
      <c r="I16" s="49">
        <v>165.21</v>
      </c>
      <c r="J16" s="49">
        <v>220.12</v>
      </c>
      <c r="K16" s="131">
        <v>215.18</v>
      </c>
      <c r="L16" s="49">
        <v>99.08</v>
      </c>
      <c r="M16" s="49">
        <v>226.76</v>
      </c>
      <c r="N16" s="49">
        <v>172.51</v>
      </c>
      <c r="O16" s="131">
        <v>371.46</v>
      </c>
      <c r="P16" s="131">
        <v>378.31</v>
      </c>
      <c r="Q16" s="49">
        <v>288.49</v>
      </c>
      <c r="R16" s="131">
        <v>509.2</v>
      </c>
      <c r="S16" s="49">
        <v>368.62</v>
      </c>
      <c r="T16" s="49">
        <v>146.78</v>
      </c>
      <c r="U16" s="49">
        <v>228.39</v>
      </c>
      <c r="V16" s="49">
        <v>182.26</v>
      </c>
      <c r="W16" s="131">
        <v>474.3</v>
      </c>
      <c r="X16" s="145">
        <v>-0.14989447242687531</v>
      </c>
      <c r="Y16" s="100">
        <v>-4.576990152997884E-2</v>
      </c>
      <c r="Z16" s="100">
        <v>-0.26092786055754641</v>
      </c>
      <c r="AA16" s="113">
        <v>0.1141191080395227</v>
      </c>
    </row>
    <row r="17" spans="1:27" customFormat="1" x14ac:dyDescent="0.3">
      <c r="A17">
        <v>260203</v>
      </c>
      <c r="B17" s="20" t="s">
        <v>1238</v>
      </c>
      <c r="C17" s="10" t="s">
        <v>23</v>
      </c>
      <c r="D17" s="10" t="s">
        <v>29</v>
      </c>
      <c r="E17" s="10" t="s">
        <v>806</v>
      </c>
      <c r="F17" s="99">
        <v>10</v>
      </c>
      <c r="G17" s="49">
        <v>20.72</v>
      </c>
      <c r="H17" s="49">
        <v>17.79</v>
      </c>
      <c r="I17" s="49">
        <v>27.29</v>
      </c>
      <c r="J17" s="49">
        <v>27.75</v>
      </c>
      <c r="K17" s="49">
        <v>29.51</v>
      </c>
      <c r="L17" s="49">
        <v>24.95</v>
      </c>
      <c r="M17" s="49">
        <v>18.11</v>
      </c>
      <c r="N17" s="49">
        <v>12.6</v>
      </c>
      <c r="O17" s="49">
        <v>11.62</v>
      </c>
      <c r="P17" s="49">
        <v>12.41</v>
      </c>
      <c r="Q17" s="49">
        <v>9.56</v>
      </c>
      <c r="R17" s="49">
        <v>10.75</v>
      </c>
      <c r="S17" s="49">
        <v>12.24</v>
      </c>
      <c r="T17" s="49">
        <v>10.45</v>
      </c>
      <c r="U17" s="49">
        <v>11.26</v>
      </c>
      <c r="V17" s="49">
        <v>13.61</v>
      </c>
      <c r="W17" s="49">
        <v>16.989999999999998</v>
      </c>
      <c r="X17" s="145">
        <v>-4.3594306049822062E-2</v>
      </c>
      <c r="Y17" s="100">
        <v>3.9534883720930392E-2</v>
      </c>
      <c r="Z17" s="100">
        <v>6.3982102908277438E-2</v>
      </c>
      <c r="AA17" s="100">
        <v>9.9873843566021803E-2</v>
      </c>
    </row>
    <row r="18" spans="1:27" customFormat="1" x14ac:dyDescent="0.3">
      <c r="A18">
        <v>260203</v>
      </c>
      <c r="B18" s="20" t="s">
        <v>1326</v>
      </c>
      <c r="C18" s="10" t="s">
        <v>23</v>
      </c>
      <c r="D18" s="10" t="s">
        <v>810</v>
      </c>
      <c r="E18" s="10" t="s">
        <v>817</v>
      </c>
      <c r="F18" s="38">
        <v>8.8000000000000007</v>
      </c>
      <c r="G18" s="49">
        <v>61.34</v>
      </c>
      <c r="H18" s="49">
        <v>32.75</v>
      </c>
      <c r="I18" s="49">
        <v>87.1</v>
      </c>
      <c r="J18" s="49">
        <v>76.42</v>
      </c>
      <c r="K18" s="131">
        <v>110.98</v>
      </c>
      <c r="L18" s="131">
        <v>111.22</v>
      </c>
      <c r="M18" s="49">
        <v>70.819999999999993</v>
      </c>
      <c r="N18" s="49">
        <v>102.24</v>
      </c>
      <c r="O18" s="49">
        <v>101</v>
      </c>
      <c r="P18" s="49">
        <v>0</v>
      </c>
      <c r="Q18" s="49">
        <v>71.41</v>
      </c>
      <c r="R18" s="49">
        <v>83</v>
      </c>
      <c r="S18" s="49">
        <v>82.48</v>
      </c>
      <c r="T18" s="131">
        <v>108.04</v>
      </c>
      <c r="U18" s="49">
        <v>88.25</v>
      </c>
      <c r="V18" s="49">
        <v>100.85</v>
      </c>
      <c r="W18" s="49">
        <v>115.8</v>
      </c>
      <c r="X18" s="146">
        <v>0.45607666005318942</v>
      </c>
      <c r="Y18" s="100">
        <v>4.8821500014495589E-2</v>
      </c>
      <c r="Z18" s="100">
        <v>4.9340741355004658E-2</v>
      </c>
      <c r="AA18" s="100">
        <v>8.7771982508824564E-2</v>
      </c>
    </row>
    <row r="19" spans="1:27" customFormat="1" x14ac:dyDescent="0.3">
      <c r="A19">
        <v>260203</v>
      </c>
      <c r="B19" s="20" t="s">
        <v>1303</v>
      </c>
      <c r="C19" s="10" t="s">
        <v>23</v>
      </c>
      <c r="D19" s="10" t="s">
        <v>136</v>
      </c>
      <c r="E19" s="10" t="s">
        <v>806</v>
      </c>
      <c r="F19" s="38">
        <v>8.6999999999999993</v>
      </c>
      <c r="G19" s="49">
        <v>504</v>
      </c>
      <c r="H19" s="49">
        <v>384</v>
      </c>
      <c r="I19" s="49">
        <v>229</v>
      </c>
      <c r="J19" s="49">
        <v>229</v>
      </c>
      <c r="K19" s="49">
        <v>392</v>
      </c>
      <c r="L19" s="49">
        <v>283</v>
      </c>
      <c r="M19" s="49">
        <v>286</v>
      </c>
      <c r="N19" s="49">
        <v>249</v>
      </c>
      <c r="O19" s="49">
        <v>375</v>
      </c>
      <c r="P19" s="49">
        <v>323</v>
      </c>
      <c r="Q19" s="49">
        <v>304</v>
      </c>
      <c r="R19" s="49">
        <v>254</v>
      </c>
      <c r="S19" s="49">
        <v>357</v>
      </c>
      <c r="T19" s="49">
        <v>216</v>
      </c>
      <c r="U19" s="49">
        <v>253</v>
      </c>
      <c r="V19" s="49">
        <v>289</v>
      </c>
      <c r="W19" s="49">
        <v>454</v>
      </c>
      <c r="X19" s="145">
        <v>-8.6429725363489474E-2</v>
      </c>
      <c r="Y19" s="100">
        <v>-4.5092838196286511E-2</v>
      </c>
      <c r="Z19" s="100">
        <v>3.240740740740744E-2</v>
      </c>
      <c r="AA19" s="100">
        <v>8.6995515695067249E-2</v>
      </c>
    </row>
    <row r="20" spans="1:27" customFormat="1" x14ac:dyDescent="0.3">
      <c r="A20">
        <v>260203</v>
      </c>
      <c r="B20" s="20" t="s">
        <v>1269</v>
      </c>
      <c r="C20" s="10" t="s">
        <v>23</v>
      </c>
      <c r="D20" s="10" t="s">
        <v>136</v>
      </c>
      <c r="E20" s="10" t="s">
        <v>806</v>
      </c>
      <c r="F20" s="38">
        <v>8.1999999999999993</v>
      </c>
      <c r="G20" s="49">
        <v>2048</v>
      </c>
      <c r="H20" s="49">
        <v>2001</v>
      </c>
      <c r="I20" s="49">
        <v>1420</v>
      </c>
      <c r="J20" s="49">
        <v>1137</v>
      </c>
      <c r="K20" s="49">
        <v>2147</v>
      </c>
      <c r="L20" s="49">
        <v>1987</v>
      </c>
      <c r="M20" s="131">
        <v>2431</v>
      </c>
      <c r="N20" s="131">
        <v>2442</v>
      </c>
      <c r="O20" s="49">
        <v>2588</v>
      </c>
      <c r="P20" s="49">
        <v>2768</v>
      </c>
      <c r="Q20" s="49">
        <v>2774</v>
      </c>
      <c r="R20" s="49">
        <v>2908</v>
      </c>
      <c r="S20" s="49">
        <v>3041</v>
      </c>
      <c r="T20" s="49">
        <v>1828</v>
      </c>
      <c r="U20" s="49">
        <v>3331</v>
      </c>
      <c r="V20" s="131">
        <v>4167</v>
      </c>
      <c r="W20" s="49">
        <v>4051</v>
      </c>
      <c r="X20" s="145">
        <v>-8.1803150291532511E-2</v>
      </c>
      <c r="Y20" s="100">
        <v>5.2791204625153958E-2</v>
      </c>
      <c r="Z20" s="113">
        <v>0.113341735685992</v>
      </c>
      <c r="AA20" s="100">
        <v>8.1668957710034684E-2</v>
      </c>
    </row>
    <row r="21" spans="1:27" customFormat="1" x14ac:dyDescent="0.3">
      <c r="A21">
        <v>260203</v>
      </c>
      <c r="B21" s="20" t="s">
        <v>1267</v>
      </c>
      <c r="C21" s="10" t="s">
        <v>23</v>
      </c>
      <c r="D21" s="10" t="s">
        <v>1268</v>
      </c>
      <c r="E21" s="10" t="s">
        <v>806</v>
      </c>
      <c r="F21" s="38">
        <v>7.9</v>
      </c>
      <c r="G21" s="49">
        <v>2839</v>
      </c>
      <c r="H21" s="49">
        <v>2905</v>
      </c>
      <c r="I21" s="49">
        <v>3571</v>
      </c>
      <c r="J21" s="49">
        <v>3560</v>
      </c>
      <c r="K21" s="49">
        <v>2451</v>
      </c>
      <c r="L21" s="49">
        <v>2910</v>
      </c>
      <c r="M21" s="49">
        <v>3852</v>
      </c>
      <c r="N21" s="49">
        <v>4122</v>
      </c>
      <c r="O21" s="49">
        <v>3027</v>
      </c>
      <c r="P21" s="49">
        <v>2915</v>
      </c>
      <c r="Q21" s="49">
        <v>4155</v>
      </c>
      <c r="R21" s="49">
        <v>4143</v>
      </c>
      <c r="S21" s="49">
        <v>1521</v>
      </c>
      <c r="T21" s="49">
        <v>2834</v>
      </c>
      <c r="U21" s="49">
        <v>3975</v>
      </c>
      <c r="V21" s="49">
        <v>4046</v>
      </c>
      <c r="W21" s="49">
        <v>2503</v>
      </c>
      <c r="X21" s="145">
        <v>-6.3609235118580187E-3</v>
      </c>
      <c r="Y21" s="100">
        <v>-1.422587528649333E-2</v>
      </c>
      <c r="Z21" s="100">
        <v>-7.7767978834282214E-3</v>
      </c>
      <c r="AA21" s="100">
        <v>7.9347123464770464E-2</v>
      </c>
    </row>
    <row r="22" spans="1:27" customFormat="1" x14ac:dyDescent="0.3">
      <c r="A22">
        <v>260203</v>
      </c>
      <c r="B22" s="20" t="s">
        <v>1276</v>
      </c>
      <c r="C22" s="10" t="s">
        <v>23</v>
      </c>
      <c r="D22" s="10" t="s">
        <v>29</v>
      </c>
      <c r="E22" s="10" t="s">
        <v>806</v>
      </c>
      <c r="F22" s="38">
        <v>6.9</v>
      </c>
      <c r="G22" s="49">
        <v>8.58</v>
      </c>
      <c r="H22" s="49">
        <v>26.76</v>
      </c>
      <c r="I22" s="49">
        <v>19.32</v>
      </c>
      <c r="J22" s="49">
        <v>22.69</v>
      </c>
      <c r="K22" s="131">
        <v>19</v>
      </c>
      <c r="L22" s="49">
        <v>19.59</v>
      </c>
      <c r="M22" s="49">
        <v>19.489999999999998</v>
      </c>
      <c r="N22" s="49">
        <v>19.309999999999999</v>
      </c>
      <c r="O22" s="49">
        <v>14.1</v>
      </c>
      <c r="P22" s="49">
        <v>13.13</v>
      </c>
      <c r="Q22" s="49">
        <v>13.58</v>
      </c>
      <c r="R22" s="49">
        <v>10.43</v>
      </c>
      <c r="S22" s="131">
        <v>20.010000000000002</v>
      </c>
      <c r="T22" s="131">
        <v>23.78</v>
      </c>
      <c r="U22" s="131">
        <v>22.83</v>
      </c>
      <c r="V22" s="131">
        <v>25.75</v>
      </c>
      <c r="W22" s="49">
        <v>26.36</v>
      </c>
      <c r="X22" s="146">
        <v>0.1863517060367452</v>
      </c>
      <c r="Y22" s="113">
        <v>0.1364306784660767</v>
      </c>
      <c r="Z22" s="113">
        <v>0.19883192731992219</v>
      </c>
      <c r="AA22" s="100">
        <v>6.8745263613727348E-2</v>
      </c>
    </row>
    <row r="23" spans="1:27" customFormat="1" x14ac:dyDescent="0.3">
      <c r="A23">
        <v>260203</v>
      </c>
      <c r="B23" s="20" t="s">
        <v>1250</v>
      </c>
      <c r="C23" s="10" t="s">
        <v>23</v>
      </c>
      <c r="D23" s="10" t="s">
        <v>810</v>
      </c>
      <c r="E23" s="10" t="s">
        <v>806</v>
      </c>
      <c r="F23" s="38">
        <v>6.8</v>
      </c>
      <c r="G23" s="49">
        <v>963</v>
      </c>
      <c r="H23" s="49">
        <v>961</v>
      </c>
      <c r="I23" s="49">
        <v>1006</v>
      </c>
      <c r="J23" s="49">
        <v>1549</v>
      </c>
      <c r="K23" s="49">
        <v>919</v>
      </c>
      <c r="L23" s="49">
        <v>1062</v>
      </c>
      <c r="M23" s="49">
        <v>1030</v>
      </c>
      <c r="N23" s="49">
        <v>995</v>
      </c>
      <c r="O23" s="49">
        <v>1213</v>
      </c>
      <c r="P23" s="49">
        <v>1094</v>
      </c>
      <c r="Q23" s="49">
        <v>1074</v>
      </c>
      <c r="R23" s="49">
        <v>1126</v>
      </c>
      <c r="S23" s="49">
        <v>1172</v>
      </c>
      <c r="T23" s="49">
        <v>1180</v>
      </c>
      <c r="U23" s="49">
        <v>1123</v>
      </c>
      <c r="V23" s="49">
        <v>1131</v>
      </c>
      <c r="W23" s="49">
        <v>1483</v>
      </c>
      <c r="X23" s="145">
        <v>1.9256605463501941E-2</v>
      </c>
      <c r="Y23" s="100">
        <v>1.076449912126543E-2</v>
      </c>
      <c r="Z23" s="100">
        <v>1.0867202782003369E-3</v>
      </c>
      <c r="AA23" s="100">
        <v>6.7520625271385137E-2</v>
      </c>
    </row>
    <row r="24" spans="1:27" customFormat="1" x14ac:dyDescent="0.3">
      <c r="A24">
        <v>260203</v>
      </c>
      <c r="B24" s="20" t="s">
        <v>1270</v>
      </c>
      <c r="C24" s="10" t="s">
        <v>23</v>
      </c>
      <c r="D24" s="10" t="s">
        <v>136</v>
      </c>
      <c r="E24" s="10" t="s">
        <v>806</v>
      </c>
      <c r="F24" s="38">
        <v>6.3</v>
      </c>
      <c r="G24" s="49">
        <v>213.3</v>
      </c>
      <c r="H24" s="49">
        <v>138.5</v>
      </c>
      <c r="I24" s="49">
        <v>36.700000000000003</v>
      </c>
      <c r="J24" s="49">
        <v>9</v>
      </c>
      <c r="K24" s="49">
        <v>-6.1</v>
      </c>
      <c r="L24" s="49">
        <v>-9</v>
      </c>
      <c r="M24" s="49">
        <v>-82.1</v>
      </c>
      <c r="N24" s="49">
        <v>7.6</v>
      </c>
      <c r="O24" s="49">
        <v>158.69999999999999</v>
      </c>
      <c r="P24" s="131">
        <v>153.80000000000001</v>
      </c>
      <c r="Q24" s="131">
        <v>59.9</v>
      </c>
      <c r="R24" s="131">
        <v>138.19999999999999</v>
      </c>
      <c r="S24" s="131">
        <v>220</v>
      </c>
      <c r="T24" s="49">
        <v>168.6</v>
      </c>
      <c r="U24" s="131">
        <v>207.4</v>
      </c>
      <c r="V24" s="131">
        <v>238.7</v>
      </c>
      <c r="W24" s="49">
        <v>272.3</v>
      </c>
      <c r="X24" s="145">
        <v>2.5878650113656091E-2</v>
      </c>
      <c r="Y24" s="113">
        <v>0.25140617010397159</v>
      </c>
      <c r="Z24" s="113">
        <v>0.13688368292018521</v>
      </c>
      <c r="AA24" s="100">
        <v>6.2657242122918344E-2</v>
      </c>
    </row>
    <row r="25" spans="1:27" customFormat="1" x14ac:dyDescent="0.3">
      <c r="A25">
        <v>260203</v>
      </c>
      <c r="B25" s="20" t="s">
        <v>1245</v>
      </c>
      <c r="C25" s="10" t="s">
        <v>23</v>
      </c>
      <c r="D25" s="10" t="s">
        <v>177</v>
      </c>
      <c r="E25" s="10" t="s">
        <v>806</v>
      </c>
      <c r="F25" s="38">
        <v>6</v>
      </c>
      <c r="G25" s="49">
        <v>75.44</v>
      </c>
      <c r="H25" s="49">
        <v>50.05</v>
      </c>
      <c r="I25" s="49">
        <v>43.69</v>
      </c>
      <c r="J25" s="49">
        <v>47.64</v>
      </c>
      <c r="K25" s="49">
        <v>57.99</v>
      </c>
      <c r="L25" s="49">
        <v>31.89</v>
      </c>
      <c r="M25" s="49">
        <v>54.17</v>
      </c>
      <c r="N25" s="49">
        <v>42.55</v>
      </c>
      <c r="O25" s="49">
        <v>51.79</v>
      </c>
      <c r="P25" s="131">
        <v>53.9</v>
      </c>
      <c r="Q25" s="49">
        <v>64.400000000000006</v>
      </c>
      <c r="R25" s="49">
        <v>49.39</v>
      </c>
      <c r="S25" s="131">
        <v>103.58</v>
      </c>
      <c r="T25" s="49">
        <v>52.58</v>
      </c>
      <c r="U25" s="49">
        <v>76.48</v>
      </c>
      <c r="V25" s="131">
        <v>90.95</v>
      </c>
      <c r="W25" s="49">
        <v>122.91</v>
      </c>
      <c r="X25" s="145">
        <v>-4.8660006635454778E-3</v>
      </c>
      <c r="Y25" s="100">
        <v>4.4749027597703162E-2</v>
      </c>
      <c r="Z25" s="113">
        <v>0.1473602099067477</v>
      </c>
      <c r="AA25" s="100">
        <v>5.9736085787570607E-2</v>
      </c>
    </row>
    <row r="26" spans="1:27" customFormat="1" x14ac:dyDescent="0.3">
      <c r="A26">
        <v>260203</v>
      </c>
      <c r="B26" s="20" t="s">
        <v>1265</v>
      </c>
      <c r="C26" s="10" t="s">
        <v>23</v>
      </c>
      <c r="D26" s="10" t="s">
        <v>144</v>
      </c>
      <c r="E26" s="10" t="s">
        <v>821</v>
      </c>
      <c r="F26" s="38">
        <v>5.8</v>
      </c>
      <c r="G26" s="49">
        <v>133.6</v>
      </c>
      <c r="H26" s="49">
        <v>125.66</v>
      </c>
      <c r="I26" s="49">
        <v>111.59</v>
      </c>
      <c r="J26" s="49">
        <v>103.77</v>
      </c>
      <c r="K26" s="49">
        <v>140.72</v>
      </c>
      <c r="L26" s="49">
        <v>107.38</v>
      </c>
      <c r="M26" s="49">
        <v>108.39</v>
      </c>
      <c r="N26" s="49">
        <v>124.2</v>
      </c>
      <c r="O26" s="49">
        <v>132.69999999999999</v>
      </c>
      <c r="P26" s="49">
        <v>118.97</v>
      </c>
      <c r="Q26" s="49">
        <v>112.1</v>
      </c>
      <c r="R26" s="49">
        <v>142.07</v>
      </c>
      <c r="S26" s="49">
        <v>151.28</v>
      </c>
      <c r="T26" s="49">
        <v>123</v>
      </c>
      <c r="U26" s="49">
        <v>138.74</v>
      </c>
      <c r="V26" s="49">
        <v>155.69999999999999</v>
      </c>
      <c r="W26" s="49">
        <v>184.07</v>
      </c>
      <c r="X26" s="145">
        <v>7.684680218145834E-3</v>
      </c>
      <c r="Y26" s="100">
        <v>5.041158103888721E-2</v>
      </c>
      <c r="Z26" s="100">
        <v>2.4554576735304149E-2</v>
      </c>
      <c r="AA26" s="100">
        <v>5.7655788437192212E-2</v>
      </c>
    </row>
    <row r="27" spans="1:27" customFormat="1" x14ac:dyDescent="0.3">
      <c r="A27">
        <v>260203</v>
      </c>
      <c r="B27" s="20" t="s">
        <v>1246</v>
      </c>
      <c r="C27" s="10" t="s">
        <v>23</v>
      </c>
      <c r="D27" s="10" t="s">
        <v>95</v>
      </c>
      <c r="E27" s="10" t="s">
        <v>806</v>
      </c>
      <c r="F27" s="38">
        <v>5.6</v>
      </c>
      <c r="G27" s="49">
        <v>137.82</v>
      </c>
      <c r="H27" s="49">
        <v>106.99</v>
      </c>
      <c r="I27" s="49">
        <v>88.41</v>
      </c>
      <c r="J27" s="49">
        <v>78.73</v>
      </c>
      <c r="K27" s="49">
        <v>71.39</v>
      </c>
      <c r="L27" s="49">
        <v>68.31</v>
      </c>
      <c r="M27" s="49">
        <v>76.7</v>
      </c>
      <c r="N27" s="49">
        <v>82.16</v>
      </c>
      <c r="O27" s="49">
        <v>76.430000000000007</v>
      </c>
      <c r="P27" s="49">
        <v>77.64</v>
      </c>
      <c r="Q27" s="49">
        <v>86.65</v>
      </c>
      <c r="R27" s="49">
        <v>93.18</v>
      </c>
      <c r="S27" s="131">
        <v>110.14</v>
      </c>
      <c r="T27" s="49">
        <v>86.54</v>
      </c>
      <c r="U27" s="49">
        <v>79.77</v>
      </c>
      <c r="V27" s="49">
        <v>101.82</v>
      </c>
      <c r="W27" s="49">
        <v>131.5</v>
      </c>
      <c r="X27" s="145">
        <v>2.4210440412393511E-2</v>
      </c>
      <c r="Y27" s="100">
        <v>-1.82730870362009E-2</v>
      </c>
      <c r="Z27" s="100">
        <v>2.337472607742885E-2</v>
      </c>
      <c r="AA27" s="100">
        <v>5.6467602506146353E-2</v>
      </c>
    </row>
    <row r="28" spans="1:27" customFormat="1" x14ac:dyDescent="0.3">
      <c r="A28">
        <v>260203</v>
      </c>
      <c r="B28" s="20" t="s">
        <v>1266</v>
      </c>
      <c r="C28" s="10" t="s">
        <v>23</v>
      </c>
      <c r="D28" s="10" t="s">
        <v>65</v>
      </c>
      <c r="E28" s="10" t="s">
        <v>806</v>
      </c>
      <c r="F28" s="38">
        <v>4.9000000000000004</v>
      </c>
      <c r="G28" s="49">
        <v>22.73</v>
      </c>
      <c r="H28" s="49">
        <v>19.7</v>
      </c>
      <c r="I28" s="49">
        <v>21.32</v>
      </c>
      <c r="J28" s="49">
        <v>26.62</v>
      </c>
      <c r="K28" s="49">
        <v>31</v>
      </c>
      <c r="L28" s="49">
        <v>24.17</v>
      </c>
      <c r="M28" s="49">
        <v>27.77</v>
      </c>
      <c r="N28" s="49">
        <v>31.98</v>
      </c>
      <c r="O28" s="49">
        <v>34.15</v>
      </c>
      <c r="P28" s="49">
        <v>28.87</v>
      </c>
      <c r="Q28" s="49">
        <v>28.72</v>
      </c>
      <c r="R28" s="49">
        <v>28.9</v>
      </c>
      <c r="S28" s="49">
        <v>29.25</v>
      </c>
      <c r="T28" s="49">
        <v>23.18</v>
      </c>
      <c r="U28" s="49">
        <v>23</v>
      </c>
      <c r="V28" s="49">
        <v>25.22</v>
      </c>
      <c r="W28" s="49">
        <v>34.200000000000003</v>
      </c>
      <c r="X28" s="145">
        <v>-4.9161914636253627E-2</v>
      </c>
      <c r="Y28" s="100">
        <v>-5.1976374375283907E-2</v>
      </c>
      <c r="Z28" s="100">
        <v>-3.527269241828801E-2</v>
      </c>
      <c r="AA28" s="100">
        <v>4.9180327868852292E-2</v>
      </c>
    </row>
    <row r="29" spans="1:27" customFormat="1" x14ac:dyDescent="0.3">
      <c r="A29">
        <v>260203</v>
      </c>
      <c r="B29" s="20" t="s">
        <v>1304</v>
      </c>
      <c r="C29" s="10" t="s">
        <v>23</v>
      </c>
      <c r="D29" s="10" t="s">
        <v>1263</v>
      </c>
      <c r="E29" s="10" t="s">
        <v>806</v>
      </c>
      <c r="F29" s="38">
        <v>4.9000000000000004</v>
      </c>
      <c r="G29" s="49">
        <v>6745</v>
      </c>
      <c r="H29" s="49">
        <v>10349</v>
      </c>
      <c r="I29" s="49">
        <v>12286</v>
      </c>
      <c r="J29" s="49">
        <v>10148</v>
      </c>
      <c r="K29" s="49">
        <v>6216</v>
      </c>
      <c r="L29" s="49">
        <v>6865</v>
      </c>
      <c r="M29" s="49">
        <v>2788</v>
      </c>
      <c r="N29" s="49">
        <v>-2386</v>
      </c>
      <c r="O29" s="49">
        <v>5234</v>
      </c>
      <c r="P29" s="49">
        <v>4706</v>
      </c>
      <c r="Q29" s="49">
        <v>2973</v>
      </c>
      <c r="R29" s="131">
        <v>5838</v>
      </c>
      <c r="S29" s="49">
        <v>2825</v>
      </c>
      <c r="T29" s="49">
        <v>4823</v>
      </c>
      <c r="U29" s="49">
        <v>4203</v>
      </c>
      <c r="V29" s="49">
        <v>5875</v>
      </c>
      <c r="W29" s="49">
        <v>3688</v>
      </c>
      <c r="X29" s="145">
        <v>7.1594664055807389E-3</v>
      </c>
      <c r="Y29" s="100">
        <v>7.4731150130627588E-2</v>
      </c>
      <c r="Z29" s="100">
        <v>2.0916954039233988E-3</v>
      </c>
      <c r="AA29" s="100">
        <v>4.8685546654631651E-2</v>
      </c>
    </row>
    <row r="30" spans="1:27" customFormat="1" x14ac:dyDescent="0.3">
      <c r="A30">
        <v>260203</v>
      </c>
      <c r="B30" s="20" t="s">
        <v>1257</v>
      </c>
      <c r="C30" s="10" t="s">
        <v>23</v>
      </c>
      <c r="D30" s="10" t="s">
        <v>144</v>
      </c>
      <c r="E30" s="10" t="s">
        <v>821</v>
      </c>
      <c r="F30" s="38">
        <v>4.5999999999999996</v>
      </c>
      <c r="G30" s="49">
        <v>103.3</v>
      </c>
      <c r="H30" s="49">
        <v>68.900000000000006</v>
      </c>
      <c r="I30" s="49">
        <v>246</v>
      </c>
      <c r="J30" s="49">
        <v>341.7</v>
      </c>
      <c r="K30" s="49">
        <v>87.6</v>
      </c>
      <c r="L30" s="49">
        <v>107.9</v>
      </c>
      <c r="M30" s="49">
        <v>286.8</v>
      </c>
      <c r="N30" s="131">
        <v>454.2</v>
      </c>
      <c r="O30" s="49">
        <v>148.5</v>
      </c>
      <c r="P30" s="49">
        <v>124.4</v>
      </c>
      <c r="Q30" s="49">
        <v>303</v>
      </c>
      <c r="R30" s="49">
        <v>441.4</v>
      </c>
      <c r="S30" s="49">
        <v>134.5</v>
      </c>
      <c r="T30" s="49">
        <v>210.6</v>
      </c>
      <c r="U30" s="49">
        <v>344.9</v>
      </c>
      <c r="V30" s="49">
        <v>498.7</v>
      </c>
      <c r="W30" s="49">
        <v>188.7</v>
      </c>
      <c r="X30" s="145">
        <v>8.5916475630419598E-2</v>
      </c>
      <c r="Y30" s="100">
        <v>3.8458008260669807E-2</v>
      </c>
      <c r="Z30" s="100">
        <v>5.064521831359392E-2</v>
      </c>
      <c r="AA30" s="100">
        <v>4.5596029275679177E-2</v>
      </c>
    </row>
    <row r="31" spans="1:27" customFormat="1" x14ac:dyDescent="0.3">
      <c r="A31">
        <v>260203</v>
      </c>
      <c r="B31" s="20" t="s">
        <v>1254</v>
      </c>
      <c r="C31" s="10" t="s">
        <v>23</v>
      </c>
      <c r="D31" s="10" t="s">
        <v>1255</v>
      </c>
      <c r="E31" s="10" t="s">
        <v>806</v>
      </c>
      <c r="F31" s="38">
        <v>4.4000000000000004</v>
      </c>
      <c r="G31" s="49">
        <v>135.69999999999999</v>
      </c>
      <c r="H31" s="49">
        <v>143.69999999999999</v>
      </c>
      <c r="I31" s="49">
        <v>187.8</v>
      </c>
      <c r="J31" s="49">
        <v>208.6</v>
      </c>
      <c r="K31" s="49">
        <v>171.5</v>
      </c>
      <c r="L31" s="131">
        <v>244.8</v>
      </c>
      <c r="M31" s="131">
        <v>289.60000000000002</v>
      </c>
      <c r="N31" s="49">
        <v>277.39999999999998</v>
      </c>
      <c r="O31" s="49">
        <v>227.6</v>
      </c>
      <c r="P31" s="49">
        <v>223</v>
      </c>
      <c r="Q31" s="49">
        <v>309.3</v>
      </c>
      <c r="R31" s="49">
        <v>316.89999999999998</v>
      </c>
      <c r="S31" s="49">
        <v>259.89999999999998</v>
      </c>
      <c r="T31" s="49">
        <v>227.5</v>
      </c>
      <c r="U31" s="49">
        <v>335.2</v>
      </c>
      <c r="V31" s="49">
        <v>339.4</v>
      </c>
      <c r="W31" s="49">
        <v>311.3</v>
      </c>
      <c r="X31" s="145">
        <v>4.0573437922639677E-3</v>
      </c>
      <c r="Y31" s="100">
        <v>2.3257902298850611E-2</v>
      </c>
      <c r="Z31" s="100">
        <v>1.9745502413339281E-2</v>
      </c>
      <c r="AA31" s="100">
        <v>4.4234079173838259E-2</v>
      </c>
    </row>
    <row r="32" spans="1:27" customFormat="1" x14ac:dyDescent="0.3">
      <c r="A32">
        <v>260203</v>
      </c>
      <c r="B32" s="20" t="s">
        <v>1294</v>
      </c>
      <c r="C32" s="10" t="s">
        <v>23</v>
      </c>
      <c r="D32" s="10" t="s">
        <v>151</v>
      </c>
      <c r="E32" s="10" t="s">
        <v>806</v>
      </c>
      <c r="F32" s="38">
        <v>4.3</v>
      </c>
      <c r="G32" s="49">
        <v>231.92</v>
      </c>
      <c r="H32" s="49">
        <v>207.82</v>
      </c>
      <c r="I32" s="49">
        <v>207.32</v>
      </c>
      <c r="J32" s="49">
        <v>210.64</v>
      </c>
      <c r="K32" s="49">
        <v>0</v>
      </c>
      <c r="L32" s="49">
        <v>198.29</v>
      </c>
      <c r="M32" s="49">
        <v>214.8</v>
      </c>
      <c r="N32" s="49">
        <v>243.56</v>
      </c>
      <c r="O32" s="131">
        <v>260.25</v>
      </c>
      <c r="P32" s="49">
        <v>184.74</v>
      </c>
      <c r="Q32" s="49">
        <v>204.53</v>
      </c>
      <c r="R32" s="49">
        <v>241.26</v>
      </c>
      <c r="S32" s="49">
        <v>253.99</v>
      </c>
      <c r="T32" s="49">
        <v>172.59</v>
      </c>
      <c r="U32" s="49">
        <v>208.22</v>
      </c>
      <c r="V32" s="49">
        <v>281.83</v>
      </c>
      <c r="W32" s="49">
        <v>293.33</v>
      </c>
      <c r="X32" s="145">
        <v>-1.3736263736263689E-2</v>
      </c>
      <c r="Y32" s="100">
        <v>4.2298565975444902E-3</v>
      </c>
      <c r="Z32" s="100">
        <v>4.6309613496792412E-2</v>
      </c>
      <c r="AA32" s="100">
        <v>4.2918080359578108E-2</v>
      </c>
    </row>
    <row r="33" spans="1:27" customFormat="1" x14ac:dyDescent="0.3">
      <c r="A33">
        <v>260203</v>
      </c>
      <c r="B33" s="20" t="s">
        <v>1240</v>
      </c>
      <c r="C33" s="10" t="s">
        <v>23</v>
      </c>
      <c r="D33" s="10" t="s">
        <v>1135</v>
      </c>
      <c r="E33" s="10" t="s">
        <v>821</v>
      </c>
      <c r="F33" s="38">
        <v>3.9</v>
      </c>
      <c r="G33" s="49">
        <v>98.8</v>
      </c>
      <c r="H33" s="49">
        <v>248.9</v>
      </c>
      <c r="I33" s="49">
        <v>41.7</v>
      </c>
      <c r="J33" s="49">
        <v>33.200000000000003</v>
      </c>
      <c r="K33" s="131">
        <v>152.4</v>
      </c>
      <c r="L33" s="49">
        <v>262.5</v>
      </c>
      <c r="M33" s="49">
        <v>14.2</v>
      </c>
      <c r="N33" s="49">
        <v>-2.2000000000000002</v>
      </c>
      <c r="O33" s="49">
        <v>141</v>
      </c>
      <c r="P33" s="49">
        <v>300.5</v>
      </c>
      <c r="Q33" s="49">
        <v>32.700000000000003</v>
      </c>
      <c r="R33" s="49">
        <v>22.9</v>
      </c>
      <c r="S33" s="49">
        <v>152.69999999999999</v>
      </c>
      <c r="T33" s="49">
        <v>310.5</v>
      </c>
      <c r="U33" s="49">
        <v>73.2</v>
      </c>
      <c r="V33" s="49">
        <v>3.1</v>
      </c>
      <c r="W33" s="49">
        <v>173.5</v>
      </c>
      <c r="X33" s="145">
        <v>1.965408805031443E-2</v>
      </c>
      <c r="Y33" s="100">
        <v>7.8064764841943024E-2</v>
      </c>
      <c r="Z33" s="100">
        <v>-3.5401394600393273E-2</v>
      </c>
      <c r="AA33" s="100">
        <v>3.8554216867469737E-2</v>
      </c>
    </row>
    <row r="34" spans="1:27" customFormat="1" x14ac:dyDescent="0.3">
      <c r="A34">
        <v>260203</v>
      </c>
      <c r="B34" s="20" t="s">
        <v>1273</v>
      </c>
      <c r="C34" s="10" t="s">
        <v>23</v>
      </c>
      <c r="D34" s="10" t="s">
        <v>1263</v>
      </c>
      <c r="E34" s="10" t="s">
        <v>806</v>
      </c>
      <c r="F34" s="38">
        <v>3.6</v>
      </c>
      <c r="G34" s="49">
        <v>3600</v>
      </c>
      <c r="H34" s="49">
        <v>5817</v>
      </c>
      <c r="I34" s="49">
        <v>5210</v>
      </c>
      <c r="J34" s="49">
        <v>5134</v>
      </c>
      <c r="K34" s="49">
        <v>4329</v>
      </c>
      <c r="L34" s="49">
        <v>5143</v>
      </c>
      <c r="M34" s="49">
        <v>5882</v>
      </c>
      <c r="N34" s="49">
        <v>6083</v>
      </c>
      <c r="O34" s="49">
        <v>-654</v>
      </c>
      <c r="P34" s="49">
        <v>6699</v>
      </c>
      <c r="Q34" s="49">
        <v>6384</v>
      </c>
      <c r="R34" s="49">
        <v>4364</v>
      </c>
      <c r="S34" s="131">
        <v>5341</v>
      </c>
      <c r="T34" s="49">
        <v>6221</v>
      </c>
      <c r="U34" s="49">
        <v>5923</v>
      </c>
      <c r="V34" s="131">
        <v>7049</v>
      </c>
      <c r="W34" s="49">
        <v>6236</v>
      </c>
      <c r="X34" s="145">
        <v>-2.0975952255573142E-2</v>
      </c>
      <c r="Y34" s="100">
        <v>-2.0663379650381009E-2</v>
      </c>
      <c r="Z34" s="113">
        <v>0.12288891940134559</v>
      </c>
      <c r="AA34" s="100">
        <v>3.6479986956876147E-2</v>
      </c>
    </row>
    <row r="35" spans="1:27" customFormat="1" x14ac:dyDescent="0.3">
      <c r="A35">
        <v>260203</v>
      </c>
      <c r="B35" s="20" t="s">
        <v>1286</v>
      </c>
      <c r="C35" s="10" t="s">
        <v>23</v>
      </c>
      <c r="D35" s="10" t="s">
        <v>1255</v>
      </c>
      <c r="E35" s="10" t="s">
        <v>821</v>
      </c>
      <c r="F35" s="38">
        <v>3.3</v>
      </c>
      <c r="G35" s="49">
        <v>-4.29</v>
      </c>
      <c r="H35" s="49">
        <v>0.3</v>
      </c>
      <c r="I35" s="49">
        <v>0.85</v>
      </c>
      <c r="J35" s="49">
        <v>10.36</v>
      </c>
      <c r="K35" s="131">
        <v>1.0900000000000001</v>
      </c>
      <c r="L35" s="131">
        <v>10.07</v>
      </c>
      <c r="M35" s="131">
        <v>21.55</v>
      </c>
      <c r="N35" s="131">
        <v>29.8</v>
      </c>
      <c r="O35" s="131">
        <v>25.88</v>
      </c>
      <c r="P35" s="131">
        <v>39.49</v>
      </c>
      <c r="Q35" s="131">
        <v>57.29</v>
      </c>
      <c r="R35" s="131">
        <v>56.12</v>
      </c>
      <c r="S35" s="49">
        <v>35.57</v>
      </c>
      <c r="T35" s="131">
        <v>58.92</v>
      </c>
      <c r="U35" s="49">
        <v>60.12</v>
      </c>
      <c r="V35" s="49">
        <v>63.25</v>
      </c>
      <c r="W35" s="49">
        <v>42.77</v>
      </c>
      <c r="X35" s="146">
        <v>0.1030933305035284</v>
      </c>
      <c r="Y35" s="100">
        <v>1.361231361231363E-2</v>
      </c>
      <c r="Z35" s="100">
        <v>3.3834764864993261E-2</v>
      </c>
      <c r="AA35" s="100">
        <v>3.3048746901680033E-2</v>
      </c>
    </row>
    <row r="36" spans="1:27" customFormat="1" x14ac:dyDescent="0.3">
      <c r="A36">
        <v>260203</v>
      </c>
      <c r="B36" s="20" t="s">
        <v>1239</v>
      </c>
      <c r="C36" s="10" t="s">
        <v>23</v>
      </c>
      <c r="D36" s="10" t="s">
        <v>95</v>
      </c>
      <c r="E36" s="10" t="s">
        <v>817</v>
      </c>
      <c r="F36" s="38">
        <v>3.3</v>
      </c>
      <c r="G36" s="49">
        <v>41.05</v>
      </c>
      <c r="H36" s="49">
        <v>46.27</v>
      </c>
      <c r="I36" s="49">
        <v>62.53</v>
      </c>
      <c r="J36" s="49">
        <v>69.83</v>
      </c>
      <c r="K36" s="49">
        <v>58.37</v>
      </c>
      <c r="L36" s="49">
        <v>49.32</v>
      </c>
      <c r="M36" s="49">
        <v>54.94</v>
      </c>
      <c r="N36" s="49">
        <v>55.6</v>
      </c>
      <c r="O36" s="49">
        <v>51.39</v>
      </c>
      <c r="P36" s="131">
        <v>83.89</v>
      </c>
      <c r="Q36" s="131">
        <v>89.61</v>
      </c>
      <c r="R36" s="49">
        <v>67.19</v>
      </c>
      <c r="S36" s="49">
        <v>75.72</v>
      </c>
      <c r="T36" s="49">
        <v>84.03</v>
      </c>
      <c r="U36" s="49">
        <v>76.98</v>
      </c>
      <c r="V36" s="49">
        <v>79.72</v>
      </c>
      <c r="W36" s="49">
        <v>86.01</v>
      </c>
      <c r="X36" s="145">
        <v>4.4246389178614898E-4</v>
      </c>
      <c r="Y36" s="100">
        <v>-3.9898910124782749E-2</v>
      </c>
      <c r="Z36" s="100">
        <v>4.1227954724927462E-2</v>
      </c>
      <c r="AA36" s="100">
        <v>3.2516985305735657E-2</v>
      </c>
    </row>
    <row r="37" spans="1:27" customFormat="1" x14ac:dyDescent="0.3">
      <c r="A37">
        <v>260203</v>
      </c>
      <c r="B37" s="20" t="s">
        <v>1251</v>
      </c>
      <c r="C37" s="10" t="s">
        <v>23</v>
      </c>
      <c r="D37" s="10" t="s">
        <v>153</v>
      </c>
      <c r="E37" s="10" t="s">
        <v>806</v>
      </c>
      <c r="F37" s="38">
        <v>3.2</v>
      </c>
      <c r="G37" s="49">
        <v>685</v>
      </c>
      <c r="H37" s="49">
        <v>651</v>
      </c>
      <c r="I37" s="49">
        <v>719</v>
      </c>
      <c r="J37" s="49">
        <v>792</v>
      </c>
      <c r="K37" s="49">
        <v>880</v>
      </c>
      <c r="L37" s="49">
        <v>811</v>
      </c>
      <c r="M37" s="49">
        <v>955</v>
      </c>
      <c r="N37" s="49">
        <v>1070</v>
      </c>
      <c r="O37" s="49">
        <v>1097</v>
      </c>
      <c r="P37" s="49">
        <v>1016</v>
      </c>
      <c r="Q37" s="49">
        <v>1201</v>
      </c>
      <c r="R37" s="49">
        <v>1221</v>
      </c>
      <c r="S37" s="49">
        <v>1238</v>
      </c>
      <c r="T37" s="49">
        <v>1207</v>
      </c>
      <c r="U37" s="49">
        <v>1305</v>
      </c>
      <c r="V37" s="49">
        <v>1383</v>
      </c>
      <c r="W37" s="49">
        <v>1402</v>
      </c>
      <c r="X37" s="145">
        <v>4.0846877673224917E-2</v>
      </c>
      <c r="Y37" s="100">
        <v>2.136839942469693E-2</v>
      </c>
      <c r="Z37" s="100">
        <v>3.2589016294508173E-2</v>
      </c>
      <c r="AA37" s="100">
        <v>3.1950126631599352E-2</v>
      </c>
    </row>
    <row r="38" spans="1:27" customFormat="1" x14ac:dyDescent="0.3">
      <c r="A38">
        <v>260203</v>
      </c>
      <c r="B38" s="20" t="s">
        <v>1243</v>
      </c>
      <c r="C38" s="10" t="s">
        <v>23</v>
      </c>
      <c r="D38" s="10" t="s">
        <v>1135</v>
      </c>
      <c r="E38" s="10" t="s">
        <v>821</v>
      </c>
      <c r="F38" s="38">
        <v>3</v>
      </c>
      <c r="G38" s="49">
        <v>280.23</v>
      </c>
      <c r="H38" s="49">
        <v>389.5</v>
      </c>
      <c r="I38" s="49">
        <v>158.94999999999999</v>
      </c>
      <c r="J38" s="49">
        <v>100.65</v>
      </c>
      <c r="K38" s="49">
        <v>325.48</v>
      </c>
      <c r="L38" s="49">
        <v>426.93</v>
      </c>
      <c r="M38" s="49">
        <v>173.59</v>
      </c>
      <c r="N38" s="49">
        <v>132.19</v>
      </c>
      <c r="O38" s="49">
        <v>404.29</v>
      </c>
      <c r="P38" s="131">
        <v>556.26</v>
      </c>
      <c r="Q38" s="49">
        <v>225.54</v>
      </c>
      <c r="R38" s="49">
        <v>190.28</v>
      </c>
      <c r="S38" s="49">
        <v>466.37</v>
      </c>
      <c r="T38" s="49">
        <v>635.83000000000004</v>
      </c>
      <c r="U38" s="49">
        <v>258.95999999999998</v>
      </c>
      <c r="V38" s="49">
        <v>226.37</v>
      </c>
      <c r="W38" s="49">
        <v>514.76</v>
      </c>
      <c r="X38" s="145">
        <v>5.5316486495880828E-2</v>
      </c>
      <c r="Y38" s="100">
        <v>2.2015520217125051E-2</v>
      </c>
      <c r="Z38" s="100">
        <v>2.326225957819816E-2</v>
      </c>
      <c r="AA38" s="100">
        <v>3.048131373895302E-2</v>
      </c>
    </row>
    <row r="39" spans="1:27" customFormat="1" x14ac:dyDescent="0.3">
      <c r="A39">
        <v>260203</v>
      </c>
      <c r="B39" s="20" t="s">
        <v>1260</v>
      </c>
      <c r="C39" s="10" t="s">
        <v>23</v>
      </c>
      <c r="D39" s="10" t="s">
        <v>1261</v>
      </c>
      <c r="E39" s="10" t="s">
        <v>806</v>
      </c>
      <c r="F39" s="38">
        <v>2.7</v>
      </c>
      <c r="G39" s="49">
        <v>16.899999999999999</v>
      </c>
      <c r="H39" s="49">
        <v>45.2</v>
      </c>
      <c r="I39" s="49">
        <v>54</v>
      </c>
      <c r="J39" s="49">
        <v>1.8</v>
      </c>
      <c r="K39" s="131">
        <v>57.7</v>
      </c>
      <c r="L39" s="49">
        <v>44.3</v>
      </c>
      <c r="M39" s="49">
        <v>61.3</v>
      </c>
      <c r="N39" s="131">
        <v>61</v>
      </c>
      <c r="O39" s="49">
        <v>48.3</v>
      </c>
      <c r="P39" s="49">
        <v>58.5</v>
      </c>
      <c r="Q39" s="49">
        <v>71.5</v>
      </c>
      <c r="R39" s="49">
        <v>71.900000000000006</v>
      </c>
      <c r="S39" s="49">
        <v>53.5</v>
      </c>
      <c r="T39" s="49">
        <v>64.5</v>
      </c>
      <c r="U39" s="49">
        <v>78.8</v>
      </c>
      <c r="V39" s="49">
        <v>78.400000000000006</v>
      </c>
      <c r="W39" s="49">
        <v>60.9</v>
      </c>
      <c r="X39" s="145">
        <v>2.3492560689114979E-2</v>
      </c>
      <c r="Y39" s="100">
        <v>2.792654934965566E-2</v>
      </c>
      <c r="Z39" s="100">
        <v>2.4190547078526189E-2</v>
      </c>
      <c r="AA39" s="100">
        <v>2.688953488372103E-2</v>
      </c>
    </row>
    <row r="40" spans="1:27" customFormat="1" x14ac:dyDescent="0.3">
      <c r="A40">
        <v>260203</v>
      </c>
      <c r="B40" s="20" t="s">
        <v>1282</v>
      </c>
      <c r="C40" s="10" t="s">
        <v>23</v>
      </c>
      <c r="D40" s="10" t="s">
        <v>99</v>
      </c>
      <c r="E40" s="10" t="s">
        <v>806</v>
      </c>
      <c r="F40" s="38">
        <v>2.2000000000000002</v>
      </c>
      <c r="G40" s="49">
        <v>1050</v>
      </c>
      <c r="H40" s="49">
        <v>747</v>
      </c>
      <c r="I40" s="49">
        <v>854</v>
      </c>
      <c r="J40" s="49">
        <v>1170</v>
      </c>
      <c r="K40" s="49">
        <v>1268</v>
      </c>
      <c r="L40" s="131">
        <v>1163</v>
      </c>
      <c r="M40" s="49">
        <v>1123</v>
      </c>
      <c r="N40" s="49">
        <v>1189</v>
      </c>
      <c r="O40" s="49">
        <v>1379</v>
      </c>
      <c r="P40" s="49">
        <v>1343</v>
      </c>
      <c r="Q40" s="49">
        <v>1408</v>
      </c>
      <c r="R40" s="49">
        <v>1427</v>
      </c>
      <c r="S40" s="49">
        <v>1454</v>
      </c>
      <c r="T40" s="49">
        <v>1569</v>
      </c>
      <c r="U40" s="49">
        <v>1599</v>
      </c>
      <c r="V40" s="49">
        <v>1616</v>
      </c>
      <c r="W40" s="49">
        <v>1591</v>
      </c>
      <c r="X40" s="145">
        <v>4.0127840909090828E-2</v>
      </c>
      <c r="Y40" s="100">
        <v>3.2604984636394718E-2</v>
      </c>
      <c r="Z40" s="100">
        <v>3.1244833856835848E-2</v>
      </c>
      <c r="AA40" s="100">
        <v>2.1962167361333721E-2</v>
      </c>
    </row>
    <row r="41" spans="1:27" customFormat="1" x14ac:dyDescent="0.3">
      <c r="A41">
        <v>260203</v>
      </c>
      <c r="B41" s="20" t="s">
        <v>1241</v>
      </c>
      <c r="C41" s="10" t="s">
        <v>23</v>
      </c>
      <c r="D41" s="10" t="s">
        <v>443</v>
      </c>
      <c r="E41" s="10" t="s">
        <v>806</v>
      </c>
      <c r="F41" s="38">
        <v>2.1</v>
      </c>
      <c r="G41" s="49">
        <v>386</v>
      </c>
      <c r="H41" s="49">
        <v>329</v>
      </c>
      <c r="I41" s="49">
        <v>360</v>
      </c>
      <c r="J41" s="49">
        <v>360</v>
      </c>
      <c r="K41" s="49">
        <v>236</v>
      </c>
      <c r="L41" s="49">
        <v>287</v>
      </c>
      <c r="M41" s="49">
        <v>254</v>
      </c>
      <c r="N41" s="49">
        <v>314</v>
      </c>
      <c r="O41" s="49">
        <v>320</v>
      </c>
      <c r="P41" s="49">
        <v>196</v>
      </c>
      <c r="Q41" s="49">
        <v>311</v>
      </c>
      <c r="R41" s="49">
        <v>365</v>
      </c>
      <c r="S41" s="49">
        <v>311</v>
      </c>
      <c r="T41" s="49">
        <v>305</v>
      </c>
      <c r="U41" s="49">
        <v>356</v>
      </c>
      <c r="V41" s="49">
        <v>390</v>
      </c>
      <c r="W41" s="49">
        <v>339</v>
      </c>
      <c r="X41" s="145">
        <v>9.2138630600169025E-2</v>
      </c>
      <c r="Y41" s="100">
        <v>3.482972136222906E-2</v>
      </c>
      <c r="Z41" s="100">
        <v>1.8698578908002968E-2</v>
      </c>
      <c r="AA41" s="100">
        <v>2.05580029368575E-2</v>
      </c>
    </row>
    <row r="42" spans="1:27" customFormat="1" x14ac:dyDescent="0.3">
      <c r="A42">
        <v>260203</v>
      </c>
      <c r="B42" s="20" t="s">
        <v>1247</v>
      </c>
      <c r="C42" s="10" t="s">
        <v>23</v>
      </c>
      <c r="D42" s="10" t="s">
        <v>153</v>
      </c>
      <c r="E42" s="10" t="s">
        <v>806</v>
      </c>
      <c r="F42" s="38">
        <v>2</v>
      </c>
      <c r="G42" s="49">
        <v>379.22</v>
      </c>
      <c r="H42" s="49">
        <v>345.64</v>
      </c>
      <c r="I42" s="49">
        <v>360.83</v>
      </c>
      <c r="J42" s="49">
        <v>381.07</v>
      </c>
      <c r="K42" s="49">
        <v>413.16</v>
      </c>
      <c r="L42" s="49">
        <v>392.13</v>
      </c>
      <c r="M42" s="49">
        <v>408.94</v>
      </c>
      <c r="N42" s="49">
        <v>428.88</v>
      </c>
      <c r="O42" s="49">
        <v>477.51</v>
      </c>
      <c r="P42" s="49">
        <v>434.44</v>
      </c>
      <c r="Q42" s="49">
        <v>438.55</v>
      </c>
      <c r="R42" s="49">
        <v>438.12</v>
      </c>
      <c r="S42" s="49">
        <v>468.98</v>
      </c>
      <c r="T42" s="49">
        <v>444.42</v>
      </c>
      <c r="U42" s="49">
        <v>453.1</v>
      </c>
      <c r="V42" s="49">
        <v>488.06</v>
      </c>
      <c r="W42" s="49">
        <v>505.48</v>
      </c>
      <c r="X42" s="145">
        <v>5.6064581004331426E-3</v>
      </c>
      <c r="Y42" s="100">
        <v>8.1281737585681135E-3</v>
      </c>
      <c r="Z42" s="100">
        <v>2.7673416010018711E-2</v>
      </c>
      <c r="AA42" s="100">
        <v>1.9681218186524019E-2</v>
      </c>
    </row>
    <row r="43" spans="1:27" customFormat="1" x14ac:dyDescent="0.3">
      <c r="A43">
        <v>260203</v>
      </c>
      <c r="B43" s="20" t="s">
        <v>1271</v>
      </c>
      <c r="C43" s="10" t="s">
        <v>23</v>
      </c>
      <c r="D43" s="10" t="s">
        <v>445</v>
      </c>
      <c r="E43" s="10" t="s">
        <v>817</v>
      </c>
      <c r="F43" s="38">
        <v>1.6</v>
      </c>
      <c r="G43" s="49">
        <v>144.16999999999999</v>
      </c>
      <c r="H43" s="49">
        <v>107.87</v>
      </c>
      <c r="I43" s="49">
        <v>54.28</v>
      </c>
      <c r="J43" s="49">
        <v>116.22</v>
      </c>
      <c r="K43" s="49">
        <v>141.38</v>
      </c>
      <c r="L43" s="49">
        <v>33.549999999999997</v>
      </c>
      <c r="M43" s="49">
        <v>17.79</v>
      </c>
      <c r="N43" s="49">
        <v>108.07</v>
      </c>
      <c r="O43" s="49">
        <v>167.19</v>
      </c>
      <c r="P43" s="49">
        <v>52.38</v>
      </c>
      <c r="Q43" s="49">
        <v>46.79</v>
      </c>
      <c r="R43" s="49">
        <v>131.85</v>
      </c>
      <c r="S43" s="49">
        <v>145.77000000000001</v>
      </c>
      <c r="T43" s="49">
        <v>85.95</v>
      </c>
      <c r="U43" s="49">
        <v>72.39</v>
      </c>
      <c r="V43" s="49">
        <v>144.76</v>
      </c>
      <c r="W43" s="49">
        <v>152.93</v>
      </c>
      <c r="X43" s="145">
        <v>8.9094721197483961E-2</v>
      </c>
      <c r="Y43" s="100">
        <v>6.2384247977385732E-2</v>
      </c>
      <c r="Z43" s="100">
        <v>2.9612808514542621E-2</v>
      </c>
      <c r="AA43" s="100">
        <v>1.59511662619467E-2</v>
      </c>
    </row>
    <row r="44" spans="1:27" customFormat="1" x14ac:dyDescent="0.3">
      <c r="A44">
        <v>260203</v>
      </c>
      <c r="B44" s="20" t="s">
        <v>1306</v>
      </c>
      <c r="C44" s="10" t="s">
        <v>23</v>
      </c>
      <c r="D44" s="10" t="s">
        <v>71</v>
      </c>
      <c r="E44" s="10" t="s">
        <v>806</v>
      </c>
      <c r="F44" s="38">
        <v>1.6</v>
      </c>
      <c r="G44" s="49">
        <v>285</v>
      </c>
      <c r="H44" s="49">
        <v>770</v>
      </c>
      <c r="I44" s="49">
        <v>1510</v>
      </c>
      <c r="J44" s="49">
        <v>-227</v>
      </c>
      <c r="K44" s="49">
        <v>0</v>
      </c>
      <c r="L44" s="49">
        <v>891</v>
      </c>
      <c r="M44" s="49">
        <v>1364</v>
      </c>
      <c r="N44" s="49">
        <v>-262</v>
      </c>
      <c r="O44" s="49">
        <v>5</v>
      </c>
      <c r="P44" s="49">
        <v>661</v>
      </c>
      <c r="Q44" s="131">
        <v>1573</v>
      </c>
      <c r="R44" s="49">
        <v>-465</v>
      </c>
      <c r="S44" s="131">
        <v>183</v>
      </c>
      <c r="T44" s="49">
        <v>821</v>
      </c>
      <c r="U44" s="131">
        <v>1826</v>
      </c>
      <c r="V44" s="49">
        <v>-270</v>
      </c>
      <c r="W44" s="49">
        <v>224</v>
      </c>
      <c r="X44" s="145">
        <v>8.1967213114754189E-2</v>
      </c>
      <c r="Y44" s="113">
        <v>0.1197916666666667</v>
      </c>
      <c r="Z44" s="100">
        <v>8.2452431289640638E-2</v>
      </c>
      <c r="AA44" s="100">
        <v>1.6015625000000089E-2</v>
      </c>
    </row>
    <row r="45" spans="1:27" customFormat="1" x14ac:dyDescent="0.3">
      <c r="A45">
        <v>260203</v>
      </c>
      <c r="B45" s="20" t="s">
        <v>1281</v>
      </c>
      <c r="C45" s="10" t="s">
        <v>23</v>
      </c>
      <c r="D45" s="10" t="s">
        <v>153</v>
      </c>
      <c r="E45" s="10" t="s">
        <v>821</v>
      </c>
      <c r="F45" s="38">
        <v>1.5</v>
      </c>
      <c r="G45" s="49">
        <v>530</v>
      </c>
      <c r="H45" s="49">
        <v>556</v>
      </c>
      <c r="I45" s="49">
        <v>628</v>
      </c>
      <c r="J45" s="49">
        <v>738</v>
      </c>
      <c r="K45" s="49">
        <v>521</v>
      </c>
      <c r="L45" s="49">
        <v>712</v>
      </c>
      <c r="M45" s="131">
        <v>929</v>
      </c>
      <c r="N45" s="49">
        <v>745</v>
      </c>
      <c r="O45" s="49">
        <v>656</v>
      </c>
      <c r="P45" s="49">
        <v>749</v>
      </c>
      <c r="Q45" s="49">
        <v>839</v>
      </c>
      <c r="R45" s="49">
        <v>813</v>
      </c>
      <c r="S45" s="49">
        <v>810</v>
      </c>
      <c r="T45" s="49">
        <v>876</v>
      </c>
      <c r="U45" s="49">
        <v>922</v>
      </c>
      <c r="V45" s="49">
        <v>1006</v>
      </c>
      <c r="W45" s="49">
        <v>865</v>
      </c>
      <c r="X45" s="145">
        <v>3.9551541575833182E-2</v>
      </c>
      <c r="Y45" s="100">
        <v>2.486518873576982E-2</v>
      </c>
      <c r="Z45" s="100">
        <v>5.6416252557731639E-2</v>
      </c>
      <c r="AA45" s="100">
        <v>1.5218594355284941E-2</v>
      </c>
    </row>
    <row r="46" spans="1:27" customFormat="1" x14ac:dyDescent="0.3">
      <c r="A46">
        <v>260203</v>
      </c>
      <c r="B46" s="20" t="s">
        <v>1279</v>
      </c>
      <c r="C46" s="10" t="s">
        <v>23</v>
      </c>
      <c r="D46" s="10" t="s">
        <v>24</v>
      </c>
      <c r="E46" s="10" t="s">
        <v>821</v>
      </c>
      <c r="F46" s="38">
        <v>1.5</v>
      </c>
      <c r="G46" s="49">
        <v>160.15</v>
      </c>
      <c r="H46" s="49">
        <v>163.65</v>
      </c>
      <c r="I46" s="49">
        <v>169.31</v>
      </c>
      <c r="J46" s="49">
        <v>171.69</v>
      </c>
      <c r="K46" s="49">
        <v>174.61</v>
      </c>
      <c r="L46" s="49">
        <v>182.28</v>
      </c>
      <c r="M46" s="49">
        <v>182.71</v>
      </c>
      <c r="N46" s="49">
        <v>185.29</v>
      </c>
      <c r="O46" s="49">
        <v>184.33</v>
      </c>
      <c r="P46" s="49">
        <v>188.89</v>
      </c>
      <c r="Q46" s="49">
        <v>190.58</v>
      </c>
      <c r="R46" s="49">
        <v>195.89</v>
      </c>
      <c r="S46" s="49">
        <v>205.62</v>
      </c>
      <c r="T46" s="49">
        <v>197.74</v>
      </c>
      <c r="U46" s="49">
        <v>202.47</v>
      </c>
      <c r="V46" s="49">
        <v>206.38</v>
      </c>
      <c r="W46" s="49">
        <v>217.98</v>
      </c>
      <c r="X46" s="145">
        <v>1.133191631027697E-2</v>
      </c>
      <c r="Y46" s="100">
        <v>1.50538723522784E-2</v>
      </c>
      <c r="Z46" s="100">
        <v>1.308436860749396E-2</v>
      </c>
      <c r="AA46" s="100">
        <v>1.521773925462622E-2</v>
      </c>
    </row>
    <row r="47" spans="1:27" customFormat="1" x14ac:dyDescent="0.3">
      <c r="A47">
        <v>260203</v>
      </c>
      <c r="B47" s="20" t="s">
        <v>1249</v>
      </c>
      <c r="C47" s="10" t="s">
        <v>23</v>
      </c>
      <c r="D47" s="10" t="s">
        <v>131</v>
      </c>
      <c r="E47" s="10" t="s">
        <v>821</v>
      </c>
      <c r="F47" s="38">
        <v>1.4</v>
      </c>
      <c r="G47" s="49">
        <v>459</v>
      </c>
      <c r="H47" s="49">
        <v>523</v>
      </c>
      <c r="I47" s="49">
        <v>582</v>
      </c>
      <c r="J47" s="49">
        <v>641</v>
      </c>
      <c r="K47" s="49">
        <v>592</v>
      </c>
      <c r="L47" s="49">
        <v>698</v>
      </c>
      <c r="M47" s="49">
        <v>798</v>
      </c>
      <c r="N47" s="49">
        <v>849</v>
      </c>
      <c r="O47" s="49">
        <v>790</v>
      </c>
      <c r="P47" s="49">
        <v>880</v>
      </c>
      <c r="Q47" s="49">
        <v>960</v>
      </c>
      <c r="R47" s="49">
        <v>967</v>
      </c>
      <c r="S47" s="49">
        <v>985</v>
      </c>
      <c r="T47" s="49">
        <v>997</v>
      </c>
      <c r="U47" s="49">
        <v>1047</v>
      </c>
      <c r="V47" s="49">
        <v>1164</v>
      </c>
      <c r="W47" s="49">
        <v>1042</v>
      </c>
      <c r="X47" s="145">
        <v>3.0854430379746889E-2</v>
      </c>
      <c r="Y47" s="100">
        <v>2.2256331542594099E-2</v>
      </c>
      <c r="Z47" s="100">
        <v>4.9299299299299333E-2</v>
      </c>
      <c r="AA47" s="100">
        <v>1.359408538039597E-2</v>
      </c>
    </row>
    <row r="48" spans="1:27" customFormat="1" x14ac:dyDescent="0.3">
      <c r="A48">
        <v>260203</v>
      </c>
      <c r="B48" s="20" t="s">
        <v>1310</v>
      </c>
      <c r="C48" s="10" t="s">
        <v>23</v>
      </c>
      <c r="D48" s="10" t="s">
        <v>810</v>
      </c>
      <c r="E48" s="10" t="s">
        <v>806</v>
      </c>
      <c r="F48" s="38">
        <v>1.1000000000000001</v>
      </c>
      <c r="G48" s="49">
        <v>1372</v>
      </c>
      <c r="H48" s="49">
        <v>1563</v>
      </c>
      <c r="I48" s="49">
        <v>1662</v>
      </c>
      <c r="J48" s="49">
        <v>1630</v>
      </c>
      <c r="K48" s="49">
        <v>1629</v>
      </c>
      <c r="L48" s="49">
        <v>1643</v>
      </c>
      <c r="M48" s="49">
        <v>1461</v>
      </c>
      <c r="N48" s="49">
        <v>1584</v>
      </c>
      <c r="O48" s="49">
        <v>1799</v>
      </c>
      <c r="P48" s="49">
        <v>1740</v>
      </c>
      <c r="Q48" s="49">
        <v>1668</v>
      </c>
      <c r="R48" s="49">
        <v>1708</v>
      </c>
      <c r="S48" s="49">
        <v>1864</v>
      </c>
      <c r="T48" s="49">
        <v>1677</v>
      </c>
      <c r="U48" s="49">
        <v>1714</v>
      </c>
      <c r="V48" s="49">
        <v>1613</v>
      </c>
      <c r="W48" s="49">
        <v>1939</v>
      </c>
      <c r="X48" s="145">
        <v>-9.0257879656160389E-3</v>
      </c>
      <c r="Y48" s="100">
        <v>6.650281914124534E-3</v>
      </c>
      <c r="Z48" s="100">
        <v>-1.3643544449231659E-2</v>
      </c>
      <c r="AA48" s="100">
        <v>1.0920209668025651E-2</v>
      </c>
    </row>
    <row r="49" spans="1:27" customFormat="1" x14ac:dyDescent="0.3">
      <c r="A49">
        <v>260203</v>
      </c>
      <c r="B49" s="20" t="s">
        <v>1313</v>
      </c>
      <c r="C49" s="10" t="s">
        <v>23</v>
      </c>
      <c r="D49" s="10" t="s">
        <v>46</v>
      </c>
      <c r="E49" s="10" t="s">
        <v>806</v>
      </c>
      <c r="F49" s="38">
        <v>1.1000000000000001</v>
      </c>
      <c r="G49" s="49">
        <v>55</v>
      </c>
      <c r="H49" s="49">
        <v>38</v>
      </c>
      <c r="I49" s="49">
        <v>104</v>
      </c>
      <c r="J49" s="49">
        <v>121</v>
      </c>
      <c r="K49" s="131">
        <v>169</v>
      </c>
      <c r="L49" s="131">
        <v>185</v>
      </c>
      <c r="M49" s="131">
        <v>201</v>
      </c>
      <c r="N49" s="131">
        <v>218</v>
      </c>
      <c r="O49" s="49">
        <v>216</v>
      </c>
      <c r="P49" s="49">
        <v>236</v>
      </c>
      <c r="Q49" s="49">
        <v>269</v>
      </c>
      <c r="R49" s="49">
        <v>243</v>
      </c>
      <c r="S49" s="49">
        <v>198</v>
      </c>
      <c r="T49" s="49">
        <v>171</v>
      </c>
      <c r="U49" s="49">
        <v>178</v>
      </c>
      <c r="V49" s="49">
        <v>189</v>
      </c>
      <c r="W49" s="49">
        <v>206</v>
      </c>
      <c r="X49" s="145">
        <v>-6.8710359408033828E-2</v>
      </c>
      <c r="Y49" s="100">
        <v>-0.1032917139614075</v>
      </c>
      <c r="Z49" s="100">
        <v>-6.8354430379746867E-2</v>
      </c>
      <c r="AA49" s="100">
        <v>1.0869565217391349E-2</v>
      </c>
    </row>
    <row r="50" spans="1:27" customFormat="1" x14ac:dyDescent="0.3">
      <c r="A50">
        <v>260203</v>
      </c>
      <c r="B50" s="20" t="s">
        <v>1287</v>
      </c>
      <c r="C50" s="10" t="s">
        <v>23</v>
      </c>
      <c r="D50" s="10" t="s">
        <v>648</v>
      </c>
      <c r="E50" s="10" t="s">
        <v>817</v>
      </c>
      <c r="F50" s="38">
        <v>1.1000000000000001</v>
      </c>
      <c r="G50" s="49">
        <v>17.68</v>
      </c>
      <c r="H50" s="49">
        <v>26.26</v>
      </c>
      <c r="I50" s="49">
        <v>21.2</v>
      </c>
      <c r="J50" s="49">
        <v>18.55</v>
      </c>
      <c r="K50" s="49">
        <v>22.22</v>
      </c>
      <c r="L50" s="49">
        <v>22.59</v>
      </c>
      <c r="M50" s="49">
        <v>25.43</v>
      </c>
      <c r="N50" s="49">
        <v>24.71</v>
      </c>
      <c r="O50" s="49">
        <v>22.36</v>
      </c>
      <c r="P50" s="49">
        <v>22.6</v>
      </c>
      <c r="Q50" s="49">
        <v>28.04</v>
      </c>
      <c r="R50" s="49">
        <v>28.67</v>
      </c>
      <c r="S50" s="49">
        <v>30.8</v>
      </c>
      <c r="T50" s="49">
        <v>33.32</v>
      </c>
      <c r="U50" s="49">
        <v>35.28</v>
      </c>
      <c r="V50" s="49">
        <v>35.9</v>
      </c>
      <c r="W50" s="49">
        <v>32.229999999999997</v>
      </c>
      <c r="X50" s="145">
        <v>9.7357188266279149E-2</v>
      </c>
      <c r="Y50" s="100">
        <v>5.9918894314325843E-2</v>
      </c>
      <c r="Z50" s="100">
        <v>5.6453501991098783E-2</v>
      </c>
      <c r="AA50" s="100">
        <v>1.0569105691056849E-2</v>
      </c>
    </row>
    <row r="51" spans="1:27" customFormat="1" x14ac:dyDescent="0.3">
      <c r="A51">
        <v>260203</v>
      </c>
      <c r="B51" s="20" t="s">
        <v>1290</v>
      </c>
      <c r="C51" s="10" t="s">
        <v>23</v>
      </c>
      <c r="D51" s="10" t="s">
        <v>144</v>
      </c>
      <c r="E51" s="10" t="s">
        <v>806</v>
      </c>
      <c r="F51" s="38">
        <v>0.8</v>
      </c>
      <c r="G51" s="49">
        <v>236.17</v>
      </c>
      <c r="H51" s="49">
        <v>243.33</v>
      </c>
      <c r="I51" s="49">
        <v>311.01</v>
      </c>
      <c r="J51" s="49">
        <v>256.75</v>
      </c>
      <c r="K51" s="131">
        <v>350.98</v>
      </c>
      <c r="L51" s="49">
        <v>278.7</v>
      </c>
      <c r="M51" s="49">
        <v>298.95</v>
      </c>
      <c r="N51" s="49">
        <v>249.15</v>
      </c>
      <c r="O51" s="49">
        <v>304.02999999999997</v>
      </c>
      <c r="P51" s="49">
        <v>274.82</v>
      </c>
      <c r="Q51" s="49">
        <v>319.08999999999997</v>
      </c>
      <c r="R51" s="49">
        <v>248.33</v>
      </c>
      <c r="S51" s="49">
        <v>324.33</v>
      </c>
      <c r="T51" s="49">
        <v>277.98</v>
      </c>
      <c r="U51" s="49">
        <v>327.05</v>
      </c>
      <c r="V51" s="49">
        <v>240.39</v>
      </c>
      <c r="W51" s="49">
        <v>334.2</v>
      </c>
      <c r="X51" s="145">
        <v>2.7087958716580651E-3</v>
      </c>
      <c r="Y51" s="100">
        <v>6.8049891855386244E-3</v>
      </c>
      <c r="Z51" s="100">
        <v>-6.7420119046608376E-3</v>
      </c>
      <c r="AA51" s="100">
        <v>8.4377003633253622E-3</v>
      </c>
    </row>
    <row r="52" spans="1:27" customFormat="1" x14ac:dyDescent="0.3">
      <c r="A52">
        <v>260203</v>
      </c>
      <c r="B52" s="20" t="s">
        <v>1283</v>
      </c>
      <c r="C52" s="10" t="s">
        <v>23</v>
      </c>
      <c r="D52" s="10" t="s">
        <v>1284</v>
      </c>
      <c r="E52" s="10" t="s">
        <v>806</v>
      </c>
      <c r="F52" s="38">
        <v>0.7</v>
      </c>
      <c r="G52" s="49">
        <v>170.48</v>
      </c>
      <c r="H52" s="49">
        <v>207.6</v>
      </c>
      <c r="I52" s="49">
        <v>270.99</v>
      </c>
      <c r="J52" s="49">
        <v>205.45</v>
      </c>
      <c r="K52" s="49">
        <v>189.91</v>
      </c>
      <c r="L52" s="49">
        <v>229.32</v>
      </c>
      <c r="M52" s="49">
        <v>191.45</v>
      </c>
      <c r="N52" s="49">
        <v>183.03</v>
      </c>
      <c r="O52" s="49">
        <v>135.66999999999999</v>
      </c>
      <c r="P52" s="49">
        <v>183.38</v>
      </c>
      <c r="Q52" s="49">
        <v>209.97</v>
      </c>
      <c r="R52" s="49">
        <v>203.99</v>
      </c>
      <c r="S52" s="49">
        <v>168.26</v>
      </c>
      <c r="T52" s="49">
        <v>191.64</v>
      </c>
      <c r="U52" s="49">
        <v>270.39</v>
      </c>
      <c r="V52" s="49">
        <v>262.55</v>
      </c>
      <c r="W52" s="49">
        <v>174.49</v>
      </c>
      <c r="X52" s="145">
        <v>1.0788923719958101E-2</v>
      </c>
      <c r="Y52" s="100">
        <v>7.8076137802703283E-2</v>
      </c>
      <c r="Z52" s="100">
        <v>7.0192261590832805E-2</v>
      </c>
      <c r="AA52" s="100">
        <v>6.9777339724923504E-3</v>
      </c>
    </row>
    <row r="53" spans="1:27" customFormat="1" x14ac:dyDescent="0.3">
      <c r="A53">
        <v>260203</v>
      </c>
      <c r="B53" s="20" t="s">
        <v>1301</v>
      </c>
      <c r="C53" s="10" t="s">
        <v>23</v>
      </c>
      <c r="D53" s="10" t="s">
        <v>476</v>
      </c>
      <c r="E53" s="10" t="s">
        <v>811</v>
      </c>
      <c r="F53" s="38">
        <v>0.6</v>
      </c>
      <c r="G53" s="49">
        <v>116</v>
      </c>
      <c r="H53" s="49">
        <v>221</v>
      </c>
      <c r="I53" s="49">
        <v>165</v>
      </c>
      <c r="J53" s="49">
        <v>157</v>
      </c>
      <c r="K53" s="49">
        <v>154</v>
      </c>
      <c r="L53" s="49">
        <v>244</v>
      </c>
      <c r="M53" s="131">
        <v>258</v>
      </c>
      <c r="N53" s="49">
        <v>74</v>
      </c>
      <c r="O53" s="131">
        <v>340</v>
      </c>
      <c r="P53" s="49">
        <v>226</v>
      </c>
      <c r="Q53" s="49">
        <v>282</v>
      </c>
      <c r="R53" s="131">
        <v>293</v>
      </c>
      <c r="S53" s="49">
        <v>234</v>
      </c>
      <c r="T53" s="49">
        <v>241</v>
      </c>
      <c r="U53" s="131">
        <v>417</v>
      </c>
      <c r="V53" s="49">
        <v>119</v>
      </c>
      <c r="W53" s="49">
        <v>240</v>
      </c>
      <c r="X53" s="145">
        <v>1.449275362318847E-2</v>
      </c>
      <c r="Y53" s="113">
        <v>0.12857142857142859</v>
      </c>
      <c r="Z53" s="100">
        <v>-0.14683544303797469</v>
      </c>
      <c r="AA53" s="100">
        <v>5.9347181008901906E-3</v>
      </c>
    </row>
    <row r="54" spans="1:27" customFormat="1" x14ac:dyDescent="0.3">
      <c r="A54">
        <v>260203</v>
      </c>
      <c r="B54" s="20" t="s">
        <v>1280</v>
      </c>
      <c r="C54" s="10" t="s">
        <v>23</v>
      </c>
      <c r="D54" s="10" t="s">
        <v>153</v>
      </c>
      <c r="E54" s="10" t="s">
        <v>806</v>
      </c>
      <c r="F54" s="38">
        <v>0.5</v>
      </c>
      <c r="G54" s="49">
        <v>839</v>
      </c>
      <c r="H54" s="49">
        <v>906</v>
      </c>
      <c r="I54" s="49">
        <v>937</v>
      </c>
      <c r="J54" s="49">
        <v>992</v>
      </c>
      <c r="K54" s="49">
        <v>996</v>
      </c>
      <c r="L54" s="49">
        <v>980</v>
      </c>
      <c r="M54" s="49">
        <v>1019</v>
      </c>
      <c r="N54" s="49">
        <v>1079</v>
      </c>
      <c r="O54" s="49">
        <v>995</v>
      </c>
      <c r="P54" s="49">
        <v>1135</v>
      </c>
      <c r="Q54" s="49">
        <v>1062</v>
      </c>
      <c r="R54" s="49">
        <v>1061</v>
      </c>
      <c r="S54" s="49">
        <v>1034</v>
      </c>
      <c r="T54" s="49">
        <v>962</v>
      </c>
      <c r="U54" s="49">
        <v>1078</v>
      </c>
      <c r="V54" s="49">
        <v>1123</v>
      </c>
      <c r="W54" s="49">
        <v>1053</v>
      </c>
      <c r="X54" s="145">
        <v>-4.0307548928238623E-2</v>
      </c>
      <c r="Y54" s="100">
        <v>3.8844379703810721E-3</v>
      </c>
      <c r="Z54" s="100">
        <v>1.4993954050785961E-2</v>
      </c>
      <c r="AA54" s="100">
        <v>4.5270431260424626E-3</v>
      </c>
    </row>
    <row r="55" spans="1:27" customFormat="1" x14ac:dyDescent="0.3">
      <c r="A55">
        <v>260203</v>
      </c>
      <c r="B55" s="20" t="s">
        <v>1252</v>
      </c>
      <c r="C55" s="10" t="s">
        <v>23</v>
      </c>
      <c r="D55" s="10" t="s">
        <v>172</v>
      </c>
      <c r="E55" s="10" t="s">
        <v>821</v>
      </c>
      <c r="F55" s="38">
        <v>0.5</v>
      </c>
      <c r="G55" s="49">
        <v>256.02</v>
      </c>
      <c r="H55" s="49">
        <v>266.2</v>
      </c>
      <c r="I55" s="49">
        <v>245.75</v>
      </c>
      <c r="J55" s="49">
        <v>252.13</v>
      </c>
      <c r="K55" s="49">
        <v>264.45999999999998</v>
      </c>
      <c r="L55" s="49">
        <v>299.52</v>
      </c>
      <c r="M55" s="49">
        <v>299.89999999999998</v>
      </c>
      <c r="N55" s="49">
        <v>-184.71</v>
      </c>
      <c r="O55" s="49">
        <v>182.92</v>
      </c>
      <c r="P55" s="49">
        <v>149.36000000000001</v>
      </c>
      <c r="Q55" s="49">
        <v>219.4</v>
      </c>
      <c r="R55" s="131">
        <v>0</v>
      </c>
      <c r="S55" s="49">
        <v>227.9</v>
      </c>
      <c r="T55" s="49">
        <v>194.86</v>
      </c>
      <c r="U55" s="49">
        <v>264.61</v>
      </c>
      <c r="V55" s="131">
        <v>331.76</v>
      </c>
      <c r="W55" s="49">
        <v>232.56</v>
      </c>
      <c r="X55" s="145">
        <v>7.6257835283075837E-2</v>
      </c>
      <c r="Y55" s="100">
        <v>7.0403014824965693E-2</v>
      </c>
      <c r="Z55" s="113">
        <v>0.48265126496646632</v>
      </c>
      <c r="AA55" s="100">
        <v>4.572527548006633E-3</v>
      </c>
    </row>
    <row r="56" spans="1:27" customFormat="1" x14ac:dyDescent="0.3">
      <c r="A56">
        <v>260203</v>
      </c>
      <c r="B56" s="20" t="s">
        <v>1285</v>
      </c>
      <c r="C56" s="10" t="s">
        <v>23</v>
      </c>
      <c r="D56" s="10" t="s">
        <v>1261</v>
      </c>
      <c r="E56" s="10" t="s">
        <v>806</v>
      </c>
      <c r="F56" s="38">
        <v>0.4</v>
      </c>
      <c r="G56" s="49"/>
      <c r="H56" s="49">
        <v>231</v>
      </c>
      <c r="I56" s="49">
        <v>311</v>
      </c>
      <c r="J56" s="49">
        <v>285</v>
      </c>
      <c r="K56" s="49">
        <v>295</v>
      </c>
      <c r="L56" s="49">
        <v>292</v>
      </c>
      <c r="M56" s="49">
        <v>295</v>
      </c>
      <c r="N56" s="49">
        <v>273</v>
      </c>
      <c r="O56" s="49">
        <v>299</v>
      </c>
      <c r="P56" s="49">
        <v>293</v>
      </c>
      <c r="Q56" s="49">
        <v>299</v>
      </c>
      <c r="R56" s="49">
        <v>308</v>
      </c>
      <c r="S56" s="49">
        <v>311</v>
      </c>
      <c r="T56" s="49">
        <v>322</v>
      </c>
      <c r="U56" s="49">
        <v>313</v>
      </c>
      <c r="V56" s="49">
        <v>326</v>
      </c>
      <c r="W56" s="49">
        <v>316</v>
      </c>
      <c r="X56" s="145">
        <v>2.394715111478107E-2</v>
      </c>
      <c r="Y56" s="100">
        <v>1.129032258064511E-2</v>
      </c>
      <c r="Z56" s="100">
        <v>1.43540669856459E-2</v>
      </c>
      <c r="AA56" s="100">
        <v>3.9308176100629746E-3</v>
      </c>
    </row>
    <row r="57" spans="1:27" customFormat="1" x14ac:dyDescent="0.3">
      <c r="A57">
        <v>260203</v>
      </c>
      <c r="B57" s="20" t="s">
        <v>1314</v>
      </c>
      <c r="C57" s="10" t="s">
        <v>23</v>
      </c>
      <c r="D57" s="10" t="s">
        <v>705</v>
      </c>
      <c r="E57" s="10" t="s">
        <v>821</v>
      </c>
      <c r="F57" s="38">
        <v>0.2</v>
      </c>
      <c r="G57" s="49">
        <v>14.85</v>
      </c>
      <c r="H57" s="49">
        <v>4.09</v>
      </c>
      <c r="I57" s="49">
        <v>21.26</v>
      </c>
      <c r="J57" s="49">
        <v>25.72</v>
      </c>
      <c r="K57" s="49">
        <v>9.33</v>
      </c>
      <c r="L57" s="131">
        <v>10.19</v>
      </c>
      <c r="M57" s="131">
        <v>48.29</v>
      </c>
      <c r="N57" s="131">
        <v>43.38</v>
      </c>
      <c r="O57" s="49">
        <v>11.88</v>
      </c>
      <c r="P57" s="49">
        <v>17.899999999999999</v>
      </c>
      <c r="Q57" s="49">
        <v>50.12</v>
      </c>
      <c r="R57" s="49">
        <v>44.84</v>
      </c>
      <c r="S57" s="49">
        <v>5.74</v>
      </c>
      <c r="T57" s="49">
        <v>5.72</v>
      </c>
      <c r="U57" s="49">
        <v>51.48</v>
      </c>
      <c r="V57" s="49">
        <v>33.700000000000003</v>
      </c>
      <c r="W57" s="49">
        <v>5.95</v>
      </c>
      <c r="X57" s="145">
        <v>-0.1026981450252951</v>
      </c>
      <c r="Y57" s="100">
        <v>1.27795527156549E-2</v>
      </c>
      <c r="Z57" s="100">
        <v>-0.1033586936351828</v>
      </c>
      <c r="AA57" s="100">
        <v>2.1730132450330508E-3</v>
      </c>
    </row>
    <row r="58" spans="1:27" customFormat="1" x14ac:dyDescent="0.3">
      <c r="A58">
        <v>260203</v>
      </c>
      <c r="B58" s="20" t="s">
        <v>1274</v>
      </c>
      <c r="C58" s="10" t="s">
        <v>23</v>
      </c>
      <c r="D58" s="10" t="s">
        <v>106</v>
      </c>
      <c r="E58" s="10" t="s">
        <v>806</v>
      </c>
      <c r="F58" s="38">
        <v>0.1</v>
      </c>
      <c r="G58" s="49">
        <v>163</v>
      </c>
      <c r="H58" s="49">
        <v>194.53</v>
      </c>
      <c r="I58" s="49">
        <v>342.28</v>
      </c>
      <c r="J58" s="49">
        <v>342.62</v>
      </c>
      <c r="K58" s="131">
        <v>302.12</v>
      </c>
      <c r="L58" s="131">
        <v>375.97</v>
      </c>
      <c r="M58" s="49">
        <v>448.05</v>
      </c>
      <c r="N58" s="49">
        <v>402.19</v>
      </c>
      <c r="O58" s="49">
        <v>369.98</v>
      </c>
      <c r="P58" s="49">
        <v>446.77</v>
      </c>
      <c r="Q58" s="49">
        <v>591.82000000000005</v>
      </c>
      <c r="R58" s="49">
        <v>488.43</v>
      </c>
      <c r="S58" s="49">
        <v>426.36</v>
      </c>
      <c r="T58" s="49">
        <v>497.3</v>
      </c>
      <c r="U58" s="49">
        <v>564.52</v>
      </c>
      <c r="V58" s="49">
        <v>484.58</v>
      </c>
      <c r="W58" s="49">
        <v>428.78</v>
      </c>
      <c r="X58" s="145">
        <v>2.5867982676181841E-2</v>
      </c>
      <c r="Y58" s="100">
        <v>-1.362336631884664E-2</v>
      </c>
      <c r="Z58" s="100">
        <v>-1.9477792786640751E-3</v>
      </c>
      <c r="AA58" s="100">
        <v>1.226707759686807E-3</v>
      </c>
    </row>
    <row r="59" spans="1:27" customFormat="1" x14ac:dyDescent="0.3">
      <c r="A59">
        <v>260203</v>
      </c>
      <c r="B59" s="20" t="s">
        <v>1275</v>
      </c>
      <c r="C59" s="10" t="s">
        <v>23</v>
      </c>
      <c r="D59" s="10" t="s">
        <v>153</v>
      </c>
      <c r="E59" s="10" t="s">
        <v>806</v>
      </c>
      <c r="F59" s="38">
        <v>0</v>
      </c>
      <c r="G59" s="49">
        <v>158.6</v>
      </c>
      <c r="H59" s="49">
        <v>153.19999999999999</v>
      </c>
      <c r="I59" s="49">
        <v>196</v>
      </c>
      <c r="J59" s="49">
        <v>175.5</v>
      </c>
      <c r="K59" s="49">
        <v>197.8</v>
      </c>
      <c r="L59" s="49">
        <v>195.2</v>
      </c>
      <c r="M59" s="49">
        <v>215.3</v>
      </c>
      <c r="N59" s="49">
        <v>182.1</v>
      </c>
      <c r="O59" s="49">
        <v>171.6</v>
      </c>
      <c r="P59" s="49">
        <v>203.2</v>
      </c>
      <c r="Q59" s="49">
        <v>265.10000000000002</v>
      </c>
      <c r="R59" s="49">
        <v>229.3</v>
      </c>
      <c r="S59" s="49">
        <v>204.8</v>
      </c>
      <c r="T59" s="49">
        <v>227.1</v>
      </c>
      <c r="U59" s="49">
        <v>286.89999999999998</v>
      </c>
      <c r="V59" s="49">
        <v>245.1</v>
      </c>
      <c r="W59" s="49">
        <v>205</v>
      </c>
      <c r="X59" s="145">
        <v>2.6484929078014249E-2</v>
      </c>
      <c r="Y59" s="100">
        <v>2.353449206520564E-2</v>
      </c>
      <c r="Z59" s="100">
        <v>1.6664908764898231E-2</v>
      </c>
      <c r="AA59" s="100">
        <v>2.0749040356871079E-4</v>
      </c>
    </row>
    <row r="60" spans="1:27" customFormat="1" x14ac:dyDescent="0.3">
      <c r="A60">
        <v>260203</v>
      </c>
      <c r="B60" s="20" t="s">
        <v>1272</v>
      </c>
      <c r="C60" s="10" t="s">
        <v>23</v>
      </c>
      <c r="D60" s="10" t="s">
        <v>707</v>
      </c>
      <c r="E60" s="10" t="s">
        <v>806</v>
      </c>
      <c r="F60" s="38">
        <v>-0.1</v>
      </c>
      <c r="G60" s="49">
        <v>20</v>
      </c>
      <c r="H60" s="49">
        <v>171</v>
      </c>
      <c r="I60" s="49">
        <v>198</v>
      </c>
      <c r="J60" s="49">
        <v>114</v>
      </c>
      <c r="K60" s="131">
        <v>232</v>
      </c>
      <c r="L60" s="49">
        <v>191</v>
      </c>
      <c r="M60" s="131">
        <v>369</v>
      </c>
      <c r="N60" s="131">
        <v>248</v>
      </c>
      <c r="O60" s="49">
        <v>252</v>
      </c>
      <c r="P60" s="131">
        <v>344</v>
      </c>
      <c r="Q60" s="49">
        <v>374</v>
      </c>
      <c r="R60" s="49">
        <v>185</v>
      </c>
      <c r="S60" s="49">
        <v>198</v>
      </c>
      <c r="T60" s="49">
        <v>240</v>
      </c>
      <c r="U60" s="49">
        <v>251</v>
      </c>
      <c r="V60" s="131">
        <v>367</v>
      </c>
      <c r="W60" s="49">
        <v>197</v>
      </c>
      <c r="X60" s="145">
        <v>-9.4459582198001768E-2</v>
      </c>
      <c r="Y60" s="100">
        <v>-0.123370110330993</v>
      </c>
      <c r="Z60" s="113">
        <v>0.20823798627002299</v>
      </c>
      <c r="AA60" s="100">
        <v>-9.4696969696972388E-4</v>
      </c>
    </row>
    <row r="61" spans="1:27" customFormat="1" x14ac:dyDescent="0.3">
      <c r="A61">
        <v>260203</v>
      </c>
      <c r="B61" s="20" t="s">
        <v>1295</v>
      </c>
      <c r="C61" s="10" t="s">
        <v>23</v>
      </c>
      <c r="D61" s="10" t="s">
        <v>705</v>
      </c>
      <c r="E61" s="10" t="s">
        <v>811</v>
      </c>
      <c r="F61" s="38">
        <v>-0.3</v>
      </c>
      <c r="G61" s="49">
        <v>45.06</v>
      </c>
      <c r="H61" s="49">
        <v>13.81</v>
      </c>
      <c r="I61" s="49">
        <v>44.24</v>
      </c>
      <c r="J61" s="49">
        <v>49.3</v>
      </c>
      <c r="K61" s="49">
        <v>51.33</v>
      </c>
      <c r="L61" s="49">
        <v>29.41</v>
      </c>
      <c r="M61" s="49">
        <v>36.44</v>
      </c>
      <c r="N61" s="49">
        <v>56.78</v>
      </c>
      <c r="O61" s="49">
        <v>65.94</v>
      </c>
      <c r="P61" s="131">
        <v>50.07</v>
      </c>
      <c r="Q61" s="49">
        <v>43.87</v>
      </c>
      <c r="R61" s="49">
        <v>55.86</v>
      </c>
      <c r="S61" s="49">
        <v>77.47</v>
      </c>
      <c r="T61" s="49">
        <v>51.59</v>
      </c>
      <c r="U61" s="49">
        <v>44.09</v>
      </c>
      <c r="V61" s="49">
        <v>60.4</v>
      </c>
      <c r="W61" s="49">
        <v>76.849999999999994</v>
      </c>
      <c r="X61" s="145">
        <v>6.6880802569631026E-3</v>
      </c>
      <c r="Y61" s="100">
        <v>9.6158048865779833E-4</v>
      </c>
      <c r="Z61" s="100">
        <v>1.9824461813894741E-2</v>
      </c>
      <c r="AA61" s="100">
        <v>-2.6546777991864889E-3</v>
      </c>
    </row>
    <row r="62" spans="1:27" customFormat="1" x14ac:dyDescent="0.3">
      <c r="A62">
        <v>260203</v>
      </c>
      <c r="B62" s="20" t="s">
        <v>1312</v>
      </c>
      <c r="C62" s="10" t="s">
        <v>23</v>
      </c>
      <c r="D62" s="10" t="s">
        <v>648</v>
      </c>
      <c r="E62" s="10" t="s">
        <v>806</v>
      </c>
      <c r="F62" s="38">
        <v>-0.5</v>
      </c>
      <c r="G62" s="49">
        <v>0</v>
      </c>
      <c r="H62" s="49">
        <v>276</v>
      </c>
      <c r="I62" s="49">
        <v>300</v>
      </c>
      <c r="J62" s="49">
        <v>277</v>
      </c>
      <c r="K62" s="131">
        <v>958</v>
      </c>
      <c r="L62" s="49">
        <v>375</v>
      </c>
      <c r="M62" s="49">
        <v>270</v>
      </c>
      <c r="N62" s="49">
        <v>318</v>
      </c>
      <c r="O62" s="49">
        <v>965</v>
      </c>
      <c r="P62" s="49">
        <v>445</v>
      </c>
      <c r="Q62" s="49">
        <v>333</v>
      </c>
      <c r="R62" s="49">
        <v>380</v>
      </c>
      <c r="S62" s="49">
        <v>1045</v>
      </c>
      <c r="T62" s="49">
        <v>357</v>
      </c>
      <c r="U62" s="49">
        <v>383</v>
      </c>
      <c r="V62" s="49">
        <v>432</v>
      </c>
      <c r="W62" s="49">
        <v>1035</v>
      </c>
      <c r="X62" s="145">
        <v>-3.9945528824330452E-2</v>
      </c>
      <c r="Y62" s="100">
        <v>2.364066193853431E-2</v>
      </c>
      <c r="Z62" s="100">
        <v>2.4018475750577469E-2</v>
      </c>
      <c r="AA62" s="100">
        <v>-4.5105999097879712E-3</v>
      </c>
    </row>
    <row r="63" spans="1:27" customFormat="1" x14ac:dyDescent="0.3">
      <c r="A63">
        <v>260203</v>
      </c>
      <c r="B63" s="20" t="s">
        <v>1292</v>
      </c>
      <c r="C63" s="10" t="s">
        <v>23</v>
      </c>
      <c r="D63" s="10" t="s">
        <v>1293</v>
      </c>
      <c r="E63" s="10" t="s">
        <v>811</v>
      </c>
      <c r="F63" s="38">
        <v>-0.7</v>
      </c>
      <c r="G63" s="49">
        <v>-277.3</v>
      </c>
      <c r="H63" s="49">
        <v>885.37</v>
      </c>
      <c r="I63" s="49">
        <v>311.60000000000002</v>
      </c>
      <c r="J63" s="49">
        <v>-209.11</v>
      </c>
      <c r="K63" s="49">
        <v>-283.2</v>
      </c>
      <c r="L63" s="49">
        <v>864.5</v>
      </c>
      <c r="M63" s="49">
        <v>376.51</v>
      </c>
      <c r="N63" s="49">
        <v>-206.33</v>
      </c>
      <c r="O63" s="49">
        <v>-267.43</v>
      </c>
      <c r="P63" s="49">
        <v>928.2</v>
      </c>
      <c r="Q63" s="49">
        <v>350.83</v>
      </c>
      <c r="R63" s="49">
        <v>-228.33</v>
      </c>
      <c r="S63" s="49">
        <v>-293.29000000000002</v>
      </c>
      <c r="T63" s="49">
        <v>978.31</v>
      </c>
      <c r="U63" s="49">
        <v>371.28</v>
      </c>
      <c r="V63" s="49">
        <v>-207.03</v>
      </c>
      <c r="W63" s="49">
        <v>-298.88</v>
      </c>
      <c r="X63" s="145">
        <v>6.615967573705106E-2</v>
      </c>
      <c r="Y63" s="100">
        <v>2.532445016841689E-2</v>
      </c>
      <c r="Z63" s="100">
        <v>2.5725569767020451E-2</v>
      </c>
      <c r="AA63" s="100">
        <v>-6.5821234707453824E-3</v>
      </c>
    </row>
    <row r="64" spans="1:27" customFormat="1" x14ac:dyDescent="0.3">
      <c r="A64">
        <v>260203</v>
      </c>
      <c r="B64" s="20" t="s">
        <v>1299</v>
      </c>
      <c r="C64" s="10" t="s">
        <v>23</v>
      </c>
      <c r="D64" s="10" t="s">
        <v>1284</v>
      </c>
      <c r="E64" s="10" t="s">
        <v>806</v>
      </c>
      <c r="F64" s="38">
        <v>-1</v>
      </c>
      <c r="G64" s="49">
        <v>58.1</v>
      </c>
      <c r="H64" s="49">
        <v>88.4</v>
      </c>
      <c r="I64" s="49">
        <v>96.4</v>
      </c>
      <c r="J64" s="49">
        <v>104.1</v>
      </c>
      <c r="K64" s="131">
        <v>266.2</v>
      </c>
      <c r="L64" s="49">
        <v>110.2</v>
      </c>
      <c r="M64" s="49">
        <v>121.2</v>
      </c>
      <c r="N64" s="49">
        <v>122.4</v>
      </c>
      <c r="O64" s="49">
        <v>62.7</v>
      </c>
      <c r="P64" s="49">
        <v>114.6</v>
      </c>
      <c r="Q64" s="49">
        <v>142.1</v>
      </c>
      <c r="R64" s="49">
        <v>140.80000000000001</v>
      </c>
      <c r="S64" s="131">
        <v>154.6</v>
      </c>
      <c r="T64" s="49">
        <v>150.9</v>
      </c>
      <c r="U64" s="49">
        <v>164.3</v>
      </c>
      <c r="V64" s="49">
        <v>170.1</v>
      </c>
      <c r="W64" s="49">
        <v>148</v>
      </c>
      <c r="X64" s="145">
        <v>6.5748958522006795E-2</v>
      </c>
      <c r="Y64" s="100">
        <v>3.7729435757987817E-2</v>
      </c>
      <c r="Z64" s="100">
        <v>4.7985587946282271E-2</v>
      </c>
      <c r="AA64" s="100">
        <v>-1.031411157993445E-2</v>
      </c>
    </row>
    <row r="65" spans="1:27" customFormat="1" x14ac:dyDescent="0.3">
      <c r="A65">
        <v>260203</v>
      </c>
      <c r="B65" s="20" t="s">
        <v>1277</v>
      </c>
      <c r="C65" s="10" t="s">
        <v>23</v>
      </c>
      <c r="D65" s="10" t="s">
        <v>454</v>
      </c>
      <c r="E65" s="10" t="s">
        <v>806</v>
      </c>
      <c r="F65" s="38">
        <v>-1.2</v>
      </c>
      <c r="G65" s="49">
        <v>588</v>
      </c>
      <c r="H65" s="49">
        <v>534</v>
      </c>
      <c r="I65" s="49">
        <v>534</v>
      </c>
      <c r="J65" s="49">
        <v>603</v>
      </c>
      <c r="K65" s="49">
        <v>546</v>
      </c>
      <c r="L65" s="49">
        <v>680</v>
      </c>
      <c r="M65" s="49">
        <v>661</v>
      </c>
      <c r="N65" s="49">
        <v>667</v>
      </c>
      <c r="O65" s="49">
        <v>601</v>
      </c>
      <c r="P65" s="49">
        <v>669</v>
      </c>
      <c r="Q65" s="49">
        <v>649</v>
      </c>
      <c r="R65" s="49">
        <v>686</v>
      </c>
      <c r="S65" s="49">
        <v>668</v>
      </c>
      <c r="T65" s="49">
        <v>672</v>
      </c>
      <c r="U65" s="49">
        <v>678</v>
      </c>
      <c r="V65" s="49">
        <v>707</v>
      </c>
      <c r="W65" s="49">
        <v>634</v>
      </c>
      <c r="X65" s="145">
        <v>1.1227544910179521E-3</v>
      </c>
      <c r="Y65" s="100">
        <v>1.0841121495327011E-2</v>
      </c>
      <c r="Z65" s="100">
        <v>7.7662721893492206E-3</v>
      </c>
      <c r="AA65" s="100">
        <v>-1.247706422018346E-2</v>
      </c>
    </row>
    <row r="66" spans="1:27" customFormat="1" x14ac:dyDescent="0.3">
      <c r="A66">
        <v>260203</v>
      </c>
      <c r="B66" s="20" t="s">
        <v>1318</v>
      </c>
      <c r="C66" s="10" t="s">
        <v>23</v>
      </c>
      <c r="D66" s="10" t="s">
        <v>1151</v>
      </c>
      <c r="E66" s="10" t="s">
        <v>806</v>
      </c>
      <c r="F66" s="38">
        <v>-1.4</v>
      </c>
      <c r="G66" s="49">
        <v>880</v>
      </c>
      <c r="H66" s="49">
        <v>1074</v>
      </c>
      <c r="I66" s="49">
        <v>1292</v>
      </c>
      <c r="J66" s="49">
        <v>1000</v>
      </c>
      <c r="K66" s="49">
        <v>805</v>
      </c>
      <c r="L66" s="49">
        <v>1203</v>
      </c>
      <c r="M66" s="49">
        <v>1047</v>
      </c>
      <c r="N66" s="49">
        <v>999</v>
      </c>
      <c r="O66" s="49">
        <v>751</v>
      </c>
      <c r="P66" s="49">
        <v>708</v>
      </c>
      <c r="Q66" s="49">
        <v>489</v>
      </c>
      <c r="R66" s="49">
        <v>460</v>
      </c>
      <c r="S66" s="49">
        <v>340</v>
      </c>
      <c r="T66" s="49">
        <v>248</v>
      </c>
      <c r="U66" s="49">
        <v>459</v>
      </c>
      <c r="V66" s="49">
        <v>397</v>
      </c>
      <c r="W66" s="49">
        <v>320</v>
      </c>
      <c r="X66" s="145">
        <v>-0.23034551827741609</v>
      </c>
      <c r="Y66" s="100">
        <v>-1.9518542615484691E-2</v>
      </c>
      <c r="Z66" s="100">
        <v>-4.1804910418049117E-2</v>
      </c>
      <c r="AA66" s="100">
        <v>-1.3850415512465349E-2</v>
      </c>
    </row>
    <row r="67" spans="1:27" customFormat="1" x14ac:dyDescent="0.3">
      <c r="A67">
        <v>260203</v>
      </c>
      <c r="B67" s="20" t="s">
        <v>1288</v>
      </c>
      <c r="C67" s="10" t="s">
        <v>23</v>
      </c>
      <c r="D67" s="10" t="s">
        <v>1289</v>
      </c>
      <c r="E67" s="10" t="s">
        <v>806</v>
      </c>
      <c r="F67" s="38">
        <v>-1.5</v>
      </c>
      <c r="G67" s="49"/>
      <c r="H67" s="49"/>
      <c r="I67" s="49"/>
      <c r="J67" s="49"/>
      <c r="K67" s="49"/>
      <c r="L67" s="49"/>
      <c r="M67" s="49"/>
      <c r="N67" s="49"/>
      <c r="O67" s="49"/>
      <c r="P67" s="49">
        <v>-38.78</v>
      </c>
      <c r="Q67" s="49">
        <v>-43.98</v>
      </c>
      <c r="R67" s="49">
        <v>-40.75</v>
      </c>
      <c r="S67" s="49">
        <v>-40.75</v>
      </c>
      <c r="T67" s="49">
        <v>-39.75</v>
      </c>
      <c r="U67" s="49">
        <v>-40.909999999999997</v>
      </c>
      <c r="V67" s="49">
        <v>-38.39</v>
      </c>
      <c r="W67" s="49">
        <v>-38.39</v>
      </c>
      <c r="X67" s="145">
        <v>5.9052721295507196E-3</v>
      </c>
      <c r="Y67" s="100">
        <v>-1.8580160987714089E-2</v>
      </c>
      <c r="Z67" s="100">
        <v>-1.4553527380364971E-2</v>
      </c>
      <c r="AA67" s="100">
        <v>-1.476846057571979E-2</v>
      </c>
    </row>
    <row r="68" spans="1:27" customFormat="1" x14ac:dyDescent="0.3">
      <c r="A68">
        <v>260203</v>
      </c>
      <c r="B68" s="20" t="s">
        <v>1309</v>
      </c>
      <c r="C68" s="10" t="s">
        <v>23</v>
      </c>
      <c r="D68" s="10" t="s">
        <v>705</v>
      </c>
      <c r="E68" s="10" t="s">
        <v>806</v>
      </c>
      <c r="F68" s="38">
        <v>-1.9</v>
      </c>
      <c r="G68" s="49">
        <v>113</v>
      </c>
      <c r="H68" s="49">
        <v>213</v>
      </c>
      <c r="I68" s="49">
        <v>215</v>
      </c>
      <c r="J68" s="49">
        <v>186</v>
      </c>
      <c r="K68" s="49">
        <v>150</v>
      </c>
      <c r="L68" s="131">
        <v>291</v>
      </c>
      <c r="M68" s="49">
        <v>249</v>
      </c>
      <c r="N68" s="49">
        <v>222</v>
      </c>
      <c r="O68" s="49">
        <v>200</v>
      </c>
      <c r="P68" s="49">
        <v>216</v>
      </c>
      <c r="Q68" s="49">
        <v>263</v>
      </c>
      <c r="R68" s="49">
        <v>277</v>
      </c>
      <c r="S68" s="49">
        <v>250</v>
      </c>
      <c r="T68" s="49">
        <v>283</v>
      </c>
      <c r="U68" s="49">
        <v>274</v>
      </c>
      <c r="V68" s="49">
        <v>251</v>
      </c>
      <c r="W68" s="49">
        <v>230</v>
      </c>
      <c r="X68" s="145">
        <v>6.6600397614314133E-2</v>
      </c>
      <c r="Y68" s="100">
        <v>1.025163094128612E-2</v>
      </c>
      <c r="Z68" s="100">
        <v>-2.3985239852398529E-2</v>
      </c>
      <c r="AA68" s="100">
        <v>-1.8903591682419622E-2</v>
      </c>
    </row>
    <row r="69" spans="1:27" customFormat="1" x14ac:dyDescent="0.3">
      <c r="A69">
        <v>260203</v>
      </c>
      <c r="B69" s="20" t="s">
        <v>1296</v>
      </c>
      <c r="C69" s="10" t="s">
        <v>23</v>
      </c>
      <c r="D69" s="10" t="s">
        <v>54</v>
      </c>
      <c r="E69" s="10" t="s">
        <v>817</v>
      </c>
      <c r="F69" s="38">
        <v>-3.8</v>
      </c>
      <c r="G69" s="49">
        <v>91.41</v>
      </c>
      <c r="H69" s="49">
        <v>116</v>
      </c>
      <c r="I69" s="49">
        <v>157.05000000000001</v>
      </c>
      <c r="J69" s="49">
        <v>190.19</v>
      </c>
      <c r="K69" s="49">
        <v>102.27</v>
      </c>
      <c r="L69" s="49">
        <v>68.77</v>
      </c>
      <c r="M69" s="49">
        <v>59.23</v>
      </c>
      <c r="N69" s="49">
        <v>52.04</v>
      </c>
      <c r="O69" s="49">
        <v>56.18</v>
      </c>
      <c r="P69" s="49">
        <v>7.76</v>
      </c>
      <c r="Q69" s="49">
        <v>63.3</v>
      </c>
      <c r="R69" s="49">
        <v>66.680000000000007</v>
      </c>
      <c r="S69" s="49">
        <v>72.81</v>
      </c>
      <c r="T69" s="131">
        <v>42.87</v>
      </c>
      <c r="U69" s="49">
        <v>81.42</v>
      </c>
      <c r="V69" s="49">
        <v>74.819999999999993</v>
      </c>
      <c r="W69" s="49">
        <v>62.47</v>
      </c>
      <c r="X69" s="146">
        <v>0.16675374020422701</v>
      </c>
      <c r="Y69" s="100">
        <v>7.3760481966946401E-2</v>
      </c>
      <c r="Z69" s="100">
        <v>3.0859049207673021E-2</v>
      </c>
      <c r="AA69" s="100">
        <v>-3.8025889967637672E-2</v>
      </c>
    </row>
    <row r="70" spans="1:27" customFormat="1" x14ac:dyDescent="0.3">
      <c r="A70">
        <v>260203</v>
      </c>
      <c r="B70" s="20" t="s">
        <v>1291</v>
      </c>
      <c r="C70" s="10" t="s">
        <v>23</v>
      </c>
      <c r="D70" s="10" t="s">
        <v>48</v>
      </c>
      <c r="E70" s="10" t="s">
        <v>821</v>
      </c>
      <c r="F70" s="38">
        <v>-4</v>
      </c>
      <c r="G70" s="49">
        <v>-3.6</v>
      </c>
      <c r="H70" s="49">
        <v>17.3</v>
      </c>
      <c r="I70" s="49">
        <v>48.2</v>
      </c>
      <c r="J70" s="49">
        <v>46.1</v>
      </c>
      <c r="K70" s="49">
        <v>-1.9</v>
      </c>
      <c r="L70" s="49">
        <v>-2.6</v>
      </c>
      <c r="M70" s="49">
        <v>51.2</v>
      </c>
      <c r="N70" s="131">
        <v>78.099999999999994</v>
      </c>
      <c r="O70" s="49">
        <v>-6.2</v>
      </c>
      <c r="P70" s="131">
        <v>18.3</v>
      </c>
      <c r="Q70" s="131">
        <v>66</v>
      </c>
      <c r="R70" s="49">
        <v>62.5</v>
      </c>
      <c r="S70" s="49">
        <v>-0.6</v>
      </c>
      <c r="T70" s="131">
        <v>39.4</v>
      </c>
      <c r="U70" s="49">
        <v>61.8</v>
      </c>
      <c r="V70" s="49">
        <v>60.1</v>
      </c>
      <c r="W70" s="49">
        <v>-7.1</v>
      </c>
      <c r="X70" s="146">
        <v>0.14432284541723669</v>
      </c>
      <c r="Y70" s="100">
        <v>-2.510460251046032E-2</v>
      </c>
      <c r="Z70" s="100">
        <v>-1.4714898835070491E-2</v>
      </c>
      <c r="AA70" s="100">
        <v>-4.0448039825762283E-2</v>
      </c>
    </row>
    <row r="71" spans="1:27" customFormat="1" x14ac:dyDescent="0.3">
      <c r="A71">
        <v>260203</v>
      </c>
      <c r="B71" s="20" t="s">
        <v>1317</v>
      </c>
      <c r="C71" s="10" t="s">
        <v>23</v>
      </c>
      <c r="D71" s="10" t="s">
        <v>41</v>
      </c>
      <c r="E71" s="10" t="s">
        <v>821</v>
      </c>
      <c r="F71" s="38">
        <v>-4.0999999999999996</v>
      </c>
      <c r="G71" s="49">
        <v>119</v>
      </c>
      <c r="H71" s="49">
        <v>144</v>
      </c>
      <c r="I71" s="49">
        <v>170</v>
      </c>
      <c r="J71" s="49">
        <v>125</v>
      </c>
      <c r="K71" s="49">
        <v>108</v>
      </c>
      <c r="L71" s="49">
        <v>130</v>
      </c>
      <c r="M71" s="49">
        <v>151</v>
      </c>
      <c r="N71" s="49">
        <v>135</v>
      </c>
      <c r="O71" s="49">
        <v>136</v>
      </c>
      <c r="P71" s="49">
        <v>157</v>
      </c>
      <c r="Q71" s="49">
        <v>172</v>
      </c>
      <c r="R71" s="49">
        <v>163</v>
      </c>
      <c r="S71" s="49">
        <v>155</v>
      </c>
      <c r="T71" s="49">
        <v>163</v>
      </c>
      <c r="U71" s="49">
        <v>167</v>
      </c>
      <c r="V71" s="49">
        <v>146</v>
      </c>
      <c r="W71" s="49">
        <v>129</v>
      </c>
      <c r="X71" s="145">
        <v>9.2735703245749868E-3</v>
      </c>
      <c r="Y71" s="100">
        <v>-7.6569678407351072E-3</v>
      </c>
      <c r="Z71" s="100">
        <v>-2.623456790123457E-2</v>
      </c>
      <c r="AA71" s="100">
        <v>-4.1204437400950922E-2</v>
      </c>
    </row>
    <row r="72" spans="1:27" customFormat="1" x14ac:dyDescent="0.3">
      <c r="A72">
        <v>260203</v>
      </c>
      <c r="B72" s="20" t="s">
        <v>1307</v>
      </c>
      <c r="C72" s="10" t="s">
        <v>23</v>
      </c>
      <c r="D72" s="10" t="s">
        <v>1308</v>
      </c>
      <c r="E72" s="10" t="s">
        <v>806</v>
      </c>
      <c r="F72" s="38">
        <v>-6.3</v>
      </c>
      <c r="G72" s="49">
        <v>25.72</v>
      </c>
      <c r="H72" s="49">
        <v>28.34</v>
      </c>
      <c r="I72" s="49">
        <v>28.32</v>
      </c>
      <c r="J72" s="49">
        <v>31</v>
      </c>
      <c r="K72" s="49">
        <v>27.07</v>
      </c>
      <c r="L72" s="49">
        <v>29.72</v>
      </c>
      <c r="M72" s="49">
        <v>31.49</v>
      </c>
      <c r="N72" s="49">
        <v>31.14</v>
      </c>
      <c r="O72" s="49">
        <v>29.4</v>
      </c>
      <c r="P72" s="49">
        <v>30.55</v>
      </c>
      <c r="Q72" s="49">
        <v>30.79</v>
      </c>
      <c r="R72" s="49">
        <v>37.81</v>
      </c>
      <c r="S72" s="49">
        <v>30.05</v>
      </c>
      <c r="T72" s="49">
        <v>27.5</v>
      </c>
      <c r="U72" s="49">
        <v>25.98</v>
      </c>
      <c r="V72" s="49">
        <v>24.77</v>
      </c>
      <c r="W72" s="49">
        <v>23.22</v>
      </c>
      <c r="X72" s="145">
        <v>-2.3606811145510661E-2</v>
      </c>
      <c r="Y72" s="100">
        <v>-3.8129211256440747E-2</v>
      </c>
      <c r="Z72" s="100">
        <v>-0.10746662271303779</v>
      </c>
      <c r="AA72" s="100">
        <v>-6.3065558633425667E-2</v>
      </c>
    </row>
    <row r="73" spans="1:27" customFormat="1" x14ac:dyDescent="0.3">
      <c r="A73">
        <v>260203</v>
      </c>
      <c r="B73" s="20" t="s">
        <v>1311</v>
      </c>
      <c r="C73" s="10" t="s">
        <v>23</v>
      </c>
      <c r="D73" s="10" t="s">
        <v>162</v>
      </c>
      <c r="E73" s="10" t="s">
        <v>806</v>
      </c>
      <c r="F73" s="38">
        <v>-8</v>
      </c>
      <c r="G73" s="49">
        <v>212.57</v>
      </c>
      <c r="H73" s="49">
        <v>83.67</v>
      </c>
      <c r="I73" s="49">
        <v>8.77</v>
      </c>
      <c r="J73" s="49">
        <v>145.26</v>
      </c>
      <c r="K73" s="49">
        <v>191.8</v>
      </c>
      <c r="L73" s="49">
        <v>56.43</v>
      </c>
      <c r="M73" s="49">
        <v>6.23</v>
      </c>
      <c r="N73" s="49">
        <v>134.55000000000001</v>
      </c>
      <c r="O73" s="49">
        <v>138.07</v>
      </c>
      <c r="P73" s="49">
        <v>44.68</v>
      </c>
      <c r="Q73" s="49">
        <v>-23.8</v>
      </c>
      <c r="R73" s="49">
        <v>112.54</v>
      </c>
      <c r="S73" s="49">
        <v>137.32</v>
      </c>
      <c r="T73" s="49">
        <v>46.51</v>
      </c>
      <c r="U73" s="49">
        <v>-23.59</v>
      </c>
      <c r="V73" s="49">
        <v>96.39</v>
      </c>
      <c r="W73" s="49">
        <v>116.74</v>
      </c>
      <c r="X73" s="145">
        <v>6.759252419295203E-3</v>
      </c>
      <c r="Y73" s="100">
        <v>7.7044428954020638E-4</v>
      </c>
      <c r="Z73" s="100">
        <v>-5.9205220324070613E-2</v>
      </c>
      <c r="AA73" s="100">
        <v>-8.0193274363870248E-2</v>
      </c>
    </row>
    <row r="74" spans="1:27" customFormat="1" x14ac:dyDescent="0.3">
      <c r="A74">
        <v>260203</v>
      </c>
      <c r="B74" s="20" t="s">
        <v>1242</v>
      </c>
      <c r="C74" s="10" t="s">
        <v>23</v>
      </c>
      <c r="D74" s="10" t="s">
        <v>115</v>
      </c>
      <c r="E74" s="10" t="s">
        <v>811</v>
      </c>
      <c r="F74" s="38">
        <v>-9</v>
      </c>
      <c r="G74" s="49">
        <v>-23.91</v>
      </c>
      <c r="H74" s="49">
        <v>-28.7</v>
      </c>
      <c r="I74" s="49">
        <v>-21.62</v>
      </c>
      <c r="J74" s="49">
        <v>-17.2</v>
      </c>
      <c r="K74" s="49">
        <v>-20.010000000000002</v>
      </c>
      <c r="L74" s="49">
        <v>-18.89</v>
      </c>
      <c r="M74" s="49">
        <v>-11.97</v>
      </c>
      <c r="N74" s="49">
        <v>-15.4</v>
      </c>
      <c r="O74" s="49">
        <v>-11.08</v>
      </c>
      <c r="P74" s="49">
        <v>-7.45</v>
      </c>
      <c r="Q74" s="49">
        <v>0.34</v>
      </c>
      <c r="R74" s="49">
        <v>-8.17</v>
      </c>
      <c r="S74" s="49">
        <v>-10.19</v>
      </c>
      <c r="T74" s="49">
        <v>-5.7</v>
      </c>
      <c r="U74" s="131">
        <v>-3.74</v>
      </c>
      <c r="V74" s="131">
        <v>-13.95</v>
      </c>
      <c r="W74" s="49">
        <v>-7.18</v>
      </c>
      <c r="X74" s="145">
        <v>-6.8708284255987406E-2</v>
      </c>
      <c r="Y74" s="113">
        <v>0.1720067453625633</v>
      </c>
      <c r="Z74" s="113">
        <v>0.20791366906474809</v>
      </c>
      <c r="AA74" s="100">
        <v>-8.9636688505062456E-2</v>
      </c>
    </row>
    <row r="75" spans="1:27" customFormat="1" x14ac:dyDescent="0.3">
      <c r="A75">
        <v>260203</v>
      </c>
      <c r="B75" s="20" t="s">
        <v>1231</v>
      </c>
      <c r="C75" s="10" t="s">
        <v>23</v>
      </c>
      <c r="D75" s="10" t="s">
        <v>46</v>
      </c>
      <c r="E75" s="10" t="s">
        <v>806</v>
      </c>
      <c r="F75" s="38">
        <v>-9.9</v>
      </c>
      <c r="G75" s="49">
        <v>16.579999999999998</v>
      </c>
      <c r="H75" s="49">
        <v>20.079999999999998</v>
      </c>
      <c r="I75" s="49">
        <v>58.62</v>
      </c>
      <c r="J75" s="49">
        <v>90.63</v>
      </c>
      <c r="K75" s="131">
        <v>112.73</v>
      </c>
      <c r="L75" s="131">
        <v>105.1</v>
      </c>
      <c r="M75" s="49">
        <v>80.27</v>
      </c>
      <c r="N75" s="49">
        <v>20.93</v>
      </c>
      <c r="O75" s="49">
        <v>47.6</v>
      </c>
      <c r="P75" s="49">
        <v>31.14</v>
      </c>
      <c r="Q75" s="49">
        <v>32.130000000000003</v>
      </c>
      <c r="R75" s="49">
        <v>17.41</v>
      </c>
      <c r="S75" s="49">
        <v>8.66</v>
      </c>
      <c r="T75" s="49">
        <v>10.86</v>
      </c>
      <c r="U75" s="49">
        <v>19.89</v>
      </c>
      <c r="V75" s="131">
        <v>23.7</v>
      </c>
      <c r="W75" s="49">
        <v>2.4</v>
      </c>
      <c r="X75" s="145">
        <v>-0.2269979852249833</v>
      </c>
      <c r="Y75" s="100">
        <v>-0.17723718505647271</v>
      </c>
      <c r="Z75" s="113">
        <v>0.1107004575853572</v>
      </c>
      <c r="AA75" s="100">
        <v>-9.919188718111227E-2</v>
      </c>
    </row>
    <row r="76" spans="1:27" customFormat="1" x14ac:dyDescent="0.3">
      <c r="A76">
        <v>260203</v>
      </c>
      <c r="B76" s="20" t="s">
        <v>1297</v>
      </c>
      <c r="C76" s="10" t="s">
        <v>23</v>
      </c>
      <c r="D76" s="10" t="s">
        <v>705</v>
      </c>
      <c r="E76" s="10" t="s">
        <v>821</v>
      </c>
      <c r="F76" s="38">
        <v>-10.3</v>
      </c>
      <c r="G76" s="49">
        <v>52.6</v>
      </c>
      <c r="H76" s="49">
        <v>43.5</v>
      </c>
      <c r="I76" s="49">
        <v>68.400000000000006</v>
      </c>
      <c r="J76" s="49">
        <v>62.4</v>
      </c>
      <c r="K76" s="49">
        <v>75.2</v>
      </c>
      <c r="L76" s="49">
        <v>58</v>
      </c>
      <c r="M76" s="49">
        <v>76</v>
      </c>
      <c r="N76" s="49">
        <v>85.2</v>
      </c>
      <c r="O76" s="49">
        <v>90.4</v>
      </c>
      <c r="P76" s="131">
        <v>91</v>
      </c>
      <c r="Q76" s="131">
        <v>111.6</v>
      </c>
      <c r="R76" s="49">
        <v>112.1</v>
      </c>
      <c r="S76" s="49">
        <v>115.3</v>
      </c>
      <c r="T76" s="49">
        <v>95.1</v>
      </c>
      <c r="U76" s="49">
        <v>44.8</v>
      </c>
      <c r="V76" s="49">
        <v>102.2</v>
      </c>
      <c r="W76" s="49">
        <v>78.5</v>
      </c>
      <c r="X76" s="145">
        <v>9.5348837209301429E-3</v>
      </c>
      <c r="Y76" s="100">
        <v>-0.15388159410274141</v>
      </c>
      <c r="Z76" s="100">
        <v>-2.6953444051184269E-2</v>
      </c>
      <c r="AA76" s="100">
        <v>-0.1029658645775041</v>
      </c>
    </row>
    <row r="77" spans="1:27" customFormat="1" x14ac:dyDescent="0.3">
      <c r="A77">
        <v>260203</v>
      </c>
      <c r="B77" s="20" t="s">
        <v>1264</v>
      </c>
      <c r="C77" s="10" t="s">
        <v>23</v>
      </c>
      <c r="D77" s="10" t="s">
        <v>445</v>
      </c>
      <c r="E77" s="10" t="s">
        <v>806</v>
      </c>
      <c r="F77" s="38">
        <v>-13.4</v>
      </c>
      <c r="G77" s="49">
        <v>376.6</v>
      </c>
      <c r="H77" s="49">
        <v>448.3</v>
      </c>
      <c r="I77" s="49">
        <v>372</v>
      </c>
      <c r="J77" s="49">
        <v>327.9</v>
      </c>
      <c r="K77" s="49">
        <v>409.5</v>
      </c>
      <c r="L77" s="49">
        <v>367.4</v>
      </c>
      <c r="M77" s="49">
        <v>296.39999999999998</v>
      </c>
      <c r="N77" s="49">
        <v>235.1</v>
      </c>
      <c r="O77" s="49">
        <v>254.3</v>
      </c>
      <c r="P77" s="49">
        <v>274.5</v>
      </c>
      <c r="Q77" s="49">
        <v>188.9</v>
      </c>
      <c r="R77" s="49">
        <v>132</v>
      </c>
      <c r="S77" s="49">
        <v>191.9</v>
      </c>
      <c r="T77" s="49">
        <v>182.7</v>
      </c>
      <c r="U77" s="49">
        <v>104.4</v>
      </c>
      <c r="V77" s="49">
        <v>112.1</v>
      </c>
      <c r="W77" s="49">
        <v>112.6</v>
      </c>
      <c r="X77" s="145">
        <v>-0.11660104153435789</v>
      </c>
      <c r="Y77" s="100">
        <v>-0.12149532710280379</v>
      </c>
      <c r="Z77" s="100">
        <v>-3.2569558101473002E-2</v>
      </c>
      <c r="AA77" s="100">
        <v>-0.13415665708002039</v>
      </c>
    </row>
    <row r="78" spans="1:27" customFormat="1" x14ac:dyDescent="0.3">
      <c r="A78">
        <v>260203</v>
      </c>
      <c r="B78" s="20" t="s">
        <v>1258</v>
      </c>
      <c r="C78" s="10" t="s">
        <v>23</v>
      </c>
      <c r="D78" s="10" t="s">
        <v>1259</v>
      </c>
      <c r="E78" s="10" t="s">
        <v>806</v>
      </c>
      <c r="F78" s="38">
        <v>-14.2</v>
      </c>
      <c r="G78" s="49">
        <v>1111</v>
      </c>
      <c r="H78" s="49">
        <v>1344</v>
      </c>
      <c r="I78" s="49">
        <v>1003</v>
      </c>
      <c r="J78" s="49">
        <v>1037</v>
      </c>
      <c r="K78" s="49">
        <v>1219</v>
      </c>
      <c r="L78" s="49">
        <v>1619</v>
      </c>
      <c r="M78" s="131">
        <v>1492</v>
      </c>
      <c r="N78" s="49">
        <v>1521</v>
      </c>
      <c r="O78" s="49">
        <v>1339</v>
      </c>
      <c r="P78" s="131">
        <v>2838</v>
      </c>
      <c r="Q78" s="49">
        <v>930</v>
      </c>
      <c r="R78" s="49">
        <v>1026</v>
      </c>
      <c r="S78" s="49">
        <v>1651</v>
      </c>
      <c r="T78" s="49">
        <v>723</v>
      </c>
      <c r="U78" s="49">
        <v>1168</v>
      </c>
      <c r="V78" s="49">
        <v>1056</v>
      </c>
      <c r="W78" s="49">
        <v>1000</v>
      </c>
      <c r="X78" s="145">
        <v>-0.32816136539953461</v>
      </c>
      <c r="Y78" s="100">
        <v>5.4965357967667439E-2</v>
      </c>
      <c r="Z78" s="100">
        <v>6.5674255691767769E-3</v>
      </c>
      <c r="AA78" s="100">
        <v>-0.1415832970856894</v>
      </c>
    </row>
    <row r="79" spans="1:27" customFormat="1" x14ac:dyDescent="0.3">
      <c r="A79">
        <v>260203</v>
      </c>
      <c r="B79" s="20" t="s">
        <v>1262</v>
      </c>
      <c r="C79" s="10" t="s">
        <v>23</v>
      </c>
      <c r="D79" s="10" t="s">
        <v>1263</v>
      </c>
      <c r="E79" s="10" t="s">
        <v>806</v>
      </c>
      <c r="F79" s="38">
        <v>-14.9</v>
      </c>
      <c r="G79" s="49">
        <v>2355</v>
      </c>
      <c r="H79" s="49">
        <v>2490</v>
      </c>
      <c r="I79" s="49">
        <v>2176</v>
      </c>
      <c r="J79" s="49">
        <v>2654</v>
      </c>
      <c r="K79" s="49">
        <v>2138</v>
      </c>
      <c r="L79" s="49">
        <v>2069</v>
      </c>
      <c r="M79" s="49">
        <v>2661</v>
      </c>
      <c r="N79" s="49">
        <v>1874</v>
      </c>
      <c r="O79" s="131">
        <v>3197</v>
      </c>
      <c r="P79" s="49">
        <v>1752</v>
      </c>
      <c r="Q79" s="49">
        <v>2707</v>
      </c>
      <c r="R79" s="49">
        <v>2708</v>
      </c>
      <c r="S79" s="131">
        <v>4707</v>
      </c>
      <c r="T79" s="49">
        <v>2341</v>
      </c>
      <c r="U79" s="49">
        <v>3004</v>
      </c>
      <c r="V79" s="49">
        <v>3264</v>
      </c>
      <c r="W79" s="49">
        <v>2720</v>
      </c>
      <c r="X79" s="145">
        <v>4.9604177193868892E-2</v>
      </c>
      <c r="Y79" s="100">
        <v>2.383053839364524E-2</v>
      </c>
      <c r="Z79" s="100">
        <v>4.3573667711598763E-2</v>
      </c>
      <c r="AA79" s="100">
        <v>-0.1492189846800841</v>
      </c>
    </row>
    <row r="80" spans="1:27" customFormat="1" x14ac:dyDescent="0.3">
      <c r="A80">
        <v>260203</v>
      </c>
      <c r="B80" s="20" t="s">
        <v>1315</v>
      </c>
      <c r="C80" s="10" t="s">
        <v>23</v>
      </c>
      <c r="D80" s="10" t="s">
        <v>1236</v>
      </c>
      <c r="E80" s="10" t="s">
        <v>811</v>
      </c>
      <c r="F80" s="38">
        <v>-15.8</v>
      </c>
      <c r="G80" s="49">
        <v>340</v>
      </c>
      <c r="H80" s="49">
        <v>116</v>
      </c>
      <c r="I80" s="49">
        <v>384</v>
      </c>
      <c r="J80" s="49">
        <v>441</v>
      </c>
      <c r="K80" s="49">
        <v>445</v>
      </c>
      <c r="L80" s="131">
        <v>311</v>
      </c>
      <c r="M80" s="49">
        <v>330</v>
      </c>
      <c r="N80" s="49">
        <v>543</v>
      </c>
      <c r="O80" s="49">
        <v>379</v>
      </c>
      <c r="P80" s="49">
        <v>365</v>
      </c>
      <c r="Q80" s="49">
        <v>363</v>
      </c>
      <c r="R80" s="49">
        <v>366</v>
      </c>
      <c r="S80" s="49">
        <v>435</v>
      </c>
      <c r="T80" s="49">
        <v>378</v>
      </c>
      <c r="U80" s="49">
        <v>399</v>
      </c>
      <c r="V80" s="49">
        <v>271</v>
      </c>
      <c r="W80" s="49">
        <v>200</v>
      </c>
      <c r="X80" s="145">
        <v>8.5022890778285731E-3</v>
      </c>
      <c r="Y80" s="100">
        <v>2.3346303501945439E-2</v>
      </c>
      <c r="Z80" s="100">
        <v>-6.0202788339670521E-2</v>
      </c>
      <c r="AA80" s="100">
        <v>-0.1584625758597438</v>
      </c>
    </row>
    <row r="81" spans="1:27" customFormat="1" x14ac:dyDescent="0.3">
      <c r="A81">
        <v>260203</v>
      </c>
      <c r="B81" s="20" t="s">
        <v>1232</v>
      </c>
      <c r="C81" s="10" t="s">
        <v>23</v>
      </c>
      <c r="D81" s="10" t="s">
        <v>48</v>
      </c>
      <c r="E81" s="10" t="s">
        <v>817</v>
      </c>
      <c r="F81" s="38">
        <v>-16.600000000000001</v>
      </c>
      <c r="G81" s="49">
        <v>2.65</v>
      </c>
      <c r="H81" s="49">
        <v>4.54</v>
      </c>
      <c r="I81" s="49">
        <v>3.6</v>
      </c>
      <c r="J81" s="49">
        <v>3.63</v>
      </c>
      <c r="K81" s="49">
        <v>3.42</v>
      </c>
      <c r="L81" s="49">
        <v>5.25</v>
      </c>
      <c r="M81" s="49">
        <v>4.6399999999999997</v>
      </c>
      <c r="N81" s="49">
        <v>4.4400000000000004</v>
      </c>
      <c r="O81" s="49">
        <v>4.46</v>
      </c>
      <c r="P81" s="49">
        <v>6.71</v>
      </c>
      <c r="Q81" s="49">
        <v>5.5</v>
      </c>
      <c r="R81" s="49">
        <v>3.74</v>
      </c>
      <c r="S81" s="49">
        <v>2.88</v>
      </c>
      <c r="T81" s="49">
        <v>4.9400000000000004</v>
      </c>
      <c r="U81" s="49">
        <v>5.44</v>
      </c>
      <c r="V81" s="49">
        <v>3.51</v>
      </c>
      <c r="W81" s="49">
        <v>0.09</v>
      </c>
      <c r="X81" s="145">
        <v>-9.3998937865108712E-2</v>
      </c>
      <c r="Y81" s="100">
        <v>-3.516998827667206E-3</v>
      </c>
      <c r="Z81" s="100">
        <v>-1.3529411764705899E-2</v>
      </c>
      <c r="AA81" s="100">
        <v>-0.16636851520572449</v>
      </c>
    </row>
    <row r="82" spans="1:27" customFormat="1" x14ac:dyDescent="0.3">
      <c r="A82">
        <v>260203</v>
      </c>
      <c r="B82" s="20" t="s">
        <v>1319</v>
      </c>
      <c r="C82" s="10" t="s">
        <v>23</v>
      </c>
      <c r="D82" s="10" t="s">
        <v>95</v>
      </c>
      <c r="E82" s="10" t="s">
        <v>806</v>
      </c>
      <c r="F82" s="38">
        <v>-17.7</v>
      </c>
      <c r="G82" s="49">
        <v>27.05</v>
      </c>
      <c r="H82" s="49">
        <v>20.100000000000001</v>
      </c>
      <c r="I82" s="49">
        <v>19.579999999999998</v>
      </c>
      <c r="J82" s="49">
        <v>22.78</v>
      </c>
      <c r="K82" s="131">
        <v>44.31</v>
      </c>
      <c r="L82" s="49">
        <v>30.56</v>
      </c>
      <c r="M82" s="131">
        <v>32.54</v>
      </c>
      <c r="N82" s="49">
        <v>24.45</v>
      </c>
      <c r="O82" s="49">
        <v>53.79</v>
      </c>
      <c r="P82" s="49">
        <v>28.36</v>
      </c>
      <c r="Q82" s="49">
        <v>25.02</v>
      </c>
      <c r="R82" s="49">
        <v>25.88</v>
      </c>
      <c r="S82" s="131">
        <v>77.53</v>
      </c>
      <c r="T82" s="49">
        <v>28.92</v>
      </c>
      <c r="U82" s="49">
        <v>29.73</v>
      </c>
      <c r="V82" s="49">
        <v>30.3</v>
      </c>
      <c r="W82" s="49">
        <v>48</v>
      </c>
      <c r="X82" s="145">
        <v>3.571656355634945E-3</v>
      </c>
      <c r="Y82" s="100">
        <v>2.993326978074351E-2</v>
      </c>
      <c r="Z82" s="100">
        <v>2.727384919165754E-2</v>
      </c>
      <c r="AA82" s="100">
        <v>-0.17737866410379641</v>
      </c>
    </row>
    <row r="83" spans="1:27" customFormat="1" x14ac:dyDescent="0.3">
      <c r="A83">
        <v>260203</v>
      </c>
      <c r="B83" s="20" t="s">
        <v>1298</v>
      </c>
      <c r="C83" s="10" t="s">
        <v>23</v>
      </c>
      <c r="D83" s="10" t="s">
        <v>443</v>
      </c>
      <c r="E83" s="10" t="s">
        <v>806</v>
      </c>
      <c r="F83" s="38">
        <v>-18.5</v>
      </c>
      <c r="G83" s="49">
        <v>152</v>
      </c>
      <c r="H83" s="49">
        <v>212</v>
      </c>
      <c r="I83" s="49">
        <v>251</v>
      </c>
      <c r="J83" s="49">
        <v>295</v>
      </c>
      <c r="K83" s="131">
        <v>296</v>
      </c>
      <c r="L83" s="131">
        <v>343</v>
      </c>
      <c r="M83" s="49">
        <v>315</v>
      </c>
      <c r="N83" s="49">
        <v>315</v>
      </c>
      <c r="O83" s="49">
        <v>320</v>
      </c>
      <c r="P83" s="49">
        <v>301</v>
      </c>
      <c r="Q83" s="49">
        <v>270</v>
      </c>
      <c r="R83" s="49">
        <v>302</v>
      </c>
      <c r="S83" s="49">
        <v>273</v>
      </c>
      <c r="T83" s="49">
        <v>239</v>
      </c>
      <c r="U83" s="49">
        <v>216</v>
      </c>
      <c r="V83" s="49">
        <v>256</v>
      </c>
      <c r="W83" s="49">
        <v>91</v>
      </c>
      <c r="X83" s="145">
        <v>-5.4101221640488688E-2</v>
      </c>
      <c r="Y83" s="100">
        <v>-4.9815498154981541E-2</v>
      </c>
      <c r="Z83" s="100">
        <v>-4.4660194174757313E-2</v>
      </c>
      <c r="AA83" s="100">
        <v>-0.18495934959349589</v>
      </c>
    </row>
    <row r="84" spans="1:27" customFormat="1" x14ac:dyDescent="0.3">
      <c r="A84">
        <v>260203</v>
      </c>
      <c r="B84" s="20" t="s">
        <v>1302</v>
      </c>
      <c r="C84" s="10" t="s">
        <v>23</v>
      </c>
      <c r="D84" s="10" t="s">
        <v>1255</v>
      </c>
      <c r="E84" s="10" t="s">
        <v>821</v>
      </c>
      <c r="F84" s="38">
        <v>-20.100000000000001</v>
      </c>
      <c r="G84" s="49">
        <v>268.88</v>
      </c>
      <c r="H84" s="49">
        <v>319.25</v>
      </c>
      <c r="I84" s="49">
        <v>350.2</v>
      </c>
      <c r="J84" s="49">
        <v>300.70999999999998</v>
      </c>
      <c r="K84" s="49">
        <v>231.38</v>
      </c>
      <c r="L84" s="49">
        <v>239.69</v>
      </c>
      <c r="M84" s="49">
        <v>232.5</v>
      </c>
      <c r="N84" s="49">
        <v>189.35</v>
      </c>
      <c r="O84" s="49">
        <v>175.18</v>
      </c>
      <c r="P84" s="49">
        <v>178.54</v>
      </c>
      <c r="Q84" s="49">
        <v>168.18</v>
      </c>
      <c r="R84" s="49">
        <v>101.93</v>
      </c>
      <c r="S84" s="49">
        <v>67.89</v>
      </c>
      <c r="T84" s="49">
        <v>75.87</v>
      </c>
      <c r="U84" s="49">
        <v>63.77</v>
      </c>
      <c r="V84" s="49">
        <v>30.14</v>
      </c>
      <c r="W84" s="49">
        <v>20.12</v>
      </c>
      <c r="X84" s="145">
        <v>-0.1987648584814341</v>
      </c>
      <c r="Y84" s="100">
        <v>-0.25227728513784509</v>
      </c>
      <c r="Z84" s="100">
        <v>-0.2319847476248951</v>
      </c>
      <c r="AA84" s="100">
        <v>-0.20099297345058281</v>
      </c>
    </row>
    <row r="85" spans="1:27" customFormat="1" x14ac:dyDescent="0.3">
      <c r="A85">
        <v>260203</v>
      </c>
      <c r="B85" s="20" t="s">
        <v>1316</v>
      </c>
      <c r="C85" s="10" t="s">
        <v>23</v>
      </c>
      <c r="D85" s="10" t="s">
        <v>427</v>
      </c>
      <c r="E85" s="10" t="s">
        <v>806</v>
      </c>
      <c r="F85" s="38">
        <v>-20.5</v>
      </c>
      <c r="G85" s="49">
        <v>62.6</v>
      </c>
      <c r="H85" s="49">
        <v>61.82</v>
      </c>
      <c r="I85" s="49">
        <v>94.04</v>
      </c>
      <c r="J85" s="49">
        <v>136.04</v>
      </c>
      <c r="K85" s="131">
        <v>161.35</v>
      </c>
      <c r="L85" s="131">
        <v>168.36</v>
      </c>
      <c r="M85" s="131">
        <v>170.5</v>
      </c>
      <c r="N85" s="49">
        <v>117.99</v>
      </c>
      <c r="O85" s="49">
        <v>4.58</v>
      </c>
      <c r="P85" s="49">
        <v>-27.19</v>
      </c>
      <c r="Q85" s="49">
        <v>2.97</v>
      </c>
      <c r="R85" s="49">
        <v>50.47</v>
      </c>
      <c r="S85" s="131">
        <v>64.2</v>
      </c>
      <c r="T85" s="131">
        <v>35.08</v>
      </c>
      <c r="U85" s="131">
        <v>40.33</v>
      </c>
      <c r="V85" s="49">
        <v>67.45</v>
      </c>
      <c r="W85" s="49">
        <v>21.8</v>
      </c>
      <c r="X85" s="146">
        <v>0.68844665561083462</v>
      </c>
      <c r="Y85" s="113">
        <v>0.2446306966998428</v>
      </c>
      <c r="Z85" s="100">
        <v>8.9330808080808177E-2</v>
      </c>
      <c r="AA85" s="100">
        <v>-0.20477156379793299</v>
      </c>
    </row>
    <row r="86" spans="1:27" customFormat="1" x14ac:dyDescent="0.3">
      <c r="A86">
        <v>260203</v>
      </c>
      <c r="B86" s="20" t="s">
        <v>1324</v>
      </c>
      <c r="C86" s="10" t="s">
        <v>23</v>
      </c>
      <c r="D86" s="10" t="s">
        <v>182</v>
      </c>
      <c r="E86" s="10" t="s">
        <v>806</v>
      </c>
      <c r="F86" s="38">
        <v>-27.4</v>
      </c>
      <c r="G86" s="49">
        <v>200.24</v>
      </c>
      <c r="H86" s="49">
        <v>892.41</v>
      </c>
      <c r="I86" s="49">
        <v>471.18</v>
      </c>
      <c r="J86" s="49">
        <v>161.15</v>
      </c>
      <c r="K86" s="49">
        <v>138.07</v>
      </c>
      <c r="L86" s="49">
        <v>73.14</v>
      </c>
      <c r="M86" s="49">
        <v>443.22</v>
      </c>
      <c r="N86" s="131">
        <v>273.77999999999997</v>
      </c>
      <c r="O86" s="49">
        <v>-4.4000000000000004</v>
      </c>
      <c r="P86" s="131">
        <v>352.7</v>
      </c>
      <c r="Q86" s="49">
        <v>290.17</v>
      </c>
      <c r="R86" s="49">
        <v>45.15</v>
      </c>
      <c r="S86" s="131">
        <v>511.18</v>
      </c>
      <c r="T86" s="49">
        <v>56.78</v>
      </c>
      <c r="U86" s="49">
        <v>306.41000000000003</v>
      </c>
      <c r="V86" s="131">
        <v>236.87</v>
      </c>
      <c r="W86" s="49">
        <v>206.33</v>
      </c>
      <c r="X86" s="145">
        <v>-0.2467645096731155</v>
      </c>
      <c r="Y86" s="100">
        <v>1.7978921264724109E-2</v>
      </c>
      <c r="Z86" s="113">
        <v>0.208500087001914</v>
      </c>
      <c r="AA86" s="100">
        <v>-0.27433317735142709</v>
      </c>
    </row>
    <row r="87" spans="1:27" customFormat="1" x14ac:dyDescent="0.3">
      <c r="A87">
        <v>260203</v>
      </c>
      <c r="B87" s="20" t="s">
        <v>1235</v>
      </c>
      <c r="C87" s="10" t="s">
        <v>23</v>
      </c>
      <c r="D87" s="10" t="s">
        <v>1236</v>
      </c>
      <c r="E87" s="10" t="s">
        <v>817</v>
      </c>
      <c r="F87" s="38">
        <v>-44.5</v>
      </c>
      <c r="G87" s="49">
        <v>154.69999999999999</v>
      </c>
      <c r="H87" s="49">
        <v>133.80000000000001</v>
      </c>
      <c r="I87" s="49">
        <v>-17.5</v>
      </c>
      <c r="J87" s="49">
        <v>-246.1</v>
      </c>
      <c r="K87" s="49">
        <v>-171.2</v>
      </c>
      <c r="L87" s="131">
        <v>-111.9</v>
      </c>
      <c r="M87" s="131">
        <v>-178.9</v>
      </c>
      <c r="N87" s="49">
        <v>-151.69999999999999</v>
      </c>
      <c r="O87" s="49">
        <v>-75.400000000000006</v>
      </c>
      <c r="P87" s="49">
        <v>-50.6</v>
      </c>
      <c r="Q87" s="49">
        <v>-135.4</v>
      </c>
      <c r="R87" s="131">
        <v>-280.39999999999998</v>
      </c>
      <c r="S87" s="49">
        <v>-107.3</v>
      </c>
      <c r="T87" s="49">
        <v>31.9</v>
      </c>
      <c r="U87" s="49">
        <v>17.399999999999999</v>
      </c>
      <c r="V87" s="49">
        <v>-97.5</v>
      </c>
      <c r="W87" s="49">
        <v>-38.1</v>
      </c>
      <c r="X87" s="145">
        <v>-0.1438033815583056</v>
      </c>
      <c r="Y87" s="100">
        <v>-0.31107491856677533</v>
      </c>
      <c r="Z87" s="100">
        <v>-0.54048463356973997</v>
      </c>
      <c r="AA87" s="100">
        <v>-0.44501607717041791</v>
      </c>
    </row>
    <row r="88" spans="1:27" customFormat="1" x14ac:dyDescent="0.3">
      <c r="A88">
        <v>260203</v>
      </c>
      <c r="B88" s="20" t="s">
        <v>1323</v>
      </c>
      <c r="C88" s="10" t="s">
        <v>23</v>
      </c>
      <c r="D88" s="10" t="s">
        <v>93</v>
      </c>
      <c r="E88" s="10" t="s">
        <v>821</v>
      </c>
      <c r="F88" s="38">
        <v>-58</v>
      </c>
      <c r="G88" s="49">
        <v>21.53</v>
      </c>
      <c r="H88" s="49">
        <v>17.61</v>
      </c>
      <c r="I88" s="49">
        <v>10.72</v>
      </c>
      <c r="J88" s="49">
        <v>13.96</v>
      </c>
      <c r="K88" s="49">
        <v>17.97</v>
      </c>
      <c r="L88" s="49">
        <v>22.97</v>
      </c>
      <c r="M88" s="131">
        <v>21.44</v>
      </c>
      <c r="N88" s="131">
        <v>45.9</v>
      </c>
      <c r="O88" s="49">
        <v>13.22</v>
      </c>
      <c r="P88" s="49">
        <v>22.15</v>
      </c>
      <c r="Q88" s="49">
        <v>7.97</v>
      </c>
      <c r="R88" s="49">
        <v>53.07</v>
      </c>
      <c r="S88" s="49">
        <v>6.64</v>
      </c>
      <c r="T88" s="49">
        <v>3.48</v>
      </c>
      <c r="U88" s="131">
        <v>20.66</v>
      </c>
      <c r="V88" s="49">
        <v>7.75</v>
      </c>
      <c r="W88" s="49">
        <v>-15.69</v>
      </c>
      <c r="X88" s="145">
        <v>-0.20783702549259719</v>
      </c>
      <c r="Y88" s="113">
        <v>0.17833052276559869</v>
      </c>
      <c r="Z88" s="100">
        <v>-0.54048896839594507</v>
      </c>
      <c r="AA88" s="100">
        <v>-0.57954840384116268</v>
      </c>
    </row>
    <row r="89" spans="1:27" customFormat="1" x14ac:dyDescent="0.3">
      <c r="A89">
        <v>260203</v>
      </c>
      <c r="B89" s="20" t="s">
        <v>1225</v>
      </c>
      <c r="C89" s="10" t="s">
        <v>23</v>
      </c>
      <c r="D89" s="10" t="s">
        <v>37</v>
      </c>
      <c r="E89" s="10" t="s">
        <v>811</v>
      </c>
      <c r="F89" s="38">
        <v>-112.8</v>
      </c>
      <c r="G89" s="49">
        <v>85.4</v>
      </c>
      <c r="H89" s="49">
        <v>46.7</v>
      </c>
      <c r="I89" s="49">
        <v>70.099999999999994</v>
      </c>
      <c r="J89" s="49">
        <v>22.8</v>
      </c>
      <c r="K89" s="49">
        <v>9.4</v>
      </c>
      <c r="L89" s="49">
        <v>-38.299999999999997</v>
      </c>
      <c r="M89" s="49">
        <v>-17.600000000000001</v>
      </c>
      <c r="N89" s="131">
        <v>-67.400000000000006</v>
      </c>
      <c r="O89" s="131">
        <v>-87</v>
      </c>
      <c r="P89" s="131">
        <v>-90.5</v>
      </c>
      <c r="Q89" s="131">
        <v>-96.6</v>
      </c>
      <c r="R89" s="49">
        <v>-72.7</v>
      </c>
      <c r="S89" s="49">
        <v>-50.9</v>
      </c>
      <c r="T89" s="49">
        <v>-65.400000000000006</v>
      </c>
      <c r="U89" s="49">
        <v>-0.5</v>
      </c>
      <c r="V89" s="49">
        <v>15</v>
      </c>
      <c r="W89" s="49">
        <v>63.9</v>
      </c>
      <c r="X89" s="145">
        <v>-8.0785323463147596E-2</v>
      </c>
      <c r="Y89" s="100">
        <v>-0.33648459383753498</v>
      </c>
      <c r="Z89" s="100">
        <v>-0.462796833773087</v>
      </c>
      <c r="AA89" s="100">
        <v>-1.12770137524558</v>
      </c>
    </row>
    <row r="90" spans="1:27" customFormat="1" x14ac:dyDescent="0.3">
      <c r="A90">
        <v>260203</v>
      </c>
      <c r="B90" s="20" t="s">
        <v>1248</v>
      </c>
      <c r="C90" s="10" t="s">
        <v>23</v>
      </c>
      <c r="D90" s="10" t="s">
        <v>115</v>
      </c>
      <c r="E90" s="10" t="s">
        <v>817</v>
      </c>
      <c r="F90" s="38">
        <v>-173.6</v>
      </c>
      <c r="G90" s="49">
        <v>35.270000000000003</v>
      </c>
      <c r="H90" s="49">
        <v>29.92</v>
      </c>
      <c r="I90" s="49">
        <v>25.68</v>
      </c>
      <c r="J90" s="49">
        <v>22.37</v>
      </c>
      <c r="K90" s="49">
        <v>12.15</v>
      </c>
      <c r="L90" s="49">
        <v>-7.22</v>
      </c>
      <c r="M90" s="49">
        <v>-4.2300000000000004</v>
      </c>
      <c r="N90" s="49">
        <v>-2.02</v>
      </c>
      <c r="O90" s="131">
        <v>-3.55</v>
      </c>
      <c r="P90" s="131">
        <v>-15.77</v>
      </c>
      <c r="Q90" s="131">
        <v>-14.46</v>
      </c>
      <c r="R90" s="131">
        <v>-13.04</v>
      </c>
      <c r="S90" s="131">
        <v>-9.66</v>
      </c>
      <c r="T90" s="49">
        <v>-10.79</v>
      </c>
      <c r="U90" s="49">
        <v>-4.47</v>
      </c>
      <c r="V90" s="49">
        <v>6.88</v>
      </c>
      <c r="W90" s="49">
        <v>21.65</v>
      </c>
      <c r="X90" s="145">
        <v>-9.4086529378424322E-2</v>
      </c>
      <c r="Y90" s="100">
        <v>-0.20834202294056309</v>
      </c>
      <c r="Z90" s="100">
        <v>-0.52476290832455219</v>
      </c>
      <c r="AA90" s="100">
        <v>-1.735587583148559</v>
      </c>
    </row>
    <row r="91" spans="1:27" customFormat="1" x14ac:dyDescent="0.3">
      <c r="A91">
        <v>260203</v>
      </c>
      <c r="B91" s="20" t="s">
        <v>1305</v>
      </c>
      <c r="C91" s="10" t="s">
        <v>23</v>
      </c>
      <c r="D91" s="10" t="s">
        <v>658</v>
      </c>
      <c r="E91" s="10" t="s">
        <v>821</v>
      </c>
      <c r="F91" s="38">
        <v>-308.5</v>
      </c>
      <c r="G91" s="49">
        <v>132.59</v>
      </c>
      <c r="H91" s="49">
        <v>10.039999999999999</v>
      </c>
      <c r="I91" s="49">
        <v>6.96</v>
      </c>
      <c r="J91" s="49">
        <v>-60.06</v>
      </c>
      <c r="K91" s="49">
        <v>86.3</v>
      </c>
      <c r="L91" s="49">
        <v>-52.38</v>
      </c>
      <c r="M91" s="131">
        <v>-10.93</v>
      </c>
      <c r="N91" s="49">
        <v>-27.89</v>
      </c>
      <c r="O91" s="131">
        <v>80.260000000000005</v>
      </c>
      <c r="P91" s="131">
        <v>-70.95</v>
      </c>
      <c r="Q91" s="49">
        <v>13.88</v>
      </c>
      <c r="R91" s="131">
        <v>-59.38</v>
      </c>
      <c r="S91" s="131">
        <v>48.03</v>
      </c>
      <c r="T91" s="49">
        <v>-37.520000000000003</v>
      </c>
      <c r="U91" s="131">
        <v>-0.95</v>
      </c>
      <c r="V91" s="49">
        <v>-26.54</v>
      </c>
      <c r="W91" s="49">
        <v>100.42</v>
      </c>
      <c r="X91" s="145">
        <v>-0.48859982461268642</v>
      </c>
      <c r="Y91" s="113">
        <v>0.42383538153758238</v>
      </c>
      <c r="Z91" s="100">
        <v>-0.65917302288237667</v>
      </c>
      <c r="AA91" s="100">
        <v>-3.0853945818610131</v>
      </c>
    </row>
    <row r="92" spans="1:27" customFormat="1" x14ac:dyDescent="0.3">
      <c r="A92">
        <v>260203</v>
      </c>
      <c r="B92" s="20" t="s">
        <v>1227</v>
      </c>
      <c r="C92" s="10" t="s">
        <v>23</v>
      </c>
      <c r="D92" s="10" t="s">
        <v>50</v>
      </c>
      <c r="E92" s="10" t="s">
        <v>806</v>
      </c>
      <c r="F92" s="38">
        <v>-507.7</v>
      </c>
      <c r="G92" s="49">
        <v>19.16</v>
      </c>
      <c r="H92" s="49">
        <v>18.79</v>
      </c>
      <c r="I92" s="49">
        <v>19.68</v>
      </c>
      <c r="J92" s="49">
        <v>19.29</v>
      </c>
      <c r="K92" s="49">
        <v>16.95</v>
      </c>
      <c r="L92" s="49">
        <v>17.190000000000001</v>
      </c>
      <c r="M92" s="49">
        <v>15.9</v>
      </c>
      <c r="N92" s="49">
        <v>15.81</v>
      </c>
      <c r="O92" s="49">
        <v>-24.56</v>
      </c>
      <c r="P92" s="49">
        <v>9.11</v>
      </c>
      <c r="Q92" s="49">
        <v>11.83</v>
      </c>
      <c r="R92" s="49">
        <v>-97.09</v>
      </c>
      <c r="S92" s="49">
        <v>-24.64</v>
      </c>
      <c r="T92" s="49">
        <v>1.8</v>
      </c>
      <c r="U92" s="49">
        <v>6.89</v>
      </c>
      <c r="V92" s="49">
        <v>6.88</v>
      </c>
      <c r="W92" s="49">
        <v>21.41</v>
      </c>
      <c r="X92" s="145">
        <v>7.2527036412342483E-2</v>
      </c>
      <c r="Y92" s="100">
        <v>4.5698427382053541E-2</v>
      </c>
      <c r="Z92" s="100">
        <v>-0.91976291578202407</v>
      </c>
      <c r="AA92" s="100">
        <v>-5.0771775082690187</v>
      </c>
    </row>
    <row r="93" spans="1:27" customFormat="1" x14ac:dyDescent="0.3">
      <c r="A93">
        <v>260203</v>
      </c>
      <c r="B93" s="20" t="s">
        <v>1278</v>
      </c>
      <c r="C93" s="10" t="s">
        <v>23</v>
      </c>
      <c r="D93" s="10" t="s">
        <v>131</v>
      </c>
      <c r="E93" s="10" t="s">
        <v>811</v>
      </c>
      <c r="F93" s="38">
        <v>-826.5</v>
      </c>
      <c r="G93" s="49">
        <v>6.08</v>
      </c>
      <c r="H93" s="49">
        <v>19.03</v>
      </c>
      <c r="I93" s="49">
        <v>36.54</v>
      </c>
      <c r="J93" s="49">
        <v>-3.19</v>
      </c>
      <c r="K93" s="49">
        <v>-4.54</v>
      </c>
      <c r="L93" s="49">
        <v>6.34</v>
      </c>
      <c r="M93" s="49">
        <v>-4.87</v>
      </c>
      <c r="N93" s="131">
        <v>-29.69</v>
      </c>
      <c r="O93" s="131">
        <v>-53.7</v>
      </c>
      <c r="P93" s="131">
        <v>-35.61</v>
      </c>
      <c r="Q93" s="49">
        <v>-0.88</v>
      </c>
      <c r="R93" s="49">
        <v>-10.98</v>
      </c>
      <c r="S93" s="49">
        <v>-12.2</v>
      </c>
      <c r="T93" s="49">
        <v>-12.1</v>
      </c>
      <c r="U93" s="49">
        <v>24.87</v>
      </c>
      <c r="V93" s="49">
        <v>-1.25</v>
      </c>
      <c r="W93" s="49">
        <v>-6.58</v>
      </c>
      <c r="X93" s="145">
        <v>-0.39400033517680588</v>
      </c>
      <c r="Y93" s="100">
        <v>-0.71211283185840712</v>
      </c>
      <c r="Z93" s="100">
        <v>-0.9346781940441885</v>
      </c>
      <c r="AA93" s="100">
        <v>-8.2647058823529651</v>
      </c>
    </row>
    <row r="94" spans="1:27" customFormat="1" x14ac:dyDescent="0.3">
      <c r="A94">
        <v>260203</v>
      </c>
      <c r="B94" s="83">
        <v>4676</v>
      </c>
      <c r="C94" s="84" t="s">
        <v>67</v>
      </c>
      <c r="D94" s="84" t="s">
        <v>1339</v>
      </c>
      <c r="E94" s="10" t="s">
        <v>811</v>
      </c>
      <c r="F94" s="115">
        <v>725.3</v>
      </c>
      <c r="G94" s="133">
        <v>6932</v>
      </c>
      <c r="H94" s="133">
        <v>14758</v>
      </c>
      <c r="I94" s="133">
        <v>7005</v>
      </c>
      <c r="J94" s="133">
        <v>7852</v>
      </c>
      <c r="K94" s="133">
        <v>4306</v>
      </c>
      <c r="L94" s="133">
        <v>10282</v>
      </c>
      <c r="M94" s="133">
        <v>8962</v>
      </c>
      <c r="N94" s="133">
        <v>5600</v>
      </c>
      <c r="O94" s="134">
        <v>7421</v>
      </c>
      <c r="P94" s="133">
        <v>10581</v>
      </c>
      <c r="Q94" s="133">
        <v>9919</v>
      </c>
      <c r="R94" s="133">
        <v>6555</v>
      </c>
      <c r="S94" s="133">
        <v>7325</v>
      </c>
      <c r="T94" s="133">
        <v>13291</v>
      </c>
      <c r="U94" s="133">
        <v>-8877</v>
      </c>
      <c r="V94" s="133">
        <v>-12778</v>
      </c>
      <c r="W94" s="134">
        <v>-211</v>
      </c>
      <c r="X94" s="147">
        <v>7.882489819662597E-2</v>
      </c>
      <c r="Y94" s="119">
        <v>-0.50676732272849823</v>
      </c>
      <c r="Z94" s="119">
        <v>-1.0567945774570899</v>
      </c>
      <c r="AA94" s="120">
        <v>7.2531280076997113</v>
      </c>
    </row>
    <row r="95" spans="1:27" customFormat="1" x14ac:dyDescent="0.3">
      <c r="A95">
        <v>260203</v>
      </c>
      <c r="B95" s="20">
        <v>5857</v>
      </c>
      <c r="C95" s="10" t="s">
        <v>67</v>
      </c>
      <c r="D95" s="10" t="s">
        <v>1340</v>
      </c>
      <c r="E95" s="10" t="s">
        <v>811</v>
      </c>
      <c r="F95" s="99">
        <v>20.6</v>
      </c>
      <c r="G95" s="49">
        <v>6715</v>
      </c>
      <c r="H95" s="49">
        <v>5508</v>
      </c>
      <c r="I95" s="49">
        <v>7706</v>
      </c>
      <c r="J95" s="49">
        <v>5665</v>
      </c>
      <c r="K95" s="49">
        <v>6473</v>
      </c>
      <c r="L95" s="49">
        <v>5987</v>
      </c>
      <c r="M95" s="49">
        <v>3236</v>
      </c>
      <c r="N95" s="49">
        <v>3051</v>
      </c>
      <c r="O95" s="49">
        <v>3931</v>
      </c>
      <c r="P95" s="49">
        <v>3061</v>
      </c>
      <c r="Q95" s="49">
        <v>0</v>
      </c>
      <c r="R95" s="49">
        <v>3146</v>
      </c>
      <c r="S95" s="49">
        <v>4201</v>
      </c>
      <c r="T95" s="131">
        <v>5837</v>
      </c>
      <c r="U95" s="131">
        <v>7279</v>
      </c>
      <c r="V95" s="131">
        <v>5543</v>
      </c>
      <c r="W95" s="131">
        <v>8913</v>
      </c>
      <c r="X95" s="146">
        <v>0.26671790930053813</v>
      </c>
      <c r="Y95" s="113">
        <v>0.55210861650485432</v>
      </c>
      <c r="Z95" s="113">
        <v>0.11713824952353021</v>
      </c>
      <c r="AA95" s="113">
        <v>0.20612423447069109</v>
      </c>
    </row>
    <row r="96" spans="1:27" customFormat="1" x14ac:dyDescent="0.3">
      <c r="A96">
        <v>260203</v>
      </c>
      <c r="B96" s="20">
        <v>6471</v>
      </c>
      <c r="C96" s="10" t="s">
        <v>67</v>
      </c>
      <c r="D96" s="10" t="s">
        <v>1341</v>
      </c>
      <c r="E96" s="10" t="s">
        <v>817</v>
      </c>
      <c r="F96" s="99">
        <v>19.399999999999999</v>
      </c>
      <c r="G96" s="49">
        <v>4784</v>
      </c>
      <c r="H96" s="49">
        <v>6222</v>
      </c>
      <c r="I96" s="49">
        <v>3899</v>
      </c>
      <c r="J96" s="49">
        <v>8194</v>
      </c>
      <c r="K96" s="131">
        <v>8195</v>
      </c>
      <c r="L96" s="131">
        <v>12474</v>
      </c>
      <c r="M96" s="49">
        <v>3410</v>
      </c>
      <c r="N96" s="49">
        <v>6363</v>
      </c>
      <c r="O96" s="49">
        <v>7898</v>
      </c>
      <c r="P96" s="49">
        <v>7002</v>
      </c>
      <c r="Q96" s="49">
        <v>5642</v>
      </c>
      <c r="R96" s="49">
        <v>4220</v>
      </c>
      <c r="S96" s="49">
        <v>3841</v>
      </c>
      <c r="T96" s="131">
        <v>12789</v>
      </c>
      <c r="U96" s="49">
        <v>3729</v>
      </c>
      <c r="V96" s="131">
        <v>11038</v>
      </c>
      <c r="W96" s="131">
        <v>9945</v>
      </c>
      <c r="X96" s="146">
        <v>0.27949770586814782</v>
      </c>
      <c r="Y96" s="100">
        <v>-7.2210478635059694E-2</v>
      </c>
      <c r="Z96" s="113">
        <v>0.27739126896944549</v>
      </c>
      <c r="AA96" s="113">
        <v>0.1944134789948084</v>
      </c>
    </row>
    <row r="97" spans="1:27" customFormat="1" x14ac:dyDescent="0.3">
      <c r="A97">
        <v>260203</v>
      </c>
      <c r="B97" s="20">
        <v>5482</v>
      </c>
      <c r="C97" s="10" t="s">
        <v>67</v>
      </c>
      <c r="D97" s="10" t="s">
        <v>1342</v>
      </c>
      <c r="E97" s="10" t="s">
        <v>811</v>
      </c>
      <c r="F97" s="99">
        <v>15.5</v>
      </c>
      <c r="G97" s="49">
        <v>257</v>
      </c>
      <c r="H97" s="49">
        <v>-97</v>
      </c>
      <c r="I97" s="49">
        <v>629</v>
      </c>
      <c r="J97" s="49">
        <v>-1186</v>
      </c>
      <c r="K97" s="49">
        <v>1479</v>
      </c>
      <c r="L97" s="131">
        <v>314</v>
      </c>
      <c r="M97" s="131">
        <v>3436</v>
      </c>
      <c r="N97" s="131">
        <v>3068</v>
      </c>
      <c r="O97" s="49">
        <v>1655</v>
      </c>
      <c r="P97" s="131">
        <v>4382</v>
      </c>
      <c r="Q97" s="49">
        <v>3373</v>
      </c>
      <c r="R97" s="49">
        <v>1487</v>
      </c>
      <c r="S97" s="49">
        <v>1811</v>
      </c>
      <c r="T97" s="49">
        <v>4411</v>
      </c>
      <c r="U97" s="131">
        <v>4999</v>
      </c>
      <c r="V97" s="131">
        <v>4529</v>
      </c>
      <c r="W97" s="131">
        <v>4255</v>
      </c>
      <c r="X97" s="145">
        <v>2.623722066407375E-3</v>
      </c>
      <c r="Y97" s="113">
        <v>0.14672441797509481</v>
      </c>
      <c r="Z97" s="113">
        <v>0.23937677053824369</v>
      </c>
      <c r="AA97" s="113">
        <v>0.1551746031746031</v>
      </c>
    </row>
    <row r="98" spans="1:27" customFormat="1" x14ac:dyDescent="0.3">
      <c r="A98">
        <v>260203</v>
      </c>
      <c r="B98" s="20">
        <v>8386</v>
      </c>
      <c r="C98" s="10" t="s">
        <v>67</v>
      </c>
      <c r="D98" s="10" t="s">
        <v>1166</v>
      </c>
      <c r="E98" s="10" t="s">
        <v>811</v>
      </c>
      <c r="F98" s="99">
        <v>15.4</v>
      </c>
      <c r="G98" s="49">
        <v>4702</v>
      </c>
      <c r="H98" s="49">
        <v>4792</v>
      </c>
      <c r="I98" s="49">
        <v>479</v>
      </c>
      <c r="J98" s="49">
        <v>5110</v>
      </c>
      <c r="K98" s="49">
        <v>3616</v>
      </c>
      <c r="L98" s="49">
        <v>2197</v>
      </c>
      <c r="M98" s="131">
        <v>2285</v>
      </c>
      <c r="N98" s="49">
        <v>5688</v>
      </c>
      <c r="O98" s="49">
        <v>1616</v>
      </c>
      <c r="P98" s="131">
        <v>3488</v>
      </c>
      <c r="Q98" s="49">
        <v>3489</v>
      </c>
      <c r="R98" s="49">
        <v>4955</v>
      </c>
      <c r="S98" s="131">
        <v>3016</v>
      </c>
      <c r="T98" s="131">
        <v>5576</v>
      </c>
      <c r="U98" s="49">
        <v>4050</v>
      </c>
      <c r="V98" s="49">
        <v>6603</v>
      </c>
      <c r="W98" s="131">
        <v>5971</v>
      </c>
      <c r="X98" s="146">
        <v>0.13968423869413971</v>
      </c>
      <c r="Y98" s="100">
        <v>3.2930265320497698E-2</v>
      </c>
      <c r="Z98" s="100">
        <v>9.3652327101210409E-2</v>
      </c>
      <c r="AA98" s="113">
        <v>0.15354637568199531</v>
      </c>
    </row>
    <row r="99" spans="1:27" customFormat="1" x14ac:dyDescent="0.3">
      <c r="A99">
        <v>260203</v>
      </c>
      <c r="B99" s="20">
        <v>8368</v>
      </c>
      <c r="C99" s="10" t="s">
        <v>67</v>
      </c>
      <c r="D99" s="10" t="s">
        <v>1343</v>
      </c>
      <c r="E99" s="10" t="s">
        <v>811</v>
      </c>
      <c r="F99" s="99">
        <v>14.7</v>
      </c>
      <c r="G99" s="49">
        <v>5261</v>
      </c>
      <c r="H99" s="49">
        <v>5427</v>
      </c>
      <c r="I99" s="49">
        <v>3834</v>
      </c>
      <c r="J99" s="49">
        <v>5210</v>
      </c>
      <c r="K99" s="49">
        <v>5240</v>
      </c>
      <c r="L99" s="49">
        <v>4225</v>
      </c>
      <c r="M99" s="131">
        <v>5782</v>
      </c>
      <c r="N99" s="49">
        <v>6980</v>
      </c>
      <c r="O99" s="49">
        <v>4605</v>
      </c>
      <c r="P99" s="49">
        <v>4937</v>
      </c>
      <c r="Q99" s="49">
        <v>3359</v>
      </c>
      <c r="R99" s="49">
        <v>7262</v>
      </c>
      <c r="S99" s="49">
        <v>5493</v>
      </c>
      <c r="T99" s="131">
        <v>7444</v>
      </c>
      <c r="U99" s="49">
        <v>5244</v>
      </c>
      <c r="V99" s="49">
        <v>5097</v>
      </c>
      <c r="W99" s="131">
        <v>8924</v>
      </c>
      <c r="X99" s="146">
        <v>0.11909172960904479</v>
      </c>
      <c r="Y99" s="100">
        <v>8.0015281433058805E-2</v>
      </c>
      <c r="Z99" s="100">
        <v>-8.5092166804229041E-2</v>
      </c>
      <c r="AA99" s="113">
        <v>0.1473923876621703</v>
      </c>
    </row>
    <row r="100" spans="1:27" customFormat="1" x14ac:dyDescent="0.3">
      <c r="A100">
        <v>260203</v>
      </c>
      <c r="B100" s="20">
        <v>8367</v>
      </c>
      <c r="C100" s="10" t="s">
        <v>67</v>
      </c>
      <c r="D100" s="10" t="s">
        <v>1344</v>
      </c>
      <c r="E100" s="10" t="s">
        <v>811</v>
      </c>
      <c r="F100" s="99">
        <v>11.9</v>
      </c>
      <c r="G100" s="49">
        <v>3887</v>
      </c>
      <c r="H100" s="49">
        <v>5671</v>
      </c>
      <c r="I100" s="49">
        <v>3207</v>
      </c>
      <c r="J100" s="49">
        <v>4012</v>
      </c>
      <c r="K100" s="49">
        <v>5188</v>
      </c>
      <c r="L100" s="49">
        <v>3948</v>
      </c>
      <c r="M100" s="49">
        <v>-6833</v>
      </c>
      <c r="N100" s="49">
        <v>4137</v>
      </c>
      <c r="O100" s="49">
        <v>4132</v>
      </c>
      <c r="P100" s="49">
        <v>4163</v>
      </c>
      <c r="Q100" s="131">
        <v>4192</v>
      </c>
      <c r="R100" s="131">
        <v>6660</v>
      </c>
      <c r="S100" s="49">
        <v>3394</v>
      </c>
      <c r="T100" s="131">
        <v>6461</v>
      </c>
      <c r="U100" s="49">
        <v>2967</v>
      </c>
      <c r="V100" s="49">
        <v>5674</v>
      </c>
      <c r="W100" s="131">
        <v>5591</v>
      </c>
      <c r="X100" s="146">
        <v>0.12483024607528929</v>
      </c>
      <c r="Y100" s="100">
        <v>-5.9158738590814663E-2</v>
      </c>
      <c r="Z100" s="100">
        <v>-5.0610820244328059E-2</v>
      </c>
      <c r="AA100" s="113">
        <v>0.11878243944636679</v>
      </c>
    </row>
    <row r="101" spans="1:27" customFormat="1" x14ac:dyDescent="0.3">
      <c r="A101">
        <v>260203</v>
      </c>
      <c r="B101" s="20">
        <v>4062</v>
      </c>
      <c r="C101" s="10" t="s">
        <v>67</v>
      </c>
      <c r="D101" s="10" t="s">
        <v>1345</v>
      </c>
      <c r="E101" s="10" t="s">
        <v>817</v>
      </c>
      <c r="F101" s="99">
        <v>11.1</v>
      </c>
      <c r="G101" s="49">
        <v>20071</v>
      </c>
      <c r="H101" s="49">
        <v>16391</v>
      </c>
      <c r="I101" s="49">
        <v>18090</v>
      </c>
      <c r="J101" s="49">
        <v>23316</v>
      </c>
      <c r="K101" s="49">
        <v>19769</v>
      </c>
      <c r="L101" s="49">
        <v>11189</v>
      </c>
      <c r="M101" s="49">
        <v>8182</v>
      </c>
      <c r="N101" s="49">
        <v>15892</v>
      </c>
      <c r="O101" s="49">
        <v>12874</v>
      </c>
      <c r="P101" s="49">
        <v>10621</v>
      </c>
      <c r="Q101" s="49">
        <v>11295</v>
      </c>
      <c r="R101" s="49">
        <v>17217</v>
      </c>
      <c r="S101" s="49">
        <v>5656</v>
      </c>
      <c r="T101" s="49">
        <v>11711</v>
      </c>
      <c r="U101" s="131">
        <v>16670</v>
      </c>
      <c r="V101" s="49">
        <v>13968</v>
      </c>
      <c r="W101" s="131">
        <v>10986</v>
      </c>
      <c r="X101" s="145">
        <v>2.4336332581660569E-2</v>
      </c>
      <c r="Y101" s="113">
        <v>0.1171559972972385</v>
      </c>
      <c r="Z101" s="100">
        <v>-6.3390174425410728E-2</v>
      </c>
      <c r="AA101" s="113">
        <v>0.1110301010311425</v>
      </c>
    </row>
    <row r="102" spans="1:27" customFormat="1" x14ac:dyDescent="0.3">
      <c r="A102">
        <v>260203</v>
      </c>
      <c r="B102" s="20">
        <v>6486</v>
      </c>
      <c r="C102" s="10" t="s">
        <v>67</v>
      </c>
      <c r="D102" s="10" t="s">
        <v>1346</v>
      </c>
      <c r="E102" s="10" t="s">
        <v>811</v>
      </c>
      <c r="F102" s="99">
        <v>10.3</v>
      </c>
      <c r="G102" s="49">
        <v>1411</v>
      </c>
      <c r="H102" s="49">
        <v>1319</v>
      </c>
      <c r="I102" s="49">
        <v>2320</v>
      </c>
      <c r="J102" s="49">
        <v>1946</v>
      </c>
      <c r="K102" s="49">
        <v>1817</v>
      </c>
      <c r="L102" s="131">
        <v>3750</v>
      </c>
      <c r="M102" s="49">
        <v>1752</v>
      </c>
      <c r="N102" s="49">
        <v>1497</v>
      </c>
      <c r="O102" s="49">
        <v>1588</v>
      </c>
      <c r="P102" s="49">
        <v>2867</v>
      </c>
      <c r="Q102" s="49">
        <v>2156</v>
      </c>
      <c r="R102" s="131">
        <v>2625</v>
      </c>
      <c r="S102" s="49">
        <v>1640</v>
      </c>
      <c r="T102" s="49">
        <v>2065</v>
      </c>
      <c r="U102" s="49">
        <v>2164</v>
      </c>
      <c r="V102" s="49">
        <v>2999</v>
      </c>
      <c r="W102" s="131">
        <v>2549</v>
      </c>
      <c r="X102" s="145">
        <v>-8.6347975882859584E-2</v>
      </c>
      <c r="Y102" s="100">
        <v>9.4272920103710689E-4</v>
      </c>
      <c r="Z102" s="100">
        <v>4.4031080762891417E-2</v>
      </c>
      <c r="AA102" s="113">
        <v>0.1025033829499324</v>
      </c>
    </row>
    <row r="103" spans="1:27" customFormat="1" x14ac:dyDescent="0.3">
      <c r="A103">
        <v>260203</v>
      </c>
      <c r="B103" s="20">
        <v>2331</v>
      </c>
      <c r="C103" s="10" t="s">
        <v>67</v>
      </c>
      <c r="D103" s="10" t="s">
        <v>1347</v>
      </c>
      <c r="E103" s="10" t="s">
        <v>811</v>
      </c>
      <c r="F103" s="38">
        <v>9</v>
      </c>
      <c r="G103" s="49">
        <v>15072</v>
      </c>
      <c r="H103" s="49">
        <v>9851</v>
      </c>
      <c r="I103" s="49">
        <v>7131</v>
      </c>
      <c r="J103" s="49">
        <v>6924</v>
      </c>
      <c r="K103" s="49">
        <v>7779</v>
      </c>
      <c r="L103" s="49">
        <v>9213</v>
      </c>
      <c r="M103" s="131">
        <v>12046</v>
      </c>
      <c r="N103" s="49">
        <v>8449</v>
      </c>
      <c r="O103" s="49">
        <v>8875</v>
      </c>
      <c r="P103" s="49">
        <v>8911</v>
      </c>
      <c r="Q103" s="49">
        <v>11845</v>
      </c>
      <c r="R103" s="49">
        <v>7095</v>
      </c>
      <c r="S103" s="49">
        <v>8163</v>
      </c>
      <c r="T103" s="49">
        <v>11331</v>
      </c>
      <c r="U103" s="49">
        <v>13614</v>
      </c>
      <c r="V103" s="49">
        <v>10438</v>
      </c>
      <c r="W103" s="49">
        <v>12083</v>
      </c>
      <c r="X103" s="145">
        <v>6.7196090409285203E-2</v>
      </c>
      <c r="Y103" s="100">
        <v>4.6026955299994787E-2</v>
      </c>
      <c r="Z103" s="100">
        <v>8.3152998532447731E-2</v>
      </c>
      <c r="AA103" s="100">
        <v>9.0019749230698665E-2</v>
      </c>
    </row>
    <row r="104" spans="1:27" customFormat="1" x14ac:dyDescent="0.3">
      <c r="A104">
        <v>260203</v>
      </c>
      <c r="B104" s="20">
        <v>5802</v>
      </c>
      <c r="C104" s="10" t="s">
        <v>67</v>
      </c>
      <c r="D104" s="10" t="s">
        <v>1348</v>
      </c>
      <c r="E104" s="10" t="s">
        <v>817</v>
      </c>
      <c r="F104" s="38">
        <v>8.6</v>
      </c>
      <c r="G104" s="49">
        <v>30372</v>
      </c>
      <c r="H104" s="49">
        <v>45698</v>
      </c>
      <c r="I104" s="49">
        <v>19001</v>
      </c>
      <c r="J104" s="49">
        <v>30738</v>
      </c>
      <c r="K104" s="131">
        <v>45086</v>
      </c>
      <c r="L104" s="131">
        <v>82618</v>
      </c>
      <c r="M104" s="49">
        <v>18936</v>
      </c>
      <c r="N104" s="49">
        <v>48393</v>
      </c>
      <c r="O104" s="131">
        <v>81003</v>
      </c>
      <c r="P104" s="49">
        <v>78286</v>
      </c>
      <c r="Q104" s="131">
        <v>53285</v>
      </c>
      <c r="R104" s="49">
        <v>66030</v>
      </c>
      <c r="S104" s="49">
        <v>87524</v>
      </c>
      <c r="T104" s="131">
        <v>113824</v>
      </c>
      <c r="U104" s="49">
        <v>60301</v>
      </c>
      <c r="V104" s="49">
        <v>92720</v>
      </c>
      <c r="W104" s="49">
        <v>118024</v>
      </c>
      <c r="X104" s="146">
        <v>0.1246400701446735</v>
      </c>
      <c r="Y104" s="100">
        <v>2.1879668062732449E-2</v>
      </c>
      <c r="Z104" s="100">
        <v>8.1451664586378758E-2</v>
      </c>
      <c r="AA104" s="100">
        <v>8.6068476644401759E-2</v>
      </c>
    </row>
    <row r="105" spans="1:27" customFormat="1" x14ac:dyDescent="0.3">
      <c r="A105">
        <v>260203</v>
      </c>
      <c r="B105" s="20">
        <v>6472</v>
      </c>
      <c r="C105" s="10" t="s">
        <v>67</v>
      </c>
      <c r="D105" s="10" t="s">
        <v>1349</v>
      </c>
      <c r="E105" s="10" t="s">
        <v>817</v>
      </c>
      <c r="F105" s="38">
        <v>8.4</v>
      </c>
      <c r="G105" s="49">
        <v>934</v>
      </c>
      <c r="H105" s="49">
        <v>4338</v>
      </c>
      <c r="I105" s="49">
        <v>-784</v>
      </c>
      <c r="J105" s="49">
        <v>4645</v>
      </c>
      <c r="K105" s="131">
        <v>6031</v>
      </c>
      <c r="L105" s="131">
        <v>7255</v>
      </c>
      <c r="M105" s="131">
        <v>1490</v>
      </c>
      <c r="N105" s="49">
        <v>5275</v>
      </c>
      <c r="O105" s="131">
        <v>8629</v>
      </c>
      <c r="P105" s="131">
        <v>12755</v>
      </c>
      <c r="Q105" s="131">
        <v>4533</v>
      </c>
      <c r="R105" s="49">
        <v>5417</v>
      </c>
      <c r="S105" s="49">
        <v>4264</v>
      </c>
      <c r="T105" s="49">
        <v>8746</v>
      </c>
      <c r="U105" s="131">
        <v>6978</v>
      </c>
      <c r="V105" s="49">
        <v>5889</v>
      </c>
      <c r="W105" s="49">
        <v>6435</v>
      </c>
      <c r="X105" s="145">
        <v>-0.14865215617931701</v>
      </c>
      <c r="Y105" s="113">
        <v>0.10648954703832759</v>
      </c>
      <c r="Z105" s="100">
        <v>1.8579019877976721E-2</v>
      </c>
      <c r="AA105" s="100">
        <v>8.3896896858213887E-2</v>
      </c>
    </row>
    <row r="106" spans="1:27" customFormat="1" x14ac:dyDescent="0.3">
      <c r="A106">
        <v>260203</v>
      </c>
      <c r="B106" s="20">
        <v>7974</v>
      </c>
      <c r="C106" s="10" t="s">
        <v>67</v>
      </c>
      <c r="D106" s="10" t="s">
        <v>1350</v>
      </c>
      <c r="E106" s="10" t="s">
        <v>811</v>
      </c>
      <c r="F106" s="38">
        <v>7.5</v>
      </c>
      <c r="G106" s="49">
        <v>100208</v>
      </c>
      <c r="H106" s="49">
        <v>252592</v>
      </c>
      <c r="I106" s="49">
        <v>120210</v>
      </c>
      <c r="J106" s="49">
        <v>101649</v>
      </c>
      <c r="K106" s="49">
        <v>118740</v>
      </c>
      <c r="L106" s="49">
        <v>190153</v>
      </c>
      <c r="M106" s="49">
        <v>93833</v>
      </c>
      <c r="N106" s="131">
        <v>185443</v>
      </c>
      <c r="O106" s="49">
        <v>94467</v>
      </c>
      <c r="P106" s="49">
        <v>184501</v>
      </c>
      <c r="Q106" s="49">
        <v>64531</v>
      </c>
      <c r="R106" s="49">
        <v>54510</v>
      </c>
      <c r="S106" s="49">
        <v>67005</v>
      </c>
      <c r="T106" s="49">
        <v>126084</v>
      </c>
      <c r="U106" s="49">
        <v>34955</v>
      </c>
      <c r="V106" s="49">
        <v>56929</v>
      </c>
      <c r="W106" s="49">
        <v>88253</v>
      </c>
      <c r="X106" s="145">
        <v>-0.15765071637336159</v>
      </c>
      <c r="Y106" s="100">
        <v>-9.475539038221259E-2</v>
      </c>
      <c r="Z106" s="100">
        <v>8.5611953821216336E-3</v>
      </c>
      <c r="AA106" s="100">
        <v>7.4561449681197933E-2</v>
      </c>
    </row>
    <row r="107" spans="1:27" customFormat="1" x14ac:dyDescent="0.3">
      <c r="A107">
        <v>260203</v>
      </c>
      <c r="B107" s="20">
        <v>3064</v>
      </c>
      <c r="C107" s="10" t="s">
        <v>67</v>
      </c>
      <c r="D107" s="10" t="s">
        <v>1351</v>
      </c>
      <c r="E107" s="10" t="s">
        <v>806</v>
      </c>
      <c r="F107" s="38">
        <v>6.7</v>
      </c>
      <c r="G107" s="49">
        <v>6588</v>
      </c>
      <c r="H107" s="49">
        <v>6664</v>
      </c>
      <c r="I107" s="49">
        <v>6473</v>
      </c>
      <c r="J107" s="49">
        <v>6187</v>
      </c>
      <c r="K107" s="49">
        <v>6890</v>
      </c>
      <c r="L107" s="49">
        <v>8031</v>
      </c>
      <c r="M107" s="49">
        <v>7347</v>
      </c>
      <c r="N107" s="49">
        <v>7542</v>
      </c>
      <c r="O107" s="49">
        <v>8391</v>
      </c>
      <c r="P107" s="49">
        <v>8902</v>
      </c>
      <c r="Q107" s="49">
        <v>8828</v>
      </c>
      <c r="R107" s="49">
        <v>9312</v>
      </c>
      <c r="S107" s="49">
        <v>10025</v>
      </c>
      <c r="T107" s="49">
        <v>10741</v>
      </c>
      <c r="U107" s="49">
        <v>11144</v>
      </c>
      <c r="V107" s="49">
        <v>11390</v>
      </c>
      <c r="W107" s="49">
        <v>12919</v>
      </c>
      <c r="X107" s="145">
        <v>4.9612863193676297E-2</v>
      </c>
      <c r="Y107" s="100">
        <v>5.9528093353210298E-2</v>
      </c>
      <c r="Z107" s="100">
        <v>5.0409975255931272E-2</v>
      </c>
      <c r="AA107" s="100">
        <v>6.6836027713625956E-2</v>
      </c>
    </row>
    <row r="108" spans="1:27" customFormat="1" x14ac:dyDescent="0.3">
      <c r="A108">
        <v>260203</v>
      </c>
      <c r="B108" s="20">
        <v>9010</v>
      </c>
      <c r="C108" s="10" t="s">
        <v>67</v>
      </c>
      <c r="D108" s="10" t="s">
        <v>1352</v>
      </c>
      <c r="E108" s="10" t="s">
        <v>811</v>
      </c>
      <c r="F108" s="38">
        <v>6.6</v>
      </c>
      <c r="G108" s="49">
        <v>1045</v>
      </c>
      <c r="H108" s="49">
        <v>704</v>
      </c>
      <c r="I108" s="49">
        <v>-316</v>
      </c>
      <c r="J108" s="49">
        <v>30</v>
      </c>
      <c r="K108" s="131">
        <v>1914</v>
      </c>
      <c r="L108" s="131">
        <v>1270</v>
      </c>
      <c r="M108" s="131">
        <v>1029</v>
      </c>
      <c r="N108" s="131">
        <v>1293</v>
      </c>
      <c r="O108" s="131">
        <v>3600</v>
      </c>
      <c r="P108" s="131">
        <v>2310</v>
      </c>
      <c r="Q108" s="49">
        <v>949</v>
      </c>
      <c r="R108" s="49">
        <v>1907</v>
      </c>
      <c r="S108" s="49">
        <v>2232</v>
      </c>
      <c r="T108" s="49">
        <v>2543</v>
      </c>
      <c r="U108" s="49">
        <v>1631</v>
      </c>
      <c r="V108" s="49">
        <v>1677</v>
      </c>
      <c r="W108" s="49">
        <v>2768</v>
      </c>
      <c r="X108" s="145">
        <v>3.1494998648283312E-2</v>
      </c>
      <c r="Y108" s="100">
        <v>8.9372297208753837E-2</v>
      </c>
      <c r="Z108" s="100">
        <v>-2.766750872127988E-2</v>
      </c>
      <c r="AA108" s="100">
        <v>6.6312012866510006E-2</v>
      </c>
    </row>
    <row r="109" spans="1:27" customFormat="1" x14ac:dyDescent="0.3">
      <c r="A109">
        <v>260203</v>
      </c>
      <c r="B109" s="20">
        <v>8174</v>
      </c>
      <c r="C109" s="10" t="s">
        <v>67</v>
      </c>
      <c r="D109" s="10" t="s">
        <v>1353</v>
      </c>
      <c r="E109" s="10" t="s">
        <v>811</v>
      </c>
      <c r="F109" s="38">
        <v>5.6</v>
      </c>
      <c r="G109" s="49">
        <v>-244</v>
      </c>
      <c r="H109" s="49">
        <v>3969</v>
      </c>
      <c r="I109" s="49">
        <v>6495</v>
      </c>
      <c r="J109" s="49">
        <v>3806</v>
      </c>
      <c r="K109" s="49">
        <v>-1068</v>
      </c>
      <c r="L109" s="49">
        <v>3307</v>
      </c>
      <c r="M109" s="131">
        <v>9171</v>
      </c>
      <c r="N109" s="49">
        <v>4034</v>
      </c>
      <c r="O109" s="131">
        <v>950</v>
      </c>
      <c r="P109" s="49">
        <v>4270</v>
      </c>
      <c r="Q109" s="49">
        <v>8189</v>
      </c>
      <c r="R109" s="49">
        <v>2089</v>
      </c>
      <c r="S109" s="49">
        <v>218</v>
      </c>
      <c r="T109" s="131">
        <v>6140</v>
      </c>
      <c r="U109" s="131">
        <v>10100</v>
      </c>
      <c r="V109" s="49">
        <v>3656</v>
      </c>
      <c r="W109" s="49">
        <v>1342</v>
      </c>
      <c r="X109" s="146">
        <v>0.12664228633346891</v>
      </c>
      <c r="Y109" s="113">
        <v>0.1148713633084877</v>
      </c>
      <c r="Z109" s="100">
        <v>8.4488057367768432E-2</v>
      </c>
      <c r="AA109" s="100">
        <v>5.5881475589141923E-2</v>
      </c>
    </row>
    <row r="110" spans="1:27" customFormat="1" x14ac:dyDescent="0.3">
      <c r="A110">
        <v>260203</v>
      </c>
      <c r="B110" s="20">
        <v>4617</v>
      </c>
      <c r="C110" s="10" t="s">
        <v>67</v>
      </c>
      <c r="D110" s="10" t="s">
        <v>1354</v>
      </c>
      <c r="E110" s="10" t="s">
        <v>811</v>
      </c>
      <c r="F110" s="38">
        <v>3.6</v>
      </c>
      <c r="G110" s="49">
        <v>274</v>
      </c>
      <c r="H110" s="49">
        <v>-229</v>
      </c>
      <c r="I110" s="49">
        <v>-175</v>
      </c>
      <c r="J110" s="49">
        <v>-450</v>
      </c>
      <c r="K110" s="49">
        <v>685</v>
      </c>
      <c r="L110" s="49">
        <v>1444</v>
      </c>
      <c r="M110" s="131">
        <v>2209</v>
      </c>
      <c r="N110" s="131">
        <v>2075</v>
      </c>
      <c r="O110" s="131">
        <v>3056</v>
      </c>
      <c r="P110" s="131">
        <v>3921</v>
      </c>
      <c r="Q110" s="49">
        <v>3134</v>
      </c>
      <c r="R110" s="131">
        <v>3368</v>
      </c>
      <c r="S110" s="131">
        <v>4562</v>
      </c>
      <c r="T110" s="49">
        <v>3714</v>
      </c>
      <c r="U110" s="49">
        <v>3738</v>
      </c>
      <c r="V110" s="49">
        <v>3922</v>
      </c>
      <c r="W110" s="49">
        <v>5130</v>
      </c>
      <c r="X110" s="145">
        <v>-1.3813813813813859E-2</v>
      </c>
      <c r="Y110" s="100">
        <v>4.0871565841115183E-2</v>
      </c>
      <c r="Z110" s="100">
        <v>3.6016122740865963E-2</v>
      </c>
      <c r="AA110" s="100">
        <v>3.5642570281124497E-2</v>
      </c>
    </row>
    <row r="111" spans="1:27" customFormat="1" x14ac:dyDescent="0.3">
      <c r="A111">
        <v>260203</v>
      </c>
      <c r="B111" s="20">
        <v>6473</v>
      </c>
      <c r="C111" s="10" t="s">
        <v>67</v>
      </c>
      <c r="D111" s="10" t="s">
        <v>1355</v>
      </c>
      <c r="E111" s="10" t="s">
        <v>817</v>
      </c>
      <c r="F111" s="38">
        <v>3.4</v>
      </c>
      <c r="G111" s="49">
        <v>7982</v>
      </c>
      <c r="H111" s="49">
        <v>17670</v>
      </c>
      <c r="I111" s="49">
        <v>2875</v>
      </c>
      <c r="J111" s="49">
        <v>15947</v>
      </c>
      <c r="K111" s="131">
        <v>14295</v>
      </c>
      <c r="L111" s="49">
        <v>19114</v>
      </c>
      <c r="M111" s="131">
        <v>18856</v>
      </c>
      <c r="N111" s="49">
        <v>15769</v>
      </c>
      <c r="O111" s="131">
        <v>22737</v>
      </c>
      <c r="P111" s="49">
        <v>18170</v>
      </c>
      <c r="Q111" s="49">
        <v>11146</v>
      </c>
      <c r="R111" s="49">
        <v>14395</v>
      </c>
      <c r="S111" s="49">
        <v>9466</v>
      </c>
      <c r="T111" s="131">
        <v>31839</v>
      </c>
      <c r="U111" s="49">
        <v>13526</v>
      </c>
      <c r="V111" s="49">
        <v>12528</v>
      </c>
      <c r="W111" s="49">
        <v>11750</v>
      </c>
      <c r="X111" s="146">
        <v>0.25704721966263611</v>
      </c>
      <c r="Y111" s="100">
        <v>3.5604224635729993E-2</v>
      </c>
      <c r="Z111" s="100">
        <v>-2.696963568601396E-2</v>
      </c>
      <c r="AA111" s="100">
        <v>3.3907866803248199E-2</v>
      </c>
    </row>
    <row r="112" spans="1:27" customFormat="1" x14ac:dyDescent="0.3">
      <c r="A112">
        <v>260203</v>
      </c>
      <c r="B112" s="20">
        <v>6413</v>
      </c>
      <c r="C112" s="10" t="s">
        <v>67</v>
      </c>
      <c r="D112" s="10" t="s">
        <v>1356</v>
      </c>
      <c r="E112" s="10" t="s">
        <v>811</v>
      </c>
      <c r="F112" s="38">
        <v>3.2</v>
      </c>
      <c r="G112" s="49">
        <v>369</v>
      </c>
      <c r="H112" s="49">
        <v>948</v>
      </c>
      <c r="I112" s="49">
        <v>1821</v>
      </c>
      <c r="J112" s="49">
        <v>1357</v>
      </c>
      <c r="K112" s="131">
        <v>1037</v>
      </c>
      <c r="L112" s="49">
        <v>1233</v>
      </c>
      <c r="M112" s="49">
        <v>2329</v>
      </c>
      <c r="N112" s="49">
        <v>903</v>
      </c>
      <c r="O112" s="49">
        <v>938</v>
      </c>
      <c r="P112" s="49">
        <v>1357</v>
      </c>
      <c r="Q112" s="49">
        <v>2059</v>
      </c>
      <c r="R112" s="131">
        <v>1920</v>
      </c>
      <c r="S112" s="49">
        <v>884</v>
      </c>
      <c r="T112" s="49">
        <v>1472</v>
      </c>
      <c r="U112" s="49">
        <v>1908</v>
      </c>
      <c r="V112" s="49">
        <v>1477</v>
      </c>
      <c r="W112" s="49">
        <v>1065</v>
      </c>
      <c r="X112" s="145">
        <v>1.8488745980707488E-2</v>
      </c>
      <c r="Y112" s="100">
        <v>-2.3835832675611731E-2</v>
      </c>
      <c r="Z112" s="100">
        <v>-7.1636481241914574E-2</v>
      </c>
      <c r="AA112" s="100">
        <v>3.1527608430587113E-2</v>
      </c>
    </row>
    <row r="113" spans="1:27" customFormat="1" x14ac:dyDescent="0.3">
      <c r="A113">
        <v>260203</v>
      </c>
      <c r="B113" s="20">
        <v>4966</v>
      </c>
      <c r="C113" s="10" t="s">
        <v>67</v>
      </c>
      <c r="D113" s="10" t="s">
        <v>1357</v>
      </c>
      <c r="E113" s="10" t="s">
        <v>811</v>
      </c>
      <c r="F113" s="38">
        <v>2.4</v>
      </c>
      <c r="G113" s="49">
        <v>3422</v>
      </c>
      <c r="H113" s="49">
        <v>3928</v>
      </c>
      <c r="I113" s="49">
        <v>3792</v>
      </c>
      <c r="J113" s="49">
        <v>3867</v>
      </c>
      <c r="K113" s="49">
        <v>3682</v>
      </c>
      <c r="L113" s="49">
        <v>4159</v>
      </c>
      <c r="M113" s="49">
        <v>3338</v>
      </c>
      <c r="N113" s="49">
        <v>2430</v>
      </c>
      <c r="O113" s="49">
        <v>3374</v>
      </c>
      <c r="P113" s="49">
        <v>4257</v>
      </c>
      <c r="Q113" s="131">
        <v>4934</v>
      </c>
      <c r="R113" s="131">
        <v>4507</v>
      </c>
      <c r="S113" s="49">
        <v>4621</v>
      </c>
      <c r="T113" s="49">
        <v>5395</v>
      </c>
      <c r="U113" s="49">
        <v>4306</v>
      </c>
      <c r="V113" s="49">
        <v>4510</v>
      </c>
      <c r="W113" s="49">
        <v>5066</v>
      </c>
      <c r="X113" s="145">
        <v>6.2121294830503881E-2</v>
      </c>
      <c r="Y113" s="100">
        <v>-3.227630158811734E-2</v>
      </c>
      <c r="Z113" s="100">
        <v>1.5932869509804881E-4</v>
      </c>
      <c r="AA113" s="100">
        <v>2.3629991503823389E-2</v>
      </c>
    </row>
    <row r="114" spans="1:27" customFormat="1" x14ac:dyDescent="0.3">
      <c r="A114">
        <v>260203</v>
      </c>
      <c r="B114" s="20">
        <v>9021</v>
      </c>
      <c r="C114" s="10" t="s">
        <v>67</v>
      </c>
      <c r="D114" s="10" t="s">
        <v>1358</v>
      </c>
      <c r="E114" s="10" t="s">
        <v>817</v>
      </c>
      <c r="F114" s="38">
        <v>1.8</v>
      </c>
      <c r="G114" s="49">
        <v>6636</v>
      </c>
      <c r="H114" s="49">
        <v>-39628</v>
      </c>
      <c r="I114" s="49">
        <v>19536</v>
      </c>
      <c r="J114" s="49">
        <v>14318</v>
      </c>
      <c r="K114" s="131">
        <v>36142</v>
      </c>
      <c r="L114" s="131">
        <v>15683</v>
      </c>
      <c r="M114" s="131">
        <v>52211</v>
      </c>
      <c r="N114" s="131">
        <v>54082</v>
      </c>
      <c r="O114" s="131">
        <v>66153</v>
      </c>
      <c r="P114" s="49">
        <v>8301</v>
      </c>
      <c r="Q114" s="49">
        <v>58229</v>
      </c>
      <c r="R114" s="49">
        <v>46562</v>
      </c>
      <c r="S114" s="49">
        <v>70555</v>
      </c>
      <c r="T114" s="49">
        <v>4816</v>
      </c>
      <c r="U114" s="49">
        <v>63387</v>
      </c>
      <c r="V114" s="49">
        <v>59544</v>
      </c>
      <c r="W114" s="49">
        <v>74204</v>
      </c>
      <c r="X114" s="145">
        <v>-1.8976623631205562E-2</v>
      </c>
      <c r="Y114" s="100">
        <v>2.862978874568434E-2</v>
      </c>
      <c r="Z114" s="100">
        <v>7.0051802287934395E-2</v>
      </c>
      <c r="AA114" s="100">
        <v>1.8401226412239961E-2</v>
      </c>
    </row>
    <row r="115" spans="1:27" customFormat="1" x14ac:dyDescent="0.3">
      <c r="A115">
        <v>260203</v>
      </c>
      <c r="B115" s="20">
        <v>3116</v>
      </c>
      <c r="C115" s="10" t="s">
        <v>67</v>
      </c>
      <c r="D115" s="10" t="s">
        <v>1359</v>
      </c>
      <c r="E115" s="10" t="s">
        <v>811</v>
      </c>
      <c r="F115" s="38">
        <v>1.6</v>
      </c>
      <c r="G115" s="49">
        <v>6464</v>
      </c>
      <c r="H115" s="49">
        <v>18203</v>
      </c>
      <c r="I115" s="49">
        <v>18473</v>
      </c>
      <c r="J115" s="49">
        <v>3405</v>
      </c>
      <c r="K115" s="49">
        <v>9465</v>
      </c>
      <c r="L115" s="49">
        <v>15762</v>
      </c>
      <c r="M115" s="49">
        <v>15958</v>
      </c>
      <c r="N115" s="131">
        <v>22167</v>
      </c>
      <c r="O115" s="131">
        <v>27432</v>
      </c>
      <c r="P115" s="131">
        <v>27125</v>
      </c>
      <c r="Q115" s="49">
        <v>1626</v>
      </c>
      <c r="R115" s="49">
        <v>16699</v>
      </c>
      <c r="S115" s="49">
        <v>17139</v>
      </c>
      <c r="T115" s="49">
        <v>18183</v>
      </c>
      <c r="U115" s="131">
        <v>19815</v>
      </c>
      <c r="V115" s="49">
        <v>18705</v>
      </c>
      <c r="W115" s="49">
        <v>18337</v>
      </c>
      <c r="X115" s="145">
        <v>-0.14286855517742739</v>
      </c>
      <c r="Y115" s="113">
        <v>0.33904971387030042</v>
      </c>
      <c r="Z115" s="100">
        <v>2.792471741188263E-2</v>
      </c>
      <c r="AA115" s="100">
        <v>1.622382925706245E-2</v>
      </c>
    </row>
    <row r="116" spans="1:27" customFormat="1" x14ac:dyDescent="0.3">
      <c r="A116">
        <v>260203</v>
      </c>
      <c r="B116" s="20">
        <v>8015</v>
      </c>
      <c r="C116" s="10" t="s">
        <v>67</v>
      </c>
      <c r="D116" s="10" t="s">
        <v>1360</v>
      </c>
      <c r="E116" s="10" t="s">
        <v>811</v>
      </c>
      <c r="F116" s="38">
        <v>1.2</v>
      </c>
      <c r="G116" s="49">
        <v>73442</v>
      </c>
      <c r="H116" s="49">
        <v>80545</v>
      </c>
      <c r="I116" s="49">
        <v>69869</v>
      </c>
      <c r="J116" s="49">
        <v>102092</v>
      </c>
      <c r="K116" s="49">
        <v>105506</v>
      </c>
      <c r="L116" s="49">
        <v>109762</v>
      </c>
      <c r="M116" s="49">
        <v>86652</v>
      </c>
      <c r="N116" s="49">
        <v>113225</v>
      </c>
      <c r="O116" s="49">
        <v>119085</v>
      </c>
      <c r="P116" s="49">
        <v>120697</v>
      </c>
      <c r="Q116" s="49">
        <v>94927</v>
      </c>
      <c r="R116" s="49">
        <v>119094</v>
      </c>
      <c r="S116" s="49">
        <v>128980</v>
      </c>
      <c r="T116" s="49">
        <v>120946</v>
      </c>
      <c r="U116" s="49">
        <v>130952</v>
      </c>
      <c r="V116" s="49">
        <v>126283</v>
      </c>
      <c r="W116" s="49">
        <v>134877</v>
      </c>
      <c r="X116" s="145">
        <v>5.3698743578789454E-4</v>
      </c>
      <c r="Y116" s="100">
        <v>7.7648955591910207E-2</v>
      </c>
      <c r="Z116" s="100">
        <v>1.437880521309198E-2</v>
      </c>
      <c r="AA116" s="100">
        <v>1.162747135525022E-2</v>
      </c>
    </row>
    <row r="117" spans="1:27" customFormat="1" x14ac:dyDescent="0.3">
      <c r="A117">
        <v>260203</v>
      </c>
      <c r="B117" s="20">
        <v>5384</v>
      </c>
      <c r="C117" s="10" t="s">
        <v>67</v>
      </c>
      <c r="D117" s="10" t="s">
        <v>1361</v>
      </c>
      <c r="E117" s="10" t="s">
        <v>811</v>
      </c>
      <c r="F117" s="38">
        <v>1.1000000000000001</v>
      </c>
      <c r="G117" s="49">
        <v>3159</v>
      </c>
      <c r="H117" s="49">
        <v>3315</v>
      </c>
      <c r="I117" s="49">
        <v>2586</v>
      </c>
      <c r="J117" s="49">
        <v>4152</v>
      </c>
      <c r="K117" s="49">
        <v>3668</v>
      </c>
      <c r="L117" s="49">
        <v>3427</v>
      </c>
      <c r="M117" s="49">
        <v>1997</v>
      </c>
      <c r="N117" s="49">
        <v>2352</v>
      </c>
      <c r="O117" s="49">
        <v>1597</v>
      </c>
      <c r="P117" s="49">
        <v>2162</v>
      </c>
      <c r="Q117" s="49">
        <v>2139</v>
      </c>
      <c r="R117" s="49">
        <v>2625</v>
      </c>
      <c r="S117" s="131">
        <v>3079</v>
      </c>
      <c r="T117" s="131">
        <v>3357</v>
      </c>
      <c r="U117" s="49">
        <v>2720</v>
      </c>
      <c r="V117" s="49">
        <v>3258</v>
      </c>
      <c r="W117" s="49">
        <v>3212</v>
      </c>
      <c r="X117" s="146">
        <v>0.11944027986007</v>
      </c>
      <c r="Y117" s="100">
        <v>5.1874999999999893E-2</v>
      </c>
      <c r="Z117" s="100">
        <v>5.3730583142347799E-2</v>
      </c>
      <c r="AA117" s="100">
        <v>1.0713710327050039E-2</v>
      </c>
    </row>
    <row r="118" spans="1:27" customFormat="1" x14ac:dyDescent="0.3">
      <c r="A118">
        <v>260203</v>
      </c>
      <c r="B118" s="20">
        <v>2871</v>
      </c>
      <c r="C118" s="10" t="s">
        <v>67</v>
      </c>
      <c r="D118" s="10" t="s">
        <v>1362</v>
      </c>
      <c r="E118" s="10" t="s">
        <v>817</v>
      </c>
      <c r="F118" s="38">
        <v>0.4</v>
      </c>
      <c r="G118" s="49">
        <v>9724</v>
      </c>
      <c r="H118" s="49">
        <v>5665</v>
      </c>
      <c r="I118" s="49">
        <v>6677</v>
      </c>
      <c r="J118" s="49">
        <v>8033</v>
      </c>
      <c r="K118" s="49">
        <v>10580</v>
      </c>
      <c r="L118" s="49">
        <v>7645</v>
      </c>
      <c r="M118" s="49">
        <v>7926</v>
      </c>
      <c r="N118" s="49">
        <v>9473</v>
      </c>
      <c r="O118" s="49">
        <v>12388</v>
      </c>
      <c r="P118" s="49">
        <v>7125</v>
      </c>
      <c r="Q118" s="49">
        <v>9542</v>
      </c>
      <c r="R118" s="49">
        <v>10143</v>
      </c>
      <c r="S118" s="49">
        <v>12071</v>
      </c>
      <c r="T118" s="49">
        <v>6559</v>
      </c>
      <c r="U118" s="49">
        <v>8695</v>
      </c>
      <c r="V118" s="49">
        <v>9614</v>
      </c>
      <c r="W118" s="49">
        <v>12223</v>
      </c>
      <c r="X118" s="145">
        <v>-1.4557238754147271E-2</v>
      </c>
      <c r="Y118" s="100">
        <v>-2.2106224716168629E-2</v>
      </c>
      <c r="Z118" s="100">
        <v>-1.4118714636489839E-2</v>
      </c>
      <c r="AA118" s="100">
        <v>4.1148921194400501E-3</v>
      </c>
    </row>
    <row r="119" spans="1:27" customFormat="1" x14ac:dyDescent="0.3">
      <c r="A119">
        <v>260203</v>
      </c>
      <c r="B119" s="20">
        <v>6806</v>
      </c>
      <c r="C119" s="10" t="s">
        <v>67</v>
      </c>
      <c r="D119" s="10" t="s">
        <v>1363</v>
      </c>
      <c r="E119" s="10" t="s">
        <v>817</v>
      </c>
      <c r="F119" s="38">
        <v>0.1</v>
      </c>
      <c r="G119" s="49">
        <v>11226</v>
      </c>
      <c r="H119" s="49">
        <v>10026</v>
      </c>
      <c r="I119" s="49">
        <v>12971</v>
      </c>
      <c r="J119" s="49">
        <v>14198</v>
      </c>
      <c r="K119" s="49">
        <v>12498</v>
      </c>
      <c r="L119" s="49">
        <v>8028</v>
      </c>
      <c r="M119" s="49">
        <v>9057</v>
      </c>
      <c r="N119" s="49">
        <v>8133</v>
      </c>
      <c r="O119" s="49">
        <v>10040</v>
      </c>
      <c r="P119" s="49">
        <v>8234</v>
      </c>
      <c r="Q119" s="49">
        <v>10261</v>
      </c>
      <c r="R119" s="131">
        <v>11955</v>
      </c>
      <c r="S119" s="49">
        <v>11999</v>
      </c>
      <c r="T119" s="49">
        <v>9024</v>
      </c>
      <c r="U119" s="49">
        <v>9833</v>
      </c>
      <c r="V119" s="49">
        <v>10628</v>
      </c>
      <c r="W119" s="49">
        <v>12042</v>
      </c>
      <c r="X119" s="145">
        <v>1.86105679756885E-2</v>
      </c>
      <c r="Y119" s="100">
        <v>-9.8984712874951031E-3</v>
      </c>
      <c r="Z119" s="100">
        <v>-3.09967064539487E-2</v>
      </c>
      <c r="AA119" s="100">
        <v>1.036544209815915E-3</v>
      </c>
    </row>
    <row r="120" spans="1:27" customFormat="1" x14ac:dyDescent="0.3">
      <c r="A120">
        <v>260203</v>
      </c>
      <c r="B120" s="20">
        <v>4206</v>
      </c>
      <c r="C120" s="10" t="s">
        <v>67</v>
      </c>
      <c r="D120" s="10" t="s">
        <v>1364</v>
      </c>
      <c r="E120" s="10" t="s">
        <v>811</v>
      </c>
      <c r="F120" s="38">
        <v>-0.2</v>
      </c>
      <c r="G120" s="49">
        <v>5304</v>
      </c>
      <c r="H120" s="49">
        <v>4788</v>
      </c>
      <c r="I120" s="49">
        <v>6135</v>
      </c>
      <c r="J120" s="49">
        <v>4164</v>
      </c>
      <c r="K120" s="49">
        <v>5274</v>
      </c>
      <c r="L120" s="49">
        <v>5359</v>
      </c>
      <c r="M120" s="49">
        <v>5760</v>
      </c>
      <c r="N120" s="49">
        <v>5231</v>
      </c>
      <c r="O120" s="49">
        <v>6175</v>
      </c>
      <c r="P120" s="131">
        <v>8098</v>
      </c>
      <c r="Q120" s="49">
        <v>5783</v>
      </c>
      <c r="R120" s="49">
        <v>6061</v>
      </c>
      <c r="S120" s="49">
        <v>7087</v>
      </c>
      <c r="T120" s="49">
        <v>8051</v>
      </c>
      <c r="U120" s="49">
        <v>6210</v>
      </c>
      <c r="V120" s="49">
        <v>6325</v>
      </c>
      <c r="W120" s="49">
        <v>7024</v>
      </c>
      <c r="X120" s="145">
        <v>-1.738873062266499E-3</v>
      </c>
      <c r="Y120" s="100">
        <v>1.5825365058186991E-2</v>
      </c>
      <c r="Z120" s="100">
        <v>9.6318727425297457E-3</v>
      </c>
      <c r="AA120" s="100">
        <v>-2.2765872872474451E-3</v>
      </c>
    </row>
    <row r="121" spans="1:27" customFormat="1" x14ac:dyDescent="0.3">
      <c r="A121">
        <v>260203</v>
      </c>
      <c r="B121" s="20">
        <v>6841</v>
      </c>
      <c r="C121" s="10" t="s">
        <v>67</v>
      </c>
      <c r="D121" s="10" t="s">
        <v>1365</v>
      </c>
      <c r="E121" s="10" t="s">
        <v>817</v>
      </c>
      <c r="F121" s="38">
        <v>-0.8</v>
      </c>
      <c r="G121" s="49">
        <v>7979</v>
      </c>
      <c r="H121" s="49">
        <v>8245</v>
      </c>
      <c r="I121" s="49">
        <v>1052</v>
      </c>
      <c r="J121" s="49">
        <v>12169</v>
      </c>
      <c r="K121" s="131">
        <v>11523</v>
      </c>
      <c r="L121" s="131">
        <v>19645</v>
      </c>
      <c r="M121" s="131">
        <v>13039</v>
      </c>
      <c r="N121" s="131">
        <v>20631</v>
      </c>
      <c r="O121" s="131">
        <v>24712</v>
      </c>
      <c r="P121" s="49">
        <v>20365</v>
      </c>
      <c r="Q121" s="49">
        <v>14827</v>
      </c>
      <c r="R121" s="49">
        <v>21488</v>
      </c>
      <c r="S121" s="49">
        <v>22102</v>
      </c>
      <c r="T121" s="49">
        <v>25107</v>
      </c>
      <c r="U121" s="49">
        <v>16202</v>
      </c>
      <c r="V121" s="49">
        <v>22787</v>
      </c>
      <c r="W121" s="49">
        <v>21435</v>
      </c>
      <c r="X121" s="145">
        <v>6.0191414282450229E-2</v>
      </c>
      <c r="Y121" s="100">
        <v>1.6462334179397461E-2</v>
      </c>
      <c r="Z121" s="100">
        <v>1.5300533575189229E-2</v>
      </c>
      <c r="AA121" s="100">
        <v>-7.7379985614515201E-3</v>
      </c>
    </row>
    <row r="122" spans="1:27" customFormat="1" x14ac:dyDescent="0.3">
      <c r="A122">
        <v>260203</v>
      </c>
      <c r="B122" s="20">
        <v>6724</v>
      </c>
      <c r="C122" s="10" t="s">
        <v>67</v>
      </c>
      <c r="D122" s="10" t="s">
        <v>1366</v>
      </c>
      <c r="E122" s="10" t="s">
        <v>817</v>
      </c>
      <c r="F122" s="38">
        <v>-0.8</v>
      </c>
      <c r="G122" s="49">
        <v>30343</v>
      </c>
      <c r="H122" s="49">
        <v>13574</v>
      </c>
      <c r="I122" s="49">
        <v>31216</v>
      </c>
      <c r="J122" s="49">
        <v>27938</v>
      </c>
      <c r="K122" s="49">
        <v>23391</v>
      </c>
      <c r="L122" s="49">
        <v>12540</v>
      </c>
      <c r="M122" s="49">
        <v>19714</v>
      </c>
      <c r="N122" s="49">
        <v>8221</v>
      </c>
      <c r="O122" s="49">
        <v>23765</v>
      </c>
      <c r="P122" s="49">
        <v>11193</v>
      </c>
      <c r="Q122" s="49">
        <v>22470</v>
      </c>
      <c r="R122" s="49">
        <v>12469</v>
      </c>
      <c r="S122" s="49">
        <v>27927</v>
      </c>
      <c r="T122" s="131">
        <v>24459</v>
      </c>
      <c r="U122" s="49">
        <v>14137</v>
      </c>
      <c r="V122" s="49">
        <v>17010</v>
      </c>
      <c r="W122" s="49">
        <v>27240</v>
      </c>
      <c r="X122" s="146">
        <v>0.17912745243657091</v>
      </c>
      <c r="Y122" s="100">
        <v>-9.5425135986258236E-2</v>
      </c>
      <c r="Z122" s="100">
        <v>5.7486834109783169E-2</v>
      </c>
      <c r="AA122" s="100">
        <v>-8.2242945901619402E-3</v>
      </c>
    </row>
    <row r="123" spans="1:27" customFormat="1" x14ac:dyDescent="0.3">
      <c r="A123">
        <v>260203</v>
      </c>
      <c r="B123" s="20">
        <v>6503</v>
      </c>
      <c r="C123" s="10" t="s">
        <v>67</v>
      </c>
      <c r="D123" s="10" t="s">
        <v>1367</v>
      </c>
      <c r="E123" s="10" t="s">
        <v>811</v>
      </c>
      <c r="F123" s="38">
        <v>-1.3</v>
      </c>
      <c r="G123" s="49">
        <v>55062</v>
      </c>
      <c r="H123" s="49">
        <v>52359</v>
      </c>
      <c r="I123" s="49">
        <v>61862</v>
      </c>
      <c r="J123" s="49">
        <v>33965</v>
      </c>
      <c r="K123" s="49">
        <v>46538</v>
      </c>
      <c r="L123" s="131">
        <v>82722</v>
      </c>
      <c r="M123" s="131">
        <v>99127</v>
      </c>
      <c r="N123" s="131">
        <v>61005</v>
      </c>
      <c r="O123" s="49">
        <v>74834</v>
      </c>
      <c r="P123" s="49">
        <v>86494</v>
      </c>
      <c r="Q123" s="49">
        <v>106192</v>
      </c>
      <c r="R123" s="49">
        <v>58659</v>
      </c>
      <c r="S123" s="131">
        <v>118023</v>
      </c>
      <c r="T123" s="131">
        <v>126873</v>
      </c>
      <c r="U123" s="49">
        <v>73537</v>
      </c>
      <c r="V123" s="131">
        <v>111972</v>
      </c>
      <c r="W123" s="49">
        <v>112394</v>
      </c>
      <c r="X123" s="146">
        <v>0.1093191613783544</v>
      </c>
      <c r="Y123" s="100">
        <v>-7.9695519430282635E-2</v>
      </c>
      <c r="Z123" s="113">
        <v>0.1413792920560499</v>
      </c>
      <c r="AA123" s="100">
        <v>-1.307837966566372E-2</v>
      </c>
    </row>
    <row r="124" spans="1:27" customFormat="1" x14ac:dyDescent="0.3">
      <c r="A124">
        <v>260203</v>
      </c>
      <c r="B124" s="20">
        <v>6622</v>
      </c>
      <c r="C124" s="10" t="s">
        <v>67</v>
      </c>
      <c r="D124" s="10" t="s">
        <v>1368</v>
      </c>
      <c r="E124" s="10" t="s">
        <v>811</v>
      </c>
      <c r="F124" s="38">
        <v>-2.2000000000000002</v>
      </c>
      <c r="G124" s="49">
        <v>3272</v>
      </c>
      <c r="H124" s="49">
        <v>3674</v>
      </c>
      <c r="I124" s="49">
        <v>4272</v>
      </c>
      <c r="J124" s="49">
        <v>1820</v>
      </c>
      <c r="K124" s="131">
        <v>5535</v>
      </c>
      <c r="L124" s="49">
        <v>3847</v>
      </c>
      <c r="M124" s="49">
        <v>5366</v>
      </c>
      <c r="N124" s="49">
        <v>772</v>
      </c>
      <c r="O124" s="49">
        <v>4300</v>
      </c>
      <c r="P124" s="49">
        <v>2747</v>
      </c>
      <c r="Q124" s="131">
        <v>7327</v>
      </c>
      <c r="R124" s="49">
        <v>899</v>
      </c>
      <c r="S124" s="49">
        <v>4166</v>
      </c>
      <c r="T124" s="131">
        <v>5192</v>
      </c>
      <c r="U124" s="49">
        <v>5917</v>
      </c>
      <c r="V124" s="131">
        <v>3164</v>
      </c>
      <c r="W124" s="49">
        <v>3769</v>
      </c>
      <c r="X124" s="146">
        <v>0.16150340180989489</v>
      </c>
      <c r="Y124" s="100">
        <v>-8.0186533212010969E-2</v>
      </c>
      <c r="Z124" s="113">
        <v>0.14003956967973299</v>
      </c>
      <c r="AA124" s="100">
        <v>-2.1530451759856791E-2</v>
      </c>
    </row>
    <row r="125" spans="1:27" customFormat="1" x14ac:dyDescent="0.3">
      <c r="A125">
        <v>260203</v>
      </c>
      <c r="B125" s="20">
        <v>7224</v>
      </c>
      <c r="C125" s="10" t="s">
        <v>67</v>
      </c>
      <c r="D125" s="10" t="s">
        <v>1185</v>
      </c>
      <c r="E125" s="10" t="s">
        <v>811</v>
      </c>
      <c r="F125" s="38">
        <v>-5.4</v>
      </c>
      <c r="G125" s="49">
        <v>3039</v>
      </c>
      <c r="H125" s="49">
        <v>2687</v>
      </c>
      <c r="I125" s="49">
        <v>3443</v>
      </c>
      <c r="J125" s="49">
        <v>793</v>
      </c>
      <c r="K125" s="49">
        <v>2413</v>
      </c>
      <c r="L125" s="49">
        <v>2799</v>
      </c>
      <c r="M125" s="49">
        <v>3290</v>
      </c>
      <c r="N125" s="49">
        <v>638</v>
      </c>
      <c r="O125" s="131">
        <v>3794</v>
      </c>
      <c r="P125" s="49">
        <v>1869</v>
      </c>
      <c r="Q125" s="131">
        <v>5464</v>
      </c>
      <c r="R125" s="131">
        <v>1843</v>
      </c>
      <c r="S125" s="49">
        <v>3880</v>
      </c>
      <c r="T125" s="49">
        <v>2596</v>
      </c>
      <c r="U125" s="49">
        <v>5651</v>
      </c>
      <c r="V125" s="49">
        <v>1427</v>
      </c>
      <c r="W125" s="49">
        <v>3151</v>
      </c>
      <c r="X125" s="100">
        <v>5.5683210784313708E-2</v>
      </c>
      <c r="Y125" s="100">
        <v>1.356743814844363E-2</v>
      </c>
      <c r="Z125" s="100">
        <v>-2.9778095919828159E-2</v>
      </c>
      <c r="AA125" s="100">
        <v>-5.3784860557768877E-2</v>
      </c>
    </row>
    <row r="126" spans="1:27" customFormat="1" x14ac:dyDescent="0.3">
      <c r="A126">
        <v>260203</v>
      </c>
      <c r="B126" s="20">
        <v>2810</v>
      </c>
      <c r="C126" s="10" t="s">
        <v>67</v>
      </c>
      <c r="D126" s="10" t="s">
        <v>1369</v>
      </c>
      <c r="E126" s="10" t="s">
        <v>811</v>
      </c>
      <c r="F126" s="38">
        <v>-6.8</v>
      </c>
      <c r="G126" s="49">
        <v>3341</v>
      </c>
      <c r="H126" s="49">
        <v>7855</v>
      </c>
      <c r="I126" s="49">
        <v>2341</v>
      </c>
      <c r="J126" s="49">
        <v>4971</v>
      </c>
      <c r="K126" s="49">
        <v>2661</v>
      </c>
      <c r="L126" s="49">
        <v>6692</v>
      </c>
      <c r="M126" s="49">
        <v>2306</v>
      </c>
      <c r="N126" s="49">
        <v>4913</v>
      </c>
      <c r="O126" s="49">
        <v>3154</v>
      </c>
      <c r="P126" s="131">
        <v>8603</v>
      </c>
      <c r="Q126" s="49">
        <v>2800</v>
      </c>
      <c r="R126" s="49">
        <v>5408</v>
      </c>
      <c r="S126" s="49">
        <v>3862</v>
      </c>
      <c r="T126" s="49">
        <v>8265</v>
      </c>
      <c r="U126" s="49">
        <v>2809</v>
      </c>
      <c r="V126" s="49">
        <v>3250</v>
      </c>
      <c r="W126" s="49">
        <v>2618</v>
      </c>
      <c r="X126" s="145">
        <v>-1.6349828278430789E-2</v>
      </c>
      <c r="Y126" s="100">
        <v>4.4258667322361061E-4</v>
      </c>
      <c r="Z126" s="100">
        <v>-0.10607550137632719</v>
      </c>
      <c r="AA126" s="100">
        <v>-6.8404267018585707E-2</v>
      </c>
    </row>
    <row r="127" spans="1:27" customFormat="1" x14ac:dyDescent="0.3">
      <c r="A127">
        <v>260203</v>
      </c>
      <c r="B127" s="20">
        <v>6632</v>
      </c>
      <c r="C127" s="10" t="s">
        <v>67</v>
      </c>
      <c r="D127" s="10" t="s">
        <v>1370</v>
      </c>
      <c r="E127" s="10" t="s">
        <v>811</v>
      </c>
      <c r="F127" s="38">
        <v>-7.8</v>
      </c>
      <c r="G127" s="49">
        <v>-598</v>
      </c>
      <c r="H127" s="49">
        <v>1608</v>
      </c>
      <c r="I127" s="49">
        <v>3444</v>
      </c>
      <c r="J127" s="49">
        <v>852</v>
      </c>
      <c r="K127" s="131">
        <v>5377</v>
      </c>
      <c r="L127" s="131">
        <v>13908</v>
      </c>
      <c r="M127" s="49">
        <v>-4141</v>
      </c>
      <c r="N127" s="131">
        <v>5059</v>
      </c>
      <c r="O127" s="49">
        <v>4878</v>
      </c>
      <c r="P127" s="49">
        <v>5106</v>
      </c>
      <c r="Q127" s="131">
        <v>4747</v>
      </c>
      <c r="R127" s="49">
        <v>6121</v>
      </c>
      <c r="S127" s="131">
        <v>7184</v>
      </c>
      <c r="T127" s="49">
        <v>3531</v>
      </c>
      <c r="U127" s="131">
        <v>7548</v>
      </c>
      <c r="V127" s="49">
        <v>4283</v>
      </c>
      <c r="W127" s="49">
        <v>5419</v>
      </c>
      <c r="X127" s="145">
        <v>-6.8011054495206835E-2</v>
      </c>
      <c r="Y127" s="113">
        <v>0.12977806607051859</v>
      </c>
      <c r="Z127" s="100">
        <v>-7.5377296587926468E-2</v>
      </c>
      <c r="AA127" s="100">
        <v>-7.8284396345249752E-2</v>
      </c>
    </row>
    <row r="128" spans="1:27" customFormat="1" x14ac:dyDescent="0.3">
      <c r="A128">
        <v>260203</v>
      </c>
      <c r="B128" s="20">
        <v>9107</v>
      </c>
      <c r="C128" s="10" t="s">
        <v>67</v>
      </c>
      <c r="D128" s="10" t="s">
        <v>1371</v>
      </c>
      <c r="E128" s="10" t="s">
        <v>811</v>
      </c>
      <c r="F128" s="38">
        <v>-7.9</v>
      </c>
      <c r="G128" s="49">
        <v>7781</v>
      </c>
      <c r="H128" s="49">
        <v>13122</v>
      </c>
      <c r="I128" s="49">
        <v>-5640</v>
      </c>
      <c r="J128" s="49">
        <v>18879</v>
      </c>
      <c r="K128" s="131">
        <v>34120</v>
      </c>
      <c r="L128" s="131">
        <v>27595</v>
      </c>
      <c r="M128" s="49">
        <v>-1735</v>
      </c>
      <c r="N128" s="49">
        <v>19638</v>
      </c>
      <c r="O128" s="49">
        <v>25019</v>
      </c>
      <c r="P128" s="49">
        <v>25497</v>
      </c>
      <c r="Q128" s="131">
        <v>14610</v>
      </c>
      <c r="R128" s="131">
        <v>30718</v>
      </c>
      <c r="S128" s="49">
        <v>30423</v>
      </c>
      <c r="T128" s="49">
        <v>31105</v>
      </c>
      <c r="U128" s="49">
        <v>10609</v>
      </c>
      <c r="V128" s="49">
        <v>19843</v>
      </c>
      <c r="W128" s="49">
        <v>23113</v>
      </c>
      <c r="X128" s="145">
        <v>5.5388748419721967E-2</v>
      </c>
      <c r="Y128" s="100">
        <v>-3.7442913827955393E-2</v>
      </c>
      <c r="Z128" s="100">
        <v>-0.1057313694035292</v>
      </c>
      <c r="AA128" s="100">
        <v>-7.9473798651880867E-2</v>
      </c>
    </row>
    <row r="129" spans="1:27" customFormat="1" x14ac:dyDescent="0.3">
      <c r="A129">
        <v>260203</v>
      </c>
      <c r="B129" s="83" t="s">
        <v>1372</v>
      </c>
      <c r="C129" s="84" t="s">
        <v>31</v>
      </c>
      <c r="D129" s="84" t="s">
        <v>1373</v>
      </c>
      <c r="E129" s="10" t="s">
        <v>811</v>
      </c>
      <c r="F129" s="115">
        <v>45.8</v>
      </c>
      <c r="G129" s="133">
        <v>99</v>
      </c>
      <c r="H129" s="133">
        <v>168</v>
      </c>
      <c r="I129" s="133">
        <v>80</v>
      </c>
      <c r="J129" s="133">
        <v>165</v>
      </c>
      <c r="K129" s="133">
        <v>110</v>
      </c>
      <c r="L129" s="133">
        <v>180</v>
      </c>
      <c r="M129" s="133">
        <v>77.2</v>
      </c>
      <c r="N129" s="133">
        <v>178.8</v>
      </c>
      <c r="O129" s="133">
        <v>128</v>
      </c>
      <c r="P129" s="133">
        <v>225</v>
      </c>
      <c r="Q129" s="133">
        <v>116.8</v>
      </c>
      <c r="R129" s="133">
        <v>97.2</v>
      </c>
      <c r="S129" s="133">
        <v>-5.8</v>
      </c>
      <c r="T129" s="133">
        <v>218.3</v>
      </c>
      <c r="U129" s="133">
        <v>-3.3</v>
      </c>
      <c r="V129" s="133">
        <v>-170.8</v>
      </c>
      <c r="W129" s="134">
        <v>11.8</v>
      </c>
      <c r="X129" s="147">
        <v>-1.546629732225302E-2</v>
      </c>
      <c r="Y129" s="119">
        <v>-0.2815943728018756</v>
      </c>
      <c r="Z129" s="119">
        <v>-0.87467362924281988</v>
      </c>
      <c r="AA129" s="120">
        <v>0.45833333333333348</v>
      </c>
    </row>
    <row r="130" spans="1:27" customFormat="1" x14ac:dyDescent="0.3">
      <c r="A130">
        <v>260203</v>
      </c>
      <c r="B130" s="20" t="s">
        <v>1374</v>
      </c>
      <c r="C130" s="10" t="s">
        <v>31</v>
      </c>
      <c r="D130" s="10" t="s">
        <v>1375</v>
      </c>
      <c r="E130" s="10" t="s">
        <v>817</v>
      </c>
      <c r="F130" s="38">
        <v>8.6999999999999993</v>
      </c>
      <c r="G130" s="49">
        <v>1508</v>
      </c>
      <c r="H130" s="49">
        <v>2839</v>
      </c>
      <c r="I130" s="49">
        <v>2524</v>
      </c>
      <c r="J130" s="49">
        <v>2686</v>
      </c>
      <c r="K130" s="131">
        <v>3175</v>
      </c>
      <c r="L130" s="131">
        <v>4277</v>
      </c>
      <c r="M130" s="49">
        <v>2890</v>
      </c>
      <c r="N130" s="49">
        <v>3025</v>
      </c>
      <c r="O130" s="49">
        <v>3176</v>
      </c>
      <c r="P130" s="49">
        <v>5135</v>
      </c>
      <c r="Q130" s="49">
        <v>4094</v>
      </c>
      <c r="R130" s="49">
        <v>4012</v>
      </c>
      <c r="S130" s="49">
        <v>4791</v>
      </c>
      <c r="T130" s="49">
        <v>4720</v>
      </c>
      <c r="U130" s="49">
        <v>4789</v>
      </c>
      <c r="V130" s="49">
        <v>4922</v>
      </c>
      <c r="W130" s="49">
        <v>6454</v>
      </c>
      <c r="X130" s="145">
        <v>-2.301464063886427E-2</v>
      </c>
      <c r="Y130" s="100">
        <v>3.9450530737356049E-2</v>
      </c>
      <c r="Z130" s="100">
        <v>4.9694189602446537E-2</v>
      </c>
      <c r="AA130" s="100">
        <v>8.6515451045676928E-2</v>
      </c>
    </row>
    <row r="131" spans="1:27" customFormat="1" x14ac:dyDescent="0.3">
      <c r="A131">
        <v>260203</v>
      </c>
      <c r="B131" s="20" t="s">
        <v>1330</v>
      </c>
      <c r="C131" s="10" t="s">
        <v>31</v>
      </c>
      <c r="D131" s="10" t="s">
        <v>1376</v>
      </c>
      <c r="E131" s="10" t="s">
        <v>817</v>
      </c>
      <c r="F131" s="38">
        <v>7.6</v>
      </c>
      <c r="G131" s="49">
        <v>6591</v>
      </c>
      <c r="H131" s="49">
        <v>5287</v>
      </c>
      <c r="I131" s="49">
        <v>5619</v>
      </c>
      <c r="J131" s="49">
        <v>5933</v>
      </c>
      <c r="K131" s="131">
        <v>34391</v>
      </c>
      <c r="L131" s="49">
        <v>7682</v>
      </c>
      <c r="M131" s="49">
        <v>8479</v>
      </c>
      <c r="N131" s="49">
        <v>9568</v>
      </c>
      <c r="O131" s="49">
        <v>9958</v>
      </c>
      <c r="P131" s="131">
        <v>14470</v>
      </c>
      <c r="Q131" s="49">
        <v>9635</v>
      </c>
      <c r="R131" s="49">
        <v>13284</v>
      </c>
      <c r="S131" s="49">
        <v>9675</v>
      </c>
      <c r="T131" s="49">
        <v>11665</v>
      </c>
      <c r="U131" s="49">
        <v>10710</v>
      </c>
      <c r="V131" s="49">
        <v>11344</v>
      </c>
      <c r="W131" s="49">
        <v>12994</v>
      </c>
      <c r="X131" s="145">
        <v>-5.9599694033656281E-2</v>
      </c>
      <c r="Y131" s="100">
        <v>2.4288845206624551E-2</v>
      </c>
      <c r="Z131" s="100">
        <v>-4.2793488331054008E-2</v>
      </c>
      <c r="AA131" s="100">
        <v>7.6485228372586089E-2</v>
      </c>
    </row>
    <row r="132" spans="1:27" customFormat="1" x14ac:dyDescent="0.3">
      <c r="A132">
        <v>260203</v>
      </c>
      <c r="B132" s="20" t="s">
        <v>1336</v>
      </c>
      <c r="C132" s="10" t="s">
        <v>31</v>
      </c>
      <c r="D132" s="10" t="s">
        <v>1377</v>
      </c>
      <c r="E132" s="10" t="s">
        <v>817</v>
      </c>
      <c r="F132" s="38">
        <v>6.2</v>
      </c>
      <c r="G132" s="49">
        <v>5594</v>
      </c>
      <c r="H132" s="49">
        <v>-550.9</v>
      </c>
      <c r="I132" s="49">
        <v>5551</v>
      </c>
      <c r="J132" s="49">
        <v>3126</v>
      </c>
      <c r="K132" s="49">
        <v>4093</v>
      </c>
      <c r="L132" s="49">
        <v>-4165</v>
      </c>
      <c r="M132" s="49">
        <v>3594</v>
      </c>
      <c r="N132" s="131">
        <v>4693</v>
      </c>
      <c r="O132" s="49">
        <v>-6258</v>
      </c>
      <c r="P132" s="49">
        <v>-896.8</v>
      </c>
      <c r="Q132" s="131">
        <v>4004</v>
      </c>
      <c r="R132" s="49">
        <v>1324</v>
      </c>
      <c r="S132" s="49">
        <v>2874</v>
      </c>
      <c r="T132" s="131">
        <v>6794</v>
      </c>
      <c r="U132" s="49">
        <v>3584</v>
      </c>
      <c r="V132" s="131">
        <v>4102</v>
      </c>
      <c r="W132" s="49">
        <v>3945</v>
      </c>
      <c r="X132" s="146">
        <v>1.05278431802004</v>
      </c>
      <c r="Y132" s="100">
        <v>-2.8007468658308832E-2</v>
      </c>
      <c r="Z132" s="113">
        <v>0.1905872667398463</v>
      </c>
      <c r="AA132" s="100">
        <v>6.1714878414198537E-2</v>
      </c>
    </row>
    <row r="133" spans="1:27" customFormat="1" x14ac:dyDescent="0.3">
      <c r="A133">
        <v>260203</v>
      </c>
      <c r="B133" s="20" t="s">
        <v>1332</v>
      </c>
      <c r="C133" s="10" t="s">
        <v>31</v>
      </c>
      <c r="D133" s="10" t="s">
        <v>1378</v>
      </c>
      <c r="E133" s="10" t="s">
        <v>817</v>
      </c>
      <c r="F133" s="38">
        <v>4.4000000000000004</v>
      </c>
      <c r="G133" s="49">
        <v>17375</v>
      </c>
      <c r="H133" s="49">
        <v>20989</v>
      </c>
      <c r="I133" s="49">
        <v>22817</v>
      </c>
      <c r="J133" s="49">
        <v>24060</v>
      </c>
      <c r="K133" s="49">
        <v>21277</v>
      </c>
      <c r="L133" s="49">
        <v>24814</v>
      </c>
      <c r="M133" s="49">
        <v>28041</v>
      </c>
      <c r="N133" s="49">
        <v>29060</v>
      </c>
      <c r="O133" s="131">
        <v>32006</v>
      </c>
      <c r="P133" s="49">
        <v>31175</v>
      </c>
      <c r="Q133" s="49">
        <v>32326</v>
      </c>
      <c r="R133" s="49">
        <v>32923</v>
      </c>
      <c r="S133" s="49">
        <v>36963</v>
      </c>
      <c r="T133" s="49">
        <v>38227</v>
      </c>
      <c r="U133" s="49">
        <v>42404</v>
      </c>
      <c r="V133" s="49">
        <v>42868</v>
      </c>
      <c r="W133" s="49">
        <v>44017</v>
      </c>
      <c r="X133" s="145">
        <v>5.2868720340063069E-2</v>
      </c>
      <c r="Y133" s="100">
        <v>7.1760693254722785E-2</v>
      </c>
      <c r="Z133" s="100">
        <v>6.6072270906276431E-2</v>
      </c>
      <c r="AA133" s="100">
        <v>4.3960563871820117E-2</v>
      </c>
    </row>
    <row r="134" spans="1:27" customFormat="1" x14ac:dyDescent="0.3">
      <c r="A134">
        <v>260203</v>
      </c>
      <c r="B134" s="20" t="s">
        <v>1335</v>
      </c>
      <c r="C134" s="10" t="s">
        <v>31</v>
      </c>
      <c r="D134" s="10" t="s">
        <v>1379</v>
      </c>
      <c r="E134" s="10" t="s">
        <v>811</v>
      </c>
      <c r="F134" s="38">
        <v>2.5</v>
      </c>
      <c r="G134" s="49">
        <v>4893</v>
      </c>
      <c r="H134" s="49">
        <v>4886</v>
      </c>
      <c r="I134" s="49">
        <v>3698</v>
      </c>
      <c r="J134" s="49">
        <v>4682</v>
      </c>
      <c r="K134" s="49">
        <v>4362</v>
      </c>
      <c r="L134" s="49">
        <v>4272</v>
      </c>
      <c r="M134" s="49">
        <v>4190</v>
      </c>
      <c r="N134" s="49">
        <v>6335</v>
      </c>
      <c r="O134" s="49">
        <v>6045</v>
      </c>
      <c r="P134" s="131">
        <v>6630</v>
      </c>
      <c r="Q134" s="49">
        <v>4974</v>
      </c>
      <c r="R134" s="49">
        <v>7283</v>
      </c>
      <c r="S134" s="49">
        <v>6809</v>
      </c>
      <c r="T134" s="49">
        <v>7089</v>
      </c>
      <c r="U134" s="49">
        <v>5539</v>
      </c>
      <c r="V134" s="49">
        <v>8443</v>
      </c>
      <c r="W134" s="49">
        <v>7508</v>
      </c>
      <c r="X134" s="145">
        <v>1.7862702366127081E-2</v>
      </c>
      <c r="Y134" s="100">
        <v>2.1601988147581741E-2</v>
      </c>
      <c r="Z134" s="100">
        <v>4.3413173652694592E-2</v>
      </c>
      <c r="AA134" s="100">
        <v>2.507173601147783E-2</v>
      </c>
    </row>
    <row r="135" spans="1:27" customFormat="1" x14ac:dyDescent="0.3">
      <c r="A135">
        <v>260203</v>
      </c>
      <c r="B135" s="20" t="s">
        <v>1334</v>
      </c>
      <c r="C135" s="10" t="s">
        <v>31</v>
      </c>
      <c r="D135" s="10" t="s">
        <v>1380</v>
      </c>
      <c r="E135" s="10" t="s">
        <v>811</v>
      </c>
      <c r="F135" s="38">
        <v>0.7</v>
      </c>
      <c r="G135" s="49">
        <v>968.72</v>
      </c>
      <c r="H135" s="49">
        <v>506.35</v>
      </c>
      <c r="I135" s="49">
        <v>493.08</v>
      </c>
      <c r="J135" s="49">
        <v>580.52</v>
      </c>
      <c r="K135" s="49">
        <v>1112</v>
      </c>
      <c r="L135" s="49">
        <v>511</v>
      </c>
      <c r="M135" s="49">
        <v>522.03</v>
      </c>
      <c r="N135" s="49">
        <v>527.46</v>
      </c>
      <c r="O135" s="49">
        <v>1042</v>
      </c>
      <c r="P135" s="49">
        <v>568.23</v>
      </c>
      <c r="Q135" s="49">
        <v>621.28</v>
      </c>
      <c r="R135" s="49">
        <v>599.96</v>
      </c>
      <c r="S135" s="49">
        <v>1224</v>
      </c>
      <c r="T135" s="49">
        <v>570.91999999999996</v>
      </c>
      <c r="U135" s="49">
        <v>533.51</v>
      </c>
      <c r="V135" s="49">
        <v>460.44</v>
      </c>
      <c r="W135" s="49">
        <v>1243</v>
      </c>
      <c r="X135" s="145">
        <v>8.9265862942045082E-4</v>
      </c>
      <c r="Y135" s="100">
        <v>-2.9099915123866119E-2</v>
      </c>
      <c r="Z135" s="100">
        <v>-4.7643927209149013E-2</v>
      </c>
      <c r="AA135" s="100">
        <v>6.8127951464214132E-3</v>
      </c>
    </row>
    <row r="136" spans="1:27" customFormat="1" x14ac:dyDescent="0.3">
      <c r="A136">
        <v>260203</v>
      </c>
      <c r="B136" s="20" t="s">
        <v>1329</v>
      </c>
      <c r="C136" s="10" t="s">
        <v>31</v>
      </c>
      <c r="D136" s="10" t="s">
        <v>1381</v>
      </c>
      <c r="E136" s="10" t="s">
        <v>817</v>
      </c>
      <c r="F136" s="38">
        <v>-0.3</v>
      </c>
      <c r="G136" s="49">
        <v>28680</v>
      </c>
      <c r="H136" s="49">
        <v>32902</v>
      </c>
      <c r="I136" s="49">
        <v>35028</v>
      </c>
      <c r="J136" s="49">
        <v>37523</v>
      </c>
      <c r="K136" s="49">
        <v>40116</v>
      </c>
      <c r="L136" s="49">
        <v>42595</v>
      </c>
      <c r="M136" s="49">
        <v>45484</v>
      </c>
      <c r="N136" s="49">
        <v>47576</v>
      </c>
      <c r="O136" s="49">
        <v>48939</v>
      </c>
      <c r="P136" s="49">
        <v>51146</v>
      </c>
      <c r="Q136" s="49">
        <v>52628</v>
      </c>
      <c r="R136" s="49">
        <v>53980</v>
      </c>
      <c r="S136" s="49">
        <v>57624</v>
      </c>
      <c r="T136" s="49">
        <v>56481</v>
      </c>
      <c r="U136" s="49">
        <v>63668</v>
      </c>
      <c r="V136" s="49">
        <v>66048</v>
      </c>
      <c r="W136" s="49">
        <v>56941</v>
      </c>
      <c r="X136" s="145">
        <v>2.4770403662398129E-2</v>
      </c>
      <c r="Y136" s="100">
        <v>5.0019708852672817E-2</v>
      </c>
      <c r="Z136" s="100">
        <v>5.2072680828295637E-2</v>
      </c>
      <c r="AA136" s="100">
        <v>-2.8012353324775589E-3</v>
      </c>
    </row>
    <row r="137" spans="1:27" customFormat="1" x14ac:dyDescent="0.3">
      <c r="A137">
        <v>260203</v>
      </c>
      <c r="B137" s="20" t="s">
        <v>1333</v>
      </c>
      <c r="C137" s="10" t="s">
        <v>31</v>
      </c>
      <c r="D137" s="10" t="s">
        <v>1382</v>
      </c>
      <c r="E137" s="10" t="s">
        <v>811</v>
      </c>
      <c r="F137" s="38">
        <v>-3.3</v>
      </c>
      <c r="G137" s="49">
        <v>237.7</v>
      </c>
      <c r="H137" s="49">
        <v>212.26</v>
      </c>
      <c r="I137" s="49">
        <v>134.57</v>
      </c>
      <c r="J137" s="49">
        <v>186.97</v>
      </c>
      <c r="K137" s="49">
        <v>309.14</v>
      </c>
      <c r="L137" s="131">
        <v>374.95</v>
      </c>
      <c r="M137" s="131">
        <v>348.21</v>
      </c>
      <c r="N137" s="131">
        <v>440.54</v>
      </c>
      <c r="O137" s="131">
        <v>496.63</v>
      </c>
      <c r="P137" s="49">
        <v>450.4</v>
      </c>
      <c r="Q137" s="49">
        <v>421.78</v>
      </c>
      <c r="R137" s="49">
        <v>466.75</v>
      </c>
      <c r="S137" s="49">
        <v>511.16</v>
      </c>
      <c r="T137" s="49">
        <v>420.15</v>
      </c>
      <c r="U137" s="49">
        <v>357.04</v>
      </c>
      <c r="V137" s="49">
        <v>369.47</v>
      </c>
      <c r="W137" s="49">
        <v>455.93</v>
      </c>
      <c r="X137" s="145">
        <v>-1.6350555918901222E-2</v>
      </c>
      <c r="Y137" s="100">
        <v>-3.5574556004923541E-2</v>
      </c>
      <c r="Z137" s="100">
        <v>-5.5427041194233813E-2</v>
      </c>
      <c r="AA137" s="100">
        <v>-3.3314835144949373E-2</v>
      </c>
    </row>
    <row r="138" spans="1:27" customFormat="1" x14ac:dyDescent="0.3">
      <c r="A138" s="156">
        <v>260203</v>
      </c>
      <c r="B138" s="157" t="s">
        <v>1337</v>
      </c>
      <c r="C138" s="152" t="s">
        <v>31</v>
      </c>
      <c r="D138" s="152" t="s">
        <v>1383</v>
      </c>
      <c r="E138" s="152" t="s">
        <v>811</v>
      </c>
      <c r="F138" s="158">
        <v>-5.3</v>
      </c>
      <c r="G138" s="159">
        <v>716.82</v>
      </c>
      <c r="H138" s="159">
        <v>826.72</v>
      </c>
      <c r="I138" s="159">
        <v>885.74</v>
      </c>
      <c r="J138" s="159">
        <v>942.13</v>
      </c>
      <c r="K138" s="159">
        <v>1000</v>
      </c>
      <c r="L138" s="159">
        <v>1031</v>
      </c>
      <c r="M138" s="159">
        <v>1099</v>
      </c>
      <c r="N138" s="159">
        <v>1112</v>
      </c>
      <c r="O138" s="159">
        <v>1093</v>
      </c>
      <c r="P138" s="159">
        <v>1131</v>
      </c>
      <c r="Q138" s="159">
        <v>1157</v>
      </c>
      <c r="R138" s="159">
        <v>1135</v>
      </c>
      <c r="S138" s="159">
        <v>1140</v>
      </c>
      <c r="T138" s="159">
        <v>1184</v>
      </c>
      <c r="U138" s="159">
        <v>1194</v>
      </c>
      <c r="V138" s="159">
        <v>1134</v>
      </c>
      <c r="W138" s="159">
        <v>892.3</v>
      </c>
      <c r="X138" s="145">
        <v>1.161516546131924E-2</v>
      </c>
      <c r="Y138" s="160">
        <v>8.0155979202773953E-3</v>
      </c>
      <c r="Z138" s="160">
        <v>-2.1491510853210991E-4</v>
      </c>
      <c r="AA138" s="160">
        <v>-5.3245915735167682E-2</v>
      </c>
    </row>
    <row r="139" spans="1:27" customFormat="1" x14ac:dyDescent="0.3">
      <c r="A139" s="161">
        <v>260203</v>
      </c>
      <c r="B139" s="109" t="s">
        <v>1338</v>
      </c>
      <c r="C139" s="102" t="s">
        <v>31</v>
      </c>
      <c r="D139" s="102" t="s">
        <v>1384</v>
      </c>
      <c r="E139" s="102" t="s">
        <v>811</v>
      </c>
      <c r="F139" s="104">
        <v>-9.4</v>
      </c>
      <c r="G139" s="106">
        <v>1789</v>
      </c>
      <c r="H139" s="106">
        <v>1370</v>
      </c>
      <c r="I139" s="106">
        <v>2123</v>
      </c>
      <c r="J139" s="106">
        <v>2746</v>
      </c>
      <c r="K139" s="106">
        <v>2497</v>
      </c>
      <c r="L139" s="106">
        <v>1848</v>
      </c>
      <c r="M139" s="106">
        <v>1916</v>
      </c>
      <c r="N139" s="106">
        <v>3000</v>
      </c>
      <c r="O139" s="106">
        <v>3000</v>
      </c>
      <c r="P139" s="106">
        <v>2775</v>
      </c>
      <c r="Q139" s="106">
        <v>2775</v>
      </c>
      <c r="R139" s="106">
        <v>1836</v>
      </c>
      <c r="S139" s="106">
        <v>2507</v>
      </c>
      <c r="T139" s="106">
        <v>2044</v>
      </c>
      <c r="U139" s="106">
        <v>2044</v>
      </c>
      <c r="V139" s="106">
        <v>2350</v>
      </c>
      <c r="W139" s="106">
        <v>1662</v>
      </c>
      <c r="X139" s="162">
        <v>-7.389062973819871E-2</v>
      </c>
      <c r="Y139" s="108">
        <v>-7.9786072909844963E-2</v>
      </c>
      <c r="Z139" s="108">
        <v>6.0965484521409152E-2</v>
      </c>
      <c r="AA139" s="108">
        <v>-9.4466182224706485E-2</v>
      </c>
    </row>
    <row r="140" spans="1:27" customFormat="1" x14ac:dyDescent="0.3">
      <c r="A140" s="4">
        <v>260202</v>
      </c>
      <c r="B140" s="20" t="s">
        <v>1130</v>
      </c>
      <c r="C140" s="10" t="s">
        <v>23</v>
      </c>
      <c r="D140" s="10" t="s">
        <v>24</v>
      </c>
      <c r="E140" s="10" t="s">
        <v>806</v>
      </c>
      <c r="F140" s="99">
        <v>66.400000000000006</v>
      </c>
      <c r="G140" s="49">
        <v>-58.94</v>
      </c>
      <c r="H140" s="49">
        <v>-39.44</v>
      </c>
      <c r="I140" s="49">
        <v>-41.75</v>
      </c>
      <c r="J140" s="49">
        <v>-62.19</v>
      </c>
      <c r="K140" s="49">
        <v>-17.829999999999998</v>
      </c>
      <c r="L140" s="49">
        <v>4.12</v>
      </c>
      <c r="M140" s="49">
        <v>10.07</v>
      </c>
      <c r="N140" s="49">
        <v>39.979999999999997</v>
      </c>
      <c r="O140" s="131">
        <v>65.790000000000006</v>
      </c>
      <c r="P140" s="131">
        <v>80.88</v>
      </c>
      <c r="Q140" s="131">
        <v>105.34</v>
      </c>
      <c r="R140" s="131">
        <v>113.14</v>
      </c>
      <c r="S140" s="49">
        <v>11.04</v>
      </c>
      <c r="T140" s="131">
        <v>176.05</v>
      </c>
      <c r="U140" s="131">
        <v>269.32</v>
      </c>
      <c r="V140" s="131">
        <v>393.26</v>
      </c>
      <c r="W140" s="131">
        <v>575.39</v>
      </c>
      <c r="X140" s="146">
        <v>0.30660438144329899</v>
      </c>
      <c r="Y140" s="113">
        <v>0.40431984614246602</v>
      </c>
      <c r="Z140" s="113">
        <v>0.49182688087086301</v>
      </c>
      <c r="AA140" s="113">
        <v>0.66419904198100443</v>
      </c>
    </row>
    <row r="141" spans="1:27" customFormat="1" x14ac:dyDescent="0.3">
      <c r="A141" s="4">
        <v>260202</v>
      </c>
      <c r="B141" s="20" t="s">
        <v>1131</v>
      </c>
      <c r="C141" s="10" t="s">
        <v>23</v>
      </c>
      <c r="D141" s="10" t="s">
        <v>146</v>
      </c>
      <c r="E141" s="10" t="s">
        <v>806</v>
      </c>
      <c r="F141" s="99">
        <v>26.2</v>
      </c>
      <c r="G141" s="49">
        <v>270.83</v>
      </c>
      <c r="H141" s="49">
        <v>200.56</v>
      </c>
      <c r="I141" s="49">
        <v>247.99</v>
      </c>
      <c r="J141" s="49">
        <v>232.71</v>
      </c>
      <c r="K141" s="49">
        <v>215.44</v>
      </c>
      <c r="L141" s="49">
        <v>94.9</v>
      </c>
      <c r="M141" s="49">
        <v>145.01</v>
      </c>
      <c r="N141" s="49">
        <v>147.96</v>
      </c>
      <c r="O141" s="49">
        <v>130.26</v>
      </c>
      <c r="P141" s="49">
        <v>81.97</v>
      </c>
      <c r="Q141" s="49">
        <v>154.88</v>
      </c>
      <c r="R141" s="49">
        <v>154.54</v>
      </c>
      <c r="S141" s="49">
        <v>154.55000000000001</v>
      </c>
      <c r="T141" s="49">
        <v>135.30000000000001</v>
      </c>
      <c r="U141" s="49">
        <v>93.04</v>
      </c>
      <c r="V141" s="49">
        <v>145.32</v>
      </c>
      <c r="W141" s="131">
        <v>293.2</v>
      </c>
      <c r="X141" s="145">
        <v>9.768472725940569E-2</v>
      </c>
      <c r="Y141" s="100">
        <v>-0.10319221719759029</v>
      </c>
      <c r="Z141" s="100">
        <v>-1.7155722605734721E-2</v>
      </c>
      <c r="AA141" s="113">
        <v>0.26249029741958679</v>
      </c>
    </row>
    <row r="142" spans="1:27" customFormat="1" x14ac:dyDescent="0.3">
      <c r="A142" s="4">
        <v>260202</v>
      </c>
      <c r="B142" s="20" t="s">
        <v>1159</v>
      </c>
      <c r="C142" s="10" t="s">
        <v>23</v>
      </c>
      <c r="D142" s="10" t="s">
        <v>1160</v>
      </c>
      <c r="E142" s="10" t="s">
        <v>806</v>
      </c>
      <c r="F142" s="99">
        <v>16.2</v>
      </c>
      <c r="G142" s="49">
        <v>59.22</v>
      </c>
      <c r="H142" s="49">
        <v>88.46</v>
      </c>
      <c r="I142" s="49">
        <v>176.51</v>
      </c>
      <c r="J142" s="49">
        <v>180.36</v>
      </c>
      <c r="K142" s="131">
        <v>212.17</v>
      </c>
      <c r="L142" s="131">
        <v>205.83</v>
      </c>
      <c r="M142" s="49">
        <v>182.35</v>
      </c>
      <c r="N142" s="49">
        <v>163.9</v>
      </c>
      <c r="O142" s="49">
        <v>114.16</v>
      </c>
      <c r="P142" s="49">
        <v>158.32</v>
      </c>
      <c r="Q142" s="49">
        <v>115.4</v>
      </c>
      <c r="R142" s="49">
        <v>98.95</v>
      </c>
      <c r="S142" s="49">
        <v>44.36</v>
      </c>
      <c r="T142" s="49">
        <v>92.78</v>
      </c>
      <c r="U142" s="49">
        <v>87.2</v>
      </c>
      <c r="V142" s="49">
        <v>103.46</v>
      </c>
      <c r="W142" s="131">
        <v>97.34</v>
      </c>
      <c r="X142" s="145">
        <v>-0.1571589573891565</v>
      </c>
      <c r="Y142" s="100">
        <v>-8.0229878517169784E-2</v>
      </c>
      <c r="Z142" s="100">
        <v>1.3950323239196869E-2</v>
      </c>
      <c r="AA142" s="113">
        <v>0.16162294081757159</v>
      </c>
    </row>
    <row r="143" spans="1:27" customFormat="1" x14ac:dyDescent="0.3">
      <c r="A143" s="4">
        <v>260202</v>
      </c>
      <c r="B143" s="20" t="s">
        <v>1133</v>
      </c>
      <c r="C143" s="10" t="s">
        <v>23</v>
      </c>
      <c r="D143" s="10" t="s">
        <v>131</v>
      </c>
      <c r="E143" s="10" t="s">
        <v>821</v>
      </c>
      <c r="F143" s="99">
        <v>13.2</v>
      </c>
      <c r="G143" s="49">
        <v>35.75</v>
      </c>
      <c r="H143" s="49">
        <v>56.66</v>
      </c>
      <c r="I143" s="49">
        <v>56.24</v>
      </c>
      <c r="J143" s="49">
        <v>59.66</v>
      </c>
      <c r="K143" s="49">
        <v>33.82</v>
      </c>
      <c r="L143" s="49">
        <v>45.56</v>
      </c>
      <c r="M143" s="131">
        <v>104.06</v>
      </c>
      <c r="N143" s="131">
        <v>91.57</v>
      </c>
      <c r="O143" s="131">
        <v>103.28</v>
      </c>
      <c r="P143" s="131">
        <v>120.83</v>
      </c>
      <c r="Q143" s="49">
        <v>117.46</v>
      </c>
      <c r="R143" s="49">
        <v>99.73</v>
      </c>
      <c r="S143" s="49">
        <v>93.94</v>
      </c>
      <c r="T143" s="49">
        <v>123.53</v>
      </c>
      <c r="U143" s="49">
        <v>120.07</v>
      </c>
      <c r="V143" s="131">
        <v>158.01</v>
      </c>
      <c r="W143" s="131">
        <v>159.41999999999999</v>
      </c>
      <c r="X143" s="145">
        <v>6.2505787572924021E-3</v>
      </c>
      <c r="Y143" s="100">
        <v>6.0046933235171629E-3</v>
      </c>
      <c r="Z143" s="113">
        <v>0.13328149655819049</v>
      </c>
      <c r="AA143" s="113">
        <v>0.1321360104933913</v>
      </c>
    </row>
    <row r="144" spans="1:27" customFormat="1" x14ac:dyDescent="0.3">
      <c r="A144" s="4">
        <v>260202</v>
      </c>
      <c r="B144" s="20" t="s">
        <v>1132</v>
      </c>
      <c r="C144" s="10" t="s">
        <v>23</v>
      </c>
      <c r="D144" s="10" t="s">
        <v>65</v>
      </c>
      <c r="E144" s="10" t="s">
        <v>811</v>
      </c>
      <c r="F144" s="99">
        <v>10</v>
      </c>
      <c r="G144" s="49">
        <v>51.58</v>
      </c>
      <c r="H144" s="49">
        <v>53.66</v>
      </c>
      <c r="I144" s="49">
        <v>56.71</v>
      </c>
      <c r="J144" s="49">
        <v>62.19</v>
      </c>
      <c r="K144" s="49">
        <v>66.290000000000006</v>
      </c>
      <c r="L144" s="49">
        <v>67.7</v>
      </c>
      <c r="M144" s="49">
        <v>62.76</v>
      </c>
      <c r="N144" s="49">
        <v>63.98</v>
      </c>
      <c r="O144" s="49">
        <v>68.819999999999993</v>
      </c>
      <c r="P144" s="49">
        <v>71.31</v>
      </c>
      <c r="Q144" s="49">
        <v>73.7</v>
      </c>
      <c r="R144" s="49">
        <v>76.89</v>
      </c>
      <c r="S144" s="49">
        <v>80.09</v>
      </c>
      <c r="T144" s="49">
        <v>80.12</v>
      </c>
      <c r="U144" s="49">
        <v>89</v>
      </c>
      <c r="V144" s="49">
        <v>94.29</v>
      </c>
      <c r="W144" s="49">
        <v>114.4</v>
      </c>
      <c r="X144" s="145">
        <v>2.9173151428855348E-2</v>
      </c>
      <c r="Y144" s="100">
        <v>4.9227799227799178E-2</v>
      </c>
      <c r="Z144" s="100">
        <v>5.3357865685372603E-2</v>
      </c>
      <c r="AA144" s="100">
        <v>9.9883551673944693E-2</v>
      </c>
    </row>
    <row r="145" spans="1:27" customFormat="1" x14ac:dyDescent="0.3">
      <c r="A145" s="4">
        <v>260202</v>
      </c>
      <c r="B145" s="20" t="s">
        <v>1134</v>
      </c>
      <c r="C145" s="10" t="s">
        <v>23</v>
      </c>
      <c r="D145" s="10" t="s">
        <v>1135</v>
      </c>
      <c r="E145" s="10" t="s">
        <v>821</v>
      </c>
      <c r="F145" s="38">
        <v>9.9</v>
      </c>
      <c r="G145" s="49">
        <v>156.88999999999999</v>
      </c>
      <c r="H145" s="49">
        <v>138.88</v>
      </c>
      <c r="I145" s="49">
        <v>29.81</v>
      </c>
      <c r="J145" s="49">
        <v>80.91</v>
      </c>
      <c r="K145" s="49">
        <v>172.79</v>
      </c>
      <c r="L145" s="49">
        <v>165.18</v>
      </c>
      <c r="M145" s="49">
        <v>4.7300000000000004</v>
      </c>
      <c r="N145" s="49">
        <v>64.290000000000006</v>
      </c>
      <c r="O145" s="49">
        <v>135.82</v>
      </c>
      <c r="P145" s="49">
        <v>170.22</v>
      </c>
      <c r="Q145" s="49">
        <v>5.94</v>
      </c>
      <c r="R145" s="131">
        <v>146.13</v>
      </c>
      <c r="S145" s="49">
        <v>134.72</v>
      </c>
      <c r="T145" s="131">
        <v>279.26</v>
      </c>
      <c r="U145" s="49">
        <v>-1.61</v>
      </c>
      <c r="V145" s="49">
        <v>38.299999999999997</v>
      </c>
      <c r="W145" s="49">
        <v>179.21</v>
      </c>
      <c r="X145" s="146">
        <v>0.23859434148049269</v>
      </c>
      <c r="Y145" s="100">
        <v>-1.3338044342372511E-2</v>
      </c>
      <c r="Z145" s="100">
        <v>-0.1930707251566697</v>
      </c>
      <c r="AA145" s="100">
        <v>9.8719684026005838E-2</v>
      </c>
    </row>
    <row r="146" spans="1:27" customFormat="1" x14ac:dyDescent="0.3">
      <c r="A146" s="4">
        <v>260202</v>
      </c>
      <c r="B146" s="20" t="s">
        <v>1142</v>
      </c>
      <c r="C146" s="10" t="s">
        <v>23</v>
      </c>
      <c r="D146" s="10" t="s">
        <v>1143</v>
      </c>
      <c r="E146" s="10" t="s">
        <v>811</v>
      </c>
      <c r="F146" s="38">
        <v>7.4</v>
      </c>
      <c r="G146" s="49">
        <v>1.27</v>
      </c>
      <c r="H146" s="49">
        <v>4.58</v>
      </c>
      <c r="I146" s="49">
        <v>9.3800000000000008</v>
      </c>
      <c r="J146" s="49">
        <v>3.65</v>
      </c>
      <c r="K146" s="131">
        <v>4.33</v>
      </c>
      <c r="L146" s="131">
        <v>10.54</v>
      </c>
      <c r="M146" s="49">
        <v>11.36</v>
      </c>
      <c r="N146" s="131">
        <v>11.56</v>
      </c>
      <c r="O146" s="131">
        <v>13.81</v>
      </c>
      <c r="P146" s="49">
        <v>14.49</v>
      </c>
      <c r="Q146" s="49">
        <v>15.66</v>
      </c>
      <c r="R146" s="49">
        <v>11.86</v>
      </c>
      <c r="S146" s="49">
        <v>11.17</v>
      </c>
      <c r="T146" s="49">
        <v>11.15</v>
      </c>
      <c r="U146" s="49">
        <v>12.73</v>
      </c>
      <c r="V146" s="49">
        <v>13.64</v>
      </c>
      <c r="W146" s="49">
        <v>14.75</v>
      </c>
      <c r="X146" s="145">
        <v>-6.2805566002256397E-2</v>
      </c>
      <c r="Y146" s="100">
        <v>-5.8788121990369313E-2</v>
      </c>
      <c r="Z146" s="100">
        <v>3.7945001065870843E-2</v>
      </c>
      <c r="AA146" s="100">
        <v>7.3526391456151252E-2</v>
      </c>
    </row>
    <row r="147" spans="1:27" customFormat="1" x14ac:dyDescent="0.3">
      <c r="A147" s="4">
        <v>260202</v>
      </c>
      <c r="B147" s="20" t="s">
        <v>1144</v>
      </c>
      <c r="C147" s="10" t="s">
        <v>23</v>
      </c>
      <c r="D147" s="10" t="s">
        <v>459</v>
      </c>
      <c r="E147" s="10" t="s">
        <v>806</v>
      </c>
      <c r="F147" s="38">
        <v>6.2</v>
      </c>
      <c r="G147" s="49">
        <v>386.26</v>
      </c>
      <c r="H147" s="49">
        <v>331.26</v>
      </c>
      <c r="I147" s="49">
        <v>423.57</v>
      </c>
      <c r="J147" s="49">
        <v>303.27999999999997</v>
      </c>
      <c r="K147" s="49">
        <v>0</v>
      </c>
      <c r="L147" s="49">
        <v>304.83</v>
      </c>
      <c r="M147" s="49">
        <v>396.84</v>
      </c>
      <c r="N147" s="131">
        <v>488.71</v>
      </c>
      <c r="O147" s="131">
        <v>315.33</v>
      </c>
      <c r="P147" s="49">
        <v>442.02</v>
      </c>
      <c r="Q147" s="49">
        <v>500.92</v>
      </c>
      <c r="R147" s="49">
        <v>531.16999999999996</v>
      </c>
      <c r="S147" s="49">
        <v>432.53</v>
      </c>
      <c r="T147" s="49">
        <v>433.33</v>
      </c>
      <c r="U147" s="49">
        <v>530.48</v>
      </c>
      <c r="V147" s="49">
        <v>507.31</v>
      </c>
      <c r="W147" s="49">
        <v>551.21</v>
      </c>
      <c r="X147" s="145">
        <v>-4.5577560525322802E-3</v>
      </c>
      <c r="Y147" s="100">
        <v>1.557469901736086E-2</v>
      </c>
      <c r="Z147" s="100">
        <v>-1.2378664702128559E-2</v>
      </c>
      <c r="AA147" s="100">
        <v>6.2343392955637837E-2</v>
      </c>
    </row>
    <row r="148" spans="1:27" customFormat="1" x14ac:dyDescent="0.3">
      <c r="A148" s="4">
        <v>260202</v>
      </c>
      <c r="B148" s="20" t="s">
        <v>1137</v>
      </c>
      <c r="C148" s="10" t="s">
        <v>23</v>
      </c>
      <c r="D148" s="10" t="s">
        <v>445</v>
      </c>
      <c r="E148" s="10" t="s">
        <v>806</v>
      </c>
      <c r="F148" s="38">
        <v>5.2</v>
      </c>
      <c r="G148" s="49">
        <v>16.47</v>
      </c>
      <c r="H148" s="49">
        <v>9.52</v>
      </c>
      <c r="I148" s="49">
        <v>30.06</v>
      </c>
      <c r="J148" s="49">
        <v>19.329999999999998</v>
      </c>
      <c r="K148" s="49">
        <v>22.34</v>
      </c>
      <c r="L148" s="49">
        <v>8.84</v>
      </c>
      <c r="M148" s="49">
        <v>28.09</v>
      </c>
      <c r="N148" s="49">
        <v>18.309999999999999</v>
      </c>
      <c r="O148" s="131">
        <v>36.26</v>
      </c>
      <c r="P148" s="131">
        <v>30.83</v>
      </c>
      <c r="Q148" s="131">
        <v>40.19</v>
      </c>
      <c r="R148" s="131">
        <v>50.15</v>
      </c>
      <c r="S148" s="131">
        <v>57.86</v>
      </c>
      <c r="T148" s="131">
        <v>63.14</v>
      </c>
      <c r="U148" s="131">
        <v>62.99</v>
      </c>
      <c r="V148" s="49">
        <v>63.26</v>
      </c>
      <c r="W148" s="49">
        <v>70.83</v>
      </c>
      <c r="X148" s="146">
        <v>0.1804725465005865</v>
      </c>
      <c r="Y148" s="113">
        <v>0.1078830320810069</v>
      </c>
      <c r="Z148" s="100">
        <v>5.5992141453831128E-2</v>
      </c>
      <c r="AA148" s="100">
        <v>5.2457027300303549E-2</v>
      </c>
    </row>
    <row r="149" spans="1:27" customFormat="1" x14ac:dyDescent="0.3">
      <c r="A149" s="4">
        <v>260202</v>
      </c>
      <c r="B149" s="20" t="s">
        <v>1141</v>
      </c>
      <c r="C149" s="10" t="s">
        <v>23</v>
      </c>
      <c r="D149" s="10" t="s">
        <v>139</v>
      </c>
      <c r="E149" s="10" t="s">
        <v>806</v>
      </c>
      <c r="F149" s="38">
        <v>4.0999999999999996</v>
      </c>
      <c r="G149" s="49">
        <v>199.19</v>
      </c>
      <c r="H149" s="49">
        <v>248.34</v>
      </c>
      <c r="I149" s="49">
        <v>179.07</v>
      </c>
      <c r="J149" s="49">
        <v>244.83</v>
      </c>
      <c r="K149" s="49">
        <v>226.53</v>
      </c>
      <c r="L149" s="49">
        <v>280.39999999999998</v>
      </c>
      <c r="M149" s="131">
        <v>296.14</v>
      </c>
      <c r="N149" s="49">
        <v>275.27999999999997</v>
      </c>
      <c r="O149" s="49">
        <v>245.3</v>
      </c>
      <c r="P149" s="49">
        <v>298.95999999999998</v>
      </c>
      <c r="Q149" s="49">
        <v>325.3</v>
      </c>
      <c r="R149" s="49">
        <v>303.89</v>
      </c>
      <c r="S149" s="49">
        <v>261.69</v>
      </c>
      <c r="T149" s="49">
        <v>316.52999999999997</v>
      </c>
      <c r="U149" s="49">
        <v>373.05</v>
      </c>
      <c r="V149" s="49">
        <v>354.85</v>
      </c>
      <c r="W149" s="49">
        <v>315.61</v>
      </c>
      <c r="X149" s="145">
        <v>1.4766691319841209E-2</v>
      </c>
      <c r="Y149" s="100">
        <v>3.9547461094408647E-2</v>
      </c>
      <c r="Z149" s="100">
        <v>4.0600401542432829E-2</v>
      </c>
      <c r="AA149" s="100">
        <v>4.1282577404832647E-2</v>
      </c>
    </row>
    <row r="150" spans="1:27" customFormat="1" x14ac:dyDescent="0.3">
      <c r="A150" s="4">
        <v>260202</v>
      </c>
      <c r="B150" s="20" t="s">
        <v>1136</v>
      </c>
      <c r="C150" s="10" t="s">
        <v>23</v>
      </c>
      <c r="D150" s="10" t="s">
        <v>95</v>
      </c>
      <c r="E150" s="10" t="s">
        <v>817</v>
      </c>
      <c r="F150" s="38">
        <v>3.9</v>
      </c>
      <c r="G150" s="49">
        <v>16.489999999999998</v>
      </c>
      <c r="H150" s="49">
        <v>16.899999999999999</v>
      </c>
      <c r="I150" s="49">
        <v>18.11</v>
      </c>
      <c r="J150" s="49">
        <v>21.61</v>
      </c>
      <c r="K150" s="131">
        <v>26.62</v>
      </c>
      <c r="L150" s="131">
        <v>31.58</v>
      </c>
      <c r="M150" s="131">
        <v>34.68</v>
      </c>
      <c r="N150" s="131">
        <v>36.89</v>
      </c>
      <c r="O150" s="131">
        <v>41.24</v>
      </c>
      <c r="P150" s="49">
        <v>41.22</v>
      </c>
      <c r="Q150" s="49">
        <v>43.73</v>
      </c>
      <c r="R150" s="49">
        <v>42.6</v>
      </c>
      <c r="S150" s="49">
        <v>45.4</v>
      </c>
      <c r="T150" s="49">
        <v>43.67</v>
      </c>
      <c r="U150" s="49">
        <v>47.98</v>
      </c>
      <c r="V150" s="49">
        <v>50.04</v>
      </c>
      <c r="W150" s="49">
        <v>52.68</v>
      </c>
      <c r="X150" s="145">
        <v>1.416594391442616E-2</v>
      </c>
      <c r="Y150" s="100">
        <v>2.423033067274805E-2</v>
      </c>
      <c r="Z150" s="100">
        <v>4.1413860283885377E-2</v>
      </c>
      <c r="AA150" s="100">
        <v>3.8911753701427187E-2</v>
      </c>
    </row>
    <row r="151" spans="1:27" customFormat="1" x14ac:dyDescent="0.3">
      <c r="A151" s="4">
        <v>260202</v>
      </c>
      <c r="B151" s="20" t="s">
        <v>1153</v>
      </c>
      <c r="C151" s="10" t="s">
        <v>23</v>
      </c>
      <c r="D151" s="10" t="s">
        <v>1154</v>
      </c>
      <c r="E151" s="10" t="s">
        <v>806</v>
      </c>
      <c r="F151" s="38">
        <v>3.5</v>
      </c>
      <c r="G151" s="49">
        <v>77.69</v>
      </c>
      <c r="H151" s="49">
        <v>89.27</v>
      </c>
      <c r="I151" s="49">
        <v>97.01</v>
      </c>
      <c r="J151" s="49">
        <v>101.73</v>
      </c>
      <c r="K151" s="49">
        <v>96.2</v>
      </c>
      <c r="L151" s="49">
        <v>96.39</v>
      </c>
      <c r="M151" s="49">
        <v>99.45</v>
      </c>
      <c r="N151" s="49">
        <v>115.82</v>
      </c>
      <c r="O151" s="49">
        <v>113.65</v>
      </c>
      <c r="P151" s="49">
        <v>29.42</v>
      </c>
      <c r="Q151" s="49">
        <v>110.7</v>
      </c>
      <c r="R151" s="49">
        <v>115.75</v>
      </c>
      <c r="S151" s="49">
        <v>120.48</v>
      </c>
      <c r="T151" s="131">
        <v>132.5</v>
      </c>
      <c r="U151" s="49">
        <v>124.27</v>
      </c>
      <c r="V151" s="49">
        <v>131.31</v>
      </c>
      <c r="W151" s="49">
        <v>138.49</v>
      </c>
      <c r="X151" s="146">
        <v>0.27389398166600237</v>
      </c>
      <c r="Y151" s="100">
        <v>2.8304444861606552E-2</v>
      </c>
      <c r="Z151" s="100">
        <v>3.1561866125760618E-2</v>
      </c>
      <c r="AA151" s="100">
        <v>3.5413717162183563E-2</v>
      </c>
    </row>
    <row r="152" spans="1:27" customFormat="1" x14ac:dyDescent="0.3">
      <c r="A152" s="4">
        <v>260202</v>
      </c>
      <c r="B152" s="20" t="s">
        <v>1145</v>
      </c>
      <c r="C152" s="10" t="s">
        <v>23</v>
      </c>
      <c r="D152" s="10" t="s">
        <v>728</v>
      </c>
      <c r="E152" s="10" t="s">
        <v>806</v>
      </c>
      <c r="F152" s="38">
        <v>3.2</v>
      </c>
      <c r="G152" s="49">
        <v>9.65</v>
      </c>
      <c r="H152" s="49">
        <v>10.83</v>
      </c>
      <c r="I152" s="49">
        <v>12.63</v>
      </c>
      <c r="J152" s="49">
        <v>19.05</v>
      </c>
      <c r="K152" s="49">
        <v>12.27</v>
      </c>
      <c r="L152" s="131">
        <v>19.84</v>
      </c>
      <c r="M152" s="131">
        <v>22.81</v>
      </c>
      <c r="N152" s="49">
        <v>23.8</v>
      </c>
      <c r="O152" s="49">
        <v>18.97</v>
      </c>
      <c r="P152" s="49">
        <v>25.76</v>
      </c>
      <c r="Q152" s="49">
        <v>29.94</v>
      </c>
      <c r="R152" s="131">
        <v>38.14</v>
      </c>
      <c r="S152" s="131">
        <v>31.09</v>
      </c>
      <c r="T152" s="131">
        <v>39.89</v>
      </c>
      <c r="U152" s="49">
        <v>35.69</v>
      </c>
      <c r="V152" s="49">
        <v>46.26</v>
      </c>
      <c r="W152" s="49">
        <v>36.01</v>
      </c>
      <c r="X152" s="146">
        <v>0.1131033378692068</v>
      </c>
      <c r="Y152" s="100">
        <v>4.1349057960592628E-2</v>
      </c>
      <c r="Z152" s="100">
        <v>5.6073475588702459E-2</v>
      </c>
      <c r="AA152" s="100">
        <v>3.2171581769437019E-2</v>
      </c>
    </row>
    <row r="153" spans="1:27" customFormat="1" x14ac:dyDescent="0.3">
      <c r="A153" s="4">
        <v>260202</v>
      </c>
      <c r="B153" s="20" t="s">
        <v>1147</v>
      </c>
      <c r="C153" s="10" t="s">
        <v>23</v>
      </c>
      <c r="D153" s="10" t="s">
        <v>139</v>
      </c>
      <c r="E153" s="10" t="s">
        <v>806</v>
      </c>
      <c r="F153" s="38">
        <v>2.5</v>
      </c>
      <c r="G153" s="49">
        <v>346.63</v>
      </c>
      <c r="H153" s="49">
        <v>303.39999999999998</v>
      </c>
      <c r="I153" s="49">
        <v>263.12</v>
      </c>
      <c r="J153" s="49">
        <v>134.44999999999999</v>
      </c>
      <c r="K153" s="49">
        <v>175.25</v>
      </c>
      <c r="L153" s="49">
        <v>95.72</v>
      </c>
      <c r="M153" s="49">
        <v>108.02</v>
      </c>
      <c r="N153" s="49">
        <v>92.8</v>
      </c>
      <c r="O153" s="49">
        <v>86.41</v>
      </c>
      <c r="P153" s="49">
        <v>73.09</v>
      </c>
      <c r="Q153" s="49">
        <v>104.32</v>
      </c>
      <c r="R153" s="49">
        <v>101.38</v>
      </c>
      <c r="S153" s="131">
        <v>136.46</v>
      </c>
      <c r="T153" s="49">
        <v>81.180000000000007</v>
      </c>
      <c r="U153" s="49">
        <v>103.1</v>
      </c>
      <c r="V153" s="49">
        <v>96.37</v>
      </c>
      <c r="W153" s="49">
        <v>146.93</v>
      </c>
      <c r="X153" s="145">
        <v>1.9482239614690089E-2</v>
      </c>
      <c r="Y153" s="100">
        <v>-2.8818443804035092E-3</v>
      </c>
      <c r="Z153" s="100">
        <v>-1.1868662939448439E-2</v>
      </c>
      <c r="AA153" s="100">
        <v>2.5101292225072621E-2</v>
      </c>
    </row>
    <row r="154" spans="1:27" customFormat="1" x14ac:dyDescent="0.3">
      <c r="A154" s="4">
        <v>260202</v>
      </c>
      <c r="B154" s="20" t="s">
        <v>1139</v>
      </c>
      <c r="C154" s="10" t="s">
        <v>23</v>
      </c>
      <c r="D154" s="10" t="s">
        <v>1140</v>
      </c>
      <c r="E154" s="10" t="s">
        <v>806</v>
      </c>
      <c r="F154" s="38">
        <v>1.8</v>
      </c>
      <c r="G154" s="49">
        <v>589.42999999999995</v>
      </c>
      <c r="H154" s="49">
        <v>620.39</v>
      </c>
      <c r="I154" s="49">
        <v>626.76</v>
      </c>
      <c r="J154" s="49">
        <v>652.20000000000005</v>
      </c>
      <c r="K154" s="49">
        <v>684.21</v>
      </c>
      <c r="L154" s="49">
        <v>662.72</v>
      </c>
      <c r="M154" s="49">
        <v>657.93</v>
      </c>
      <c r="N154" s="49">
        <v>694.23</v>
      </c>
      <c r="O154" s="49">
        <v>792.14</v>
      </c>
      <c r="P154" s="49">
        <v>735.18</v>
      </c>
      <c r="Q154" s="49">
        <v>754.1</v>
      </c>
      <c r="R154" s="49">
        <v>767.77</v>
      </c>
      <c r="S154" s="49">
        <v>835.75</v>
      </c>
      <c r="T154" s="49">
        <v>727.62</v>
      </c>
      <c r="U154" s="49">
        <v>744.2</v>
      </c>
      <c r="V154" s="49">
        <v>812.91</v>
      </c>
      <c r="W154" s="49">
        <v>890.67</v>
      </c>
      <c r="X154" s="145">
        <v>-2.4443869632696509E-3</v>
      </c>
      <c r="Y154" s="100">
        <v>-3.2088265418572788E-3</v>
      </c>
      <c r="Z154" s="100">
        <v>1.467805185768079E-2</v>
      </c>
      <c r="AA154" s="100">
        <v>1.7599856432343849E-2</v>
      </c>
    </row>
    <row r="155" spans="1:27" customFormat="1" x14ac:dyDescent="0.3">
      <c r="A155" s="4">
        <v>260202</v>
      </c>
      <c r="B155" s="20" t="s">
        <v>1155</v>
      </c>
      <c r="C155" s="10" t="s">
        <v>23</v>
      </c>
      <c r="D155" s="10" t="s">
        <v>810</v>
      </c>
      <c r="E155" s="10" t="s">
        <v>806</v>
      </c>
      <c r="F155" s="38">
        <v>0.9</v>
      </c>
      <c r="G155" s="49">
        <v>199.9</v>
      </c>
      <c r="H155" s="49">
        <v>195.5</v>
      </c>
      <c r="I155" s="49">
        <v>195.3</v>
      </c>
      <c r="J155" s="49">
        <v>204</v>
      </c>
      <c r="K155" s="49">
        <v>196.4</v>
      </c>
      <c r="L155" s="49">
        <v>188.7</v>
      </c>
      <c r="M155" s="49">
        <v>198.1</v>
      </c>
      <c r="N155" s="49">
        <v>220</v>
      </c>
      <c r="O155" s="49">
        <v>210.1</v>
      </c>
      <c r="P155" s="49">
        <v>222</v>
      </c>
      <c r="Q155" s="49">
        <v>222.3</v>
      </c>
      <c r="R155" s="49">
        <v>231.7</v>
      </c>
      <c r="S155" s="49">
        <v>243</v>
      </c>
      <c r="T155" s="49">
        <v>237.4</v>
      </c>
      <c r="U155" s="49">
        <v>260.2</v>
      </c>
      <c r="V155" s="49">
        <v>258.89999999999998</v>
      </c>
      <c r="W155" s="49">
        <v>251.6</v>
      </c>
      <c r="X155" s="145">
        <v>1.6757344940152349E-2</v>
      </c>
      <c r="Y155" s="100">
        <v>4.0560787671232827E-2</v>
      </c>
      <c r="Z155" s="100">
        <v>2.7974904864753739E-2</v>
      </c>
      <c r="AA155" s="100">
        <v>8.6043021510755491E-3</v>
      </c>
    </row>
    <row r="156" spans="1:27" customFormat="1" x14ac:dyDescent="0.3">
      <c r="A156" s="4">
        <v>260202</v>
      </c>
      <c r="B156" s="20" t="s">
        <v>1146</v>
      </c>
      <c r="C156" s="10" t="s">
        <v>23</v>
      </c>
      <c r="D156" s="10" t="s">
        <v>445</v>
      </c>
      <c r="E156" s="10" t="s">
        <v>806</v>
      </c>
      <c r="F156" s="38">
        <v>-0.9</v>
      </c>
      <c r="G156" s="49">
        <v>832</v>
      </c>
      <c r="H156" s="49">
        <v>872</v>
      </c>
      <c r="I156" s="49">
        <v>943</v>
      </c>
      <c r="J156" s="49">
        <v>1002</v>
      </c>
      <c r="K156" s="49">
        <v>962</v>
      </c>
      <c r="L156" s="49">
        <v>843</v>
      </c>
      <c r="M156" s="49">
        <v>937</v>
      </c>
      <c r="N156" s="49">
        <v>988</v>
      </c>
      <c r="O156" s="49">
        <v>978</v>
      </c>
      <c r="P156" s="49">
        <v>863</v>
      </c>
      <c r="Q156" s="49">
        <v>902</v>
      </c>
      <c r="R156" s="49">
        <v>990</v>
      </c>
      <c r="S156" s="49">
        <v>771</v>
      </c>
      <c r="T156" s="49">
        <v>737</v>
      </c>
      <c r="U156" s="49">
        <v>754</v>
      </c>
      <c r="V156" s="49">
        <v>896</v>
      </c>
      <c r="W156" s="49">
        <v>744</v>
      </c>
      <c r="X156" s="145">
        <v>-3.5734543391945588E-2</v>
      </c>
      <c r="Y156" s="100">
        <v>-4.3529411764705928E-2</v>
      </c>
      <c r="Z156" s="100">
        <v>-2.8905289052890581E-2</v>
      </c>
      <c r="AA156" s="100">
        <v>-8.5497150094996366E-3</v>
      </c>
    </row>
    <row r="157" spans="1:27" customFormat="1" x14ac:dyDescent="0.3">
      <c r="A157" s="4">
        <v>260202</v>
      </c>
      <c r="B157" s="20" t="s">
        <v>1138</v>
      </c>
      <c r="C157" s="10" t="s">
        <v>23</v>
      </c>
      <c r="D157" s="10" t="s">
        <v>139</v>
      </c>
      <c r="E157" s="10" t="s">
        <v>821</v>
      </c>
      <c r="F157" s="38">
        <v>-1.3</v>
      </c>
      <c r="G157" s="49">
        <v>-58.77</v>
      </c>
      <c r="H157" s="49">
        <v>-66.819999999999993</v>
      </c>
      <c r="I157" s="49">
        <v>-65.39</v>
      </c>
      <c r="J157" s="49">
        <v>-58.05</v>
      </c>
      <c r="K157" s="49">
        <v>-48.77</v>
      </c>
      <c r="L157" s="49">
        <v>-62.83</v>
      </c>
      <c r="M157" s="49">
        <v>-48.69</v>
      </c>
      <c r="N157" s="49">
        <v>-46.62</v>
      </c>
      <c r="O157" s="49">
        <v>-46.98</v>
      </c>
      <c r="P157" s="49">
        <v>-48.89</v>
      </c>
      <c r="Q157" s="49">
        <v>-43.99</v>
      </c>
      <c r="R157" s="49">
        <v>-36.04</v>
      </c>
      <c r="S157" s="49">
        <v>-34.64</v>
      </c>
      <c r="T157" s="49">
        <v>-41.56</v>
      </c>
      <c r="U157" s="49">
        <v>-30.12</v>
      </c>
      <c r="V157" s="49">
        <v>-29.93</v>
      </c>
      <c r="W157" s="49">
        <v>-32.9</v>
      </c>
      <c r="X157" s="145">
        <v>-4.4815358278307522E-2</v>
      </c>
      <c r="Y157" s="100">
        <v>-8.8779363758561103E-2</v>
      </c>
      <c r="Z157" s="100">
        <v>-4.2919359370609873E-2</v>
      </c>
      <c r="AA157" s="100">
        <v>-1.2770642201834881E-2</v>
      </c>
    </row>
    <row r="158" spans="1:27" customFormat="1" x14ac:dyDescent="0.3">
      <c r="A158" s="4">
        <v>260202</v>
      </c>
      <c r="B158" s="20" t="s">
        <v>1148</v>
      </c>
      <c r="C158" s="10" t="s">
        <v>23</v>
      </c>
      <c r="D158" s="10" t="s">
        <v>1149</v>
      </c>
      <c r="E158" s="10" t="s">
        <v>821</v>
      </c>
      <c r="F158" s="38">
        <v>-1.9</v>
      </c>
      <c r="G158" s="49">
        <v>2212</v>
      </c>
      <c r="H158" s="49">
        <v>1616</v>
      </c>
      <c r="I158" s="49">
        <v>2445</v>
      </c>
      <c r="J158" s="49">
        <v>559</v>
      </c>
      <c r="K158" s="49">
        <v>2079</v>
      </c>
      <c r="L158" s="131">
        <v>2359</v>
      </c>
      <c r="M158" s="49">
        <v>2728</v>
      </c>
      <c r="N158" s="131">
        <v>2166</v>
      </c>
      <c r="O158" s="131">
        <v>3036</v>
      </c>
      <c r="P158" s="49">
        <v>2982</v>
      </c>
      <c r="Q158" s="49">
        <v>3453</v>
      </c>
      <c r="R158" s="49">
        <v>2847</v>
      </c>
      <c r="S158" s="49">
        <v>4144</v>
      </c>
      <c r="T158" s="49">
        <v>3571</v>
      </c>
      <c r="U158" s="49">
        <v>3712</v>
      </c>
      <c r="V158" s="49">
        <v>2666</v>
      </c>
      <c r="W158" s="49">
        <v>3875</v>
      </c>
      <c r="X158" s="145">
        <v>4.3870102785639853E-2</v>
      </c>
      <c r="Y158" s="100">
        <v>1.8480199785943618E-2</v>
      </c>
      <c r="Z158" s="100">
        <v>-1.2680397926299601E-2</v>
      </c>
      <c r="AA158" s="100">
        <v>-1.9087490243383191E-2</v>
      </c>
    </row>
    <row r="159" spans="1:27" customFormat="1" x14ac:dyDescent="0.3">
      <c r="A159" s="4">
        <v>260202</v>
      </c>
      <c r="B159" s="20" t="s">
        <v>1156</v>
      </c>
      <c r="C159" s="10" t="s">
        <v>23</v>
      </c>
      <c r="D159" s="10" t="s">
        <v>168</v>
      </c>
      <c r="E159" s="10" t="s">
        <v>806</v>
      </c>
      <c r="F159" s="38">
        <v>-2.2000000000000002</v>
      </c>
      <c r="G159" s="49">
        <v>272.83999999999997</v>
      </c>
      <c r="H159" s="49">
        <v>256.45999999999998</v>
      </c>
      <c r="I159" s="49">
        <v>335.74</v>
      </c>
      <c r="J159" s="49">
        <v>336.2</v>
      </c>
      <c r="K159" s="49">
        <v>249.89</v>
      </c>
      <c r="L159" s="49">
        <v>204.98</v>
      </c>
      <c r="M159" s="49">
        <v>251.76</v>
      </c>
      <c r="N159" s="49">
        <v>243.65</v>
      </c>
      <c r="O159" s="49">
        <v>238.75</v>
      </c>
      <c r="P159" s="49">
        <v>228.78</v>
      </c>
      <c r="Q159" s="49">
        <v>268.72000000000003</v>
      </c>
      <c r="R159" s="49">
        <v>263.2</v>
      </c>
      <c r="S159" s="49">
        <v>243.61</v>
      </c>
      <c r="T159" s="49">
        <v>243.58</v>
      </c>
      <c r="U159" s="49">
        <v>254.99</v>
      </c>
      <c r="V159" s="49">
        <v>243.97</v>
      </c>
      <c r="W159" s="49">
        <v>221.61</v>
      </c>
      <c r="X159" s="145">
        <v>1.473648574643294E-2</v>
      </c>
      <c r="Y159" s="100">
        <v>-1.3472539765089111E-2</v>
      </c>
      <c r="Z159" s="100">
        <v>-1.9127096222323781E-2</v>
      </c>
      <c r="AA159" s="100">
        <v>-2.230897936419407E-2</v>
      </c>
    </row>
    <row r="160" spans="1:27" customFormat="1" x14ac:dyDescent="0.3">
      <c r="A160" s="4">
        <v>260202</v>
      </c>
      <c r="B160" s="20" t="s">
        <v>1152</v>
      </c>
      <c r="C160" s="10" t="s">
        <v>23</v>
      </c>
      <c r="D160" s="10" t="s">
        <v>79</v>
      </c>
      <c r="E160" s="10" t="s">
        <v>806</v>
      </c>
      <c r="F160" s="38">
        <v>-3.8</v>
      </c>
      <c r="G160" s="49">
        <v>278</v>
      </c>
      <c r="H160" s="49">
        <v>283</v>
      </c>
      <c r="I160" s="49">
        <v>172</v>
      </c>
      <c r="J160" s="49">
        <v>484</v>
      </c>
      <c r="K160" s="131">
        <v>482</v>
      </c>
      <c r="L160" s="49">
        <v>371</v>
      </c>
      <c r="M160" s="131">
        <v>465</v>
      </c>
      <c r="N160" s="49">
        <v>494</v>
      </c>
      <c r="O160" s="49">
        <v>510</v>
      </c>
      <c r="P160" s="49">
        <v>484</v>
      </c>
      <c r="Q160" s="49">
        <v>547</v>
      </c>
      <c r="R160" s="49">
        <v>535</v>
      </c>
      <c r="S160" s="49">
        <v>545</v>
      </c>
      <c r="T160" s="49">
        <v>515</v>
      </c>
      <c r="U160" s="49">
        <v>573</v>
      </c>
      <c r="V160" s="49">
        <v>596</v>
      </c>
      <c r="W160" s="49">
        <v>461</v>
      </c>
      <c r="X160" s="145">
        <v>1.4684983420180099E-2</v>
      </c>
      <c r="Y160" s="100">
        <v>1.2138188608776799E-2</v>
      </c>
      <c r="Z160" s="100">
        <v>2.8136531365313688E-2</v>
      </c>
      <c r="AA160" s="100">
        <v>-3.7685060565275867E-2</v>
      </c>
    </row>
    <row r="161" spans="1:27" customFormat="1" x14ac:dyDescent="0.3">
      <c r="A161" s="4">
        <v>260202</v>
      </c>
      <c r="B161" s="20" t="s">
        <v>1158</v>
      </c>
      <c r="C161" s="10" t="s">
        <v>23</v>
      </c>
      <c r="D161" s="10" t="s">
        <v>41</v>
      </c>
      <c r="E161" s="10" t="s">
        <v>821</v>
      </c>
      <c r="F161" s="38">
        <v>-12.1</v>
      </c>
      <c r="G161" s="49">
        <v>43</v>
      </c>
      <c r="H161" s="49">
        <v>92</v>
      </c>
      <c r="I161" s="49">
        <v>74</v>
      </c>
      <c r="J161" s="49">
        <v>102</v>
      </c>
      <c r="K161" s="49">
        <v>40</v>
      </c>
      <c r="L161" s="49">
        <v>81</v>
      </c>
      <c r="M161" s="49">
        <v>56</v>
      </c>
      <c r="N161" s="49">
        <v>-9</v>
      </c>
      <c r="O161" s="49">
        <v>6</v>
      </c>
      <c r="P161" s="49">
        <v>19</v>
      </c>
      <c r="Q161" s="49">
        <v>51</v>
      </c>
      <c r="R161" s="131">
        <v>48</v>
      </c>
      <c r="S161" s="49">
        <v>7</v>
      </c>
      <c r="T161" s="131">
        <v>32</v>
      </c>
      <c r="U161" s="49">
        <v>34</v>
      </c>
      <c r="V161" s="131">
        <v>68</v>
      </c>
      <c r="W161" s="49">
        <v>-10</v>
      </c>
      <c r="X161" s="146">
        <v>0.10400000000000011</v>
      </c>
      <c r="Y161" s="100">
        <v>-0.1231884057971014</v>
      </c>
      <c r="Z161" s="113">
        <v>0.165289256198347</v>
      </c>
      <c r="AA161" s="100">
        <v>-0.1205673758865248</v>
      </c>
    </row>
    <row r="162" spans="1:27" customFormat="1" x14ac:dyDescent="0.3">
      <c r="A162" s="4">
        <v>260202</v>
      </c>
      <c r="B162" s="20" t="s">
        <v>1157</v>
      </c>
      <c r="C162" s="10" t="s">
        <v>23</v>
      </c>
      <c r="D162" s="10" t="s">
        <v>691</v>
      </c>
      <c r="E162" s="10" t="s">
        <v>806</v>
      </c>
      <c r="F162" s="38">
        <v>-12.3</v>
      </c>
      <c r="G162" s="49">
        <v>24.67</v>
      </c>
      <c r="H162" s="49">
        <v>27.74</v>
      </c>
      <c r="I162" s="49">
        <v>33.85</v>
      </c>
      <c r="J162" s="49">
        <v>31.32</v>
      </c>
      <c r="K162" s="49">
        <v>23.95</v>
      </c>
      <c r="L162" s="49">
        <v>23.4</v>
      </c>
      <c r="M162" s="49">
        <v>25.93</v>
      </c>
      <c r="N162" s="49">
        <v>21.87</v>
      </c>
      <c r="O162" s="49">
        <v>15.92</v>
      </c>
      <c r="P162" s="49">
        <v>15.73</v>
      </c>
      <c r="Q162" s="49">
        <v>19.7</v>
      </c>
      <c r="R162" s="49">
        <v>18.72</v>
      </c>
      <c r="S162" s="49">
        <v>15.58</v>
      </c>
      <c r="T162" s="49">
        <v>11.63</v>
      </c>
      <c r="U162" s="49">
        <v>14.89</v>
      </c>
      <c r="V162" s="49">
        <v>15</v>
      </c>
      <c r="W162" s="49">
        <v>8.56</v>
      </c>
      <c r="X162" s="145">
        <v>-5.8798221712319083E-2</v>
      </c>
      <c r="Y162" s="100">
        <v>-7.3289654121590719E-2</v>
      </c>
      <c r="Z162" s="100">
        <v>-6.1164090759618477E-2</v>
      </c>
      <c r="AA162" s="100">
        <v>-0.1229422066549913</v>
      </c>
    </row>
    <row r="163" spans="1:27" customFormat="1" x14ac:dyDescent="0.3">
      <c r="A163" s="4">
        <v>260202</v>
      </c>
      <c r="B163" s="20" t="s">
        <v>1150</v>
      </c>
      <c r="C163" s="10" t="s">
        <v>23</v>
      </c>
      <c r="D163" s="10" t="s">
        <v>1151</v>
      </c>
      <c r="E163" s="10" t="s">
        <v>821</v>
      </c>
      <c r="F163" s="38">
        <v>-15</v>
      </c>
      <c r="G163" s="49">
        <v>1432</v>
      </c>
      <c r="H163" s="49">
        <v>1161</v>
      </c>
      <c r="I163" s="49">
        <v>998</v>
      </c>
      <c r="J163" s="49">
        <v>816</v>
      </c>
      <c r="K163" s="49">
        <v>453</v>
      </c>
      <c r="L163" s="49">
        <v>65</v>
      </c>
      <c r="M163" s="49">
        <v>141</v>
      </c>
      <c r="N163" s="49">
        <v>113</v>
      </c>
      <c r="O163" s="49">
        <v>386</v>
      </c>
      <c r="P163" s="131">
        <v>405</v>
      </c>
      <c r="Q163" s="131">
        <v>491</v>
      </c>
      <c r="R163" s="131">
        <v>440</v>
      </c>
      <c r="S163" s="131">
        <v>659</v>
      </c>
      <c r="T163" s="49">
        <v>515</v>
      </c>
      <c r="U163" s="49">
        <v>505</v>
      </c>
      <c r="V163" s="49">
        <v>-69</v>
      </c>
      <c r="W163" s="49">
        <v>417</v>
      </c>
      <c r="X163" s="145">
        <v>5.513784461152893E-2</v>
      </c>
      <c r="Y163" s="100">
        <v>6.6508313539193056E-3</v>
      </c>
      <c r="Z163" s="100">
        <v>-0.24020764511562051</v>
      </c>
      <c r="AA163" s="100">
        <v>-0.15031055900621121</v>
      </c>
    </row>
    <row r="164" spans="1:27" customFormat="1" x14ac:dyDescent="0.3">
      <c r="A164" s="4">
        <v>260202</v>
      </c>
      <c r="B164" s="20" t="s">
        <v>1161</v>
      </c>
      <c r="C164" s="10" t="s">
        <v>23</v>
      </c>
      <c r="D164" s="10" t="s">
        <v>182</v>
      </c>
      <c r="E164" s="10" t="s">
        <v>806</v>
      </c>
      <c r="F164" s="38">
        <v>-129.4</v>
      </c>
      <c r="G164" s="49">
        <v>1.48</v>
      </c>
      <c r="H164" s="49">
        <v>334.76</v>
      </c>
      <c r="I164" s="49">
        <v>-44.08</v>
      </c>
      <c r="J164" s="49">
        <v>303.66000000000003</v>
      </c>
      <c r="K164" s="49">
        <v>-269.08999999999997</v>
      </c>
      <c r="L164" s="49">
        <v>-175.3</v>
      </c>
      <c r="M164" s="49">
        <v>222.16</v>
      </c>
      <c r="N164" s="131">
        <v>354.05</v>
      </c>
      <c r="O164" s="49">
        <v>-459.45</v>
      </c>
      <c r="P164" s="49">
        <v>216.76</v>
      </c>
      <c r="Q164" s="49">
        <v>69.709999999999994</v>
      </c>
      <c r="R164" s="49">
        <v>-248.84</v>
      </c>
      <c r="S164" s="49">
        <v>308.94</v>
      </c>
      <c r="T164" s="49">
        <v>-78.52</v>
      </c>
      <c r="U164" s="49">
        <v>-57.45</v>
      </c>
      <c r="V164" s="49">
        <v>52.41</v>
      </c>
      <c r="W164" s="49">
        <v>17.29</v>
      </c>
      <c r="X164" s="145">
        <v>-0.85200680959113595</v>
      </c>
      <c r="Y164" s="100">
        <v>-2.479235718463638</v>
      </c>
      <c r="Z164" s="100">
        <v>-3.970607618294451</v>
      </c>
      <c r="AA164" s="100">
        <v>-1.2940367379536779</v>
      </c>
    </row>
    <row r="165" spans="1:27" customFormat="1" x14ac:dyDescent="0.3">
      <c r="A165" s="4">
        <v>260202</v>
      </c>
      <c r="B165" s="83">
        <v>2811</v>
      </c>
      <c r="C165" s="84" t="s">
        <v>67</v>
      </c>
      <c r="D165" s="84" t="s">
        <v>1187</v>
      </c>
      <c r="E165" s="10" t="s">
        <v>806</v>
      </c>
      <c r="F165" s="115">
        <v>107</v>
      </c>
      <c r="G165" s="133">
        <v>2180</v>
      </c>
      <c r="H165" s="133">
        <v>2149</v>
      </c>
      <c r="I165" s="133">
        <v>3159</v>
      </c>
      <c r="J165" s="133">
        <v>4253</v>
      </c>
      <c r="K165" s="133">
        <v>2390</v>
      </c>
      <c r="L165" s="133">
        <v>3144</v>
      </c>
      <c r="M165" s="134">
        <v>5039</v>
      </c>
      <c r="N165" s="134">
        <v>6011</v>
      </c>
      <c r="O165" s="133">
        <v>3327</v>
      </c>
      <c r="P165" s="134">
        <v>15195</v>
      </c>
      <c r="Q165" s="134">
        <v>10110</v>
      </c>
      <c r="R165" s="133">
        <v>8169</v>
      </c>
      <c r="S165" s="133">
        <v>-6737</v>
      </c>
      <c r="T165" s="133">
        <v>4791</v>
      </c>
      <c r="U165" s="133">
        <v>5734</v>
      </c>
      <c r="V165" s="133">
        <v>6992</v>
      </c>
      <c r="W165" s="134">
        <v>4795</v>
      </c>
      <c r="X165" s="147">
        <v>-0.3891236862774432</v>
      </c>
      <c r="Y165" s="119">
        <v>-0.26792383518030982</v>
      </c>
      <c r="Z165" s="119">
        <v>-9.8436062557497706E-2</v>
      </c>
      <c r="AA165" s="120">
        <v>1.0697588126159561</v>
      </c>
    </row>
    <row r="166" spans="1:27" customFormat="1" x14ac:dyDescent="0.3">
      <c r="A166" s="4">
        <v>260202</v>
      </c>
      <c r="B166" s="20">
        <v>6971</v>
      </c>
      <c r="C166" s="10" t="s">
        <v>67</v>
      </c>
      <c r="D166" s="10" t="s">
        <v>1173</v>
      </c>
      <c r="E166" s="10" t="s">
        <v>817</v>
      </c>
      <c r="F166" s="99">
        <v>75.900000000000006</v>
      </c>
      <c r="G166" s="49">
        <v>42779</v>
      </c>
      <c r="H166" s="49">
        <v>30452</v>
      </c>
      <c r="I166" s="49">
        <v>41428</v>
      </c>
      <c r="J166" s="49">
        <v>35060</v>
      </c>
      <c r="K166" s="49">
        <v>37396</v>
      </c>
      <c r="L166" s="49">
        <v>14633</v>
      </c>
      <c r="M166" s="49">
        <v>25677</v>
      </c>
      <c r="N166" s="49">
        <v>28325</v>
      </c>
      <c r="O166" s="49">
        <v>25842</v>
      </c>
      <c r="P166" s="49">
        <v>13079</v>
      </c>
      <c r="Q166" s="49">
        <v>20956</v>
      </c>
      <c r="R166" s="49">
        <v>16920</v>
      </c>
      <c r="S166" s="49">
        <v>-25601</v>
      </c>
      <c r="T166" s="131">
        <v>55172</v>
      </c>
      <c r="U166" s="49">
        <v>18550</v>
      </c>
      <c r="V166" s="49">
        <v>23395</v>
      </c>
      <c r="W166" s="131">
        <v>28676</v>
      </c>
      <c r="X166" s="146">
        <v>1.660211406484184</v>
      </c>
      <c r="Y166" s="100">
        <v>-3.5672453926786973E-2</v>
      </c>
      <c r="Z166" s="100">
        <v>9.9552589904829292E-2</v>
      </c>
      <c r="AA166" s="113">
        <v>0.75894904636724658</v>
      </c>
    </row>
    <row r="167" spans="1:27" customFormat="1" x14ac:dyDescent="0.3">
      <c r="A167" s="4">
        <v>260202</v>
      </c>
      <c r="B167" s="20">
        <v>7241</v>
      </c>
      <c r="C167" s="10" t="s">
        <v>67</v>
      </c>
      <c r="D167" s="10" t="s">
        <v>1182</v>
      </c>
      <c r="E167" s="10" t="s">
        <v>811</v>
      </c>
      <c r="F167" s="99">
        <v>16.399999999999999</v>
      </c>
      <c r="G167" s="49">
        <v>-1909</v>
      </c>
      <c r="H167" s="49">
        <v>940</v>
      </c>
      <c r="I167" s="49">
        <v>3878</v>
      </c>
      <c r="J167" s="49">
        <v>-2008</v>
      </c>
      <c r="K167" s="131">
        <v>1718</v>
      </c>
      <c r="L167" s="131">
        <v>2764</v>
      </c>
      <c r="M167" s="131">
        <v>5208</v>
      </c>
      <c r="N167" s="131">
        <v>4730</v>
      </c>
      <c r="O167" s="131">
        <v>4716</v>
      </c>
      <c r="P167" s="131">
        <v>6565</v>
      </c>
      <c r="Q167" s="49">
        <v>3202</v>
      </c>
      <c r="R167" s="49">
        <v>3615</v>
      </c>
      <c r="S167" s="49">
        <v>1832</v>
      </c>
      <c r="T167" s="49">
        <v>4466</v>
      </c>
      <c r="U167" s="131">
        <v>5265</v>
      </c>
      <c r="V167" s="49">
        <v>4192</v>
      </c>
      <c r="W167" s="131">
        <v>4417</v>
      </c>
      <c r="X167" s="145">
        <v>-0.1379650322071776</v>
      </c>
      <c r="Y167" s="113">
        <v>0.15730080060998849</v>
      </c>
      <c r="Z167" s="100">
        <v>3.8015548820661493E-2</v>
      </c>
      <c r="AA167" s="113">
        <v>0.16407489685814031</v>
      </c>
    </row>
    <row r="168" spans="1:27" customFormat="1" x14ac:dyDescent="0.3">
      <c r="A168" s="4">
        <v>260202</v>
      </c>
      <c r="B168" s="20">
        <v>8386</v>
      </c>
      <c r="C168" s="10" t="s">
        <v>67</v>
      </c>
      <c r="D168" s="10" t="s">
        <v>1166</v>
      </c>
      <c r="E168" s="10" t="s">
        <v>811</v>
      </c>
      <c r="F168" s="99">
        <v>15.4</v>
      </c>
      <c r="G168" s="49">
        <v>4702</v>
      </c>
      <c r="H168" s="49">
        <v>4792</v>
      </c>
      <c r="I168" s="49">
        <v>479</v>
      </c>
      <c r="J168" s="49">
        <v>5110</v>
      </c>
      <c r="K168" s="49">
        <v>3616</v>
      </c>
      <c r="L168" s="49">
        <v>2197</v>
      </c>
      <c r="M168" s="131">
        <v>2285</v>
      </c>
      <c r="N168" s="49">
        <v>5688</v>
      </c>
      <c r="O168" s="49">
        <v>1616</v>
      </c>
      <c r="P168" s="131">
        <v>3488</v>
      </c>
      <c r="Q168" s="49">
        <v>3489</v>
      </c>
      <c r="R168" s="49">
        <v>4955</v>
      </c>
      <c r="S168" s="131">
        <v>3016</v>
      </c>
      <c r="T168" s="131">
        <v>5576</v>
      </c>
      <c r="U168" s="49">
        <v>4050</v>
      </c>
      <c r="V168" s="49">
        <v>6603</v>
      </c>
      <c r="W168" s="131">
        <v>5971</v>
      </c>
      <c r="X168" s="146">
        <v>0.13968423869413971</v>
      </c>
      <c r="Y168" s="100">
        <v>3.2930265320497698E-2</v>
      </c>
      <c r="Z168" s="100">
        <v>9.3652327101210409E-2</v>
      </c>
      <c r="AA168" s="113">
        <v>0.15354637568199531</v>
      </c>
    </row>
    <row r="169" spans="1:27" customFormat="1" x14ac:dyDescent="0.3">
      <c r="A169" s="4">
        <v>260202</v>
      </c>
      <c r="B169" s="20">
        <v>2281</v>
      </c>
      <c r="C169" s="10" t="s">
        <v>67</v>
      </c>
      <c r="D169" s="10" t="s">
        <v>1177</v>
      </c>
      <c r="E169" s="10" t="s">
        <v>817</v>
      </c>
      <c r="F169" s="99">
        <v>14.4</v>
      </c>
      <c r="G169" s="49">
        <v>3521</v>
      </c>
      <c r="H169" s="49">
        <v>1450</v>
      </c>
      <c r="I169" s="49">
        <v>3406</v>
      </c>
      <c r="J169" s="49">
        <v>2066</v>
      </c>
      <c r="K169" s="49">
        <v>3291</v>
      </c>
      <c r="L169" s="49">
        <v>919</v>
      </c>
      <c r="M169" s="49">
        <v>3608</v>
      </c>
      <c r="N169" s="131">
        <v>3223</v>
      </c>
      <c r="O169" s="49">
        <v>3561</v>
      </c>
      <c r="P169" s="49">
        <v>1428</v>
      </c>
      <c r="Q169" s="49">
        <v>3347</v>
      </c>
      <c r="R169" s="49">
        <v>2839</v>
      </c>
      <c r="S169" s="49">
        <v>2088</v>
      </c>
      <c r="T169" s="49">
        <v>675</v>
      </c>
      <c r="U169" s="49">
        <v>2530</v>
      </c>
      <c r="V169" s="49">
        <v>2381</v>
      </c>
      <c r="W169" s="131">
        <v>3190</v>
      </c>
      <c r="X169" s="145">
        <v>-7.7612863327149006E-2</v>
      </c>
      <c r="Y169" s="100">
        <v>-9.1295116772823759E-2</v>
      </c>
      <c r="Z169" s="100">
        <v>-5.6320708312838197E-2</v>
      </c>
      <c r="AA169" s="113">
        <v>0.14360177221787859</v>
      </c>
    </row>
    <row r="170" spans="1:27" customFormat="1" x14ac:dyDescent="0.3">
      <c r="A170" s="4">
        <v>260202</v>
      </c>
      <c r="B170" s="20">
        <v>8370</v>
      </c>
      <c r="C170" s="10" t="s">
        <v>67</v>
      </c>
      <c r="D170" s="10" t="s">
        <v>1162</v>
      </c>
      <c r="E170" s="10" t="s">
        <v>817</v>
      </c>
      <c r="F170" s="99">
        <v>12.6</v>
      </c>
      <c r="G170" s="49">
        <v>7447</v>
      </c>
      <c r="H170" s="49">
        <v>3014</v>
      </c>
      <c r="I170" s="49">
        <v>6694</v>
      </c>
      <c r="J170" s="49">
        <v>6340</v>
      </c>
      <c r="K170" s="49">
        <v>6734</v>
      </c>
      <c r="L170" s="49">
        <v>-14901</v>
      </c>
      <c r="M170" s="49">
        <v>4787</v>
      </c>
      <c r="N170" s="49">
        <v>4747</v>
      </c>
      <c r="O170" s="49">
        <v>5654</v>
      </c>
      <c r="P170" s="131">
        <v>4845</v>
      </c>
      <c r="Q170" s="49">
        <v>5175</v>
      </c>
      <c r="R170" s="49">
        <v>5267</v>
      </c>
      <c r="S170" s="49">
        <v>6006</v>
      </c>
      <c r="T170" s="49">
        <v>6925</v>
      </c>
      <c r="U170" s="49">
        <v>6407</v>
      </c>
      <c r="V170" s="49">
        <v>4039</v>
      </c>
      <c r="W170" s="131">
        <v>8952</v>
      </c>
      <c r="X170" s="145">
        <v>9.7684685107781943E-2</v>
      </c>
      <c r="Y170" s="100">
        <v>5.2710392333033873E-2</v>
      </c>
      <c r="Z170" s="100">
        <v>-4.9908555171713109E-2</v>
      </c>
      <c r="AA170" s="113">
        <v>0.12602130299011849</v>
      </c>
    </row>
    <row r="171" spans="1:27" customFormat="1" x14ac:dyDescent="0.3">
      <c r="A171" s="4">
        <v>260202</v>
      </c>
      <c r="B171" s="20">
        <v>7981</v>
      </c>
      <c r="C171" s="10" t="s">
        <v>67</v>
      </c>
      <c r="D171" s="10" t="s">
        <v>1178</v>
      </c>
      <c r="E171" s="10" t="s">
        <v>811</v>
      </c>
      <c r="F171" s="38">
        <v>9.9</v>
      </c>
      <c r="G171" s="49">
        <v>3990</v>
      </c>
      <c r="H171" s="49">
        <v>5837</v>
      </c>
      <c r="I171" s="49">
        <v>877</v>
      </c>
      <c r="J171" s="49">
        <v>3225</v>
      </c>
      <c r="K171" s="49">
        <v>2861</v>
      </c>
      <c r="L171" s="49">
        <v>3886</v>
      </c>
      <c r="M171" s="49">
        <v>969</v>
      </c>
      <c r="N171" s="49">
        <v>2684</v>
      </c>
      <c r="O171" s="49">
        <v>2624</v>
      </c>
      <c r="P171" s="131">
        <v>5411</v>
      </c>
      <c r="Q171" s="49">
        <v>1709</v>
      </c>
      <c r="R171" s="49">
        <v>3098</v>
      </c>
      <c r="S171" s="49">
        <v>2860</v>
      </c>
      <c r="T171" s="131">
        <v>6885</v>
      </c>
      <c r="U171" s="49">
        <v>2793</v>
      </c>
      <c r="V171" s="49">
        <v>4196</v>
      </c>
      <c r="W171" s="49">
        <v>4519</v>
      </c>
      <c r="X171" s="146">
        <v>0.1127083651934546</v>
      </c>
      <c r="Y171" s="100">
        <v>7.449147883452456E-2</v>
      </c>
      <c r="Z171" s="100">
        <v>7.0222563315425868E-2</v>
      </c>
      <c r="AA171" s="100">
        <v>9.9139476514879865E-2</v>
      </c>
    </row>
    <row r="172" spans="1:27" customFormat="1" x14ac:dyDescent="0.3">
      <c r="A172" s="4">
        <v>260202</v>
      </c>
      <c r="B172" s="20">
        <v>2282</v>
      </c>
      <c r="C172" s="10" t="s">
        <v>67</v>
      </c>
      <c r="D172" s="10" t="s">
        <v>1180</v>
      </c>
      <c r="E172" s="10" t="s">
        <v>817</v>
      </c>
      <c r="F172" s="38">
        <v>9.4</v>
      </c>
      <c r="G172" s="49">
        <v>20357</v>
      </c>
      <c r="H172" s="49">
        <v>0</v>
      </c>
      <c r="I172" s="49">
        <v>13202</v>
      </c>
      <c r="J172" s="49">
        <v>6423</v>
      </c>
      <c r="K172" s="49">
        <v>1760</v>
      </c>
      <c r="L172" s="49">
        <v>-10848</v>
      </c>
      <c r="M172" s="131">
        <v>17632</v>
      </c>
      <c r="N172" s="131">
        <v>13023</v>
      </c>
      <c r="O172" s="131">
        <v>12269</v>
      </c>
      <c r="P172" s="49">
        <v>-11247</v>
      </c>
      <c r="Q172" s="49">
        <v>19099</v>
      </c>
      <c r="R172" s="49">
        <v>9780</v>
      </c>
      <c r="S172" s="49">
        <v>14203</v>
      </c>
      <c r="T172" s="131">
        <v>-6510</v>
      </c>
      <c r="U172" s="49">
        <v>18261</v>
      </c>
      <c r="V172" s="131">
        <v>20694</v>
      </c>
      <c r="W172" s="49">
        <v>18565</v>
      </c>
      <c r="X172" s="146">
        <v>0.1487984922255379</v>
      </c>
      <c r="Y172" s="100">
        <v>-2.2913704473367599E-2</v>
      </c>
      <c r="Z172" s="113">
        <v>0.30542340627973358</v>
      </c>
      <c r="AA172" s="100">
        <v>9.3508832104270301E-2</v>
      </c>
    </row>
    <row r="173" spans="1:27" customFormat="1" x14ac:dyDescent="0.3">
      <c r="A173" s="4">
        <v>260202</v>
      </c>
      <c r="B173" s="20">
        <v>8331</v>
      </c>
      <c r="C173" s="10" t="s">
        <v>67</v>
      </c>
      <c r="D173" s="10" t="s">
        <v>1164</v>
      </c>
      <c r="E173" s="10" t="s">
        <v>817</v>
      </c>
      <c r="F173" s="38">
        <v>8.9</v>
      </c>
      <c r="G173" s="49">
        <v>19452</v>
      </c>
      <c r="H173" s="49">
        <v>13461</v>
      </c>
      <c r="I173" s="49">
        <v>23942</v>
      </c>
      <c r="J173" s="49">
        <v>26698</v>
      </c>
      <c r="K173" s="49">
        <v>19092</v>
      </c>
      <c r="L173" s="49">
        <v>16937</v>
      </c>
      <c r="M173" s="49">
        <v>25921</v>
      </c>
      <c r="N173" s="49">
        <v>24001</v>
      </c>
      <c r="O173" s="49">
        <v>22592</v>
      </c>
      <c r="P173" s="49">
        <v>18153</v>
      </c>
      <c r="Q173" s="49">
        <v>28626</v>
      </c>
      <c r="R173" s="49">
        <v>25631</v>
      </c>
      <c r="S173" s="49">
        <v>25108</v>
      </c>
      <c r="T173" s="49">
        <v>27460</v>
      </c>
      <c r="U173" s="49">
        <v>30960</v>
      </c>
      <c r="V173" s="49">
        <v>31799</v>
      </c>
      <c r="W173" s="49">
        <v>35358</v>
      </c>
      <c r="X173" s="145">
        <v>9.5438790787341743E-2</v>
      </c>
      <c r="Y173" s="100">
        <v>2.184881816054296E-2</v>
      </c>
      <c r="Z173" s="100">
        <v>5.6504731630007583E-2</v>
      </c>
      <c r="AA173" s="100">
        <v>8.8877712937993625E-2</v>
      </c>
    </row>
    <row r="174" spans="1:27" customFormat="1" x14ac:dyDescent="0.3">
      <c r="A174" s="4">
        <v>260202</v>
      </c>
      <c r="B174" s="20">
        <v>8346</v>
      </c>
      <c r="C174" s="10" t="s">
        <v>67</v>
      </c>
      <c r="D174" s="10" t="s">
        <v>1169</v>
      </c>
      <c r="E174" s="10" t="s">
        <v>811</v>
      </c>
      <c r="F174" s="38">
        <v>8.5</v>
      </c>
      <c r="G174" s="49">
        <v>2851</v>
      </c>
      <c r="H174" s="49">
        <v>2876</v>
      </c>
      <c r="I174" s="49">
        <v>1558</v>
      </c>
      <c r="J174" s="49">
        <v>2478</v>
      </c>
      <c r="K174" s="49">
        <v>1533</v>
      </c>
      <c r="L174" s="49">
        <v>2341</v>
      </c>
      <c r="M174" s="49">
        <v>711</v>
      </c>
      <c r="N174" s="49">
        <v>2858</v>
      </c>
      <c r="O174" s="49">
        <v>2201</v>
      </c>
      <c r="P174" s="131">
        <v>3211</v>
      </c>
      <c r="Q174" s="49">
        <v>-276</v>
      </c>
      <c r="R174" s="49">
        <v>3291</v>
      </c>
      <c r="S174" s="131">
        <v>3211</v>
      </c>
      <c r="T174" s="49">
        <v>2872</v>
      </c>
      <c r="U174" s="131">
        <v>1250</v>
      </c>
      <c r="V174" s="131">
        <v>4545</v>
      </c>
      <c r="W174" s="49">
        <v>4222</v>
      </c>
      <c r="X174" s="145">
        <v>-3.5922432976581493E-2</v>
      </c>
      <c r="Y174" s="113">
        <v>0.16772917124642769</v>
      </c>
      <c r="Z174" s="113">
        <v>0.11803463855421679</v>
      </c>
      <c r="AA174" s="100">
        <v>8.5115339282707536E-2</v>
      </c>
    </row>
    <row r="175" spans="1:27" customFormat="1" x14ac:dyDescent="0.3">
      <c r="A175" s="4">
        <v>260202</v>
      </c>
      <c r="B175" s="20">
        <v>7337</v>
      </c>
      <c r="C175" s="10" t="s">
        <v>67</v>
      </c>
      <c r="D175" s="10" t="s">
        <v>1165</v>
      </c>
      <c r="E175" s="10" t="s">
        <v>817</v>
      </c>
      <c r="F175" s="38">
        <v>5</v>
      </c>
      <c r="G175" s="49">
        <v>12515</v>
      </c>
      <c r="H175" s="49">
        <v>4371</v>
      </c>
      <c r="I175" s="49">
        <v>12885</v>
      </c>
      <c r="J175" s="49">
        <v>1687</v>
      </c>
      <c r="K175" s="49">
        <v>5896</v>
      </c>
      <c r="L175" s="49">
        <v>-2214</v>
      </c>
      <c r="M175" s="49">
        <v>13684</v>
      </c>
      <c r="N175" s="131">
        <v>10157</v>
      </c>
      <c r="O175" s="131">
        <v>9513</v>
      </c>
      <c r="P175" s="131">
        <v>6590</v>
      </c>
      <c r="Q175" s="49">
        <v>15232</v>
      </c>
      <c r="R175" s="49">
        <v>11141</v>
      </c>
      <c r="S175" s="131">
        <v>15310</v>
      </c>
      <c r="T175" s="49">
        <v>9358</v>
      </c>
      <c r="U175" s="49">
        <v>16518</v>
      </c>
      <c r="V175" s="49">
        <v>12526</v>
      </c>
      <c r="W175" s="49">
        <v>17990</v>
      </c>
      <c r="X175" s="145">
        <v>5.7340542332152467E-2</v>
      </c>
      <c r="Y175" s="100">
        <v>2.5195431123998361E-2</v>
      </c>
      <c r="Z175" s="100">
        <v>2.646817130735557E-2</v>
      </c>
      <c r="AA175" s="100">
        <v>4.9895740244265678E-2</v>
      </c>
    </row>
    <row r="176" spans="1:27" customFormat="1" x14ac:dyDescent="0.3">
      <c r="A176" s="4">
        <v>260202</v>
      </c>
      <c r="B176" s="20">
        <v>9064</v>
      </c>
      <c r="C176" s="10" t="s">
        <v>67</v>
      </c>
      <c r="D176" s="10" t="s">
        <v>1175</v>
      </c>
      <c r="E176" s="10" t="s">
        <v>817</v>
      </c>
      <c r="F176" s="38">
        <v>4.3</v>
      </c>
      <c r="G176" s="49">
        <v>47482</v>
      </c>
      <c r="H176" s="49">
        <v>-1973</v>
      </c>
      <c r="I176" s="49">
        <v>2418</v>
      </c>
      <c r="J176" s="49">
        <v>15631</v>
      </c>
      <c r="K176" s="49">
        <v>48352</v>
      </c>
      <c r="L176" s="49">
        <v>-6315</v>
      </c>
      <c r="M176" s="49">
        <v>1598</v>
      </c>
      <c r="N176" s="49">
        <v>10761</v>
      </c>
      <c r="O176" s="49">
        <v>38004</v>
      </c>
      <c r="P176" s="49">
        <v>-10303</v>
      </c>
      <c r="Q176" s="49">
        <v>-14205</v>
      </c>
      <c r="R176" s="49">
        <v>-797</v>
      </c>
      <c r="S176" s="131">
        <v>41267</v>
      </c>
      <c r="T176" s="49">
        <v>-12058</v>
      </c>
      <c r="U176" s="131">
        <v>-6494</v>
      </c>
      <c r="V176" s="131">
        <v>2712</v>
      </c>
      <c r="W176" s="49">
        <v>42368</v>
      </c>
      <c r="X176" s="145">
        <v>-0.10994862799147979</v>
      </c>
      <c r="Y176" s="113">
        <v>0.54276061096642492</v>
      </c>
      <c r="Z176" s="113">
        <v>0.16009672415366369</v>
      </c>
      <c r="AA176" s="100">
        <v>4.330042867817685E-2</v>
      </c>
    </row>
    <row r="177" spans="1:27" customFormat="1" x14ac:dyDescent="0.3">
      <c r="A177" s="4">
        <v>260202</v>
      </c>
      <c r="B177" s="20">
        <v>8411</v>
      </c>
      <c r="C177" s="10" t="s">
        <v>67</v>
      </c>
      <c r="D177" s="10" t="s">
        <v>1176</v>
      </c>
      <c r="E177" s="10" t="s">
        <v>817</v>
      </c>
      <c r="F177" s="38">
        <v>3.7</v>
      </c>
      <c r="G177" s="49">
        <v>108485</v>
      </c>
      <c r="H177" s="49">
        <v>48765</v>
      </c>
      <c r="I177" s="49">
        <v>207355</v>
      </c>
      <c r="J177" s="49">
        <v>237700</v>
      </c>
      <c r="K177" s="131">
        <v>244905</v>
      </c>
      <c r="L177" s="49">
        <v>89003</v>
      </c>
      <c r="M177" s="131">
        <v>313573</v>
      </c>
      <c r="N177" s="49">
        <v>282748</v>
      </c>
      <c r="O177" s="49">
        <v>325130</v>
      </c>
      <c r="P177" s="49">
        <v>33582</v>
      </c>
      <c r="Q177" s="49">
        <v>397385</v>
      </c>
      <c r="R177" s="131">
        <v>393772</v>
      </c>
      <c r="S177" s="49">
        <v>376077</v>
      </c>
      <c r="T177" s="49">
        <v>22849</v>
      </c>
      <c r="U177" s="49">
        <v>378595</v>
      </c>
      <c r="V177" s="131">
        <v>520119</v>
      </c>
      <c r="W177" s="49">
        <v>424507</v>
      </c>
      <c r="X177" s="145">
        <v>-8.9380887663055297E-3</v>
      </c>
      <c r="Y177" s="100">
        <v>-1.5788814729728928E-2</v>
      </c>
      <c r="Z177" s="113">
        <v>0.107869679064077</v>
      </c>
      <c r="AA177" s="100">
        <v>3.7321599210875078E-2</v>
      </c>
    </row>
    <row r="178" spans="1:27" customFormat="1" x14ac:dyDescent="0.3">
      <c r="A178" s="4">
        <v>260202</v>
      </c>
      <c r="B178" s="20">
        <v>6762</v>
      </c>
      <c r="C178" s="10" t="s">
        <v>67</v>
      </c>
      <c r="D178" s="10" t="s">
        <v>1168</v>
      </c>
      <c r="E178" s="10" t="s">
        <v>817</v>
      </c>
      <c r="F178" s="38">
        <v>3.1</v>
      </c>
      <c r="G178" s="49">
        <v>59492</v>
      </c>
      <c r="H178" s="49">
        <v>21407</v>
      </c>
      <c r="I178" s="49">
        <v>44414</v>
      </c>
      <c r="J178" s="49">
        <v>75390</v>
      </c>
      <c r="K178" s="49">
        <v>66228</v>
      </c>
      <c r="L178" s="49">
        <v>-28306</v>
      </c>
      <c r="M178" s="49">
        <v>25342</v>
      </c>
      <c r="N178" s="49">
        <v>58605</v>
      </c>
      <c r="O178" s="49">
        <v>69027</v>
      </c>
      <c r="P178" s="131">
        <v>17688</v>
      </c>
      <c r="Q178" s="131">
        <v>57872</v>
      </c>
      <c r="R178" s="49">
        <v>72806</v>
      </c>
      <c r="S178" s="49">
        <v>75791</v>
      </c>
      <c r="T178" s="49">
        <v>11743</v>
      </c>
      <c r="U178" s="49">
        <v>56419</v>
      </c>
      <c r="V178" s="49">
        <v>91208</v>
      </c>
      <c r="W178" s="49">
        <v>83110</v>
      </c>
      <c r="X178" s="145">
        <v>-2.652158977859265E-2</v>
      </c>
      <c r="Y178" s="100">
        <v>-6.6586622183931743E-3</v>
      </c>
      <c r="Z178" s="100">
        <v>8.4896128880461719E-2</v>
      </c>
      <c r="AA178" s="100">
        <v>3.1123358039810919E-2</v>
      </c>
    </row>
    <row r="179" spans="1:27" customFormat="1" x14ac:dyDescent="0.3">
      <c r="A179" s="4">
        <v>260202</v>
      </c>
      <c r="B179" s="20">
        <v>9022</v>
      </c>
      <c r="C179" s="10" t="s">
        <v>67</v>
      </c>
      <c r="D179" s="10" t="s">
        <v>1172</v>
      </c>
      <c r="E179" s="10" t="s">
        <v>817</v>
      </c>
      <c r="F179" s="38">
        <v>3</v>
      </c>
      <c r="G179" s="49">
        <v>71276</v>
      </c>
      <c r="H179" s="49">
        <v>-35464</v>
      </c>
      <c r="I179" s="49">
        <v>83541</v>
      </c>
      <c r="J179" s="49">
        <v>88386</v>
      </c>
      <c r="K179" s="131">
        <v>134444</v>
      </c>
      <c r="L179" s="131">
        <v>68133</v>
      </c>
      <c r="M179" s="131">
        <v>146519</v>
      </c>
      <c r="N179" s="131">
        <v>165573</v>
      </c>
      <c r="O179" s="131">
        <v>190507</v>
      </c>
      <c r="P179" s="49">
        <v>104783</v>
      </c>
      <c r="Q179" s="49">
        <v>184329</v>
      </c>
      <c r="R179" s="49">
        <v>180881</v>
      </c>
      <c r="S179" s="49">
        <v>218719</v>
      </c>
      <c r="T179" s="49">
        <v>118866</v>
      </c>
      <c r="U179" s="49">
        <v>221226</v>
      </c>
      <c r="V179" s="49">
        <v>232826</v>
      </c>
      <c r="W179" s="49">
        <v>242711</v>
      </c>
      <c r="X179" s="145">
        <v>2.0448315115752399E-2</v>
      </c>
      <c r="Y179" s="100">
        <v>5.2500373508633347E-2</v>
      </c>
      <c r="Z179" s="100">
        <v>7.0225174802485357E-2</v>
      </c>
      <c r="AA179" s="100">
        <v>3.0306819918725299E-2</v>
      </c>
    </row>
    <row r="180" spans="1:27" customFormat="1" x14ac:dyDescent="0.3">
      <c r="A180" s="4">
        <v>260202</v>
      </c>
      <c r="B180" s="20">
        <v>8601</v>
      </c>
      <c r="C180" s="10" t="s">
        <v>67</v>
      </c>
      <c r="D180" s="10" t="s">
        <v>1163</v>
      </c>
      <c r="E180" s="10" t="s">
        <v>817</v>
      </c>
      <c r="F180" s="38">
        <v>3</v>
      </c>
      <c r="G180" s="49">
        <v>68276</v>
      </c>
      <c r="H180" s="49">
        <v>53515</v>
      </c>
      <c r="I180" s="49">
        <v>49366</v>
      </c>
      <c r="J180" s="49">
        <v>93611</v>
      </c>
      <c r="K180" s="131">
        <v>133122</v>
      </c>
      <c r="L180" s="131">
        <v>192039</v>
      </c>
      <c r="M180" s="131">
        <v>162882</v>
      </c>
      <c r="N180" s="131">
        <v>197335</v>
      </c>
      <c r="O180" s="131">
        <v>225544</v>
      </c>
      <c r="P180" s="49">
        <v>254516</v>
      </c>
      <c r="Q180" s="49">
        <v>34552</v>
      </c>
      <c r="R180" s="49">
        <v>41008</v>
      </c>
      <c r="S180" s="49">
        <v>37040</v>
      </c>
      <c r="T180" s="131">
        <v>781179</v>
      </c>
      <c r="U180" s="49">
        <v>35094</v>
      </c>
      <c r="V180" s="49">
        <v>48910</v>
      </c>
      <c r="W180" s="49">
        <v>63782</v>
      </c>
      <c r="X180" s="146">
        <v>1.434595604659018</v>
      </c>
      <c r="Y180" s="100">
        <v>6.0641388978699418E-4</v>
      </c>
      <c r="Z180" s="100">
        <v>8.8357536052490193E-3</v>
      </c>
      <c r="AA180" s="100">
        <v>2.9640122231421762E-2</v>
      </c>
    </row>
    <row r="181" spans="1:27" customFormat="1" x14ac:dyDescent="0.3">
      <c r="A181" s="4">
        <v>260202</v>
      </c>
      <c r="B181" s="20">
        <v>2222</v>
      </c>
      <c r="C181" s="10" t="s">
        <v>67</v>
      </c>
      <c r="D181" s="10" t="s">
        <v>1171</v>
      </c>
      <c r="E181" s="10" t="s">
        <v>817</v>
      </c>
      <c r="F181" s="38">
        <v>2.9</v>
      </c>
      <c r="G181" s="49">
        <v>2279</v>
      </c>
      <c r="H181" s="49">
        <v>539</v>
      </c>
      <c r="I181" s="49">
        <v>1151</v>
      </c>
      <c r="J181" s="49">
        <v>1679</v>
      </c>
      <c r="K181" s="131">
        <v>4027</v>
      </c>
      <c r="L181" s="131">
        <v>3093</v>
      </c>
      <c r="M181" s="131">
        <v>3059</v>
      </c>
      <c r="N181" s="131">
        <v>3564</v>
      </c>
      <c r="O181" s="49">
        <v>5112</v>
      </c>
      <c r="P181" s="49">
        <v>4044</v>
      </c>
      <c r="Q181" s="49">
        <v>3428</v>
      </c>
      <c r="R181" s="49">
        <v>4050</v>
      </c>
      <c r="S181" s="49">
        <v>6068</v>
      </c>
      <c r="T181" s="49">
        <v>4064</v>
      </c>
      <c r="U181" s="49">
        <v>3441</v>
      </c>
      <c r="V181" s="49">
        <v>3999</v>
      </c>
      <c r="W181" s="49">
        <v>6573</v>
      </c>
      <c r="X181" s="145">
        <v>1.137009664582189E-3</v>
      </c>
      <c r="Y181" s="100">
        <v>7.3821692220321644E-4</v>
      </c>
      <c r="Z181" s="100">
        <v>-2.8939454122454129E-3</v>
      </c>
      <c r="AA181" s="100">
        <v>2.873890279990898E-2</v>
      </c>
    </row>
    <row r="182" spans="1:27" customFormat="1" x14ac:dyDescent="0.3">
      <c r="A182" s="4">
        <v>260202</v>
      </c>
      <c r="B182" s="20">
        <v>4768</v>
      </c>
      <c r="C182" s="10" t="s">
        <v>67</v>
      </c>
      <c r="D182" s="10" t="s">
        <v>1170</v>
      </c>
      <c r="E182" s="10" t="s">
        <v>806</v>
      </c>
      <c r="F182" s="38">
        <v>1.5</v>
      </c>
      <c r="G182" s="49">
        <v>11293</v>
      </c>
      <c r="H182" s="49">
        <v>13787</v>
      </c>
      <c r="I182" s="49">
        <v>16992</v>
      </c>
      <c r="J182" s="49">
        <v>11997</v>
      </c>
      <c r="K182" s="49">
        <v>11997</v>
      </c>
      <c r="L182" s="49">
        <v>16876</v>
      </c>
      <c r="M182" s="49">
        <v>19837</v>
      </c>
      <c r="N182" s="49">
        <v>10678</v>
      </c>
      <c r="O182" s="49">
        <v>15574</v>
      </c>
      <c r="P182" s="49">
        <v>17243</v>
      </c>
      <c r="Q182" s="49">
        <v>21601</v>
      </c>
      <c r="R182" s="49">
        <v>13326</v>
      </c>
      <c r="S182" s="49">
        <v>22047</v>
      </c>
      <c r="T182" s="49">
        <v>21176</v>
      </c>
      <c r="U182" s="49">
        <v>27998</v>
      </c>
      <c r="V182" s="49">
        <v>17357</v>
      </c>
      <c r="W182" s="49">
        <v>23413</v>
      </c>
      <c r="X182" s="145">
        <v>5.2993249525041357E-2</v>
      </c>
      <c r="Y182" s="100">
        <v>8.1855406269993658E-2</v>
      </c>
      <c r="Z182" s="100">
        <v>4.7677623097212241E-2</v>
      </c>
      <c r="AA182" s="100">
        <v>1.542143647406813E-2</v>
      </c>
    </row>
    <row r="183" spans="1:27" customFormat="1" x14ac:dyDescent="0.3">
      <c r="A183" s="4">
        <v>260202</v>
      </c>
      <c r="B183" s="20">
        <v>9020</v>
      </c>
      <c r="C183" s="10" t="s">
        <v>67</v>
      </c>
      <c r="D183" s="10" t="s">
        <v>1174</v>
      </c>
      <c r="E183" s="10" t="s">
        <v>817</v>
      </c>
      <c r="F183" s="38">
        <v>0.3</v>
      </c>
      <c r="G183" s="49">
        <v>73356</v>
      </c>
      <c r="H183" s="49">
        <v>-111402</v>
      </c>
      <c r="I183" s="49">
        <v>40298</v>
      </c>
      <c r="J183" s="49">
        <v>26413</v>
      </c>
      <c r="K183" s="49">
        <v>45297</v>
      </c>
      <c r="L183" s="131">
        <v>28622</v>
      </c>
      <c r="M183" s="131">
        <v>80176</v>
      </c>
      <c r="N183" s="131">
        <v>111622</v>
      </c>
      <c r="O183" s="131">
        <v>106713</v>
      </c>
      <c r="P183" s="49">
        <v>46651</v>
      </c>
      <c r="Q183" s="131">
        <v>120531</v>
      </c>
      <c r="R183" s="49">
        <v>115075</v>
      </c>
      <c r="S183" s="49">
        <v>116948</v>
      </c>
      <c r="T183" s="49">
        <v>24233</v>
      </c>
      <c r="U183" s="49">
        <v>114787</v>
      </c>
      <c r="V183" s="49">
        <v>116694</v>
      </c>
      <c r="W183" s="49">
        <v>118134</v>
      </c>
      <c r="X183" s="145">
        <v>-5.6156611264888912E-2</v>
      </c>
      <c r="Y183" s="100">
        <v>-1.524468731670681E-2</v>
      </c>
      <c r="Z183" s="100">
        <v>4.3633756734393634E-3</v>
      </c>
      <c r="AA183" s="100">
        <v>3.182508546618612E-3</v>
      </c>
    </row>
    <row r="184" spans="1:27" customFormat="1" x14ac:dyDescent="0.3">
      <c r="A184" s="4">
        <v>260202</v>
      </c>
      <c r="B184" s="20">
        <v>3433</v>
      </c>
      <c r="C184" s="10" t="s">
        <v>67</v>
      </c>
      <c r="D184" s="10" t="s">
        <v>1183</v>
      </c>
      <c r="E184" s="10" t="s">
        <v>811</v>
      </c>
      <c r="F184" s="38">
        <v>-0.1</v>
      </c>
      <c r="G184" s="49">
        <v>2351</v>
      </c>
      <c r="H184" s="49">
        <v>2443</v>
      </c>
      <c r="I184" s="49">
        <v>2702</v>
      </c>
      <c r="J184" s="49">
        <v>2724</v>
      </c>
      <c r="K184" s="49">
        <v>2858</v>
      </c>
      <c r="L184" s="49">
        <v>2642</v>
      </c>
      <c r="M184" s="49">
        <v>2335</v>
      </c>
      <c r="N184" s="49">
        <v>2270</v>
      </c>
      <c r="O184" s="49">
        <v>2027</v>
      </c>
      <c r="P184" s="49">
        <v>2108</v>
      </c>
      <c r="Q184" s="49">
        <v>2793</v>
      </c>
      <c r="R184" s="49">
        <v>2688</v>
      </c>
      <c r="S184" s="49">
        <v>2696</v>
      </c>
      <c r="T184" s="49">
        <v>3107</v>
      </c>
      <c r="U184" s="49">
        <v>3781</v>
      </c>
      <c r="V184" s="49">
        <v>3838</v>
      </c>
      <c r="W184" s="49">
        <v>2682</v>
      </c>
      <c r="X184" s="145">
        <v>9.7131745260087499E-2</v>
      </c>
      <c r="Y184" s="100">
        <v>8.7557603686635899E-2</v>
      </c>
      <c r="Z184" s="100">
        <v>9.3709256844850097E-2</v>
      </c>
      <c r="AA184" s="100">
        <v>-1.0430636268812239E-3</v>
      </c>
    </row>
    <row r="185" spans="1:27" customFormat="1" x14ac:dyDescent="0.3">
      <c r="A185" s="4">
        <v>260202</v>
      </c>
      <c r="B185" s="20">
        <v>3132</v>
      </c>
      <c r="C185" s="10" t="s">
        <v>67</v>
      </c>
      <c r="D185" s="10" t="s">
        <v>1167</v>
      </c>
      <c r="E185" s="10" t="s">
        <v>817</v>
      </c>
      <c r="F185" s="38">
        <v>-0.2</v>
      </c>
      <c r="G185" s="49">
        <v>9939</v>
      </c>
      <c r="H185" s="49">
        <v>11435</v>
      </c>
      <c r="I185" s="49">
        <v>12266</v>
      </c>
      <c r="J185" s="49">
        <v>14536</v>
      </c>
      <c r="K185" s="131">
        <v>18493</v>
      </c>
      <c r="L185" s="49">
        <v>16353</v>
      </c>
      <c r="M185" s="131">
        <v>20654</v>
      </c>
      <c r="N185" s="49">
        <v>17346</v>
      </c>
      <c r="O185" s="49">
        <v>13311</v>
      </c>
      <c r="P185" s="49">
        <v>12422</v>
      </c>
      <c r="Q185" s="49">
        <v>12048</v>
      </c>
      <c r="R185" s="49">
        <v>10329</v>
      </c>
      <c r="S185" s="49">
        <v>10841</v>
      </c>
      <c r="T185" s="49">
        <v>6432</v>
      </c>
      <c r="U185" s="49">
        <v>8198</v>
      </c>
      <c r="V185" s="49">
        <v>9309</v>
      </c>
      <c r="W185" s="49">
        <v>10762</v>
      </c>
      <c r="X185" s="145">
        <v>-0.13124452234881681</v>
      </c>
      <c r="Y185" s="100">
        <v>-9.7099621689785587E-2</v>
      </c>
      <c r="Z185" s="100">
        <v>-2.84916201117319E-2</v>
      </c>
      <c r="AA185" s="100">
        <v>-2.271420356526721E-3</v>
      </c>
    </row>
    <row r="186" spans="1:27" customFormat="1" x14ac:dyDescent="0.3">
      <c r="A186" s="4">
        <v>260202</v>
      </c>
      <c r="B186" s="20">
        <v>9532</v>
      </c>
      <c r="C186" s="10" t="s">
        <v>67</v>
      </c>
      <c r="D186" s="10" t="s">
        <v>1186</v>
      </c>
      <c r="E186" s="10" t="s">
        <v>817</v>
      </c>
      <c r="F186" s="38">
        <v>-0.2</v>
      </c>
      <c r="G186" s="49">
        <v>2137</v>
      </c>
      <c r="H186" s="49">
        <v>52229</v>
      </c>
      <c r="I186" s="49">
        <v>7367</v>
      </c>
      <c r="J186" s="49">
        <v>-53057</v>
      </c>
      <c r="K186" s="131">
        <v>30763</v>
      </c>
      <c r="L186" s="131">
        <v>74929</v>
      </c>
      <c r="M186" s="131">
        <v>73664</v>
      </c>
      <c r="N186" s="131">
        <v>23068</v>
      </c>
      <c r="O186" s="49">
        <v>43961</v>
      </c>
      <c r="P186" s="49">
        <v>31862</v>
      </c>
      <c r="Q186" s="49">
        <v>28750</v>
      </c>
      <c r="R186" s="49">
        <v>26191</v>
      </c>
      <c r="S186" s="49">
        <v>44567</v>
      </c>
      <c r="T186" s="131">
        <v>61224</v>
      </c>
      <c r="U186" s="131">
        <v>47680</v>
      </c>
      <c r="V186" s="49">
        <v>41990</v>
      </c>
      <c r="W186" s="49">
        <v>44079</v>
      </c>
      <c r="X186" s="146">
        <v>0.22350612773083661</v>
      </c>
      <c r="Y186" s="113">
        <v>0.11777368538934389</v>
      </c>
      <c r="Z186" s="100">
        <v>8.7937349022052524E-2</v>
      </c>
      <c r="AA186" s="100">
        <v>-2.4966617381472211E-3</v>
      </c>
    </row>
    <row r="187" spans="1:27" customFormat="1" x14ac:dyDescent="0.3">
      <c r="A187" s="4">
        <v>260202</v>
      </c>
      <c r="B187" s="20">
        <v>7224</v>
      </c>
      <c r="C187" s="10" t="s">
        <v>67</v>
      </c>
      <c r="D187" s="10" t="s">
        <v>1185</v>
      </c>
      <c r="E187" s="10" t="s">
        <v>811</v>
      </c>
      <c r="F187" s="38">
        <v>-5.4</v>
      </c>
      <c r="G187" s="49">
        <v>3039</v>
      </c>
      <c r="H187" s="49">
        <v>2687</v>
      </c>
      <c r="I187" s="49">
        <v>3443</v>
      </c>
      <c r="J187" s="49">
        <v>793</v>
      </c>
      <c r="K187" s="49">
        <v>2413</v>
      </c>
      <c r="L187" s="49">
        <v>2799</v>
      </c>
      <c r="M187" s="49">
        <v>3290</v>
      </c>
      <c r="N187" s="49">
        <v>638</v>
      </c>
      <c r="O187" s="131">
        <v>3794</v>
      </c>
      <c r="P187" s="49">
        <v>1869</v>
      </c>
      <c r="Q187" s="131">
        <v>5464</v>
      </c>
      <c r="R187" s="131">
        <v>1843</v>
      </c>
      <c r="S187" s="49">
        <v>3880</v>
      </c>
      <c r="T187" s="49">
        <v>2596</v>
      </c>
      <c r="U187" s="49">
        <v>5651</v>
      </c>
      <c r="V187" s="49">
        <v>1427</v>
      </c>
      <c r="W187" s="49">
        <v>3151</v>
      </c>
      <c r="X187" s="145">
        <v>5.5683210784313708E-2</v>
      </c>
      <c r="Y187" s="100">
        <v>1.356743814844363E-2</v>
      </c>
      <c r="Z187" s="100">
        <v>-2.9778095919828159E-2</v>
      </c>
      <c r="AA187" s="100">
        <v>-5.3784860557768877E-2</v>
      </c>
    </row>
    <row r="188" spans="1:27" customFormat="1" x14ac:dyDescent="0.3">
      <c r="A188" s="4">
        <v>260202</v>
      </c>
      <c r="B188" s="20">
        <v>4272</v>
      </c>
      <c r="C188" s="10" t="s">
        <v>67</v>
      </c>
      <c r="D188" s="10" t="s">
        <v>1181</v>
      </c>
      <c r="E188" s="10" t="s">
        <v>817</v>
      </c>
      <c r="F188" s="38">
        <v>-6.3</v>
      </c>
      <c r="G188" s="49">
        <v>6438</v>
      </c>
      <c r="H188" s="49">
        <v>3711</v>
      </c>
      <c r="I188" s="49">
        <v>6381</v>
      </c>
      <c r="J188" s="49">
        <v>7179</v>
      </c>
      <c r="K188" s="49">
        <v>5503</v>
      </c>
      <c r="L188" s="49">
        <v>2443</v>
      </c>
      <c r="M188" s="49">
        <v>2335</v>
      </c>
      <c r="N188" s="49">
        <v>2433</v>
      </c>
      <c r="O188" s="49">
        <v>-656</v>
      </c>
      <c r="P188" s="131">
        <v>3225</v>
      </c>
      <c r="Q188" s="131">
        <v>5570</v>
      </c>
      <c r="R188" s="131">
        <v>5591</v>
      </c>
      <c r="S188" s="131">
        <v>6955</v>
      </c>
      <c r="T188" s="49">
        <v>2286</v>
      </c>
      <c r="U188" s="49">
        <v>4369</v>
      </c>
      <c r="V188" s="49">
        <v>6250</v>
      </c>
      <c r="W188" s="49">
        <v>5703</v>
      </c>
      <c r="X188" s="145">
        <v>-4.3999812567358632E-2</v>
      </c>
      <c r="Y188" s="100">
        <v>-5.8866777766885647E-2</v>
      </c>
      <c r="Z188" s="100">
        <v>3.4321129107858887E-2</v>
      </c>
      <c r="AA188" s="100">
        <v>-6.3041289023162084E-2</v>
      </c>
    </row>
    <row r="189" spans="1:27" customFormat="1" x14ac:dyDescent="0.3">
      <c r="A189" s="4">
        <v>260202</v>
      </c>
      <c r="B189" s="20">
        <v>9502</v>
      </c>
      <c r="C189" s="10" t="s">
        <v>67</v>
      </c>
      <c r="D189" s="10" t="s">
        <v>1188</v>
      </c>
      <c r="E189" s="10" t="s">
        <v>817</v>
      </c>
      <c r="F189" s="38">
        <v>-7.5</v>
      </c>
      <c r="G189" s="49">
        <v>-55866</v>
      </c>
      <c r="H189" s="49">
        <v>-52029</v>
      </c>
      <c r="I189" s="49">
        <v>41486</v>
      </c>
      <c r="J189" s="49">
        <v>19776</v>
      </c>
      <c r="K189" s="49">
        <v>-12994</v>
      </c>
      <c r="L189" s="49">
        <v>58821</v>
      </c>
      <c r="M189" s="131">
        <v>157186</v>
      </c>
      <c r="N189" s="131">
        <v>88472</v>
      </c>
      <c r="O189" s="131">
        <v>43953</v>
      </c>
      <c r="P189" s="49">
        <v>53729</v>
      </c>
      <c r="Q189" s="49">
        <v>85868</v>
      </c>
      <c r="R189" s="49">
        <v>56887</v>
      </c>
      <c r="S189" s="49">
        <v>41365</v>
      </c>
      <c r="T189" s="49">
        <v>57925</v>
      </c>
      <c r="U189" s="49">
        <v>67932</v>
      </c>
      <c r="V189" s="49">
        <v>77613</v>
      </c>
      <c r="W189" s="49">
        <v>23021</v>
      </c>
      <c r="X189" s="145">
        <v>1.764144478219376E-2</v>
      </c>
      <c r="Y189" s="100">
        <v>-7.4101923196099873E-2</v>
      </c>
      <c r="Z189" s="100">
        <v>9.2481783417890373E-2</v>
      </c>
      <c r="AA189" s="100">
        <v>-7.4923928359915903E-2</v>
      </c>
    </row>
    <row r="190" spans="1:27" customFormat="1" x14ac:dyDescent="0.3">
      <c r="A190" s="4">
        <v>260202</v>
      </c>
      <c r="B190" s="20">
        <v>6981</v>
      </c>
      <c r="C190" s="10" t="s">
        <v>67</v>
      </c>
      <c r="D190" s="10" t="s">
        <v>1179</v>
      </c>
      <c r="E190" s="10" t="s">
        <v>817</v>
      </c>
      <c r="F190" s="38">
        <v>-12.4</v>
      </c>
      <c r="G190" s="49">
        <v>113919</v>
      </c>
      <c r="H190" s="49">
        <v>91283</v>
      </c>
      <c r="I190" s="49">
        <v>88613</v>
      </c>
      <c r="J190" s="49">
        <v>106361</v>
      </c>
      <c r="K190" s="49">
        <v>77285</v>
      </c>
      <c r="L190" s="49">
        <v>26207</v>
      </c>
      <c r="M190" s="49">
        <v>50111</v>
      </c>
      <c r="N190" s="49">
        <v>88811</v>
      </c>
      <c r="O190" s="49">
        <v>76197</v>
      </c>
      <c r="P190" s="49">
        <v>45869</v>
      </c>
      <c r="Q190" s="49">
        <v>66375</v>
      </c>
      <c r="R190" s="49">
        <v>91797</v>
      </c>
      <c r="S190" s="49">
        <v>75989</v>
      </c>
      <c r="T190" s="49">
        <v>65600</v>
      </c>
      <c r="U190" s="49">
        <v>61621</v>
      </c>
      <c r="V190" s="49">
        <v>103515</v>
      </c>
      <c r="W190" s="49">
        <v>37876</v>
      </c>
      <c r="X190" s="145">
        <v>7.0460307824161683E-2</v>
      </c>
      <c r="Y190" s="100">
        <v>-1.5859301243323801E-2</v>
      </c>
      <c r="Z190" s="100">
        <v>3.9721091363933647E-2</v>
      </c>
      <c r="AA190" s="100">
        <v>-0.1242578857282582</v>
      </c>
    </row>
    <row r="191" spans="1:27" customFormat="1" x14ac:dyDescent="0.3">
      <c r="A191" s="4">
        <v>260202</v>
      </c>
      <c r="B191" s="20">
        <v>5992</v>
      </c>
      <c r="C191" s="10" t="s">
        <v>67</v>
      </c>
      <c r="D191" s="10" t="s">
        <v>1184</v>
      </c>
      <c r="E191" s="10" t="s">
        <v>817</v>
      </c>
      <c r="F191" s="38">
        <v>-15.6</v>
      </c>
      <c r="G191" s="49">
        <v>809</v>
      </c>
      <c r="H191" s="49">
        <v>786</v>
      </c>
      <c r="I191" s="49">
        <v>-391</v>
      </c>
      <c r="J191" s="49">
        <v>732</v>
      </c>
      <c r="K191" s="49">
        <v>144</v>
      </c>
      <c r="L191" s="49">
        <v>-149</v>
      </c>
      <c r="M191" s="131">
        <v>-54</v>
      </c>
      <c r="N191" s="49">
        <v>735</v>
      </c>
      <c r="O191" s="131">
        <v>311</v>
      </c>
      <c r="P191" s="131">
        <v>69</v>
      </c>
      <c r="Q191" s="131">
        <v>136</v>
      </c>
      <c r="R191" s="131">
        <v>1625</v>
      </c>
      <c r="S191" s="131">
        <v>1235</v>
      </c>
      <c r="T191" s="131">
        <v>1383</v>
      </c>
      <c r="U191" s="131">
        <v>602</v>
      </c>
      <c r="V191" s="49">
        <v>893</v>
      </c>
      <c r="W191" s="49">
        <v>592</v>
      </c>
      <c r="X191" s="146">
        <v>0.42871125611745509</v>
      </c>
      <c r="Y191" s="113">
        <v>0.1064169901804064</v>
      </c>
      <c r="Z191" s="100">
        <v>-0.15108359133126939</v>
      </c>
      <c r="AA191" s="100">
        <v>-0.15633357646486751</v>
      </c>
    </row>
    <row r="192" spans="1:27" customFormat="1" x14ac:dyDescent="0.3">
      <c r="A192" s="4">
        <v>260202</v>
      </c>
      <c r="B192" s="83" t="s">
        <v>1191</v>
      </c>
      <c r="C192" s="84" t="s">
        <v>31</v>
      </c>
      <c r="D192" s="84" t="s">
        <v>1192</v>
      </c>
      <c r="E192" s="10" t="s">
        <v>817</v>
      </c>
      <c r="F192" s="115">
        <v>155.69999999999999</v>
      </c>
      <c r="G192" s="133">
        <v>-3280</v>
      </c>
      <c r="H192" s="133">
        <v>-2669</v>
      </c>
      <c r="I192" s="133">
        <v>-2475</v>
      </c>
      <c r="J192" s="133">
        <v>-2416</v>
      </c>
      <c r="K192" s="133">
        <v>-1507</v>
      </c>
      <c r="L192" s="133">
        <v>-854.94</v>
      </c>
      <c r="M192" s="133">
        <v>-966.21</v>
      </c>
      <c r="N192" s="133">
        <v>-1114</v>
      </c>
      <c r="O192" s="133">
        <v>-485.8</v>
      </c>
      <c r="P192" s="133">
        <v>-183.38</v>
      </c>
      <c r="Q192" s="133">
        <v>-642.70000000000005</v>
      </c>
      <c r="R192" s="133">
        <v>-371.8</v>
      </c>
      <c r="S192" s="133">
        <v>-58.9</v>
      </c>
      <c r="T192" s="133">
        <v>795.8</v>
      </c>
      <c r="U192" s="133">
        <v>9.1</v>
      </c>
      <c r="V192" s="134">
        <v>639.6</v>
      </c>
      <c r="W192" s="134">
        <v>2099</v>
      </c>
      <c r="X192" s="147">
        <v>-0.77911806362290925</v>
      </c>
      <c r="Y192" s="119">
        <v>-2.3479827089337171</v>
      </c>
      <c r="Z192" s="120">
        <v>2.702832709780866</v>
      </c>
      <c r="AA192" s="120">
        <v>1.5573758660508079</v>
      </c>
    </row>
    <row r="193" spans="1:27" customFormat="1" x14ac:dyDescent="0.3">
      <c r="A193" s="4">
        <v>260202</v>
      </c>
      <c r="B193" s="20" t="s">
        <v>1189</v>
      </c>
      <c r="C193" s="10" t="s">
        <v>31</v>
      </c>
      <c r="D193" s="10" t="s">
        <v>1190</v>
      </c>
      <c r="E193" s="10" t="s">
        <v>811</v>
      </c>
      <c r="F193" s="99">
        <v>19.100000000000001</v>
      </c>
      <c r="G193" s="49">
        <v>78.27</v>
      </c>
      <c r="H193" s="49">
        <v>95.5</v>
      </c>
      <c r="I193" s="49">
        <v>140.6</v>
      </c>
      <c r="J193" s="49">
        <v>73.760000000000005</v>
      </c>
      <c r="K193" s="49">
        <v>94.07</v>
      </c>
      <c r="L193" s="131">
        <v>169.63</v>
      </c>
      <c r="M193" s="131">
        <v>202.4</v>
      </c>
      <c r="N193" s="49">
        <v>101.33</v>
      </c>
      <c r="O193" s="131">
        <v>156.61000000000001</v>
      </c>
      <c r="P193" s="49">
        <v>211.74</v>
      </c>
      <c r="Q193" s="49">
        <v>257.74</v>
      </c>
      <c r="R193" s="131">
        <v>189.18</v>
      </c>
      <c r="S193" s="131">
        <v>291.47000000000003</v>
      </c>
      <c r="T193" s="131">
        <v>339.68</v>
      </c>
      <c r="U193" s="49">
        <v>327.72</v>
      </c>
      <c r="V193" s="131">
        <v>364.42</v>
      </c>
      <c r="W193" s="131">
        <v>544.41999999999996</v>
      </c>
      <c r="X193" s="146">
        <v>0.1346552577015778</v>
      </c>
      <c r="Y193" s="100">
        <v>6.4912296975150108E-2</v>
      </c>
      <c r="Z193" s="113">
        <v>0.15264143547754869</v>
      </c>
      <c r="AA193" s="113">
        <v>0.191152355114903</v>
      </c>
    </row>
    <row r="194" spans="1:27" customFormat="1" x14ac:dyDescent="0.3">
      <c r="A194" s="4">
        <v>260202</v>
      </c>
      <c r="B194" s="20" t="s">
        <v>1193</v>
      </c>
      <c r="C194" s="10" t="s">
        <v>31</v>
      </c>
      <c r="D194" s="10" t="s">
        <v>1194</v>
      </c>
      <c r="E194" s="10" t="s">
        <v>817</v>
      </c>
      <c r="F194" s="99">
        <v>16.399999999999999</v>
      </c>
      <c r="G194" s="49">
        <v>294.7</v>
      </c>
      <c r="H194" s="49">
        <v>-1965</v>
      </c>
      <c r="I194" s="49">
        <v>779.5</v>
      </c>
      <c r="J194" s="49">
        <v>1405</v>
      </c>
      <c r="K194" s="49">
        <v>292.89999999999998</v>
      </c>
      <c r="L194" s="131">
        <v>-267.7</v>
      </c>
      <c r="M194" s="49">
        <v>-496.4</v>
      </c>
      <c r="N194" s="49">
        <v>-585.20000000000005</v>
      </c>
      <c r="O194" s="131">
        <v>-778.6</v>
      </c>
      <c r="P194" s="49">
        <v>-49</v>
      </c>
      <c r="Q194" s="49">
        <v>478</v>
      </c>
      <c r="R194" s="49">
        <v>814.8</v>
      </c>
      <c r="S194" s="131">
        <v>1071</v>
      </c>
      <c r="T194" s="131">
        <v>1419</v>
      </c>
      <c r="U194" s="131">
        <v>1223</v>
      </c>
      <c r="V194" s="131">
        <v>1727</v>
      </c>
      <c r="W194" s="131">
        <v>1962</v>
      </c>
      <c r="X194" s="146">
        <v>0.63418005875237604</v>
      </c>
      <c r="Y194" s="113">
        <v>0.196944062599133</v>
      </c>
      <c r="Z194" s="113">
        <v>0.20146649586995879</v>
      </c>
      <c r="AA194" s="113">
        <v>0.16378676470588241</v>
      </c>
    </row>
    <row r="195" spans="1:27" customFormat="1" x14ac:dyDescent="0.3">
      <c r="A195" s="4">
        <v>260202</v>
      </c>
      <c r="B195" s="20" t="s">
        <v>1203</v>
      </c>
      <c r="C195" s="10" t="s">
        <v>31</v>
      </c>
      <c r="D195" s="10" t="s">
        <v>1204</v>
      </c>
      <c r="E195" s="10" t="s">
        <v>817</v>
      </c>
      <c r="F195" s="99">
        <v>15.6</v>
      </c>
      <c r="G195" s="49">
        <v>841.3</v>
      </c>
      <c r="H195" s="49">
        <v>1078</v>
      </c>
      <c r="I195" s="49">
        <v>674.8</v>
      </c>
      <c r="J195" s="49">
        <v>1108</v>
      </c>
      <c r="K195" s="131">
        <v>1320</v>
      </c>
      <c r="L195" s="131">
        <v>1743</v>
      </c>
      <c r="M195" s="49">
        <v>1028</v>
      </c>
      <c r="N195" s="131">
        <v>1717</v>
      </c>
      <c r="O195" s="49">
        <v>1516</v>
      </c>
      <c r="P195" s="131">
        <v>2379</v>
      </c>
      <c r="Q195" s="49">
        <v>1051</v>
      </c>
      <c r="R195" s="49">
        <v>2359</v>
      </c>
      <c r="S195" s="49">
        <v>1539</v>
      </c>
      <c r="T195" s="49">
        <v>2585</v>
      </c>
      <c r="U195" s="49">
        <v>1762</v>
      </c>
      <c r="V195" s="49">
        <v>1206</v>
      </c>
      <c r="W195" s="131">
        <v>2643</v>
      </c>
      <c r="X195" s="145">
        <v>2.8111353711790299E-2</v>
      </c>
      <c r="Y195" s="100">
        <v>9.4372179453145799E-2</v>
      </c>
      <c r="Z195" s="100">
        <v>-0.13984232868405089</v>
      </c>
      <c r="AA195" s="113">
        <v>0.15566835871404389</v>
      </c>
    </row>
    <row r="196" spans="1:27" customFormat="1" x14ac:dyDescent="0.3">
      <c r="A196" s="4">
        <v>260202</v>
      </c>
      <c r="B196" s="20" t="s">
        <v>1216</v>
      </c>
      <c r="C196" s="10" t="s">
        <v>31</v>
      </c>
      <c r="D196" s="10" t="s">
        <v>1196</v>
      </c>
      <c r="E196" s="10" t="s">
        <v>817</v>
      </c>
      <c r="F196" s="99">
        <v>10</v>
      </c>
      <c r="G196" s="49">
        <v>470.3</v>
      </c>
      <c r="H196" s="49">
        <v>612.35</v>
      </c>
      <c r="I196" s="49">
        <v>696.4</v>
      </c>
      <c r="J196" s="49">
        <v>910.5</v>
      </c>
      <c r="K196" s="131">
        <v>937.8</v>
      </c>
      <c r="L196" s="131">
        <v>1112</v>
      </c>
      <c r="M196" s="131">
        <v>1235</v>
      </c>
      <c r="N196" s="131">
        <v>1351</v>
      </c>
      <c r="O196" s="49">
        <v>1323</v>
      </c>
      <c r="P196" s="49">
        <v>1437</v>
      </c>
      <c r="Q196" s="49">
        <v>1359</v>
      </c>
      <c r="R196" s="49">
        <v>1469</v>
      </c>
      <c r="S196" s="49">
        <v>1397</v>
      </c>
      <c r="T196" s="49">
        <v>1828</v>
      </c>
      <c r="U196" s="49">
        <v>1636</v>
      </c>
      <c r="V196" s="49">
        <v>1747</v>
      </c>
      <c r="W196" s="131">
        <v>2061</v>
      </c>
      <c r="X196" s="145">
        <v>6.9056870363829015E-2</v>
      </c>
      <c r="Y196" s="100">
        <v>4.5762431851974261E-2</v>
      </c>
      <c r="Z196" s="100">
        <v>4.3917851500789862E-2</v>
      </c>
      <c r="AA196" s="113">
        <v>0.1004842615012107</v>
      </c>
    </row>
    <row r="197" spans="1:27" customFormat="1" x14ac:dyDescent="0.3">
      <c r="A197" s="4">
        <v>260202</v>
      </c>
      <c r="B197" s="20" t="s">
        <v>1217</v>
      </c>
      <c r="C197" s="10" t="s">
        <v>31</v>
      </c>
      <c r="D197" s="10" t="s">
        <v>1200</v>
      </c>
      <c r="E197" s="10" t="s">
        <v>811</v>
      </c>
      <c r="F197" s="38">
        <v>9.1999999999999993</v>
      </c>
      <c r="G197" s="49">
        <v>2026</v>
      </c>
      <c r="H197" s="49">
        <v>1997</v>
      </c>
      <c r="I197" s="49">
        <v>23.6</v>
      </c>
      <c r="J197" s="49">
        <v>-524.4</v>
      </c>
      <c r="K197" s="49">
        <v>1651</v>
      </c>
      <c r="L197" s="49">
        <v>1822</v>
      </c>
      <c r="M197" s="131">
        <v>1430</v>
      </c>
      <c r="N197" s="131">
        <v>1325</v>
      </c>
      <c r="O197" s="49">
        <v>1407</v>
      </c>
      <c r="P197" s="49">
        <v>1969</v>
      </c>
      <c r="Q197" s="49">
        <v>1906</v>
      </c>
      <c r="R197" s="49">
        <v>1678</v>
      </c>
      <c r="S197" s="49">
        <v>1688</v>
      </c>
      <c r="T197" s="49">
        <v>1902</v>
      </c>
      <c r="U197" s="49">
        <v>2031</v>
      </c>
      <c r="V197" s="49">
        <v>2076</v>
      </c>
      <c r="W197" s="49">
        <v>2396</v>
      </c>
      <c r="X197" s="145">
        <v>-9.2528656262946818E-3</v>
      </c>
      <c r="Y197" s="100">
        <v>1.7424031223864041E-2</v>
      </c>
      <c r="Z197" s="100">
        <v>5.4528017536648932E-2</v>
      </c>
      <c r="AA197" s="100">
        <v>9.1983889827205401E-2</v>
      </c>
    </row>
    <row r="198" spans="1:27" customFormat="1" x14ac:dyDescent="0.3">
      <c r="A198" s="4">
        <v>260202</v>
      </c>
      <c r="B198" s="20" t="s">
        <v>1218</v>
      </c>
      <c r="C198" s="10" t="s">
        <v>31</v>
      </c>
      <c r="D198" s="10" t="s">
        <v>1198</v>
      </c>
      <c r="E198" s="10" t="s">
        <v>817</v>
      </c>
      <c r="F198" s="38">
        <v>6</v>
      </c>
      <c r="G198" s="49">
        <v>3434</v>
      </c>
      <c r="H198" s="49">
        <v>4511</v>
      </c>
      <c r="I198" s="49">
        <v>3460</v>
      </c>
      <c r="J198" s="49">
        <v>3974</v>
      </c>
      <c r="K198" s="49">
        <v>4241</v>
      </c>
      <c r="L198" s="49">
        <v>5073</v>
      </c>
      <c r="M198" s="49">
        <v>4220</v>
      </c>
      <c r="N198" s="49">
        <v>4681</v>
      </c>
      <c r="O198" s="49">
        <v>5134</v>
      </c>
      <c r="P198" s="131">
        <v>7111</v>
      </c>
      <c r="Q198" s="49">
        <v>5165</v>
      </c>
      <c r="R198" s="49">
        <v>5462</v>
      </c>
      <c r="S198" s="49">
        <v>5837</v>
      </c>
      <c r="T198" s="49">
        <v>6834</v>
      </c>
      <c r="U198" s="49">
        <v>5712</v>
      </c>
      <c r="V198" s="49">
        <v>6351</v>
      </c>
      <c r="W198" s="49">
        <v>7331</v>
      </c>
      <c r="X198" s="145">
        <v>-1.174973488865327E-2</v>
      </c>
      <c r="Y198" s="100">
        <v>2.3478410163962678E-2</v>
      </c>
      <c r="Z198" s="100">
        <v>3.7282449150765277E-2</v>
      </c>
      <c r="AA198" s="100">
        <v>6.0402684563758413E-2</v>
      </c>
    </row>
    <row r="199" spans="1:27" customFormat="1" x14ac:dyDescent="0.3">
      <c r="A199" s="4">
        <v>260202</v>
      </c>
      <c r="B199" s="20" t="s">
        <v>1219</v>
      </c>
      <c r="C199" s="10" t="s">
        <v>31</v>
      </c>
      <c r="D199" s="10" t="s">
        <v>1208</v>
      </c>
      <c r="E199" s="10" t="s">
        <v>811</v>
      </c>
      <c r="F199" s="38">
        <v>5.9</v>
      </c>
      <c r="G199" s="49">
        <v>15372</v>
      </c>
      <c r="H199" s="49">
        <v>-837.5</v>
      </c>
      <c r="I199" s="49">
        <v>35245</v>
      </c>
      <c r="J199" s="49">
        <v>5345</v>
      </c>
      <c r="K199" s="131">
        <v>21655</v>
      </c>
      <c r="L199" s="131">
        <v>9858</v>
      </c>
      <c r="M199" s="49">
        <v>34945</v>
      </c>
      <c r="N199" s="49">
        <v>9662</v>
      </c>
      <c r="O199" s="49">
        <v>14646</v>
      </c>
      <c r="P199" s="49">
        <v>13479</v>
      </c>
      <c r="Q199" s="49">
        <v>40865</v>
      </c>
      <c r="R199" s="49">
        <v>14731</v>
      </c>
      <c r="S199" s="131">
        <v>23802</v>
      </c>
      <c r="T199" s="49">
        <v>19289</v>
      </c>
      <c r="U199" s="49">
        <v>31921</v>
      </c>
      <c r="V199" s="131">
        <v>27485</v>
      </c>
      <c r="W199" s="49">
        <v>29807</v>
      </c>
      <c r="X199" s="145">
        <v>6.2555853440571907E-2</v>
      </c>
      <c r="Y199" s="100">
        <v>-9.0629971526138164E-2</v>
      </c>
      <c r="Z199" s="113">
        <v>0.14211693391128</v>
      </c>
      <c r="AA199" s="100">
        <v>5.8587080597480863E-2</v>
      </c>
    </row>
    <row r="200" spans="1:27" customFormat="1" x14ac:dyDescent="0.3">
      <c r="A200" s="4">
        <v>260202</v>
      </c>
      <c r="B200" s="20" t="s">
        <v>1220</v>
      </c>
      <c r="C200" s="10" t="s">
        <v>31</v>
      </c>
      <c r="D200" s="10" t="s">
        <v>1210</v>
      </c>
      <c r="E200" s="10" t="s">
        <v>811</v>
      </c>
      <c r="F200" s="38">
        <v>-3.6</v>
      </c>
      <c r="G200" s="49">
        <v>632.89</v>
      </c>
      <c r="H200" s="49">
        <v>697.27</v>
      </c>
      <c r="I200" s="49">
        <v>1503</v>
      </c>
      <c r="J200" s="49">
        <v>2035</v>
      </c>
      <c r="K200" s="131">
        <v>2424</v>
      </c>
      <c r="L200" s="131">
        <v>1478</v>
      </c>
      <c r="M200" s="49">
        <v>1894</v>
      </c>
      <c r="N200" s="49">
        <v>1295</v>
      </c>
      <c r="O200" s="49">
        <v>1167</v>
      </c>
      <c r="P200" s="49">
        <v>1035</v>
      </c>
      <c r="Q200" s="49">
        <v>1282</v>
      </c>
      <c r="R200" s="49">
        <v>1280</v>
      </c>
      <c r="S200" s="49">
        <v>1382</v>
      </c>
      <c r="T200" s="49">
        <v>859.88</v>
      </c>
      <c r="U200" s="49">
        <v>1084</v>
      </c>
      <c r="V200" s="49">
        <v>1118</v>
      </c>
      <c r="W200" s="49">
        <v>1223</v>
      </c>
      <c r="X200" s="145">
        <v>-3.5171721229162463E-2</v>
      </c>
      <c r="Y200" s="100">
        <v>-4.1216683181095282E-2</v>
      </c>
      <c r="Z200" s="100">
        <v>-3.5172431761140148E-2</v>
      </c>
      <c r="AA200" s="100">
        <v>-3.577954400208827E-2</v>
      </c>
    </row>
    <row r="201" spans="1:27" customFormat="1" x14ac:dyDescent="0.3">
      <c r="A201" s="4">
        <v>260202</v>
      </c>
      <c r="B201" s="20" t="s">
        <v>1221</v>
      </c>
      <c r="C201" s="10" t="s">
        <v>31</v>
      </c>
      <c r="D201" s="10" t="s">
        <v>1206</v>
      </c>
      <c r="E201" s="10" t="s">
        <v>811</v>
      </c>
      <c r="F201" s="38">
        <v>-5.8</v>
      </c>
      <c r="G201" s="49">
        <v>-1829</v>
      </c>
      <c r="H201" s="49">
        <v>-534.73</v>
      </c>
      <c r="I201" s="49">
        <v>1197</v>
      </c>
      <c r="J201" s="49">
        <v>1140</v>
      </c>
      <c r="K201" s="49">
        <v>338.99</v>
      </c>
      <c r="L201" s="131">
        <v>1309</v>
      </c>
      <c r="M201" s="131">
        <v>2441</v>
      </c>
      <c r="N201" s="49">
        <v>1193</v>
      </c>
      <c r="O201" s="49">
        <v>830.83</v>
      </c>
      <c r="P201" s="49">
        <v>649.59</v>
      </c>
      <c r="Q201" s="49">
        <v>84.87</v>
      </c>
      <c r="R201" s="49">
        <v>410.9</v>
      </c>
      <c r="S201" s="49">
        <v>612.25</v>
      </c>
      <c r="T201" s="49">
        <v>-737.81</v>
      </c>
      <c r="U201" s="131">
        <v>2252</v>
      </c>
      <c r="V201" s="49">
        <v>27.52</v>
      </c>
      <c r="W201" s="49">
        <v>487.32</v>
      </c>
      <c r="X201" s="145">
        <v>-0.78936737956657055</v>
      </c>
      <c r="Y201" s="113">
        <v>5.8537856892034252</v>
      </c>
      <c r="Z201" s="100">
        <v>-0.1510952414733541</v>
      </c>
      <c r="AA201" s="100">
        <v>-5.8000148563575937E-2</v>
      </c>
    </row>
    <row r="202" spans="1:27" customFormat="1" x14ac:dyDescent="0.3">
      <c r="A202" s="4">
        <v>260202</v>
      </c>
      <c r="B202" s="20" t="s">
        <v>1222</v>
      </c>
      <c r="C202" s="10" t="s">
        <v>31</v>
      </c>
      <c r="D202" s="10" t="s">
        <v>1212</v>
      </c>
      <c r="E202" s="10" t="s">
        <v>811</v>
      </c>
      <c r="F202" s="38">
        <v>-9.6999999999999993</v>
      </c>
      <c r="G202" s="49">
        <v>448.47</v>
      </c>
      <c r="H202" s="49">
        <v>559.91999999999996</v>
      </c>
      <c r="I202" s="49">
        <v>1134</v>
      </c>
      <c r="J202" s="49">
        <v>206.46</v>
      </c>
      <c r="K202" s="49">
        <v>453.13</v>
      </c>
      <c r="L202" s="49">
        <v>520.96</v>
      </c>
      <c r="M202" s="49">
        <v>997.96</v>
      </c>
      <c r="N202" s="49">
        <v>273.51</v>
      </c>
      <c r="O202" s="49">
        <v>218.63</v>
      </c>
      <c r="P202" s="49">
        <v>214.42</v>
      </c>
      <c r="Q202" s="49">
        <v>773.29</v>
      </c>
      <c r="R202" s="49">
        <v>80.319999999999993</v>
      </c>
      <c r="S202" s="49">
        <v>332.72</v>
      </c>
      <c r="T202" s="131">
        <v>362.71</v>
      </c>
      <c r="U202" s="49">
        <v>911.78</v>
      </c>
      <c r="V202" s="49">
        <v>180.53</v>
      </c>
      <c r="W202" s="49">
        <v>159.85</v>
      </c>
      <c r="X202" s="146">
        <v>0.1058647153310726</v>
      </c>
      <c r="Y202" s="100">
        <v>8.9403759747972877E-2</v>
      </c>
      <c r="Z202" s="100">
        <v>5.9382648012183507E-2</v>
      </c>
      <c r="AA202" s="100">
        <v>-9.6697506348798035E-2</v>
      </c>
    </row>
    <row r="203" spans="1:27" customFormat="1" x14ac:dyDescent="0.3">
      <c r="A203" s="4">
        <v>260202</v>
      </c>
      <c r="B203" s="20" t="s">
        <v>1223</v>
      </c>
      <c r="C203" s="10" t="s">
        <v>31</v>
      </c>
      <c r="D203" s="10" t="s">
        <v>1202</v>
      </c>
      <c r="E203" s="10" t="s">
        <v>817</v>
      </c>
      <c r="F203" s="38">
        <v>-19.5</v>
      </c>
      <c r="G203" s="49">
        <v>23797</v>
      </c>
      <c r="H203" s="49">
        <v>27643</v>
      </c>
      <c r="I203" s="49">
        <v>9829</v>
      </c>
      <c r="J203" s="49">
        <v>15057</v>
      </c>
      <c r="K203" s="49">
        <v>-1719</v>
      </c>
      <c r="L203" s="49">
        <v>23839</v>
      </c>
      <c r="M203" s="131">
        <v>21397</v>
      </c>
      <c r="N203" s="49">
        <v>19303</v>
      </c>
      <c r="O203" s="131">
        <v>20259</v>
      </c>
      <c r="P203" s="49">
        <v>28283</v>
      </c>
      <c r="Q203" s="49">
        <v>29848</v>
      </c>
      <c r="R203" s="131">
        <v>33270</v>
      </c>
      <c r="S203" s="131">
        <v>54286</v>
      </c>
      <c r="T203" s="49">
        <v>29899</v>
      </c>
      <c r="U203" s="49">
        <v>26858</v>
      </c>
      <c r="V203" s="49">
        <v>28119</v>
      </c>
      <c r="W203" s="49">
        <v>27106</v>
      </c>
      <c r="X203" s="145">
        <v>1.1092273160954619E-2</v>
      </c>
      <c r="Y203" s="100">
        <v>-2.0298296708145761E-2</v>
      </c>
      <c r="Z203" s="100">
        <v>-3.5693250088349671E-2</v>
      </c>
      <c r="AA203" s="100">
        <v>-0.19531193860392931</v>
      </c>
    </row>
    <row r="204" spans="1:27" customFormat="1" x14ac:dyDescent="0.3">
      <c r="A204" s="151">
        <v>260202</v>
      </c>
      <c r="B204" s="83">
        <v>1060</v>
      </c>
      <c r="C204" s="84" t="s">
        <v>1213</v>
      </c>
      <c r="D204" s="84" t="s">
        <v>1214</v>
      </c>
      <c r="E204" s="152" t="s">
        <v>975</v>
      </c>
      <c r="F204" s="121">
        <v>7.6</v>
      </c>
      <c r="G204" s="133"/>
      <c r="H204" s="133"/>
      <c r="I204" s="133"/>
      <c r="J204" s="133"/>
      <c r="K204" s="133"/>
      <c r="L204" s="133"/>
      <c r="M204" s="133"/>
      <c r="N204" s="133">
        <v>428.02</v>
      </c>
      <c r="O204" s="133">
        <v>-192.25</v>
      </c>
      <c r="P204" s="133">
        <v>209.71</v>
      </c>
      <c r="Q204" s="133">
        <v>4.6399999999999997</v>
      </c>
      <c r="R204" s="133">
        <v>0</v>
      </c>
      <c r="S204" s="134">
        <v>333.66</v>
      </c>
      <c r="T204" s="133">
        <v>0</v>
      </c>
      <c r="U204" s="134">
        <v>538.04999999999995</v>
      </c>
      <c r="V204" s="134">
        <v>261.56</v>
      </c>
      <c r="W204" s="133">
        <v>419.31</v>
      </c>
      <c r="X204" s="147">
        <v>-0.38267549862228789</v>
      </c>
      <c r="Y204" s="120">
        <v>1.5767366242979599</v>
      </c>
      <c r="Z204" s="120">
        <v>0.30005391701368578</v>
      </c>
      <c r="AA204" s="119">
        <v>7.5577752874425475E-2</v>
      </c>
    </row>
    <row r="205" spans="1:27" customFormat="1" x14ac:dyDescent="0.3">
      <c r="A205" s="101">
        <v>260202</v>
      </c>
      <c r="B205" s="109">
        <v>1140</v>
      </c>
      <c r="C205" s="102" t="s">
        <v>1213</v>
      </c>
      <c r="D205" s="102" t="s">
        <v>1215</v>
      </c>
      <c r="E205" s="102" t="s">
        <v>975</v>
      </c>
      <c r="F205" s="104">
        <v>-2</v>
      </c>
      <c r="G205" s="106"/>
      <c r="H205" s="106"/>
      <c r="I205" s="106"/>
      <c r="J205" s="106"/>
      <c r="K205" s="106"/>
      <c r="L205" s="106"/>
      <c r="M205" s="106"/>
      <c r="N205" s="106">
        <v>94.16</v>
      </c>
      <c r="O205" s="106">
        <v>55.58</v>
      </c>
      <c r="P205" s="106">
        <v>32.74</v>
      </c>
      <c r="Q205" s="106">
        <v>50.31</v>
      </c>
      <c r="R205" s="106">
        <v>78.010000000000005</v>
      </c>
      <c r="S205" s="153">
        <v>114.57</v>
      </c>
      <c r="T205" s="153">
        <v>129.93</v>
      </c>
      <c r="U205" s="153">
        <v>111.4</v>
      </c>
      <c r="V205" s="153">
        <v>123.49</v>
      </c>
      <c r="W205" s="106">
        <v>105.03</v>
      </c>
      <c r="X205" s="154">
        <v>0.35261038348510693</v>
      </c>
      <c r="Y205" s="155">
        <v>0.16385923501958069</v>
      </c>
      <c r="Z205" s="155">
        <v>0.10481436242538771</v>
      </c>
      <c r="AA205" s="108">
        <v>-1.9900289951813699E-2</v>
      </c>
    </row>
    <row r="206" spans="1:27" ht="15" x14ac:dyDescent="0.25">
      <c r="A206" s="4">
        <v>260130</v>
      </c>
      <c r="B206" s="20" t="s">
        <v>805</v>
      </c>
      <c r="C206" s="10" t="s">
        <v>23</v>
      </c>
      <c r="D206" s="10" t="s">
        <v>29</v>
      </c>
      <c r="E206" s="10" t="s">
        <v>806</v>
      </c>
      <c r="F206" s="99">
        <v>102.8</v>
      </c>
      <c r="G206" s="49">
        <v>24.9</v>
      </c>
      <c r="H206" s="49">
        <v>30.28</v>
      </c>
      <c r="I206" s="49">
        <v>27.23</v>
      </c>
      <c r="J206" s="49">
        <v>28.15</v>
      </c>
      <c r="K206" s="49">
        <v>24.06</v>
      </c>
      <c r="L206" s="49">
        <v>25.31</v>
      </c>
      <c r="M206" s="49">
        <v>10.29</v>
      </c>
      <c r="N206" s="49">
        <v>-41.63</v>
      </c>
      <c r="O206" s="49">
        <v>18.149999999999999</v>
      </c>
      <c r="P206" s="49">
        <v>22.1</v>
      </c>
      <c r="Q206" s="131">
        <v>20.62</v>
      </c>
      <c r="R206" s="131">
        <v>24.53</v>
      </c>
      <c r="S206" s="49">
        <v>25.73</v>
      </c>
      <c r="T206" s="49">
        <v>25.8</v>
      </c>
      <c r="U206" s="49">
        <v>28.24</v>
      </c>
      <c r="V206" s="49">
        <v>31.11</v>
      </c>
      <c r="W206" s="132">
        <v>139.71</v>
      </c>
      <c r="X206" s="100">
        <v>3.9793503979350442E-2</v>
      </c>
      <c r="Y206" s="100">
        <v>7.8816714935870724E-2</v>
      </c>
      <c r="Z206" s="100">
        <v>6.3087248322147627E-2</v>
      </c>
      <c r="AA206" s="113">
        <v>1.027958152958153</v>
      </c>
    </row>
    <row r="207" spans="1:27" ht="15" x14ac:dyDescent="0.25">
      <c r="A207" s="4">
        <v>260130</v>
      </c>
      <c r="B207" s="20" t="s">
        <v>809</v>
      </c>
      <c r="C207" s="10" t="s">
        <v>23</v>
      </c>
      <c r="D207" s="10" t="s">
        <v>810</v>
      </c>
      <c r="E207" s="10" t="s">
        <v>811</v>
      </c>
      <c r="F207" s="99">
        <v>55.3</v>
      </c>
      <c r="G207" s="49">
        <v>15.65</v>
      </c>
      <c r="H207" s="49">
        <v>22.55</v>
      </c>
      <c r="I207" s="49">
        <v>33.69</v>
      </c>
      <c r="J207" s="49">
        <v>28.95</v>
      </c>
      <c r="K207" s="131">
        <v>28.14</v>
      </c>
      <c r="L207" s="131">
        <v>57.49</v>
      </c>
      <c r="M207" s="131">
        <v>83.78</v>
      </c>
      <c r="N207" s="131">
        <v>55.62</v>
      </c>
      <c r="O207" s="131">
        <v>80.489999999999995</v>
      </c>
      <c r="P207" s="131">
        <v>110.34</v>
      </c>
      <c r="Q207" s="49">
        <v>82.38</v>
      </c>
      <c r="R207" s="49">
        <v>55.47</v>
      </c>
      <c r="S207" s="49">
        <v>19.100000000000001</v>
      </c>
      <c r="T207" s="49">
        <v>23.38</v>
      </c>
      <c r="U207" s="49">
        <v>14.69</v>
      </c>
      <c r="V207" s="49">
        <v>15.59</v>
      </c>
      <c r="W207" s="132">
        <v>59.34</v>
      </c>
      <c r="X207" s="100">
        <v>-0.32533951887463058</v>
      </c>
      <c r="Y207" s="100">
        <v>-0.37536738202184883</v>
      </c>
      <c r="Z207" s="100">
        <v>-0.35404829545454541</v>
      </c>
      <c r="AA207" s="113">
        <v>0.55305112699285308</v>
      </c>
    </row>
    <row r="208" spans="1:27" ht="15" x14ac:dyDescent="0.25">
      <c r="A208" s="4">
        <v>260130</v>
      </c>
      <c r="B208" s="20" t="s">
        <v>807</v>
      </c>
      <c r="C208" s="10" t="s">
        <v>23</v>
      </c>
      <c r="D208" s="10" t="s">
        <v>95</v>
      </c>
      <c r="E208" s="10" t="s">
        <v>806</v>
      </c>
      <c r="F208" s="99">
        <v>42.7</v>
      </c>
      <c r="G208" s="49">
        <v>235.1</v>
      </c>
      <c r="H208" s="49">
        <v>157.4</v>
      </c>
      <c r="I208" s="49">
        <v>143.9</v>
      </c>
      <c r="J208" s="49">
        <v>120.7</v>
      </c>
      <c r="K208" s="49">
        <v>103.6</v>
      </c>
      <c r="L208" s="49">
        <v>100.4</v>
      </c>
      <c r="M208" s="49">
        <v>117.9</v>
      </c>
      <c r="N208" s="49">
        <v>121.7</v>
      </c>
      <c r="O208" s="49">
        <v>143.69999999999999</v>
      </c>
      <c r="P208" s="49">
        <v>119.2</v>
      </c>
      <c r="Q208" s="49">
        <v>164.3</v>
      </c>
      <c r="R208" s="49">
        <v>164.7</v>
      </c>
      <c r="S208" s="49">
        <v>192.8</v>
      </c>
      <c r="T208" s="49">
        <v>153.6</v>
      </c>
      <c r="U208" s="49">
        <v>163.80000000000001</v>
      </c>
      <c r="V208" s="49">
        <v>180.1</v>
      </c>
      <c r="W208" s="132">
        <v>487.4</v>
      </c>
      <c r="X208" s="100">
        <v>5.3666146645865893E-2</v>
      </c>
      <c r="Y208" s="100">
        <v>-7.4030204323360937E-4</v>
      </c>
      <c r="Z208" s="100">
        <v>2.2818195288190731E-2</v>
      </c>
      <c r="AA208" s="113">
        <v>0.4267709691438506</v>
      </c>
    </row>
    <row r="209" spans="1:27" ht="15" x14ac:dyDescent="0.25">
      <c r="A209" s="4">
        <v>260130</v>
      </c>
      <c r="B209" s="20" t="s">
        <v>808</v>
      </c>
      <c r="C209" s="10" t="s">
        <v>23</v>
      </c>
      <c r="D209" s="10" t="s">
        <v>29</v>
      </c>
      <c r="E209" s="10" t="s">
        <v>806</v>
      </c>
      <c r="F209" s="99">
        <v>37.299999999999997</v>
      </c>
      <c r="G209" s="49"/>
      <c r="H209" s="49"/>
      <c r="I209" s="49"/>
      <c r="J209" s="49"/>
      <c r="K209" s="49"/>
      <c r="L209" s="49"/>
      <c r="M209" s="49"/>
      <c r="N209" s="49"/>
      <c r="O209" s="49"/>
      <c r="P209" s="49">
        <v>-157.4</v>
      </c>
      <c r="Q209" s="49">
        <v>70.42</v>
      </c>
      <c r="R209" s="49">
        <v>55.48</v>
      </c>
      <c r="S209" s="49">
        <v>67.19</v>
      </c>
      <c r="T209" s="131">
        <v>61.46</v>
      </c>
      <c r="U209" s="49">
        <v>59.04</v>
      </c>
      <c r="V209" s="49">
        <v>45.1</v>
      </c>
      <c r="W209" s="132">
        <v>153.94999999999999</v>
      </c>
      <c r="X209" s="113">
        <v>6.1322499299523701</v>
      </c>
      <c r="Y209" s="100">
        <v>-4.4706344529562007E-2</v>
      </c>
      <c r="Z209" s="100">
        <v>-4.2686186618415063E-2</v>
      </c>
      <c r="AA209" s="113">
        <v>0.37269642166759742</v>
      </c>
    </row>
    <row r="210" spans="1:27" ht="15" x14ac:dyDescent="0.25">
      <c r="A210" s="4">
        <v>260130</v>
      </c>
      <c r="B210" s="20" t="s">
        <v>812</v>
      </c>
      <c r="C210" s="10" t="s">
        <v>23</v>
      </c>
      <c r="D210" s="10" t="s">
        <v>99</v>
      </c>
      <c r="E210" s="10" t="s">
        <v>806</v>
      </c>
      <c r="F210" s="99">
        <v>31.3</v>
      </c>
      <c r="G210" s="49">
        <v>-107.35</v>
      </c>
      <c r="H210" s="49">
        <v>-93.07</v>
      </c>
      <c r="I210" s="49">
        <v>-94.91</v>
      </c>
      <c r="J210" s="49">
        <v>-74.349999999999994</v>
      </c>
      <c r="K210" s="49">
        <v>-37.08</v>
      </c>
      <c r="L210" s="49">
        <v>-36.06</v>
      </c>
      <c r="M210" s="49">
        <v>-49.15</v>
      </c>
      <c r="N210" s="49">
        <v>-19.75</v>
      </c>
      <c r="O210" s="49">
        <v>51.3</v>
      </c>
      <c r="P210" s="49">
        <v>94.23</v>
      </c>
      <c r="Q210" s="131">
        <v>15.34</v>
      </c>
      <c r="R210" s="131">
        <v>63.86</v>
      </c>
      <c r="S210" s="49">
        <v>59.92</v>
      </c>
      <c r="T210" s="49">
        <v>79.78</v>
      </c>
      <c r="U210" s="131">
        <v>112.19</v>
      </c>
      <c r="V210" s="131">
        <v>148.55000000000001</v>
      </c>
      <c r="W210" s="132">
        <v>185.33</v>
      </c>
      <c r="X210" s="100">
        <v>-6.1924148275123159E-2</v>
      </c>
      <c r="Y210" s="113">
        <v>0.44243947007766099</v>
      </c>
      <c r="Z210" s="113">
        <v>0.26821852731591461</v>
      </c>
      <c r="AA210" s="113">
        <v>0.31318050144840681</v>
      </c>
    </row>
    <row r="211" spans="1:27" ht="15" x14ac:dyDescent="0.25">
      <c r="A211" s="4">
        <v>260130</v>
      </c>
      <c r="B211" s="20" t="s">
        <v>814</v>
      </c>
      <c r="C211" s="10" t="s">
        <v>23</v>
      </c>
      <c r="D211" s="10" t="s">
        <v>177</v>
      </c>
      <c r="E211" s="10" t="s">
        <v>806</v>
      </c>
      <c r="F211" s="99">
        <v>29.3</v>
      </c>
      <c r="G211" s="49">
        <v>141.12</v>
      </c>
      <c r="H211" s="49">
        <v>35.229999999999997</v>
      </c>
      <c r="I211" s="49">
        <v>13.94</v>
      </c>
      <c r="J211" s="49">
        <v>64.3</v>
      </c>
      <c r="K211" s="49">
        <v>75.63</v>
      </c>
      <c r="L211" s="131">
        <v>57.64</v>
      </c>
      <c r="M211" s="131">
        <v>56.36</v>
      </c>
      <c r="N211" s="49">
        <v>51.32</v>
      </c>
      <c r="O211" s="49">
        <v>66.17</v>
      </c>
      <c r="P211" s="49">
        <v>64.61</v>
      </c>
      <c r="Q211" s="49">
        <v>40.93</v>
      </c>
      <c r="R211" s="49">
        <v>63.35</v>
      </c>
      <c r="S211" s="49">
        <v>66.09</v>
      </c>
      <c r="T211" s="49">
        <v>69.400000000000006</v>
      </c>
      <c r="U211" s="49">
        <v>62.75</v>
      </c>
      <c r="V211" s="49">
        <v>62.96</v>
      </c>
      <c r="W211" s="132">
        <v>142.59</v>
      </c>
      <c r="X211" s="100">
        <v>2.0384713592646039E-2</v>
      </c>
      <c r="Y211" s="100">
        <v>9.1003878717103914E-2</v>
      </c>
      <c r="Z211" s="100">
        <v>-1.4908826790016589E-3</v>
      </c>
      <c r="AA211" s="113">
        <v>0.29287901990811638</v>
      </c>
    </row>
    <row r="212" spans="1:27" ht="15" x14ac:dyDescent="0.25">
      <c r="A212" s="4">
        <v>260130</v>
      </c>
      <c r="B212" s="20" t="s">
        <v>813</v>
      </c>
      <c r="C212" s="10" t="s">
        <v>23</v>
      </c>
      <c r="D212" s="10" t="s">
        <v>95</v>
      </c>
      <c r="E212" s="10" t="s">
        <v>806</v>
      </c>
      <c r="F212" s="99">
        <v>16.3</v>
      </c>
      <c r="G212" s="49">
        <v>22.56</v>
      </c>
      <c r="H212" s="49">
        <v>17.690000000000001</v>
      </c>
      <c r="I212" s="49">
        <v>15.8</v>
      </c>
      <c r="J212" s="49">
        <v>14.87</v>
      </c>
      <c r="K212" s="49">
        <v>11.72</v>
      </c>
      <c r="L212" s="49">
        <v>16.57</v>
      </c>
      <c r="M212" s="49">
        <v>18.18</v>
      </c>
      <c r="N212" s="131">
        <v>26.71</v>
      </c>
      <c r="O212" s="131">
        <v>26.04</v>
      </c>
      <c r="P212" s="131">
        <v>27.95</v>
      </c>
      <c r="Q212" s="131">
        <v>33.51</v>
      </c>
      <c r="R212" s="131">
        <v>40.79</v>
      </c>
      <c r="S212" s="49">
        <v>35.04</v>
      </c>
      <c r="T212" s="49">
        <v>34.159999999999997</v>
      </c>
      <c r="U212" s="49">
        <v>36.6</v>
      </c>
      <c r="V212" s="49">
        <v>48.06</v>
      </c>
      <c r="W212" s="132">
        <v>60.06</v>
      </c>
      <c r="X212" s="100">
        <v>4.523271906184001E-2</v>
      </c>
      <c r="Y212" s="100">
        <v>2.1533101045296151E-2</v>
      </c>
      <c r="Z212" s="100">
        <v>4.9594106009959837E-2</v>
      </c>
      <c r="AA212" s="113">
        <v>0.1626153646171844</v>
      </c>
    </row>
    <row r="213" spans="1:27" ht="15" x14ac:dyDescent="0.25">
      <c r="A213" s="4">
        <v>260130</v>
      </c>
      <c r="B213" s="20" t="s">
        <v>825</v>
      </c>
      <c r="C213" s="10" t="s">
        <v>23</v>
      </c>
      <c r="D213" s="10" t="s">
        <v>106</v>
      </c>
      <c r="E213" s="10" t="s">
        <v>806</v>
      </c>
      <c r="F213" s="99">
        <v>13.6</v>
      </c>
      <c r="G213" s="49">
        <v>1.98</v>
      </c>
      <c r="H213" s="49">
        <v>0.77</v>
      </c>
      <c r="I213" s="49">
        <v>1.85</v>
      </c>
      <c r="J213" s="49">
        <v>2.08</v>
      </c>
      <c r="K213" s="49">
        <v>2.23</v>
      </c>
      <c r="L213" s="49">
        <v>1.2</v>
      </c>
      <c r="M213" s="131">
        <v>2.71</v>
      </c>
      <c r="N213" s="49">
        <v>2.7</v>
      </c>
      <c r="O213" s="49">
        <v>0.42</v>
      </c>
      <c r="P213" s="49">
        <v>0.79</v>
      </c>
      <c r="Q213" s="49">
        <v>2.69</v>
      </c>
      <c r="R213" s="49">
        <v>2.29</v>
      </c>
      <c r="S213" s="49">
        <v>0.63</v>
      </c>
      <c r="T213" s="49">
        <v>0.86</v>
      </c>
      <c r="U213" s="131">
        <v>3.64</v>
      </c>
      <c r="V213" s="49">
        <v>2.97</v>
      </c>
      <c r="W213" s="132">
        <v>1.73</v>
      </c>
      <c r="X213" s="100">
        <v>1.0937499999999821E-2</v>
      </c>
      <c r="Y213" s="113">
        <v>0.14683153013910369</v>
      </c>
      <c r="Z213" s="100">
        <v>9.1644204851752065E-2</v>
      </c>
      <c r="AA213" s="113">
        <v>0.1358024691358026</v>
      </c>
    </row>
    <row r="214" spans="1:27" ht="15" x14ac:dyDescent="0.25">
      <c r="A214" s="4">
        <v>260130</v>
      </c>
      <c r="B214" s="20" t="s">
        <v>829</v>
      </c>
      <c r="C214" s="10" t="s">
        <v>23</v>
      </c>
      <c r="D214" s="10" t="s">
        <v>830</v>
      </c>
      <c r="E214" s="10" t="s">
        <v>806</v>
      </c>
      <c r="F214" s="99">
        <v>11.5</v>
      </c>
      <c r="G214" s="49">
        <v>264</v>
      </c>
      <c r="H214" s="49">
        <v>354</v>
      </c>
      <c r="I214" s="49">
        <v>378</v>
      </c>
      <c r="J214" s="49">
        <v>287</v>
      </c>
      <c r="K214" s="49">
        <v>330</v>
      </c>
      <c r="L214" s="49">
        <v>433</v>
      </c>
      <c r="M214" s="49">
        <v>273</v>
      </c>
      <c r="N214" s="49">
        <v>295</v>
      </c>
      <c r="O214" s="49">
        <v>70</v>
      </c>
      <c r="P214" s="49">
        <v>299</v>
      </c>
      <c r="Q214" s="49">
        <v>212</v>
      </c>
      <c r="R214" s="49">
        <v>293</v>
      </c>
      <c r="S214" s="49">
        <v>107</v>
      </c>
      <c r="T214" s="49">
        <v>232</v>
      </c>
      <c r="U214" s="49">
        <v>231</v>
      </c>
      <c r="V214" s="49">
        <v>222</v>
      </c>
      <c r="W214" s="132">
        <v>198</v>
      </c>
      <c r="X214" s="100">
        <v>-7.3545554335894603E-2</v>
      </c>
      <c r="Y214" s="100">
        <v>2.2511848341232321E-2</v>
      </c>
      <c r="Z214" s="100">
        <v>-8.2271147161066094E-2</v>
      </c>
      <c r="AA214" s="113">
        <v>0.11489898989898981</v>
      </c>
    </row>
    <row r="215" spans="1:27" ht="15" x14ac:dyDescent="0.25">
      <c r="A215" s="4">
        <v>260130</v>
      </c>
      <c r="B215" s="20" t="s">
        <v>822</v>
      </c>
      <c r="C215" s="10" t="s">
        <v>23</v>
      </c>
      <c r="D215" s="10" t="s">
        <v>29</v>
      </c>
      <c r="E215" s="10" t="s">
        <v>806</v>
      </c>
      <c r="F215" s="38">
        <v>8.6999999999999993</v>
      </c>
      <c r="G215" s="49">
        <v>70.150000000000006</v>
      </c>
      <c r="H215" s="49">
        <v>76.959999999999994</v>
      </c>
      <c r="I215" s="49">
        <v>79.11</v>
      </c>
      <c r="J215" s="49">
        <v>92.08</v>
      </c>
      <c r="K215" s="131">
        <v>103.07</v>
      </c>
      <c r="L215" s="49">
        <v>88.9</v>
      </c>
      <c r="M215" s="49">
        <v>81.41</v>
      </c>
      <c r="N215" s="49">
        <v>76.36</v>
      </c>
      <c r="O215" s="49">
        <v>62.5</v>
      </c>
      <c r="P215" s="49">
        <v>70.69</v>
      </c>
      <c r="Q215" s="49">
        <v>80.73</v>
      </c>
      <c r="R215" s="49">
        <v>76.45</v>
      </c>
      <c r="S215" s="49">
        <v>64.739999999999995</v>
      </c>
      <c r="T215" s="49">
        <v>76.94</v>
      </c>
      <c r="U215" s="49">
        <v>88.1</v>
      </c>
      <c r="V215" s="49">
        <v>96.15</v>
      </c>
      <c r="W215" s="52">
        <v>93.05</v>
      </c>
      <c r="X215" s="100">
        <v>2.1359488739277621E-2</v>
      </c>
      <c r="Y215" s="100">
        <v>2.4660376095830831E-2</v>
      </c>
      <c r="Z215" s="100">
        <v>6.4330731802893171E-2</v>
      </c>
      <c r="AA215" s="100">
        <v>8.6859141533458084E-2</v>
      </c>
    </row>
    <row r="216" spans="1:27" ht="15" x14ac:dyDescent="0.25">
      <c r="A216" s="4">
        <v>260130</v>
      </c>
      <c r="B216" s="20" t="s">
        <v>816</v>
      </c>
      <c r="C216" s="10" t="s">
        <v>23</v>
      </c>
      <c r="D216" s="10" t="s">
        <v>24</v>
      </c>
      <c r="E216" s="10" t="s">
        <v>817</v>
      </c>
      <c r="F216" s="38">
        <v>6.1</v>
      </c>
      <c r="G216" s="49"/>
      <c r="H216" s="49"/>
      <c r="I216" s="49"/>
      <c r="J216" s="49"/>
      <c r="K216" s="49"/>
      <c r="L216" s="49"/>
      <c r="M216" s="49"/>
      <c r="N216" s="49"/>
      <c r="O216" s="49"/>
      <c r="P216" s="49">
        <v>-65.16</v>
      </c>
      <c r="Q216" s="49">
        <v>-68.19</v>
      </c>
      <c r="R216" s="49">
        <v>-65.83</v>
      </c>
      <c r="S216" s="49">
        <v>-24.5</v>
      </c>
      <c r="T216" s="49">
        <v>-30.21</v>
      </c>
      <c r="U216" s="131">
        <v>-184.97</v>
      </c>
      <c r="V216" s="49">
        <v>-39.19</v>
      </c>
      <c r="W216" s="52">
        <v>-41.62</v>
      </c>
      <c r="X216" s="100">
        <v>-0.15625000000000011</v>
      </c>
      <c r="Y216" s="113">
        <v>0.61876755152863883</v>
      </c>
      <c r="Z216" s="100">
        <v>-8.7198455042388101E-2</v>
      </c>
      <c r="AA216" s="100">
        <v>6.1390612113171088E-2</v>
      </c>
    </row>
    <row r="217" spans="1:27" ht="15" x14ac:dyDescent="0.25">
      <c r="A217" s="4">
        <v>260130</v>
      </c>
      <c r="B217" s="20" t="s">
        <v>820</v>
      </c>
      <c r="C217" s="10" t="s">
        <v>23</v>
      </c>
      <c r="D217" s="10" t="s">
        <v>172</v>
      </c>
      <c r="E217" s="10" t="s">
        <v>821</v>
      </c>
      <c r="F217" s="38">
        <v>6</v>
      </c>
      <c r="G217" s="49">
        <v>20.329999999999998</v>
      </c>
      <c r="H217" s="49">
        <v>-4.92</v>
      </c>
      <c r="I217" s="49">
        <v>15.71</v>
      </c>
      <c r="J217" s="49">
        <v>25.1</v>
      </c>
      <c r="K217" s="131">
        <v>27.67</v>
      </c>
      <c r="L217" s="131">
        <v>31.58</v>
      </c>
      <c r="M217" s="131">
        <v>33.31</v>
      </c>
      <c r="N217" s="131">
        <v>56.96</v>
      </c>
      <c r="O217" s="131">
        <v>57.95</v>
      </c>
      <c r="P217" s="131">
        <v>76.34</v>
      </c>
      <c r="Q217" s="131">
        <v>90.09</v>
      </c>
      <c r="R217" s="49">
        <v>75.52</v>
      </c>
      <c r="S217" s="49">
        <v>74.989999999999995</v>
      </c>
      <c r="T217" s="49">
        <v>92.83</v>
      </c>
      <c r="U217" s="49">
        <v>112.26</v>
      </c>
      <c r="V217" s="49">
        <v>104.44</v>
      </c>
      <c r="W217" s="52">
        <v>98.2</v>
      </c>
      <c r="X217" s="100">
        <v>5.202877516249127E-2</v>
      </c>
      <c r="Y217" s="100">
        <v>6.6490717691869428E-2</v>
      </c>
      <c r="Z217" s="100">
        <v>8.1327334083239444E-2</v>
      </c>
      <c r="AA217" s="100">
        <v>6.0360969520441232E-2</v>
      </c>
    </row>
    <row r="218" spans="1:27" ht="15" x14ac:dyDescent="0.25">
      <c r="A218" s="4">
        <v>260130</v>
      </c>
      <c r="B218" s="20" t="s">
        <v>823</v>
      </c>
      <c r="C218" s="10" t="s">
        <v>23</v>
      </c>
      <c r="D218" s="10" t="s">
        <v>29</v>
      </c>
      <c r="E218" s="10" t="s">
        <v>806</v>
      </c>
      <c r="F218" s="38">
        <v>5.3</v>
      </c>
      <c r="G218" s="49">
        <v>10.28</v>
      </c>
      <c r="H218" s="49">
        <v>8.92</v>
      </c>
      <c r="I218" s="49">
        <v>11.29</v>
      </c>
      <c r="J218" s="49">
        <v>12.31</v>
      </c>
      <c r="K218" s="49">
        <v>12.46</v>
      </c>
      <c r="L218" s="49">
        <v>11.76</v>
      </c>
      <c r="M218" s="49">
        <v>11.09</v>
      </c>
      <c r="N218" s="49">
        <v>9.89</v>
      </c>
      <c r="O218" s="49">
        <v>10.210000000000001</v>
      </c>
      <c r="P218" s="49">
        <v>10.119999999999999</v>
      </c>
      <c r="Q218" s="49">
        <v>9.9</v>
      </c>
      <c r="R218" s="49">
        <v>10.82</v>
      </c>
      <c r="S218" s="49">
        <v>11.54</v>
      </c>
      <c r="T218" s="49">
        <v>12.84</v>
      </c>
      <c r="U218" s="49">
        <v>12.72</v>
      </c>
      <c r="V218" s="49">
        <v>13.37</v>
      </c>
      <c r="W218" s="52">
        <v>14.19</v>
      </c>
      <c r="X218" s="100">
        <v>6.4181217555450809E-2</v>
      </c>
      <c r="Y218" s="100">
        <v>6.2527716186252746E-2</v>
      </c>
      <c r="Z218" s="100">
        <v>5.3213689482470627E-2</v>
      </c>
      <c r="AA218" s="100">
        <v>5.2506439468991362E-2</v>
      </c>
    </row>
    <row r="219" spans="1:27" ht="15" x14ac:dyDescent="0.25">
      <c r="A219" s="4">
        <v>260130</v>
      </c>
      <c r="B219" s="20" t="s">
        <v>818</v>
      </c>
      <c r="C219" s="10" t="s">
        <v>23</v>
      </c>
      <c r="D219" s="10" t="s">
        <v>79</v>
      </c>
      <c r="E219" s="10" t="s">
        <v>806</v>
      </c>
      <c r="F219" s="38">
        <v>4.5999999999999996</v>
      </c>
      <c r="G219" s="49">
        <v>87.96</v>
      </c>
      <c r="H219" s="49">
        <v>103.31</v>
      </c>
      <c r="I219" s="49">
        <v>85.79</v>
      </c>
      <c r="J219" s="49">
        <v>86.79</v>
      </c>
      <c r="K219" s="49">
        <v>94.12</v>
      </c>
      <c r="L219" s="49">
        <v>113.25</v>
      </c>
      <c r="M219" s="131">
        <v>127.29</v>
      </c>
      <c r="N219" s="49">
        <v>122.42</v>
      </c>
      <c r="O219" s="49">
        <v>132.77000000000001</v>
      </c>
      <c r="P219" s="49">
        <v>129.35</v>
      </c>
      <c r="Q219" s="49">
        <v>114.88</v>
      </c>
      <c r="R219" s="49">
        <v>125.73</v>
      </c>
      <c r="S219" s="49">
        <v>98.63</v>
      </c>
      <c r="T219" s="49">
        <v>115.88</v>
      </c>
      <c r="U219" s="49">
        <v>125.3</v>
      </c>
      <c r="V219" s="49">
        <v>122.85</v>
      </c>
      <c r="W219" s="52">
        <v>120.1</v>
      </c>
      <c r="X219" s="100">
        <v>-2.874581190379644E-2</v>
      </c>
      <c r="Y219" s="100">
        <v>2.289506064334668E-2</v>
      </c>
      <c r="Z219" s="100">
        <v>-6.1863642221935411E-3</v>
      </c>
      <c r="AA219" s="100">
        <v>4.6405567803570642E-2</v>
      </c>
    </row>
    <row r="220" spans="1:27" ht="15" x14ac:dyDescent="0.25">
      <c r="A220" s="4">
        <v>260130</v>
      </c>
      <c r="B220" s="20" t="s">
        <v>831</v>
      </c>
      <c r="C220" s="10" t="s">
        <v>23</v>
      </c>
      <c r="D220" s="10" t="s">
        <v>476</v>
      </c>
      <c r="E220" s="10" t="s">
        <v>806</v>
      </c>
      <c r="F220" s="38">
        <v>2.9</v>
      </c>
      <c r="G220" s="49">
        <v>187.7</v>
      </c>
      <c r="H220" s="49">
        <v>280.7</v>
      </c>
      <c r="I220" s="49">
        <v>261.60000000000002</v>
      </c>
      <c r="J220" s="49">
        <v>253.9</v>
      </c>
      <c r="K220" s="49">
        <v>212.6</v>
      </c>
      <c r="L220" s="49">
        <v>291.89999999999998</v>
      </c>
      <c r="M220" s="49">
        <v>293.60000000000002</v>
      </c>
      <c r="N220" s="49">
        <v>255.8</v>
      </c>
      <c r="O220" s="49">
        <v>216.1</v>
      </c>
      <c r="P220" s="49">
        <v>305</v>
      </c>
      <c r="Q220" s="49">
        <v>336.9</v>
      </c>
      <c r="R220" s="49">
        <v>265.60000000000002</v>
      </c>
      <c r="S220" s="49">
        <v>256.7</v>
      </c>
      <c r="T220" s="49">
        <v>295.3</v>
      </c>
      <c r="U220" s="49">
        <v>312.7</v>
      </c>
      <c r="V220" s="49">
        <v>254.6</v>
      </c>
      <c r="W220" s="52">
        <v>289.7</v>
      </c>
      <c r="X220" s="100">
        <v>-8.3319017350971247E-3</v>
      </c>
      <c r="Y220" s="100">
        <v>-2.0961455175400601E-2</v>
      </c>
      <c r="Z220" s="100">
        <v>-9.7319295762187119E-3</v>
      </c>
      <c r="AA220" s="100">
        <v>2.9482712409541589E-2</v>
      </c>
    </row>
    <row r="221" spans="1:27" ht="15" x14ac:dyDescent="0.25">
      <c r="A221" s="4">
        <v>260130</v>
      </c>
      <c r="B221" s="20" t="s">
        <v>815</v>
      </c>
      <c r="C221" s="10" t="s">
        <v>23</v>
      </c>
      <c r="D221" s="10" t="s">
        <v>29</v>
      </c>
      <c r="E221" s="10" t="s">
        <v>806</v>
      </c>
      <c r="F221" s="38">
        <v>2.6</v>
      </c>
      <c r="G221" s="49">
        <v>51.07</v>
      </c>
      <c r="H221" s="49">
        <v>57.48</v>
      </c>
      <c r="I221" s="49">
        <v>58.2</v>
      </c>
      <c r="J221" s="49">
        <v>63.28</v>
      </c>
      <c r="K221" s="49">
        <v>58.09</v>
      </c>
      <c r="L221" s="49">
        <v>48.08</v>
      </c>
      <c r="M221" s="49">
        <v>52.78</v>
      </c>
      <c r="N221" s="49">
        <v>54.16</v>
      </c>
      <c r="O221" s="49">
        <v>31.21</v>
      </c>
      <c r="P221" s="49">
        <v>42.39</v>
      </c>
      <c r="Q221" s="49">
        <v>51.16</v>
      </c>
      <c r="R221" s="49">
        <v>48.72</v>
      </c>
      <c r="S221" s="49">
        <v>48.11</v>
      </c>
      <c r="T221" s="49">
        <v>59.09</v>
      </c>
      <c r="U221" s="49">
        <v>50.37</v>
      </c>
      <c r="V221" s="49">
        <v>46.65</v>
      </c>
      <c r="W221" s="52">
        <v>53.49</v>
      </c>
      <c r="X221" s="100">
        <v>8.7719298245614086E-2</v>
      </c>
      <c r="Y221" s="100">
        <v>-3.8149507436738839E-3</v>
      </c>
      <c r="Z221" s="100">
        <v>-1.0034417567502009E-2</v>
      </c>
      <c r="AA221" s="100">
        <v>2.6344138673979112E-2</v>
      </c>
    </row>
    <row r="222" spans="1:27" ht="15" x14ac:dyDescent="0.25">
      <c r="A222" s="4">
        <v>260130</v>
      </c>
      <c r="B222" s="20" t="s">
        <v>840</v>
      </c>
      <c r="C222" s="10" t="s">
        <v>23</v>
      </c>
      <c r="D222" s="10" t="s">
        <v>93</v>
      </c>
      <c r="E222" s="10" t="s">
        <v>806</v>
      </c>
      <c r="F222" s="38">
        <v>2.1</v>
      </c>
      <c r="G222" s="49">
        <v>750</v>
      </c>
      <c r="H222" s="49">
        <v>538</v>
      </c>
      <c r="I222" s="49">
        <v>623</v>
      </c>
      <c r="J222" s="49">
        <v>801</v>
      </c>
      <c r="K222" s="49">
        <v>953</v>
      </c>
      <c r="L222" s="131">
        <v>891</v>
      </c>
      <c r="M222" s="49">
        <v>778</v>
      </c>
      <c r="N222" s="49">
        <v>980</v>
      </c>
      <c r="O222" s="49">
        <v>860</v>
      </c>
      <c r="P222" s="49">
        <v>820</v>
      </c>
      <c r="Q222" s="49">
        <v>711</v>
      </c>
      <c r="R222" s="131">
        <v>1844</v>
      </c>
      <c r="S222" s="49">
        <v>1095</v>
      </c>
      <c r="T222" s="49">
        <v>1036</v>
      </c>
      <c r="U222" s="49">
        <v>959</v>
      </c>
      <c r="V222" s="49">
        <v>978</v>
      </c>
      <c r="W222" s="52">
        <v>1182</v>
      </c>
      <c r="X222" s="100">
        <v>4.832214765100673E-2</v>
      </c>
      <c r="Y222" s="100">
        <v>5.2923602219376857E-2</v>
      </c>
      <c r="Z222" s="100">
        <v>-0.17551682205107419</v>
      </c>
      <c r="AA222" s="100">
        <v>2.1386430678466128E-2</v>
      </c>
    </row>
    <row r="223" spans="1:27" ht="15" x14ac:dyDescent="0.25">
      <c r="A223" s="4">
        <v>260130</v>
      </c>
      <c r="B223" s="20" t="s">
        <v>824</v>
      </c>
      <c r="C223" s="10" t="s">
        <v>23</v>
      </c>
      <c r="D223" s="10" t="s">
        <v>99</v>
      </c>
      <c r="E223" s="10" t="s">
        <v>806</v>
      </c>
      <c r="F223" s="38">
        <v>1.9</v>
      </c>
      <c r="G223" s="49">
        <v>2535</v>
      </c>
      <c r="H223" s="49">
        <v>2723</v>
      </c>
      <c r="I223" s="49">
        <v>2554</v>
      </c>
      <c r="J223" s="49">
        <v>2483</v>
      </c>
      <c r="K223" s="49">
        <v>2258</v>
      </c>
      <c r="L223" s="49">
        <v>2257</v>
      </c>
      <c r="M223" s="49">
        <v>2719</v>
      </c>
      <c r="N223" s="49">
        <v>3091</v>
      </c>
      <c r="O223" s="49">
        <v>2667</v>
      </c>
      <c r="P223" s="49">
        <v>3129</v>
      </c>
      <c r="Q223" s="49">
        <v>3176</v>
      </c>
      <c r="R223" s="49">
        <v>3199</v>
      </c>
      <c r="S223" s="49">
        <v>2833</v>
      </c>
      <c r="T223" s="49">
        <v>3354</v>
      </c>
      <c r="U223" s="49">
        <v>3455</v>
      </c>
      <c r="V223" s="49">
        <v>3780</v>
      </c>
      <c r="W223" s="52">
        <v>3090</v>
      </c>
      <c r="X223" s="100">
        <v>1.8237821188295419E-2</v>
      </c>
      <c r="Y223" s="100">
        <v>2.220983919758002E-2</v>
      </c>
      <c r="Z223" s="100">
        <v>4.5245697375593703E-2</v>
      </c>
      <c r="AA223" s="100">
        <v>1.9147668007748479E-2</v>
      </c>
    </row>
    <row r="224" spans="1:27" ht="15" x14ac:dyDescent="0.25">
      <c r="A224" s="4">
        <v>260130</v>
      </c>
      <c r="B224" s="20" t="s">
        <v>828</v>
      </c>
      <c r="C224" s="10" t="s">
        <v>23</v>
      </c>
      <c r="D224" s="10" t="s">
        <v>476</v>
      </c>
      <c r="E224" s="10" t="s">
        <v>806</v>
      </c>
      <c r="F224" s="38">
        <v>1.2</v>
      </c>
      <c r="G224" s="49">
        <v>906</v>
      </c>
      <c r="H224" s="49">
        <v>904</v>
      </c>
      <c r="I224" s="49">
        <v>880</v>
      </c>
      <c r="J224" s="49">
        <v>904</v>
      </c>
      <c r="K224" s="49">
        <v>894</v>
      </c>
      <c r="L224" s="49">
        <v>913</v>
      </c>
      <c r="M224" s="49">
        <v>966</v>
      </c>
      <c r="N224" s="49">
        <v>1016</v>
      </c>
      <c r="O224" s="49">
        <v>1047</v>
      </c>
      <c r="P224" s="49">
        <v>1061</v>
      </c>
      <c r="Q224" s="49">
        <v>1097</v>
      </c>
      <c r="R224" s="49">
        <v>1057</v>
      </c>
      <c r="S224" s="49">
        <v>1035</v>
      </c>
      <c r="T224" s="49">
        <v>1069</v>
      </c>
      <c r="U224" s="49">
        <v>1066</v>
      </c>
      <c r="V224" s="49">
        <v>1038</v>
      </c>
      <c r="W224" s="52">
        <v>1085</v>
      </c>
      <c r="X224" s="100">
        <v>1.8823529411764459E-3</v>
      </c>
      <c r="Y224" s="100">
        <v>-7.2804133395960591E-3</v>
      </c>
      <c r="Z224" s="100">
        <v>-4.4949136503430456E-3</v>
      </c>
      <c r="AA224" s="100">
        <v>1.18821292775666E-2</v>
      </c>
    </row>
    <row r="225" spans="1:27" ht="15" x14ac:dyDescent="0.25">
      <c r="A225" s="4">
        <v>260130</v>
      </c>
      <c r="B225" s="20" t="s">
        <v>838</v>
      </c>
      <c r="C225" s="10" t="s">
        <v>23</v>
      </c>
      <c r="D225" s="10" t="s">
        <v>141</v>
      </c>
      <c r="E225" s="10" t="s">
        <v>806</v>
      </c>
      <c r="F225" s="38">
        <v>-0.5</v>
      </c>
      <c r="G225" s="49">
        <v>3130</v>
      </c>
      <c r="H225" s="49">
        <v>2789</v>
      </c>
      <c r="I225" s="49">
        <v>3182</v>
      </c>
      <c r="J225" s="49">
        <v>3333</v>
      </c>
      <c r="K225" s="49">
        <v>3193</v>
      </c>
      <c r="L225" s="49">
        <v>2938</v>
      </c>
      <c r="M225" s="49">
        <v>3183</v>
      </c>
      <c r="N225" s="49">
        <v>3157</v>
      </c>
      <c r="O225" s="49">
        <v>3012</v>
      </c>
      <c r="P225" s="49">
        <v>3094</v>
      </c>
      <c r="Q225" s="49">
        <v>3343</v>
      </c>
      <c r="R225" s="49">
        <v>3358</v>
      </c>
      <c r="S225" s="49">
        <v>3427</v>
      </c>
      <c r="T225" s="49">
        <v>3360</v>
      </c>
      <c r="U225" s="49">
        <v>3360</v>
      </c>
      <c r="V225" s="49">
        <v>3262</v>
      </c>
      <c r="W225" s="52">
        <v>3365</v>
      </c>
      <c r="X225" s="100">
        <v>2.0117985176221431E-2</v>
      </c>
      <c r="Y225" s="100">
        <v>1.260379596678574E-3</v>
      </c>
      <c r="Z225" s="100">
        <v>-7.1084783413550836E-3</v>
      </c>
      <c r="AA225" s="100">
        <v>-4.6237601610857881E-3</v>
      </c>
    </row>
    <row r="226" spans="1:27" ht="15" x14ac:dyDescent="0.25">
      <c r="A226" s="4">
        <v>260130</v>
      </c>
      <c r="B226" s="20" t="s">
        <v>826</v>
      </c>
      <c r="C226" s="10" t="s">
        <v>23</v>
      </c>
      <c r="D226" s="10" t="s">
        <v>79</v>
      </c>
      <c r="E226" s="10" t="s">
        <v>806</v>
      </c>
      <c r="F226" s="38">
        <v>-1.5</v>
      </c>
      <c r="G226" s="49">
        <v>177</v>
      </c>
      <c r="H226" s="49">
        <v>56</v>
      </c>
      <c r="I226" s="49">
        <v>102</v>
      </c>
      <c r="J226" s="49">
        <v>172</v>
      </c>
      <c r="K226" s="49">
        <v>224</v>
      </c>
      <c r="L226" s="131">
        <v>128</v>
      </c>
      <c r="M226" s="131">
        <v>198</v>
      </c>
      <c r="N226" s="49">
        <v>235</v>
      </c>
      <c r="O226" s="131">
        <v>544</v>
      </c>
      <c r="P226" s="49">
        <v>195</v>
      </c>
      <c r="Q226" s="49">
        <v>220</v>
      </c>
      <c r="R226" s="49">
        <v>234</v>
      </c>
      <c r="S226" s="49">
        <v>353</v>
      </c>
      <c r="T226" s="49">
        <v>242</v>
      </c>
      <c r="U226" s="49">
        <v>249</v>
      </c>
      <c r="V226" s="49">
        <v>269</v>
      </c>
      <c r="W226" s="52">
        <v>336</v>
      </c>
      <c r="X226" s="100">
        <v>4.6906187624750517E-2</v>
      </c>
      <c r="Y226" s="100">
        <v>2.7645376549094269E-2</v>
      </c>
      <c r="Z226" s="100">
        <v>3.2467532467532527E-2</v>
      </c>
      <c r="AA226" s="100">
        <v>-1.5274034141958709E-2</v>
      </c>
    </row>
    <row r="227" spans="1:27" ht="15" x14ac:dyDescent="0.25">
      <c r="A227" s="4">
        <v>260130</v>
      </c>
      <c r="B227" s="20" t="s">
        <v>837</v>
      </c>
      <c r="C227" s="10" t="s">
        <v>23</v>
      </c>
      <c r="D227" s="10" t="s">
        <v>166</v>
      </c>
      <c r="E227" s="10" t="s">
        <v>806</v>
      </c>
      <c r="F227" s="38">
        <v>-1.6</v>
      </c>
      <c r="G227" s="49">
        <v>11128</v>
      </c>
      <c r="H227" s="49">
        <v>9181</v>
      </c>
      <c r="I227" s="49">
        <v>21439</v>
      </c>
      <c r="J227" s="49">
        <v>21696</v>
      </c>
      <c r="K227" s="49">
        <v>13738</v>
      </c>
      <c r="L227" s="49">
        <v>14581</v>
      </c>
      <c r="M227" s="49">
        <v>9247</v>
      </c>
      <c r="N227" s="49">
        <v>11678</v>
      </c>
      <c r="O227" s="49">
        <v>11541</v>
      </c>
      <c r="P227" s="49">
        <v>9918</v>
      </c>
      <c r="Q227" s="49">
        <v>10862</v>
      </c>
      <c r="R227" s="49">
        <v>11009</v>
      </c>
      <c r="S227" s="49">
        <v>8350</v>
      </c>
      <c r="T227" s="49">
        <v>9733</v>
      </c>
      <c r="U227" s="49">
        <v>8821</v>
      </c>
      <c r="V227" s="49">
        <v>9214</v>
      </c>
      <c r="W227" s="52">
        <v>7780</v>
      </c>
      <c r="X227" s="100">
        <v>-4.6089837813597656E-3</v>
      </c>
      <c r="Y227" s="100">
        <v>-5.1083746308254518E-2</v>
      </c>
      <c r="Z227" s="100">
        <v>-4.7345237781235998E-2</v>
      </c>
      <c r="AA227" s="100">
        <v>-1.578160474001877E-2</v>
      </c>
    </row>
    <row r="228" spans="1:27" ht="15" x14ac:dyDescent="0.25">
      <c r="A228" s="4">
        <v>260130</v>
      </c>
      <c r="B228" s="20" t="s">
        <v>827</v>
      </c>
      <c r="C228" s="10" t="s">
        <v>23</v>
      </c>
      <c r="D228" s="10" t="s">
        <v>41</v>
      </c>
      <c r="E228" s="10" t="s">
        <v>821</v>
      </c>
      <c r="F228" s="38">
        <v>-2.5</v>
      </c>
      <c r="G228" s="49">
        <v>535.29999999999995</v>
      </c>
      <c r="H228" s="49">
        <v>573.9</v>
      </c>
      <c r="I228" s="49">
        <v>634.79999999999995</v>
      </c>
      <c r="J228" s="49">
        <v>0</v>
      </c>
      <c r="K228" s="49">
        <v>632.79999999999995</v>
      </c>
      <c r="L228" s="49">
        <v>623</v>
      </c>
      <c r="M228" s="49">
        <v>681.5</v>
      </c>
      <c r="N228" s="49">
        <v>0</v>
      </c>
      <c r="O228" s="49">
        <v>645.1</v>
      </c>
      <c r="P228" s="49">
        <v>609.1</v>
      </c>
      <c r="Q228" s="49">
        <v>710.5</v>
      </c>
      <c r="R228" s="49">
        <v>0</v>
      </c>
      <c r="S228" s="49">
        <v>659</v>
      </c>
      <c r="T228" s="49">
        <v>-2310</v>
      </c>
      <c r="U228" s="49">
        <v>734.4</v>
      </c>
      <c r="V228" s="131">
        <v>-2824</v>
      </c>
      <c r="W228" s="52">
        <v>753.3</v>
      </c>
      <c r="X228" s="100">
        <v>-1.4753360962296569</v>
      </c>
      <c r="Y228" s="100">
        <v>-2.5412014885699111E-2</v>
      </c>
      <c r="Z228" s="113">
        <v>3.080951341915775</v>
      </c>
      <c r="AA228" s="100">
        <v>-2.5209859380847969E-2</v>
      </c>
    </row>
    <row r="229" spans="1:27" ht="15" x14ac:dyDescent="0.25">
      <c r="A229" s="4">
        <v>260130</v>
      </c>
      <c r="B229" s="20" t="s">
        <v>834</v>
      </c>
      <c r="C229" s="10" t="s">
        <v>23</v>
      </c>
      <c r="D229" s="10" t="s">
        <v>835</v>
      </c>
      <c r="E229" s="10" t="s">
        <v>806</v>
      </c>
      <c r="F229" s="38">
        <v>-3.2</v>
      </c>
      <c r="G229" s="49">
        <v>2688</v>
      </c>
      <c r="H229" s="49">
        <v>1287</v>
      </c>
      <c r="I229" s="49">
        <v>1307</v>
      </c>
      <c r="J229" s="49">
        <v>1224</v>
      </c>
      <c r="K229" s="49">
        <v>1177</v>
      </c>
      <c r="L229" s="49">
        <v>1003</v>
      </c>
      <c r="M229" s="49">
        <v>1017</v>
      </c>
      <c r="N229" s="49">
        <v>1211</v>
      </c>
      <c r="O229" s="49">
        <v>1003</v>
      </c>
      <c r="P229" s="49">
        <v>773.8</v>
      </c>
      <c r="Q229" s="49">
        <v>1108</v>
      </c>
      <c r="R229" s="49">
        <v>1244</v>
      </c>
      <c r="S229" s="49">
        <v>1020</v>
      </c>
      <c r="T229" s="49">
        <v>604</v>
      </c>
      <c r="U229" s="49">
        <v>1090</v>
      </c>
      <c r="V229" s="49">
        <v>1110</v>
      </c>
      <c r="W229" s="52">
        <v>898.6</v>
      </c>
      <c r="X229" s="100">
        <v>-4.095711322302098E-2</v>
      </c>
      <c r="Y229" s="100">
        <v>-4.5271629778671496E-3</v>
      </c>
      <c r="Z229" s="100">
        <v>-3.3855482566953032E-2</v>
      </c>
      <c r="AA229" s="100">
        <v>-3.1746861924686232E-2</v>
      </c>
    </row>
    <row r="230" spans="1:27" ht="15" x14ac:dyDescent="0.25">
      <c r="A230" s="4">
        <v>260130</v>
      </c>
      <c r="B230" s="20" t="s">
        <v>833</v>
      </c>
      <c r="C230" s="10" t="s">
        <v>23</v>
      </c>
      <c r="D230" s="10" t="s">
        <v>95</v>
      </c>
      <c r="E230" s="10" t="s">
        <v>821</v>
      </c>
      <c r="F230" s="38">
        <v>-3.7</v>
      </c>
      <c r="G230" s="49">
        <v>600.79999999999995</v>
      </c>
      <c r="H230" s="49">
        <v>501.6</v>
      </c>
      <c r="I230" s="49">
        <v>449.6</v>
      </c>
      <c r="J230" s="49">
        <v>436</v>
      </c>
      <c r="K230" s="49">
        <v>413</v>
      </c>
      <c r="L230" s="49">
        <v>318.10000000000002</v>
      </c>
      <c r="M230" s="49">
        <v>360</v>
      </c>
      <c r="N230" s="49">
        <v>409</v>
      </c>
      <c r="O230" s="49">
        <v>354.9</v>
      </c>
      <c r="P230" s="49">
        <v>288.60000000000002</v>
      </c>
      <c r="Q230" s="49">
        <v>280</v>
      </c>
      <c r="R230" s="49">
        <v>307.3</v>
      </c>
      <c r="S230" s="49">
        <v>324.3</v>
      </c>
      <c r="T230" s="49">
        <v>210.7</v>
      </c>
      <c r="U230" s="49">
        <v>213</v>
      </c>
      <c r="V230" s="49">
        <v>411.5</v>
      </c>
      <c r="W230" s="52">
        <v>281</v>
      </c>
      <c r="X230" s="100">
        <v>-6.4905849025162499E-2</v>
      </c>
      <c r="Y230" s="100">
        <v>-5.9698832754165543E-2</v>
      </c>
      <c r="Z230" s="100">
        <v>9.8739694873495765E-2</v>
      </c>
      <c r="AA230" s="100">
        <v>-3.7343682621819752E-2</v>
      </c>
    </row>
    <row r="231" spans="1:27" ht="15" x14ac:dyDescent="0.25">
      <c r="A231" s="4">
        <v>260130</v>
      </c>
      <c r="B231" s="20" t="s">
        <v>832</v>
      </c>
      <c r="C231" s="10" t="s">
        <v>23</v>
      </c>
      <c r="D231" s="10" t="s">
        <v>648</v>
      </c>
      <c r="E231" s="10" t="s">
        <v>806</v>
      </c>
      <c r="F231" s="38">
        <v>-5.9</v>
      </c>
      <c r="G231" s="49">
        <v>976</v>
      </c>
      <c r="H231" s="49">
        <v>1364</v>
      </c>
      <c r="I231" s="49">
        <v>755</v>
      </c>
      <c r="J231" s="49">
        <v>587</v>
      </c>
      <c r="K231" s="49">
        <v>842</v>
      </c>
      <c r="L231" s="49">
        <v>1456</v>
      </c>
      <c r="M231" s="49">
        <v>799</v>
      </c>
      <c r="N231" s="49">
        <v>679</v>
      </c>
      <c r="O231" s="49">
        <v>816</v>
      </c>
      <c r="P231" s="49">
        <v>1589</v>
      </c>
      <c r="Q231" s="49">
        <v>872</v>
      </c>
      <c r="R231" s="49">
        <v>713</v>
      </c>
      <c r="S231" s="131">
        <v>1618</v>
      </c>
      <c r="T231" s="49">
        <v>1594</v>
      </c>
      <c r="U231" s="49">
        <v>959</v>
      </c>
      <c r="V231" s="49">
        <v>814</v>
      </c>
      <c r="W231" s="52">
        <v>1326</v>
      </c>
      <c r="X231" s="100">
        <v>1.043405676126818E-3</v>
      </c>
      <c r="Y231" s="100">
        <v>1.8136335209505861E-2</v>
      </c>
      <c r="Z231" s="100">
        <v>2.0679770679770781E-2</v>
      </c>
      <c r="AA231" s="100">
        <v>-5.8575727181544579E-2</v>
      </c>
    </row>
    <row r="232" spans="1:27" ht="15" x14ac:dyDescent="0.25">
      <c r="A232" s="4">
        <v>260130</v>
      </c>
      <c r="B232" s="20" t="s">
        <v>841</v>
      </c>
      <c r="C232" s="10" t="s">
        <v>23</v>
      </c>
      <c r="D232" s="10" t="s">
        <v>166</v>
      </c>
      <c r="E232" s="10" t="s">
        <v>806</v>
      </c>
      <c r="F232" s="38">
        <v>-6.9</v>
      </c>
      <c r="G232" s="49">
        <v>5510</v>
      </c>
      <c r="H232" s="49">
        <v>6639</v>
      </c>
      <c r="I232" s="49">
        <v>13668</v>
      </c>
      <c r="J232" s="49">
        <v>12527</v>
      </c>
      <c r="K232" s="49">
        <v>9171</v>
      </c>
      <c r="L232" s="49">
        <v>8046</v>
      </c>
      <c r="M232" s="49">
        <v>6584</v>
      </c>
      <c r="N232" s="49">
        <v>7539</v>
      </c>
      <c r="O232" s="49">
        <v>4795</v>
      </c>
      <c r="P232" s="49">
        <v>6552</v>
      </c>
      <c r="Q232" s="49">
        <v>5754</v>
      </c>
      <c r="R232" s="49">
        <v>5392</v>
      </c>
      <c r="S232" s="49">
        <v>5601</v>
      </c>
      <c r="T232" s="49">
        <v>4444</v>
      </c>
      <c r="U232" s="49">
        <v>4114</v>
      </c>
      <c r="V232" s="49">
        <v>4803</v>
      </c>
      <c r="W232" s="52">
        <v>4297</v>
      </c>
      <c r="X232" s="100">
        <v>-9.047598609382379E-2</v>
      </c>
      <c r="Y232" s="100">
        <v>-7.739134538247372E-2</v>
      </c>
      <c r="Z232" s="100">
        <v>-3.0126336248785249E-2</v>
      </c>
      <c r="AA232" s="100">
        <v>-6.8769117181731843E-2</v>
      </c>
    </row>
    <row r="233" spans="1:27" ht="15" x14ac:dyDescent="0.25">
      <c r="A233" s="4">
        <v>260130</v>
      </c>
      <c r="B233" s="20" t="s">
        <v>836</v>
      </c>
      <c r="C233" s="10" t="s">
        <v>23</v>
      </c>
      <c r="D233" s="10" t="s">
        <v>141</v>
      </c>
      <c r="E233" s="10" t="s">
        <v>806</v>
      </c>
      <c r="F233" s="38">
        <v>-8</v>
      </c>
      <c r="G233" s="49">
        <v>8065</v>
      </c>
      <c r="H233" s="49">
        <v>8095</v>
      </c>
      <c r="I233" s="49">
        <v>7751</v>
      </c>
      <c r="J233" s="49">
        <v>8022</v>
      </c>
      <c r="K233" s="49">
        <v>7630</v>
      </c>
      <c r="L233" s="49">
        <v>7597</v>
      </c>
      <c r="M233" s="49">
        <v>7625</v>
      </c>
      <c r="N233" s="49">
        <v>7843</v>
      </c>
      <c r="O233" s="49">
        <v>7202</v>
      </c>
      <c r="P233" s="49">
        <v>7848</v>
      </c>
      <c r="Q233" s="49">
        <v>7449</v>
      </c>
      <c r="R233" s="49">
        <v>7977</v>
      </c>
      <c r="S233" s="49">
        <v>7574</v>
      </c>
      <c r="T233" s="49">
        <v>8262</v>
      </c>
      <c r="U233" s="49">
        <v>8034</v>
      </c>
      <c r="V233" s="49">
        <v>8094</v>
      </c>
      <c r="W233" s="52">
        <v>5004</v>
      </c>
      <c r="X233" s="100">
        <v>1.3420643153526869E-2</v>
      </c>
      <c r="Y233" s="100">
        <v>1.8712814279316699E-2</v>
      </c>
      <c r="Z233" s="100">
        <v>3.6738154300248742E-3</v>
      </c>
      <c r="AA233" s="100">
        <v>-8.0402953322487813E-2</v>
      </c>
    </row>
    <row r="234" spans="1:27" ht="15" x14ac:dyDescent="0.25">
      <c r="A234" s="4">
        <v>260130</v>
      </c>
      <c r="B234" s="20" t="s">
        <v>842</v>
      </c>
      <c r="C234" s="10" t="s">
        <v>23</v>
      </c>
      <c r="D234" s="10" t="s">
        <v>166</v>
      </c>
      <c r="E234" s="10" t="s">
        <v>806</v>
      </c>
      <c r="F234" s="38">
        <v>-17.600000000000001</v>
      </c>
      <c r="G234" s="49">
        <v>1116</v>
      </c>
      <c r="H234" s="49">
        <v>1512</v>
      </c>
      <c r="I234" s="49">
        <v>3155</v>
      </c>
      <c r="J234" s="49">
        <v>2368</v>
      </c>
      <c r="K234" s="131">
        <v>2252</v>
      </c>
      <c r="L234" s="49">
        <v>1597</v>
      </c>
      <c r="M234" s="49">
        <v>845</v>
      </c>
      <c r="N234" s="49">
        <v>2072</v>
      </c>
      <c r="O234" s="49">
        <v>1851</v>
      </c>
      <c r="P234" s="49">
        <v>1550</v>
      </c>
      <c r="Q234" s="49">
        <v>1468</v>
      </c>
      <c r="R234" s="49">
        <v>1570</v>
      </c>
      <c r="S234" s="49">
        <v>1674</v>
      </c>
      <c r="T234" s="49">
        <v>1635</v>
      </c>
      <c r="U234" s="49">
        <v>1222</v>
      </c>
      <c r="V234" s="49">
        <v>1390</v>
      </c>
      <c r="W234" s="52">
        <v>633</v>
      </c>
      <c r="X234" s="100">
        <v>1.3573938038965229E-2</v>
      </c>
      <c r="Y234" s="100">
        <v>-3.8758468567827283E-2</v>
      </c>
      <c r="Z234" s="100">
        <v>-2.9503360104900841E-2</v>
      </c>
      <c r="AA234" s="100">
        <v>-0.17581489613241011</v>
      </c>
    </row>
    <row r="235" spans="1:27" ht="15" x14ac:dyDescent="0.25">
      <c r="A235" s="4">
        <v>260130</v>
      </c>
      <c r="B235" s="20" t="s">
        <v>839</v>
      </c>
      <c r="C235" s="10" t="s">
        <v>23</v>
      </c>
      <c r="D235" s="10" t="s">
        <v>698</v>
      </c>
      <c r="E235" s="10" t="s">
        <v>806</v>
      </c>
      <c r="F235" s="38">
        <v>-29.7</v>
      </c>
      <c r="G235" s="49">
        <v>92.88</v>
      </c>
      <c r="H235" s="49">
        <v>91.25</v>
      </c>
      <c r="I235" s="49">
        <v>134.27000000000001</v>
      </c>
      <c r="J235" s="49">
        <v>109.43</v>
      </c>
      <c r="K235" s="49">
        <v>64.95</v>
      </c>
      <c r="L235" s="49">
        <v>36.479999999999997</v>
      </c>
      <c r="M235" s="49">
        <v>32.53</v>
      </c>
      <c r="N235" s="49">
        <v>58</v>
      </c>
      <c r="O235" s="49">
        <v>67.55</v>
      </c>
      <c r="P235" s="49">
        <v>29.9</v>
      </c>
      <c r="Q235" s="131">
        <v>52.6</v>
      </c>
      <c r="R235" s="49">
        <v>41.4</v>
      </c>
      <c r="S235" s="49">
        <v>31.8</v>
      </c>
      <c r="T235" s="49">
        <v>6.65</v>
      </c>
      <c r="U235" s="49">
        <v>34.5</v>
      </c>
      <c r="V235" s="49">
        <v>38.75</v>
      </c>
      <c r="W235" s="52">
        <v>-1.43</v>
      </c>
      <c r="X235" s="100">
        <v>-0.14932562620423889</v>
      </c>
      <c r="Y235" s="100">
        <v>-0.13665534163835399</v>
      </c>
      <c r="Z235" s="100">
        <v>-2.3174464363795329E-2</v>
      </c>
      <c r="AA235" s="100">
        <v>-0.2974932855863921</v>
      </c>
    </row>
    <row r="236" spans="1:27" ht="15" x14ac:dyDescent="0.25">
      <c r="A236" s="4">
        <v>260130</v>
      </c>
      <c r="B236" s="20" t="s">
        <v>819</v>
      </c>
      <c r="C236" s="10" t="s">
        <v>23</v>
      </c>
      <c r="D236" s="10" t="s">
        <v>29</v>
      </c>
      <c r="E236" s="10" t="s">
        <v>806</v>
      </c>
      <c r="F236" s="38">
        <v>-58.8</v>
      </c>
      <c r="G236" s="49">
        <v>199</v>
      </c>
      <c r="H236" s="49">
        <v>207</v>
      </c>
      <c r="I236" s="49">
        <v>230</v>
      </c>
      <c r="J236" s="49">
        <v>205</v>
      </c>
      <c r="K236" s="49">
        <v>184</v>
      </c>
      <c r="L236" s="131">
        <v>2007</v>
      </c>
      <c r="M236" s="49">
        <v>492</v>
      </c>
      <c r="N236" s="49">
        <v>268</v>
      </c>
      <c r="O236" s="49">
        <v>-2817</v>
      </c>
      <c r="P236" s="131">
        <v>-381</v>
      </c>
      <c r="Q236" s="131">
        <v>-424</v>
      </c>
      <c r="R236" s="131">
        <v>-335</v>
      </c>
      <c r="S236" s="49">
        <v>-238</v>
      </c>
      <c r="T236" s="49">
        <v>-121</v>
      </c>
      <c r="U236" s="49">
        <v>-81</v>
      </c>
      <c r="V236" s="49">
        <v>-41</v>
      </c>
      <c r="W236" s="52">
        <v>45</v>
      </c>
      <c r="X236" s="100">
        <v>-0.1886792452830188</v>
      </c>
      <c r="Y236" s="100">
        <v>-0.30679785330948123</v>
      </c>
      <c r="Z236" s="100">
        <v>-0.37935483870967751</v>
      </c>
      <c r="AA236" s="100">
        <v>-0.58835758835758833</v>
      </c>
    </row>
    <row r="237" spans="1:27" ht="15" x14ac:dyDescent="0.25">
      <c r="A237" s="4">
        <v>260130</v>
      </c>
      <c r="B237" s="83">
        <v>9708</v>
      </c>
      <c r="C237" s="84" t="s">
        <v>67</v>
      </c>
      <c r="D237" s="114" t="s">
        <v>865</v>
      </c>
      <c r="E237" s="10" t="s">
        <v>817</v>
      </c>
      <c r="F237" s="115">
        <v>40.4</v>
      </c>
      <c r="G237" s="133">
        <v>-1347</v>
      </c>
      <c r="H237" s="133">
        <v>-4311</v>
      </c>
      <c r="I237" s="133">
        <v>-551</v>
      </c>
      <c r="J237" s="133">
        <v>-462</v>
      </c>
      <c r="K237" s="133">
        <v>1553</v>
      </c>
      <c r="L237" s="133">
        <v>-191</v>
      </c>
      <c r="M237" s="134">
        <v>748</v>
      </c>
      <c r="N237" s="134">
        <v>20</v>
      </c>
      <c r="O237" s="134">
        <v>2256</v>
      </c>
      <c r="P237" s="133">
        <v>-183</v>
      </c>
      <c r="Q237" s="133">
        <v>630</v>
      </c>
      <c r="R237" s="133">
        <v>-556</v>
      </c>
      <c r="S237" s="133">
        <v>1503</v>
      </c>
      <c r="T237" s="134">
        <v>14</v>
      </c>
      <c r="U237" s="133">
        <v>763</v>
      </c>
      <c r="V237" s="133">
        <v>-443</v>
      </c>
      <c r="W237" s="135">
        <v>2245</v>
      </c>
      <c r="X237" s="120">
        <v>0.14131994261119091</v>
      </c>
      <c r="Y237" s="119">
        <v>8.3595223130106922E-2</v>
      </c>
      <c r="Z237" s="119">
        <v>6.5545243619489657E-2</v>
      </c>
      <c r="AA237" s="120">
        <v>0.40391943385955348</v>
      </c>
    </row>
    <row r="238" spans="1:27" ht="15" x14ac:dyDescent="0.25">
      <c r="A238" s="4">
        <v>260130</v>
      </c>
      <c r="B238" s="20">
        <v>3189</v>
      </c>
      <c r="C238" s="10" t="s">
        <v>67</v>
      </c>
      <c r="D238" s="37" t="s">
        <v>934</v>
      </c>
      <c r="E238" s="10" t="s">
        <v>821</v>
      </c>
      <c r="F238" s="99">
        <v>29.6</v>
      </c>
      <c r="G238" s="49">
        <v>7</v>
      </c>
      <c r="H238" s="49">
        <v>-23</v>
      </c>
      <c r="I238" s="49">
        <v>-257</v>
      </c>
      <c r="J238" s="49">
        <v>-204</v>
      </c>
      <c r="K238" s="131">
        <v>-160</v>
      </c>
      <c r="L238" s="49">
        <v>-61</v>
      </c>
      <c r="M238" s="49">
        <v>-188</v>
      </c>
      <c r="N238" s="49">
        <v>-5</v>
      </c>
      <c r="O238" s="49">
        <v>-171</v>
      </c>
      <c r="P238" s="131">
        <v>-155</v>
      </c>
      <c r="Q238" s="49">
        <v>-216</v>
      </c>
      <c r="R238" s="131">
        <v>-169</v>
      </c>
      <c r="S238" s="49">
        <v>-200</v>
      </c>
      <c r="T238" s="49">
        <v>-200</v>
      </c>
      <c r="U238" s="131">
        <v>-303</v>
      </c>
      <c r="V238" s="131">
        <v>-620</v>
      </c>
      <c r="W238" s="132">
        <v>-592</v>
      </c>
      <c r="X238" s="100">
        <v>6.0810810810810738E-2</v>
      </c>
      <c r="Y238" s="113">
        <v>0.110828025477707</v>
      </c>
      <c r="Z238" s="113">
        <v>0.51720183486238525</v>
      </c>
      <c r="AA238" s="113">
        <v>0.29629629629629628</v>
      </c>
    </row>
    <row r="239" spans="1:27" ht="15" x14ac:dyDescent="0.25">
      <c r="A239" s="4">
        <v>260130</v>
      </c>
      <c r="B239" s="20">
        <v>6961</v>
      </c>
      <c r="C239" s="10" t="s">
        <v>67</v>
      </c>
      <c r="D239" s="37" t="s">
        <v>852</v>
      </c>
      <c r="E239" s="10" t="s">
        <v>817</v>
      </c>
      <c r="F239" s="99">
        <v>28.5</v>
      </c>
      <c r="G239" s="49">
        <v>564</v>
      </c>
      <c r="H239" s="49">
        <v>1382</v>
      </c>
      <c r="I239" s="49">
        <v>1959</v>
      </c>
      <c r="J239" s="49">
        <v>2397</v>
      </c>
      <c r="K239" s="131">
        <v>2710</v>
      </c>
      <c r="L239" s="49">
        <v>1754</v>
      </c>
      <c r="M239" s="49">
        <v>1412</v>
      </c>
      <c r="N239" s="49">
        <v>1205</v>
      </c>
      <c r="O239" s="49">
        <v>939</v>
      </c>
      <c r="P239" s="49">
        <v>1090</v>
      </c>
      <c r="Q239" s="131">
        <v>2154</v>
      </c>
      <c r="R239" s="49">
        <v>1201</v>
      </c>
      <c r="S239" s="49">
        <v>729</v>
      </c>
      <c r="T239" s="49">
        <v>1204</v>
      </c>
      <c r="U239" s="49">
        <v>906</v>
      </c>
      <c r="V239" s="131">
        <v>2146</v>
      </c>
      <c r="W239" s="132">
        <v>2149</v>
      </c>
      <c r="X239" s="100">
        <v>2.203324313877086E-2</v>
      </c>
      <c r="Y239" s="100">
        <v>-0.23600605143721631</v>
      </c>
      <c r="Z239" s="113">
        <v>0.23391089108910901</v>
      </c>
      <c r="AA239" s="113">
        <v>0.28485456369107331</v>
      </c>
    </row>
    <row r="240" spans="1:27" ht="15" x14ac:dyDescent="0.25">
      <c r="A240" s="4">
        <v>260130</v>
      </c>
      <c r="B240" s="20">
        <v>6946</v>
      </c>
      <c r="C240" s="10" t="s">
        <v>67</v>
      </c>
      <c r="D240" s="37" t="s">
        <v>847</v>
      </c>
      <c r="E240" s="10" t="s">
        <v>817</v>
      </c>
      <c r="F240" s="99">
        <v>24.2</v>
      </c>
      <c r="G240" s="49">
        <v>373</v>
      </c>
      <c r="H240" s="49">
        <v>527</v>
      </c>
      <c r="I240" s="49">
        <v>34</v>
      </c>
      <c r="J240" s="49">
        <v>545</v>
      </c>
      <c r="K240" s="131">
        <v>566</v>
      </c>
      <c r="L240" s="131">
        <v>807</v>
      </c>
      <c r="M240" s="131">
        <v>276</v>
      </c>
      <c r="N240" s="49">
        <v>635</v>
      </c>
      <c r="O240" s="49">
        <v>599</v>
      </c>
      <c r="P240" s="49">
        <v>669</v>
      </c>
      <c r="Q240" s="49">
        <v>325</v>
      </c>
      <c r="R240" s="49">
        <v>825</v>
      </c>
      <c r="S240" s="49">
        <v>516</v>
      </c>
      <c r="T240" s="131">
        <v>1131</v>
      </c>
      <c r="U240" s="49">
        <v>583</v>
      </c>
      <c r="V240" s="131">
        <v>1395</v>
      </c>
      <c r="W240" s="132">
        <v>1393</v>
      </c>
      <c r="X240" s="113">
        <v>0.1978586723768736</v>
      </c>
      <c r="Y240" s="100">
        <v>9.2241687522345295E-2</v>
      </c>
      <c r="Z240" s="113">
        <v>0.1865793780687397</v>
      </c>
      <c r="AA240" s="113">
        <v>0.24193103448275849</v>
      </c>
    </row>
    <row r="241" spans="1:27" ht="15" x14ac:dyDescent="0.25">
      <c r="A241" s="4">
        <v>260130</v>
      </c>
      <c r="B241" s="20">
        <v>1950</v>
      </c>
      <c r="C241" s="10" t="s">
        <v>67</v>
      </c>
      <c r="D241" s="37" t="s">
        <v>868</v>
      </c>
      <c r="E241" s="10" t="s">
        <v>817</v>
      </c>
      <c r="F241" s="99">
        <v>18.600000000000001</v>
      </c>
      <c r="G241" s="49">
        <v>2334</v>
      </c>
      <c r="H241" s="49">
        <v>6659</v>
      </c>
      <c r="I241" s="49">
        <v>-1798</v>
      </c>
      <c r="J241" s="49">
        <v>578</v>
      </c>
      <c r="K241" s="49">
        <v>1284</v>
      </c>
      <c r="L241" s="131">
        <v>9596</v>
      </c>
      <c r="M241" s="49">
        <v>-1274</v>
      </c>
      <c r="N241" s="49">
        <v>1596</v>
      </c>
      <c r="O241" s="131">
        <v>2842</v>
      </c>
      <c r="P241" s="49">
        <v>10285</v>
      </c>
      <c r="Q241" s="49">
        <v>-773</v>
      </c>
      <c r="R241" s="49">
        <v>1113</v>
      </c>
      <c r="S241" s="49">
        <v>3369</v>
      </c>
      <c r="T241" s="131">
        <v>14226</v>
      </c>
      <c r="U241" s="49">
        <v>-858</v>
      </c>
      <c r="V241" s="131">
        <v>3581</v>
      </c>
      <c r="W241" s="132">
        <v>7143</v>
      </c>
      <c r="X241" s="113">
        <v>0.28162069458339278</v>
      </c>
      <c r="Y241" s="100">
        <v>-4.7393364928910442E-3</v>
      </c>
      <c r="Z241" s="113">
        <v>0.13826330532212891</v>
      </c>
      <c r="AA241" s="113">
        <v>0.18574662860517771</v>
      </c>
    </row>
    <row r="242" spans="1:27" ht="15" x14ac:dyDescent="0.25">
      <c r="A242" s="4">
        <v>260130</v>
      </c>
      <c r="B242" s="20">
        <v>6727</v>
      </c>
      <c r="C242" s="10" t="s">
        <v>67</v>
      </c>
      <c r="D242" s="37" t="s">
        <v>979</v>
      </c>
      <c r="E242" s="10" t="s">
        <v>817</v>
      </c>
      <c r="F242" s="99">
        <v>18</v>
      </c>
      <c r="G242" s="49">
        <v>4781</v>
      </c>
      <c r="H242" s="49">
        <v>683</v>
      </c>
      <c r="I242" s="49">
        <v>1846</v>
      </c>
      <c r="J242" s="49">
        <v>437</v>
      </c>
      <c r="K242" s="49">
        <v>2014</v>
      </c>
      <c r="L242" s="49">
        <v>-2284</v>
      </c>
      <c r="M242" s="49">
        <v>847</v>
      </c>
      <c r="N242" s="131">
        <v>1610</v>
      </c>
      <c r="O242" s="131">
        <v>2812</v>
      </c>
      <c r="P242" s="131">
        <v>1789</v>
      </c>
      <c r="Q242" s="131">
        <v>2525</v>
      </c>
      <c r="R242" s="131">
        <v>2951</v>
      </c>
      <c r="S242" s="49">
        <v>2127</v>
      </c>
      <c r="T242" s="49">
        <v>2607</v>
      </c>
      <c r="U242" s="49">
        <v>2730</v>
      </c>
      <c r="V242" s="49">
        <v>3125</v>
      </c>
      <c r="W242" s="132">
        <v>4030</v>
      </c>
      <c r="X242" s="100">
        <v>8.7095400340715612E-2</v>
      </c>
      <c r="Y242" s="100">
        <v>2.007835455435858E-2</v>
      </c>
      <c r="Z242" s="100">
        <v>1.6706673067690799E-2</v>
      </c>
      <c r="AA242" s="113">
        <v>0.17971479837567281</v>
      </c>
    </row>
    <row r="243" spans="1:27" ht="15" x14ac:dyDescent="0.25">
      <c r="A243" s="4">
        <v>260130</v>
      </c>
      <c r="B243" s="20">
        <v>9997</v>
      </c>
      <c r="C243" s="10" t="s">
        <v>67</v>
      </c>
      <c r="D243" s="37" t="s">
        <v>874</v>
      </c>
      <c r="E243" s="10" t="s">
        <v>817</v>
      </c>
      <c r="F243" s="99">
        <v>17</v>
      </c>
      <c r="G243" s="49">
        <v>5458</v>
      </c>
      <c r="H243" s="49">
        <v>3603</v>
      </c>
      <c r="I243" s="49">
        <v>1754</v>
      </c>
      <c r="J243" s="49">
        <v>1925</v>
      </c>
      <c r="K243" s="49">
        <v>4181</v>
      </c>
      <c r="L243" s="49">
        <v>3337</v>
      </c>
      <c r="M243" s="49">
        <v>1158</v>
      </c>
      <c r="N243" s="49">
        <v>1928</v>
      </c>
      <c r="O243" s="49">
        <v>2623</v>
      </c>
      <c r="P243" s="49">
        <v>4057</v>
      </c>
      <c r="Q243" s="49">
        <v>983</v>
      </c>
      <c r="R243" s="49">
        <v>2577</v>
      </c>
      <c r="S243" s="131">
        <v>3765</v>
      </c>
      <c r="T243" s="49">
        <v>4541</v>
      </c>
      <c r="U243" s="49">
        <v>1592</v>
      </c>
      <c r="V243" s="49">
        <v>3274</v>
      </c>
      <c r="W243" s="132">
        <v>6004</v>
      </c>
      <c r="X243" s="100">
        <v>4.2523282375680933E-2</v>
      </c>
      <c r="Y243" s="100">
        <v>5.1323108039777583E-2</v>
      </c>
      <c r="Z243" s="100">
        <v>5.587174348697399E-2</v>
      </c>
      <c r="AA243" s="113">
        <v>0.16998177953234131</v>
      </c>
    </row>
    <row r="244" spans="1:27" ht="15" x14ac:dyDescent="0.25">
      <c r="A244" s="4">
        <v>260130</v>
      </c>
      <c r="B244" s="20">
        <v>6777</v>
      </c>
      <c r="C244" s="10" t="s">
        <v>67</v>
      </c>
      <c r="D244" s="37" t="s">
        <v>844</v>
      </c>
      <c r="E244" s="10" t="s">
        <v>817</v>
      </c>
      <c r="F244" s="99">
        <v>15.1</v>
      </c>
      <c r="G244" s="49">
        <v>378</v>
      </c>
      <c r="H244" s="49">
        <v>633</v>
      </c>
      <c r="I244" s="49">
        <v>867</v>
      </c>
      <c r="J244" s="49">
        <v>864</v>
      </c>
      <c r="K244" s="131">
        <v>916</v>
      </c>
      <c r="L244" s="131">
        <v>1336</v>
      </c>
      <c r="M244" s="49">
        <v>785</v>
      </c>
      <c r="N244" s="49">
        <v>968</v>
      </c>
      <c r="O244" s="49">
        <v>1292</v>
      </c>
      <c r="P244" s="131">
        <v>2519</v>
      </c>
      <c r="Q244" s="131">
        <v>2045</v>
      </c>
      <c r="R244" s="131">
        <v>1820</v>
      </c>
      <c r="S244" s="49">
        <v>1558</v>
      </c>
      <c r="T244" s="49">
        <v>2006</v>
      </c>
      <c r="U244" s="49">
        <v>2077</v>
      </c>
      <c r="V244" s="49">
        <v>2043</v>
      </c>
      <c r="W244" s="132">
        <v>2718</v>
      </c>
      <c r="X244" s="100">
        <v>-6.4593301435406647E-2</v>
      </c>
      <c r="Y244" s="100">
        <v>4.3074438013190894E-3</v>
      </c>
      <c r="Z244" s="100">
        <v>2.9888754858597991E-2</v>
      </c>
      <c r="AA244" s="113">
        <v>0.15096304008329001</v>
      </c>
    </row>
    <row r="245" spans="1:27" ht="15" x14ac:dyDescent="0.25">
      <c r="A245" s="4">
        <v>260130</v>
      </c>
      <c r="B245" s="20">
        <v>6331</v>
      </c>
      <c r="C245" s="10" t="s">
        <v>67</v>
      </c>
      <c r="D245" s="37" t="s">
        <v>845</v>
      </c>
      <c r="E245" s="10" t="s">
        <v>817</v>
      </c>
      <c r="F245" s="99">
        <v>14.9</v>
      </c>
      <c r="G245" s="49">
        <v>68</v>
      </c>
      <c r="H245" s="49">
        <v>1334</v>
      </c>
      <c r="I245" s="49">
        <v>344</v>
      </c>
      <c r="J245" s="49">
        <v>1560</v>
      </c>
      <c r="K245" s="49">
        <v>200</v>
      </c>
      <c r="L245" s="49">
        <v>418</v>
      </c>
      <c r="M245" s="49">
        <v>336</v>
      </c>
      <c r="N245" s="131">
        <v>1842</v>
      </c>
      <c r="O245" s="131">
        <v>1128</v>
      </c>
      <c r="P245" s="131">
        <v>1106</v>
      </c>
      <c r="Q245" s="131">
        <v>1101</v>
      </c>
      <c r="R245" s="49">
        <v>1165</v>
      </c>
      <c r="S245" s="49">
        <v>1363</v>
      </c>
      <c r="T245" s="131">
        <v>2067</v>
      </c>
      <c r="U245" s="49">
        <v>1442</v>
      </c>
      <c r="V245" s="131">
        <v>2240</v>
      </c>
      <c r="W245" s="132">
        <v>2424</v>
      </c>
      <c r="X245" s="113">
        <v>0.20295670538542779</v>
      </c>
      <c r="Y245" s="100">
        <v>5.9866573033707793E-2</v>
      </c>
      <c r="Z245" s="113">
        <v>0.178068577107835</v>
      </c>
      <c r="AA245" s="113">
        <v>0.1491844769403825</v>
      </c>
    </row>
    <row r="246" spans="1:27" ht="15" x14ac:dyDescent="0.25">
      <c r="A246" s="4">
        <v>260130</v>
      </c>
      <c r="B246" s="20">
        <v>2127</v>
      </c>
      <c r="C246" s="10" t="s">
        <v>67</v>
      </c>
      <c r="D246" s="37" t="s">
        <v>850</v>
      </c>
      <c r="E246" s="10" t="s">
        <v>817</v>
      </c>
      <c r="F246" s="99">
        <v>13.6</v>
      </c>
      <c r="G246" s="49">
        <v>3993</v>
      </c>
      <c r="H246" s="49">
        <v>888</v>
      </c>
      <c r="I246" s="49">
        <v>3617</v>
      </c>
      <c r="J246" s="49">
        <v>4382</v>
      </c>
      <c r="K246" s="49">
        <v>3117</v>
      </c>
      <c r="L246" s="131">
        <v>4182</v>
      </c>
      <c r="M246" s="49">
        <v>1716</v>
      </c>
      <c r="N246" s="49">
        <v>4388</v>
      </c>
      <c r="O246" s="131">
        <v>5130</v>
      </c>
      <c r="P246" s="49">
        <v>4833</v>
      </c>
      <c r="Q246" s="49">
        <v>1603</v>
      </c>
      <c r="R246" s="49">
        <v>4322</v>
      </c>
      <c r="S246" s="49">
        <v>4628</v>
      </c>
      <c r="T246" s="49">
        <v>6162</v>
      </c>
      <c r="U246" s="49">
        <v>2510</v>
      </c>
      <c r="V246" s="49">
        <v>5889</v>
      </c>
      <c r="W246" s="132">
        <v>7243</v>
      </c>
      <c r="X246" s="100">
        <v>8.6377226049655587E-2</v>
      </c>
      <c r="Y246" s="100">
        <v>5.4262638348788528E-2</v>
      </c>
      <c r="Z246" s="100">
        <v>8.8922937237543964E-2</v>
      </c>
      <c r="AA246" s="113">
        <v>0.1362759914534368</v>
      </c>
    </row>
    <row r="247" spans="1:27" ht="15" x14ac:dyDescent="0.25">
      <c r="A247" s="4">
        <v>260130</v>
      </c>
      <c r="B247" s="20">
        <v>9202</v>
      </c>
      <c r="C247" s="10" t="s">
        <v>67</v>
      </c>
      <c r="D247" s="37" t="s">
        <v>867</v>
      </c>
      <c r="E247" s="10" t="s">
        <v>817</v>
      </c>
      <c r="F247" s="99">
        <v>12.8</v>
      </c>
      <c r="G247" s="49">
        <v>190</v>
      </c>
      <c r="H247" s="49">
        <v>-57310</v>
      </c>
      <c r="I247" s="49">
        <v>-1321</v>
      </c>
      <c r="J247" s="49">
        <v>32768</v>
      </c>
      <c r="K247" s="49">
        <v>67535</v>
      </c>
      <c r="L247" s="131">
        <v>21048</v>
      </c>
      <c r="M247" s="131">
        <v>43784</v>
      </c>
      <c r="N247" s="131">
        <v>85953</v>
      </c>
      <c r="O247" s="49">
        <v>80377</v>
      </c>
      <c r="P247" s="49">
        <v>-2203</v>
      </c>
      <c r="Q247" s="49">
        <v>30354</v>
      </c>
      <c r="R247" s="49">
        <v>78020</v>
      </c>
      <c r="S247" s="49">
        <v>59261</v>
      </c>
      <c r="T247" s="131">
        <v>29004</v>
      </c>
      <c r="U247" s="49">
        <v>36786</v>
      </c>
      <c r="V247" s="49">
        <v>60842</v>
      </c>
      <c r="W247" s="132">
        <v>83086</v>
      </c>
      <c r="X247" s="113">
        <v>0.18863944097877081</v>
      </c>
      <c r="Y247" s="100">
        <v>3.2709686277900163E-2</v>
      </c>
      <c r="Z247" s="100">
        <v>-8.4591103604158113E-2</v>
      </c>
      <c r="AA247" s="113">
        <v>0.1281651272506226</v>
      </c>
    </row>
    <row r="248" spans="1:27" ht="15" x14ac:dyDescent="0.25">
      <c r="A248" s="4">
        <v>260130</v>
      </c>
      <c r="B248" s="20">
        <v>7327</v>
      </c>
      <c r="C248" s="10" t="s">
        <v>67</v>
      </c>
      <c r="D248" s="37" t="s">
        <v>858</v>
      </c>
      <c r="E248" s="10" t="s">
        <v>817</v>
      </c>
      <c r="F248" s="99">
        <v>12.5</v>
      </c>
      <c r="G248" s="49">
        <v>5476</v>
      </c>
      <c r="H248" s="49">
        <v>6490</v>
      </c>
      <c r="I248" s="49">
        <v>11503</v>
      </c>
      <c r="J248" s="49">
        <v>6157</v>
      </c>
      <c r="K248" s="49">
        <v>3822</v>
      </c>
      <c r="L248" s="49">
        <v>3467</v>
      </c>
      <c r="M248" s="131">
        <v>14772</v>
      </c>
      <c r="N248" s="49">
        <v>4286</v>
      </c>
      <c r="O248" s="131">
        <v>6881</v>
      </c>
      <c r="P248" s="49">
        <v>3818</v>
      </c>
      <c r="Q248" s="49">
        <v>15101</v>
      </c>
      <c r="R248" s="49">
        <v>5519</v>
      </c>
      <c r="S248" s="49">
        <v>9208</v>
      </c>
      <c r="T248" s="131">
        <v>11346</v>
      </c>
      <c r="U248" s="49">
        <v>17701</v>
      </c>
      <c r="V248" s="131">
        <v>14472</v>
      </c>
      <c r="W248" s="132">
        <v>15779</v>
      </c>
      <c r="X248" s="113">
        <v>0.22374130654461141</v>
      </c>
      <c r="Y248" s="100">
        <v>6.3146645941613677E-2</v>
      </c>
      <c r="Z248" s="113">
        <v>0.20452780189153369</v>
      </c>
      <c r="AA248" s="113">
        <v>0.12462305839512949</v>
      </c>
    </row>
    <row r="249" spans="1:27" ht="15" x14ac:dyDescent="0.25">
      <c r="A249" s="4">
        <v>260130</v>
      </c>
      <c r="B249" s="20">
        <v>6135</v>
      </c>
      <c r="C249" s="10" t="s">
        <v>67</v>
      </c>
      <c r="D249" s="37" t="s">
        <v>861</v>
      </c>
      <c r="E249" s="10" t="s">
        <v>817</v>
      </c>
      <c r="F249" s="99">
        <v>12.3</v>
      </c>
      <c r="G249" s="49">
        <v>2356</v>
      </c>
      <c r="H249" s="49">
        <v>6106</v>
      </c>
      <c r="I249" s="49">
        <v>1643</v>
      </c>
      <c r="J249" s="49">
        <v>3761</v>
      </c>
      <c r="K249" s="131">
        <v>6207</v>
      </c>
      <c r="L249" s="49">
        <v>5883</v>
      </c>
      <c r="M249" s="131">
        <v>4267</v>
      </c>
      <c r="N249" s="49">
        <v>3510</v>
      </c>
      <c r="O249" s="49">
        <v>4380</v>
      </c>
      <c r="P249" s="49">
        <v>4216</v>
      </c>
      <c r="Q249" s="49">
        <v>2960</v>
      </c>
      <c r="R249" s="49">
        <v>4616</v>
      </c>
      <c r="S249" s="49">
        <v>5656</v>
      </c>
      <c r="T249" s="49">
        <v>5285</v>
      </c>
      <c r="U249" s="49">
        <v>3201</v>
      </c>
      <c r="V249" s="49">
        <v>6300</v>
      </c>
      <c r="W249" s="132">
        <v>8175</v>
      </c>
      <c r="X249" s="100">
        <v>6.1267767079321363E-2</v>
      </c>
      <c r="Y249" s="100">
        <v>1.301506723551338E-2</v>
      </c>
      <c r="Z249" s="100">
        <v>8.9775029320823041E-2</v>
      </c>
      <c r="AA249" s="113">
        <v>0.123226690147735</v>
      </c>
    </row>
    <row r="250" spans="1:27" ht="15" x14ac:dyDescent="0.25">
      <c r="A250" s="4">
        <v>260130</v>
      </c>
      <c r="B250" s="20">
        <v>6196</v>
      </c>
      <c r="C250" s="10" t="s">
        <v>67</v>
      </c>
      <c r="D250" s="37" t="s">
        <v>853</v>
      </c>
      <c r="E250" s="10" t="s">
        <v>821</v>
      </c>
      <c r="F250" s="99">
        <v>11.3</v>
      </c>
      <c r="G250" s="49">
        <v>893</v>
      </c>
      <c r="H250" s="49">
        <v>1101</v>
      </c>
      <c r="I250" s="49">
        <v>608</v>
      </c>
      <c r="J250" s="49">
        <v>1623</v>
      </c>
      <c r="K250" s="49">
        <v>559</v>
      </c>
      <c r="L250" s="49">
        <v>1467</v>
      </c>
      <c r="M250" s="49">
        <v>921</v>
      </c>
      <c r="N250" s="131">
        <v>2255</v>
      </c>
      <c r="O250" s="131">
        <v>1346</v>
      </c>
      <c r="P250" s="131">
        <v>2360</v>
      </c>
      <c r="Q250" s="49">
        <v>1281</v>
      </c>
      <c r="R250" s="49">
        <v>1785</v>
      </c>
      <c r="S250" s="49">
        <v>531.16999999999996</v>
      </c>
      <c r="T250" s="49">
        <v>1909</v>
      </c>
      <c r="U250" s="49">
        <v>1671</v>
      </c>
      <c r="V250" s="49">
        <v>2222</v>
      </c>
      <c r="W250" s="132">
        <v>1249</v>
      </c>
      <c r="X250" s="100">
        <v>-7.5707089104390168E-2</v>
      </c>
      <c r="Y250" s="100">
        <v>7.0829632939048315E-2</v>
      </c>
      <c r="Z250" s="100">
        <v>7.4115909141018621E-2</v>
      </c>
      <c r="AA250" s="113">
        <v>0.11334450204242109</v>
      </c>
    </row>
    <row r="251" spans="1:27" ht="15" x14ac:dyDescent="0.25">
      <c r="A251" s="4">
        <v>260130</v>
      </c>
      <c r="B251" s="20">
        <v>8308</v>
      </c>
      <c r="C251" s="10" t="s">
        <v>67</v>
      </c>
      <c r="D251" s="37" t="s">
        <v>854</v>
      </c>
      <c r="E251" s="10" t="s">
        <v>817</v>
      </c>
      <c r="F251" s="99">
        <v>11</v>
      </c>
      <c r="G251" s="49">
        <v>62877</v>
      </c>
      <c r="H251" s="49">
        <v>-23608</v>
      </c>
      <c r="I251" s="49">
        <v>46457</v>
      </c>
      <c r="J251" s="49">
        <v>68790</v>
      </c>
      <c r="K251" s="49">
        <v>58300</v>
      </c>
      <c r="L251" s="131">
        <v>51499</v>
      </c>
      <c r="M251" s="49">
        <v>46941</v>
      </c>
      <c r="N251" s="49">
        <v>67038</v>
      </c>
      <c r="O251" s="49">
        <v>44692</v>
      </c>
      <c r="P251" s="49">
        <v>64333</v>
      </c>
      <c r="Q251" s="131">
        <v>76395</v>
      </c>
      <c r="R251" s="49">
        <v>82173</v>
      </c>
      <c r="S251" s="131">
        <v>76016</v>
      </c>
      <c r="T251" s="49">
        <v>59358</v>
      </c>
      <c r="U251" s="49">
        <v>97308</v>
      </c>
      <c r="V251" s="49">
        <v>101819</v>
      </c>
      <c r="W251" s="132">
        <v>112889</v>
      </c>
      <c r="X251" s="100">
        <v>-1.6643416065329149E-2</v>
      </c>
      <c r="Y251" s="100">
        <v>7.1146688802552926E-2</v>
      </c>
      <c r="Z251" s="100">
        <v>6.2396976385955538E-2</v>
      </c>
      <c r="AA251" s="113">
        <v>0.1102328543113473</v>
      </c>
    </row>
    <row r="252" spans="1:27" ht="15" x14ac:dyDescent="0.25">
      <c r="A252" s="4">
        <v>260130</v>
      </c>
      <c r="B252" s="20">
        <v>8388</v>
      </c>
      <c r="C252" s="10" t="s">
        <v>67</v>
      </c>
      <c r="D252" s="37" t="s">
        <v>859</v>
      </c>
      <c r="E252" s="10" t="s">
        <v>817</v>
      </c>
      <c r="F252" s="99">
        <v>11</v>
      </c>
      <c r="G252" s="49">
        <v>4797</v>
      </c>
      <c r="H252" s="49">
        <v>4168</v>
      </c>
      <c r="I252" s="49">
        <v>5793</v>
      </c>
      <c r="J252" s="49">
        <v>1660</v>
      </c>
      <c r="K252" s="49">
        <v>3219</v>
      </c>
      <c r="L252" s="49">
        <v>3970</v>
      </c>
      <c r="M252" s="49">
        <v>3951</v>
      </c>
      <c r="N252" s="131">
        <v>3760</v>
      </c>
      <c r="O252" s="131">
        <v>4775</v>
      </c>
      <c r="P252" s="49">
        <v>3487</v>
      </c>
      <c r="Q252" s="49">
        <v>5147</v>
      </c>
      <c r="R252" s="49">
        <v>4344</v>
      </c>
      <c r="S252" s="49">
        <v>3155</v>
      </c>
      <c r="T252" s="49">
        <v>4139</v>
      </c>
      <c r="U252" s="49">
        <v>5808</v>
      </c>
      <c r="V252" s="131">
        <v>6342</v>
      </c>
      <c r="W252" s="132">
        <v>5291</v>
      </c>
      <c r="X252" s="100">
        <v>4.0414058141697178E-2</v>
      </c>
      <c r="Y252" s="100">
        <v>3.9380399165922057E-2</v>
      </c>
      <c r="Z252" s="113">
        <v>0.1145248194428523</v>
      </c>
      <c r="AA252" s="113">
        <v>0.10985393951861749</v>
      </c>
    </row>
    <row r="253" spans="1:27" ht="15" x14ac:dyDescent="0.25">
      <c r="A253" s="4">
        <v>260130</v>
      </c>
      <c r="B253" s="20">
        <v>8341</v>
      </c>
      <c r="C253" s="10" t="s">
        <v>67</v>
      </c>
      <c r="D253" s="37" t="s">
        <v>855</v>
      </c>
      <c r="E253" s="10" t="s">
        <v>817</v>
      </c>
      <c r="F253" s="99">
        <v>10.3</v>
      </c>
      <c r="G253" s="49">
        <v>7952</v>
      </c>
      <c r="H253" s="49">
        <v>6495</v>
      </c>
      <c r="I253" s="49">
        <v>11640</v>
      </c>
      <c r="J253" s="49">
        <v>7840</v>
      </c>
      <c r="K253" s="49">
        <v>9468</v>
      </c>
      <c r="L253" s="49">
        <v>6463</v>
      </c>
      <c r="M253" s="49">
        <v>12564</v>
      </c>
      <c r="N253" s="131">
        <v>12810</v>
      </c>
      <c r="O253" s="49">
        <v>10642</v>
      </c>
      <c r="P253" s="49">
        <v>8190</v>
      </c>
      <c r="Q253" s="49">
        <v>16521</v>
      </c>
      <c r="R253" s="49">
        <v>12161</v>
      </c>
      <c r="S253" s="131">
        <v>16111</v>
      </c>
      <c r="T253" s="49">
        <v>11470</v>
      </c>
      <c r="U253" s="49">
        <v>17645</v>
      </c>
      <c r="V253" s="49">
        <v>17477</v>
      </c>
      <c r="W253" s="132">
        <v>22551</v>
      </c>
      <c r="X253" s="100">
        <v>6.1906649302606587E-2</v>
      </c>
      <c r="Y253" s="100">
        <v>1.99776051756928E-2</v>
      </c>
      <c r="Z253" s="100">
        <v>9.2634220293794867E-2</v>
      </c>
      <c r="AA253" s="113">
        <v>0.1027064095816788</v>
      </c>
    </row>
    <row r="254" spans="1:27" ht="15" x14ac:dyDescent="0.25">
      <c r="A254" s="4">
        <v>260130</v>
      </c>
      <c r="B254" s="20">
        <v>9715</v>
      </c>
      <c r="C254" s="10" t="s">
        <v>67</v>
      </c>
      <c r="D254" s="37" t="s">
        <v>880</v>
      </c>
      <c r="E254" s="10" t="s">
        <v>817</v>
      </c>
      <c r="F254" s="38">
        <v>9.6999999999999993</v>
      </c>
      <c r="G254" s="49">
        <v>8390</v>
      </c>
      <c r="H254" s="49">
        <v>6690</v>
      </c>
      <c r="I254" s="49">
        <v>7925</v>
      </c>
      <c r="J254" s="49">
        <v>4771</v>
      </c>
      <c r="K254" s="49">
        <v>4540</v>
      </c>
      <c r="L254" s="49">
        <v>6055</v>
      </c>
      <c r="M254" s="49">
        <v>2223</v>
      </c>
      <c r="N254" s="49">
        <v>3619</v>
      </c>
      <c r="O254" s="49">
        <v>2915</v>
      </c>
      <c r="P254" s="49">
        <v>2665</v>
      </c>
      <c r="Q254" s="49">
        <v>3044</v>
      </c>
      <c r="R254" s="49">
        <v>3718</v>
      </c>
      <c r="S254" s="49">
        <v>3880</v>
      </c>
      <c r="T254" s="49">
        <v>3365</v>
      </c>
      <c r="U254" s="49">
        <v>3683</v>
      </c>
      <c r="V254" s="49">
        <v>4359</v>
      </c>
      <c r="W254" s="52">
        <v>5368</v>
      </c>
      <c r="X254" s="100">
        <v>5.2603892688058977E-2</v>
      </c>
      <c r="Y254" s="100">
        <v>4.5620047119297569E-2</v>
      </c>
      <c r="Z254" s="100">
        <v>4.376621603168096E-2</v>
      </c>
      <c r="AA254" s="100">
        <v>9.7337607117158331E-2</v>
      </c>
    </row>
    <row r="255" spans="1:27" ht="15" x14ac:dyDescent="0.25">
      <c r="A255" s="4">
        <v>260130</v>
      </c>
      <c r="B255" s="20">
        <v>7943</v>
      </c>
      <c r="C255" s="10" t="s">
        <v>67</v>
      </c>
      <c r="D255" s="37" t="s">
        <v>917</v>
      </c>
      <c r="E255" s="10" t="s">
        <v>817</v>
      </c>
      <c r="F255" s="38">
        <v>9</v>
      </c>
      <c r="G255" s="49">
        <v>3852</v>
      </c>
      <c r="H255" s="49">
        <v>2108</v>
      </c>
      <c r="I255" s="49">
        <v>2648</v>
      </c>
      <c r="J255" s="49">
        <v>2818</v>
      </c>
      <c r="K255" s="49">
        <v>2943</v>
      </c>
      <c r="L255" s="131">
        <v>3295</v>
      </c>
      <c r="M255" s="49">
        <v>1627</v>
      </c>
      <c r="N255" s="49">
        <v>2178</v>
      </c>
      <c r="O255" s="49">
        <v>3867</v>
      </c>
      <c r="P255" s="49">
        <v>2534</v>
      </c>
      <c r="Q255" s="49">
        <v>1706</v>
      </c>
      <c r="R255" s="49">
        <v>1730</v>
      </c>
      <c r="S255" s="49">
        <v>2151</v>
      </c>
      <c r="T255" s="49">
        <v>1365</v>
      </c>
      <c r="U255" s="49">
        <v>1165</v>
      </c>
      <c r="V255" s="49">
        <v>2330</v>
      </c>
      <c r="W255" s="52">
        <v>2780</v>
      </c>
      <c r="X255" s="100">
        <v>-0.1439477896810738</v>
      </c>
      <c r="Y255" s="100">
        <v>-7.781933256616802E-2</v>
      </c>
      <c r="Z255" s="100">
        <v>9.3589143659335461E-2</v>
      </c>
      <c r="AA255" s="100">
        <v>8.9716160319498028E-2</v>
      </c>
    </row>
    <row r="256" spans="1:27" ht="15" x14ac:dyDescent="0.25">
      <c r="A256" s="4">
        <v>260130</v>
      </c>
      <c r="B256" s="20">
        <v>1976</v>
      </c>
      <c r="C256" s="10" t="s">
        <v>67</v>
      </c>
      <c r="D256" s="37" t="s">
        <v>905</v>
      </c>
      <c r="E256" s="10" t="s">
        <v>817</v>
      </c>
      <c r="F256" s="38">
        <v>6.6</v>
      </c>
      <c r="G256" s="49">
        <v>1397</v>
      </c>
      <c r="H256" s="49">
        <v>1984</v>
      </c>
      <c r="I256" s="49">
        <v>1090</v>
      </c>
      <c r="J256" s="49">
        <v>1710</v>
      </c>
      <c r="K256" s="49">
        <v>1467</v>
      </c>
      <c r="L256" s="49">
        <v>2568</v>
      </c>
      <c r="M256" s="49">
        <v>813</v>
      </c>
      <c r="N256" s="49">
        <v>1910</v>
      </c>
      <c r="O256" s="49">
        <v>2045</v>
      </c>
      <c r="P256" s="49">
        <v>3294</v>
      </c>
      <c r="Q256" s="49">
        <v>1527</v>
      </c>
      <c r="R256" s="49">
        <v>2427</v>
      </c>
      <c r="S256" s="49">
        <v>2057</v>
      </c>
      <c r="T256" s="131">
        <v>4632</v>
      </c>
      <c r="U256" s="49">
        <v>1065</v>
      </c>
      <c r="V256" s="49">
        <v>1735</v>
      </c>
      <c r="W256" s="52">
        <v>2682</v>
      </c>
      <c r="X256" s="113">
        <v>0.14379365932294469</v>
      </c>
      <c r="Y256" s="100">
        <v>-4.34088133045194E-2</v>
      </c>
      <c r="Z256" s="100">
        <v>-6.7969747569001093E-2</v>
      </c>
      <c r="AA256" s="100">
        <v>6.5865739277057633E-2</v>
      </c>
    </row>
    <row r="257" spans="1:27" ht="15" x14ac:dyDescent="0.25">
      <c r="A257" s="4">
        <v>260130</v>
      </c>
      <c r="B257" s="20">
        <v>9719</v>
      </c>
      <c r="C257" s="10" t="s">
        <v>67</v>
      </c>
      <c r="D257" s="37" t="s">
        <v>849</v>
      </c>
      <c r="E257" s="10" t="s">
        <v>817</v>
      </c>
      <c r="F257" s="38">
        <v>6.5</v>
      </c>
      <c r="G257" s="49">
        <v>12185</v>
      </c>
      <c r="H257" s="49">
        <v>12906</v>
      </c>
      <c r="I257" s="49">
        <v>9937</v>
      </c>
      <c r="J257" s="49">
        <v>12579</v>
      </c>
      <c r="K257" s="49">
        <v>12665</v>
      </c>
      <c r="L257" s="49">
        <v>16203</v>
      </c>
      <c r="M257" s="49">
        <v>12951</v>
      </c>
      <c r="N257" s="49">
        <v>13976</v>
      </c>
      <c r="O257" s="49">
        <v>14063</v>
      </c>
      <c r="P257" s="49">
        <v>16089</v>
      </c>
      <c r="Q257" s="49">
        <v>12914</v>
      </c>
      <c r="R257" s="49">
        <v>14045</v>
      </c>
      <c r="S257" s="49">
        <v>15936</v>
      </c>
      <c r="T257" s="131">
        <v>24920</v>
      </c>
      <c r="U257" s="131">
        <v>20112</v>
      </c>
      <c r="V257" s="49">
        <v>21495</v>
      </c>
      <c r="W257" s="52">
        <v>21306</v>
      </c>
      <c r="X257" s="113">
        <v>0.1497185677471857</v>
      </c>
      <c r="Y257" s="113">
        <v>0.10614170906141721</v>
      </c>
      <c r="Z257" s="100">
        <v>9.9316118539453102E-2</v>
      </c>
      <c r="AA257" s="100">
        <v>6.512011447558308E-2</v>
      </c>
    </row>
    <row r="258" spans="1:27" ht="15" x14ac:dyDescent="0.25">
      <c r="A258" s="4">
        <v>260130</v>
      </c>
      <c r="B258" s="20">
        <v>5334</v>
      </c>
      <c r="C258" s="10" t="s">
        <v>67</v>
      </c>
      <c r="D258" s="37" t="s">
        <v>875</v>
      </c>
      <c r="E258" s="10" t="s">
        <v>817</v>
      </c>
      <c r="F258" s="38">
        <v>6.2</v>
      </c>
      <c r="G258" s="49">
        <v>20662</v>
      </c>
      <c r="H258" s="49">
        <v>12245</v>
      </c>
      <c r="I258" s="49">
        <v>27433</v>
      </c>
      <c r="J258" s="49">
        <v>25810</v>
      </c>
      <c r="K258" s="49">
        <v>27033</v>
      </c>
      <c r="L258" s="49">
        <v>7796</v>
      </c>
      <c r="M258" s="49">
        <v>28048</v>
      </c>
      <c r="N258" s="49">
        <v>28188</v>
      </c>
      <c r="O258" s="49">
        <v>30556</v>
      </c>
      <c r="P258" s="131">
        <v>18794</v>
      </c>
      <c r="Q258" s="131">
        <v>38670</v>
      </c>
      <c r="R258" s="49">
        <v>32989</v>
      </c>
      <c r="S258" s="49">
        <v>30852</v>
      </c>
      <c r="T258" s="49">
        <v>24304</v>
      </c>
      <c r="U258" s="49">
        <v>33510</v>
      </c>
      <c r="V258" s="49">
        <v>37858</v>
      </c>
      <c r="W258" s="52">
        <v>38650</v>
      </c>
      <c r="X258" s="100">
        <v>4.5422694860063562E-2</v>
      </c>
      <c r="Y258" s="100">
        <v>-4.0689192918818777E-2</v>
      </c>
      <c r="Z258" s="100">
        <v>4.0023015905634729E-2</v>
      </c>
      <c r="AA258" s="100">
        <v>6.1632575637823761E-2</v>
      </c>
    </row>
    <row r="259" spans="1:27" ht="15" x14ac:dyDescent="0.25">
      <c r="A259" s="4">
        <v>260130</v>
      </c>
      <c r="B259" s="20">
        <v>9759</v>
      </c>
      <c r="C259" s="10" t="s">
        <v>67</v>
      </c>
      <c r="D259" s="37" t="s">
        <v>873</v>
      </c>
      <c r="E259" s="10" t="s">
        <v>817</v>
      </c>
      <c r="F259" s="38">
        <v>5.7</v>
      </c>
      <c r="G259" s="49">
        <v>3062</v>
      </c>
      <c r="H259" s="49">
        <v>3129</v>
      </c>
      <c r="I259" s="49">
        <v>2889</v>
      </c>
      <c r="J259" s="49">
        <v>3081</v>
      </c>
      <c r="K259" s="49">
        <v>3262</v>
      </c>
      <c r="L259" s="49">
        <v>3293</v>
      </c>
      <c r="M259" s="49">
        <v>3377</v>
      </c>
      <c r="N259" s="49">
        <v>3988</v>
      </c>
      <c r="O259" s="49">
        <v>3763</v>
      </c>
      <c r="P259" s="49">
        <v>4052</v>
      </c>
      <c r="Q259" s="49">
        <v>3298</v>
      </c>
      <c r="R259" s="49">
        <v>4230</v>
      </c>
      <c r="S259" s="49">
        <v>4659</v>
      </c>
      <c r="T259" s="49">
        <v>4663</v>
      </c>
      <c r="U259" s="49">
        <v>3563</v>
      </c>
      <c r="V259" s="49">
        <v>4676</v>
      </c>
      <c r="W259" s="52">
        <v>5652</v>
      </c>
      <c r="X259" s="100">
        <v>3.7625469548617563E-2</v>
      </c>
      <c r="Y259" s="100">
        <v>1.5727002967359072E-2</v>
      </c>
      <c r="Z259" s="100">
        <v>2.6059012562080101E-2</v>
      </c>
      <c r="AA259" s="100">
        <v>5.6545754797562742E-2</v>
      </c>
    </row>
    <row r="260" spans="1:27" ht="15" x14ac:dyDescent="0.25">
      <c r="A260" s="4">
        <v>260130</v>
      </c>
      <c r="B260" s="20">
        <v>1959</v>
      </c>
      <c r="C260" s="10" t="s">
        <v>67</v>
      </c>
      <c r="D260" s="37" t="s">
        <v>902</v>
      </c>
      <c r="E260" s="10" t="s">
        <v>817</v>
      </c>
      <c r="F260" s="38">
        <v>5.3</v>
      </c>
      <c r="G260" s="49">
        <v>5083</v>
      </c>
      <c r="H260" s="49">
        <v>16361</v>
      </c>
      <c r="I260" s="49">
        <v>2901</v>
      </c>
      <c r="J260" s="49">
        <v>7398</v>
      </c>
      <c r="K260" s="49">
        <v>5296</v>
      </c>
      <c r="L260" s="49">
        <v>16471</v>
      </c>
      <c r="M260" s="49">
        <v>4809</v>
      </c>
      <c r="N260" s="49">
        <v>8884</v>
      </c>
      <c r="O260" s="131">
        <v>9532</v>
      </c>
      <c r="P260" s="49">
        <v>14676</v>
      </c>
      <c r="Q260" s="131">
        <v>10264</v>
      </c>
      <c r="R260" s="49">
        <v>7991</v>
      </c>
      <c r="S260" s="49">
        <v>11216</v>
      </c>
      <c r="T260" s="49">
        <v>11515</v>
      </c>
      <c r="U260" s="49">
        <v>11099</v>
      </c>
      <c r="V260" s="49">
        <v>11707</v>
      </c>
      <c r="W260" s="52">
        <v>13638</v>
      </c>
      <c r="X260" s="100">
        <v>-7.1601694339366251E-2</v>
      </c>
      <c r="Y260" s="100">
        <v>2.0372810227882621E-2</v>
      </c>
      <c r="Z260" s="100">
        <v>8.8854881518854123E-2</v>
      </c>
      <c r="AA260" s="100">
        <v>5.3187517842633543E-2</v>
      </c>
    </row>
    <row r="261" spans="1:27" ht="15" x14ac:dyDescent="0.25">
      <c r="A261" s="4">
        <v>260130</v>
      </c>
      <c r="B261" s="20">
        <v>2326</v>
      </c>
      <c r="C261" s="10" t="s">
        <v>67</v>
      </c>
      <c r="D261" s="37" t="s">
        <v>862</v>
      </c>
      <c r="E261" s="10" t="s">
        <v>817</v>
      </c>
      <c r="F261" s="38">
        <v>5.0999999999999996</v>
      </c>
      <c r="G261" s="49">
        <v>945</v>
      </c>
      <c r="H261" s="49">
        <v>1102</v>
      </c>
      <c r="I261" s="49">
        <v>1011</v>
      </c>
      <c r="J261" s="49">
        <v>1237</v>
      </c>
      <c r="K261" s="49">
        <v>981</v>
      </c>
      <c r="L261" s="49">
        <v>1185</v>
      </c>
      <c r="M261" s="49">
        <v>874</v>
      </c>
      <c r="N261" s="49">
        <v>1315</v>
      </c>
      <c r="O261" s="49">
        <v>935</v>
      </c>
      <c r="P261" s="49">
        <v>1305</v>
      </c>
      <c r="Q261" s="49">
        <v>839</v>
      </c>
      <c r="R261" s="49">
        <v>1215</v>
      </c>
      <c r="S261" s="49">
        <v>1092</v>
      </c>
      <c r="T261" s="49">
        <v>1414</v>
      </c>
      <c r="U261" s="49">
        <v>796</v>
      </c>
      <c r="V261" s="49">
        <v>1226</v>
      </c>
      <c r="W261" s="52">
        <v>1321</v>
      </c>
      <c r="X261" s="100">
        <v>2.4488878903617058E-2</v>
      </c>
      <c r="Y261" s="100">
        <v>-9.4298245614035103E-3</v>
      </c>
      <c r="Z261" s="100">
        <v>2.435244631392441E-3</v>
      </c>
      <c r="AA261" s="100">
        <v>5.0574204946996382E-2</v>
      </c>
    </row>
    <row r="262" spans="1:27" ht="15" x14ac:dyDescent="0.25">
      <c r="A262" s="4">
        <v>260130</v>
      </c>
      <c r="B262" s="20">
        <v>5332</v>
      </c>
      <c r="C262" s="10" t="s">
        <v>67</v>
      </c>
      <c r="D262" s="37" t="s">
        <v>883</v>
      </c>
      <c r="E262" s="10" t="s">
        <v>817</v>
      </c>
      <c r="F262" s="38">
        <v>5</v>
      </c>
      <c r="G262" s="49">
        <v>16414</v>
      </c>
      <c r="H262" s="49">
        <v>9154</v>
      </c>
      <c r="I262" s="49">
        <v>10207</v>
      </c>
      <c r="J262" s="49">
        <v>10443</v>
      </c>
      <c r="K262" s="131">
        <v>22945</v>
      </c>
      <c r="L262" s="49">
        <v>5527</v>
      </c>
      <c r="M262" s="49">
        <v>4002</v>
      </c>
      <c r="N262" s="49">
        <v>11268</v>
      </c>
      <c r="O262" s="49">
        <v>17640</v>
      </c>
      <c r="P262" s="131">
        <v>9857</v>
      </c>
      <c r="Q262" s="131">
        <v>9801</v>
      </c>
      <c r="R262" s="49">
        <v>14342</v>
      </c>
      <c r="S262" s="49">
        <v>17364</v>
      </c>
      <c r="T262" s="49">
        <v>6973</v>
      </c>
      <c r="U262" s="49">
        <v>8208</v>
      </c>
      <c r="V262" s="49">
        <v>12574</v>
      </c>
      <c r="W262" s="52">
        <v>19638</v>
      </c>
      <c r="X262" s="100">
        <v>-5.6148275056459807E-2</v>
      </c>
      <c r="Y262" s="100">
        <v>-3.2858910891089048E-2</v>
      </c>
      <c r="Z262" s="100">
        <v>-3.7707680167210489E-2</v>
      </c>
      <c r="AA262" s="100">
        <v>5.040005319266827E-2</v>
      </c>
    </row>
    <row r="263" spans="1:27" ht="15" x14ac:dyDescent="0.25">
      <c r="A263" s="4">
        <v>260130</v>
      </c>
      <c r="B263" s="20">
        <v>8803</v>
      </c>
      <c r="C263" s="10" t="s">
        <v>67</v>
      </c>
      <c r="D263" s="37" t="s">
        <v>851</v>
      </c>
      <c r="E263" s="10" t="s">
        <v>817</v>
      </c>
      <c r="F263" s="38">
        <v>4.9000000000000004</v>
      </c>
      <c r="G263" s="49">
        <v>2018</v>
      </c>
      <c r="H263" s="49">
        <v>3298</v>
      </c>
      <c r="I263" s="49">
        <v>2991</v>
      </c>
      <c r="J263" s="49">
        <v>2077</v>
      </c>
      <c r="K263" s="49">
        <v>1772</v>
      </c>
      <c r="L263" s="49">
        <v>3945</v>
      </c>
      <c r="M263" s="131">
        <v>6447</v>
      </c>
      <c r="N263" s="49">
        <v>2808</v>
      </c>
      <c r="O263" s="49">
        <v>1697</v>
      </c>
      <c r="P263" s="49">
        <v>2071</v>
      </c>
      <c r="Q263" s="49">
        <v>2962</v>
      </c>
      <c r="R263" s="49">
        <v>2292</v>
      </c>
      <c r="S263" s="49">
        <v>2227</v>
      </c>
      <c r="T263" s="131">
        <v>5716</v>
      </c>
      <c r="U263" s="49">
        <v>3439</v>
      </c>
      <c r="V263" s="49">
        <v>2328</v>
      </c>
      <c r="W263" s="52">
        <v>2893</v>
      </c>
      <c r="X263" s="113">
        <v>0.38159547738693478</v>
      </c>
      <c r="Y263" s="100">
        <v>3.6144578313253017E-2</v>
      </c>
      <c r="Z263" s="100">
        <v>2.6327336551119629E-3</v>
      </c>
      <c r="AA263" s="100">
        <v>4.8577680525164091E-2</v>
      </c>
    </row>
    <row r="264" spans="1:27" ht="15" x14ac:dyDescent="0.25">
      <c r="A264" s="4">
        <v>260130</v>
      </c>
      <c r="B264" s="20">
        <v>8818</v>
      </c>
      <c r="C264" s="10" t="s">
        <v>67</v>
      </c>
      <c r="D264" s="37" t="s">
        <v>901</v>
      </c>
      <c r="E264" s="10" t="s">
        <v>817</v>
      </c>
      <c r="F264" s="38">
        <v>4.8</v>
      </c>
      <c r="G264" s="49">
        <v>1415</v>
      </c>
      <c r="H264" s="49">
        <v>1348</v>
      </c>
      <c r="I264" s="49">
        <v>1461</v>
      </c>
      <c r="J264" s="49">
        <v>1612</v>
      </c>
      <c r="K264" s="49">
        <v>1275</v>
      </c>
      <c r="L264" s="49">
        <v>1028</v>
      </c>
      <c r="M264" s="49">
        <v>1399</v>
      </c>
      <c r="N264" s="49">
        <v>1436</v>
      </c>
      <c r="O264" s="49">
        <v>1351</v>
      </c>
      <c r="P264" s="49">
        <v>897</v>
      </c>
      <c r="Q264" s="49">
        <v>1425</v>
      </c>
      <c r="R264" s="49">
        <v>1337</v>
      </c>
      <c r="S264" s="49">
        <v>1256</v>
      </c>
      <c r="T264" s="49">
        <v>964.45</v>
      </c>
      <c r="U264" s="49">
        <v>1479</v>
      </c>
      <c r="V264" s="49">
        <v>1586</v>
      </c>
      <c r="W264" s="52">
        <v>1512</v>
      </c>
      <c r="X264" s="100">
        <v>1.3723296032553289E-2</v>
      </c>
      <c r="Y264" s="100">
        <v>1.0838041525755401E-2</v>
      </c>
      <c r="Z264" s="100">
        <v>4.9439585422271559E-2</v>
      </c>
      <c r="AA264" s="100">
        <v>4.8434854175141151E-2</v>
      </c>
    </row>
    <row r="265" spans="1:27" ht="15" x14ac:dyDescent="0.25">
      <c r="A265" s="4">
        <v>260130</v>
      </c>
      <c r="B265" s="20">
        <v>4205</v>
      </c>
      <c r="C265" s="10" t="s">
        <v>67</v>
      </c>
      <c r="D265" s="37" t="s">
        <v>904</v>
      </c>
      <c r="E265" s="10" t="s">
        <v>817</v>
      </c>
      <c r="F265" s="38">
        <v>4.5999999999999996</v>
      </c>
      <c r="G265" s="49">
        <v>11423</v>
      </c>
      <c r="H265" s="49">
        <v>7992</v>
      </c>
      <c r="I265" s="49">
        <v>10656</v>
      </c>
      <c r="J265" s="49">
        <v>9392</v>
      </c>
      <c r="K265" s="49">
        <v>7614</v>
      </c>
      <c r="L265" s="49">
        <v>-715</v>
      </c>
      <c r="M265" s="49">
        <v>5979</v>
      </c>
      <c r="N265" s="49">
        <v>3101</v>
      </c>
      <c r="O265" s="49">
        <v>6347</v>
      </c>
      <c r="P265" s="131">
        <v>4413</v>
      </c>
      <c r="Q265" s="131">
        <v>8694</v>
      </c>
      <c r="R265" s="131">
        <v>7823</v>
      </c>
      <c r="S265" s="49">
        <v>6801</v>
      </c>
      <c r="T265" s="49">
        <v>5081</v>
      </c>
      <c r="U265" s="131">
        <v>11890</v>
      </c>
      <c r="V265" s="49">
        <v>7462</v>
      </c>
      <c r="W265" s="52">
        <v>8248</v>
      </c>
      <c r="X265" s="100">
        <v>2.4088565143701949E-2</v>
      </c>
      <c r="Y265" s="113">
        <v>0.11253917391457451</v>
      </c>
      <c r="Z265" s="100">
        <v>-1.142585852191802E-2</v>
      </c>
      <c r="AA265" s="100">
        <v>4.6327719792533813E-2</v>
      </c>
    </row>
    <row r="266" spans="1:27" ht="15" x14ac:dyDescent="0.25">
      <c r="A266" s="4">
        <v>260130</v>
      </c>
      <c r="B266" s="20">
        <v>8377</v>
      </c>
      <c r="C266" s="10" t="s">
        <v>67</v>
      </c>
      <c r="D266" s="37" t="s">
        <v>860</v>
      </c>
      <c r="E266" s="10" t="s">
        <v>817</v>
      </c>
      <c r="F266" s="38">
        <v>4.5999999999999996</v>
      </c>
      <c r="G266" s="49">
        <v>11258</v>
      </c>
      <c r="H266" s="49">
        <v>3119</v>
      </c>
      <c r="I266" s="49">
        <v>8991</v>
      </c>
      <c r="J266" s="49">
        <v>5297</v>
      </c>
      <c r="K266" s="49">
        <v>7000</v>
      </c>
      <c r="L266" s="49">
        <v>4442</v>
      </c>
      <c r="M266" s="49">
        <v>7320</v>
      </c>
      <c r="N266" s="131">
        <v>9867</v>
      </c>
      <c r="O266" s="49">
        <v>5871</v>
      </c>
      <c r="P266" s="49">
        <v>2740</v>
      </c>
      <c r="Q266" s="131">
        <v>10906</v>
      </c>
      <c r="R266" s="131">
        <v>14384</v>
      </c>
      <c r="S266" s="131">
        <v>16906</v>
      </c>
      <c r="T266" s="131">
        <v>11543</v>
      </c>
      <c r="U266" s="131">
        <v>20032</v>
      </c>
      <c r="V266" s="131">
        <v>21439</v>
      </c>
      <c r="W266" s="52">
        <v>20105</v>
      </c>
      <c r="X266" s="113">
        <v>0.19590083674559369</v>
      </c>
      <c r="Y266" s="113">
        <v>0.16982080053592361</v>
      </c>
      <c r="Z266" s="113">
        <v>0.11222460828760041</v>
      </c>
      <c r="AA266" s="100">
        <v>4.5752288329519393E-2</v>
      </c>
    </row>
    <row r="267" spans="1:27" ht="15" x14ac:dyDescent="0.25">
      <c r="A267" s="4">
        <v>260130</v>
      </c>
      <c r="B267" s="20">
        <v>9531</v>
      </c>
      <c r="C267" s="10" t="s">
        <v>67</v>
      </c>
      <c r="D267" s="37" t="s">
        <v>871</v>
      </c>
      <c r="E267" s="10" t="s">
        <v>817</v>
      </c>
      <c r="F267" s="38">
        <v>4.3</v>
      </c>
      <c r="G267" s="49">
        <v>-7813</v>
      </c>
      <c r="H267" s="49">
        <v>80248</v>
      </c>
      <c r="I267" s="49">
        <v>51207</v>
      </c>
      <c r="J267" s="49">
        <v>39292</v>
      </c>
      <c r="K267" s="131">
        <v>145193</v>
      </c>
      <c r="L267" s="131">
        <v>185785</v>
      </c>
      <c r="M267" s="49">
        <v>92979</v>
      </c>
      <c r="N267" s="49">
        <v>36762</v>
      </c>
      <c r="O267" s="49">
        <v>33127</v>
      </c>
      <c r="P267" s="49">
        <v>57441</v>
      </c>
      <c r="Q267" s="49">
        <v>24915</v>
      </c>
      <c r="R267" s="49">
        <v>13317</v>
      </c>
      <c r="S267" s="49">
        <v>34722</v>
      </c>
      <c r="T267" s="49">
        <v>60138</v>
      </c>
      <c r="U267" s="131">
        <v>62524</v>
      </c>
      <c r="V267" s="131">
        <v>32771</v>
      </c>
      <c r="W267" s="52">
        <v>42963</v>
      </c>
      <c r="X267" s="100">
        <v>2.0683308409064741E-2</v>
      </c>
      <c r="Y267" s="113">
        <v>0.2825789679319568</v>
      </c>
      <c r="Z267" s="113">
        <v>0.1139653546259249</v>
      </c>
      <c r="AA267" s="100">
        <v>4.333832925771075E-2</v>
      </c>
    </row>
    <row r="268" spans="1:27" ht="15" x14ac:dyDescent="0.25">
      <c r="A268" s="4">
        <v>260130</v>
      </c>
      <c r="B268" s="20">
        <v>2805</v>
      </c>
      <c r="C268" s="10" t="s">
        <v>67</v>
      </c>
      <c r="D268" s="37" t="s">
        <v>884</v>
      </c>
      <c r="E268" s="10" t="s">
        <v>817</v>
      </c>
      <c r="F268" s="38">
        <v>4</v>
      </c>
      <c r="G268" s="49">
        <v>2880</v>
      </c>
      <c r="H268" s="49">
        <v>703</v>
      </c>
      <c r="I268" s="49">
        <v>2262</v>
      </c>
      <c r="J268" s="49">
        <v>1005</v>
      </c>
      <c r="K268" s="49">
        <v>2371</v>
      </c>
      <c r="L268" s="49">
        <v>-238</v>
      </c>
      <c r="M268" s="49">
        <v>1803</v>
      </c>
      <c r="N268" s="49">
        <v>1475</v>
      </c>
      <c r="O268" s="131">
        <v>3894</v>
      </c>
      <c r="P268" s="131">
        <v>607</v>
      </c>
      <c r="Q268" s="131">
        <v>3143</v>
      </c>
      <c r="R268" s="49">
        <v>1858</v>
      </c>
      <c r="S268" s="49">
        <v>4289</v>
      </c>
      <c r="T268" s="49">
        <v>152</v>
      </c>
      <c r="U268" s="49">
        <v>2638</v>
      </c>
      <c r="V268" s="49">
        <v>2063</v>
      </c>
      <c r="W268" s="52">
        <v>4656</v>
      </c>
      <c r="X268" s="100">
        <v>-4.5973527331514608E-2</v>
      </c>
      <c r="Y268" s="100">
        <v>-5.3484431264562593E-2</v>
      </c>
      <c r="Z268" s="100">
        <v>2.293834620118607E-2</v>
      </c>
      <c r="AA268" s="100">
        <v>4.0144388536425213E-2</v>
      </c>
    </row>
    <row r="269" spans="1:27" ht="15" x14ac:dyDescent="0.25">
      <c r="A269" s="4">
        <v>260130</v>
      </c>
      <c r="B269" s="20">
        <v>9506</v>
      </c>
      <c r="C269" s="10" t="s">
        <v>67</v>
      </c>
      <c r="D269" s="37" t="s">
        <v>926</v>
      </c>
      <c r="E269" s="10" t="s">
        <v>817</v>
      </c>
      <c r="F269" s="38">
        <v>4</v>
      </c>
      <c r="G269" s="49">
        <v>-25719</v>
      </c>
      <c r="H269" s="49">
        <v>-52068</v>
      </c>
      <c r="I269" s="49">
        <v>-26452</v>
      </c>
      <c r="J269" s="49">
        <v>-99818</v>
      </c>
      <c r="K269" s="131">
        <v>-87224</v>
      </c>
      <c r="L269" s="49">
        <v>33439</v>
      </c>
      <c r="M269" s="49">
        <v>116802</v>
      </c>
      <c r="N269" s="49">
        <v>110739</v>
      </c>
      <c r="O269" s="131">
        <v>64877</v>
      </c>
      <c r="P269" s="49">
        <v>29845</v>
      </c>
      <c r="Q269" s="49">
        <v>93958</v>
      </c>
      <c r="R269" s="49">
        <v>74816</v>
      </c>
      <c r="S269" s="49">
        <v>31929</v>
      </c>
      <c r="T269" s="131">
        <v>79629</v>
      </c>
      <c r="U269" s="49">
        <v>64370</v>
      </c>
      <c r="V269" s="49">
        <v>76743</v>
      </c>
      <c r="W269" s="52">
        <v>42053</v>
      </c>
      <c r="X269" s="113">
        <v>0.21593767892152621</v>
      </c>
      <c r="Y269" s="100">
        <v>-0.1055462808384344</v>
      </c>
      <c r="Z269" s="100">
        <v>7.6851290559296634E-3</v>
      </c>
      <c r="AA269" s="100">
        <v>4.006791440252333E-2</v>
      </c>
    </row>
    <row r="270" spans="1:27" ht="15" x14ac:dyDescent="0.25">
      <c r="A270" s="4">
        <v>260130</v>
      </c>
      <c r="B270" s="20">
        <v>3092</v>
      </c>
      <c r="C270" s="10" t="s">
        <v>67</v>
      </c>
      <c r="D270" s="37" t="s">
        <v>876</v>
      </c>
      <c r="E270" s="10" t="s">
        <v>817</v>
      </c>
      <c r="F270" s="38">
        <v>3.9</v>
      </c>
      <c r="G270" s="49">
        <v>14982</v>
      </c>
      <c r="H270" s="49">
        <v>10858</v>
      </c>
      <c r="I270" s="49">
        <v>14309</v>
      </c>
      <c r="J270" s="49">
        <v>13066</v>
      </c>
      <c r="K270" s="49">
        <v>17260</v>
      </c>
      <c r="L270" s="49">
        <v>11955</v>
      </c>
      <c r="M270" s="49">
        <v>15859</v>
      </c>
      <c r="N270" s="49">
        <v>13124</v>
      </c>
      <c r="O270" s="49">
        <v>16716</v>
      </c>
      <c r="P270" s="49">
        <v>14432</v>
      </c>
      <c r="Q270" s="49">
        <v>15896</v>
      </c>
      <c r="R270" s="49">
        <v>14580</v>
      </c>
      <c r="S270" s="49">
        <v>21284</v>
      </c>
      <c r="T270" s="49">
        <v>12997</v>
      </c>
      <c r="U270" s="49">
        <v>16921</v>
      </c>
      <c r="V270" s="49">
        <v>14154</v>
      </c>
      <c r="W270" s="52">
        <v>23845</v>
      </c>
      <c r="X270" s="100">
        <v>-2.167935702199664E-2</v>
      </c>
      <c r="Y270" s="100">
        <v>1.5828404651234699E-2</v>
      </c>
      <c r="Z270" s="100">
        <v>-6.4759356662916767E-3</v>
      </c>
      <c r="AA270" s="100">
        <v>3.9185384662464129E-2</v>
      </c>
    </row>
    <row r="271" spans="1:27" ht="15" x14ac:dyDescent="0.25">
      <c r="A271" s="4">
        <v>260130</v>
      </c>
      <c r="B271" s="20">
        <v>7276</v>
      </c>
      <c r="C271" s="10" t="s">
        <v>67</v>
      </c>
      <c r="D271" s="37" t="s">
        <v>887</v>
      </c>
      <c r="E271" s="10" t="s">
        <v>817</v>
      </c>
      <c r="F271" s="38">
        <v>3.8</v>
      </c>
      <c r="G271" s="49">
        <v>14174</v>
      </c>
      <c r="H271" s="49">
        <v>15108</v>
      </c>
      <c r="I271" s="49">
        <v>6379</v>
      </c>
      <c r="J271" s="49">
        <v>13412</v>
      </c>
      <c r="K271" s="49">
        <v>12367</v>
      </c>
      <c r="L271" s="49">
        <v>14690</v>
      </c>
      <c r="M271" s="131">
        <v>14742</v>
      </c>
      <c r="N271" s="49">
        <v>17772</v>
      </c>
      <c r="O271" s="49">
        <v>16029</v>
      </c>
      <c r="P271" s="49">
        <v>7453</v>
      </c>
      <c r="Q271" s="49">
        <v>9045</v>
      </c>
      <c r="R271" s="49">
        <v>9023</v>
      </c>
      <c r="S271" s="49">
        <v>12065</v>
      </c>
      <c r="T271" s="131">
        <v>14741</v>
      </c>
      <c r="U271" s="49">
        <v>11907</v>
      </c>
      <c r="V271" s="49">
        <v>7945</v>
      </c>
      <c r="W271" s="52">
        <v>13852</v>
      </c>
      <c r="X271" s="113">
        <v>0.1939019847815675</v>
      </c>
      <c r="Y271" s="100">
        <v>6.3778580024067333E-2</v>
      </c>
      <c r="Z271" s="100">
        <v>-2.2582537288419639E-2</v>
      </c>
      <c r="AA271" s="100">
        <v>3.829996999442753E-2</v>
      </c>
    </row>
    <row r="272" spans="1:27" ht="15" x14ac:dyDescent="0.25">
      <c r="A272" s="4">
        <v>260130</v>
      </c>
      <c r="B272" s="20">
        <v>9110</v>
      </c>
      <c r="C272" s="10" t="s">
        <v>67</v>
      </c>
      <c r="D272" s="37" t="s">
        <v>913</v>
      </c>
      <c r="E272" s="10" t="s">
        <v>817</v>
      </c>
      <c r="F272" s="38">
        <v>3.8</v>
      </c>
      <c r="G272" s="49">
        <v>8788</v>
      </c>
      <c r="H272" s="49">
        <v>6623</v>
      </c>
      <c r="I272" s="49">
        <v>11195</v>
      </c>
      <c r="J272" s="49">
        <v>9479</v>
      </c>
      <c r="K272" s="49">
        <v>9283</v>
      </c>
      <c r="L272" s="49">
        <v>2529</v>
      </c>
      <c r="M272" s="49">
        <v>5831</v>
      </c>
      <c r="N272" s="49">
        <v>6363</v>
      </c>
      <c r="O272" s="49">
        <v>5034</v>
      </c>
      <c r="P272" s="49">
        <v>4373</v>
      </c>
      <c r="Q272" s="49">
        <v>5848</v>
      </c>
      <c r="R272" s="49">
        <v>5858</v>
      </c>
      <c r="S272" s="49">
        <v>5156</v>
      </c>
      <c r="T272" s="49">
        <v>3361</v>
      </c>
      <c r="U272" s="49">
        <v>3724</v>
      </c>
      <c r="V272" s="49">
        <v>5517</v>
      </c>
      <c r="W272" s="52">
        <v>5832</v>
      </c>
      <c r="X272" s="100">
        <v>-4.765716976689427E-2</v>
      </c>
      <c r="Y272" s="100">
        <v>-0.10502892745883401</v>
      </c>
      <c r="Z272" s="100">
        <v>-1.8840819934803021E-2</v>
      </c>
      <c r="AA272" s="100">
        <v>3.8067349926793607E-2</v>
      </c>
    </row>
    <row r="273" spans="1:27" ht="15" x14ac:dyDescent="0.25">
      <c r="A273" s="4">
        <v>260130</v>
      </c>
      <c r="B273" s="20">
        <v>8316</v>
      </c>
      <c r="C273" s="10" t="s">
        <v>67</v>
      </c>
      <c r="D273" s="37" t="s">
        <v>848</v>
      </c>
      <c r="E273" s="10" t="s">
        <v>817</v>
      </c>
      <c r="F273" s="38">
        <v>3.7</v>
      </c>
      <c r="G273" s="49">
        <v>235394</v>
      </c>
      <c r="H273" s="49">
        <v>-185688</v>
      </c>
      <c r="I273" s="49">
        <v>348685</v>
      </c>
      <c r="J273" s="49">
        <v>675867</v>
      </c>
      <c r="K273" s="49">
        <v>5578</v>
      </c>
      <c r="L273" s="131">
        <v>231746</v>
      </c>
      <c r="M273" s="49">
        <v>348010</v>
      </c>
      <c r="N273" s="49">
        <v>358374</v>
      </c>
      <c r="O273" s="131">
        <v>378157</v>
      </c>
      <c r="P273" s="49">
        <v>123248</v>
      </c>
      <c r="Q273" s="131">
        <v>518177</v>
      </c>
      <c r="R273" s="131">
        <v>509222</v>
      </c>
      <c r="S273" s="131">
        <v>585047</v>
      </c>
      <c r="T273" s="49">
        <v>-958200</v>
      </c>
      <c r="U273" s="49">
        <v>481573</v>
      </c>
      <c r="V273" s="131">
        <v>793900</v>
      </c>
      <c r="W273" s="52">
        <v>618746</v>
      </c>
      <c r="X273" s="100">
        <v>-0.6230637428025908</v>
      </c>
      <c r="Y273" s="100">
        <v>-5.5948374158955483E-2</v>
      </c>
      <c r="Z273" s="113">
        <v>0.46091101317591748</v>
      </c>
      <c r="AA273" s="100">
        <v>3.7347060909655123E-2</v>
      </c>
    </row>
    <row r="274" spans="1:27" ht="15" x14ac:dyDescent="0.25">
      <c r="A274" s="4">
        <v>260130</v>
      </c>
      <c r="B274" s="20">
        <v>2002</v>
      </c>
      <c r="C274" s="10" t="s">
        <v>67</v>
      </c>
      <c r="D274" s="37" t="s">
        <v>898</v>
      </c>
      <c r="E274" s="10" t="s">
        <v>817</v>
      </c>
      <c r="F274" s="38">
        <v>3.3</v>
      </c>
      <c r="G274" s="49">
        <v>10583</v>
      </c>
      <c r="H274" s="49">
        <v>3280</v>
      </c>
      <c r="I274" s="49">
        <v>8861</v>
      </c>
      <c r="J274" s="49">
        <v>7060</v>
      </c>
      <c r="K274" s="49">
        <v>9542</v>
      </c>
      <c r="L274" s="131">
        <v>7370</v>
      </c>
      <c r="M274" s="49">
        <v>11862</v>
      </c>
      <c r="N274" s="131">
        <v>13650</v>
      </c>
      <c r="O274" s="131">
        <v>16383</v>
      </c>
      <c r="P274" s="49">
        <v>5897</v>
      </c>
      <c r="Q274" s="49">
        <v>13221</v>
      </c>
      <c r="R274" s="49">
        <v>12789</v>
      </c>
      <c r="S274" s="49">
        <v>13460</v>
      </c>
      <c r="T274" s="49">
        <v>6911</v>
      </c>
      <c r="U274" s="49">
        <v>11297</v>
      </c>
      <c r="V274" s="49">
        <v>11336</v>
      </c>
      <c r="W274" s="52">
        <v>14866</v>
      </c>
      <c r="X274" s="100">
        <v>2.2351048118676609E-2</v>
      </c>
      <c r="Y274" s="100">
        <v>-4.1482503611392607E-2</v>
      </c>
      <c r="Z274" s="100">
        <v>-3.2683266977079017E-2</v>
      </c>
      <c r="AA274" s="100">
        <v>3.2694633057390073E-2</v>
      </c>
    </row>
    <row r="275" spans="1:27" ht="15" x14ac:dyDescent="0.25">
      <c r="A275" s="4">
        <v>260130</v>
      </c>
      <c r="B275" s="20">
        <v>9509</v>
      </c>
      <c r="C275" s="10" t="s">
        <v>67</v>
      </c>
      <c r="D275" s="37" t="s">
        <v>927</v>
      </c>
      <c r="E275" s="10" t="s">
        <v>817</v>
      </c>
      <c r="F275" s="38">
        <v>3.3</v>
      </c>
      <c r="G275" s="49">
        <v>-7706</v>
      </c>
      <c r="H275" s="49">
        <v>3850</v>
      </c>
      <c r="I275" s="49">
        <v>13067</v>
      </c>
      <c r="J275" s="49">
        <v>-12664</v>
      </c>
      <c r="K275" s="131">
        <v>-25817</v>
      </c>
      <c r="L275" s="49">
        <v>3373</v>
      </c>
      <c r="M275" s="49">
        <v>49426</v>
      </c>
      <c r="N275" s="131">
        <v>25540</v>
      </c>
      <c r="O275" s="131">
        <v>6065</v>
      </c>
      <c r="P275" s="131">
        <v>20125</v>
      </c>
      <c r="Q275" s="49">
        <v>34676</v>
      </c>
      <c r="R275" s="49">
        <v>21492</v>
      </c>
      <c r="S275" s="49">
        <v>8328</v>
      </c>
      <c r="T275" s="49">
        <v>11343</v>
      </c>
      <c r="U275" s="131">
        <v>43899</v>
      </c>
      <c r="V275" s="49">
        <v>24068</v>
      </c>
      <c r="W275" s="52">
        <v>11192</v>
      </c>
      <c r="X275" s="100">
        <v>-0.1037803854835089</v>
      </c>
      <c r="Y275" s="113">
        <v>0.121612890465328</v>
      </c>
      <c r="Z275" s="100">
        <v>3.0283792998048401E-2</v>
      </c>
      <c r="AA275" s="100">
        <v>3.2679887719938787E-2</v>
      </c>
    </row>
    <row r="276" spans="1:27" ht="15" x14ac:dyDescent="0.25">
      <c r="A276" s="4">
        <v>260130</v>
      </c>
      <c r="B276" s="20">
        <v>2327</v>
      </c>
      <c r="C276" s="10" t="s">
        <v>67</v>
      </c>
      <c r="D276" s="37" t="s">
        <v>864</v>
      </c>
      <c r="E276" s="10" t="s">
        <v>817</v>
      </c>
      <c r="F276" s="38">
        <v>3.1</v>
      </c>
      <c r="G276" s="49">
        <v>7854</v>
      </c>
      <c r="H276" s="49">
        <v>8061</v>
      </c>
      <c r="I276" s="49">
        <v>6495</v>
      </c>
      <c r="J276" s="49">
        <v>7498</v>
      </c>
      <c r="K276" s="49">
        <v>8335</v>
      </c>
      <c r="L276" s="49">
        <v>10810</v>
      </c>
      <c r="M276" s="49">
        <v>6590</v>
      </c>
      <c r="N276" s="49">
        <v>8038</v>
      </c>
      <c r="O276" s="49">
        <v>8661</v>
      </c>
      <c r="P276" s="49">
        <v>12024</v>
      </c>
      <c r="Q276" s="49">
        <v>8825</v>
      </c>
      <c r="R276" s="49">
        <v>9311</v>
      </c>
      <c r="S276" s="49">
        <v>11469</v>
      </c>
      <c r="T276" s="49">
        <v>11087</v>
      </c>
      <c r="U276" s="49">
        <v>8495</v>
      </c>
      <c r="V276" s="49">
        <v>9762</v>
      </c>
      <c r="W276" s="52">
        <v>12726</v>
      </c>
      <c r="X276" s="100">
        <v>-2.2508347546181699E-2</v>
      </c>
      <c r="Y276" s="100">
        <v>-8.1097021527573032E-3</v>
      </c>
      <c r="Z276" s="100">
        <v>1.1173876418413281E-2</v>
      </c>
      <c r="AA276" s="100">
        <v>3.0799010119324729E-2</v>
      </c>
    </row>
    <row r="277" spans="1:27" ht="15" x14ac:dyDescent="0.25">
      <c r="A277" s="4">
        <v>260130</v>
      </c>
      <c r="B277" s="20">
        <v>6455</v>
      </c>
      <c r="C277" s="10" t="s">
        <v>67</v>
      </c>
      <c r="D277" s="37" t="s">
        <v>885</v>
      </c>
      <c r="E277" s="10" t="s">
        <v>817</v>
      </c>
      <c r="F277" s="38">
        <v>2.8</v>
      </c>
      <c r="G277" s="49">
        <v>2307</v>
      </c>
      <c r="H277" s="49">
        <v>5497</v>
      </c>
      <c r="I277" s="49">
        <v>-28</v>
      </c>
      <c r="J277" s="49">
        <v>731</v>
      </c>
      <c r="K277" s="49">
        <v>231</v>
      </c>
      <c r="L277" s="49">
        <v>4074</v>
      </c>
      <c r="M277" s="49">
        <v>145</v>
      </c>
      <c r="N277" s="131">
        <v>1712</v>
      </c>
      <c r="O277" s="131">
        <v>1440</v>
      </c>
      <c r="P277" s="131">
        <v>6090</v>
      </c>
      <c r="Q277" s="131">
        <v>1433</v>
      </c>
      <c r="R277" s="49">
        <v>2741</v>
      </c>
      <c r="S277" s="49">
        <v>2433</v>
      </c>
      <c r="T277" s="49">
        <v>7126</v>
      </c>
      <c r="U277" s="49">
        <v>1381</v>
      </c>
      <c r="V277" s="49">
        <v>3756</v>
      </c>
      <c r="W277" s="52">
        <v>2840</v>
      </c>
      <c r="X277" s="100">
        <v>8.1594077341104132E-2</v>
      </c>
      <c r="Y277" s="100">
        <v>-3.7864996723221411E-3</v>
      </c>
      <c r="Z277" s="100">
        <v>7.4190483151816311E-2</v>
      </c>
      <c r="AA277" s="100">
        <v>2.7694610778443041E-2</v>
      </c>
    </row>
    <row r="278" spans="1:27" ht="15" x14ac:dyDescent="0.25">
      <c r="A278" s="4">
        <v>260130</v>
      </c>
      <c r="B278" s="20">
        <v>7476</v>
      </c>
      <c r="C278" s="10" t="s">
        <v>67</v>
      </c>
      <c r="D278" s="37" t="s">
        <v>891</v>
      </c>
      <c r="E278" s="10" t="s">
        <v>817</v>
      </c>
      <c r="F278" s="38">
        <v>2.7</v>
      </c>
      <c r="G278" s="49">
        <v>2363</v>
      </c>
      <c r="H278" s="49">
        <v>3096</v>
      </c>
      <c r="I278" s="49">
        <v>2523</v>
      </c>
      <c r="J278" s="49">
        <v>2806</v>
      </c>
      <c r="K278" s="49">
        <v>2910</v>
      </c>
      <c r="L278" s="49">
        <v>3157</v>
      </c>
      <c r="M278" s="49">
        <v>2462</v>
      </c>
      <c r="N278" s="49">
        <v>2513</v>
      </c>
      <c r="O278" s="49">
        <v>2558</v>
      </c>
      <c r="P278" s="49">
        <v>2903</v>
      </c>
      <c r="Q278" s="49">
        <v>2698</v>
      </c>
      <c r="R278" s="49">
        <v>2570</v>
      </c>
      <c r="S278" s="49">
        <v>3084</v>
      </c>
      <c r="T278" s="49">
        <v>3331</v>
      </c>
      <c r="U278" s="49">
        <v>3085</v>
      </c>
      <c r="V278" s="49">
        <v>2932</v>
      </c>
      <c r="W278" s="52">
        <v>3419</v>
      </c>
      <c r="X278" s="100">
        <v>3.8027543314082653E-2</v>
      </c>
      <c r="Y278" s="100">
        <v>3.3125053496533503E-2</v>
      </c>
      <c r="Z278" s="100">
        <v>2.999171499585751E-2</v>
      </c>
      <c r="AA278" s="100">
        <v>2.6946589446589449E-2</v>
      </c>
    </row>
    <row r="279" spans="1:27" ht="15" x14ac:dyDescent="0.25">
      <c r="A279" s="4">
        <v>260130</v>
      </c>
      <c r="B279" s="20">
        <v>8345</v>
      </c>
      <c r="C279" s="10" t="s">
        <v>67</v>
      </c>
      <c r="D279" s="37" t="s">
        <v>846</v>
      </c>
      <c r="E279" s="10" t="s">
        <v>817</v>
      </c>
      <c r="F279" s="38">
        <v>2.7</v>
      </c>
      <c r="G279" s="49">
        <v>1904</v>
      </c>
      <c r="H279" s="49">
        <v>289</v>
      </c>
      <c r="I279" s="49">
        <v>1760</v>
      </c>
      <c r="J279" s="49">
        <v>2594</v>
      </c>
      <c r="K279" s="49">
        <v>1995</v>
      </c>
      <c r="L279" s="49">
        <v>226</v>
      </c>
      <c r="M279" s="49">
        <v>1713</v>
      </c>
      <c r="N279" s="49">
        <v>2214</v>
      </c>
      <c r="O279" s="49">
        <v>1207</v>
      </c>
      <c r="P279" s="131">
        <v>1611</v>
      </c>
      <c r="Q279" s="131">
        <v>2456</v>
      </c>
      <c r="R279" s="49">
        <v>1949</v>
      </c>
      <c r="S279" s="131">
        <v>2831</v>
      </c>
      <c r="T279" s="131">
        <v>2510</v>
      </c>
      <c r="U279" s="49">
        <v>3124</v>
      </c>
      <c r="V279" s="131">
        <v>3277</v>
      </c>
      <c r="W279" s="52">
        <v>3146</v>
      </c>
      <c r="X279" s="113">
        <v>0.10161636713010069</v>
      </c>
      <c r="Y279" s="100">
        <v>6.8540939872768325E-2</v>
      </c>
      <c r="Z279" s="113">
        <v>0.12752064528519291</v>
      </c>
      <c r="AA279" s="100">
        <v>2.6826775677056821E-2</v>
      </c>
    </row>
    <row r="280" spans="1:27" ht="15" x14ac:dyDescent="0.25">
      <c r="A280" s="4">
        <v>260130</v>
      </c>
      <c r="B280" s="20">
        <v>5844</v>
      </c>
      <c r="C280" s="10" t="s">
        <v>67</v>
      </c>
      <c r="D280" s="37" t="s">
        <v>866</v>
      </c>
      <c r="E280" s="10" t="s">
        <v>817</v>
      </c>
      <c r="F280" s="38">
        <v>2.5</v>
      </c>
      <c r="G280" s="49">
        <v>13772</v>
      </c>
      <c r="H280" s="49">
        <v>-4311</v>
      </c>
      <c r="I280" s="49">
        <v>18978</v>
      </c>
      <c r="J280" s="49">
        <v>3129</v>
      </c>
      <c r="K280" s="49">
        <v>13641</v>
      </c>
      <c r="L280" s="131">
        <v>2027</v>
      </c>
      <c r="M280" s="49">
        <v>20101</v>
      </c>
      <c r="N280" s="49">
        <v>6513</v>
      </c>
      <c r="O280" s="49">
        <v>17181</v>
      </c>
      <c r="P280" s="49">
        <v>180</v>
      </c>
      <c r="Q280" s="49">
        <v>14741</v>
      </c>
      <c r="R280" s="49">
        <v>6354</v>
      </c>
      <c r="S280" s="49">
        <v>15516</v>
      </c>
      <c r="T280" s="131">
        <v>5488</v>
      </c>
      <c r="U280" s="49">
        <v>18749</v>
      </c>
      <c r="V280" s="131">
        <v>19839</v>
      </c>
      <c r="W280" s="52">
        <v>17027</v>
      </c>
      <c r="X280" s="113">
        <v>0.1442744149384361</v>
      </c>
      <c r="Y280" s="100">
        <v>9.5204161619040883E-2</v>
      </c>
      <c r="Z280" s="113">
        <v>0.29247185893682093</v>
      </c>
      <c r="AA280" s="100">
        <v>2.5355752449993219E-2</v>
      </c>
    </row>
    <row r="281" spans="1:27" ht="15" x14ac:dyDescent="0.25">
      <c r="A281" s="4">
        <v>260130</v>
      </c>
      <c r="B281" s="20">
        <v>9508</v>
      </c>
      <c r="C281" s="10" t="s">
        <v>67</v>
      </c>
      <c r="D281" s="37" t="s">
        <v>922</v>
      </c>
      <c r="E281" s="10" t="s">
        <v>817</v>
      </c>
      <c r="F281" s="38">
        <v>2.4</v>
      </c>
      <c r="G281" s="49">
        <v>-2013</v>
      </c>
      <c r="H281" s="49">
        <v>-25858</v>
      </c>
      <c r="I281" s="49">
        <v>-46639</v>
      </c>
      <c r="J281" s="49">
        <v>-29060</v>
      </c>
      <c r="K281" s="131">
        <v>-44890</v>
      </c>
      <c r="L281" s="49">
        <v>47590</v>
      </c>
      <c r="M281" s="49">
        <v>100219</v>
      </c>
      <c r="N281" s="131">
        <v>107379</v>
      </c>
      <c r="O281" s="131">
        <v>52444</v>
      </c>
      <c r="P281" s="49">
        <v>-5122</v>
      </c>
      <c r="Q281" s="49">
        <v>49845</v>
      </c>
      <c r="R281" s="49">
        <v>58782</v>
      </c>
      <c r="S281" s="49">
        <v>40333</v>
      </c>
      <c r="T281" s="131">
        <v>50605</v>
      </c>
      <c r="U281" s="49">
        <v>61854</v>
      </c>
      <c r="V281" s="131">
        <v>107841</v>
      </c>
      <c r="W281" s="52">
        <v>46612</v>
      </c>
      <c r="X281" s="113">
        <v>0.38742891308277372</v>
      </c>
      <c r="Y281" s="100">
        <v>6.0175882544534431E-2</v>
      </c>
      <c r="Z281" s="113">
        <v>0.23187631750593171</v>
      </c>
      <c r="AA281" s="100">
        <v>2.4091346836356161E-2</v>
      </c>
    </row>
    <row r="282" spans="1:27" ht="15" x14ac:dyDescent="0.25">
      <c r="A282" s="4">
        <v>260130</v>
      </c>
      <c r="B282" s="20">
        <v>3762</v>
      </c>
      <c r="C282" s="10" t="s">
        <v>67</v>
      </c>
      <c r="D282" s="37" t="s">
        <v>870</v>
      </c>
      <c r="E282" s="10" t="s">
        <v>817</v>
      </c>
      <c r="F282" s="38">
        <v>2.1</v>
      </c>
      <c r="G282" s="49">
        <v>815</v>
      </c>
      <c r="H282" s="49">
        <v>1769</v>
      </c>
      <c r="I282" s="49">
        <v>897</v>
      </c>
      <c r="J282" s="49">
        <v>1019</v>
      </c>
      <c r="K282" s="49">
        <v>913</v>
      </c>
      <c r="L282" s="131">
        <v>2327</v>
      </c>
      <c r="M282" s="49">
        <v>898</v>
      </c>
      <c r="N282" s="49">
        <v>1383</v>
      </c>
      <c r="O282" s="131">
        <v>1542</v>
      </c>
      <c r="P282" s="49">
        <v>2082</v>
      </c>
      <c r="Q282" s="49">
        <v>1113</v>
      </c>
      <c r="R282" s="49">
        <v>1910</v>
      </c>
      <c r="S282" s="49">
        <v>1772</v>
      </c>
      <c r="T282" s="49">
        <v>2218</v>
      </c>
      <c r="U282" s="49">
        <v>1274</v>
      </c>
      <c r="V282" s="49">
        <v>1901</v>
      </c>
      <c r="W282" s="52">
        <v>1922</v>
      </c>
      <c r="X282" s="100">
        <v>1.9776065144685221E-2</v>
      </c>
      <c r="Y282" s="100">
        <v>2.295736489376865E-2</v>
      </c>
      <c r="Z282" s="100">
        <v>-1.254530248118169E-3</v>
      </c>
      <c r="AA282" s="100">
        <v>2.0935101186322361E-2</v>
      </c>
    </row>
    <row r="283" spans="1:27" ht="15" x14ac:dyDescent="0.25">
      <c r="A283" s="4">
        <v>260130</v>
      </c>
      <c r="B283" s="20">
        <v>7173</v>
      </c>
      <c r="C283" s="10" t="s">
        <v>67</v>
      </c>
      <c r="D283" s="37" t="s">
        <v>911</v>
      </c>
      <c r="E283" s="10" t="s">
        <v>817</v>
      </c>
      <c r="F283" s="38">
        <v>1.5</v>
      </c>
      <c r="G283" s="49">
        <v>5942</v>
      </c>
      <c r="H283" s="49">
        <v>11483</v>
      </c>
      <c r="I283" s="49">
        <v>4599</v>
      </c>
      <c r="J283" s="49">
        <v>9581</v>
      </c>
      <c r="K283" s="49">
        <v>7078</v>
      </c>
      <c r="L283" s="49">
        <v>10610</v>
      </c>
      <c r="M283" s="131">
        <v>8663</v>
      </c>
      <c r="N283" s="49">
        <v>9581</v>
      </c>
      <c r="O283" s="49">
        <v>8731</v>
      </c>
      <c r="P283" s="49">
        <v>5774</v>
      </c>
      <c r="Q283" s="49">
        <v>9700</v>
      </c>
      <c r="R283" s="49">
        <v>9298</v>
      </c>
      <c r="S283" s="49">
        <v>11519</v>
      </c>
      <c r="T283" s="131">
        <v>15229</v>
      </c>
      <c r="U283" s="49">
        <v>8441</v>
      </c>
      <c r="V283" s="131">
        <v>19397</v>
      </c>
      <c r="W283" s="52">
        <v>12362</v>
      </c>
      <c r="X283" s="113">
        <v>0.26053291449670718</v>
      </c>
      <c r="Y283" s="100">
        <v>-2.752153193721851E-2</v>
      </c>
      <c r="Z283" s="113">
        <v>0.22701013779306309</v>
      </c>
      <c r="AA283" s="100">
        <v>1.54435203165646E-2</v>
      </c>
    </row>
    <row r="284" spans="1:27" ht="15" x14ac:dyDescent="0.25">
      <c r="A284" s="4">
        <v>260130</v>
      </c>
      <c r="B284" s="20">
        <v>1941</v>
      </c>
      <c r="C284" s="10" t="s">
        <v>67</v>
      </c>
      <c r="D284" s="37" t="s">
        <v>915</v>
      </c>
      <c r="E284" s="10" t="s">
        <v>817</v>
      </c>
      <c r="F284" s="38">
        <v>1.5</v>
      </c>
      <c r="G284" s="49">
        <v>2164</v>
      </c>
      <c r="H284" s="49">
        <v>5276</v>
      </c>
      <c r="I284" s="49">
        <v>120</v>
      </c>
      <c r="J284" s="49">
        <v>965</v>
      </c>
      <c r="K284" s="49">
        <v>1702</v>
      </c>
      <c r="L284" s="49">
        <v>5576</v>
      </c>
      <c r="M284" s="49">
        <v>-591</v>
      </c>
      <c r="N284" s="131">
        <v>2072</v>
      </c>
      <c r="O284" s="131">
        <v>3202</v>
      </c>
      <c r="P284" s="131">
        <v>7265</v>
      </c>
      <c r="Q284" s="131">
        <v>2855</v>
      </c>
      <c r="R284" s="131">
        <v>5322</v>
      </c>
      <c r="S284" s="131">
        <v>6620</v>
      </c>
      <c r="T284" s="49">
        <v>6902</v>
      </c>
      <c r="U284" s="49">
        <v>4261</v>
      </c>
      <c r="V284" s="49">
        <v>6322</v>
      </c>
      <c r="W284" s="52">
        <v>6980</v>
      </c>
      <c r="X284" s="100">
        <v>-1.6453630677182529E-2</v>
      </c>
      <c r="Y284" s="100">
        <v>6.4795612701046057E-2</v>
      </c>
      <c r="Z284" s="100">
        <v>4.3280675178532853E-2</v>
      </c>
      <c r="AA284" s="100">
        <v>1.493466085874307E-2</v>
      </c>
    </row>
    <row r="285" spans="1:27" ht="15" x14ac:dyDescent="0.25">
      <c r="A285" s="4">
        <v>260130</v>
      </c>
      <c r="B285" s="20">
        <v>6454</v>
      </c>
      <c r="C285" s="10" t="s">
        <v>67</v>
      </c>
      <c r="D285" s="37" t="s">
        <v>881</v>
      </c>
      <c r="E285" s="10" t="s">
        <v>817</v>
      </c>
      <c r="F285" s="38">
        <v>1.4</v>
      </c>
      <c r="G285" s="49">
        <v>1873</v>
      </c>
      <c r="H285" s="49">
        <v>1816</v>
      </c>
      <c r="I285" s="49">
        <v>2192</v>
      </c>
      <c r="J285" s="49">
        <v>2245</v>
      </c>
      <c r="K285" s="131">
        <v>3158</v>
      </c>
      <c r="L285" s="49">
        <v>2331</v>
      </c>
      <c r="M285" s="131">
        <v>3510</v>
      </c>
      <c r="N285" s="49">
        <v>3141</v>
      </c>
      <c r="O285" s="49">
        <v>3229</v>
      </c>
      <c r="P285" s="49">
        <v>2721</v>
      </c>
      <c r="Q285" s="49">
        <v>3990</v>
      </c>
      <c r="R285" s="49">
        <v>3427</v>
      </c>
      <c r="S285" s="49">
        <v>4067</v>
      </c>
      <c r="T285" s="49">
        <v>2985</v>
      </c>
      <c r="U285" s="49">
        <v>4898</v>
      </c>
      <c r="V285" s="49">
        <v>4570</v>
      </c>
      <c r="W285" s="52">
        <v>4304</v>
      </c>
      <c r="X285" s="100">
        <v>1.8585005279831091E-2</v>
      </c>
      <c r="Y285" s="100">
        <v>6.2754855207685312E-2</v>
      </c>
      <c r="Z285" s="100">
        <v>7.4331794238147841E-2</v>
      </c>
      <c r="AA285" s="100">
        <v>1.434624697336573E-2</v>
      </c>
    </row>
    <row r="286" spans="1:27" ht="15" x14ac:dyDescent="0.25">
      <c r="A286" s="4">
        <v>260130</v>
      </c>
      <c r="B286" s="20">
        <v>8014</v>
      </c>
      <c r="C286" s="10" t="s">
        <v>67</v>
      </c>
      <c r="D286" s="37" t="s">
        <v>903</v>
      </c>
      <c r="E286" s="10" t="s">
        <v>817</v>
      </c>
      <c r="F286" s="38">
        <v>1.4</v>
      </c>
      <c r="G286" s="49">
        <v>2563</v>
      </c>
      <c r="H286" s="49">
        <v>1951</v>
      </c>
      <c r="I286" s="49">
        <v>3214</v>
      </c>
      <c r="J286" s="49">
        <v>3552</v>
      </c>
      <c r="K286" s="131">
        <v>4162</v>
      </c>
      <c r="L286" s="49">
        <v>1730</v>
      </c>
      <c r="M286" s="49">
        <v>3939</v>
      </c>
      <c r="N286" s="49">
        <v>3858</v>
      </c>
      <c r="O286" s="49">
        <v>4132</v>
      </c>
      <c r="P286" s="131">
        <v>3112</v>
      </c>
      <c r="Q286" s="49">
        <v>4398</v>
      </c>
      <c r="R286" s="49">
        <v>3793</v>
      </c>
      <c r="S286" s="49">
        <v>3134</v>
      </c>
      <c r="T286" s="49">
        <v>4042</v>
      </c>
      <c r="U286" s="49">
        <v>3351</v>
      </c>
      <c r="V286" s="49">
        <v>3320</v>
      </c>
      <c r="W286" s="52">
        <v>3323</v>
      </c>
      <c r="X286" s="100">
        <v>6.4417815335596096E-2</v>
      </c>
      <c r="Y286" s="100">
        <v>-6.8133012299082418E-2</v>
      </c>
      <c r="Z286" s="100">
        <v>-3.3030726256983223E-2</v>
      </c>
      <c r="AA286" s="100">
        <v>1.364916588430698E-2</v>
      </c>
    </row>
    <row r="287" spans="1:27" ht="15" x14ac:dyDescent="0.25">
      <c r="A287" s="4">
        <v>260130</v>
      </c>
      <c r="B287" s="20">
        <v>4043</v>
      </c>
      <c r="C287" s="10" t="s">
        <v>67</v>
      </c>
      <c r="D287" s="37" t="s">
        <v>909</v>
      </c>
      <c r="E287" s="10" t="s">
        <v>817</v>
      </c>
      <c r="F287" s="38">
        <v>1.3</v>
      </c>
      <c r="G287" s="49">
        <v>5454</v>
      </c>
      <c r="H287" s="49">
        <v>7422</v>
      </c>
      <c r="I287" s="49">
        <v>5109</v>
      </c>
      <c r="J287" s="49">
        <v>3188</v>
      </c>
      <c r="K287" s="49">
        <v>4866</v>
      </c>
      <c r="L287" s="49">
        <v>1174</v>
      </c>
      <c r="M287" s="49">
        <v>5143</v>
      </c>
      <c r="N287" s="49">
        <v>3434</v>
      </c>
      <c r="O287" s="131">
        <v>8361</v>
      </c>
      <c r="P287" s="131">
        <v>8700</v>
      </c>
      <c r="Q287" s="49">
        <v>7503</v>
      </c>
      <c r="R287" s="131">
        <v>6456</v>
      </c>
      <c r="S287" s="49">
        <v>7113</v>
      </c>
      <c r="T287" s="49">
        <v>8897</v>
      </c>
      <c r="U287" s="49">
        <v>7885</v>
      </c>
      <c r="V287" s="131">
        <v>11268</v>
      </c>
      <c r="W287" s="52">
        <v>7579</v>
      </c>
      <c r="X287" s="100">
        <v>6.616955528684576E-3</v>
      </c>
      <c r="Y287" s="100">
        <v>1.2746504721545589E-2</v>
      </c>
      <c r="Z287" s="113">
        <v>0.15854502322822969</v>
      </c>
      <c r="AA287" s="100">
        <v>1.325256661832031E-2</v>
      </c>
    </row>
    <row r="288" spans="1:27" ht="15" x14ac:dyDescent="0.25">
      <c r="A288" s="4">
        <v>260130</v>
      </c>
      <c r="B288" s="20">
        <v>5352</v>
      </c>
      <c r="C288" s="10" t="s">
        <v>67</v>
      </c>
      <c r="D288" s="37" t="s">
        <v>912</v>
      </c>
      <c r="E288" s="10" t="s">
        <v>817</v>
      </c>
      <c r="F288" s="38">
        <v>1.2</v>
      </c>
      <c r="G288" s="49">
        <v>2063</v>
      </c>
      <c r="H288" s="49">
        <v>1294</v>
      </c>
      <c r="I288" s="49">
        <v>2942</v>
      </c>
      <c r="J288" s="49">
        <v>1973</v>
      </c>
      <c r="K288" s="49">
        <v>2398</v>
      </c>
      <c r="L288" s="131">
        <v>3861</v>
      </c>
      <c r="M288" s="131">
        <v>4134</v>
      </c>
      <c r="N288" s="131">
        <v>3463</v>
      </c>
      <c r="O288" s="131">
        <v>4348</v>
      </c>
      <c r="P288" s="49">
        <v>2748</v>
      </c>
      <c r="Q288" s="49">
        <v>3122</v>
      </c>
      <c r="R288" s="49">
        <v>3161</v>
      </c>
      <c r="S288" s="49">
        <v>4116</v>
      </c>
      <c r="T288" s="49">
        <v>3683</v>
      </c>
      <c r="U288" s="49">
        <v>3540</v>
      </c>
      <c r="V288" s="49">
        <v>3883</v>
      </c>
      <c r="W288" s="52">
        <v>4293</v>
      </c>
      <c r="X288" s="100">
        <v>7.1118886437970597E-2</v>
      </c>
      <c r="Y288" s="100">
        <v>2.9683283624485138E-2</v>
      </c>
      <c r="Z288" s="100">
        <v>4.9793103448275922E-2</v>
      </c>
      <c r="AA288" s="100">
        <v>1.162790697674421E-2</v>
      </c>
    </row>
    <row r="289" spans="1:27" ht="15" x14ac:dyDescent="0.25">
      <c r="A289" s="4">
        <v>260130</v>
      </c>
      <c r="B289" s="20">
        <v>9042</v>
      </c>
      <c r="C289" s="10" t="s">
        <v>67</v>
      </c>
      <c r="D289" s="37" t="s">
        <v>889</v>
      </c>
      <c r="E289" s="10" t="s">
        <v>817</v>
      </c>
      <c r="F289" s="38">
        <v>1</v>
      </c>
      <c r="G289" s="49">
        <v>17174</v>
      </c>
      <c r="H289" s="49">
        <v>11934</v>
      </c>
      <c r="I289" s="49">
        <v>24425</v>
      </c>
      <c r="J289" s="49">
        <v>24330</v>
      </c>
      <c r="K289" s="131">
        <v>25756</v>
      </c>
      <c r="L289" s="49">
        <v>14840</v>
      </c>
      <c r="M289" s="131">
        <v>33751</v>
      </c>
      <c r="N289" s="49">
        <v>30570</v>
      </c>
      <c r="O289" s="49">
        <v>26212</v>
      </c>
      <c r="P289" s="49">
        <v>15157</v>
      </c>
      <c r="Q289" s="49">
        <v>34059</v>
      </c>
      <c r="R289" s="49">
        <v>32739</v>
      </c>
      <c r="S289" s="49">
        <v>25864</v>
      </c>
      <c r="T289" s="49">
        <v>18218</v>
      </c>
      <c r="U289" s="131">
        <v>48105</v>
      </c>
      <c r="V289" s="49">
        <v>35972</v>
      </c>
      <c r="W289" s="52">
        <v>27166</v>
      </c>
      <c r="X289" s="100">
        <v>2.8390172418590431E-2</v>
      </c>
      <c r="Y289" s="113">
        <v>0.12667748917748911</v>
      </c>
      <c r="Z289" s="100">
        <v>2.5879320557770091E-2</v>
      </c>
      <c r="AA289" s="100">
        <v>1.01592553000569E-2</v>
      </c>
    </row>
    <row r="290" spans="1:27" ht="15" x14ac:dyDescent="0.25">
      <c r="A290" s="4">
        <v>260130</v>
      </c>
      <c r="B290" s="20">
        <v>6508</v>
      </c>
      <c r="C290" s="10" t="s">
        <v>67</v>
      </c>
      <c r="D290" s="37" t="s">
        <v>897</v>
      </c>
      <c r="E290" s="10" t="s">
        <v>817</v>
      </c>
      <c r="F290" s="38">
        <v>0.9</v>
      </c>
      <c r="G290" s="49">
        <v>1630</v>
      </c>
      <c r="H290" s="49">
        <v>10590</v>
      </c>
      <c r="I290" s="49">
        <v>-4477</v>
      </c>
      <c r="J290" s="49">
        <v>-416</v>
      </c>
      <c r="K290" s="49">
        <v>201</v>
      </c>
      <c r="L290" s="131">
        <v>13232</v>
      </c>
      <c r="M290" s="131">
        <v>-3373</v>
      </c>
      <c r="N290" s="131">
        <v>1007</v>
      </c>
      <c r="O290" s="131">
        <v>2286</v>
      </c>
      <c r="P290" s="49">
        <v>12811</v>
      </c>
      <c r="Q290" s="131">
        <v>-896</v>
      </c>
      <c r="R290" s="131">
        <v>2805</v>
      </c>
      <c r="S290" s="131">
        <v>4082</v>
      </c>
      <c r="T290" s="131">
        <v>15521</v>
      </c>
      <c r="U290" s="49">
        <v>349</v>
      </c>
      <c r="V290" s="49">
        <v>2444</v>
      </c>
      <c r="W290" s="52">
        <v>4289</v>
      </c>
      <c r="X290" s="113">
        <v>0.14413360280821191</v>
      </c>
      <c r="Y290" s="100">
        <v>5.7874674600223219E-2</v>
      </c>
      <c r="Z290" s="100">
        <v>-1.586325086786489E-2</v>
      </c>
      <c r="AA290" s="100">
        <v>9.2427219146276052E-3</v>
      </c>
    </row>
    <row r="291" spans="1:27" ht="15" x14ac:dyDescent="0.25">
      <c r="A291" s="4">
        <v>260130</v>
      </c>
      <c r="B291" s="20">
        <v>4816</v>
      </c>
      <c r="C291" s="10" t="s">
        <v>67</v>
      </c>
      <c r="D291" s="37" t="s">
        <v>920</v>
      </c>
      <c r="E291" s="10" t="s">
        <v>817</v>
      </c>
      <c r="F291" s="38">
        <v>0.9</v>
      </c>
      <c r="G291" s="49">
        <v>3193</v>
      </c>
      <c r="H291" s="49">
        <v>3776</v>
      </c>
      <c r="I291" s="49">
        <v>4110</v>
      </c>
      <c r="J291" s="49">
        <v>10085</v>
      </c>
      <c r="K291" s="131">
        <v>7610</v>
      </c>
      <c r="L291" s="131">
        <v>6866</v>
      </c>
      <c r="M291" s="49">
        <v>2097</v>
      </c>
      <c r="N291" s="49">
        <v>9269</v>
      </c>
      <c r="O291" s="49">
        <v>6407</v>
      </c>
      <c r="P291" s="49">
        <v>5591</v>
      </c>
      <c r="Q291" s="131">
        <v>6685</v>
      </c>
      <c r="R291" s="49">
        <v>10309</v>
      </c>
      <c r="S291" s="49">
        <v>6384</v>
      </c>
      <c r="T291" s="131">
        <v>9056</v>
      </c>
      <c r="U291" s="49">
        <v>6579</v>
      </c>
      <c r="V291" s="49">
        <v>10060</v>
      </c>
      <c r="W291" s="52">
        <v>6679</v>
      </c>
      <c r="X291" s="113">
        <v>0.1196106182470917</v>
      </c>
      <c r="Y291" s="100">
        <v>-3.268175371523685E-3</v>
      </c>
      <c r="Z291" s="100">
        <v>-7.7023014105419563E-3</v>
      </c>
      <c r="AA291" s="100">
        <v>9.1960472583310082E-3</v>
      </c>
    </row>
    <row r="292" spans="1:27" ht="15" x14ac:dyDescent="0.25">
      <c r="A292" s="4">
        <v>260130</v>
      </c>
      <c r="B292" s="20">
        <v>8309</v>
      </c>
      <c r="C292" s="10" t="s">
        <v>67</v>
      </c>
      <c r="D292" s="37" t="s">
        <v>919</v>
      </c>
      <c r="E292" s="10" t="s">
        <v>817</v>
      </c>
      <c r="F292" s="38">
        <v>0.6</v>
      </c>
      <c r="G292" s="49">
        <v>41421</v>
      </c>
      <c r="H292" s="49">
        <v>35132</v>
      </c>
      <c r="I292" s="49">
        <v>88461</v>
      </c>
      <c r="J292" s="49">
        <v>56022</v>
      </c>
      <c r="K292" s="49">
        <v>57359</v>
      </c>
      <c r="L292" s="131">
        <v>69544</v>
      </c>
      <c r="M292" s="49">
        <v>47258</v>
      </c>
      <c r="N292" s="49">
        <v>7378</v>
      </c>
      <c r="O292" s="49">
        <v>3870</v>
      </c>
      <c r="P292" s="49">
        <v>39470</v>
      </c>
      <c r="Q292" s="131">
        <v>91153</v>
      </c>
      <c r="R292" s="131">
        <v>91078</v>
      </c>
      <c r="S292" s="131">
        <v>129189</v>
      </c>
      <c r="T292" s="49">
        <v>42938</v>
      </c>
      <c r="U292" s="49">
        <v>117580</v>
      </c>
      <c r="V292" s="49">
        <v>111445</v>
      </c>
      <c r="W292" s="52">
        <v>131773</v>
      </c>
      <c r="X292" s="100">
        <v>9.8834392544671079E-3</v>
      </c>
      <c r="Y292" s="100">
        <v>7.4577122570959276E-2</v>
      </c>
      <c r="Z292" s="100">
        <v>5.3486875796052942E-2</v>
      </c>
      <c r="AA292" s="100">
        <v>6.4414486279515959E-3</v>
      </c>
    </row>
    <row r="293" spans="1:27" ht="15" x14ac:dyDescent="0.25">
      <c r="A293" s="4">
        <v>260130</v>
      </c>
      <c r="B293" s="20">
        <v>6436</v>
      </c>
      <c r="C293" s="10" t="s">
        <v>67</v>
      </c>
      <c r="D293" s="37" t="s">
        <v>896</v>
      </c>
      <c r="E293" s="10" t="s">
        <v>817</v>
      </c>
      <c r="F293" s="38">
        <v>0.5</v>
      </c>
      <c r="G293" s="49">
        <v>2745</v>
      </c>
      <c r="H293" s="49">
        <v>5638</v>
      </c>
      <c r="I293" s="49">
        <v>1694</v>
      </c>
      <c r="J293" s="49">
        <v>3911</v>
      </c>
      <c r="K293" s="49">
        <v>3365</v>
      </c>
      <c r="L293" s="49">
        <v>6818</v>
      </c>
      <c r="M293" s="49">
        <v>2845</v>
      </c>
      <c r="N293" s="49">
        <v>5168</v>
      </c>
      <c r="O293" s="49">
        <v>4569</v>
      </c>
      <c r="P293" s="49">
        <v>6986</v>
      </c>
      <c r="Q293" s="49">
        <v>3233</v>
      </c>
      <c r="R293" s="49">
        <v>6666</v>
      </c>
      <c r="S293" s="49">
        <v>5312</v>
      </c>
      <c r="T293" s="49">
        <v>7829</v>
      </c>
      <c r="U293" s="49">
        <v>2743</v>
      </c>
      <c r="V293" s="49">
        <v>6944</v>
      </c>
      <c r="W293" s="52">
        <v>5431</v>
      </c>
      <c r="X293" s="100">
        <v>3.797810514934441E-2</v>
      </c>
      <c r="Y293" s="100">
        <v>-2.126736111111116E-2</v>
      </c>
      <c r="Z293" s="100">
        <v>1.2328159645232709E-2</v>
      </c>
      <c r="AA293" s="100">
        <v>5.2128964429647429E-3</v>
      </c>
    </row>
    <row r="294" spans="1:27" ht="15" x14ac:dyDescent="0.25">
      <c r="A294" s="4">
        <v>260130</v>
      </c>
      <c r="B294" s="20">
        <v>9936</v>
      </c>
      <c r="C294" s="10" t="s">
        <v>67</v>
      </c>
      <c r="D294" s="37" t="s">
        <v>890</v>
      </c>
      <c r="E294" s="10" t="s">
        <v>817</v>
      </c>
      <c r="F294" s="38">
        <v>0.3</v>
      </c>
      <c r="G294" s="49">
        <v>1827</v>
      </c>
      <c r="H294" s="49">
        <v>1938</v>
      </c>
      <c r="I294" s="49">
        <v>2186</v>
      </c>
      <c r="J294" s="49">
        <v>1636</v>
      </c>
      <c r="K294" s="49">
        <v>2113</v>
      </c>
      <c r="L294" s="49">
        <v>2047</v>
      </c>
      <c r="M294" s="49">
        <v>2417</v>
      </c>
      <c r="N294" s="131">
        <v>2572</v>
      </c>
      <c r="O294" s="49">
        <v>2533</v>
      </c>
      <c r="P294" s="49">
        <v>2765</v>
      </c>
      <c r="Q294" s="49">
        <v>2441</v>
      </c>
      <c r="R294" s="49">
        <v>2807</v>
      </c>
      <c r="S294" s="49">
        <v>2279</v>
      </c>
      <c r="T294" s="49">
        <v>3378</v>
      </c>
      <c r="U294" s="49">
        <v>2999</v>
      </c>
      <c r="V294" s="49">
        <v>2316</v>
      </c>
      <c r="W294" s="52">
        <v>2312</v>
      </c>
      <c r="X294" s="100">
        <v>5.9560823940925101E-2</v>
      </c>
      <c r="Y294" s="100">
        <v>5.1169188445667091E-2</v>
      </c>
      <c r="Z294" s="100">
        <v>-4.2833464189130248E-2</v>
      </c>
      <c r="AA294" s="100">
        <v>3.0076558512577289E-3</v>
      </c>
    </row>
    <row r="295" spans="1:27" ht="15" x14ac:dyDescent="0.25">
      <c r="A295" s="4">
        <v>260130</v>
      </c>
      <c r="B295" s="20">
        <v>5703</v>
      </c>
      <c r="C295" s="10" t="s">
        <v>67</v>
      </c>
      <c r="D295" s="37" t="s">
        <v>892</v>
      </c>
      <c r="E295" s="10" t="s">
        <v>817</v>
      </c>
      <c r="F295" s="38">
        <v>0</v>
      </c>
      <c r="G295" s="49">
        <v>5167</v>
      </c>
      <c r="H295" s="49">
        <v>2990</v>
      </c>
      <c r="I295" s="49">
        <v>3437</v>
      </c>
      <c r="J295" s="49">
        <v>220</v>
      </c>
      <c r="K295" s="49">
        <v>1418</v>
      </c>
      <c r="L295" s="49">
        <v>2464</v>
      </c>
      <c r="M295" s="49">
        <v>1971</v>
      </c>
      <c r="N295" s="131">
        <v>3710</v>
      </c>
      <c r="O295" s="131">
        <v>6985</v>
      </c>
      <c r="P295" s="131">
        <v>5523</v>
      </c>
      <c r="Q295" s="131">
        <v>4267</v>
      </c>
      <c r="R295" s="49">
        <v>4357</v>
      </c>
      <c r="S295" s="49">
        <v>6939</v>
      </c>
      <c r="T295" s="49">
        <v>6271</v>
      </c>
      <c r="U295" s="49">
        <v>5825</v>
      </c>
      <c r="V295" s="49">
        <v>6436</v>
      </c>
      <c r="W295" s="52">
        <v>6951</v>
      </c>
      <c r="X295" s="100">
        <v>3.5473774068102149E-2</v>
      </c>
      <c r="Y295" s="100">
        <v>7.1356599798479525E-2</v>
      </c>
      <c r="Z295" s="100">
        <v>8.8876538987687992E-2</v>
      </c>
      <c r="AA295" s="100">
        <v>4.7112402339921639E-4</v>
      </c>
    </row>
    <row r="296" spans="1:27" ht="15" x14ac:dyDescent="0.25">
      <c r="A296" s="4">
        <v>260130</v>
      </c>
      <c r="B296" s="20">
        <v>9009</v>
      </c>
      <c r="C296" s="10" t="s">
        <v>67</v>
      </c>
      <c r="D296" s="37" t="s">
        <v>894</v>
      </c>
      <c r="E296" s="10" t="s">
        <v>817</v>
      </c>
      <c r="F296" s="38">
        <v>-0.2</v>
      </c>
      <c r="G296" s="49">
        <v>1534</v>
      </c>
      <c r="H296" s="49">
        <v>-3008</v>
      </c>
      <c r="I296" s="49">
        <v>3204</v>
      </c>
      <c r="J296" s="49">
        <v>1198</v>
      </c>
      <c r="K296" s="131">
        <v>4079</v>
      </c>
      <c r="L296" s="131">
        <v>1749</v>
      </c>
      <c r="M296" s="131">
        <v>7654</v>
      </c>
      <c r="N296" s="131">
        <v>7597</v>
      </c>
      <c r="O296" s="131">
        <v>8616</v>
      </c>
      <c r="P296" s="49">
        <v>1375</v>
      </c>
      <c r="Q296" s="131">
        <v>12585</v>
      </c>
      <c r="R296" s="49">
        <v>9495</v>
      </c>
      <c r="S296" s="49">
        <v>10803</v>
      </c>
      <c r="T296" s="49">
        <v>3126</v>
      </c>
      <c r="U296" s="49">
        <v>10102</v>
      </c>
      <c r="V296" s="49">
        <v>10701</v>
      </c>
      <c r="W296" s="52">
        <v>10733</v>
      </c>
      <c r="X296" s="100">
        <v>5.1112148987097823E-2</v>
      </c>
      <c r="Y296" s="100">
        <v>-6.8954983476353093E-2</v>
      </c>
      <c r="Z296" s="100">
        <v>3.5972081369683329E-2</v>
      </c>
      <c r="AA296" s="100">
        <v>-2.0154324542208668E-3</v>
      </c>
    </row>
    <row r="297" spans="1:27" ht="15" x14ac:dyDescent="0.25">
      <c r="A297" s="4">
        <v>260130</v>
      </c>
      <c r="B297" s="20">
        <v>9962</v>
      </c>
      <c r="C297" s="10" t="s">
        <v>67</v>
      </c>
      <c r="D297" s="37" t="s">
        <v>869</v>
      </c>
      <c r="E297" s="10" t="s">
        <v>817</v>
      </c>
      <c r="F297" s="38">
        <v>-0.3</v>
      </c>
      <c r="G297" s="49">
        <v>13404</v>
      </c>
      <c r="H297" s="49">
        <v>10313</v>
      </c>
      <c r="I297" s="49">
        <v>14136</v>
      </c>
      <c r="J297" s="49">
        <v>12763</v>
      </c>
      <c r="K297" s="49">
        <v>11407</v>
      </c>
      <c r="L297" s="49">
        <v>8309</v>
      </c>
      <c r="M297" s="49">
        <v>8999</v>
      </c>
      <c r="N297" s="49">
        <v>9517</v>
      </c>
      <c r="O297" s="49">
        <v>10389</v>
      </c>
      <c r="P297" s="49">
        <v>9461</v>
      </c>
      <c r="Q297" s="49">
        <v>11829</v>
      </c>
      <c r="R297" s="49">
        <v>11562</v>
      </c>
      <c r="S297" s="49">
        <v>12763</v>
      </c>
      <c r="T297" s="49">
        <v>9310</v>
      </c>
      <c r="U297" s="49">
        <v>9629</v>
      </c>
      <c r="V297" s="49">
        <v>9990</v>
      </c>
      <c r="W297" s="52">
        <v>12646</v>
      </c>
      <c r="X297" s="100">
        <v>-3.310314589499042E-3</v>
      </c>
      <c r="Y297" s="100">
        <v>-4.8389934893542152E-2</v>
      </c>
      <c r="Z297" s="100">
        <v>-3.6335059171597628E-2</v>
      </c>
      <c r="AA297" s="100">
        <v>-2.8062937733858151E-3</v>
      </c>
    </row>
    <row r="298" spans="1:27" ht="15" x14ac:dyDescent="0.25">
      <c r="A298" s="4">
        <v>260130</v>
      </c>
      <c r="B298" s="20">
        <v>9832</v>
      </c>
      <c r="C298" s="10" t="s">
        <v>67</v>
      </c>
      <c r="D298" s="37" t="s">
        <v>878</v>
      </c>
      <c r="E298" s="10" t="s">
        <v>817</v>
      </c>
      <c r="F298" s="38">
        <v>-0.5</v>
      </c>
      <c r="G298" s="49">
        <v>5889</v>
      </c>
      <c r="H298" s="49">
        <v>2748</v>
      </c>
      <c r="I298" s="49">
        <v>1566</v>
      </c>
      <c r="J298" s="49">
        <v>1939</v>
      </c>
      <c r="K298" s="49">
        <v>6307</v>
      </c>
      <c r="L298" s="49">
        <v>1911</v>
      </c>
      <c r="M298" s="49">
        <v>2032</v>
      </c>
      <c r="N298" s="49">
        <v>1421</v>
      </c>
      <c r="O298" s="49">
        <v>5539</v>
      </c>
      <c r="P298" s="49">
        <v>-982</v>
      </c>
      <c r="Q298" s="49">
        <v>1058</v>
      </c>
      <c r="R298" s="49">
        <v>1452</v>
      </c>
      <c r="S298" s="131">
        <v>7436</v>
      </c>
      <c r="T298" s="131">
        <v>2180</v>
      </c>
      <c r="U298" s="131">
        <v>2687</v>
      </c>
      <c r="V298" s="49">
        <v>2397</v>
      </c>
      <c r="W298" s="52">
        <v>7366</v>
      </c>
      <c r="X298" s="113">
        <v>0.35274431057563582</v>
      </c>
      <c r="Y298" s="113">
        <v>0.1343394359228105</v>
      </c>
      <c r="Z298" s="100">
        <v>6.8702290076335881E-2</v>
      </c>
      <c r="AA298" s="100">
        <v>-4.761904761904745E-3</v>
      </c>
    </row>
    <row r="299" spans="1:27" ht="15" x14ac:dyDescent="0.25">
      <c r="A299" s="4">
        <v>260130</v>
      </c>
      <c r="B299" s="20">
        <v>4549</v>
      </c>
      <c r="C299" s="10" t="s">
        <v>67</v>
      </c>
      <c r="D299" s="37" t="s">
        <v>906</v>
      </c>
      <c r="E299" s="10" t="s">
        <v>817</v>
      </c>
      <c r="F299" s="38">
        <v>-0.6</v>
      </c>
      <c r="G299" s="49">
        <v>1812</v>
      </c>
      <c r="H299" s="49">
        <v>1745</v>
      </c>
      <c r="I299" s="49">
        <v>2801</v>
      </c>
      <c r="J299" s="49">
        <v>2857</v>
      </c>
      <c r="K299" s="49">
        <v>1342</v>
      </c>
      <c r="L299" s="49">
        <v>457</v>
      </c>
      <c r="M299" s="49">
        <v>1053</v>
      </c>
      <c r="N299" s="49">
        <v>1096</v>
      </c>
      <c r="O299" s="49">
        <v>1269</v>
      </c>
      <c r="P299" s="49">
        <v>-39</v>
      </c>
      <c r="Q299" s="49">
        <v>584</v>
      </c>
      <c r="R299" s="49">
        <v>983</v>
      </c>
      <c r="S299" s="49">
        <v>1069</v>
      </c>
      <c r="T299" s="131">
        <v>364</v>
      </c>
      <c r="U299" s="49">
        <v>801</v>
      </c>
      <c r="V299" s="49">
        <v>928</v>
      </c>
      <c r="W299" s="52">
        <v>1051</v>
      </c>
      <c r="X299" s="113">
        <v>0.1551790527531767</v>
      </c>
      <c r="Y299" s="100">
        <v>7.2333333333333361E-2</v>
      </c>
      <c r="Z299" s="100">
        <v>-1.7096673919801079E-2</v>
      </c>
      <c r="AA299" s="100">
        <v>-5.6925996204933993E-3</v>
      </c>
    </row>
    <row r="300" spans="1:27" ht="15" x14ac:dyDescent="0.25">
      <c r="A300" s="4">
        <v>260130</v>
      </c>
      <c r="B300" s="20">
        <v>8604</v>
      </c>
      <c r="C300" s="10" t="s">
        <v>67</v>
      </c>
      <c r="D300" s="37" t="s">
        <v>872</v>
      </c>
      <c r="E300" s="10" t="s">
        <v>817</v>
      </c>
      <c r="F300" s="38">
        <v>-0.6</v>
      </c>
      <c r="G300" s="49">
        <v>80100</v>
      </c>
      <c r="H300" s="49">
        <v>105861</v>
      </c>
      <c r="I300" s="49">
        <v>11733</v>
      </c>
      <c r="J300" s="49">
        <v>31484</v>
      </c>
      <c r="K300" s="49">
        <v>83566</v>
      </c>
      <c r="L300" s="49">
        <v>22691</v>
      </c>
      <c r="M300" s="131">
        <v>46310</v>
      </c>
      <c r="N300" s="131">
        <v>56735</v>
      </c>
      <c r="O300" s="49">
        <v>78711</v>
      </c>
      <c r="P300" s="131">
        <v>92094</v>
      </c>
      <c r="Q300" s="131">
        <v>102931</v>
      </c>
      <c r="R300" s="131">
        <v>133010</v>
      </c>
      <c r="S300" s="131">
        <v>138279</v>
      </c>
      <c r="T300" s="49">
        <v>97744</v>
      </c>
      <c r="U300" s="131">
        <v>160282</v>
      </c>
      <c r="V300" s="49">
        <v>136645</v>
      </c>
      <c r="W300" s="52">
        <v>135221</v>
      </c>
      <c r="X300" s="100">
        <v>1.211629931762714E-2</v>
      </c>
      <c r="Y300" s="113">
        <v>0.1215156240730224</v>
      </c>
      <c r="Z300" s="100">
        <v>6.8673663130649487E-3</v>
      </c>
      <c r="AA300" s="100">
        <v>-5.7378740970072117E-3</v>
      </c>
    </row>
    <row r="301" spans="1:27" ht="15" x14ac:dyDescent="0.25">
      <c r="A301" s="4">
        <v>260130</v>
      </c>
      <c r="B301" s="20">
        <v>6770</v>
      </c>
      <c r="C301" s="10" t="s">
        <v>67</v>
      </c>
      <c r="D301" s="37" t="s">
        <v>899</v>
      </c>
      <c r="E301" s="10" t="s">
        <v>817</v>
      </c>
      <c r="F301" s="38">
        <v>-1.7</v>
      </c>
      <c r="G301" s="49">
        <v>17200</v>
      </c>
      <c r="H301" s="49">
        <v>7208</v>
      </c>
      <c r="I301" s="49">
        <v>1602</v>
      </c>
      <c r="J301" s="49">
        <v>18052</v>
      </c>
      <c r="K301" s="49">
        <v>14371</v>
      </c>
      <c r="L301" s="49">
        <v>-937</v>
      </c>
      <c r="M301" s="49">
        <v>-2539</v>
      </c>
      <c r="N301" s="49">
        <v>13180</v>
      </c>
      <c r="O301" s="49">
        <v>9944</v>
      </c>
      <c r="P301" s="49">
        <v>-1300</v>
      </c>
      <c r="Q301" s="131">
        <v>1225</v>
      </c>
      <c r="R301" s="49">
        <v>9990</v>
      </c>
      <c r="S301" s="131">
        <v>12734</v>
      </c>
      <c r="T301" s="131">
        <v>9739</v>
      </c>
      <c r="U301" s="49">
        <v>3728</v>
      </c>
      <c r="V301" s="131">
        <v>17495</v>
      </c>
      <c r="W301" s="52">
        <v>11980</v>
      </c>
      <c r="X301" s="113">
        <v>0.48739458695748161</v>
      </c>
      <c r="Y301" s="100">
        <v>7.4299453811446314E-2</v>
      </c>
      <c r="Z301" s="113">
        <v>0.20737199856317881</v>
      </c>
      <c r="AA301" s="100">
        <v>-1.7255584035151931E-2</v>
      </c>
    </row>
    <row r="302" spans="1:27" ht="15" x14ac:dyDescent="0.25">
      <c r="A302" s="4">
        <v>260130</v>
      </c>
      <c r="B302" s="20">
        <v>8550</v>
      </c>
      <c r="C302" s="10" t="s">
        <v>67</v>
      </c>
      <c r="D302" s="37" t="s">
        <v>843</v>
      </c>
      <c r="E302" s="10" t="s">
        <v>817</v>
      </c>
      <c r="F302" s="38">
        <v>-1.8</v>
      </c>
      <c r="G302" s="49">
        <v>700</v>
      </c>
      <c r="H302" s="49">
        <v>349</v>
      </c>
      <c r="I302" s="49">
        <v>621</v>
      </c>
      <c r="J302" s="49">
        <v>1819</v>
      </c>
      <c r="K302" s="131">
        <v>2514</v>
      </c>
      <c r="L302" s="49">
        <v>-780</v>
      </c>
      <c r="M302" s="131">
        <v>1195</v>
      </c>
      <c r="N302" s="49">
        <v>1864</v>
      </c>
      <c r="O302" s="49">
        <v>-203</v>
      </c>
      <c r="P302" s="131">
        <v>500</v>
      </c>
      <c r="Q302" s="131">
        <v>1725</v>
      </c>
      <c r="R302" s="49">
        <v>361</v>
      </c>
      <c r="S302" s="131">
        <v>3168</v>
      </c>
      <c r="T302" s="49">
        <v>-28846</v>
      </c>
      <c r="U302" s="49">
        <v>2538</v>
      </c>
      <c r="V302" s="49">
        <v>2425</v>
      </c>
      <c r="W302" s="52">
        <v>3541</v>
      </c>
      <c r="X302" s="100">
        <v>-5.1001042752867569</v>
      </c>
      <c r="Y302" s="100">
        <v>-3.446083418107837E-2</v>
      </c>
      <c r="Z302" s="100">
        <v>-9.0609772158567137E-2</v>
      </c>
      <c r="AA302" s="100">
        <v>-1.8006275645667369E-2</v>
      </c>
    </row>
    <row r="303" spans="1:27" ht="15" x14ac:dyDescent="0.25">
      <c r="A303" s="4">
        <v>260130</v>
      </c>
      <c r="B303" s="20">
        <v>6810</v>
      </c>
      <c r="C303" s="10" t="s">
        <v>67</v>
      </c>
      <c r="D303" s="37" t="s">
        <v>916</v>
      </c>
      <c r="E303" s="10" t="s">
        <v>817</v>
      </c>
      <c r="F303" s="38">
        <v>-2.7</v>
      </c>
      <c r="G303" s="49">
        <v>2425</v>
      </c>
      <c r="H303" s="49">
        <v>761</v>
      </c>
      <c r="I303" s="49">
        <v>1286</v>
      </c>
      <c r="J303" s="49">
        <v>1175</v>
      </c>
      <c r="K303" s="49">
        <v>2103</v>
      </c>
      <c r="L303" s="49">
        <v>1074</v>
      </c>
      <c r="M303" s="131">
        <v>2024</v>
      </c>
      <c r="N303" s="131">
        <v>2542</v>
      </c>
      <c r="O303" s="49">
        <v>1905</v>
      </c>
      <c r="P303" s="49">
        <v>1612</v>
      </c>
      <c r="Q303" s="49">
        <v>2311</v>
      </c>
      <c r="R303" s="49">
        <v>1866</v>
      </c>
      <c r="S303" s="49">
        <v>2401</v>
      </c>
      <c r="T303" s="131">
        <v>2740</v>
      </c>
      <c r="U303" s="49">
        <v>1984</v>
      </c>
      <c r="V303" s="131">
        <v>3071</v>
      </c>
      <c r="W303" s="52">
        <v>2123</v>
      </c>
      <c r="X303" s="113">
        <v>0.13772893772893771</v>
      </c>
      <c r="Y303" s="100">
        <v>-3.5093367675466891E-2</v>
      </c>
      <c r="Z303" s="113">
        <v>0.13402291180068951</v>
      </c>
      <c r="AA303" s="100">
        <v>-2.726559435072573E-2</v>
      </c>
    </row>
    <row r="304" spans="1:27" ht="15" x14ac:dyDescent="0.25">
      <c r="A304" s="4">
        <v>260130</v>
      </c>
      <c r="B304" s="20">
        <v>9065</v>
      </c>
      <c r="C304" s="10" t="s">
        <v>67</v>
      </c>
      <c r="D304" s="37" t="s">
        <v>907</v>
      </c>
      <c r="E304" s="10" t="s">
        <v>817</v>
      </c>
      <c r="F304" s="38">
        <v>-3</v>
      </c>
      <c r="G304" s="49">
        <v>8423</v>
      </c>
      <c r="H304" s="49">
        <v>8177</v>
      </c>
      <c r="I304" s="49">
        <v>8878</v>
      </c>
      <c r="J304" s="49">
        <v>10254</v>
      </c>
      <c r="K304" s="49">
        <v>10626</v>
      </c>
      <c r="L304" s="49">
        <v>8412</v>
      </c>
      <c r="M304" s="49">
        <v>8788</v>
      </c>
      <c r="N304" s="49">
        <v>8119</v>
      </c>
      <c r="O304" s="49">
        <v>10119</v>
      </c>
      <c r="P304" s="49">
        <v>8191</v>
      </c>
      <c r="Q304" s="49">
        <v>8755</v>
      </c>
      <c r="R304" s="49">
        <v>11284</v>
      </c>
      <c r="S304" s="49">
        <v>12832</v>
      </c>
      <c r="T304" s="49">
        <v>11075</v>
      </c>
      <c r="U304" s="49">
        <v>9624</v>
      </c>
      <c r="V304" s="49">
        <v>10937</v>
      </c>
      <c r="W304" s="52">
        <v>11492</v>
      </c>
      <c r="X304" s="100">
        <v>7.023525400613706E-2</v>
      </c>
      <c r="Y304" s="100">
        <v>1.977426842033414E-2</v>
      </c>
      <c r="Z304" s="100">
        <v>-7.7429432109784591E-3</v>
      </c>
      <c r="AA304" s="100">
        <v>-3.0134028964648781E-2</v>
      </c>
    </row>
    <row r="305" spans="1:27" ht="15" x14ac:dyDescent="0.25">
      <c r="A305" s="4">
        <v>260130</v>
      </c>
      <c r="B305" s="20">
        <v>6301</v>
      </c>
      <c r="C305" s="10" t="s">
        <v>67</v>
      </c>
      <c r="D305" s="37" t="s">
        <v>893</v>
      </c>
      <c r="E305" s="10" t="s">
        <v>817</v>
      </c>
      <c r="F305" s="38">
        <v>-3.3</v>
      </c>
      <c r="G305" s="49">
        <v>88502</v>
      </c>
      <c r="H305" s="49">
        <v>94544</v>
      </c>
      <c r="I305" s="49">
        <v>94070</v>
      </c>
      <c r="J305" s="49">
        <v>116633</v>
      </c>
      <c r="K305" s="131">
        <v>135509</v>
      </c>
      <c r="L305" s="131">
        <v>153700</v>
      </c>
      <c r="M305" s="131">
        <v>147184</v>
      </c>
      <c r="N305" s="49">
        <v>149721</v>
      </c>
      <c r="O305" s="49">
        <v>156561</v>
      </c>
      <c r="P305" s="49">
        <v>159027</v>
      </c>
      <c r="Q305" s="49">
        <v>156993</v>
      </c>
      <c r="R305" s="49">
        <v>146434</v>
      </c>
      <c r="S305" s="49">
        <v>162635</v>
      </c>
      <c r="T305" s="49">
        <v>191063</v>
      </c>
      <c r="U305" s="49">
        <v>140391</v>
      </c>
      <c r="V305" s="49">
        <v>136670</v>
      </c>
      <c r="W305" s="52">
        <v>141954</v>
      </c>
      <c r="X305" s="100">
        <v>5.1250301957001421E-2</v>
      </c>
      <c r="Y305" s="100">
        <v>-2.5264599581510391E-2</v>
      </c>
      <c r="Z305" s="100">
        <v>-1.52437929629381E-2</v>
      </c>
      <c r="AA305" s="100">
        <v>-3.2787483016492813E-2</v>
      </c>
    </row>
    <row r="306" spans="1:27" ht="15" x14ac:dyDescent="0.25">
      <c r="A306" s="4">
        <v>260130</v>
      </c>
      <c r="B306" s="20">
        <v>7575</v>
      </c>
      <c r="C306" s="10" t="s">
        <v>67</v>
      </c>
      <c r="D306" s="37" t="s">
        <v>900</v>
      </c>
      <c r="E306" s="10" t="s">
        <v>817</v>
      </c>
      <c r="F306" s="38">
        <v>-3.3</v>
      </c>
      <c r="G306" s="49">
        <v>2818</v>
      </c>
      <c r="H306" s="49">
        <v>2463</v>
      </c>
      <c r="I306" s="49">
        <v>2668</v>
      </c>
      <c r="J306" s="49">
        <v>2373</v>
      </c>
      <c r="K306" s="49">
        <v>2821</v>
      </c>
      <c r="L306" s="49">
        <v>2905</v>
      </c>
      <c r="M306" s="49">
        <v>3161</v>
      </c>
      <c r="N306" s="49">
        <v>2288</v>
      </c>
      <c r="O306" s="49">
        <v>2982</v>
      </c>
      <c r="P306" s="49">
        <v>2450</v>
      </c>
      <c r="Q306" s="49">
        <v>3182</v>
      </c>
      <c r="R306" s="49">
        <v>3083</v>
      </c>
      <c r="S306" s="49">
        <v>3627</v>
      </c>
      <c r="T306" s="49">
        <v>2428</v>
      </c>
      <c r="U306" s="49">
        <v>3270</v>
      </c>
      <c r="V306" s="49">
        <v>3348</v>
      </c>
      <c r="W306" s="52">
        <v>3208</v>
      </c>
      <c r="X306" s="100">
        <v>-1.7825311942959441E-3</v>
      </c>
      <c r="Y306" s="100">
        <v>7.1428571428571166E-3</v>
      </c>
      <c r="Z306" s="100">
        <v>2.1357188910380302E-2</v>
      </c>
      <c r="AA306" s="100">
        <v>-3.3062416160340891E-2</v>
      </c>
    </row>
    <row r="307" spans="1:27" ht="15" x14ac:dyDescent="0.25">
      <c r="A307" s="4">
        <v>260130</v>
      </c>
      <c r="B307" s="20">
        <v>9882</v>
      </c>
      <c r="C307" s="10" t="s">
        <v>67</v>
      </c>
      <c r="D307" s="37" t="s">
        <v>877</v>
      </c>
      <c r="E307" s="10" t="s">
        <v>817</v>
      </c>
      <c r="F307" s="38">
        <v>-3.6</v>
      </c>
      <c r="G307" s="49">
        <v>6741</v>
      </c>
      <c r="H307" s="49">
        <v>3030</v>
      </c>
      <c r="I307" s="49">
        <v>3429</v>
      </c>
      <c r="J307" s="49">
        <v>2420</v>
      </c>
      <c r="K307" s="49">
        <v>7053</v>
      </c>
      <c r="L307" s="49">
        <v>2349</v>
      </c>
      <c r="M307" s="49">
        <v>3268</v>
      </c>
      <c r="N307" s="49">
        <v>1968</v>
      </c>
      <c r="O307" s="49">
        <v>6731</v>
      </c>
      <c r="P307" s="49">
        <v>2509</v>
      </c>
      <c r="Q307" s="49">
        <v>3119</v>
      </c>
      <c r="R307" s="49">
        <v>2235</v>
      </c>
      <c r="S307" s="49">
        <v>7766</v>
      </c>
      <c r="T307" s="49">
        <v>2331</v>
      </c>
      <c r="U307" s="49">
        <v>3504</v>
      </c>
      <c r="V307" s="49">
        <v>2007</v>
      </c>
      <c r="W307" s="52">
        <v>7205</v>
      </c>
      <c r="X307" s="100">
        <v>-1.138908439439501E-2</v>
      </c>
      <c r="Y307" s="100">
        <v>2.4917481069186561E-2</v>
      </c>
      <c r="Z307" s="100">
        <v>-1.439757514523865E-2</v>
      </c>
      <c r="AA307" s="100">
        <v>-3.5943106099436177E-2</v>
      </c>
    </row>
    <row r="308" spans="1:27" ht="15" x14ac:dyDescent="0.25">
      <c r="A308" s="4">
        <v>260130</v>
      </c>
      <c r="B308" s="20">
        <v>7839</v>
      </c>
      <c r="C308" s="10" t="s">
        <v>67</v>
      </c>
      <c r="D308" s="37" t="s">
        <v>918</v>
      </c>
      <c r="E308" s="10" t="s">
        <v>821</v>
      </c>
      <c r="F308" s="38">
        <v>-4.9000000000000004</v>
      </c>
      <c r="G308" s="49">
        <v>2205</v>
      </c>
      <c r="H308" s="49">
        <v>1740</v>
      </c>
      <c r="I308" s="49">
        <v>2456</v>
      </c>
      <c r="J308" s="49">
        <v>1981</v>
      </c>
      <c r="K308" s="49">
        <v>2581</v>
      </c>
      <c r="L308" s="49">
        <v>2343</v>
      </c>
      <c r="M308" s="49">
        <v>3113</v>
      </c>
      <c r="N308" s="49">
        <v>1789</v>
      </c>
      <c r="O308" s="49">
        <v>2836</v>
      </c>
      <c r="P308" s="49">
        <v>2439</v>
      </c>
      <c r="Q308" s="49">
        <v>2565</v>
      </c>
      <c r="R308" s="49">
        <v>2490</v>
      </c>
      <c r="S308" s="49">
        <v>2489</v>
      </c>
      <c r="T308" s="49">
        <v>1885</v>
      </c>
      <c r="U308" s="49">
        <v>2330</v>
      </c>
      <c r="V308" s="49">
        <v>2195</v>
      </c>
      <c r="W308" s="52">
        <v>2051</v>
      </c>
      <c r="X308" s="100">
        <v>-5.5494340378643647E-2</v>
      </c>
      <c r="Y308" s="100">
        <v>-2.492310955562627E-2</v>
      </c>
      <c r="Z308" s="100">
        <v>-3.2086143136828338E-2</v>
      </c>
      <c r="AA308" s="100">
        <v>-4.9219013372289067E-2</v>
      </c>
    </row>
    <row r="309" spans="1:27" ht="15" x14ac:dyDescent="0.25">
      <c r="A309" s="4">
        <v>260130</v>
      </c>
      <c r="B309" s="20">
        <v>8572</v>
      </c>
      <c r="C309" s="10" t="s">
        <v>67</v>
      </c>
      <c r="D309" s="37" t="s">
        <v>882</v>
      </c>
      <c r="E309" s="10" t="s">
        <v>817</v>
      </c>
      <c r="F309" s="38">
        <v>-5.0999999999999996</v>
      </c>
      <c r="G309" s="49">
        <v>11592</v>
      </c>
      <c r="H309" s="49">
        <v>-25184</v>
      </c>
      <c r="I309" s="49">
        <v>25394</v>
      </c>
      <c r="J309" s="49">
        <v>23405</v>
      </c>
      <c r="K309" s="131">
        <v>21847</v>
      </c>
      <c r="L309" s="131">
        <v>17642</v>
      </c>
      <c r="M309" s="49">
        <v>21928</v>
      </c>
      <c r="N309" s="49">
        <v>22290</v>
      </c>
      <c r="O309" s="49">
        <v>22650</v>
      </c>
      <c r="P309" s="49">
        <v>20930</v>
      </c>
      <c r="Q309" s="49">
        <v>23295</v>
      </c>
      <c r="R309" s="49">
        <v>27465</v>
      </c>
      <c r="S309" s="49">
        <v>28172</v>
      </c>
      <c r="T309" s="49">
        <v>-14618</v>
      </c>
      <c r="U309" s="131">
        <v>29828</v>
      </c>
      <c r="V309" s="49">
        <v>27609</v>
      </c>
      <c r="W309" s="52">
        <v>24550</v>
      </c>
      <c r="X309" s="100">
        <v>-0.35597124031163008</v>
      </c>
      <c r="Y309" s="113">
        <v>0.1015797493547284</v>
      </c>
      <c r="Z309" s="100">
        <v>2.0325490140726821E-3</v>
      </c>
      <c r="AA309" s="100">
        <v>-5.1020551900945232E-2</v>
      </c>
    </row>
    <row r="310" spans="1:27" ht="15" x14ac:dyDescent="0.25">
      <c r="A310" s="4">
        <v>260130</v>
      </c>
      <c r="B310" s="20">
        <v>8084</v>
      </c>
      <c r="C310" s="10" t="s">
        <v>67</v>
      </c>
      <c r="D310" s="37" t="s">
        <v>888</v>
      </c>
      <c r="E310" s="10" t="s">
        <v>817</v>
      </c>
      <c r="F310" s="38">
        <v>-6.1</v>
      </c>
      <c r="G310" s="49">
        <v>1839</v>
      </c>
      <c r="H310" s="49">
        <v>2525</v>
      </c>
      <c r="I310" s="49">
        <v>1884</v>
      </c>
      <c r="J310" s="49">
        <v>2882</v>
      </c>
      <c r="K310" s="49">
        <v>2226</v>
      </c>
      <c r="L310" s="49">
        <v>2388</v>
      </c>
      <c r="M310" s="49">
        <v>1765</v>
      </c>
      <c r="N310" s="49">
        <v>2472</v>
      </c>
      <c r="O310" s="49">
        <v>2038</v>
      </c>
      <c r="P310" s="49">
        <v>2051</v>
      </c>
      <c r="Q310" s="49">
        <v>1013</v>
      </c>
      <c r="R310" s="49">
        <v>1423</v>
      </c>
      <c r="S310" s="49">
        <v>1053</v>
      </c>
      <c r="T310" s="49">
        <v>1995</v>
      </c>
      <c r="U310" s="49">
        <v>878</v>
      </c>
      <c r="V310" s="49">
        <v>1555</v>
      </c>
      <c r="W310" s="52">
        <v>719</v>
      </c>
      <c r="X310" s="100">
        <v>-1.0108303249097511E-2</v>
      </c>
      <c r="Y310" s="100">
        <v>-2.4617067833697989E-2</v>
      </c>
      <c r="Z310" s="100">
        <v>2.4677509814918789E-2</v>
      </c>
      <c r="AA310" s="100">
        <v>-6.0937785075716122E-2</v>
      </c>
    </row>
    <row r="311" spans="1:27" ht="15" x14ac:dyDescent="0.25">
      <c r="A311" s="4">
        <v>260130</v>
      </c>
      <c r="B311" s="20">
        <v>7595</v>
      </c>
      <c r="C311" s="10" t="s">
        <v>67</v>
      </c>
      <c r="D311" s="37" t="s">
        <v>923</v>
      </c>
      <c r="E311" s="10" t="s">
        <v>817</v>
      </c>
      <c r="F311" s="38">
        <v>-6.2</v>
      </c>
      <c r="G311" s="49">
        <v>1352</v>
      </c>
      <c r="H311" s="49">
        <v>2030</v>
      </c>
      <c r="I311" s="49">
        <v>2065</v>
      </c>
      <c r="J311" s="49">
        <v>1674</v>
      </c>
      <c r="K311" s="49">
        <v>1551</v>
      </c>
      <c r="L311" s="49">
        <v>2482</v>
      </c>
      <c r="M311" s="49">
        <v>2227</v>
      </c>
      <c r="N311" s="49">
        <v>2262</v>
      </c>
      <c r="O311" s="49">
        <v>2231</v>
      </c>
      <c r="P311" s="49">
        <v>2453</v>
      </c>
      <c r="Q311" s="49">
        <v>2847</v>
      </c>
      <c r="R311" s="49">
        <v>2078</v>
      </c>
      <c r="S311" s="49">
        <v>2573</v>
      </c>
      <c r="T311" s="49">
        <v>2701</v>
      </c>
      <c r="U311" s="49">
        <v>2443</v>
      </c>
      <c r="V311" s="49">
        <v>2596</v>
      </c>
      <c r="W311" s="52">
        <v>1929</v>
      </c>
      <c r="X311" s="100">
        <v>2.4922118380062312E-2</v>
      </c>
      <c r="Y311" s="100">
        <v>-3.9611726639866673E-2</v>
      </c>
      <c r="Z311" s="100">
        <v>5.288412455334357E-2</v>
      </c>
      <c r="AA311" s="100">
        <v>-6.2445457189954423E-2</v>
      </c>
    </row>
    <row r="312" spans="1:27" ht="15" x14ac:dyDescent="0.25">
      <c r="A312" s="4">
        <v>260130</v>
      </c>
      <c r="B312" s="20">
        <v>2109</v>
      </c>
      <c r="C312" s="10" t="s">
        <v>67</v>
      </c>
      <c r="D312" s="37" t="s">
        <v>910</v>
      </c>
      <c r="E312" s="10" t="s">
        <v>817</v>
      </c>
      <c r="F312" s="38">
        <v>-6.7</v>
      </c>
      <c r="G312" s="49">
        <v>1379</v>
      </c>
      <c r="H312" s="49">
        <v>-142</v>
      </c>
      <c r="I312" s="49">
        <v>660</v>
      </c>
      <c r="J312" s="49">
        <v>479</v>
      </c>
      <c r="K312" s="49">
        <v>105</v>
      </c>
      <c r="L312" s="49">
        <v>-143</v>
      </c>
      <c r="M312" s="49">
        <v>502</v>
      </c>
      <c r="N312" s="131">
        <v>744</v>
      </c>
      <c r="O312" s="131">
        <v>1185</v>
      </c>
      <c r="P312" s="131">
        <v>1820</v>
      </c>
      <c r="Q312" s="131">
        <v>3280</v>
      </c>
      <c r="R312" s="131">
        <v>3217</v>
      </c>
      <c r="S312" s="131">
        <v>5071</v>
      </c>
      <c r="T312" s="49">
        <v>2274</v>
      </c>
      <c r="U312" s="49">
        <v>3570</v>
      </c>
      <c r="V312" s="49">
        <v>2755</v>
      </c>
      <c r="W312" s="52">
        <v>4158</v>
      </c>
      <c r="X312" s="100">
        <v>3.3910965043322472E-2</v>
      </c>
      <c r="Y312" s="100">
        <v>2.0950729663343551E-2</v>
      </c>
      <c r="Z312" s="100">
        <v>-3.2691763373903233E-2</v>
      </c>
      <c r="AA312" s="100">
        <v>-6.6788588149231942E-2</v>
      </c>
    </row>
    <row r="313" spans="1:27" ht="15" x14ac:dyDescent="0.25">
      <c r="A313" s="4">
        <v>260130</v>
      </c>
      <c r="B313" s="20">
        <v>2175</v>
      </c>
      <c r="C313" s="10" t="s">
        <v>67</v>
      </c>
      <c r="D313" s="37" t="s">
        <v>886</v>
      </c>
      <c r="E313" s="10" t="s">
        <v>817</v>
      </c>
      <c r="F313" s="38">
        <v>-7</v>
      </c>
      <c r="G313" s="49">
        <v>213</v>
      </c>
      <c r="H313" s="49">
        <v>2423</v>
      </c>
      <c r="I313" s="49">
        <v>3087</v>
      </c>
      <c r="J313" s="49">
        <v>1522</v>
      </c>
      <c r="K313" s="49">
        <v>434</v>
      </c>
      <c r="L313" s="49">
        <v>2238</v>
      </c>
      <c r="M313" s="49">
        <v>3729</v>
      </c>
      <c r="N313" s="49">
        <v>973</v>
      </c>
      <c r="O313" s="49">
        <v>245</v>
      </c>
      <c r="P313" s="131">
        <v>3323</v>
      </c>
      <c r="Q313" s="49">
        <v>3001</v>
      </c>
      <c r="R313" s="49">
        <v>575</v>
      </c>
      <c r="S313" s="49">
        <v>17</v>
      </c>
      <c r="T313" s="49">
        <v>2743</v>
      </c>
      <c r="U313" s="49">
        <v>3617</v>
      </c>
      <c r="V313" s="49">
        <v>776</v>
      </c>
      <c r="W313" s="52">
        <v>-486</v>
      </c>
      <c r="X313" s="100">
        <v>-8.3863504916136478E-2</v>
      </c>
      <c r="Y313" s="100">
        <v>9.7222222222222321E-2</v>
      </c>
      <c r="Z313" s="100">
        <v>2.8912543153049471E-2</v>
      </c>
      <c r="AA313" s="100">
        <v>-7.0320145393541145E-2</v>
      </c>
    </row>
    <row r="314" spans="1:27" ht="15" x14ac:dyDescent="0.25">
      <c r="A314" s="4">
        <v>260130</v>
      </c>
      <c r="B314" s="20">
        <v>4506</v>
      </c>
      <c r="C314" s="10" t="s">
        <v>67</v>
      </c>
      <c r="D314" s="37" t="s">
        <v>879</v>
      </c>
      <c r="E314" s="10" t="s">
        <v>817</v>
      </c>
      <c r="F314" s="38">
        <v>-7.2</v>
      </c>
      <c r="G314" s="49">
        <v>10656</v>
      </c>
      <c r="H314" s="49">
        <v>1739</v>
      </c>
      <c r="I314" s="49">
        <v>14614</v>
      </c>
      <c r="J314" s="49">
        <v>10904</v>
      </c>
      <c r="K314" s="49">
        <v>11138</v>
      </c>
      <c r="L314" s="49">
        <v>-108572</v>
      </c>
      <c r="M314" s="131">
        <v>-51567</v>
      </c>
      <c r="N314" s="131">
        <v>-34931</v>
      </c>
      <c r="O314" s="131">
        <v>-31247</v>
      </c>
      <c r="P314" s="131">
        <v>-237391</v>
      </c>
      <c r="Q314" s="49">
        <v>-3105</v>
      </c>
      <c r="R314" s="49">
        <v>-5074</v>
      </c>
      <c r="S314" s="49">
        <v>21405</v>
      </c>
      <c r="T314" s="49">
        <v>-203</v>
      </c>
      <c r="U314" s="131">
        <v>21038</v>
      </c>
      <c r="V314" s="131">
        <v>74574</v>
      </c>
      <c r="W314" s="52">
        <v>12997</v>
      </c>
      <c r="X314" s="100">
        <v>-1.0580955992237859</v>
      </c>
      <c r="Y314" s="113">
        <v>1.8538739153804811</v>
      </c>
      <c r="Z314" s="113">
        <v>2.1430339557660232</v>
      </c>
      <c r="AA314" s="100">
        <v>-7.1977673908949269E-2</v>
      </c>
    </row>
    <row r="315" spans="1:27" ht="15" x14ac:dyDescent="0.25">
      <c r="A315" s="4">
        <v>260130</v>
      </c>
      <c r="B315" s="20">
        <v>9513</v>
      </c>
      <c r="C315" s="10" t="s">
        <v>67</v>
      </c>
      <c r="D315" s="37" t="s">
        <v>925</v>
      </c>
      <c r="E315" s="10" t="s">
        <v>817</v>
      </c>
      <c r="F315" s="38">
        <v>-7.2</v>
      </c>
      <c r="G315" s="49">
        <v>29093</v>
      </c>
      <c r="H315" s="49">
        <v>23046</v>
      </c>
      <c r="I315" s="49">
        <v>19508</v>
      </c>
      <c r="J315" s="49">
        <v>66811</v>
      </c>
      <c r="K315" s="131">
        <v>75192</v>
      </c>
      <c r="L315" s="49">
        <v>22356</v>
      </c>
      <c r="M315" s="49">
        <v>26559</v>
      </c>
      <c r="N315" s="49">
        <v>18441</v>
      </c>
      <c r="O315" s="49">
        <v>38726</v>
      </c>
      <c r="P315" s="49">
        <v>21980</v>
      </c>
      <c r="Q315" s="49">
        <v>32677</v>
      </c>
      <c r="R315" s="131">
        <v>38114</v>
      </c>
      <c r="S315" s="49">
        <v>43402</v>
      </c>
      <c r="T315" s="49">
        <v>24118</v>
      </c>
      <c r="U315" s="49">
        <v>32476</v>
      </c>
      <c r="V315" s="49">
        <v>21130</v>
      </c>
      <c r="W315" s="52">
        <v>34661</v>
      </c>
      <c r="X315" s="100">
        <v>1.5700616128013541E-2</v>
      </c>
      <c r="Y315" s="100">
        <v>-1.45324666873925E-3</v>
      </c>
      <c r="Z315" s="100">
        <v>-0.1229744406632395</v>
      </c>
      <c r="AA315" s="100">
        <v>-7.2164522893515826E-2</v>
      </c>
    </row>
    <row r="316" spans="1:27" ht="15" x14ac:dyDescent="0.25">
      <c r="A316" s="4">
        <v>260130</v>
      </c>
      <c r="B316" s="20">
        <v>9504</v>
      </c>
      <c r="C316" s="10" t="s">
        <v>67</v>
      </c>
      <c r="D316" s="37" t="s">
        <v>921</v>
      </c>
      <c r="E316" s="10" t="s">
        <v>817</v>
      </c>
      <c r="F316" s="38">
        <v>-7.8</v>
      </c>
      <c r="G316" s="49">
        <v>-28867</v>
      </c>
      <c r="H316" s="49">
        <v>-33686</v>
      </c>
      <c r="I316" s="49">
        <v>-29193</v>
      </c>
      <c r="J316" s="49">
        <v>-43977</v>
      </c>
      <c r="K316" s="49">
        <v>-33767</v>
      </c>
      <c r="L316" s="49">
        <v>38045</v>
      </c>
      <c r="M316" s="49">
        <v>88246</v>
      </c>
      <c r="N316" s="131">
        <v>76819</v>
      </c>
      <c r="O316" s="131">
        <v>10800</v>
      </c>
      <c r="P316" s="49">
        <v>30913</v>
      </c>
      <c r="Q316" s="49">
        <v>34866</v>
      </c>
      <c r="R316" s="49">
        <v>35024</v>
      </c>
      <c r="S316" s="49">
        <v>20064</v>
      </c>
      <c r="T316" s="49">
        <v>39195</v>
      </c>
      <c r="U316" s="49">
        <v>39587</v>
      </c>
      <c r="V316" s="131">
        <v>51343</v>
      </c>
      <c r="W316" s="52">
        <v>8414</v>
      </c>
      <c r="X316" s="100">
        <v>6.8521598120247829E-2</v>
      </c>
      <c r="Y316" s="100">
        <v>3.6554677155843152E-2</v>
      </c>
      <c r="Z316" s="113">
        <v>0.1219018450735789</v>
      </c>
      <c r="AA316" s="100">
        <v>-7.7568929815099663E-2</v>
      </c>
    </row>
    <row r="317" spans="1:27" ht="15" x14ac:dyDescent="0.25">
      <c r="A317" s="4">
        <v>260130</v>
      </c>
      <c r="B317" s="20">
        <v>6920</v>
      </c>
      <c r="C317" s="10" t="s">
        <v>67</v>
      </c>
      <c r="D317" s="37" t="s">
        <v>932</v>
      </c>
      <c r="E317" s="10" t="s">
        <v>811</v>
      </c>
      <c r="F317" s="38">
        <v>-8.6</v>
      </c>
      <c r="G317" s="49">
        <v>10784</v>
      </c>
      <c r="H317" s="49">
        <v>3740</v>
      </c>
      <c r="I317" s="49">
        <v>15949</v>
      </c>
      <c r="J317" s="49">
        <v>8508</v>
      </c>
      <c r="K317" s="49">
        <v>9617</v>
      </c>
      <c r="L317" s="131">
        <v>9348</v>
      </c>
      <c r="M317" s="131">
        <v>34816</v>
      </c>
      <c r="N317" s="49">
        <v>10281</v>
      </c>
      <c r="O317" s="131">
        <v>21472</v>
      </c>
      <c r="P317" s="131">
        <v>26357</v>
      </c>
      <c r="Q317" s="49">
        <v>23267</v>
      </c>
      <c r="R317" s="49">
        <v>15923</v>
      </c>
      <c r="S317" s="131">
        <v>47740</v>
      </c>
      <c r="T317" s="49">
        <v>15629</v>
      </c>
      <c r="U317" s="131">
        <v>43552</v>
      </c>
      <c r="V317" s="49">
        <v>26729</v>
      </c>
      <c r="W317" s="52">
        <v>36263</v>
      </c>
      <c r="X317" s="100">
        <v>-9.4697538111168988E-2</v>
      </c>
      <c r="Y317" s="113">
        <v>0.19778858998235169</v>
      </c>
      <c r="Z317" s="100">
        <v>8.7965224186773439E-2</v>
      </c>
      <c r="AA317" s="100">
        <v>-8.5873550317994818E-2</v>
      </c>
    </row>
    <row r="318" spans="1:27" ht="15" x14ac:dyDescent="0.25">
      <c r="A318" s="4">
        <v>260130</v>
      </c>
      <c r="B318" s="20">
        <v>7735</v>
      </c>
      <c r="C318" s="10" t="s">
        <v>67</v>
      </c>
      <c r="D318" s="37" t="s">
        <v>930</v>
      </c>
      <c r="E318" s="10" t="s">
        <v>817</v>
      </c>
      <c r="F318" s="38">
        <v>-9.1999999999999993</v>
      </c>
      <c r="G318" s="49">
        <v>16086</v>
      </c>
      <c r="H318" s="49">
        <v>21110</v>
      </c>
      <c r="I318" s="49">
        <v>17850</v>
      </c>
      <c r="J318" s="49">
        <v>20323</v>
      </c>
      <c r="K318" s="49">
        <v>18483</v>
      </c>
      <c r="L318" s="49">
        <v>19797</v>
      </c>
      <c r="M318" s="49">
        <v>13419</v>
      </c>
      <c r="N318" s="49">
        <v>25132</v>
      </c>
      <c r="O318" s="49">
        <v>25141</v>
      </c>
      <c r="P318" s="131">
        <v>30472</v>
      </c>
      <c r="Q318" s="131">
        <v>27770</v>
      </c>
      <c r="R318" s="49">
        <v>30462</v>
      </c>
      <c r="S318" s="131">
        <v>42389</v>
      </c>
      <c r="T318" s="49">
        <v>35063</v>
      </c>
      <c r="U318" s="49">
        <v>24387</v>
      </c>
      <c r="V318" s="49">
        <v>22068</v>
      </c>
      <c r="W318" s="52">
        <v>30986</v>
      </c>
      <c r="X318" s="100">
        <v>3.5020939333145103E-2</v>
      </c>
      <c r="Y318" s="100">
        <v>-2.493293240175698E-2</v>
      </c>
      <c r="Z318" s="100">
        <v>-6.3446232454781093E-2</v>
      </c>
      <c r="AA318" s="100">
        <v>-9.202869894356247E-2</v>
      </c>
    </row>
    <row r="319" spans="1:27" ht="15" x14ac:dyDescent="0.25">
      <c r="A319" s="4">
        <v>260130</v>
      </c>
      <c r="B319" s="20">
        <v>2121</v>
      </c>
      <c r="C319" s="10" t="s">
        <v>67</v>
      </c>
      <c r="D319" s="37" t="s">
        <v>857</v>
      </c>
      <c r="E319" s="10" t="s">
        <v>817</v>
      </c>
      <c r="F319" s="38">
        <v>-10</v>
      </c>
      <c r="G319" s="49">
        <v>1861</v>
      </c>
      <c r="H319" s="49">
        <v>6826</v>
      </c>
      <c r="I319" s="49">
        <v>5558</v>
      </c>
      <c r="J319" s="49">
        <v>5691</v>
      </c>
      <c r="K319" s="131">
        <v>7825</v>
      </c>
      <c r="L319" s="49">
        <v>5746</v>
      </c>
      <c r="M319" s="49">
        <v>2245</v>
      </c>
      <c r="N319" s="49">
        <v>1567</v>
      </c>
      <c r="O319" s="49">
        <v>6664</v>
      </c>
      <c r="P319" s="131">
        <v>8702</v>
      </c>
      <c r="Q319" s="49">
        <v>2788</v>
      </c>
      <c r="R319" s="131">
        <v>6036</v>
      </c>
      <c r="S319" s="49">
        <v>8282</v>
      </c>
      <c r="T319" s="49">
        <v>9570</v>
      </c>
      <c r="U319" s="49">
        <v>2678</v>
      </c>
      <c r="V319" s="49">
        <v>4747</v>
      </c>
      <c r="W319" s="52">
        <v>5745</v>
      </c>
      <c r="X319" s="100">
        <v>3.3632982021078783E-2</v>
      </c>
      <c r="Y319" s="100">
        <v>-4.1235567551356489E-3</v>
      </c>
      <c r="Z319" s="100">
        <v>-4.8520665512308943E-2</v>
      </c>
      <c r="AA319" s="100">
        <v>-0.10036792340863231</v>
      </c>
    </row>
    <row r="320" spans="1:27" ht="15" x14ac:dyDescent="0.25">
      <c r="A320" s="4">
        <v>260130</v>
      </c>
      <c r="B320" s="20">
        <v>9507</v>
      </c>
      <c r="C320" s="10" t="s">
        <v>67</v>
      </c>
      <c r="D320" s="37" t="s">
        <v>928</v>
      </c>
      <c r="E320" s="10" t="s">
        <v>817</v>
      </c>
      <c r="F320" s="38">
        <v>-11.3</v>
      </c>
      <c r="G320" s="49">
        <v>-15795</v>
      </c>
      <c r="H320" s="49">
        <v>1079</v>
      </c>
      <c r="I320" s="49">
        <v>2839</v>
      </c>
      <c r="J320" s="49">
        <v>7721</v>
      </c>
      <c r="K320" s="49">
        <v>-11363</v>
      </c>
      <c r="L320" s="49">
        <v>-11483</v>
      </c>
      <c r="M320" s="49">
        <v>16660</v>
      </c>
      <c r="N320" s="131">
        <v>48791</v>
      </c>
      <c r="O320" s="131">
        <v>13125</v>
      </c>
      <c r="P320" s="131">
        <v>-49</v>
      </c>
      <c r="Q320" s="131">
        <v>30764</v>
      </c>
      <c r="R320" s="49">
        <v>22818</v>
      </c>
      <c r="S320" s="49">
        <v>11754</v>
      </c>
      <c r="T320" s="131">
        <v>23737</v>
      </c>
      <c r="U320" s="49">
        <v>33153</v>
      </c>
      <c r="V320" s="131">
        <v>43662</v>
      </c>
      <c r="W320" s="52">
        <v>-967</v>
      </c>
      <c r="X320" s="113">
        <v>0.36432980532112058</v>
      </c>
      <c r="Y320" s="100">
        <v>2.6820697630033811E-2</v>
      </c>
      <c r="Z320" s="113">
        <v>0.22789792482123719</v>
      </c>
      <c r="AA320" s="100">
        <v>-0.11327088490374521</v>
      </c>
    </row>
    <row r="321" spans="1:27" ht="15" x14ac:dyDescent="0.25">
      <c r="A321" s="4">
        <v>260130</v>
      </c>
      <c r="B321" s="20">
        <v>6526</v>
      </c>
      <c r="C321" s="10" t="s">
        <v>67</v>
      </c>
      <c r="D321" s="37" t="s">
        <v>856</v>
      </c>
      <c r="E321" s="10" t="s">
        <v>817</v>
      </c>
      <c r="F321" s="38">
        <v>-12.6</v>
      </c>
      <c r="G321" s="49"/>
      <c r="H321" s="49"/>
      <c r="I321" s="49">
        <v>5594</v>
      </c>
      <c r="J321" s="49">
        <v>4862</v>
      </c>
      <c r="K321" s="49">
        <v>6292</v>
      </c>
      <c r="L321" s="49">
        <v>4963</v>
      </c>
      <c r="M321" s="131">
        <v>10109</v>
      </c>
      <c r="N321" s="131">
        <v>8567</v>
      </c>
      <c r="O321" s="49">
        <v>9268</v>
      </c>
      <c r="P321" s="49">
        <v>7566</v>
      </c>
      <c r="Q321" s="49">
        <v>10265</v>
      </c>
      <c r="R321" s="49">
        <v>5291</v>
      </c>
      <c r="S321" s="49">
        <v>5104</v>
      </c>
      <c r="T321" s="49">
        <v>4340</v>
      </c>
      <c r="U321" s="49">
        <v>1440</v>
      </c>
      <c r="V321" s="49">
        <v>2327</v>
      </c>
      <c r="W321" s="52">
        <v>3437</v>
      </c>
      <c r="X321" s="100">
        <v>-0.1142917877134557</v>
      </c>
      <c r="Y321" s="100">
        <v>-0.35299999999999998</v>
      </c>
      <c r="Z321" s="100">
        <v>-0.18324574961360121</v>
      </c>
      <c r="AA321" s="100">
        <v>-0.1261827265157823</v>
      </c>
    </row>
    <row r="322" spans="1:27" ht="15" x14ac:dyDescent="0.25">
      <c r="A322" s="4">
        <v>260130</v>
      </c>
      <c r="B322" s="20">
        <v>4216</v>
      </c>
      <c r="C322" s="10" t="s">
        <v>67</v>
      </c>
      <c r="D322" s="37" t="s">
        <v>924</v>
      </c>
      <c r="E322" s="10" t="s">
        <v>817</v>
      </c>
      <c r="F322" s="38">
        <v>-13.6</v>
      </c>
      <c r="G322" s="49">
        <v>2317</v>
      </c>
      <c r="H322" s="49">
        <v>1766</v>
      </c>
      <c r="I322" s="49">
        <v>2069</v>
      </c>
      <c r="J322" s="49">
        <v>3271</v>
      </c>
      <c r="K322" s="49">
        <v>3132</v>
      </c>
      <c r="L322" s="131">
        <v>3476</v>
      </c>
      <c r="M322" s="131">
        <v>4074</v>
      </c>
      <c r="N322" s="49">
        <v>4216</v>
      </c>
      <c r="O322" s="49">
        <v>4165</v>
      </c>
      <c r="P322" s="49">
        <v>3120</v>
      </c>
      <c r="Q322" s="49">
        <v>2803</v>
      </c>
      <c r="R322" s="49">
        <v>3084</v>
      </c>
      <c r="S322" s="49">
        <v>2846</v>
      </c>
      <c r="T322" s="49">
        <v>2388</v>
      </c>
      <c r="U322" s="49">
        <v>2152</v>
      </c>
      <c r="V322" s="49">
        <v>2200</v>
      </c>
      <c r="W322" s="52">
        <v>1538</v>
      </c>
      <c r="X322" s="100">
        <v>-6.1756517337382973E-2</v>
      </c>
      <c r="Y322" s="100">
        <v>-5.8537901267871617E-2</v>
      </c>
      <c r="Z322" s="100">
        <v>-8.4431709646609399E-2</v>
      </c>
      <c r="AA322" s="100">
        <v>-0.13644898810765699</v>
      </c>
    </row>
    <row r="323" spans="1:27" ht="15" x14ac:dyDescent="0.25">
      <c r="A323" s="4">
        <v>260130</v>
      </c>
      <c r="B323" s="20">
        <v>9301</v>
      </c>
      <c r="C323" s="10" t="s">
        <v>67</v>
      </c>
      <c r="D323" s="37" t="s">
        <v>929</v>
      </c>
      <c r="E323" s="10" t="s">
        <v>817</v>
      </c>
      <c r="F323" s="38">
        <v>-13.8</v>
      </c>
      <c r="G323" s="49">
        <v>5237</v>
      </c>
      <c r="H323" s="49">
        <v>5129</v>
      </c>
      <c r="I323" s="49">
        <v>6119</v>
      </c>
      <c r="J323" s="49">
        <v>5611</v>
      </c>
      <c r="K323" s="49">
        <v>6386</v>
      </c>
      <c r="L323" s="49">
        <v>4913</v>
      </c>
      <c r="M323" s="49">
        <v>4899</v>
      </c>
      <c r="N323" s="49">
        <v>5023</v>
      </c>
      <c r="O323" s="49">
        <v>5859</v>
      </c>
      <c r="P323" s="49">
        <v>3161</v>
      </c>
      <c r="Q323" s="49">
        <v>4069</v>
      </c>
      <c r="R323" s="49">
        <v>4928</v>
      </c>
      <c r="S323" s="49">
        <v>7164</v>
      </c>
      <c r="T323" s="49">
        <v>4151</v>
      </c>
      <c r="U323" s="49">
        <v>3964</v>
      </c>
      <c r="V323" s="49">
        <v>3578</v>
      </c>
      <c r="W323" s="52">
        <v>4554</v>
      </c>
      <c r="X323" s="100">
        <v>5.1236931994617541E-2</v>
      </c>
      <c r="Y323" s="100">
        <v>-5.1693580149665408E-3</v>
      </c>
      <c r="Z323" s="100">
        <v>-6.6808531696936679E-2</v>
      </c>
      <c r="AA323" s="100">
        <v>-0.13841013947075351</v>
      </c>
    </row>
    <row r="324" spans="1:27" ht="15" x14ac:dyDescent="0.25">
      <c r="A324" s="4">
        <v>260130</v>
      </c>
      <c r="B324" s="20">
        <v>6080</v>
      </c>
      <c r="C324" s="10" t="s">
        <v>67</v>
      </c>
      <c r="D324" s="37" t="s">
        <v>931</v>
      </c>
      <c r="E324" s="10" t="s">
        <v>821</v>
      </c>
      <c r="F324" s="38">
        <v>-14.2</v>
      </c>
      <c r="G324" s="49">
        <v>2572</v>
      </c>
      <c r="H324" s="49">
        <v>1694</v>
      </c>
      <c r="I324" s="49">
        <v>2481</v>
      </c>
      <c r="J324" s="49">
        <v>2966</v>
      </c>
      <c r="K324" s="49">
        <v>330</v>
      </c>
      <c r="L324" s="131">
        <v>5142</v>
      </c>
      <c r="M324" s="49">
        <v>342</v>
      </c>
      <c r="N324" s="49">
        <v>1636</v>
      </c>
      <c r="O324" s="49">
        <v>592</v>
      </c>
      <c r="P324" s="49">
        <v>1073</v>
      </c>
      <c r="Q324" s="131">
        <v>1223</v>
      </c>
      <c r="R324" s="131">
        <v>3486</v>
      </c>
      <c r="S324" s="131">
        <v>3345</v>
      </c>
      <c r="T324" s="49">
        <v>888.8</v>
      </c>
      <c r="U324" s="49">
        <v>1403</v>
      </c>
      <c r="V324" s="49">
        <v>2311</v>
      </c>
      <c r="W324" s="52">
        <v>2216</v>
      </c>
      <c r="X324" s="100">
        <v>-2.0181877944560171E-2</v>
      </c>
      <c r="Y324" s="100">
        <v>2.0127924140090458E-2</v>
      </c>
      <c r="Z324" s="100">
        <v>-0.12879817599859689</v>
      </c>
      <c r="AA324" s="100">
        <v>-0.14205188857293841</v>
      </c>
    </row>
    <row r="325" spans="1:27" ht="15" x14ac:dyDescent="0.25">
      <c r="A325" s="4">
        <v>260130</v>
      </c>
      <c r="B325" s="20">
        <v>8871</v>
      </c>
      <c r="C325" s="10" t="s">
        <v>67</v>
      </c>
      <c r="D325" s="37" t="s">
        <v>933</v>
      </c>
      <c r="E325" s="10" t="s">
        <v>817</v>
      </c>
      <c r="F325" s="38">
        <v>-14.2</v>
      </c>
      <c r="G325" s="49">
        <v>8296</v>
      </c>
      <c r="H325" s="49">
        <v>859</v>
      </c>
      <c r="I325" s="49">
        <v>8766</v>
      </c>
      <c r="J325" s="49">
        <v>1205</v>
      </c>
      <c r="K325" s="49">
        <v>261</v>
      </c>
      <c r="L325" s="49">
        <v>323</v>
      </c>
      <c r="M325" s="49">
        <v>-211</v>
      </c>
      <c r="N325" s="49">
        <v>594</v>
      </c>
      <c r="O325" s="131">
        <v>1040</v>
      </c>
      <c r="P325" s="131">
        <v>4313</v>
      </c>
      <c r="Q325" s="131">
        <v>1770</v>
      </c>
      <c r="R325" s="131">
        <v>1878</v>
      </c>
      <c r="S325" s="131">
        <v>3200</v>
      </c>
      <c r="T325" s="49">
        <v>671</v>
      </c>
      <c r="U325" s="131">
        <v>3820</v>
      </c>
      <c r="V325" s="49">
        <v>1411</v>
      </c>
      <c r="W325" s="52">
        <v>1903</v>
      </c>
      <c r="X325" s="100">
        <v>-0.32631484633993368</v>
      </c>
      <c r="Y325" s="113">
        <v>0.27264263864875637</v>
      </c>
      <c r="Z325" s="100">
        <v>-4.8803427735395588E-2</v>
      </c>
      <c r="AA325" s="100">
        <v>-0.14249615469127661</v>
      </c>
    </row>
    <row r="326" spans="1:27" ht="15" x14ac:dyDescent="0.25">
      <c r="A326" s="4">
        <v>260130</v>
      </c>
      <c r="B326" s="20">
        <v>8892</v>
      </c>
      <c r="C326" s="10" t="s">
        <v>67</v>
      </c>
      <c r="D326" s="37" t="s">
        <v>935</v>
      </c>
      <c r="E326" s="10" t="s">
        <v>817</v>
      </c>
      <c r="F326" s="38">
        <v>-17.3</v>
      </c>
      <c r="G326" s="49">
        <v>2286</v>
      </c>
      <c r="H326" s="49">
        <v>5533</v>
      </c>
      <c r="I326" s="49">
        <v>864</v>
      </c>
      <c r="J326" s="49">
        <v>4778</v>
      </c>
      <c r="K326" s="49">
        <v>571</v>
      </c>
      <c r="L326" s="131">
        <v>9280</v>
      </c>
      <c r="M326" s="131">
        <v>4880</v>
      </c>
      <c r="N326" s="49">
        <v>1964</v>
      </c>
      <c r="O326" s="49">
        <v>1246</v>
      </c>
      <c r="P326" s="49">
        <v>8754</v>
      </c>
      <c r="Q326" s="49">
        <v>3290</v>
      </c>
      <c r="R326" s="49">
        <v>1026</v>
      </c>
      <c r="S326" s="131">
        <v>9437</v>
      </c>
      <c r="T326" s="49">
        <v>7559</v>
      </c>
      <c r="U326" s="49">
        <v>2184</v>
      </c>
      <c r="V326" s="49">
        <v>2722</v>
      </c>
      <c r="W326" s="52">
        <v>5641</v>
      </c>
      <c r="X326" s="100">
        <v>-5.3094592793353157E-2</v>
      </c>
      <c r="Y326" s="100">
        <v>-5.1895645645645638E-2</v>
      </c>
      <c r="Z326" s="100">
        <v>8.3935464713451369E-2</v>
      </c>
      <c r="AA326" s="100">
        <v>-0.173317505250662</v>
      </c>
    </row>
    <row r="327" spans="1:27" ht="15" x14ac:dyDescent="0.25">
      <c r="A327" s="4">
        <v>260130</v>
      </c>
      <c r="B327" s="20">
        <v>6737</v>
      </c>
      <c r="C327" s="10" t="s">
        <v>67</v>
      </c>
      <c r="D327" s="37" t="s">
        <v>914</v>
      </c>
      <c r="E327" s="10" t="s">
        <v>817</v>
      </c>
      <c r="F327" s="38">
        <v>-19.2</v>
      </c>
      <c r="G327" s="49">
        <v>1800</v>
      </c>
      <c r="H327" s="49">
        <v>2890</v>
      </c>
      <c r="I327" s="49">
        <v>878</v>
      </c>
      <c r="J327" s="49">
        <v>1335</v>
      </c>
      <c r="K327" s="49">
        <v>490</v>
      </c>
      <c r="L327" s="49">
        <v>2300</v>
      </c>
      <c r="M327" s="49">
        <v>1059</v>
      </c>
      <c r="N327" s="49">
        <v>578</v>
      </c>
      <c r="O327" s="49">
        <v>923</v>
      </c>
      <c r="P327" s="49">
        <v>1349</v>
      </c>
      <c r="Q327" s="49">
        <v>39</v>
      </c>
      <c r="R327" s="49">
        <v>792</v>
      </c>
      <c r="S327" s="131">
        <v>1338</v>
      </c>
      <c r="T327" s="49">
        <v>1538</v>
      </c>
      <c r="U327" s="49">
        <v>-115</v>
      </c>
      <c r="V327" s="49">
        <v>776</v>
      </c>
      <c r="W327" s="52">
        <v>659</v>
      </c>
      <c r="X327" s="100">
        <v>5.3723706651506609E-2</v>
      </c>
      <c r="Y327" s="100">
        <v>-4.1543026706231452E-2</v>
      </c>
      <c r="Z327" s="100">
        <v>-4.5032367013790866E-3</v>
      </c>
      <c r="AA327" s="100">
        <v>-0.19197059655074919</v>
      </c>
    </row>
    <row r="328" spans="1:27" ht="15" x14ac:dyDescent="0.25">
      <c r="A328" s="4">
        <v>260130</v>
      </c>
      <c r="B328" s="20">
        <v>2782</v>
      </c>
      <c r="C328" s="10" t="s">
        <v>67</v>
      </c>
      <c r="D328" s="37" t="s">
        <v>936</v>
      </c>
      <c r="E328" s="10" t="s">
        <v>817</v>
      </c>
      <c r="F328" s="38">
        <v>-22.9</v>
      </c>
      <c r="G328" s="49">
        <v>4374</v>
      </c>
      <c r="H328" s="49">
        <v>3679</v>
      </c>
      <c r="I328" s="49">
        <v>4822</v>
      </c>
      <c r="J328" s="49">
        <v>2571</v>
      </c>
      <c r="K328" s="49">
        <v>3146</v>
      </c>
      <c r="L328" s="49">
        <v>3035</v>
      </c>
      <c r="M328" s="131">
        <v>11258</v>
      </c>
      <c r="N328" s="131">
        <v>11258</v>
      </c>
      <c r="O328" s="49">
        <v>3863</v>
      </c>
      <c r="P328" s="49">
        <v>3968</v>
      </c>
      <c r="Q328" s="49">
        <v>3680</v>
      </c>
      <c r="R328" s="49">
        <v>13166</v>
      </c>
      <c r="S328" s="131">
        <v>13166</v>
      </c>
      <c r="T328" s="49">
        <v>4595</v>
      </c>
      <c r="U328" s="49">
        <v>4146</v>
      </c>
      <c r="V328" s="49">
        <v>4206</v>
      </c>
      <c r="W328" s="52">
        <v>7195</v>
      </c>
      <c r="X328" s="100">
        <v>1.8452030606239012E-2</v>
      </c>
      <c r="Y328" s="100">
        <v>1.3465483861646589E-2</v>
      </c>
      <c r="Z328" s="100">
        <v>-0.25546716847717621</v>
      </c>
      <c r="AA328" s="100">
        <v>-0.22866005437904491</v>
      </c>
    </row>
    <row r="329" spans="1:27" ht="15" x14ac:dyDescent="0.25">
      <c r="A329" s="4">
        <v>260130</v>
      </c>
      <c r="B329" s="20">
        <v>4547</v>
      </c>
      <c r="C329" s="10" t="s">
        <v>67</v>
      </c>
      <c r="D329" s="37" t="s">
        <v>863</v>
      </c>
      <c r="E329" s="10" t="s">
        <v>817</v>
      </c>
      <c r="F329" s="38">
        <v>-24.6</v>
      </c>
      <c r="G329" s="49">
        <v>-564</v>
      </c>
      <c r="H329" s="49">
        <v>-1109</v>
      </c>
      <c r="I329" s="49">
        <v>131</v>
      </c>
      <c r="J329" s="49">
        <v>-772</v>
      </c>
      <c r="K329" s="49">
        <v>1120</v>
      </c>
      <c r="L329" s="131">
        <v>-1622</v>
      </c>
      <c r="M329" s="49">
        <v>1634</v>
      </c>
      <c r="N329" s="131">
        <v>383</v>
      </c>
      <c r="O329" s="131">
        <v>2148</v>
      </c>
      <c r="P329" s="131">
        <v>-148</v>
      </c>
      <c r="Q329" s="131">
        <v>2158</v>
      </c>
      <c r="R329" s="49">
        <v>-376</v>
      </c>
      <c r="S329" s="49">
        <v>2456</v>
      </c>
      <c r="T329" s="131">
        <v>1536</v>
      </c>
      <c r="U329" s="49">
        <v>2109</v>
      </c>
      <c r="V329" s="49">
        <v>-8946</v>
      </c>
      <c r="W329" s="52">
        <v>3155</v>
      </c>
      <c r="X329" s="113">
        <v>0.41173594132029351</v>
      </c>
      <c r="Y329" s="100">
        <v>-8.4863179771389463E-3</v>
      </c>
      <c r="Z329" s="100">
        <v>-1.496943231441048</v>
      </c>
      <c r="AA329" s="100">
        <v>-0.24569420035149381</v>
      </c>
    </row>
    <row r="330" spans="1:27" ht="15" x14ac:dyDescent="0.25">
      <c r="A330" s="4">
        <v>260130</v>
      </c>
      <c r="B330" s="20">
        <v>6104</v>
      </c>
      <c r="C330" s="10" t="s">
        <v>67</v>
      </c>
      <c r="D330" s="37" t="s">
        <v>373</v>
      </c>
      <c r="E330" s="10" t="s">
        <v>817</v>
      </c>
      <c r="F330" s="38">
        <v>-62.9</v>
      </c>
      <c r="G330" s="49">
        <v>683</v>
      </c>
      <c r="H330" s="49">
        <v>1176</v>
      </c>
      <c r="I330" s="49">
        <v>423</v>
      </c>
      <c r="J330" s="49">
        <v>1249</v>
      </c>
      <c r="K330" s="131">
        <v>1670</v>
      </c>
      <c r="L330" s="131">
        <v>2425</v>
      </c>
      <c r="M330" s="131">
        <v>2626</v>
      </c>
      <c r="N330" s="131">
        <v>5539</v>
      </c>
      <c r="O330" s="49">
        <v>1491</v>
      </c>
      <c r="P330" s="131">
        <v>3959</v>
      </c>
      <c r="Q330" s="49">
        <v>3956</v>
      </c>
      <c r="R330" s="49">
        <v>4479</v>
      </c>
      <c r="S330" s="131">
        <v>4682</v>
      </c>
      <c r="T330" s="49">
        <v>979</v>
      </c>
      <c r="U330" s="49">
        <v>923</v>
      </c>
      <c r="V330" s="49">
        <v>1115</v>
      </c>
      <c r="W330" s="52">
        <v>-162</v>
      </c>
      <c r="X330" s="100">
        <v>-0.17451393769032561</v>
      </c>
      <c r="Y330" s="100">
        <v>-0.21516742338251979</v>
      </c>
      <c r="Z330" s="100">
        <v>-0.30407665190273891</v>
      </c>
      <c r="AA330" s="100">
        <v>-0.6291726198207559</v>
      </c>
    </row>
    <row r="331" spans="1:27" ht="15" x14ac:dyDescent="0.25">
      <c r="A331" s="4">
        <v>260130</v>
      </c>
      <c r="B331" s="20">
        <v>8585</v>
      </c>
      <c r="C331" s="10" t="s">
        <v>67</v>
      </c>
      <c r="D331" s="37" t="s">
        <v>895</v>
      </c>
      <c r="E331" s="10" t="s">
        <v>817</v>
      </c>
      <c r="F331" s="38">
        <v>-115.8</v>
      </c>
      <c r="G331" s="49">
        <v>6509</v>
      </c>
      <c r="H331" s="49">
        <v>8878</v>
      </c>
      <c r="I331" s="49">
        <v>5325</v>
      </c>
      <c r="J331" s="49">
        <v>9856</v>
      </c>
      <c r="K331" s="49">
        <v>1170</v>
      </c>
      <c r="L331" s="49">
        <v>6719</v>
      </c>
      <c r="M331" s="49">
        <v>3501</v>
      </c>
      <c r="N331" s="49">
        <v>2404</v>
      </c>
      <c r="O331" s="131">
        <v>4143</v>
      </c>
      <c r="P331" s="49">
        <v>6071</v>
      </c>
      <c r="Q331" s="131">
        <v>9960</v>
      </c>
      <c r="R331" s="49">
        <v>-2785</v>
      </c>
      <c r="S331" s="131">
        <v>6648</v>
      </c>
      <c r="T331" s="49">
        <v>-11649</v>
      </c>
      <c r="U331" s="49">
        <v>9314</v>
      </c>
      <c r="V331" s="131">
        <v>-2110</v>
      </c>
      <c r="W331" s="52">
        <v>4098</v>
      </c>
      <c r="X331" s="100">
        <v>-0.89072082034784361</v>
      </c>
      <c r="Y331" s="100">
        <v>-0.29714811407543701</v>
      </c>
      <c r="Z331" s="113">
        <v>0.44175392670157071</v>
      </c>
      <c r="AA331" s="100">
        <v>-1.1575124829777581</v>
      </c>
    </row>
    <row r="332" spans="1:27" ht="15" x14ac:dyDescent="0.25">
      <c r="A332" s="4">
        <v>260130</v>
      </c>
      <c r="B332" s="83" t="s">
        <v>976</v>
      </c>
      <c r="C332" s="84" t="s">
        <v>31</v>
      </c>
      <c r="D332" s="114" t="s">
        <v>953</v>
      </c>
      <c r="E332" s="10" t="s">
        <v>817</v>
      </c>
      <c r="F332" s="115">
        <v>33.6</v>
      </c>
      <c r="G332" s="133">
        <v>6982</v>
      </c>
      <c r="H332" s="133">
        <v>-9658</v>
      </c>
      <c r="I332" s="133">
        <v>2623</v>
      </c>
      <c r="J332" s="133">
        <v>27295</v>
      </c>
      <c r="K332" s="134">
        <v>15257</v>
      </c>
      <c r="L332" s="134">
        <v>2016</v>
      </c>
      <c r="M332" s="133">
        <v>4434</v>
      </c>
      <c r="N332" s="133">
        <v>-1341</v>
      </c>
      <c r="O332" s="133">
        <v>9832</v>
      </c>
      <c r="P332" s="133">
        <v>1327</v>
      </c>
      <c r="Q332" s="133">
        <v>2912</v>
      </c>
      <c r="R332" s="134">
        <v>1401</v>
      </c>
      <c r="S332" s="133">
        <v>1764</v>
      </c>
      <c r="T332" s="134">
        <v>4520</v>
      </c>
      <c r="U332" s="133">
        <v>3545</v>
      </c>
      <c r="V332" s="133">
        <v>1311</v>
      </c>
      <c r="W332" s="135">
        <v>5512</v>
      </c>
      <c r="X332" s="120">
        <v>0.4312533765532145</v>
      </c>
      <c r="Y332" s="119">
        <v>5.9733886949136623E-2</v>
      </c>
      <c r="Z332" s="119">
        <v>-8.0142475512021694E-3</v>
      </c>
      <c r="AA332" s="120">
        <v>0.33644524236983853</v>
      </c>
    </row>
    <row r="333" spans="1:27" ht="15" x14ac:dyDescent="0.25">
      <c r="A333" s="4">
        <v>260130</v>
      </c>
      <c r="B333" s="20" t="s">
        <v>937</v>
      </c>
      <c r="C333" s="10" t="s">
        <v>31</v>
      </c>
      <c r="D333" s="37" t="s">
        <v>344</v>
      </c>
      <c r="E333" s="10" t="s">
        <v>817</v>
      </c>
      <c r="F333" s="99">
        <v>16.100000000000001</v>
      </c>
      <c r="G333" s="49"/>
      <c r="H333" s="49">
        <v>650.83000000000004</v>
      </c>
      <c r="I333" s="49">
        <v>254.93</v>
      </c>
      <c r="J333" s="49">
        <v>494.36</v>
      </c>
      <c r="K333" s="49">
        <v>1010</v>
      </c>
      <c r="L333" s="49">
        <v>866.53</v>
      </c>
      <c r="M333" s="131">
        <v>968.62</v>
      </c>
      <c r="N333" s="131">
        <v>1043</v>
      </c>
      <c r="O333" s="49">
        <v>960.73</v>
      </c>
      <c r="P333" s="49">
        <v>1003</v>
      </c>
      <c r="Q333" s="49">
        <v>787.48</v>
      </c>
      <c r="R333" s="49">
        <v>683.07</v>
      </c>
      <c r="S333" s="49">
        <v>927.43</v>
      </c>
      <c r="T333" s="131">
        <v>1759</v>
      </c>
      <c r="U333" s="131">
        <v>1218</v>
      </c>
      <c r="V333" s="131">
        <v>1539</v>
      </c>
      <c r="W333" s="132">
        <v>1804</v>
      </c>
      <c r="X333" s="113">
        <v>0.22228886967873951</v>
      </c>
      <c r="Y333" s="113">
        <v>0.10356556923535851</v>
      </c>
      <c r="Z333" s="113">
        <v>0.18657874659400539</v>
      </c>
      <c r="AA333" s="113">
        <v>0.16103265771765221</v>
      </c>
    </row>
    <row r="334" spans="1:27" ht="15" x14ac:dyDescent="0.25">
      <c r="A334" s="4">
        <v>260130</v>
      </c>
      <c r="B334" s="20" t="s">
        <v>972</v>
      </c>
      <c r="C334" s="10" t="s">
        <v>31</v>
      </c>
      <c r="D334" s="37" t="s">
        <v>973</v>
      </c>
      <c r="E334" s="10" t="s">
        <v>817</v>
      </c>
      <c r="F334" s="99">
        <v>10.9</v>
      </c>
      <c r="G334" s="49">
        <v>2207</v>
      </c>
      <c r="H334" s="49">
        <v>2526</v>
      </c>
      <c r="I334" s="49">
        <v>1046</v>
      </c>
      <c r="J334" s="49">
        <v>-1642</v>
      </c>
      <c r="K334" s="49">
        <v>693.7</v>
      </c>
      <c r="L334" s="49">
        <v>2262</v>
      </c>
      <c r="M334" s="49">
        <v>1181</v>
      </c>
      <c r="N334" s="131">
        <v>756</v>
      </c>
      <c r="O334" s="49">
        <v>923.3</v>
      </c>
      <c r="P334" s="49">
        <v>1823</v>
      </c>
      <c r="Q334" s="131">
        <v>1806</v>
      </c>
      <c r="R334" s="49">
        <v>-158.6</v>
      </c>
      <c r="S334" s="49">
        <v>561.20000000000005</v>
      </c>
      <c r="T334" s="49">
        <v>1471</v>
      </c>
      <c r="U334" s="49">
        <v>669.8</v>
      </c>
      <c r="V334" s="131">
        <v>1027</v>
      </c>
      <c r="W334" s="132">
        <v>965.9</v>
      </c>
      <c r="X334" s="100">
        <v>-8.7310249032642173E-2</v>
      </c>
      <c r="Y334" s="100">
        <v>-0.30878356343080771</v>
      </c>
      <c r="Z334" s="113">
        <v>0.46614767633875909</v>
      </c>
      <c r="AA334" s="113">
        <v>0.10852775543041029</v>
      </c>
    </row>
    <row r="335" spans="1:27" ht="15" x14ac:dyDescent="0.25">
      <c r="A335" s="4">
        <v>260130</v>
      </c>
      <c r="B335" s="20" t="s">
        <v>942</v>
      </c>
      <c r="C335" s="10" t="s">
        <v>31</v>
      </c>
      <c r="D335" s="37" t="s">
        <v>943</v>
      </c>
      <c r="E335" s="10" t="s">
        <v>811</v>
      </c>
      <c r="F335" s="38">
        <v>7</v>
      </c>
      <c r="G335" s="49">
        <v>962.2</v>
      </c>
      <c r="H335" s="49">
        <v>2432</v>
      </c>
      <c r="I335" s="49">
        <v>1626</v>
      </c>
      <c r="J335" s="49">
        <v>5127</v>
      </c>
      <c r="K335" s="49">
        <v>1390</v>
      </c>
      <c r="L335" s="49">
        <v>-1073</v>
      </c>
      <c r="M335" s="49">
        <v>1570</v>
      </c>
      <c r="N335" s="49">
        <v>4063</v>
      </c>
      <c r="O335" s="131">
        <v>2944</v>
      </c>
      <c r="P335" s="131">
        <v>4600</v>
      </c>
      <c r="Q335" s="131">
        <v>6111</v>
      </c>
      <c r="R335" s="131">
        <v>6724</v>
      </c>
      <c r="S335" s="49">
        <v>2660</v>
      </c>
      <c r="T335" s="49">
        <v>1735</v>
      </c>
      <c r="U335" s="49">
        <v>3070</v>
      </c>
      <c r="V335" s="49">
        <v>4840</v>
      </c>
      <c r="W335" s="52">
        <v>3516</v>
      </c>
      <c r="X335" s="100">
        <v>-0.1425727792983329</v>
      </c>
      <c r="Y335" s="100">
        <v>-0.17649448636099829</v>
      </c>
      <c r="Z335" s="100">
        <v>-0.13277891324265281</v>
      </c>
      <c r="AA335" s="100">
        <v>6.956521739130439E-2</v>
      </c>
    </row>
    <row r="336" spans="1:27" ht="15" x14ac:dyDescent="0.25">
      <c r="A336" s="4">
        <v>260130</v>
      </c>
      <c r="B336" s="20" t="s">
        <v>946</v>
      </c>
      <c r="C336" s="10" t="s">
        <v>31</v>
      </c>
      <c r="D336" s="37" t="s">
        <v>947</v>
      </c>
      <c r="E336" s="10" t="s">
        <v>817</v>
      </c>
      <c r="F336" s="38">
        <v>5.3</v>
      </c>
      <c r="G336" s="49">
        <v>309.48</v>
      </c>
      <c r="H336" s="49">
        <v>278.63</v>
      </c>
      <c r="I336" s="49">
        <v>145.46</v>
      </c>
      <c r="J336" s="49">
        <v>177.96</v>
      </c>
      <c r="K336" s="49">
        <v>259.33999999999997</v>
      </c>
      <c r="L336" s="131">
        <v>378.09</v>
      </c>
      <c r="M336" s="49">
        <v>189.29</v>
      </c>
      <c r="N336" s="131">
        <v>296.18</v>
      </c>
      <c r="O336" s="49">
        <v>346.69</v>
      </c>
      <c r="P336" s="131">
        <v>590.53</v>
      </c>
      <c r="Q336" s="131">
        <v>337.33</v>
      </c>
      <c r="R336" s="131">
        <v>613.04</v>
      </c>
      <c r="S336" s="131">
        <v>700.55</v>
      </c>
      <c r="T336" s="131">
        <v>851.46</v>
      </c>
      <c r="U336" s="131">
        <v>651.12</v>
      </c>
      <c r="V336" s="49">
        <v>802.85</v>
      </c>
      <c r="W336" s="52">
        <v>858.75</v>
      </c>
      <c r="X336" s="113">
        <v>0.1164112516451405</v>
      </c>
      <c r="Y336" s="113">
        <v>0.1253966224154606</v>
      </c>
      <c r="Z336" s="100">
        <v>6.7400050423092273E-2</v>
      </c>
      <c r="AA336" s="100">
        <v>5.2628427334846073E-2</v>
      </c>
    </row>
    <row r="337" spans="1:27" ht="15" x14ac:dyDescent="0.25">
      <c r="A337" s="4">
        <v>260130</v>
      </c>
      <c r="B337" s="20" t="s">
        <v>964</v>
      </c>
      <c r="C337" s="10" t="s">
        <v>31</v>
      </c>
      <c r="D337" s="37" t="s">
        <v>965</v>
      </c>
      <c r="E337" s="10" t="s">
        <v>817</v>
      </c>
      <c r="F337" s="38">
        <v>4.8</v>
      </c>
      <c r="G337" s="49">
        <v>1284</v>
      </c>
      <c r="H337" s="49">
        <v>1241</v>
      </c>
      <c r="I337" s="49">
        <v>556</v>
      </c>
      <c r="J337" s="49">
        <v>1353</v>
      </c>
      <c r="K337" s="131">
        <v>1817</v>
      </c>
      <c r="L337" s="131">
        <v>1795</v>
      </c>
      <c r="M337" s="131">
        <v>1626</v>
      </c>
      <c r="N337" s="49">
        <v>1742</v>
      </c>
      <c r="O337" s="49">
        <v>1773</v>
      </c>
      <c r="P337" s="131">
        <v>2736</v>
      </c>
      <c r="Q337" s="49">
        <v>1955</v>
      </c>
      <c r="R337" s="49">
        <v>1866</v>
      </c>
      <c r="S337" s="49">
        <v>1956</v>
      </c>
      <c r="T337" s="131">
        <v>3753</v>
      </c>
      <c r="U337" s="49">
        <v>1982</v>
      </c>
      <c r="V337" s="49">
        <v>2385</v>
      </c>
      <c r="W337" s="52">
        <v>2444</v>
      </c>
      <c r="X337" s="113">
        <v>0.11946434864325139</v>
      </c>
      <c r="Y337" s="100">
        <v>2.8331584470093758E-3</v>
      </c>
      <c r="Z337" s="100">
        <v>5.4305744480485529E-2</v>
      </c>
      <c r="AA337" s="100">
        <v>4.8431917427550708E-2</v>
      </c>
    </row>
    <row r="338" spans="1:27" ht="15" x14ac:dyDescent="0.25">
      <c r="A338" s="4">
        <v>260130</v>
      </c>
      <c r="B338" s="20" t="s">
        <v>56</v>
      </c>
      <c r="C338" s="10" t="s">
        <v>31</v>
      </c>
      <c r="D338" s="37" t="s">
        <v>309</v>
      </c>
      <c r="E338" s="10" t="s">
        <v>817</v>
      </c>
      <c r="F338" s="38">
        <v>4.5</v>
      </c>
      <c r="G338" s="49">
        <v>2079</v>
      </c>
      <c r="H338" s="49">
        <v>1794</v>
      </c>
      <c r="I338" s="49">
        <v>1900</v>
      </c>
      <c r="J338" s="49">
        <v>1636</v>
      </c>
      <c r="K338" s="49">
        <v>1732</v>
      </c>
      <c r="L338" s="49">
        <v>1466</v>
      </c>
      <c r="M338" s="49">
        <v>2481</v>
      </c>
      <c r="N338" s="131">
        <v>2570</v>
      </c>
      <c r="O338" s="131">
        <v>2874</v>
      </c>
      <c r="P338" s="131">
        <v>2532</v>
      </c>
      <c r="Q338" s="49">
        <v>2964</v>
      </c>
      <c r="R338" s="49">
        <v>3024</v>
      </c>
      <c r="S338" s="49">
        <v>2849</v>
      </c>
      <c r="T338" s="49">
        <v>2566</v>
      </c>
      <c r="U338" s="49">
        <v>3352</v>
      </c>
      <c r="V338" s="49">
        <v>3258</v>
      </c>
      <c r="W338" s="52">
        <v>3387</v>
      </c>
      <c r="X338" s="100">
        <v>2.9905884422551932E-3</v>
      </c>
      <c r="Y338" s="100">
        <v>3.4026133473647358E-2</v>
      </c>
      <c r="Z338" s="100">
        <v>1.984564498346186E-2</v>
      </c>
      <c r="AA338" s="100">
        <v>4.4740124740124683E-2</v>
      </c>
    </row>
    <row r="339" spans="1:27" ht="15" x14ac:dyDescent="0.25">
      <c r="A339" s="4">
        <v>260130</v>
      </c>
      <c r="B339" s="20" t="s">
        <v>944</v>
      </c>
      <c r="C339" s="10" t="s">
        <v>31</v>
      </c>
      <c r="D339" s="37" t="s">
        <v>945</v>
      </c>
      <c r="E339" s="10" t="s">
        <v>811</v>
      </c>
      <c r="F339" s="38">
        <v>4.0999999999999996</v>
      </c>
      <c r="G339" s="49">
        <v>610.83000000000004</v>
      </c>
      <c r="H339" s="49">
        <v>1017</v>
      </c>
      <c r="I339" s="49">
        <v>1317</v>
      </c>
      <c r="J339" s="49">
        <v>1568</v>
      </c>
      <c r="K339" s="131">
        <v>1568</v>
      </c>
      <c r="L339" s="131">
        <v>2036</v>
      </c>
      <c r="M339" s="131">
        <v>2036</v>
      </c>
      <c r="N339" s="49">
        <v>1874</v>
      </c>
      <c r="O339" s="131">
        <v>2530</v>
      </c>
      <c r="P339" s="49">
        <v>2606</v>
      </c>
      <c r="Q339" s="49">
        <v>2590</v>
      </c>
      <c r="R339" s="49">
        <v>2572</v>
      </c>
      <c r="S339" s="49">
        <v>2924</v>
      </c>
      <c r="T339" s="49">
        <v>3077</v>
      </c>
      <c r="U339" s="49">
        <v>3162</v>
      </c>
      <c r="V339" s="49">
        <v>3052</v>
      </c>
      <c r="W339" s="52">
        <v>3427</v>
      </c>
      <c r="X339" s="100">
        <v>4.4051627384960712E-2</v>
      </c>
      <c r="Y339" s="100">
        <v>5.1240705903430987E-2</v>
      </c>
      <c r="Z339" s="100">
        <v>4.0903280783979527E-2</v>
      </c>
      <c r="AA339" s="100">
        <v>4.1178878428162147E-2</v>
      </c>
    </row>
    <row r="340" spans="1:27" ht="15" x14ac:dyDescent="0.25">
      <c r="A340" s="4">
        <v>260130</v>
      </c>
      <c r="B340" s="20" t="s">
        <v>948</v>
      </c>
      <c r="C340" s="10" t="s">
        <v>31</v>
      </c>
      <c r="D340" s="37" t="s">
        <v>949</v>
      </c>
      <c r="E340" s="10" t="s">
        <v>817</v>
      </c>
      <c r="F340" s="38">
        <v>3.8</v>
      </c>
      <c r="G340" s="49">
        <v>20632</v>
      </c>
      <c r="H340" s="49">
        <v>16789</v>
      </c>
      <c r="I340" s="49">
        <v>21507</v>
      </c>
      <c r="J340" s="49">
        <v>25881</v>
      </c>
      <c r="K340" s="49">
        <v>23469</v>
      </c>
      <c r="L340" s="49">
        <v>22201</v>
      </c>
      <c r="M340" s="49">
        <v>26784</v>
      </c>
      <c r="N340" s="49">
        <v>25807</v>
      </c>
      <c r="O340" s="49">
        <v>27301</v>
      </c>
      <c r="P340" s="49">
        <v>25310</v>
      </c>
      <c r="Q340" s="49">
        <v>30029</v>
      </c>
      <c r="R340" s="49">
        <v>31850</v>
      </c>
      <c r="S340" s="49">
        <v>35618</v>
      </c>
      <c r="T340" s="49">
        <v>28558</v>
      </c>
      <c r="U340" s="49">
        <v>33721</v>
      </c>
      <c r="V340" s="49">
        <v>33671</v>
      </c>
      <c r="W340" s="52">
        <v>40622</v>
      </c>
      <c r="X340" s="100">
        <v>2.6448003778286159E-2</v>
      </c>
      <c r="Y340" s="100">
        <v>2.928880250684229E-2</v>
      </c>
      <c r="Z340" s="100">
        <v>1.403500658974766E-2</v>
      </c>
      <c r="AA340" s="100">
        <v>3.8033564392557562E-2</v>
      </c>
    </row>
    <row r="341" spans="1:27" ht="15" x14ac:dyDescent="0.25">
      <c r="A341" s="4">
        <v>260130</v>
      </c>
      <c r="B341" s="20" t="s">
        <v>956</v>
      </c>
      <c r="C341" s="10" t="s">
        <v>31</v>
      </c>
      <c r="D341" s="37" t="s">
        <v>957</v>
      </c>
      <c r="E341" s="10" t="s">
        <v>817</v>
      </c>
      <c r="F341" s="38">
        <v>3.7</v>
      </c>
      <c r="G341" s="49">
        <v>58318</v>
      </c>
      <c r="H341" s="49">
        <v>64903</v>
      </c>
      <c r="I341" s="49">
        <v>59540</v>
      </c>
      <c r="J341" s="49">
        <v>61085</v>
      </c>
      <c r="K341" s="49">
        <v>64866</v>
      </c>
      <c r="L341" s="49">
        <v>83157</v>
      </c>
      <c r="M341" s="49">
        <v>64169</v>
      </c>
      <c r="N341" s="49">
        <v>66313</v>
      </c>
      <c r="O341" s="49">
        <v>69194</v>
      </c>
      <c r="P341" s="49">
        <v>71784</v>
      </c>
      <c r="Q341" s="49">
        <v>64021</v>
      </c>
      <c r="R341" s="49">
        <v>64093</v>
      </c>
      <c r="S341" s="49">
        <v>63218</v>
      </c>
      <c r="T341" s="49">
        <v>75999</v>
      </c>
      <c r="U341" s="49">
        <v>60163</v>
      </c>
      <c r="V341" s="49">
        <v>58906</v>
      </c>
      <c r="W341" s="52">
        <v>72715</v>
      </c>
      <c r="X341" s="100">
        <v>1.6019550312409651E-2</v>
      </c>
      <c r="Y341" s="100">
        <v>-1.443154740752106E-2</v>
      </c>
      <c r="Z341" s="100">
        <v>-1.968702675416456E-2</v>
      </c>
      <c r="AA341" s="100">
        <v>3.6769317733055702E-2</v>
      </c>
    </row>
    <row r="342" spans="1:27" ht="15" x14ac:dyDescent="0.25">
      <c r="A342" s="4">
        <v>260130</v>
      </c>
      <c r="B342" s="20" t="s">
        <v>958</v>
      </c>
      <c r="C342" s="10" t="s">
        <v>31</v>
      </c>
      <c r="D342" s="37" t="s">
        <v>959</v>
      </c>
      <c r="E342" s="10" t="s">
        <v>817</v>
      </c>
      <c r="F342" s="38">
        <v>3.1</v>
      </c>
      <c r="G342" s="49">
        <v>785</v>
      </c>
      <c r="H342" s="49">
        <v>855.08</v>
      </c>
      <c r="I342" s="49">
        <v>816</v>
      </c>
      <c r="J342" s="49">
        <v>1050</v>
      </c>
      <c r="K342" s="49">
        <v>751</v>
      </c>
      <c r="L342" s="49">
        <v>784.53</v>
      </c>
      <c r="M342" s="49">
        <v>1111</v>
      </c>
      <c r="N342" s="49">
        <v>1419</v>
      </c>
      <c r="O342" s="49">
        <v>1046</v>
      </c>
      <c r="P342" s="49">
        <v>1105</v>
      </c>
      <c r="Q342" s="49">
        <v>1353</v>
      </c>
      <c r="R342" s="49">
        <v>1672</v>
      </c>
      <c r="S342" s="49">
        <v>1185</v>
      </c>
      <c r="T342" s="49">
        <v>1383</v>
      </c>
      <c r="U342" s="49">
        <v>1577</v>
      </c>
      <c r="V342" s="49">
        <v>1836</v>
      </c>
      <c r="W342" s="52">
        <v>1372</v>
      </c>
      <c r="X342" s="100">
        <v>5.230479774223884E-2</v>
      </c>
      <c r="Y342" s="100">
        <v>4.0050062578222738E-2</v>
      </c>
      <c r="Z342" s="100">
        <v>2.8193226749183339E-2</v>
      </c>
      <c r="AA342" s="100">
        <v>3.1265674636348439E-2</v>
      </c>
    </row>
    <row r="343" spans="1:27" ht="15" x14ac:dyDescent="0.25">
      <c r="A343" s="4">
        <v>260130</v>
      </c>
      <c r="B343" s="20" t="s">
        <v>950</v>
      </c>
      <c r="C343" s="10" t="s">
        <v>31</v>
      </c>
      <c r="D343" s="37" t="s">
        <v>951</v>
      </c>
      <c r="E343" s="10" t="s">
        <v>817</v>
      </c>
      <c r="F343" s="38">
        <v>2.8</v>
      </c>
      <c r="G343" s="49">
        <v>2362</v>
      </c>
      <c r="H343" s="49">
        <v>2934</v>
      </c>
      <c r="I343" s="49">
        <v>1171</v>
      </c>
      <c r="J343" s="49">
        <v>1295</v>
      </c>
      <c r="K343" s="49">
        <v>2512</v>
      </c>
      <c r="L343" s="49">
        <v>0</v>
      </c>
      <c r="M343" s="131">
        <v>1703</v>
      </c>
      <c r="N343" s="131">
        <v>2045</v>
      </c>
      <c r="O343" s="131">
        <v>3326</v>
      </c>
      <c r="P343" s="49">
        <v>0</v>
      </c>
      <c r="Q343" s="49">
        <v>1031</v>
      </c>
      <c r="R343" s="49">
        <v>1575</v>
      </c>
      <c r="S343" s="49">
        <v>1270</v>
      </c>
      <c r="T343" s="131">
        <v>1291</v>
      </c>
      <c r="U343" s="49">
        <v>1441</v>
      </c>
      <c r="V343" s="49">
        <v>1837</v>
      </c>
      <c r="W343" s="52">
        <v>1436</v>
      </c>
      <c r="X343" s="113">
        <v>0.33307533539731682</v>
      </c>
      <c r="Y343" s="100">
        <v>7.9349719372943772E-2</v>
      </c>
      <c r="Z343" s="100">
        <v>4.6978662363277753E-2</v>
      </c>
      <c r="AA343" s="100">
        <v>2.8429525603699268E-2</v>
      </c>
    </row>
    <row r="344" spans="1:27" ht="15" x14ac:dyDescent="0.25">
      <c r="A344" s="4">
        <v>260130</v>
      </c>
      <c r="B344" s="20" t="s">
        <v>938</v>
      </c>
      <c r="C344" s="10" t="s">
        <v>31</v>
      </c>
      <c r="D344" s="37" t="s">
        <v>939</v>
      </c>
      <c r="E344" s="10" t="s">
        <v>817</v>
      </c>
      <c r="F344" s="38">
        <v>1.9</v>
      </c>
      <c r="G344" s="49">
        <v>1964</v>
      </c>
      <c r="H344" s="49">
        <v>1516</v>
      </c>
      <c r="I344" s="49">
        <v>1751</v>
      </c>
      <c r="J344" s="49">
        <v>1513</v>
      </c>
      <c r="K344" s="49">
        <v>1473</v>
      </c>
      <c r="L344" s="49">
        <v>1832</v>
      </c>
      <c r="M344" s="49">
        <v>1603</v>
      </c>
      <c r="N344" s="49">
        <v>2118</v>
      </c>
      <c r="O344" s="131">
        <v>2243</v>
      </c>
      <c r="P344" s="49">
        <v>2391</v>
      </c>
      <c r="Q344" s="49">
        <v>1989</v>
      </c>
      <c r="R344" s="49">
        <v>2052</v>
      </c>
      <c r="S344" s="49">
        <v>1906</v>
      </c>
      <c r="T344" s="49">
        <v>2048</v>
      </c>
      <c r="U344" s="49">
        <v>1951</v>
      </c>
      <c r="V344" s="49">
        <v>2266</v>
      </c>
      <c r="W344" s="52">
        <v>2058</v>
      </c>
      <c r="X344" s="100">
        <v>-4.1136963300551721E-2</v>
      </c>
      <c r="Y344" s="100">
        <v>-4.7529706066291588E-3</v>
      </c>
      <c r="Z344" s="100">
        <v>2.6894558250597059E-2</v>
      </c>
      <c r="AA344" s="100">
        <v>1.8602374250397791E-2</v>
      </c>
    </row>
    <row r="345" spans="1:27" ht="15" x14ac:dyDescent="0.25">
      <c r="A345" s="4">
        <v>260130</v>
      </c>
      <c r="B345" s="20" t="s">
        <v>966</v>
      </c>
      <c r="C345" s="10" t="s">
        <v>31</v>
      </c>
      <c r="D345" s="37" t="s">
        <v>967</v>
      </c>
      <c r="E345" s="10" t="s">
        <v>817</v>
      </c>
      <c r="F345" s="38">
        <v>0.5</v>
      </c>
      <c r="G345" s="49">
        <v>1363</v>
      </c>
      <c r="H345" s="49">
        <v>2048</v>
      </c>
      <c r="I345" s="49">
        <v>2264</v>
      </c>
      <c r="J345" s="49">
        <v>2874</v>
      </c>
      <c r="K345" s="131">
        <v>3413</v>
      </c>
      <c r="L345" s="49">
        <v>2925</v>
      </c>
      <c r="M345" s="49">
        <v>3188</v>
      </c>
      <c r="N345" s="49">
        <v>3576</v>
      </c>
      <c r="O345" s="49">
        <v>2842</v>
      </c>
      <c r="P345" s="49">
        <v>2749</v>
      </c>
      <c r="Q345" s="49">
        <v>2635</v>
      </c>
      <c r="R345" s="49">
        <v>2521</v>
      </c>
      <c r="S345" s="49">
        <v>2569</v>
      </c>
      <c r="T345" s="49">
        <v>2737</v>
      </c>
      <c r="U345" s="49">
        <v>2787</v>
      </c>
      <c r="V345" s="49">
        <v>2689</v>
      </c>
      <c r="W345" s="52">
        <v>2622</v>
      </c>
      <c r="X345" s="100">
        <v>-1.145694099675354E-3</v>
      </c>
      <c r="Y345" s="100">
        <v>1.452877078952408E-2</v>
      </c>
      <c r="Z345" s="100">
        <v>1.5828151498021411E-2</v>
      </c>
      <c r="AA345" s="100">
        <v>4.915600074197668E-3</v>
      </c>
    </row>
    <row r="346" spans="1:27" ht="15" x14ac:dyDescent="0.25">
      <c r="A346" s="4">
        <v>260130</v>
      </c>
      <c r="B346" s="20" t="s">
        <v>960</v>
      </c>
      <c r="C346" s="10" t="s">
        <v>31</v>
      </c>
      <c r="D346" s="37" t="s">
        <v>961</v>
      </c>
      <c r="E346" s="10" t="s">
        <v>817</v>
      </c>
      <c r="F346" s="38">
        <v>0.2</v>
      </c>
      <c r="G346" s="49">
        <v>33326</v>
      </c>
      <c r="H346" s="49">
        <v>21745</v>
      </c>
      <c r="I346" s="49">
        <v>26738</v>
      </c>
      <c r="J346" s="49">
        <v>45381</v>
      </c>
      <c r="K346" s="131">
        <v>63691</v>
      </c>
      <c r="L346" s="131">
        <v>73009</v>
      </c>
      <c r="M346" s="131">
        <v>63829</v>
      </c>
      <c r="N346" s="49">
        <v>61060</v>
      </c>
      <c r="O346" s="49">
        <v>65925</v>
      </c>
      <c r="P346" s="49">
        <v>71772</v>
      </c>
      <c r="Q346" s="49">
        <v>65231</v>
      </c>
      <c r="R346" s="49">
        <v>73837</v>
      </c>
      <c r="S346" s="49">
        <v>70678</v>
      </c>
      <c r="T346" s="49">
        <v>70504</v>
      </c>
      <c r="U346" s="49">
        <v>53350</v>
      </c>
      <c r="V346" s="49">
        <v>68053</v>
      </c>
      <c r="W346" s="52">
        <v>71172</v>
      </c>
      <c r="X346" s="100">
        <v>-4.5041524875851779E-3</v>
      </c>
      <c r="Y346" s="100">
        <v>-4.2394290811775148E-2</v>
      </c>
      <c r="Z346" s="100">
        <v>-2.155241477219794E-2</v>
      </c>
      <c r="AA346" s="100">
        <v>1.881295580478781E-3</v>
      </c>
    </row>
    <row r="347" spans="1:27" ht="15" x14ac:dyDescent="0.25">
      <c r="A347" s="4">
        <v>260130</v>
      </c>
      <c r="B347" s="20" t="s">
        <v>968</v>
      </c>
      <c r="C347" s="10" t="s">
        <v>31</v>
      </c>
      <c r="D347" s="37" t="s">
        <v>969</v>
      </c>
      <c r="E347" s="10" t="s">
        <v>817</v>
      </c>
      <c r="F347" s="38">
        <v>-0.5</v>
      </c>
      <c r="G347" s="49">
        <v>9532</v>
      </c>
      <c r="H347" s="49">
        <v>13089</v>
      </c>
      <c r="I347" s="49">
        <v>11365</v>
      </c>
      <c r="J347" s="49">
        <v>3831</v>
      </c>
      <c r="K347" s="49">
        <v>5714</v>
      </c>
      <c r="L347" s="49">
        <v>14584</v>
      </c>
      <c r="M347" s="131">
        <v>16448</v>
      </c>
      <c r="N347" s="131">
        <v>14826</v>
      </c>
      <c r="O347" s="131">
        <v>14543</v>
      </c>
      <c r="P347" s="49">
        <v>14822</v>
      </c>
      <c r="Q347" s="49">
        <v>16332</v>
      </c>
      <c r="R347" s="49">
        <v>16637</v>
      </c>
      <c r="S347" s="49">
        <v>17978</v>
      </c>
      <c r="T347" s="49">
        <v>17817</v>
      </c>
      <c r="U347" s="49">
        <v>17043</v>
      </c>
      <c r="V347" s="49">
        <v>17030</v>
      </c>
      <c r="W347" s="52">
        <v>17616</v>
      </c>
      <c r="X347" s="100">
        <v>4.5538171478964218E-2</v>
      </c>
      <c r="Y347" s="100">
        <v>1.033971264033506E-2</v>
      </c>
      <c r="Z347" s="100">
        <v>5.6567110471392734E-3</v>
      </c>
      <c r="AA347" s="100">
        <v>-5.1811988320833446E-3</v>
      </c>
    </row>
    <row r="348" spans="1:27" ht="15" x14ac:dyDescent="0.25">
      <c r="A348" s="4">
        <v>260130</v>
      </c>
      <c r="B348" s="20" t="s">
        <v>962</v>
      </c>
      <c r="C348" s="10" t="s">
        <v>31</v>
      </c>
      <c r="D348" s="37" t="s">
        <v>963</v>
      </c>
      <c r="E348" s="10" t="s">
        <v>817</v>
      </c>
      <c r="F348" s="38">
        <v>-0.6</v>
      </c>
      <c r="G348" s="49">
        <v>10391</v>
      </c>
      <c r="H348" s="49">
        <v>15136</v>
      </c>
      <c r="I348" s="49">
        <v>7190</v>
      </c>
      <c r="J348" s="49">
        <v>1807</v>
      </c>
      <c r="K348" s="49">
        <v>3027</v>
      </c>
      <c r="L348" s="49">
        <v>6437</v>
      </c>
      <c r="M348" s="49">
        <v>4247</v>
      </c>
      <c r="N348" s="49">
        <v>2104</v>
      </c>
      <c r="O348" s="131">
        <v>6193</v>
      </c>
      <c r="P348" s="131">
        <v>8748</v>
      </c>
      <c r="Q348" s="131">
        <v>7599</v>
      </c>
      <c r="R348" s="131">
        <v>13692</v>
      </c>
      <c r="S348" s="131">
        <v>20419</v>
      </c>
      <c r="T348" s="131">
        <v>27022</v>
      </c>
      <c r="U348" s="49">
        <v>13132</v>
      </c>
      <c r="V348" s="49">
        <v>17450</v>
      </c>
      <c r="W348" s="52">
        <v>19942</v>
      </c>
      <c r="X348" s="113">
        <v>0.36216259066946771</v>
      </c>
      <c r="Y348" s="100">
        <v>8.0501076645521641E-2</v>
      </c>
      <c r="Z348" s="100">
        <v>5.0602571871002588E-2</v>
      </c>
      <c r="AA348" s="100">
        <v>-6.1135818925188712E-3</v>
      </c>
    </row>
    <row r="349" spans="1:27" ht="15" x14ac:dyDescent="0.25">
      <c r="A349" s="4">
        <v>260130</v>
      </c>
      <c r="B349" s="20" t="s">
        <v>970</v>
      </c>
      <c r="C349" s="10" t="s">
        <v>31</v>
      </c>
      <c r="D349" s="37" t="s">
        <v>971</v>
      </c>
      <c r="E349" s="10" t="s">
        <v>817</v>
      </c>
      <c r="F349" s="38">
        <v>-5.5</v>
      </c>
      <c r="G349" s="49">
        <v>701.26</v>
      </c>
      <c r="H349" s="49">
        <v>766.81</v>
      </c>
      <c r="I349" s="49">
        <v>828.67</v>
      </c>
      <c r="J349" s="49">
        <v>887.99</v>
      </c>
      <c r="K349" s="49">
        <v>993.18</v>
      </c>
      <c r="L349" s="49">
        <v>951.03</v>
      </c>
      <c r="M349" s="49">
        <v>653.29999999999995</v>
      </c>
      <c r="N349" s="49">
        <v>637.04</v>
      </c>
      <c r="O349" s="49">
        <v>752.99</v>
      </c>
      <c r="P349" s="49">
        <v>818.06</v>
      </c>
      <c r="Q349" s="49">
        <v>788.79</v>
      </c>
      <c r="R349" s="49">
        <v>721.78</v>
      </c>
      <c r="S349" s="49">
        <v>801.66</v>
      </c>
      <c r="T349" s="49">
        <v>873.64</v>
      </c>
      <c r="U349" s="49">
        <v>811.93</v>
      </c>
      <c r="V349" s="49">
        <v>682.61</v>
      </c>
      <c r="W349" s="52">
        <v>627.37</v>
      </c>
      <c r="X349" s="100">
        <v>1.7755543416105191E-2</v>
      </c>
      <c r="Y349" s="100">
        <v>7.2633221066773501E-3</v>
      </c>
      <c r="Z349" s="100">
        <v>-1.2206256758314771E-2</v>
      </c>
      <c r="AA349" s="100">
        <v>-5.4983847765186833E-2</v>
      </c>
    </row>
    <row r="350" spans="1:27" ht="15" x14ac:dyDescent="0.25">
      <c r="A350" s="4">
        <v>260130</v>
      </c>
      <c r="B350" s="20" t="s">
        <v>940</v>
      </c>
      <c r="C350" s="10" t="s">
        <v>31</v>
      </c>
      <c r="D350" s="37" t="s">
        <v>941</v>
      </c>
      <c r="E350" s="10" t="s">
        <v>817</v>
      </c>
      <c r="F350" s="38">
        <v>-7.3</v>
      </c>
      <c r="G350" s="49">
        <v>1083</v>
      </c>
      <c r="H350" s="49">
        <v>941.22</v>
      </c>
      <c r="I350" s="49">
        <v>889.21</v>
      </c>
      <c r="J350" s="49">
        <v>545.16</v>
      </c>
      <c r="K350" s="49">
        <v>656.29</v>
      </c>
      <c r="L350" s="49">
        <v>1048</v>
      </c>
      <c r="M350" s="49">
        <v>1137</v>
      </c>
      <c r="N350" s="49">
        <v>881.29</v>
      </c>
      <c r="O350" s="49">
        <v>966.76</v>
      </c>
      <c r="P350" s="49">
        <v>1037</v>
      </c>
      <c r="Q350" s="49">
        <v>841.79</v>
      </c>
      <c r="R350" s="49">
        <v>421.85</v>
      </c>
      <c r="S350" s="49">
        <v>791.16</v>
      </c>
      <c r="T350" s="131">
        <v>1628</v>
      </c>
      <c r="U350" s="49">
        <v>952.05</v>
      </c>
      <c r="V350" s="131">
        <v>1047</v>
      </c>
      <c r="W350" s="52">
        <v>470.39</v>
      </c>
      <c r="X350" s="113">
        <v>0.19115078594993201</v>
      </c>
      <c r="Y350" s="100">
        <v>2.99391767133701E-2</v>
      </c>
      <c r="Z350" s="113">
        <v>0.16481416059856691</v>
      </c>
      <c r="AA350" s="100">
        <v>-7.2601800276582695E-2</v>
      </c>
    </row>
    <row r="351" spans="1:27" ht="15" x14ac:dyDescent="0.25">
      <c r="A351" s="4">
        <v>260130</v>
      </c>
      <c r="B351" s="20" t="s">
        <v>954</v>
      </c>
      <c r="C351" s="10" t="s">
        <v>31</v>
      </c>
      <c r="D351" s="37" t="s">
        <v>955</v>
      </c>
      <c r="E351" s="10" t="s">
        <v>817</v>
      </c>
      <c r="F351" s="38">
        <v>-12.8</v>
      </c>
      <c r="G351" s="49">
        <v>26968</v>
      </c>
      <c r="H351" s="49">
        <v>26538</v>
      </c>
      <c r="I351" s="49">
        <v>28426</v>
      </c>
      <c r="J351" s="49">
        <v>13171</v>
      </c>
      <c r="K351" s="49">
        <v>17698</v>
      </c>
      <c r="L351" s="49">
        <v>11720</v>
      </c>
      <c r="M351" s="49">
        <v>20405</v>
      </c>
      <c r="N351" s="49">
        <v>16820</v>
      </c>
      <c r="O351" s="49">
        <v>22069</v>
      </c>
      <c r="P351" s="49">
        <v>14044</v>
      </c>
      <c r="Q351" s="49">
        <v>21564</v>
      </c>
      <c r="R351" s="49">
        <v>15043</v>
      </c>
      <c r="S351" s="49">
        <v>14858</v>
      </c>
      <c r="T351" s="49">
        <v>2987</v>
      </c>
      <c r="U351" s="49">
        <v>22841</v>
      </c>
      <c r="V351" s="49">
        <v>13316</v>
      </c>
      <c r="W351" s="52">
        <v>7951</v>
      </c>
      <c r="X351" s="100">
        <v>-0.1687859683402281</v>
      </c>
      <c r="Y351" s="100">
        <v>2.3451847498714429E-2</v>
      </c>
      <c r="Z351" s="100">
        <v>-3.0989251556640118E-2</v>
      </c>
      <c r="AA351" s="100">
        <v>-0.1279026702714714</v>
      </c>
    </row>
    <row r="352" spans="1:27" ht="15" x14ac:dyDescent="0.25">
      <c r="A352" s="101">
        <v>260130</v>
      </c>
      <c r="B352" s="123" t="s">
        <v>317</v>
      </c>
      <c r="C352" s="124" t="s">
        <v>974</v>
      </c>
      <c r="D352" s="125" t="s">
        <v>318</v>
      </c>
      <c r="E352" s="10" t="s">
        <v>975</v>
      </c>
      <c r="F352" s="136">
        <v>10.8</v>
      </c>
      <c r="G352" s="133"/>
      <c r="H352" s="133"/>
      <c r="I352" s="133"/>
      <c r="J352" s="133"/>
      <c r="K352" s="133"/>
      <c r="L352" s="137"/>
      <c r="M352" s="137"/>
      <c r="N352" s="137">
        <v>-34.869999999999997</v>
      </c>
      <c r="O352" s="137">
        <v>50.23</v>
      </c>
      <c r="P352" s="137">
        <v>-13.48</v>
      </c>
      <c r="Q352" s="137">
        <v>92.12</v>
      </c>
      <c r="R352" s="138">
        <v>-19.850000000000001</v>
      </c>
      <c r="S352" s="138">
        <v>89.23</v>
      </c>
      <c r="T352" s="137">
        <v>-16.02</v>
      </c>
      <c r="U352" s="137">
        <v>93.98</v>
      </c>
      <c r="V352" s="137">
        <v>-18.84</v>
      </c>
      <c r="W352" s="139">
        <v>105.32</v>
      </c>
      <c r="X352" s="130">
        <v>-1.7159843264423661E-2</v>
      </c>
      <c r="Y352" s="130">
        <v>1.2785262579048551E-2</v>
      </c>
      <c r="Z352" s="130">
        <v>6.8548934437357989E-3</v>
      </c>
      <c r="AA352" s="140">
        <v>0.10845972362655849</v>
      </c>
    </row>
    <row r="353" spans="1:27" ht="15" x14ac:dyDescent="0.25">
      <c r="A353" s="4">
        <v>260129</v>
      </c>
      <c r="B353" s="20" t="s">
        <v>641</v>
      </c>
      <c r="C353" s="10" t="s">
        <v>23</v>
      </c>
      <c r="D353" s="10" t="s">
        <v>430</v>
      </c>
      <c r="E353" s="10" t="s">
        <v>798</v>
      </c>
      <c r="F353" s="99">
        <v>230.56994818652851</v>
      </c>
      <c r="G353" s="49"/>
      <c r="H353" s="49"/>
      <c r="I353" s="49"/>
      <c r="J353" s="49"/>
      <c r="K353" s="49"/>
      <c r="L353" s="49"/>
      <c r="M353" s="49"/>
      <c r="N353" s="49">
        <v>-546</v>
      </c>
      <c r="O353" s="49">
        <v>-198</v>
      </c>
      <c r="P353" s="50">
        <v>79</v>
      </c>
      <c r="Q353" s="49">
        <v>185</v>
      </c>
      <c r="R353" s="49">
        <v>313</v>
      </c>
      <c r="S353" s="50">
        <v>185</v>
      </c>
      <c r="T353" s="49">
        <v>-42</v>
      </c>
      <c r="U353" s="49">
        <v>51</v>
      </c>
      <c r="V353" s="49">
        <v>192</v>
      </c>
      <c r="W353" s="51">
        <v>1075</v>
      </c>
      <c r="X353" s="13">
        <v>-0.15879265091863515</v>
      </c>
      <c r="Y353" s="13">
        <v>-0.2090483619344774</v>
      </c>
      <c r="Z353" s="13">
        <v>-0.23865877712031558</v>
      </c>
      <c r="AA353" s="13">
        <v>2.3056994818652852</v>
      </c>
    </row>
    <row r="354" spans="1:27" ht="15" x14ac:dyDescent="0.25">
      <c r="A354" s="4">
        <v>260129</v>
      </c>
      <c r="B354" s="20" t="s">
        <v>654</v>
      </c>
      <c r="C354" s="10" t="s">
        <v>23</v>
      </c>
      <c r="D354" s="10" t="s">
        <v>52</v>
      </c>
      <c r="E354" s="10" t="s">
        <v>170</v>
      </c>
      <c r="F354" s="99">
        <v>143.57142857142861</v>
      </c>
      <c r="G354" s="49">
        <v>-62.18</v>
      </c>
      <c r="H354" s="49">
        <v>33.26</v>
      </c>
      <c r="I354" s="49">
        <v>-28.32</v>
      </c>
      <c r="J354" s="49">
        <v>14.89</v>
      </c>
      <c r="K354" s="49">
        <v>-32.880000000000003</v>
      </c>
      <c r="L354" s="50">
        <v>-44.42</v>
      </c>
      <c r="M354" s="50">
        <v>-57.77</v>
      </c>
      <c r="N354" s="49">
        <v>31.79</v>
      </c>
      <c r="O354" s="49">
        <v>-32.19</v>
      </c>
      <c r="P354" s="49">
        <v>-11.06</v>
      </c>
      <c r="Q354" s="49">
        <v>-17.329999999999998</v>
      </c>
      <c r="R354" s="49">
        <v>47.62</v>
      </c>
      <c r="S354" s="49">
        <v>-17.43</v>
      </c>
      <c r="T354" s="49">
        <v>-16.02</v>
      </c>
      <c r="U354" s="49">
        <v>14.35</v>
      </c>
      <c r="V354" s="50">
        <v>96.1</v>
      </c>
      <c r="W354" s="51">
        <v>93.12</v>
      </c>
      <c r="X354" s="13">
        <v>-2.7555555555555582</v>
      </c>
      <c r="Y354" s="13">
        <v>-10.025316455696201</v>
      </c>
      <c r="Z354" s="13">
        <v>1.6998597475455823</v>
      </c>
      <c r="AA354" s="13">
        <v>1.4357142857142859</v>
      </c>
    </row>
    <row r="355" spans="1:27" ht="15" x14ac:dyDescent="0.25">
      <c r="A355" s="4">
        <v>260129</v>
      </c>
      <c r="B355" s="20" t="s">
        <v>642</v>
      </c>
      <c r="C355" s="10" t="s">
        <v>23</v>
      </c>
      <c r="D355" s="10" t="s">
        <v>63</v>
      </c>
      <c r="E355" s="10" t="s">
        <v>25</v>
      </c>
      <c r="F355" s="99">
        <v>106.1055799953693</v>
      </c>
      <c r="G355" s="49">
        <v>939.41</v>
      </c>
      <c r="H355" s="49">
        <v>-1236</v>
      </c>
      <c r="I355" s="49">
        <v>90.52</v>
      </c>
      <c r="J355" s="49">
        <v>-207.27</v>
      </c>
      <c r="K355" s="49">
        <v>1293</v>
      </c>
      <c r="L355" s="49">
        <v>955.26</v>
      </c>
      <c r="M355" s="50">
        <v>567.73</v>
      </c>
      <c r="N355" s="49">
        <v>50.32</v>
      </c>
      <c r="O355" s="49">
        <v>664.58</v>
      </c>
      <c r="P355" s="49">
        <v>65.45</v>
      </c>
      <c r="Q355" s="49">
        <v>20.67</v>
      </c>
      <c r="R355" s="49">
        <v>104.8</v>
      </c>
      <c r="S355" s="49">
        <v>-189.17</v>
      </c>
      <c r="T355" s="49">
        <v>-236.88</v>
      </c>
      <c r="U355" s="49">
        <v>616.29999999999995</v>
      </c>
      <c r="V355" s="50">
        <v>241.65</v>
      </c>
      <c r="W355" s="51">
        <v>269.10000000000002</v>
      </c>
      <c r="X355" s="13">
        <v>-172.75999999999721</v>
      </c>
      <c r="Y355" s="13">
        <v>-1.9816022356776897</v>
      </c>
      <c r="Z355" s="13">
        <v>0.46381969157769887</v>
      </c>
      <c r="AA355" s="13">
        <v>1.0610557999536931</v>
      </c>
    </row>
    <row r="356" spans="1:27" ht="15" x14ac:dyDescent="0.25">
      <c r="A356" s="4">
        <v>260129</v>
      </c>
      <c r="B356" s="20" t="s">
        <v>637</v>
      </c>
      <c r="C356" s="10" t="s">
        <v>23</v>
      </c>
      <c r="D356" s="10" t="s">
        <v>182</v>
      </c>
      <c r="E356" s="10" t="s">
        <v>25</v>
      </c>
      <c r="F356" s="99">
        <v>89.218983557548583</v>
      </c>
      <c r="G356" s="49">
        <v>-64.650000000000006</v>
      </c>
      <c r="H356" s="49">
        <v>-228.42</v>
      </c>
      <c r="I356" s="49">
        <v>-109.54</v>
      </c>
      <c r="J356" s="49">
        <v>-101.43</v>
      </c>
      <c r="K356" s="49">
        <v>36.46</v>
      </c>
      <c r="L356" s="49">
        <v>21.46</v>
      </c>
      <c r="M356" s="49">
        <v>4.25</v>
      </c>
      <c r="N356" s="49">
        <v>-68.56</v>
      </c>
      <c r="O356" s="50">
        <v>27.31</v>
      </c>
      <c r="P356" s="49">
        <v>29.16</v>
      </c>
      <c r="Q356" s="50">
        <v>-13.2</v>
      </c>
      <c r="R356" s="49">
        <v>40.64</v>
      </c>
      <c r="S356" s="49">
        <v>3.74</v>
      </c>
      <c r="T356" s="49">
        <v>19.64</v>
      </c>
      <c r="U356" s="49">
        <v>-23.33</v>
      </c>
      <c r="V356" s="50">
        <v>53.47</v>
      </c>
      <c r="W356" s="51">
        <v>51.49</v>
      </c>
      <c r="X356" s="13">
        <v>-0.15777262180974483</v>
      </c>
      <c r="Y356" s="13">
        <v>-0.19933097205824457</v>
      </c>
      <c r="Z356" s="13">
        <v>0.31531088719587097</v>
      </c>
      <c r="AA356" s="13">
        <v>0.89218983557548581</v>
      </c>
    </row>
    <row r="357" spans="1:27" ht="15" x14ac:dyDescent="0.25">
      <c r="A357" s="4">
        <v>260129</v>
      </c>
      <c r="B357" s="20" t="s">
        <v>638</v>
      </c>
      <c r="C357" s="10" t="s">
        <v>23</v>
      </c>
      <c r="D357" s="10" t="s">
        <v>430</v>
      </c>
      <c r="E357" s="10" t="s">
        <v>798</v>
      </c>
      <c r="F357" s="99">
        <v>47.159647404505378</v>
      </c>
      <c r="G357" s="49">
        <v>729</v>
      </c>
      <c r="H357" s="49">
        <v>524</v>
      </c>
      <c r="I357" s="49">
        <v>611</v>
      </c>
      <c r="J357" s="49">
        <v>182</v>
      </c>
      <c r="K357" s="49">
        <v>-245</v>
      </c>
      <c r="L357" s="49">
        <v>-432</v>
      </c>
      <c r="M357" s="49">
        <v>-574</v>
      </c>
      <c r="N357" s="50">
        <v>-539</v>
      </c>
      <c r="O357" s="49">
        <v>0</v>
      </c>
      <c r="P357" s="49">
        <v>100</v>
      </c>
      <c r="Q357" s="49">
        <v>0</v>
      </c>
      <c r="R357" s="49">
        <v>340</v>
      </c>
      <c r="S357" s="49">
        <v>0</v>
      </c>
      <c r="T357" s="50">
        <v>559</v>
      </c>
      <c r="U357" s="50">
        <v>688</v>
      </c>
      <c r="V357" s="50">
        <v>795</v>
      </c>
      <c r="W357" s="51">
        <v>963</v>
      </c>
      <c r="X357" s="13">
        <v>1.043181818181818</v>
      </c>
      <c r="Y357" s="13">
        <v>0.76529477196885431</v>
      </c>
      <c r="Z357" s="13">
        <v>0.2867044738500315</v>
      </c>
      <c r="AA357" s="13">
        <v>0.47159647404505378</v>
      </c>
    </row>
    <row r="358" spans="1:27" ht="15" x14ac:dyDescent="0.25">
      <c r="A358" s="4">
        <v>260129</v>
      </c>
      <c r="B358" s="20" t="s">
        <v>709</v>
      </c>
      <c r="C358" s="10" t="s">
        <v>23</v>
      </c>
      <c r="D358" s="10" t="s">
        <v>804</v>
      </c>
      <c r="E358" s="10" t="s">
        <v>25</v>
      </c>
      <c r="F358" s="99">
        <v>35.295840656121847</v>
      </c>
      <c r="G358" s="49">
        <v>1601</v>
      </c>
      <c r="H358" s="49">
        <v>1400</v>
      </c>
      <c r="I358" s="49">
        <v>6237</v>
      </c>
      <c r="J358" s="49">
        <v>3796</v>
      </c>
      <c r="K358" s="50">
        <v>4383</v>
      </c>
      <c r="L358" s="50">
        <v>4067</v>
      </c>
      <c r="M358" s="49">
        <v>2785</v>
      </c>
      <c r="N358" s="49">
        <v>3529</v>
      </c>
      <c r="O358" s="49">
        <v>1575</v>
      </c>
      <c r="P358" s="49">
        <v>1703</v>
      </c>
      <c r="Q358" s="49">
        <v>1245</v>
      </c>
      <c r="R358" s="49">
        <v>527</v>
      </c>
      <c r="S358" s="49">
        <v>370</v>
      </c>
      <c r="T358" s="49">
        <v>250</v>
      </c>
      <c r="U358" s="49">
        <v>1117</v>
      </c>
      <c r="V358" s="50">
        <v>1677</v>
      </c>
      <c r="W358" s="51">
        <v>1575</v>
      </c>
      <c r="X358" s="13">
        <v>-0.37789336801040307</v>
      </c>
      <c r="Y358" s="13">
        <v>-5.3511705685618693E-2</v>
      </c>
      <c r="Z358" s="13">
        <v>0.50795053003533575</v>
      </c>
      <c r="AA358" s="13">
        <v>0.35295840656121857</v>
      </c>
    </row>
    <row r="359" spans="1:27" ht="15" x14ac:dyDescent="0.25">
      <c r="A359" s="4">
        <v>260129</v>
      </c>
      <c r="B359" s="20" t="s">
        <v>650</v>
      </c>
      <c r="C359" s="10" t="s">
        <v>23</v>
      </c>
      <c r="D359" s="10" t="s">
        <v>29</v>
      </c>
      <c r="E359" s="10" t="s">
        <v>25</v>
      </c>
      <c r="F359" s="99">
        <v>21.700505538013498</v>
      </c>
      <c r="G359" s="49">
        <v>157.31</v>
      </c>
      <c r="H359" s="49">
        <v>156.04</v>
      </c>
      <c r="I359" s="49">
        <v>132.97</v>
      </c>
      <c r="J359" s="49">
        <v>246.52</v>
      </c>
      <c r="K359" s="50">
        <v>245.14</v>
      </c>
      <c r="L359" s="49">
        <v>203.72</v>
      </c>
      <c r="M359" s="49">
        <v>190.82</v>
      </c>
      <c r="N359" s="49">
        <v>194.83</v>
      </c>
      <c r="O359" s="49">
        <v>88.97</v>
      </c>
      <c r="P359" s="49">
        <v>129.44999999999999</v>
      </c>
      <c r="Q359" s="49">
        <v>93.33</v>
      </c>
      <c r="R359" s="49">
        <v>126.67</v>
      </c>
      <c r="S359" s="49">
        <v>89.06</v>
      </c>
      <c r="T359" s="49">
        <v>139.12</v>
      </c>
      <c r="U359" s="50">
        <v>173.09</v>
      </c>
      <c r="V359" s="50">
        <v>209.96</v>
      </c>
      <c r="W359" s="51">
        <v>221.7</v>
      </c>
      <c r="X359" s="13">
        <v>2.2051948644272734E-2</v>
      </c>
      <c r="Y359" s="13">
        <v>0.17796421080815761</v>
      </c>
      <c r="Z359" s="13">
        <v>0.15776413986437854</v>
      </c>
      <c r="AA359" s="13">
        <v>0.21700505538013526</v>
      </c>
    </row>
    <row r="360" spans="1:27" ht="15" x14ac:dyDescent="0.25">
      <c r="A360" s="4">
        <v>260129</v>
      </c>
      <c r="B360" s="20" t="s">
        <v>699</v>
      </c>
      <c r="C360" s="10" t="s">
        <v>23</v>
      </c>
      <c r="D360" s="10" t="s">
        <v>700</v>
      </c>
      <c r="E360" s="10" t="s">
        <v>25</v>
      </c>
      <c r="F360" s="99">
        <v>17.982015648721241</v>
      </c>
      <c r="G360" s="49">
        <v>33.21</v>
      </c>
      <c r="H360" s="49">
        <v>28.25</v>
      </c>
      <c r="I360" s="49">
        <v>47.29</v>
      </c>
      <c r="J360" s="49">
        <v>62.03</v>
      </c>
      <c r="K360" s="50">
        <v>59.54</v>
      </c>
      <c r="L360" s="50">
        <v>60.42</v>
      </c>
      <c r="M360" s="50">
        <v>88.03</v>
      </c>
      <c r="N360" s="50">
        <v>93.2</v>
      </c>
      <c r="O360" s="50">
        <v>93.24</v>
      </c>
      <c r="P360" s="50">
        <v>103.8</v>
      </c>
      <c r="Q360" s="49">
        <v>122.68</v>
      </c>
      <c r="R360" s="49">
        <v>127.91</v>
      </c>
      <c r="S360" s="49">
        <v>52.65</v>
      </c>
      <c r="T360" s="49">
        <v>110.22</v>
      </c>
      <c r="U360" s="49">
        <v>134.46</v>
      </c>
      <c r="V360" s="49">
        <v>130.82</v>
      </c>
      <c r="W360" s="51">
        <v>129.63999999999999</v>
      </c>
      <c r="X360" s="13">
        <v>1.5772405660377631E-2</v>
      </c>
      <c r="Y360" s="13">
        <v>2.8491268804720971E-2</v>
      </c>
      <c r="Z360" s="13">
        <v>6.8431944313800397E-3</v>
      </c>
      <c r="AA360" s="13">
        <v>0.17982015648721239</v>
      </c>
    </row>
    <row r="361" spans="1:27" ht="15" x14ac:dyDescent="0.25">
      <c r="A361" s="4">
        <v>260129</v>
      </c>
      <c r="B361" s="20" t="s">
        <v>681</v>
      </c>
      <c r="C361" s="10" t="s">
        <v>23</v>
      </c>
      <c r="D361" s="10" t="s">
        <v>131</v>
      </c>
      <c r="E361" s="10" t="s">
        <v>25</v>
      </c>
      <c r="F361" s="99">
        <v>17.90892034794474</v>
      </c>
      <c r="G361" s="49">
        <v>2498</v>
      </c>
      <c r="H361" s="49">
        <v>2099</v>
      </c>
      <c r="I361" s="49">
        <v>654</v>
      </c>
      <c r="J361" s="49">
        <v>2247</v>
      </c>
      <c r="K361" s="49">
        <v>2499</v>
      </c>
      <c r="L361" s="49">
        <v>2161</v>
      </c>
      <c r="M361" s="50">
        <v>2241</v>
      </c>
      <c r="N361" s="49">
        <v>2151</v>
      </c>
      <c r="O361" s="49">
        <v>2490</v>
      </c>
      <c r="P361" s="49">
        <v>2030</v>
      </c>
      <c r="Q361" s="49">
        <v>2240</v>
      </c>
      <c r="R361" s="49">
        <v>2151</v>
      </c>
      <c r="S361" s="49">
        <v>703</v>
      </c>
      <c r="T361" s="49">
        <v>2279</v>
      </c>
      <c r="U361" s="49">
        <v>705</v>
      </c>
      <c r="V361" s="49">
        <v>2176</v>
      </c>
      <c r="W361" s="51">
        <v>1753</v>
      </c>
      <c r="X361" s="13">
        <v>3.4952274003368977E-2</v>
      </c>
      <c r="Y361" s="13">
        <v>-0.20819205208192049</v>
      </c>
      <c r="Z361" s="13">
        <v>4.2822884549502671E-3</v>
      </c>
      <c r="AA361" s="13">
        <v>0.17908920347944735</v>
      </c>
    </row>
    <row r="362" spans="1:27" ht="15" x14ac:dyDescent="0.25">
      <c r="A362" s="4">
        <v>260129</v>
      </c>
      <c r="B362" s="20" t="s">
        <v>656</v>
      </c>
      <c r="C362" s="10" t="s">
        <v>23</v>
      </c>
      <c r="D362" s="10" t="s">
        <v>115</v>
      </c>
      <c r="E362" s="10" t="s">
        <v>25</v>
      </c>
      <c r="F362" s="99">
        <v>14.97744360902256</v>
      </c>
      <c r="G362" s="49">
        <v>-7.34</v>
      </c>
      <c r="H362" s="49">
        <v>-14.67</v>
      </c>
      <c r="I362" s="49">
        <v>-10.53</v>
      </c>
      <c r="J362" s="49">
        <v>-7.82</v>
      </c>
      <c r="K362" s="50">
        <v>-17.72</v>
      </c>
      <c r="L362" s="50">
        <v>-26.53</v>
      </c>
      <c r="M362" s="49">
        <v>-2.58</v>
      </c>
      <c r="N362" s="49">
        <v>-7.0000000000000007E-2</v>
      </c>
      <c r="O362" s="49">
        <v>43.14</v>
      </c>
      <c r="P362" s="50">
        <v>34.090000000000003</v>
      </c>
      <c r="Q362" s="50">
        <v>36.03</v>
      </c>
      <c r="R362" s="50">
        <v>42.57</v>
      </c>
      <c r="S362" s="49">
        <v>23.66</v>
      </c>
      <c r="T362" s="49">
        <v>33.78</v>
      </c>
      <c r="U362" s="49">
        <v>40.51</v>
      </c>
      <c r="V362" s="49">
        <v>35.049999999999997</v>
      </c>
      <c r="W362" s="51">
        <v>43.58</v>
      </c>
      <c r="X362" s="13">
        <v>-2.2735606894023208E-3</v>
      </c>
      <c r="Y362" s="13">
        <v>3.2931490738018265E-2</v>
      </c>
      <c r="Z362" s="13">
        <v>-5.3515513805864057E-2</v>
      </c>
      <c r="AA362" s="13">
        <v>0.14977443609022556</v>
      </c>
    </row>
    <row r="363" spans="1:27" ht="15" x14ac:dyDescent="0.25">
      <c r="A363" s="4">
        <v>260129</v>
      </c>
      <c r="B363" s="20" t="s">
        <v>664</v>
      </c>
      <c r="C363" s="10" t="s">
        <v>23</v>
      </c>
      <c r="D363" s="10" t="s">
        <v>99</v>
      </c>
      <c r="E363" s="10" t="s">
        <v>25</v>
      </c>
      <c r="F363" s="99">
        <v>13.703703703703709</v>
      </c>
      <c r="G363" s="49">
        <v>0</v>
      </c>
      <c r="H363" s="49">
        <v>302</v>
      </c>
      <c r="I363" s="49">
        <v>16</v>
      </c>
      <c r="J363" s="49">
        <v>189</v>
      </c>
      <c r="K363" s="49">
        <v>-208</v>
      </c>
      <c r="L363" s="50">
        <v>638</v>
      </c>
      <c r="M363" s="50">
        <v>86</v>
      </c>
      <c r="N363" s="49">
        <v>225</v>
      </c>
      <c r="O363" s="50">
        <v>18</v>
      </c>
      <c r="P363" s="49">
        <v>188</v>
      </c>
      <c r="Q363" s="50">
        <v>180</v>
      </c>
      <c r="R363" s="49">
        <v>40</v>
      </c>
      <c r="S363" s="49">
        <v>-27</v>
      </c>
      <c r="T363" s="49">
        <v>197</v>
      </c>
      <c r="U363" s="49">
        <v>174</v>
      </c>
      <c r="V363" s="50">
        <v>196</v>
      </c>
      <c r="W363" s="51">
        <v>47</v>
      </c>
      <c r="X363" s="13">
        <v>2.3622047244094446E-2</v>
      </c>
      <c r="Y363" s="13">
        <v>-1.538461538461533E-2</v>
      </c>
      <c r="Z363" s="13">
        <v>0.40625</v>
      </c>
      <c r="AA363" s="13">
        <v>0.13703703703703707</v>
      </c>
    </row>
    <row r="364" spans="1:27" ht="15" x14ac:dyDescent="0.25">
      <c r="A364" s="4">
        <v>260129</v>
      </c>
      <c r="B364" s="20" t="s">
        <v>659</v>
      </c>
      <c r="C364" s="10" t="s">
        <v>23</v>
      </c>
      <c r="D364" s="10" t="s">
        <v>177</v>
      </c>
      <c r="E364" s="10" t="s">
        <v>25</v>
      </c>
      <c r="F364" s="99">
        <v>13.33643575285981</v>
      </c>
      <c r="G364" s="49">
        <v>250.76</v>
      </c>
      <c r="H364" s="49">
        <v>242.52</v>
      </c>
      <c r="I364" s="49">
        <v>172.22</v>
      </c>
      <c r="J364" s="49">
        <v>101.62</v>
      </c>
      <c r="K364" s="49">
        <v>51.49</v>
      </c>
      <c r="L364" s="49">
        <v>137.21</v>
      </c>
      <c r="M364" s="49">
        <v>34.49</v>
      </c>
      <c r="N364" s="50">
        <v>139.02000000000001</v>
      </c>
      <c r="O364" s="49">
        <v>21.87</v>
      </c>
      <c r="P364" s="49">
        <v>139.62</v>
      </c>
      <c r="Q364" s="50">
        <v>155.47999999999999</v>
      </c>
      <c r="R364" s="49">
        <v>150.47</v>
      </c>
      <c r="S364" s="50">
        <v>220.86</v>
      </c>
      <c r="T364" s="50">
        <v>226.93</v>
      </c>
      <c r="U364" s="50">
        <v>284.22000000000003</v>
      </c>
      <c r="V364" s="49">
        <v>192</v>
      </c>
      <c r="W364" s="51">
        <v>344.09</v>
      </c>
      <c r="X364" s="13">
        <v>0.13101150908572534</v>
      </c>
      <c r="Y364" s="13">
        <v>0.17080160267466238</v>
      </c>
      <c r="Z364" s="13">
        <v>4.7060556613180982E-2</v>
      </c>
      <c r="AA364" s="13">
        <v>0.1333643575285981</v>
      </c>
    </row>
    <row r="365" spans="1:27" ht="15" x14ac:dyDescent="0.25">
      <c r="A365" s="4">
        <v>260129</v>
      </c>
      <c r="B365" s="20" t="s">
        <v>644</v>
      </c>
      <c r="C365" s="10" t="s">
        <v>23</v>
      </c>
      <c r="D365" s="10" t="s">
        <v>95</v>
      </c>
      <c r="E365" s="10" t="s">
        <v>25</v>
      </c>
      <c r="F365" s="99">
        <v>13.013367692059919</v>
      </c>
      <c r="G365" s="49">
        <v>3213</v>
      </c>
      <c r="H365" s="49">
        <v>2857</v>
      </c>
      <c r="I365" s="49">
        <v>-270.39</v>
      </c>
      <c r="J365" s="49">
        <v>-102.63</v>
      </c>
      <c r="K365" s="49">
        <v>876.81</v>
      </c>
      <c r="L365" s="49">
        <v>206.65</v>
      </c>
      <c r="M365" s="50">
        <v>1371</v>
      </c>
      <c r="N365" s="50">
        <v>1103</v>
      </c>
      <c r="O365" s="49">
        <v>454.33</v>
      </c>
      <c r="P365" s="50">
        <v>1853</v>
      </c>
      <c r="Q365" s="49">
        <v>1144</v>
      </c>
      <c r="R365" s="50">
        <v>1863</v>
      </c>
      <c r="S365" s="50">
        <v>1427</v>
      </c>
      <c r="T365" s="49">
        <v>1469</v>
      </c>
      <c r="U365" s="50">
        <v>2004</v>
      </c>
      <c r="V365" s="49">
        <v>1309</v>
      </c>
      <c r="W365" s="51">
        <v>2235</v>
      </c>
      <c r="X365" s="13">
        <v>-6.1078415778590744E-2</v>
      </c>
      <c r="Y365" s="13">
        <v>0.14568863289852607</v>
      </c>
      <c r="Z365" s="13">
        <v>-8.1916309330178905E-2</v>
      </c>
      <c r="AA365" s="13">
        <v>0.13013367692059918</v>
      </c>
    </row>
    <row r="366" spans="1:27" ht="15" x14ac:dyDescent="0.25">
      <c r="A366" s="4">
        <v>260129</v>
      </c>
      <c r="B366" s="20" t="s">
        <v>686</v>
      </c>
      <c r="C366" s="10" t="s">
        <v>23</v>
      </c>
      <c r="D366" s="10" t="s">
        <v>136</v>
      </c>
      <c r="E366" s="10" t="s">
        <v>25</v>
      </c>
      <c r="F366" s="38">
        <v>8.5367718261046832</v>
      </c>
      <c r="G366" s="49">
        <v>131.09</v>
      </c>
      <c r="H366" s="49">
        <v>77.06</v>
      </c>
      <c r="I366" s="49">
        <v>57.16</v>
      </c>
      <c r="J366" s="49">
        <v>59.82</v>
      </c>
      <c r="K366" s="49">
        <v>115.01</v>
      </c>
      <c r="L366" s="50">
        <v>121.93</v>
      </c>
      <c r="M366" s="49">
        <v>81.42</v>
      </c>
      <c r="N366" s="50">
        <v>119.7</v>
      </c>
      <c r="O366" s="50">
        <v>164.77</v>
      </c>
      <c r="P366" s="49">
        <v>109.75</v>
      </c>
      <c r="Q366" s="49">
        <v>-72.900000000000006</v>
      </c>
      <c r="R366" s="49">
        <v>123.74</v>
      </c>
      <c r="S366" s="49">
        <v>159.05000000000001</v>
      </c>
      <c r="T366" s="50">
        <v>148.46</v>
      </c>
      <c r="U366" s="50">
        <v>122.16</v>
      </c>
      <c r="V366" s="49">
        <v>158.96</v>
      </c>
      <c r="W366" s="52">
        <v>209.3</v>
      </c>
      <c r="X366" s="13">
        <v>0.12110499311725698</v>
      </c>
      <c r="Y366" s="13">
        <v>0.54432817078275408</v>
      </c>
      <c r="Z366" s="13">
        <v>6.364178457201719E-2</v>
      </c>
      <c r="AA366" s="13">
        <v>8.5367718261047054E-2</v>
      </c>
    </row>
    <row r="367" spans="1:27" ht="15" x14ac:dyDescent="0.25">
      <c r="A367" s="4">
        <v>260129</v>
      </c>
      <c r="B367" s="20" t="s">
        <v>663</v>
      </c>
      <c r="C367" s="10" t="s">
        <v>23</v>
      </c>
      <c r="D367" s="10" t="s">
        <v>153</v>
      </c>
      <c r="E367" s="10" t="s">
        <v>25</v>
      </c>
      <c r="F367" s="38">
        <v>8.2875038191261741</v>
      </c>
      <c r="G367" s="49">
        <v>25.24</v>
      </c>
      <c r="H367" s="49">
        <v>26.08</v>
      </c>
      <c r="I367" s="49">
        <v>26.06</v>
      </c>
      <c r="J367" s="49">
        <v>27.16</v>
      </c>
      <c r="K367" s="49">
        <v>28.49</v>
      </c>
      <c r="L367" s="49">
        <v>28.67</v>
      </c>
      <c r="M367" s="49">
        <v>28.05</v>
      </c>
      <c r="N367" s="49">
        <v>29.05</v>
      </c>
      <c r="O367" s="49">
        <v>28.39</v>
      </c>
      <c r="P367" s="49">
        <v>26.53</v>
      </c>
      <c r="Q367" s="49">
        <v>28.33</v>
      </c>
      <c r="R367" s="49">
        <v>27.03</v>
      </c>
      <c r="S367" s="49">
        <v>25.78</v>
      </c>
      <c r="T367" s="49">
        <v>30.38</v>
      </c>
      <c r="U367" s="49">
        <v>38.700000000000003</v>
      </c>
      <c r="V367" s="49">
        <v>36.06</v>
      </c>
      <c r="W367" s="52">
        <v>36.630000000000003</v>
      </c>
      <c r="X367" s="13">
        <v>3.5757406891427479E-2</v>
      </c>
      <c r="Y367" s="13">
        <v>9.2987804878048808E-2</v>
      </c>
      <c r="Z367" s="13">
        <v>7.4083189761260382E-2</v>
      </c>
      <c r="AA367" s="13">
        <v>8.2875038191261741E-2</v>
      </c>
    </row>
    <row r="368" spans="1:27" ht="15" x14ac:dyDescent="0.25">
      <c r="A368" s="4">
        <v>260129</v>
      </c>
      <c r="B368" s="20" t="s">
        <v>693</v>
      </c>
      <c r="C368" s="10" t="s">
        <v>23</v>
      </c>
      <c r="D368" s="10" t="s">
        <v>694</v>
      </c>
      <c r="E368" s="10" t="s">
        <v>25</v>
      </c>
      <c r="F368" s="38">
        <v>7.1058315334773248</v>
      </c>
      <c r="G368" s="49">
        <v>954</v>
      </c>
      <c r="H368" s="49">
        <v>590</v>
      </c>
      <c r="I368" s="49">
        <v>593</v>
      </c>
      <c r="J368" s="49">
        <v>483</v>
      </c>
      <c r="K368" s="49">
        <v>802</v>
      </c>
      <c r="L368" s="49">
        <v>709</v>
      </c>
      <c r="M368" s="49">
        <v>729</v>
      </c>
      <c r="N368" s="50">
        <v>867</v>
      </c>
      <c r="O368" s="49">
        <v>1014</v>
      </c>
      <c r="P368" s="49">
        <v>966</v>
      </c>
      <c r="Q368" s="49">
        <v>967</v>
      </c>
      <c r="R368" s="49">
        <v>1008</v>
      </c>
      <c r="S368" s="49">
        <v>1134</v>
      </c>
      <c r="T368" s="49">
        <v>832</v>
      </c>
      <c r="U368" s="49">
        <v>1296</v>
      </c>
      <c r="V368" s="49">
        <v>1368</v>
      </c>
      <c r="W368" s="52">
        <v>1463</v>
      </c>
      <c r="X368" s="13">
        <v>-3.288343558282214E-2</v>
      </c>
      <c r="Y368" s="13">
        <v>8.3481349911190161E-2</v>
      </c>
      <c r="Z368" s="13">
        <v>8.4309133489461452E-2</v>
      </c>
      <c r="AA368" s="13">
        <v>7.1058315334773248E-2</v>
      </c>
    </row>
    <row r="369" spans="1:27" ht="15" x14ac:dyDescent="0.25">
      <c r="A369" s="4">
        <v>260129</v>
      </c>
      <c r="B369" s="20" t="s">
        <v>554</v>
      </c>
      <c r="C369" s="10" t="s">
        <v>23</v>
      </c>
      <c r="D369" s="10" t="s">
        <v>29</v>
      </c>
      <c r="E369" s="10" t="s">
        <v>25</v>
      </c>
      <c r="F369" s="38">
        <v>7.0728768271598463</v>
      </c>
      <c r="G369" s="49">
        <v>36.270000000000003</v>
      </c>
      <c r="H369" s="49">
        <v>35.19</v>
      </c>
      <c r="I369" s="49">
        <v>38.130000000000003</v>
      </c>
      <c r="J369" s="49">
        <v>42.44</v>
      </c>
      <c r="K369" s="49">
        <v>41.02</v>
      </c>
      <c r="L369" s="49">
        <v>40.42</v>
      </c>
      <c r="M369" s="49">
        <v>42.07</v>
      </c>
      <c r="N369" s="49">
        <v>42.67</v>
      </c>
      <c r="O369" s="49">
        <v>36.520000000000003</v>
      </c>
      <c r="P369" s="49">
        <v>37.89</v>
      </c>
      <c r="Q369" s="49">
        <v>47.72</v>
      </c>
      <c r="R369" s="49">
        <v>45.38</v>
      </c>
      <c r="S369" s="49">
        <v>40.06</v>
      </c>
      <c r="T369" s="49">
        <v>47.7</v>
      </c>
      <c r="U369" s="49">
        <v>48.13</v>
      </c>
      <c r="V369" s="49">
        <v>54.98</v>
      </c>
      <c r="W369" s="52">
        <v>53.56</v>
      </c>
      <c r="X369" s="13">
        <v>5.7351651563870121E-2</v>
      </c>
      <c r="Y369" s="13">
        <v>2.266946809686976E-3</v>
      </c>
      <c r="Z369" s="13">
        <v>5.2959673415347464E-2</v>
      </c>
      <c r="AA369" s="13">
        <v>7.0728768271598463E-2</v>
      </c>
    </row>
    <row r="370" spans="1:27" ht="15" x14ac:dyDescent="0.25">
      <c r="A370" s="4">
        <v>260129</v>
      </c>
      <c r="B370" s="20" t="s">
        <v>704</v>
      </c>
      <c r="C370" s="10" t="s">
        <v>23</v>
      </c>
      <c r="D370" s="10" t="s">
        <v>705</v>
      </c>
      <c r="E370" s="10" t="s">
        <v>800</v>
      </c>
      <c r="F370" s="38">
        <v>6.9604296832182388</v>
      </c>
      <c r="G370" s="49">
        <v>17.32</v>
      </c>
      <c r="H370" s="49">
        <v>16.399999999999999</v>
      </c>
      <c r="I370" s="49">
        <v>23.52</v>
      </c>
      <c r="J370" s="49">
        <v>21.66</v>
      </c>
      <c r="K370" s="49">
        <v>23.81</v>
      </c>
      <c r="L370" s="49">
        <v>21.1</v>
      </c>
      <c r="M370" s="49">
        <v>20.94</v>
      </c>
      <c r="N370" s="49">
        <v>23.87</v>
      </c>
      <c r="O370" s="49">
        <v>24.77</v>
      </c>
      <c r="P370" s="49">
        <v>17.68</v>
      </c>
      <c r="Q370" s="49">
        <v>14.8</v>
      </c>
      <c r="R370" s="49">
        <v>16.239999999999998</v>
      </c>
      <c r="S370" s="49">
        <v>18.66</v>
      </c>
      <c r="T370" s="50">
        <v>27.2</v>
      </c>
      <c r="U370" s="49">
        <v>19.32</v>
      </c>
      <c r="V370" s="50">
        <v>26.05</v>
      </c>
      <c r="W370" s="52">
        <v>25.01</v>
      </c>
      <c r="X370" s="13">
        <v>0.14128821608786013</v>
      </c>
      <c r="Y370" s="13">
        <v>5.8777633289986753E-2</v>
      </c>
      <c r="Z370" s="13">
        <v>0.12048636698599879</v>
      </c>
      <c r="AA370" s="13">
        <v>6.9604296832182388E-2</v>
      </c>
    </row>
    <row r="371" spans="1:27" ht="15" x14ac:dyDescent="0.25">
      <c r="A371" s="4">
        <v>260129</v>
      </c>
      <c r="B371" s="20" t="s">
        <v>672</v>
      </c>
      <c r="C371" s="10" t="s">
        <v>23</v>
      </c>
      <c r="D371" s="10" t="s">
        <v>673</v>
      </c>
      <c r="E371" s="10" t="s">
        <v>25</v>
      </c>
      <c r="F371" s="38">
        <v>6.7462039045553146</v>
      </c>
      <c r="G371" s="49">
        <v>-987.85</v>
      </c>
      <c r="H371" s="49">
        <v>-859.21</v>
      </c>
      <c r="I371" s="49">
        <v>-217.74</v>
      </c>
      <c r="J371" s="49">
        <v>303</v>
      </c>
      <c r="K371" s="49">
        <v>18.98</v>
      </c>
      <c r="L371" s="49">
        <v>272</v>
      </c>
      <c r="M371" s="50">
        <v>776</v>
      </c>
      <c r="N371" s="50">
        <v>1265</v>
      </c>
      <c r="O371" s="50">
        <v>591</v>
      </c>
      <c r="P371" s="50">
        <v>750</v>
      </c>
      <c r="Q371" s="49">
        <v>1108</v>
      </c>
      <c r="R371" s="49">
        <v>1636</v>
      </c>
      <c r="S371" s="49">
        <v>625</v>
      </c>
      <c r="T371" s="49">
        <v>949</v>
      </c>
      <c r="U371" s="49">
        <v>1333</v>
      </c>
      <c r="V371" s="49">
        <v>1703</v>
      </c>
      <c r="W371" s="52">
        <v>936</v>
      </c>
      <c r="X371" s="13">
        <v>4.8312697256615689E-2</v>
      </c>
      <c r="Y371" s="13">
        <v>5.2107457156090886E-2</v>
      </c>
      <c r="Z371" s="13">
        <v>1.4747963900506367E-2</v>
      </c>
      <c r="AA371" s="13">
        <v>6.7462039045553146E-2</v>
      </c>
    </row>
    <row r="372" spans="1:27" ht="15" x14ac:dyDescent="0.25">
      <c r="A372" s="4">
        <v>260129</v>
      </c>
      <c r="B372" s="20" t="s">
        <v>668</v>
      </c>
      <c r="C372" s="10" t="s">
        <v>23</v>
      </c>
      <c r="D372" s="10" t="s">
        <v>448</v>
      </c>
      <c r="E372" s="10" t="s">
        <v>25</v>
      </c>
      <c r="F372" s="38">
        <v>6.2075983717774896</v>
      </c>
      <c r="G372" s="49">
        <v>137</v>
      </c>
      <c r="H372" s="49">
        <v>239.3</v>
      </c>
      <c r="I372" s="49">
        <v>278.7</v>
      </c>
      <c r="J372" s="49">
        <v>261.89999999999998</v>
      </c>
      <c r="K372" s="49">
        <v>195.2</v>
      </c>
      <c r="L372" s="49">
        <v>245.6</v>
      </c>
      <c r="M372" s="49">
        <v>208.3</v>
      </c>
      <c r="N372" s="49">
        <v>212.4</v>
      </c>
      <c r="O372" s="49">
        <v>125.4</v>
      </c>
      <c r="P372" s="49">
        <v>127.7</v>
      </c>
      <c r="Q372" s="49">
        <v>166.2</v>
      </c>
      <c r="R372" s="49">
        <v>110.6</v>
      </c>
      <c r="S372" s="49">
        <v>33.799999999999997</v>
      </c>
      <c r="T372" s="49">
        <v>58.1</v>
      </c>
      <c r="U372" s="49">
        <v>111.3</v>
      </c>
      <c r="V372" s="49">
        <v>91.6</v>
      </c>
      <c r="W372" s="52">
        <v>52.1</v>
      </c>
      <c r="X372" s="13">
        <v>-0.15879534565366193</v>
      </c>
      <c r="Y372" s="13">
        <v>-0.14890154597233529</v>
      </c>
      <c r="Z372" s="13">
        <v>-6.0548119821542401E-2</v>
      </c>
      <c r="AA372" s="13">
        <v>6.2075983717774896E-2</v>
      </c>
    </row>
    <row r="373" spans="1:27" ht="15" x14ac:dyDescent="0.25">
      <c r="A373" s="4">
        <v>260129</v>
      </c>
      <c r="B373" s="20" t="s">
        <v>657</v>
      </c>
      <c r="C373" s="10" t="s">
        <v>23</v>
      </c>
      <c r="D373" s="10" t="s">
        <v>658</v>
      </c>
      <c r="E373" s="10" t="s">
        <v>59</v>
      </c>
      <c r="F373" s="38">
        <v>6.0278090943254314</v>
      </c>
      <c r="G373" s="49">
        <v>41488</v>
      </c>
      <c r="H373" s="49">
        <v>29979</v>
      </c>
      <c r="I373" s="49">
        <v>23076</v>
      </c>
      <c r="J373" s="49">
        <v>24894</v>
      </c>
      <c r="K373" s="49">
        <v>36016</v>
      </c>
      <c r="L373" s="49">
        <v>28318</v>
      </c>
      <c r="M373" s="49">
        <v>22998</v>
      </c>
      <c r="N373" s="49">
        <v>26969</v>
      </c>
      <c r="O373" s="49">
        <v>40373</v>
      </c>
      <c r="P373" s="49">
        <v>27900</v>
      </c>
      <c r="Q373" s="49">
        <v>25352</v>
      </c>
      <c r="R373" s="49">
        <v>29591</v>
      </c>
      <c r="S373" s="49">
        <v>42832</v>
      </c>
      <c r="T373" s="49">
        <v>29589</v>
      </c>
      <c r="U373" s="49">
        <v>28202</v>
      </c>
      <c r="V373" s="49">
        <v>32427</v>
      </c>
      <c r="W373" s="52">
        <v>50852</v>
      </c>
      <c r="X373" s="13">
        <v>1.3439427093693945E-2</v>
      </c>
      <c r="Y373" s="13">
        <v>2.2376809773562378E-2</v>
      </c>
      <c r="Z373" s="13">
        <v>2.1779532154760695E-2</v>
      </c>
      <c r="AA373" s="13">
        <v>6.0278090943254314E-2</v>
      </c>
    </row>
    <row r="374" spans="1:27" ht="15" x14ac:dyDescent="0.25">
      <c r="A374" s="4">
        <v>260129</v>
      </c>
      <c r="B374" s="20" t="s">
        <v>661</v>
      </c>
      <c r="C374" s="10" t="s">
        <v>23</v>
      </c>
      <c r="D374" s="10" t="s">
        <v>99</v>
      </c>
      <c r="E374" s="10" t="s">
        <v>25</v>
      </c>
      <c r="F374" s="38">
        <v>4.6722417048826506</v>
      </c>
      <c r="G374" s="49">
        <v>2837</v>
      </c>
      <c r="H374" s="49">
        <v>2984</v>
      </c>
      <c r="I374" s="49">
        <v>3184</v>
      </c>
      <c r="J374" s="49">
        <v>3320</v>
      </c>
      <c r="K374" s="49">
        <v>3136</v>
      </c>
      <c r="L374" s="49">
        <v>3347</v>
      </c>
      <c r="M374" s="49">
        <v>3676</v>
      </c>
      <c r="N374" s="49">
        <v>3844</v>
      </c>
      <c r="O374" s="49">
        <v>3680</v>
      </c>
      <c r="P374" s="49">
        <v>3730</v>
      </c>
      <c r="Q374" s="49">
        <v>4134</v>
      </c>
      <c r="R374" s="49">
        <v>4370</v>
      </c>
      <c r="S374" s="49">
        <v>4218</v>
      </c>
      <c r="T374" s="49">
        <v>4300</v>
      </c>
      <c r="U374" s="49">
        <v>4873</v>
      </c>
      <c r="V374" s="49">
        <v>5144</v>
      </c>
      <c r="W374" s="52">
        <v>5084</v>
      </c>
      <c r="X374" s="13">
        <v>3.4646243617797223E-2</v>
      </c>
      <c r="Y374" s="13">
        <v>4.3414404887792246E-2</v>
      </c>
      <c r="Z374" s="13">
        <v>4.3578627329542208E-2</v>
      </c>
      <c r="AA374" s="13">
        <v>4.6722417048826514E-2</v>
      </c>
    </row>
    <row r="375" spans="1:27" ht="15" x14ac:dyDescent="0.25">
      <c r="A375" s="4">
        <v>260129</v>
      </c>
      <c r="B375" s="20" t="s">
        <v>675</v>
      </c>
      <c r="C375" s="10" t="s">
        <v>23</v>
      </c>
      <c r="D375" s="10" t="s">
        <v>676</v>
      </c>
      <c r="E375" s="10" t="s">
        <v>25</v>
      </c>
      <c r="F375" s="38">
        <v>4.5596137151546312</v>
      </c>
      <c r="G375" s="49">
        <v>248.71</v>
      </c>
      <c r="H375" s="49">
        <v>234.27</v>
      </c>
      <c r="I375" s="49">
        <v>257.26</v>
      </c>
      <c r="J375" s="49">
        <v>275.74</v>
      </c>
      <c r="K375" s="49">
        <v>288.61</v>
      </c>
      <c r="L375" s="49">
        <v>300.67</v>
      </c>
      <c r="M375" s="49">
        <v>286.24</v>
      </c>
      <c r="N375" s="49">
        <v>289</v>
      </c>
      <c r="O375" s="49">
        <v>339.32</v>
      </c>
      <c r="P375" s="49">
        <v>374.58</v>
      </c>
      <c r="Q375" s="49">
        <v>381.22</v>
      </c>
      <c r="R375" s="49">
        <v>387.31</v>
      </c>
      <c r="S375" s="49">
        <v>417.24</v>
      </c>
      <c r="T375" s="49">
        <v>426.27</v>
      </c>
      <c r="U375" s="49">
        <v>456.57</v>
      </c>
      <c r="V375" s="49">
        <v>462.35</v>
      </c>
      <c r="W375" s="52">
        <v>497.6</v>
      </c>
      <c r="X375" s="13">
        <v>3.3127183003813343E-2</v>
      </c>
      <c r="Y375" s="13">
        <v>4.6742016327138147E-2</v>
      </c>
      <c r="Z375" s="13">
        <v>4.4471047001582331E-2</v>
      </c>
      <c r="AA375" s="13">
        <v>4.5596137151546534E-2</v>
      </c>
    </row>
    <row r="376" spans="1:27" ht="15" x14ac:dyDescent="0.25">
      <c r="A376" s="4">
        <v>260129</v>
      </c>
      <c r="B376" s="20" t="s">
        <v>716</v>
      </c>
      <c r="C376" s="10" t="s">
        <v>23</v>
      </c>
      <c r="D376" s="10" t="s">
        <v>119</v>
      </c>
      <c r="E376" s="10" t="s">
        <v>25</v>
      </c>
      <c r="F376" s="38">
        <v>4.2839143217135556</v>
      </c>
      <c r="G376" s="49">
        <v>403</v>
      </c>
      <c r="H376" s="49">
        <v>428</v>
      </c>
      <c r="I376" s="49">
        <v>432</v>
      </c>
      <c r="J376" s="49">
        <v>421</v>
      </c>
      <c r="K376" s="49">
        <v>414</v>
      </c>
      <c r="L376" s="49">
        <v>441</v>
      </c>
      <c r="M376" s="49">
        <v>450</v>
      </c>
      <c r="N376" s="49">
        <v>461</v>
      </c>
      <c r="O376" s="49">
        <v>483</v>
      </c>
      <c r="P376" s="49">
        <v>455</v>
      </c>
      <c r="Q376" s="49">
        <v>501</v>
      </c>
      <c r="R376" s="49">
        <v>489</v>
      </c>
      <c r="S376" s="49">
        <v>560</v>
      </c>
      <c r="T376" s="49">
        <v>591</v>
      </c>
      <c r="U376" s="49">
        <v>611</v>
      </c>
      <c r="V376" s="49">
        <v>619</v>
      </c>
      <c r="W376" s="52">
        <v>662</v>
      </c>
      <c r="X376" s="13">
        <v>6.7830423940149709E-2</v>
      </c>
      <c r="Y376" s="13">
        <v>5.1377860812704235E-2</v>
      </c>
      <c r="Z376" s="13">
        <v>5.7752110173256321E-2</v>
      </c>
      <c r="AA376" s="13">
        <v>4.2839143217135556E-2</v>
      </c>
    </row>
    <row r="377" spans="1:27" ht="15" x14ac:dyDescent="0.25">
      <c r="A377" s="4">
        <v>260129</v>
      </c>
      <c r="B377" s="20" t="s">
        <v>706</v>
      </c>
      <c r="C377" s="10" t="s">
        <v>23</v>
      </c>
      <c r="D377" s="10" t="s">
        <v>707</v>
      </c>
      <c r="E377" s="10" t="s">
        <v>25</v>
      </c>
      <c r="F377" s="38">
        <v>4.2293366023857804</v>
      </c>
      <c r="G377" s="49">
        <v>85.51</v>
      </c>
      <c r="H377" s="49">
        <v>29.95</v>
      </c>
      <c r="I377" s="49">
        <v>47.45</v>
      </c>
      <c r="J377" s="49">
        <v>42.5</v>
      </c>
      <c r="K377" s="49">
        <v>36.22</v>
      </c>
      <c r="L377" s="49">
        <v>31.4</v>
      </c>
      <c r="M377" s="49">
        <v>27.11</v>
      </c>
      <c r="N377" s="49">
        <v>52.52</v>
      </c>
      <c r="O377" s="49">
        <v>38.090000000000003</v>
      </c>
      <c r="P377" s="49">
        <v>38.090000000000003</v>
      </c>
      <c r="Q377" s="49">
        <v>29.56</v>
      </c>
      <c r="R377" s="49">
        <v>42.44</v>
      </c>
      <c r="S377" s="49">
        <v>44.17</v>
      </c>
      <c r="T377" s="50">
        <v>57.65</v>
      </c>
      <c r="U377" s="50">
        <v>49.47</v>
      </c>
      <c r="V377" s="49">
        <v>60.8</v>
      </c>
      <c r="W377" s="52">
        <v>53.14</v>
      </c>
      <c r="X377" s="13">
        <v>0.1267989109295995</v>
      </c>
      <c r="Y377" s="13">
        <v>0.1145437809227936</v>
      </c>
      <c r="Z377" s="13">
        <v>9.4771073143034013E-2</v>
      </c>
      <c r="AA377" s="13">
        <v>4.2293366023858026E-2</v>
      </c>
    </row>
    <row r="378" spans="1:27" ht="15" x14ac:dyDescent="0.25">
      <c r="A378" s="4">
        <v>260129</v>
      </c>
      <c r="B378" s="20" t="s">
        <v>655</v>
      </c>
      <c r="C378" s="10" t="s">
        <v>23</v>
      </c>
      <c r="D378" s="10" t="s">
        <v>29</v>
      </c>
      <c r="E378" s="10" t="s">
        <v>25</v>
      </c>
      <c r="F378" s="38">
        <v>4.1681840754841826</v>
      </c>
      <c r="G378" s="49">
        <v>86.34</v>
      </c>
      <c r="H378" s="49">
        <v>86.99</v>
      </c>
      <c r="I378" s="49">
        <v>81.72</v>
      </c>
      <c r="J378" s="49">
        <v>82.85</v>
      </c>
      <c r="K378" s="49">
        <v>117.21</v>
      </c>
      <c r="L378" s="49">
        <v>114.68</v>
      </c>
      <c r="M378" s="49">
        <v>117</v>
      </c>
      <c r="N378" s="49">
        <v>118.16</v>
      </c>
      <c r="O378" s="50">
        <v>217.4</v>
      </c>
      <c r="P378" s="49">
        <v>155.54</v>
      </c>
      <c r="Q378" s="49">
        <v>144.38999999999999</v>
      </c>
      <c r="R378" s="49">
        <v>159.19</v>
      </c>
      <c r="S378" s="49">
        <v>150.33000000000001</v>
      </c>
      <c r="T378" s="49">
        <v>148.08000000000001</v>
      </c>
      <c r="U378" s="49">
        <v>155.80000000000001</v>
      </c>
      <c r="V378" s="49">
        <v>149.88999999999999</v>
      </c>
      <c r="W378" s="52">
        <v>175.51</v>
      </c>
      <c r="X378" s="13">
        <v>-1.2240544753466143E-2</v>
      </c>
      <c r="Y378" s="13">
        <v>1.8953803219322607E-2</v>
      </c>
      <c r="Z378" s="13">
        <v>-1.5161395500489228E-2</v>
      </c>
      <c r="AA378" s="13">
        <v>4.1681840754841826E-2</v>
      </c>
    </row>
    <row r="379" spans="1:27" ht="15" x14ac:dyDescent="0.25">
      <c r="A379" s="4">
        <v>260129</v>
      </c>
      <c r="B379" s="20" t="s">
        <v>703</v>
      </c>
      <c r="C379" s="10" t="s">
        <v>23</v>
      </c>
      <c r="D379" s="10" t="s">
        <v>29</v>
      </c>
      <c r="E379" s="10" t="s">
        <v>25</v>
      </c>
      <c r="F379" s="38">
        <v>4.1184842554705448</v>
      </c>
      <c r="G379" s="49">
        <v>22</v>
      </c>
      <c r="H379" s="49">
        <v>21.27</v>
      </c>
      <c r="I379" s="49">
        <v>22.96</v>
      </c>
      <c r="J379" s="49">
        <v>23.36</v>
      </c>
      <c r="K379" s="49">
        <v>23.7</v>
      </c>
      <c r="L379" s="49">
        <v>24.91</v>
      </c>
      <c r="M379" s="49">
        <v>21.35</v>
      </c>
      <c r="N379" s="49">
        <v>20.49</v>
      </c>
      <c r="O379" s="49">
        <v>21.65</v>
      </c>
      <c r="P379" s="49">
        <v>26.94</v>
      </c>
      <c r="Q379" s="49">
        <v>26.71</v>
      </c>
      <c r="R379" s="49">
        <v>25.37</v>
      </c>
      <c r="S379" s="49">
        <v>25.37</v>
      </c>
      <c r="T379" s="49">
        <v>28.15</v>
      </c>
      <c r="U379" s="49">
        <v>30.13</v>
      </c>
      <c r="V379" s="49">
        <v>28.77</v>
      </c>
      <c r="W379" s="52">
        <v>30</v>
      </c>
      <c r="X379" s="13">
        <v>1.1591148577449806E-2</v>
      </c>
      <c r="Y379" s="13">
        <v>3.2386363636363713E-2</v>
      </c>
      <c r="Z379" s="13">
        <v>3.1186938176481327E-2</v>
      </c>
      <c r="AA379" s="13">
        <v>4.118484255470567E-2</v>
      </c>
    </row>
    <row r="380" spans="1:27" ht="15" x14ac:dyDescent="0.25">
      <c r="A380" s="4">
        <v>260129</v>
      </c>
      <c r="B380" s="20" t="s">
        <v>712</v>
      </c>
      <c r="C380" s="10" t="s">
        <v>23</v>
      </c>
      <c r="D380" s="10" t="s">
        <v>115</v>
      </c>
      <c r="E380" s="10" t="s">
        <v>25</v>
      </c>
      <c r="F380" s="38">
        <v>4.096313318013789</v>
      </c>
      <c r="G380" s="49">
        <v>1558</v>
      </c>
      <c r="H380" s="49">
        <v>1557</v>
      </c>
      <c r="I380" s="49">
        <v>1285</v>
      </c>
      <c r="J380" s="49">
        <v>1651</v>
      </c>
      <c r="K380" s="49">
        <v>1889</v>
      </c>
      <c r="L380" s="49">
        <v>1154</v>
      </c>
      <c r="M380" s="49">
        <v>1453</v>
      </c>
      <c r="N380" s="49">
        <v>1763</v>
      </c>
      <c r="O380" s="49">
        <v>2136</v>
      </c>
      <c r="P380" s="49">
        <v>1534</v>
      </c>
      <c r="Q380" s="49">
        <v>1940</v>
      </c>
      <c r="R380" s="49">
        <v>2252</v>
      </c>
      <c r="S380" s="49">
        <v>2419</v>
      </c>
      <c r="T380" s="50">
        <v>2455</v>
      </c>
      <c r="U380" s="49">
        <v>2569</v>
      </c>
      <c r="V380" s="49">
        <v>2566</v>
      </c>
      <c r="W380" s="52">
        <v>2829</v>
      </c>
      <c r="X380" s="13">
        <v>0.1130755064456721</v>
      </c>
      <c r="Y380" s="13">
        <v>6.938010147804996E-2</v>
      </c>
      <c r="Z380" s="13">
        <v>3.2387828777720395E-2</v>
      </c>
      <c r="AA380" s="13">
        <v>4.096313318013789E-2</v>
      </c>
    </row>
    <row r="381" spans="1:27" ht="15" x14ac:dyDescent="0.25">
      <c r="A381" s="4">
        <v>260129</v>
      </c>
      <c r="B381" s="20" t="s">
        <v>679</v>
      </c>
      <c r="C381" s="10" t="s">
        <v>23</v>
      </c>
      <c r="D381" s="10" t="s">
        <v>680</v>
      </c>
      <c r="E381" s="10" t="s">
        <v>25</v>
      </c>
      <c r="F381" s="38">
        <v>3.8066758263962002</v>
      </c>
      <c r="G381" s="49">
        <v>296.74</v>
      </c>
      <c r="H381" s="49">
        <v>81.28</v>
      </c>
      <c r="I381" s="49">
        <v>57.33</v>
      </c>
      <c r="J381" s="49">
        <v>126</v>
      </c>
      <c r="K381" s="50">
        <v>362.66</v>
      </c>
      <c r="L381" s="49">
        <v>108.74</v>
      </c>
      <c r="M381" s="49">
        <v>70.739999999999995</v>
      </c>
      <c r="N381" s="50">
        <v>224.62</v>
      </c>
      <c r="O381" s="50">
        <v>487.9</v>
      </c>
      <c r="P381" s="49">
        <v>153.44</v>
      </c>
      <c r="Q381" s="49">
        <v>132.81</v>
      </c>
      <c r="R381" s="49">
        <v>305.08999999999997</v>
      </c>
      <c r="S381" s="49">
        <v>567.27</v>
      </c>
      <c r="T381" s="49">
        <v>178.22</v>
      </c>
      <c r="U381" s="49">
        <v>165.29</v>
      </c>
      <c r="V381" s="49">
        <v>326.52</v>
      </c>
      <c r="W381" s="52">
        <v>614.37</v>
      </c>
      <c r="X381" s="13">
        <v>2.1387697326969324E-2</v>
      </c>
      <c r="Y381" s="13">
        <v>2.7446572981012274E-2</v>
      </c>
      <c r="Z381" s="13">
        <v>1.7625239540411508E-2</v>
      </c>
      <c r="AA381" s="13">
        <v>3.8066758263961997E-2</v>
      </c>
    </row>
    <row r="382" spans="1:27" ht="15" x14ac:dyDescent="0.25">
      <c r="A382" s="4">
        <v>260129</v>
      </c>
      <c r="B382" s="20" t="s">
        <v>667</v>
      </c>
      <c r="C382" s="10" t="s">
        <v>23</v>
      </c>
      <c r="D382" s="10" t="s">
        <v>99</v>
      </c>
      <c r="E382" s="10" t="s">
        <v>25</v>
      </c>
      <c r="F382" s="38">
        <v>3.4131602506714431</v>
      </c>
      <c r="G382" s="49">
        <v>4924</v>
      </c>
      <c r="H382" s="49">
        <v>4862</v>
      </c>
      <c r="I382" s="49">
        <v>4865</v>
      </c>
      <c r="J382" s="49">
        <v>5090</v>
      </c>
      <c r="K382" s="49">
        <v>5431</v>
      </c>
      <c r="L382" s="49">
        <v>5336</v>
      </c>
      <c r="M382" s="49">
        <v>5481</v>
      </c>
      <c r="N382" s="49">
        <v>5679</v>
      </c>
      <c r="O382" s="49">
        <v>5963</v>
      </c>
      <c r="P382" s="49">
        <v>5841</v>
      </c>
      <c r="Q382" s="49">
        <v>5833</v>
      </c>
      <c r="R382" s="49">
        <v>6359</v>
      </c>
      <c r="S382" s="49">
        <v>6530</v>
      </c>
      <c r="T382" s="49">
        <v>6435</v>
      </c>
      <c r="U382" s="49">
        <v>6792</v>
      </c>
      <c r="V382" s="49">
        <v>7051</v>
      </c>
      <c r="W382" s="52">
        <v>7445</v>
      </c>
      <c r="X382" s="13">
        <v>2.4182713837886283E-2</v>
      </c>
      <c r="Y382" s="13">
        <v>3.8120602615574262E-2</v>
      </c>
      <c r="Z382" s="13">
        <v>2.6497166487976731E-2</v>
      </c>
      <c r="AA382" s="13">
        <v>3.4131602506714431E-2</v>
      </c>
    </row>
    <row r="383" spans="1:27" ht="15" x14ac:dyDescent="0.25">
      <c r="A383" s="4">
        <v>260129</v>
      </c>
      <c r="B383" s="20" t="s">
        <v>646</v>
      </c>
      <c r="C383" s="10" t="s">
        <v>23</v>
      </c>
      <c r="D383" s="10" t="s">
        <v>177</v>
      </c>
      <c r="E383" s="10" t="s">
        <v>25</v>
      </c>
      <c r="F383" s="38">
        <v>3.2856089750973321</v>
      </c>
      <c r="G383" s="49">
        <v>150.86000000000001</v>
      </c>
      <c r="H383" s="49">
        <v>186.68</v>
      </c>
      <c r="I383" s="49">
        <v>221.22</v>
      </c>
      <c r="J383" s="49">
        <v>314.23</v>
      </c>
      <c r="K383" s="50">
        <v>425.72</v>
      </c>
      <c r="L383" s="50">
        <v>447.6</v>
      </c>
      <c r="M383" s="50">
        <v>392.92</v>
      </c>
      <c r="N383" s="49">
        <v>323.67</v>
      </c>
      <c r="O383" s="49">
        <v>341.95</v>
      </c>
      <c r="P383" s="49">
        <v>383.79</v>
      </c>
      <c r="Q383" s="49">
        <v>366.9</v>
      </c>
      <c r="R383" s="49">
        <v>363.65</v>
      </c>
      <c r="S383" s="49">
        <v>340.51</v>
      </c>
      <c r="T383" s="49">
        <v>453.95</v>
      </c>
      <c r="U383" s="49">
        <v>440.41</v>
      </c>
      <c r="V383" s="49">
        <v>501.49</v>
      </c>
      <c r="W383" s="52">
        <v>397.56</v>
      </c>
      <c r="X383" s="13">
        <v>4.8224902910952938E-2</v>
      </c>
      <c r="Y383" s="13">
        <v>4.8202962603523858E-2</v>
      </c>
      <c r="Z383" s="13">
        <v>8.6229762530340759E-2</v>
      </c>
      <c r="AA383" s="13">
        <v>3.2856089750973094E-2</v>
      </c>
    </row>
    <row r="384" spans="1:27" ht="15" x14ac:dyDescent="0.25">
      <c r="A384" s="4">
        <v>260129</v>
      </c>
      <c r="B384" s="20" t="s">
        <v>689</v>
      </c>
      <c r="C384" s="10" t="s">
        <v>23</v>
      </c>
      <c r="D384" s="10" t="s">
        <v>139</v>
      </c>
      <c r="E384" s="10" t="s">
        <v>25</v>
      </c>
      <c r="F384" s="38">
        <v>3.2097868217054288</v>
      </c>
      <c r="G384" s="49">
        <v>2758</v>
      </c>
      <c r="H384" s="49">
        <v>2830</v>
      </c>
      <c r="I384" s="49">
        <v>1982</v>
      </c>
      <c r="J384" s="49">
        <v>1727</v>
      </c>
      <c r="K384" s="49">
        <v>2036</v>
      </c>
      <c r="L384" s="49">
        <v>1724</v>
      </c>
      <c r="M384" s="49">
        <v>1785</v>
      </c>
      <c r="N384" s="49">
        <v>1976</v>
      </c>
      <c r="O384" s="49">
        <v>1991</v>
      </c>
      <c r="P384" s="49">
        <v>1725</v>
      </c>
      <c r="Q384" s="49">
        <v>1833</v>
      </c>
      <c r="R384" s="49">
        <v>1912</v>
      </c>
      <c r="S384" s="49">
        <v>2335</v>
      </c>
      <c r="T384" s="49">
        <v>1840</v>
      </c>
      <c r="U384" s="49">
        <v>1937</v>
      </c>
      <c r="V384" s="49">
        <v>2144</v>
      </c>
      <c r="W384" s="52">
        <v>2600</v>
      </c>
      <c r="X384" s="13">
        <v>1.4734144778987934E-2</v>
      </c>
      <c r="Y384" s="13">
        <v>1.3131313131313105E-2</v>
      </c>
      <c r="Z384" s="13">
        <v>2.8913260219342041E-2</v>
      </c>
      <c r="AA384" s="13">
        <v>3.2097868217054293E-2</v>
      </c>
    </row>
    <row r="385" spans="1:27" ht="15" x14ac:dyDescent="0.25">
      <c r="A385" s="4">
        <v>260129</v>
      </c>
      <c r="B385" s="20" t="s">
        <v>702</v>
      </c>
      <c r="C385" s="10" t="s">
        <v>23</v>
      </c>
      <c r="D385" s="10" t="s">
        <v>41</v>
      </c>
      <c r="E385" s="10" t="s">
        <v>25</v>
      </c>
      <c r="F385" s="38">
        <v>3.1927580225498802</v>
      </c>
      <c r="G385" s="49">
        <v>371.7</v>
      </c>
      <c r="H385" s="49">
        <v>565.9</v>
      </c>
      <c r="I385" s="49">
        <v>846.3</v>
      </c>
      <c r="J385" s="49">
        <v>972.3</v>
      </c>
      <c r="K385" s="49">
        <v>612.1</v>
      </c>
      <c r="L385" s="49">
        <v>717.9</v>
      </c>
      <c r="M385" s="49">
        <v>1114</v>
      </c>
      <c r="N385" s="49">
        <v>1116</v>
      </c>
      <c r="O385" s="49">
        <v>680.3</v>
      </c>
      <c r="P385" s="49">
        <v>730.7</v>
      </c>
      <c r="Q385" s="49">
        <v>1236</v>
      </c>
      <c r="R385" s="49">
        <v>1136</v>
      </c>
      <c r="S385" s="49">
        <v>671.9</v>
      </c>
      <c r="T385" s="49">
        <v>757.7</v>
      </c>
      <c r="U385" s="49">
        <v>1103</v>
      </c>
      <c r="V385" s="49">
        <v>1157</v>
      </c>
      <c r="W385" s="52">
        <v>789.7</v>
      </c>
      <c r="X385" s="13">
        <v>7.1530758226039381E-3</v>
      </c>
      <c r="Y385" s="13">
        <v>-3.4985269360269355E-2</v>
      </c>
      <c r="Z385" s="13">
        <v>5.7242544839992693E-3</v>
      </c>
      <c r="AA385" s="13">
        <v>3.1927580225498575E-2</v>
      </c>
    </row>
    <row r="386" spans="1:27" ht="15" x14ac:dyDescent="0.25">
      <c r="A386" s="4">
        <v>260129</v>
      </c>
      <c r="B386" s="20" t="s">
        <v>671</v>
      </c>
      <c r="C386" s="10" t="s">
        <v>23</v>
      </c>
      <c r="D386" s="10" t="s">
        <v>101</v>
      </c>
      <c r="E386" s="10" t="s">
        <v>25</v>
      </c>
      <c r="F386" s="38">
        <v>2.9902770133920291</v>
      </c>
      <c r="G386" s="49">
        <v>1100</v>
      </c>
      <c r="H386" s="49">
        <v>687</v>
      </c>
      <c r="I386" s="49">
        <v>873</v>
      </c>
      <c r="J386" s="49">
        <v>781</v>
      </c>
      <c r="K386" s="49">
        <v>1167</v>
      </c>
      <c r="L386" s="49">
        <v>784</v>
      </c>
      <c r="M386" s="49">
        <v>1040</v>
      </c>
      <c r="N386" s="49">
        <v>959</v>
      </c>
      <c r="O386" s="49">
        <v>1331</v>
      </c>
      <c r="P386" s="49">
        <v>973</v>
      </c>
      <c r="Q386" s="49">
        <v>1149</v>
      </c>
      <c r="R386" s="49">
        <v>1186</v>
      </c>
      <c r="S386" s="49">
        <v>1648</v>
      </c>
      <c r="T386" s="49">
        <v>1132</v>
      </c>
      <c r="U386" s="49">
        <v>1322</v>
      </c>
      <c r="V386" s="49">
        <v>1349</v>
      </c>
      <c r="W386" s="52">
        <v>1811</v>
      </c>
      <c r="X386" s="13">
        <v>3.2082324455205757E-2</v>
      </c>
      <c r="Y386" s="13">
        <v>3.3822091886608119E-2</v>
      </c>
      <c r="Z386" s="13">
        <v>3.0824508320726141E-2</v>
      </c>
      <c r="AA386" s="13">
        <v>2.9902770133920287E-2</v>
      </c>
    </row>
    <row r="387" spans="1:27" ht="15" x14ac:dyDescent="0.25">
      <c r="A387" s="4">
        <v>260129</v>
      </c>
      <c r="B387" s="20" t="s">
        <v>714</v>
      </c>
      <c r="C387" s="10" t="s">
        <v>23</v>
      </c>
      <c r="D387" s="10" t="s">
        <v>29</v>
      </c>
      <c r="E387" s="10" t="s">
        <v>25</v>
      </c>
      <c r="F387" s="38">
        <v>2.9053962867994438</v>
      </c>
      <c r="G387" s="49">
        <v>107.48</v>
      </c>
      <c r="H387" s="49">
        <v>109.4</v>
      </c>
      <c r="I387" s="49">
        <v>118.09</v>
      </c>
      <c r="J387" s="49">
        <v>121.08</v>
      </c>
      <c r="K387" s="49">
        <v>104.53</v>
      </c>
      <c r="L387" s="49">
        <v>78.55</v>
      </c>
      <c r="M387" s="49">
        <v>82.97</v>
      </c>
      <c r="N387" s="49">
        <v>105.03</v>
      </c>
      <c r="O387" s="49">
        <v>90.39</v>
      </c>
      <c r="P387" s="49">
        <v>97.45</v>
      </c>
      <c r="Q387" s="50">
        <v>126.5</v>
      </c>
      <c r="R387" s="49">
        <v>125.89</v>
      </c>
      <c r="S387" s="49">
        <v>126.02</v>
      </c>
      <c r="T387" s="49">
        <v>112.94</v>
      </c>
      <c r="U387" s="49">
        <v>142.69</v>
      </c>
      <c r="V387" s="49">
        <v>137.04</v>
      </c>
      <c r="W387" s="52">
        <v>141.09</v>
      </c>
      <c r="X387" s="13">
        <v>3.2551590804017927E-2</v>
      </c>
      <c r="Y387" s="13">
        <v>3.2950035616159612E-2</v>
      </c>
      <c r="Z387" s="13">
        <v>2.1968711825668841E-2</v>
      </c>
      <c r="AA387" s="13">
        <v>2.9053962867994443E-2</v>
      </c>
    </row>
    <row r="388" spans="1:27" ht="15" x14ac:dyDescent="0.25">
      <c r="A388" s="4">
        <v>260129</v>
      </c>
      <c r="B388" s="20" t="s">
        <v>683</v>
      </c>
      <c r="C388" s="10" t="s">
        <v>23</v>
      </c>
      <c r="D388" s="10" t="s">
        <v>153</v>
      </c>
      <c r="E388" s="10" t="s">
        <v>25</v>
      </c>
      <c r="F388" s="38">
        <v>2.714378150908447</v>
      </c>
      <c r="G388" s="49">
        <v>672.49</v>
      </c>
      <c r="H388" s="49">
        <v>738.85</v>
      </c>
      <c r="I388" s="49">
        <v>818.35</v>
      </c>
      <c r="J388" s="49">
        <v>630.86</v>
      </c>
      <c r="K388" s="49">
        <v>675.08</v>
      </c>
      <c r="L388" s="49">
        <v>913.55</v>
      </c>
      <c r="M388" s="50">
        <v>1271</v>
      </c>
      <c r="N388" s="49">
        <v>913.93</v>
      </c>
      <c r="O388" s="49">
        <v>952.17</v>
      </c>
      <c r="P388" s="49">
        <v>1016</v>
      </c>
      <c r="Q388" s="49">
        <v>1130</v>
      </c>
      <c r="R388" s="49">
        <v>984</v>
      </c>
      <c r="S388" s="49">
        <v>977.38</v>
      </c>
      <c r="T388" s="49">
        <v>1075</v>
      </c>
      <c r="U388" s="49">
        <v>1172</v>
      </c>
      <c r="V388" s="49">
        <v>1072</v>
      </c>
      <c r="W388" s="52">
        <v>1094</v>
      </c>
      <c r="X388" s="13">
        <v>1.4364388004031836E-2</v>
      </c>
      <c r="Y388" s="13">
        <v>1.0080693551716369E-2</v>
      </c>
      <c r="Z388" s="13">
        <v>2.0910659208531523E-2</v>
      </c>
      <c r="AA388" s="13">
        <v>2.7143781509084475E-2</v>
      </c>
    </row>
    <row r="389" spans="1:27" ht="15" x14ac:dyDescent="0.25">
      <c r="A389" s="4">
        <v>260129</v>
      </c>
      <c r="B389" s="20" t="s">
        <v>692</v>
      </c>
      <c r="C389" s="10" t="s">
        <v>23</v>
      </c>
      <c r="D389" s="10" t="s">
        <v>146</v>
      </c>
      <c r="E389" s="10" t="s">
        <v>25</v>
      </c>
      <c r="F389" s="38">
        <v>2.2940164404511521</v>
      </c>
      <c r="G389" s="49">
        <v>965.96</v>
      </c>
      <c r="H389" s="49">
        <v>894.91</v>
      </c>
      <c r="I389" s="49">
        <v>971.95</v>
      </c>
      <c r="J389" s="49">
        <v>1111</v>
      </c>
      <c r="K389" s="49">
        <v>1199</v>
      </c>
      <c r="L389" s="49">
        <v>860.59</v>
      </c>
      <c r="M389" s="49">
        <v>821.31</v>
      </c>
      <c r="N389" s="49">
        <v>899.21</v>
      </c>
      <c r="O389" s="49">
        <v>952.32</v>
      </c>
      <c r="P389" s="49">
        <v>806.84</v>
      </c>
      <c r="Q389" s="49">
        <v>977.32</v>
      </c>
      <c r="R389" s="49">
        <v>1120</v>
      </c>
      <c r="S389" s="49">
        <v>1242</v>
      </c>
      <c r="T389" s="50">
        <v>1300</v>
      </c>
      <c r="U389" s="49">
        <v>1352</v>
      </c>
      <c r="V389" s="49">
        <v>1337</v>
      </c>
      <c r="W389" s="52">
        <v>1362</v>
      </c>
      <c r="X389" s="13">
        <v>0.11894379377544517</v>
      </c>
      <c r="Y389" s="13">
        <v>8.0761835786279157E-2</v>
      </c>
      <c r="Z389" s="13">
        <v>4.3278819305943461E-2</v>
      </c>
      <c r="AA389" s="13">
        <v>2.2940164404511521E-2</v>
      </c>
    </row>
    <row r="390" spans="1:27" ht="15" x14ac:dyDescent="0.25">
      <c r="A390" s="4">
        <v>260129</v>
      </c>
      <c r="B390" s="20" t="s">
        <v>682</v>
      </c>
      <c r="C390" s="10" t="s">
        <v>23</v>
      </c>
      <c r="D390" s="10" t="s">
        <v>29</v>
      </c>
      <c r="E390" s="10" t="s">
        <v>25</v>
      </c>
      <c r="F390" s="38">
        <v>1.843640298783233</v>
      </c>
      <c r="G390" s="49">
        <v>111.17</v>
      </c>
      <c r="H390" s="49">
        <v>111.73</v>
      </c>
      <c r="I390" s="49">
        <v>139.79</v>
      </c>
      <c r="J390" s="49">
        <v>197.47</v>
      </c>
      <c r="K390" s="50">
        <v>219.84</v>
      </c>
      <c r="L390" s="50">
        <v>210.84</v>
      </c>
      <c r="M390" s="49">
        <v>193.85</v>
      </c>
      <c r="N390" s="49">
        <v>186.98</v>
      </c>
      <c r="O390" s="49">
        <v>120.7</v>
      </c>
      <c r="P390" s="49">
        <v>161.56</v>
      </c>
      <c r="Q390" s="49">
        <v>175.15</v>
      </c>
      <c r="R390" s="49">
        <v>175.24</v>
      </c>
      <c r="S390" s="50">
        <v>184.01</v>
      </c>
      <c r="T390" s="49">
        <v>179.1</v>
      </c>
      <c r="U390" s="49">
        <v>186.62</v>
      </c>
      <c r="V390" s="49">
        <v>208.01</v>
      </c>
      <c r="W390" s="52">
        <v>197.98</v>
      </c>
      <c r="X390" s="13">
        <v>2.5202597850451092E-2</v>
      </c>
      <c r="Y390" s="13">
        <v>1.6075683251576711E-2</v>
      </c>
      <c r="Z390" s="13">
        <v>4.5201870422224344E-2</v>
      </c>
      <c r="AA390" s="13">
        <v>1.8436402987832334E-2</v>
      </c>
    </row>
    <row r="391" spans="1:27" ht="15" x14ac:dyDescent="0.25">
      <c r="A391" s="4">
        <v>260129</v>
      </c>
      <c r="B391" s="20" t="s">
        <v>678</v>
      </c>
      <c r="C391" s="10" t="s">
        <v>23</v>
      </c>
      <c r="D391" s="10" t="s">
        <v>65</v>
      </c>
      <c r="E391" s="10" t="s">
        <v>25</v>
      </c>
      <c r="F391" s="38">
        <v>1.564036106890687</v>
      </c>
      <c r="G391" s="49">
        <v>29.92</v>
      </c>
      <c r="H391" s="49">
        <v>29.9</v>
      </c>
      <c r="I391" s="49">
        <v>42.29</v>
      </c>
      <c r="J391" s="49">
        <v>19.52</v>
      </c>
      <c r="K391" s="49">
        <v>27.75</v>
      </c>
      <c r="L391" s="49">
        <v>35.229999999999997</v>
      </c>
      <c r="M391" s="50">
        <v>60.35</v>
      </c>
      <c r="N391" s="49">
        <v>23.03</v>
      </c>
      <c r="O391" s="50">
        <v>53.35</v>
      </c>
      <c r="P391" s="49">
        <v>52.37</v>
      </c>
      <c r="Q391" s="49">
        <v>66.709999999999994</v>
      </c>
      <c r="R391" s="49">
        <v>31.51</v>
      </c>
      <c r="S391" s="49">
        <v>58.17</v>
      </c>
      <c r="T391" s="49">
        <v>58.47</v>
      </c>
      <c r="U391" s="49">
        <v>71.34</v>
      </c>
      <c r="V391" s="49">
        <v>35.799999999999997</v>
      </c>
      <c r="W391" s="52">
        <v>61.67</v>
      </c>
      <c r="X391" s="13">
        <v>2.922015711822179E-2</v>
      </c>
      <c r="Y391" s="13">
        <v>2.1548915572931371E-2</v>
      </c>
      <c r="Z391" s="13">
        <v>1.9545309581302295E-2</v>
      </c>
      <c r="AA391" s="13">
        <v>1.5640361068906872E-2</v>
      </c>
    </row>
    <row r="392" spans="1:27" ht="15" x14ac:dyDescent="0.25">
      <c r="A392" s="4">
        <v>260129</v>
      </c>
      <c r="B392" s="20" t="s">
        <v>701</v>
      </c>
      <c r="C392" s="10" t="s">
        <v>23</v>
      </c>
      <c r="D392" s="10" t="s">
        <v>191</v>
      </c>
      <c r="E392" s="10" t="s">
        <v>25</v>
      </c>
      <c r="F392" s="38">
        <v>1.2348555452003751</v>
      </c>
      <c r="G392" s="49">
        <v>434.9</v>
      </c>
      <c r="H392" s="49">
        <v>382.9</v>
      </c>
      <c r="I392" s="49">
        <v>702.1</v>
      </c>
      <c r="J392" s="49">
        <v>701.3</v>
      </c>
      <c r="K392" s="49">
        <v>575.1</v>
      </c>
      <c r="L392" s="49">
        <v>453.9</v>
      </c>
      <c r="M392" s="49">
        <v>828.7</v>
      </c>
      <c r="N392" s="49">
        <v>859.5</v>
      </c>
      <c r="O392" s="49">
        <v>682.6</v>
      </c>
      <c r="P392" s="49">
        <v>631.1</v>
      </c>
      <c r="Q392" s="49">
        <v>1023</v>
      </c>
      <c r="R392" s="49">
        <v>1021</v>
      </c>
      <c r="S392" s="49">
        <v>789</v>
      </c>
      <c r="T392" s="49">
        <v>752.8</v>
      </c>
      <c r="U392" s="49">
        <v>1160</v>
      </c>
      <c r="V392" s="49">
        <v>1161</v>
      </c>
      <c r="W392" s="52">
        <v>836.7</v>
      </c>
      <c r="X392" s="13">
        <v>3.5131780260385215E-2</v>
      </c>
      <c r="Y392" s="13">
        <v>3.8206258017736694E-2</v>
      </c>
      <c r="Z392" s="13">
        <v>3.7606102933275931E-2</v>
      </c>
      <c r="AA392" s="13">
        <v>1.2348555452003751E-2</v>
      </c>
    </row>
    <row r="393" spans="1:27" ht="15" x14ac:dyDescent="0.25">
      <c r="A393" s="4">
        <v>260129</v>
      </c>
      <c r="B393" s="20" t="s">
        <v>724</v>
      </c>
      <c r="C393" s="10" t="s">
        <v>23</v>
      </c>
      <c r="D393" s="10" t="s">
        <v>153</v>
      </c>
      <c r="E393" s="10" t="s">
        <v>25</v>
      </c>
      <c r="F393" s="38">
        <v>1.068999028182716</v>
      </c>
      <c r="G393" s="49">
        <v>165.9</v>
      </c>
      <c r="H393" s="49">
        <v>158.6</v>
      </c>
      <c r="I393" s="49">
        <v>164.3</v>
      </c>
      <c r="J393" s="49">
        <v>150.6</v>
      </c>
      <c r="K393" s="49">
        <v>150.6</v>
      </c>
      <c r="L393" s="49">
        <v>186.9</v>
      </c>
      <c r="M393" s="49">
        <v>204.2</v>
      </c>
      <c r="N393" s="49">
        <v>181.3</v>
      </c>
      <c r="O393" s="49">
        <v>168.5</v>
      </c>
      <c r="P393" s="49">
        <v>192.5</v>
      </c>
      <c r="Q393" s="49">
        <v>207.5</v>
      </c>
      <c r="R393" s="49">
        <v>160.69999999999999</v>
      </c>
      <c r="S393" s="49">
        <v>156.1</v>
      </c>
      <c r="T393" s="49">
        <v>182.8</v>
      </c>
      <c r="U393" s="49">
        <v>205.8</v>
      </c>
      <c r="V393" s="49">
        <v>175.6</v>
      </c>
      <c r="W393" s="52">
        <v>163.80000000000001</v>
      </c>
      <c r="X393" s="13">
        <v>-1.3532366071428825E-2</v>
      </c>
      <c r="Y393" s="13">
        <v>-2.4041861122895414E-3</v>
      </c>
      <c r="Z393" s="13">
        <v>2.1122767224269978E-2</v>
      </c>
      <c r="AA393" s="13">
        <v>1.0689990281826933E-2</v>
      </c>
    </row>
    <row r="394" spans="1:27" ht="15" x14ac:dyDescent="0.25">
      <c r="A394" s="4">
        <v>260129</v>
      </c>
      <c r="B394" s="20" t="s">
        <v>684</v>
      </c>
      <c r="C394" s="10" t="s">
        <v>23</v>
      </c>
      <c r="D394" s="10" t="s">
        <v>95</v>
      </c>
      <c r="E394" s="10" t="s">
        <v>25</v>
      </c>
      <c r="F394" s="38">
        <v>0.98743267504488585</v>
      </c>
      <c r="G394" s="49">
        <v>1073</v>
      </c>
      <c r="H394" s="49">
        <v>1293</v>
      </c>
      <c r="I394" s="49">
        <v>1499</v>
      </c>
      <c r="J394" s="49">
        <v>1248</v>
      </c>
      <c r="K394" s="49">
        <v>1192</v>
      </c>
      <c r="L394" s="49">
        <v>1329</v>
      </c>
      <c r="M394" s="49">
        <v>1429</v>
      </c>
      <c r="N394" s="49">
        <v>1659</v>
      </c>
      <c r="O394" s="49">
        <v>1196</v>
      </c>
      <c r="P394" s="49">
        <v>1590</v>
      </c>
      <c r="Q394" s="49">
        <v>1593</v>
      </c>
      <c r="R394" s="49">
        <v>1557</v>
      </c>
      <c r="S394" s="49">
        <v>1718</v>
      </c>
      <c r="T394" s="49">
        <v>1511</v>
      </c>
      <c r="U394" s="49">
        <v>1630</v>
      </c>
      <c r="V394" s="49">
        <v>1825</v>
      </c>
      <c r="W394" s="52">
        <v>1784</v>
      </c>
      <c r="X394" s="13">
        <v>-1.2232889439454886E-2</v>
      </c>
      <c r="Y394" s="13">
        <v>5.8002821758895706E-3</v>
      </c>
      <c r="Z394" s="13">
        <v>4.1770573566084712E-2</v>
      </c>
      <c r="AA394" s="13">
        <v>9.8743267504488585E-3</v>
      </c>
    </row>
    <row r="395" spans="1:27" ht="15" x14ac:dyDescent="0.25">
      <c r="A395" s="4">
        <v>260129</v>
      </c>
      <c r="B395" s="20" t="s">
        <v>715</v>
      </c>
      <c r="C395" s="10" t="s">
        <v>23</v>
      </c>
      <c r="D395" s="10" t="s">
        <v>676</v>
      </c>
      <c r="E395" s="10" t="s">
        <v>59</v>
      </c>
      <c r="F395" s="38">
        <v>0.6785411365564098</v>
      </c>
      <c r="G395" s="49">
        <v>637.4</v>
      </c>
      <c r="H395" s="49">
        <v>593.9</v>
      </c>
      <c r="I395" s="49">
        <v>238.5</v>
      </c>
      <c r="J395" s="49">
        <v>178.4</v>
      </c>
      <c r="K395" s="49">
        <v>263.5</v>
      </c>
      <c r="L395" s="49">
        <v>261.5</v>
      </c>
      <c r="M395" s="49">
        <v>227.3</v>
      </c>
      <c r="N395" s="49">
        <v>181.4</v>
      </c>
      <c r="O395" s="49">
        <v>226.7</v>
      </c>
      <c r="P395" s="49">
        <v>243.3</v>
      </c>
      <c r="Q395" s="49">
        <v>263.89999999999998</v>
      </c>
      <c r="R395" s="49">
        <v>229</v>
      </c>
      <c r="S395" s="49">
        <v>233.7</v>
      </c>
      <c r="T395" s="49">
        <v>222.9</v>
      </c>
      <c r="U395" s="49">
        <v>260.89999999999998</v>
      </c>
      <c r="V395" s="50">
        <v>343.6</v>
      </c>
      <c r="W395" s="52">
        <v>240.9</v>
      </c>
      <c r="X395" s="13">
        <v>-2.1033096195484324E-2</v>
      </c>
      <c r="Y395" s="13">
        <v>-3.1595576619272148E-3</v>
      </c>
      <c r="Z395" s="13">
        <v>0.1210776545166401</v>
      </c>
      <c r="AA395" s="13">
        <v>6.785411365564098E-3</v>
      </c>
    </row>
    <row r="396" spans="1:27" ht="15" x14ac:dyDescent="0.25">
      <c r="A396" s="4">
        <v>260129</v>
      </c>
      <c r="B396" s="20" t="s">
        <v>685</v>
      </c>
      <c r="C396" s="10" t="s">
        <v>23</v>
      </c>
      <c r="D396" s="10" t="s">
        <v>153</v>
      </c>
      <c r="E396" s="10" t="s">
        <v>25</v>
      </c>
      <c r="F396" s="38">
        <v>0.66077877498480486</v>
      </c>
      <c r="G396" s="49">
        <v>287.58999999999997</v>
      </c>
      <c r="H396" s="49">
        <v>307.51</v>
      </c>
      <c r="I396" s="49">
        <v>361.16</v>
      </c>
      <c r="J396" s="49">
        <v>377.73</v>
      </c>
      <c r="K396" s="49">
        <v>370.54</v>
      </c>
      <c r="L396" s="49">
        <v>327.43</v>
      </c>
      <c r="M396" s="49">
        <v>0</v>
      </c>
      <c r="N396" s="49">
        <v>341.28</v>
      </c>
      <c r="O396" s="49">
        <v>322.37</v>
      </c>
      <c r="P396" s="49">
        <v>273.52999999999997</v>
      </c>
      <c r="Q396" s="50">
        <v>333.27</v>
      </c>
      <c r="R396" s="49">
        <v>348.12</v>
      </c>
      <c r="S396" s="49">
        <v>336.06</v>
      </c>
      <c r="T396" s="49">
        <v>305.22000000000003</v>
      </c>
      <c r="U396" s="49">
        <v>368.72</v>
      </c>
      <c r="V396" s="49">
        <v>388.35</v>
      </c>
      <c r="W396" s="52">
        <v>345.3</v>
      </c>
      <c r="X396" s="13">
        <v>2.4547243179600109E-2</v>
      </c>
      <c r="Y396" s="13">
        <v>2.6801847777601306E-2</v>
      </c>
      <c r="Z396" s="13">
        <v>2.9621830177009256E-2</v>
      </c>
      <c r="AA396" s="13">
        <v>6.6077877498480486E-3</v>
      </c>
    </row>
    <row r="397" spans="1:27" ht="15" x14ac:dyDescent="0.25">
      <c r="A397" s="4">
        <v>260129</v>
      </c>
      <c r="B397" s="20" t="s">
        <v>639</v>
      </c>
      <c r="C397" s="10" t="s">
        <v>23</v>
      </c>
      <c r="D397" s="10" t="s">
        <v>640</v>
      </c>
      <c r="E397" s="10" t="s">
        <v>25</v>
      </c>
      <c r="F397" s="38">
        <v>0.64189312753739625</v>
      </c>
      <c r="G397" s="49">
        <v>234.84</v>
      </c>
      <c r="H397" s="49">
        <v>234.52</v>
      </c>
      <c r="I397" s="49">
        <v>177.53</v>
      </c>
      <c r="J397" s="49">
        <v>185.47</v>
      </c>
      <c r="K397" s="49">
        <v>71.8</v>
      </c>
      <c r="L397" s="49">
        <v>38.15</v>
      </c>
      <c r="M397" s="49">
        <v>72.92</v>
      </c>
      <c r="N397" s="49">
        <v>126.8</v>
      </c>
      <c r="O397" s="50">
        <v>108.59</v>
      </c>
      <c r="P397" s="49">
        <v>43.88</v>
      </c>
      <c r="Q397" s="50">
        <v>133.85</v>
      </c>
      <c r="R397" s="49">
        <v>93.93</v>
      </c>
      <c r="S397" s="49">
        <v>130.9</v>
      </c>
      <c r="T397" s="50">
        <v>104.2</v>
      </c>
      <c r="U397" s="49">
        <v>75.349999999999994</v>
      </c>
      <c r="V397" s="50">
        <v>236.37</v>
      </c>
      <c r="W397" s="52">
        <v>134.41</v>
      </c>
      <c r="X397" s="13">
        <v>0.14984101748807643</v>
      </c>
      <c r="Y397" s="13">
        <v>-0.12638264777048047</v>
      </c>
      <c r="Z397" s="13">
        <v>0.35224293980909049</v>
      </c>
      <c r="AA397" s="13">
        <v>6.4189312753739625E-3</v>
      </c>
    </row>
    <row r="398" spans="1:27" ht="15" x14ac:dyDescent="0.25">
      <c r="A398" s="4">
        <v>260129</v>
      </c>
      <c r="B398" s="20" t="s">
        <v>677</v>
      </c>
      <c r="C398" s="10" t="s">
        <v>23</v>
      </c>
      <c r="D398" s="10" t="s">
        <v>29</v>
      </c>
      <c r="E398" s="10" t="s">
        <v>25</v>
      </c>
      <c r="F398" s="38">
        <v>9.5885634588555035E-2</v>
      </c>
      <c r="G398" s="49">
        <v>20.329999999999998</v>
      </c>
      <c r="H398" s="49">
        <v>19.36</v>
      </c>
      <c r="I398" s="49">
        <v>21.22</v>
      </c>
      <c r="J398" s="49">
        <v>31.15</v>
      </c>
      <c r="K398" s="49">
        <v>28.12</v>
      </c>
      <c r="L398" s="49">
        <v>20.02</v>
      </c>
      <c r="M398" s="49">
        <v>21.75</v>
      </c>
      <c r="N398" s="49">
        <v>23.48</v>
      </c>
      <c r="O398" s="49">
        <v>26.13</v>
      </c>
      <c r="P398" s="49">
        <v>25.9</v>
      </c>
      <c r="Q398" s="49">
        <v>25.23</v>
      </c>
      <c r="R398" s="49">
        <v>23.05</v>
      </c>
      <c r="S398" s="49">
        <v>28.39</v>
      </c>
      <c r="T398" s="49">
        <v>26.53</v>
      </c>
      <c r="U398" s="49">
        <v>27.36</v>
      </c>
      <c r="V398" s="49">
        <v>32.44</v>
      </c>
      <c r="W398" s="52">
        <v>28.5</v>
      </c>
      <c r="X398" s="13">
        <v>6.1421468265576706E-3</v>
      </c>
      <c r="Y398" s="13">
        <v>2.0639534883720945E-2</v>
      </c>
      <c r="Z398" s="13">
        <v>8.9148390771859987E-2</v>
      </c>
      <c r="AA398" s="13">
        <v>9.5885634588555035E-4</v>
      </c>
    </row>
    <row r="399" spans="1:27" ht="15" x14ac:dyDescent="0.25">
      <c r="A399" s="4">
        <v>260129</v>
      </c>
      <c r="B399" s="20" t="s">
        <v>651</v>
      </c>
      <c r="C399" s="10" t="s">
        <v>23</v>
      </c>
      <c r="D399" s="10" t="s">
        <v>29</v>
      </c>
      <c r="E399" s="10" t="s">
        <v>25</v>
      </c>
      <c r="F399" s="38">
        <v>-8.0360012857605412E-2</v>
      </c>
      <c r="G399" s="49">
        <v>44.67</v>
      </c>
      <c r="H399" s="49">
        <v>26.42</v>
      </c>
      <c r="I399" s="49">
        <v>41.64</v>
      </c>
      <c r="J399" s="49">
        <v>38.35</v>
      </c>
      <c r="K399" s="49">
        <v>31.72</v>
      </c>
      <c r="L399" s="49">
        <v>14.52</v>
      </c>
      <c r="M399" s="49">
        <v>41.44</v>
      </c>
      <c r="N399" s="49">
        <v>40.49</v>
      </c>
      <c r="O399" s="49">
        <v>37.799999999999997</v>
      </c>
      <c r="P399" s="50">
        <v>33.840000000000003</v>
      </c>
      <c r="Q399" s="49">
        <v>39.15</v>
      </c>
      <c r="R399" s="49">
        <v>39.25</v>
      </c>
      <c r="S399" s="49">
        <v>43.6</v>
      </c>
      <c r="T399" s="49">
        <v>40.85</v>
      </c>
      <c r="U399" s="49">
        <v>55.28</v>
      </c>
      <c r="V399" s="49">
        <v>46.93</v>
      </c>
      <c r="W399" s="52">
        <v>43.45</v>
      </c>
      <c r="X399" s="13">
        <v>4.4982032854209431E-2</v>
      </c>
      <c r="Y399" s="13">
        <v>9.9048203868590701E-2</v>
      </c>
      <c r="Z399" s="13">
        <v>4.2909822326517189E-2</v>
      </c>
      <c r="AA399" s="13">
        <v>-8.0360012857616514E-4</v>
      </c>
    </row>
    <row r="400" spans="1:27" ht="15" x14ac:dyDescent="0.25">
      <c r="A400" s="4">
        <v>260129</v>
      </c>
      <c r="B400" s="20" t="s">
        <v>730</v>
      </c>
      <c r="C400" s="10" t="s">
        <v>23</v>
      </c>
      <c r="D400" s="10" t="s">
        <v>124</v>
      </c>
      <c r="E400" s="10" t="s">
        <v>25</v>
      </c>
      <c r="F400" s="38">
        <v>-0.39571694599627172</v>
      </c>
      <c r="G400" s="49">
        <v>1155</v>
      </c>
      <c r="H400" s="49">
        <v>1116</v>
      </c>
      <c r="I400" s="49">
        <v>1304</v>
      </c>
      <c r="J400" s="49">
        <v>1302</v>
      </c>
      <c r="K400" s="49">
        <v>1249</v>
      </c>
      <c r="L400" s="49">
        <v>1127</v>
      </c>
      <c r="M400" s="49">
        <v>605</v>
      </c>
      <c r="N400" s="49">
        <v>949</v>
      </c>
      <c r="O400" s="49">
        <v>870</v>
      </c>
      <c r="P400" s="49">
        <v>930</v>
      </c>
      <c r="Q400" s="50">
        <v>1108</v>
      </c>
      <c r="R400" s="50">
        <v>1522</v>
      </c>
      <c r="S400" s="49">
        <v>1019</v>
      </c>
      <c r="T400" s="49">
        <v>983</v>
      </c>
      <c r="U400" s="49">
        <v>1159</v>
      </c>
      <c r="V400" s="49">
        <v>1135</v>
      </c>
      <c r="W400" s="52">
        <v>1002</v>
      </c>
      <c r="X400" s="13">
        <v>1.1574579602533275E-2</v>
      </c>
      <c r="Y400" s="13">
        <v>1.1010362694300557E-2</v>
      </c>
      <c r="Z400" s="13">
        <v>-8.2639333760409994E-2</v>
      </c>
      <c r="AA400" s="13">
        <v>-3.9571694599627172E-3</v>
      </c>
    </row>
    <row r="401" spans="1:27" ht="15" x14ac:dyDescent="0.25">
      <c r="A401" s="4">
        <v>260129</v>
      </c>
      <c r="B401" s="20" t="s">
        <v>718</v>
      </c>
      <c r="C401" s="10" t="s">
        <v>23</v>
      </c>
      <c r="D401" s="10" t="s">
        <v>29</v>
      </c>
      <c r="E401" s="10" t="s">
        <v>25</v>
      </c>
      <c r="F401" s="38">
        <v>-0.45657600840888207</v>
      </c>
      <c r="G401" s="49">
        <v>35.56</v>
      </c>
      <c r="H401" s="49">
        <v>38.11</v>
      </c>
      <c r="I401" s="49">
        <v>41.13</v>
      </c>
      <c r="J401" s="49">
        <v>42.43</v>
      </c>
      <c r="K401" s="49">
        <v>0</v>
      </c>
      <c r="L401" s="50">
        <v>64.87</v>
      </c>
      <c r="M401" s="50">
        <v>66.23</v>
      </c>
      <c r="N401" s="50">
        <v>66.45</v>
      </c>
      <c r="O401" s="50">
        <v>59.22</v>
      </c>
      <c r="P401" s="49">
        <v>74.92</v>
      </c>
      <c r="Q401" s="49">
        <v>71.819999999999993</v>
      </c>
      <c r="R401" s="49">
        <v>69.03</v>
      </c>
      <c r="S401" s="49">
        <v>76.39</v>
      </c>
      <c r="T401" s="49">
        <v>75.239999999999995</v>
      </c>
      <c r="U401" s="49">
        <v>79.650000000000006</v>
      </c>
      <c r="V401" s="49">
        <v>73.16</v>
      </c>
      <c r="W401" s="52">
        <v>75</v>
      </c>
      <c r="X401" s="13">
        <v>1.0952902519167917E-3</v>
      </c>
      <c r="Y401" s="13">
        <v>2.6771061269146745E-2</v>
      </c>
      <c r="Z401" s="13">
        <v>1.3752455795677632E-2</v>
      </c>
      <c r="AA401" s="13">
        <v>-4.5657600840889323E-3</v>
      </c>
    </row>
    <row r="402" spans="1:27" ht="15" x14ac:dyDescent="0.25">
      <c r="A402" s="4">
        <v>260129</v>
      </c>
      <c r="B402" s="20" t="s">
        <v>687</v>
      </c>
      <c r="C402" s="10" t="s">
        <v>23</v>
      </c>
      <c r="D402" s="10" t="s">
        <v>189</v>
      </c>
      <c r="E402" s="10" t="s">
        <v>25</v>
      </c>
      <c r="F402" s="38">
        <v>-0.91729877960774475</v>
      </c>
      <c r="G402" s="49">
        <v>32.950000000000003</v>
      </c>
      <c r="H402" s="49">
        <v>52.05</v>
      </c>
      <c r="I402" s="49">
        <v>88.6</v>
      </c>
      <c r="J402" s="49">
        <v>75.58</v>
      </c>
      <c r="K402" s="49">
        <v>16.32</v>
      </c>
      <c r="L402" s="49">
        <v>-4.7</v>
      </c>
      <c r="M402" s="49">
        <v>31.86</v>
      </c>
      <c r="N402" s="49">
        <v>49.29</v>
      </c>
      <c r="O402" s="50">
        <v>29.94</v>
      </c>
      <c r="P402" s="50">
        <v>99.51</v>
      </c>
      <c r="Q402" s="50">
        <v>119.64</v>
      </c>
      <c r="R402" s="50">
        <v>131.44</v>
      </c>
      <c r="S402" s="50">
        <v>139.91999999999999</v>
      </c>
      <c r="T402" s="49">
        <v>139.38</v>
      </c>
      <c r="U402" s="49">
        <v>170.13</v>
      </c>
      <c r="V402" s="49">
        <v>174.14</v>
      </c>
      <c r="W402" s="52">
        <v>134.19999999999999</v>
      </c>
      <c r="X402" s="13">
        <v>8.1282746529122818E-2</v>
      </c>
      <c r="Y402" s="13">
        <v>9.5195897281194597E-2</v>
      </c>
      <c r="Z402" s="13">
        <v>7.3510424019143539E-2</v>
      </c>
      <c r="AA402" s="13">
        <v>-9.1729877960774475E-3</v>
      </c>
    </row>
    <row r="403" spans="1:27" ht="15" x14ac:dyDescent="0.25">
      <c r="A403" s="4">
        <v>260129</v>
      </c>
      <c r="B403" s="20" t="s">
        <v>665</v>
      </c>
      <c r="C403" s="10" t="s">
        <v>23</v>
      </c>
      <c r="D403" s="10" t="s">
        <v>666</v>
      </c>
      <c r="E403" s="10" t="s">
        <v>25</v>
      </c>
      <c r="F403" s="38">
        <v>-1.0446801671488259</v>
      </c>
      <c r="G403" s="49">
        <v>2872</v>
      </c>
      <c r="H403" s="49">
        <v>2882</v>
      </c>
      <c r="I403" s="49">
        <v>3197</v>
      </c>
      <c r="J403" s="49">
        <v>3197</v>
      </c>
      <c r="K403" s="49">
        <v>3025</v>
      </c>
      <c r="L403" s="49">
        <v>2898</v>
      </c>
      <c r="M403" s="49">
        <v>3216</v>
      </c>
      <c r="N403" s="49">
        <v>3130</v>
      </c>
      <c r="O403" s="49">
        <v>2953</v>
      </c>
      <c r="P403" s="49">
        <v>2781</v>
      </c>
      <c r="Q403" s="49">
        <v>3133</v>
      </c>
      <c r="R403" s="49">
        <v>3257</v>
      </c>
      <c r="S403" s="49">
        <v>3055</v>
      </c>
      <c r="T403" s="49">
        <v>2788</v>
      </c>
      <c r="U403" s="49">
        <v>3302</v>
      </c>
      <c r="V403" s="49">
        <v>3299</v>
      </c>
      <c r="W403" s="52">
        <v>2925</v>
      </c>
      <c r="X403" s="13">
        <v>5.7255030263370088E-4</v>
      </c>
      <c r="Y403" s="13">
        <v>1.381509032943673E-2</v>
      </c>
      <c r="Z403" s="13">
        <v>3.3865505563619447E-3</v>
      </c>
      <c r="AA403" s="13">
        <v>-1.0446801671488259E-2</v>
      </c>
    </row>
    <row r="404" spans="1:27" ht="15" x14ac:dyDescent="0.25">
      <c r="A404" s="4">
        <v>260129</v>
      </c>
      <c r="B404" s="20" t="s">
        <v>711</v>
      </c>
      <c r="C404" s="10" t="s">
        <v>23</v>
      </c>
      <c r="D404" s="10" t="s">
        <v>474</v>
      </c>
      <c r="E404" s="10" t="s">
        <v>25</v>
      </c>
      <c r="F404" s="38">
        <v>-1.2980269989615769</v>
      </c>
      <c r="G404" s="49">
        <v>55.6</v>
      </c>
      <c r="H404" s="49">
        <v>31.9</v>
      </c>
      <c r="I404" s="49">
        <v>76.3</v>
      </c>
      <c r="J404" s="49">
        <v>119.3</v>
      </c>
      <c r="K404" s="50">
        <v>152.6</v>
      </c>
      <c r="L404" s="50">
        <v>131.5</v>
      </c>
      <c r="M404" s="50">
        <v>235.5</v>
      </c>
      <c r="N404" s="50">
        <v>257.2</v>
      </c>
      <c r="O404" s="49">
        <v>216.1</v>
      </c>
      <c r="P404" s="50">
        <v>260.60000000000002</v>
      </c>
      <c r="Q404" s="49">
        <v>313.5</v>
      </c>
      <c r="R404" s="49">
        <v>267.2</v>
      </c>
      <c r="S404" s="49">
        <v>224.5</v>
      </c>
      <c r="T404" s="49">
        <v>177.1</v>
      </c>
      <c r="U404" s="49">
        <v>299.10000000000002</v>
      </c>
      <c r="V404" s="49">
        <v>262.3</v>
      </c>
      <c r="W404" s="52">
        <v>212</v>
      </c>
      <c r="X404" s="13">
        <v>-7.8344905235503748E-2</v>
      </c>
      <c r="Y404" s="13">
        <v>-1.465947266619172E-2</v>
      </c>
      <c r="Z404" s="13">
        <v>-5.0625064572785705E-3</v>
      </c>
      <c r="AA404" s="13">
        <v>-1.2980269989615767E-2</v>
      </c>
    </row>
    <row r="405" spans="1:27" ht="15" x14ac:dyDescent="0.25">
      <c r="A405" s="4">
        <v>260129</v>
      </c>
      <c r="B405" s="20" t="s">
        <v>713</v>
      </c>
      <c r="C405" s="10" t="s">
        <v>23</v>
      </c>
      <c r="D405" s="10" t="s">
        <v>696</v>
      </c>
      <c r="E405" s="10" t="s">
        <v>59</v>
      </c>
      <c r="F405" s="38">
        <v>-1.385743375380555</v>
      </c>
      <c r="G405" s="49">
        <v>293.05</v>
      </c>
      <c r="H405" s="49">
        <v>244.29</v>
      </c>
      <c r="I405" s="49">
        <v>525.04</v>
      </c>
      <c r="J405" s="49">
        <v>306.41000000000003</v>
      </c>
      <c r="K405" s="49">
        <v>359.21</v>
      </c>
      <c r="L405" s="49">
        <v>244.44</v>
      </c>
      <c r="M405" s="49">
        <v>559.33000000000004</v>
      </c>
      <c r="N405" s="49">
        <v>329.61</v>
      </c>
      <c r="O405" s="49">
        <v>334.24</v>
      </c>
      <c r="P405" s="49">
        <v>263.13</v>
      </c>
      <c r="Q405" s="49">
        <v>561.46</v>
      </c>
      <c r="R405" s="49">
        <v>324.60000000000002</v>
      </c>
      <c r="S405" s="49">
        <v>318.35000000000002</v>
      </c>
      <c r="T405" s="49">
        <v>249.14</v>
      </c>
      <c r="U405" s="49">
        <v>577.80999999999995</v>
      </c>
      <c r="V405" s="49">
        <v>342.71</v>
      </c>
      <c r="W405" s="52">
        <v>297.73</v>
      </c>
      <c r="X405" s="13">
        <v>-9.5329599193205716E-3</v>
      </c>
      <c r="Y405" s="13">
        <v>1.1248323071101796E-2</v>
      </c>
      <c r="Z405" s="13">
        <v>1.2320566024899504E-2</v>
      </c>
      <c r="AA405" s="13">
        <v>-1.3857433753805548E-2</v>
      </c>
    </row>
    <row r="406" spans="1:27" ht="15" x14ac:dyDescent="0.25">
      <c r="A406" s="4">
        <v>260129</v>
      </c>
      <c r="B406" s="20" t="s">
        <v>690</v>
      </c>
      <c r="C406" s="10" t="s">
        <v>23</v>
      </c>
      <c r="D406" s="10" t="s">
        <v>691</v>
      </c>
      <c r="E406" s="10" t="s">
        <v>25</v>
      </c>
      <c r="F406" s="38">
        <v>-1.759133964817339</v>
      </c>
      <c r="G406" s="49">
        <v>180.3</v>
      </c>
      <c r="H406" s="49">
        <v>142.4</v>
      </c>
      <c r="I406" s="49">
        <v>183.7</v>
      </c>
      <c r="J406" s="49">
        <v>167.4</v>
      </c>
      <c r="K406" s="49">
        <v>164.6</v>
      </c>
      <c r="L406" s="49">
        <v>117.9</v>
      </c>
      <c r="M406" s="49">
        <v>107.6</v>
      </c>
      <c r="N406" s="49">
        <v>107.9</v>
      </c>
      <c r="O406" s="49">
        <v>105.6</v>
      </c>
      <c r="P406" s="49">
        <v>65.900000000000006</v>
      </c>
      <c r="Q406" s="49">
        <v>101.1</v>
      </c>
      <c r="R406" s="49">
        <v>108.4</v>
      </c>
      <c r="S406" s="49">
        <v>85.8</v>
      </c>
      <c r="T406" s="49">
        <v>44</v>
      </c>
      <c r="U406" s="49">
        <v>77.8</v>
      </c>
      <c r="V406" s="49">
        <v>88</v>
      </c>
      <c r="W406" s="52">
        <v>80.599999999999994</v>
      </c>
      <c r="X406" s="13">
        <v>-6.0631229235880379E-2</v>
      </c>
      <c r="Y406" s="13">
        <v>-6.8670792808723902E-2</v>
      </c>
      <c r="Z406" s="13">
        <v>-6.4556962025316356E-2</v>
      </c>
      <c r="AA406" s="13">
        <v>-1.7591339648173387E-2</v>
      </c>
    </row>
    <row r="407" spans="1:27" ht="15" x14ac:dyDescent="0.25">
      <c r="A407" s="4">
        <v>260129</v>
      </c>
      <c r="B407" s="20" t="s">
        <v>733</v>
      </c>
      <c r="C407" s="10" t="s">
        <v>23</v>
      </c>
      <c r="D407" s="10" t="s">
        <v>29</v>
      </c>
      <c r="E407" s="10" t="s">
        <v>25</v>
      </c>
      <c r="F407" s="38">
        <v>-1.992646186691982</v>
      </c>
      <c r="G407" s="49">
        <v>33.5</v>
      </c>
      <c r="H407" s="49">
        <v>28.14</v>
      </c>
      <c r="I407" s="49">
        <v>28.7</v>
      </c>
      <c r="J407" s="49">
        <v>30.83</v>
      </c>
      <c r="K407" s="49">
        <v>31.96</v>
      </c>
      <c r="L407" s="49">
        <v>30.58</v>
      </c>
      <c r="M407" s="49">
        <v>29.46</v>
      </c>
      <c r="N407" s="49">
        <v>21.57</v>
      </c>
      <c r="O407" s="49">
        <v>19.52</v>
      </c>
      <c r="P407" s="49">
        <v>26.13</v>
      </c>
      <c r="Q407" s="49">
        <v>29.89</v>
      </c>
      <c r="R407" s="49">
        <v>24.91</v>
      </c>
      <c r="S407" s="49">
        <v>26.45</v>
      </c>
      <c r="T407" s="49">
        <v>26.23</v>
      </c>
      <c r="U407" s="49">
        <v>26.53</v>
      </c>
      <c r="V407" s="49">
        <v>5.0999999999999996</v>
      </c>
      <c r="W407" s="52">
        <v>24.77</v>
      </c>
      <c r="X407" s="13">
        <v>9.3127211771282248E-4</v>
      </c>
      <c r="Y407" s="13">
        <v>-3.1261630070710811E-2</v>
      </c>
      <c r="Z407" s="13">
        <v>-0.19026123703419129</v>
      </c>
      <c r="AA407" s="13">
        <v>-1.9926461866919598E-2</v>
      </c>
    </row>
    <row r="408" spans="1:27" ht="15" x14ac:dyDescent="0.25">
      <c r="A408" s="4">
        <v>260129</v>
      </c>
      <c r="B408" s="20" t="s">
        <v>670</v>
      </c>
      <c r="C408" s="10" t="s">
        <v>23</v>
      </c>
      <c r="D408" s="10" t="s">
        <v>177</v>
      </c>
      <c r="E408" s="10" t="s">
        <v>25</v>
      </c>
      <c r="F408" s="38">
        <v>-2.101717147627002</v>
      </c>
      <c r="G408" s="49">
        <v>279.47000000000003</v>
      </c>
      <c r="H408" s="49">
        <v>157.82</v>
      </c>
      <c r="I408" s="49">
        <v>122.13</v>
      </c>
      <c r="J408" s="49">
        <v>155.49</v>
      </c>
      <c r="K408" s="49">
        <v>112.81</v>
      </c>
      <c r="L408" s="49">
        <v>-46.04</v>
      </c>
      <c r="M408" s="49">
        <v>27.33</v>
      </c>
      <c r="N408" s="49">
        <v>5.07</v>
      </c>
      <c r="O408" s="49">
        <v>88.14</v>
      </c>
      <c r="P408" s="50">
        <v>99.89</v>
      </c>
      <c r="Q408" s="50">
        <v>61.8</v>
      </c>
      <c r="R408" s="50">
        <v>167.1</v>
      </c>
      <c r="S408" s="49">
        <v>93.37</v>
      </c>
      <c r="T408" s="49">
        <v>60.06</v>
      </c>
      <c r="U408" s="50">
        <v>102.72</v>
      </c>
      <c r="V408" s="49">
        <v>79.290000000000006</v>
      </c>
      <c r="W408" s="52">
        <v>86.32</v>
      </c>
      <c r="X408" s="13">
        <v>-9.4348114458972843E-2</v>
      </c>
      <c r="Y408" s="13">
        <v>0.10702796013914684</v>
      </c>
      <c r="Z408" s="13">
        <v>-0.20746603662138219</v>
      </c>
      <c r="AA408" s="13">
        <v>-2.1017171476270025E-2</v>
      </c>
    </row>
    <row r="409" spans="1:27" ht="15" x14ac:dyDescent="0.25">
      <c r="A409" s="4">
        <v>260129</v>
      </c>
      <c r="B409" s="20" t="s">
        <v>721</v>
      </c>
      <c r="C409" s="10" t="s">
        <v>23</v>
      </c>
      <c r="D409" s="10" t="s">
        <v>722</v>
      </c>
      <c r="E409" s="10" t="s">
        <v>25</v>
      </c>
      <c r="F409" s="38">
        <v>-2.1607782898105499</v>
      </c>
      <c r="G409" s="49">
        <v>0</v>
      </c>
      <c r="H409" s="49">
        <v>285.10000000000002</v>
      </c>
      <c r="I409" s="49">
        <v>285.3</v>
      </c>
      <c r="J409" s="49">
        <v>279.8</v>
      </c>
      <c r="K409" s="50">
        <v>243.5</v>
      </c>
      <c r="L409" s="49">
        <v>242.7</v>
      </c>
      <c r="M409" s="49">
        <v>272.5</v>
      </c>
      <c r="N409" s="49">
        <v>266.39999999999998</v>
      </c>
      <c r="O409" s="49">
        <v>223.2</v>
      </c>
      <c r="P409" s="49">
        <v>242.7</v>
      </c>
      <c r="Q409" s="49">
        <v>241.1</v>
      </c>
      <c r="R409" s="49">
        <v>231.5</v>
      </c>
      <c r="S409" s="49">
        <v>236.8</v>
      </c>
      <c r="T409" s="49">
        <v>245.5</v>
      </c>
      <c r="U409" s="49">
        <v>261.10000000000002</v>
      </c>
      <c r="V409" s="49">
        <v>233.1</v>
      </c>
      <c r="W409" s="52">
        <v>215.7</v>
      </c>
      <c r="X409" s="13">
        <v>2.9408675559292607E-3</v>
      </c>
      <c r="Y409" s="13">
        <v>2.0944601528955831E-2</v>
      </c>
      <c r="Z409" s="13">
        <v>1.6411939686122867E-3</v>
      </c>
      <c r="AA409" s="13">
        <v>-2.1607782898105499E-2</v>
      </c>
    </row>
    <row r="410" spans="1:27" ht="15" x14ac:dyDescent="0.25">
      <c r="A410" s="4">
        <v>260129</v>
      </c>
      <c r="B410" s="20" t="s">
        <v>723</v>
      </c>
      <c r="C410" s="10" t="s">
        <v>23</v>
      </c>
      <c r="D410" s="10" t="s">
        <v>41</v>
      </c>
      <c r="E410" s="10" t="s">
        <v>25</v>
      </c>
      <c r="F410" s="38">
        <v>-2.611940298507454</v>
      </c>
      <c r="G410" s="49">
        <v>54.7</v>
      </c>
      <c r="H410" s="49">
        <v>67.8</v>
      </c>
      <c r="I410" s="49">
        <v>73.5</v>
      </c>
      <c r="J410" s="49">
        <v>67.2</v>
      </c>
      <c r="K410" s="49">
        <v>44</v>
      </c>
      <c r="L410" s="49">
        <v>63.1</v>
      </c>
      <c r="M410" s="49">
        <v>70.599999999999994</v>
      </c>
      <c r="N410" s="49">
        <v>77</v>
      </c>
      <c r="O410" s="49">
        <v>69.2</v>
      </c>
      <c r="P410" s="49">
        <v>77.3</v>
      </c>
      <c r="Q410" s="49">
        <v>84.8</v>
      </c>
      <c r="R410" s="49">
        <v>79.2</v>
      </c>
      <c r="S410" s="49">
        <v>74.2</v>
      </c>
      <c r="T410" s="49">
        <v>63.2</v>
      </c>
      <c r="U410" s="49">
        <v>79</v>
      </c>
      <c r="V410" s="49">
        <v>78.400000000000006</v>
      </c>
      <c r="W410" s="52">
        <v>66.5</v>
      </c>
      <c r="X410" s="13">
        <v>-4.4690966719492908E-2</v>
      </c>
      <c r="Y410" s="13">
        <v>-1.9243530192435188E-2</v>
      </c>
      <c r="Z410" s="13">
        <v>-2.7063599458728715E-3</v>
      </c>
      <c r="AA410" s="13">
        <v>-2.6119402985074536E-2</v>
      </c>
    </row>
    <row r="411" spans="1:27" ht="15" x14ac:dyDescent="0.25">
      <c r="A411" s="4">
        <v>260129</v>
      </c>
      <c r="B411" s="20" t="s">
        <v>688</v>
      </c>
      <c r="C411" s="10" t="s">
        <v>23</v>
      </c>
      <c r="D411" s="10" t="s">
        <v>648</v>
      </c>
      <c r="E411" s="10" t="s">
        <v>25</v>
      </c>
      <c r="F411" s="38">
        <v>-3.2937685459940691</v>
      </c>
      <c r="G411" s="49">
        <v>1215</v>
      </c>
      <c r="H411" s="49">
        <v>1507</v>
      </c>
      <c r="I411" s="49">
        <v>1423</v>
      </c>
      <c r="J411" s="49">
        <v>848</v>
      </c>
      <c r="K411" s="49">
        <v>1193</v>
      </c>
      <c r="L411" s="49">
        <v>1750</v>
      </c>
      <c r="M411" s="49">
        <v>1527</v>
      </c>
      <c r="N411" s="49">
        <v>1063</v>
      </c>
      <c r="O411" s="49">
        <v>1527</v>
      </c>
      <c r="P411" s="49">
        <v>1995</v>
      </c>
      <c r="Q411" s="49">
        <v>1708</v>
      </c>
      <c r="R411" s="49">
        <v>1176</v>
      </c>
      <c r="S411" s="49">
        <v>1492</v>
      </c>
      <c r="T411" s="49">
        <v>2149</v>
      </c>
      <c r="U411" s="49">
        <v>1877</v>
      </c>
      <c r="V411" s="49">
        <v>1222</v>
      </c>
      <c r="W411" s="52">
        <v>1270</v>
      </c>
      <c r="X411" s="13">
        <v>2.4172029508711335E-2</v>
      </c>
      <c r="Y411" s="13">
        <v>2.5900383141762351E-2</v>
      </c>
      <c r="Z411" s="13">
        <v>6.8718255153870089E-3</v>
      </c>
      <c r="AA411" s="13">
        <v>-3.2937685459940691E-2</v>
      </c>
    </row>
    <row r="412" spans="1:27" ht="15" x14ac:dyDescent="0.25">
      <c r="A412" s="4">
        <v>260129</v>
      </c>
      <c r="B412" s="20" t="s">
        <v>727</v>
      </c>
      <c r="C412" s="10" t="s">
        <v>23</v>
      </c>
      <c r="D412" s="10" t="s">
        <v>728</v>
      </c>
      <c r="E412" s="10" t="s">
        <v>25</v>
      </c>
      <c r="F412" s="38">
        <v>-3.4344884150092292</v>
      </c>
      <c r="G412" s="49">
        <v>125.74</v>
      </c>
      <c r="H412" s="49">
        <v>85.36</v>
      </c>
      <c r="I412" s="49">
        <v>139.05000000000001</v>
      </c>
      <c r="J412" s="49">
        <v>180.61</v>
      </c>
      <c r="K412" s="49">
        <v>146.27000000000001</v>
      </c>
      <c r="L412" s="49">
        <v>119.71</v>
      </c>
      <c r="M412" s="49">
        <v>164.32</v>
      </c>
      <c r="N412" s="49">
        <v>192.44</v>
      </c>
      <c r="O412" s="49">
        <v>166.43</v>
      </c>
      <c r="P412" s="49">
        <v>102.34</v>
      </c>
      <c r="Q412" s="49">
        <v>171.22</v>
      </c>
      <c r="R412" s="49">
        <v>185.97</v>
      </c>
      <c r="S412" s="49">
        <v>157</v>
      </c>
      <c r="T412" s="49">
        <v>85.02</v>
      </c>
      <c r="U412" s="49">
        <v>164.82</v>
      </c>
      <c r="V412" s="49">
        <v>178.4</v>
      </c>
      <c r="W412" s="52">
        <v>136.9</v>
      </c>
      <c r="X412" s="13">
        <v>-2.8092712438972822E-2</v>
      </c>
      <c r="Y412" s="13">
        <v>-1.0680729627342789E-2</v>
      </c>
      <c r="Z412" s="13">
        <v>-1.2769690119937116E-2</v>
      </c>
      <c r="AA412" s="13">
        <v>-3.4344884150092292E-2</v>
      </c>
    </row>
    <row r="413" spans="1:27" ht="15" x14ac:dyDescent="0.25">
      <c r="A413" s="4">
        <v>260129</v>
      </c>
      <c r="B413" s="20" t="s">
        <v>729</v>
      </c>
      <c r="C413" s="10" t="s">
        <v>23</v>
      </c>
      <c r="D413" s="10" t="s">
        <v>144</v>
      </c>
      <c r="E413" s="10" t="s">
        <v>25</v>
      </c>
      <c r="F413" s="38">
        <v>-3.5377358490566002</v>
      </c>
      <c r="G413" s="49">
        <v>233</v>
      </c>
      <c r="H413" s="49">
        <v>921</v>
      </c>
      <c r="I413" s="49">
        <v>116</v>
      </c>
      <c r="J413" s="49">
        <v>147</v>
      </c>
      <c r="K413" s="49">
        <v>148</v>
      </c>
      <c r="L413" s="49">
        <v>-1202</v>
      </c>
      <c r="M413" s="49">
        <v>105</v>
      </c>
      <c r="N413" s="49">
        <v>155</v>
      </c>
      <c r="O413" s="49">
        <v>158</v>
      </c>
      <c r="P413" s="49">
        <v>-252</v>
      </c>
      <c r="Q413" s="50">
        <v>130</v>
      </c>
      <c r="R413" s="50">
        <v>187</v>
      </c>
      <c r="S413" s="50">
        <v>197</v>
      </c>
      <c r="T413" s="50">
        <v>371</v>
      </c>
      <c r="U413" s="49">
        <v>119</v>
      </c>
      <c r="V413" s="49">
        <v>161</v>
      </c>
      <c r="W413" s="52">
        <v>167</v>
      </c>
      <c r="X413" s="13">
        <v>2.3778625954198471</v>
      </c>
      <c r="Y413" s="13">
        <v>-1.2429378531073398E-2</v>
      </c>
      <c r="Z413" s="13">
        <v>-2.9748283752860427E-2</v>
      </c>
      <c r="AA413" s="13">
        <v>-3.5377358490566002E-2</v>
      </c>
    </row>
    <row r="414" spans="1:27" ht="15" x14ac:dyDescent="0.25">
      <c r="A414" s="4">
        <v>260129</v>
      </c>
      <c r="B414" s="20" t="s">
        <v>660</v>
      </c>
      <c r="C414" s="10" t="s">
        <v>23</v>
      </c>
      <c r="D414" s="10" t="s">
        <v>474</v>
      </c>
      <c r="E414" s="10" t="s">
        <v>25</v>
      </c>
      <c r="F414" s="38">
        <v>-3.6497586586501818</v>
      </c>
      <c r="G414" s="49">
        <v>2526</v>
      </c>
      <c r="H414" s="49">
        <v>1943</v>
      </c>
      <c r="I414" s="49">
        <v>2019</v>
      </c>
      <c r="J414" s="49">
        <v>2501</v>
      </c>
      <c r="K414" s="49">
        <v>3293</v>
      </c>
      <c r="L414" s="50">
        <v>3297</v>
      </c>
      <c r="M414" s="50">
        <v>3634</v>
      </c>
      <c r="N414" s="49">
        <v>3437</v>
      </c>
      <c r="O414" s="49">
        <v>3300</v>
      </c>
      <c r="P414" s="49">
        <v>3501</v>
      </c>
      <c r="Q414" s="49">
        <v>3745</v>
      </c>
      <c r="R414" s="49">
        <v>3206</v>
      </c>
      <c r="S414" s="49">
        <v>3111</v>
      </c>
      <c r="T414" s="49">
        <v>2629</v>
      </c>
      <c r="U414" s="49">
        <v>2939</v>
      </c>
      <c r="V414" s="49">
        <v>3130</v>
      </c>
      <c r="W414" s="52">
        <v>2680</v>
      </c>
      <c r="X414" s="13">
        <v>-6.4292560642925656E-2</v>
      </c>
      <c r="Y414" s="13">
        <v>-6.3509573713655398E-2</v>
      </c>
      <c r="Z414" s="13">
        <v>-6.394615061001252E-3</v>
      </c>
      <c r="AA414" s="13">
        <v>-3.6497586586501818E-2</v>
      </c>
    </row>
    <row r="415" spans="1:27" ht="15" x14ac:dyDescent="0.25">
      <c r="A415" s="4">
        <v>260129</v>
      </c>
      <c r="B415" s="20" t="s">
        <v>674</v>
      </c>
      <c r="C415" s="10" t="s">
        <v>23</v>
      </c>
      <c r="D415" s="10" t="s">
        <v>54</v>
      </c>
      <c r="E415" s="10" t="s">
        <v>59</v>
      </c>
      <c r="F415" s="38">
        <v>-3.9362380446333671</v>
      </c>
      <c r="G415" s="49">
        <v>54.68</v>
      </c>
      <c r="H415" s="49">
        <v>69.75</v>
      </c>
      <c r="I415" s="49">
        <v>78.430000000000007</v>
      </c>
      <c r="J415" s="49">
        <v>90.47</v>
      </c>
      <c r="K415" s="49">
        <v>72.849999999999994</v>
      </c>
      <c r="L415" s="49">
        <v>56.35</v>
      </c>
      <c r="M415" s="49">
        <v>55.93</v>
      </c>
      <c r="N415" s="49">
        <v>45.19</v>
      </c>
      <c r="O415" s="49">
        <v>38.9</v>
      </c>
      <c r="P415" s="49">
        <v>38.96</v>
      </c>
      <c r="Q415" s="49">
        <v>38.549999999999997</v>
      </c>
      <c r="R415" s="49">
        <v>49</v>
      </c>
      <c r="S415" s="50">
        <v>63.82</v>
      </c>
      <c r="T415" s="49">
        <v>49</v>
      </c>
      <c r="U415" s="50">
        <v>60.36</v>
      </c>
      <c r="V415" s="49">
        <v>62.07</v>
      </c>
      <c r="W415" s="52">
        <v>54.56</v>
      </c>
      <c r="X415" s="13">
        <v>5.2750485998003471E-2</v>
      </c>
      <c r="Y415" s="13">
        <v>0.10884863003443623</v>
      </c>
      <c r="Z415" s="13">
        <v>5.8826176973624911E-2</v>
      </c>
      <c r="AA415" s="13">
        <v>-3.9362380446333667E-2</v>
      </c>
    </row>
    <row r="416" spans="1:27" ht="15" x14ac:dyDescent="0.25">
      <c r="A416" s="4">
        <v>260129</v>
      </c>
      <c r="B416" s="20" t="s">
        <v>647</v>
      </c>
      <c r="C416" s="10" t="s">
        <v>23</v>
      </c>
      <c r="D416" s="10" t="s">
        <v>648</v>
      </c>
      <c r="E416" s="10" t="s">
        <v>25</v>
      </c>
      <c r="F416" s="38">
        <v>-4.0807265388496443</v>
      </c>
      <c r="G416" s="49">
        <v>248.6</v>
      </c>
      <c r="H416" s="49">
        <v>678.6</v>
      </c>
      <c r="I416" s="49">
        <v>410.7</v>
      </c>
      <c r="J416" s="49">
        <v>400.8</v>
      </c>
      <c r="K416" s="50">
        <v>506.1</v>
      </c>
      <c r="L416" s="49">
        <v>803.2</v>
      </c>
      <c r="M416" s="49">
        <v>415.8</v>
      </c>
      <c r="N416" s="49">
        <v>417.1</v>
      </c>
      <c r="O416" s="49">
        <v>331.1</v>
      </c>
      <c r="P416" s="49">
        <v>871.3</v>
      </c>
      <c r="Q416" s="49">
        <v>514.5</v>
      </c>
      <c r="R416" s="49">
        <v>492.6</v>
      </c>
      <c r="S416" s="49">
        <v>449.1</v>
      </c>
      <c r="T416" s="49">
        <v>957.6</v>
      </c>
      <c r="U416" s="49">
        <v>527.20000000000005</v>
      </c>
      <c r="V416" s="49">
        <v>543.6</v>
      </c>
      <c r="W416" s="52">
        <v>348</v>
      </c>
      <c r="X416" s="13">
        <v>3.7078410311493171E-2</v>
      </c>
      <c r="Y416" s="13">
        <v>5.2614135388184824E-3</v>
      </c>
      <c r="Z416" s="13">
        <v>2.1017927055429597E-2</v>
      </c>
      <c r="AA416" s="13">
        <v>-4.0807265388496439E-2</v>
      </c>
    </row>
    <row r="417" spans="1:27" ht="15" x14ac:dyDescent="0.25">
      <c r="A417" s="4">
        <v>260129</v>
      </c>
      <c r="B417" s="20" t="s">
        <v>717</v>
      </c>
      <c r="C417" s="10" t="s">
        <v>23</v>
      </c>
      <c r="D417" s="10" t="s">
        <v>131</v>
      </c>
      <c r="E417" s="10" t="s">
        <v>798</v>
      </c>
      <c r="F417" s="38">
        <v>-4.3201133144475934</v>
      </c>
      <c r="G417" s="49">
        <v>173</v>
      </c>
      <c r="H417" s="49">
        <v>633</v>
      </c>
      <c r="I417" s="49">
        <v>621</v>
      </c>
      <c r="J417" s="49">
        <v>563</v>
      </c>
      <c r="K417" s="50">
        <v>766</v>
      </c>
      <c r="L417" s="49">
        <v>533</v>
      </c>
      <c r="M417" s="49">
        <v>558</v>
      </c>
      <c r="N417" s="49">
        <v>646</v>
      </c>
      <c r="O417" s="49">
        <v>670</v>
      </c>
      <c r="P417" s="49">
        <v>625</v>
      </c>
      <c r="Q417" s="49">
        <v>640</v>
      </c>
      <c r="R417" s="49">
        <v>641</v>
      </c>
      <c r="S417" s="49">
        <v>732</v>
      </c>
      <c r="T417" s="49">
        <v>667</v>
      </c>
      <c r="U417" s="49">
        <v>696</v>
      </c>
      <c r="V417" s="49">
        <v>729</v>
      </c>
      <c r="W417" s="52">
        <v>610</v>
      </c>
      <c r="X417" s="13">
        <v>1.5921152388172821E-2</v>
      </c>
      <c r="Y417" s="13">
        <v>2.0895522388059806E-2</v>
      </c>
      <c r="Z417" s="13">
        <v>3.2163742690058506E-2</v>
      </c>
      <c r="AA417" s="13">
        <v>-4.3201133144475934E-2</v>
      </c>
    </row>
    <row r="418" spans="1:27" ht="15" x14ac:dyDescent="0.25">
      <c r="A418" s="4">
        <v>260129</v>
      </c>
      <c r="B418" s="20" t="s">
        <v>731</v>
      </c>
      <c r="C418" s="10" t="s">
        <v>23</v>
      </c>
      <c r="D418" s="10" t="s">
        <v>48</v>
      </c>
      <c r="E418" s="10" t="s">
        <v>799</v>
      </c>
      <c r="F418" s="38">
        <v>-4.4540486480694419</v>
      </c>
      <c r="G418" s="49">
        <v>90.49</v>
      </c>
      <c r="H418" s="49">
        <v>48.55</v>
      </c>
      <c r="I418" s="49">
        <v>46.54</v>
      </c>
      <c r="J418" s="49">
        <v>31.69</v>
      </c>
      <c r="K418" s="49">
        <v>93.84</v>
      </c>
      <c r="L418" s="50">
        <v>109.26</v>
      </c>
      <c r="M418" s="49">
        <v>32.61</v>
      </c>
      <c r="N418" s="49">
        <v>27.1</v>
      </c>
      <c r="O418" s="49">
        <v>72.31</v>
      </c>
      <c r="P418" s="49">
        <v>106.47</v>
      </c>
      <c r="Q418" s="49">
        <v>40.86</v>
      </c>
      <c r="R418" s="49">
        <v>45.06</v>
      </c>
      <c r="S418" s="49">
        <v>85.1</v>
      </c>
      <c r="T418" s="49">
        <v>111.97</v>
      </c>
      <c r="U418" s="49">
        <v>47.09</v>
      </c>
      <c r="V418" s="49">
        <v>35.81</v>
      </c>
      <c r="W418" s="52">
        <v>72.63</v>
      </c>
      <c r="X418" s="13">
        <v>1.9820534073299978E-2</v>
      </c>
      <c r="Y418" s="13">
        <v>2.201491218770979E-2</v>
      </c>
      <c r="Z418" s="13">
        <v>-3.1982573819237969E-2</v>
      </c>
      <c r="AA418" s="13">
        <v>-4.4540486480694419E-2</v>
      </c>
    </row>
    <row r="419" spans="1:27" ht="15" x14ac:dyDescent="0.25">
      <c r="A419" s="4">
        <v>260129</v>
      </c>
      <c r="B419" s="20" t="s">
        <v>708</v>
      </c>
      <c r="C419" s="10" t="s">
        <v>23</v>
      </c>
      <c r="D419" s="10" t="s">
        <v>698</v>
      </c>
      <c r="E419" s="10" t="s">
        <v>25</v>
      </c>
      <c r="F419" s="38">
        <v>-4.463276836158192</v>
      </c>
      <c r="G419" s="49">
        <v>177</v>
      </c>
      <c r="H419" s="49">
        <v>194.1</v>
      </c>
      <c r="I419" s="49">
        <v>174.6</v>
      </c>
      <c r="J419" s="49">
        <v>145.4</v>
      </c>
      <c r="K419" s="49">
        <v>143.6</v>
      </c>
      <c r="L419" s="49">
        <v>114.6</v>
      </c>
      <c r="M419" s="49">
        <v>103.8</v>
      </c>
      <c r="N419" s="49">
        <v>46.7</v>
      </c>
      <c r="O419" s="49">
        <v>32.200000000000003</v>
      </c>
      <c r="P419" s="49">
        <v>28.7</v>
      </c>
      <c r="Q419" s="49">
        <v>51</v>
      </c>
      <c r="R419" s="49">
        <v>43.1</v>
      </c>
      <c r="S419" s="49">
        <v>44.4</v>
      </c>
      <c r="T419" s="49">
        <v>42.3</v>
      </c>
      <c r="U419" s="49">
        <v>55</v>
      </c>
      <c r="V419" s="49">
        <v>35.299999999999997</v>
      </c>
      <c r="W419" s="52">
        <v>36.5</v>
      </c>
      <c r="X419" s="13">
        <v>8.1339712918660156E-2</v>
      </c>
      <c r="Y419" s="13">
        <v>2.2123893805309658E-2</v>
      </c>
      <c r="Z419" s="13">
        <v>-4.220779220779225E-2</v>
      </c>
      <c r="AA419" s="13">
        <v>-4.463276836158192E-2</v>
      </c>
    </row>
    <row r="420" spans="1:27" ht="15" x14ac:dyDescent="0.25">
      <c r="A420" s="4">
        <v>260129</v>
      </c>
      <c r="B420" s="20" t="s">
        <v>732</v>
      </c>
      <c r="C420" s="10" t="s">
        <v>23</v>
      </c>
      <c r="D420" s="10" t="s">
        <v>93</v>
      </c>
      <c r="E420" s="10" t="s">
        <v>25</v>
      </c>
      <c r="F420" s="38">
        <v>-5.275954291271578</v>
      </c>
      <c r="G420" s="49">
        <v>1813</v>
      </c>
      <c r="H420" s="49">
        <v>1566</v>
      </c>
      <c r="I420" s="49">
        <v>1894</v>
      </c>
      <c r="J420" s="49">
        <v>2031</v>
      </c>
      <c r="K420" s="49">
        <v>1579</v>
      </c>
      <c r="L420" s="49">
        <v>1844</v>
      </c>
      <c r="M420" s="49">
        <v>2036</v>
      </c>
      <c r="N420" s="49">
        <v>2080</v>
      </c>
      <c r="O420" s="49">
        <v>1594</v>
      </c>
      <c r="P420" s="49">
        <v>2045</v>
      </c>
      <c r="Q420" s="49">
        <v>2138</v>
      </c>
      <c r="R420" s="49">
        <v>2147</v>
      </c>
      <c r="S420" s="49">
        <v>1938</v>
      </c>
      <c r="T420" s="49">
        <v>2144</v>
      </c>
      <c r="U420" s="49">
        <v>2218</v>
      </c>
      <c r="V420" s="49">
        <v>1926</v>
      </c>
      <c r="W420" s="52">
        <v>1504</v>
      </c>
      <c r="X420" s="13">
        <v>1.1973875181422455E-2</v>
      </c>
      <c r="Y420" s="13">
        <v>9.5613720568901162E-3</v>
      </c>
      <c r="Z420" s="13">
        <v>-2.6163134840771818E-2</v>
      </c>
      <c r="AA420" s="13">
        <v>-5.2759542912715784E-2</v>
      </c>
    </row>
    <row r="421" spans="1:27" ht="15" x14ac:dyDescent="0.25">
      <c r="A421" s="4">
        <v>260129</v>
      </c>
      <c r="B421" s="20" t="s">
        <v>719</v>
      </c>
      <c r="C421" s="10" t="s">
        <v>23</v>
      </c>
      <c r="D421" s="10" t="s">
        <v>99</v>
      </c>
      <c r="E421" s="10" t="s">
        <v>25</v>
      </c>
      <c r="F421" s="38">
        <v>-5.8021612635078874</v>
      </c>
      <c r="G421" s="49">
        <v>311.89999999999998</v>
      </c>
      <c r="H421" s="49">
        <v>284.5</v>
      </c>
      <c r="I421" s="49">
        <v>154.1</v>
      </c>
      <c r="J421" s="49">
        <v>122.1</v>
      </c>
      <c r="K421" s="49">
        <v>151</v>
      </c>
      <c r="L421" s="49">
        <v>126.8</v>
      </c>
      <c r="M421" s="49">
        <v>27.9</v>
      </c>
      <c r="N421" s="49">
        <v>96.5</v>
      </c>
      <c r="O421" s="49">
        <v>118.2</v>
      </c>
      <c r="P421" s="49">
        <v>86.4</v>
      </c>
      <c r="Q421" s="49">
        <v>-31.6</v>
      </c>
      <c r="R421" s="49">
        <v>106.5</v>
      </c>
      <c r="S421" s="50">
        <v>191.9</v>
      </c>
      <c r="T421" s="50">
        <v>142.9</v>
      </c>
      <c r="U421" s="50">
        <v>117.8</v>
      </c>
      <c r="V421" s="49">
        <v>148.9</v>
      </c>
      <c r="W421" s="52">
        <v>157</v>
      </c>
      <c r="X421" s="13">
        <v>0.15996602491506229</v>
      </c>
      <c r="Y421" s="13">
        <v>0.36465706614596005</v>
      </c>
      <c r="Z421" s="13">
        <v>7.583616526560566E-2</v>
      </c>
      <c r="AA421" s="13">
        <v>-5.8021612635078879E-2</v>
      </c>
    </row>
    <row r="422" spans="1:27" ht="15" x14ac:dyDescent="0.25">
      <c r="A422" s="4">
        <v>260129</v>
      </c>
      <c r="B422" s="20" t="s">
        <v>720</v>
      </c>
      <c r="C422" s="10" t="s">
        <v>23</v>
      </c>
      <c r="D422" s="10" t="s">
        <v>141</v>
      </c>
      <c r="E422" s="10" t="s">
        <v>25</v>
      </c>
      <c r="F422" s="38">
        <v>-6.7834782217017224</v>
      </c>
      <c r="G422" s="49">
        <v>4821</v>
      </c>
      <c r="H422" s="49">
        <v>5570</v>
      </c>
      <c r="I422" s="49">
        <v>6367</v>
      </c>
      <c r="J422" s="49">
        <v>6157</v>
      </c>
      <c r="K422" s="49">
        <v>4530</v>
      </c>
      <c r="L422" s="49">
        <v>5646</v>
      </c>
      <c r="M422" s="49">
        <v>6709</v>
      </c>
      <c r="N422" s="49">
        <v>6475</v>
      </c>
      <c r="O422" s="49">
        <v>4484</v>
      </c>
      <c r="P422" s="49">
        <v>5809</v>
      </c>
      <c r="Q422" s="49">
        <v>6635</v>
      </c>
      <c r="R422" s="49">
        <v>5859</v>
      </c>
      <c r="S422" s="49">
        <v>4994</v>
      </c>
      <c r="T422" s="49">
        <v>5681</v>
      </c>
      <c r="U422" s="49">
        <v>5993</v>
      </c>
      <c r="V422" s="49">
        <v>5533</v>
      </c>
      <c r="W422" s="52">
        <v>3488</v>
      </c>
      <c r="X422" s="13">
        <v>-5.4942696484525655E-3</v>
      </c>
      <c r="Y422" s="13">
        <v>-2.7709439337045172E-2</v>
      </c>
      <c r="Z422" s="13">
        <v>-1.4471523061215463E-2</v>
      </c>
      <c r="AA422" s="13">
        <v>-6.783478221701722E-2</v>
      </c>
    </row>
    <row r="423" spans="1:27" ht="15" x14ac:dyDescent="0.25">
      <c r="A423" s="4">
        <v>260129</v>
      </c>
      <c r="B423" s="20" t="s">
        <v>669</v>
      </c>
      <c r="C423" s="10" t="s">
        <v>23</v>
      </c>
      <c r="D423" s="10" t="s">
        <v>95</v>
      </c>
      <c r="E423" s="10" t="s">
        <v>25</v>
      </c>
      <c r="F423" s="38">
        <v>-7.0019545388736004</v>
      </c>
      <c r="G423" s="49">
        <v>89.28</v>
      </c>
      <c r="H423" s="49">
        <v>83.95</v>
      </c>
      <c r="I423" s="49">
        <v>92.32</v>
      </c>
      <c r="J423" s="49">
        <v>96.78</v>
      </c>
      <c r="K423" s="49">
        <v>110.67</v>
      </c>
      <c r="L423" s="49">
        <v>85.17</v>
      </c>
      <c r="M423" s="49">
        <v>98.39</v>
      </c>
      <c r="N423" s="49">
        <v>101.42</v>
      </c>
      <c r="O423" s="49">
        <v>99.17</v>
      </c>
      <c r="P423" s="49">
        <v>98.58</v>
      </c>
      <c r="Q423" s="49">
        <v>107.05</v>
      </c>
      <c r="R423" s="49">
        <v>111.74</v>
      </c>
      <c r="S423" s="50">
        <v>174.26</v>
      </c>
      <c r="T423" s="49">
        <v>131.77000000000001</v>
      </c>
      <c r="U423" s="49">
        <v>117.08</v>
      </c>
      <c r="V423" s="49">
        <v>129.44999999999999</v>
      </c>
      <c r="W423" s="52">
        <v>135.57</v>
      </c>
      <c r="X423" s="13">
        <v>6.7510119398734636E-2</v>
      </c>
      <c r="Y423" s="13">
        <v>1.9111314355398257E-2</v>
      </c>
      <c r="Z423" s="13">
        <v>3.3112087501168341E-2</v>
      </c>
      <c r="AA423" s="13">
        <v>-7.0019545388736004E-2</v>
      </c>
    </row>
    <row r="424" spans="1:27" ht="15" x14ac:dyDescent="0.25">
      <c r="A424" s="4">
        <v>260129</v>
      </c>
      <c r="B424" s="20" t="s">
        <v>662</v>
      </c>
      <c r="C424" s="10" t="s">
        <v>23</v>
      </c>
      <c r="D424" s="10" t="s">
        <v>153</v>
      </c>
      <c r="E424" s="10" t="s">
        <v>25</v>
      </c>
      <c r="F424" s="38">
        <v>-7.0523648648648578</v>
      </c>
      <c r="G424" s="49">
        <v>13.43</v>
      </c>
      <c r="H424" s="49">
        <v>29.65</v>
      </c>
      <c r="I424" s="49">
        <v>40.869999999999997</v>
      </c>
      <c r="J424" s="49">
        <v>35.32</v>
      </c>
      <c r="K424" s="49">
        <v>23.11</v>
      </c>
      <c r="L424" s="49">
        <v>39.67</v>
      </c>
      <c r="M424" s="49">
        <v>45.21</v>
      </c>
      <c r="N424" s="49">
        <v>41.99</v>
      </c>
      <c r="O424" s="49">
        <v>27.58</v>
      </c>
      <c r="P424" s="49">
        <v>46.47</v>
      </c>
      <c r="Q424" s="49">
        <v>55.06</v>
      </c>
      <c r="R424" s="49">
        <v>51.55</v>
      </c>
      <c r="S424" s="49">
        <v>30.7</v>
      </c>
      <c r="T424" s="49">
        <v>46.88</v>
      </c>
      <c r="U424" s="49">
        <v>54.88</v>
      </c>
      <c r="V424" s="49">
        <v>56.98</v>
      </c>
      <c r="W424" s="52">
        <v>17.34</v>
      </c>
      <c r="X424" s="13">
        <v>2.230928283817768E-3</v>
      </c>
      <c r="Y424" s="13">
        <v>-9.7725175090945804E-4</v>
      </c>
      <c r="Z424" s="13">
        <v>2.9509265800771844E-2</v>
      </c>
      <c r="AA424" s="13">
        <v>-7.0523648648648574E-2</v>
      </c>
    </row>
    <row r="425" spans="1:27" ht="15" x14ac:dyDescent="0.25">
      <c r="A425" s="4">
        <v>260129</v>
      </c>
      <c r="B425" s="20" t="s">
        <v>695</v>
      </c>
      <c r="C425" s="10" t="s">
        <v>23</v>
      </c>
      <c r="D425" s="10" t="s">
        <v>696</v>
      </c>
      <c r="E425" s="10" t="s">
        <v>25</v>
      </c>
      <c r="F425" s="38">
        <v>-11.0175157106565</v>
      </c>
      <c r="G425" s="49">
        <v>47.31</v>
      </c>
      <c r="H425" s="49">
        <v>71.78</v>
      </c>
      <c r="I425" s="49">
        <v>95.3</v>
      </c>
      <c r="J425" s="49">
        <v>56.34</v>
      </c>
      <c r="K425" s="49">
        <v>37.549999999999997</v>
      </c>
      <c r="L425" s="49">
        <v>55.41</v>
      </c>
      <c r="M425" s="49">
        <v>74.58</v>
      </c>
      <c r="N425" s="49">
        <v>33.25</v>
      </c>
      <c r="O425" s="49">
        <v>19.22</v>
      </c>
      <c r="P425" s="49">
        <v>21.4</v>
      </c>
      <c r="Q425" s="49">
        <v>61.03</v>
      </c>
      <c r="R425" s="49">
        <v>21.38</v>
      </c>
      <c r="S425" s="49">
        <v>13.16</v>
      </c>
      <c r="T425" s="49">
        <v>22.74</v>
      </c>
      <c r="U425" s="49">
        <v>27.52</v>
      </c>
      <c r="V425" s="49">
        <v>11.37</v>
      </c>
      <c r="W425" s="52">
        <v>4.92</v>
      </c>
      <c r="X425" s="13">
        <v>1.1455928870650611E-2</v>
      </c>
      <c r="Y425" s="13">
        <v>-0.28323894852506126</v>
      </c>
      <c r="Z425" s="13">
        <v>-0.11804245283018855</v>
      </c>
      <c r="AA425" s="13">
        <v>-0.11017515710656511</v>
      </c>
    </row>
    <row r="426" spans="1:27" ht="15" x14ac:dyDescent="0.25">
      <c r="A426" s="4">
        <v>260129</v>
      </c>
      <c r="B426" s="20" t="s">
        <v>735</v>
      </c>
      <c r="C426" s="10" t="s">
        <v>23</v>
      </c>
      <c r="D426" s="10" t="s">
        <v>54</v>
      </c>
      <c r="E426" s="10" t="s">
        <v>25</v>
      </c>
      <c r="F426" s="38">
        <v>-11.897885492841461</v>
      </c>
      <c r="G426" s="49">
        <v>849.54</v>
      </c>
      <c r="H426" s="49">
        <v>601.88</v>
      </c>
      <c r="I426" s="49">
        <v>868.13</v>
      </c>
      <c r="J426" s="49">
        <v>834.99</v>
      </c>
      <c r="K426" s="49">
        <v>1082</v>
      </c>
      <c r="L426" s="49">
        <v>697.79</v>
      </c>
      <c r="M426" s="49">
        <v>939.54</v>
      </c>
      <c r="N426" s="49">
        <v>827.99</v>
      </c>
      <c r="O426" s="49">
        <v>940.19</v>
      </c>
      <c r="P426" s="49">
        <v>814.06</v>
      </c>
      <c r="Q426" s="49">
        <v>1033</v>
      </c>
      <c r="R426" s="49">
        <v>893.99</v>
      </c>
      <c r="S426" s="49">
        <v>1158</v>
      </c>
      <c r="T426" s="49">
        <v>674.27</v>
      </c>
      <c r="U426" s="49">
        <v>807.75</v>
      </c>
      <c r="V426" s="49">
        <v>763.61</v>
      </c>
      <c r="W426" s="52">
        <v>753.04</v>
      </c>
      <c r="X426" s="13">
        <v>-3.5852323001756892E-2</v>
      </c>
      <c r="Y426" s="13">
        <v>-5.9918707405180793E-2</v>
      </c>
      <c r="Z426" s="13">
        <v>-3.6892934654966902E-2</v>
      </c>
      <c r="AA426" s="13">
        <v>-0.11897885492841465</v>
      </c>
    </row>
    <row r="427" spans="1:27" ht="15" x14ac:dyDescent="0.25">
      <c r="A427" s="4">
        <v>260129</v>
      </c>
      <c r="B427" s="20" t="s">
        <v>643</v>
      </c>
      <c r="C427" s="10" t="s">
        <v>23</v>
      </c>
      <c r="D427" s="10" t="s">
        <v>182</v>
      </c>
      <c r="E427" s="10" t="s">
        <v>25</v>
      </c>
      <c r="F427" s="38">
        <v>-16.848355933705569</v>
      </c>
      <c r="G427" s="49">
        <v>-19.510000000000002</v>
      </c>
      <c r="H427" s="49">
        <v>18.059999999999999</v>
      </c>
      <c r="I427" s="49">
        <v>-39.869999999999997</v>
      </c>
      <c r="J427" s="49">
        <v>90.38</v>
      </c>
      <c r="K427" s="50">
        <v>-5.48</v>
      </c>
      <c r="L427" s="50">
        <v>38.799999999999997</v>
      </c>
      <c r="M427" s="50">
        <v>46.85</v>
      </c>
      <c r="N427" s="50">
        <v>118.42</v>
      </c>
      <c r="O427" s="50">
        <v>40.32</v>
      </c>
      <c r="P427" s="49">
        <v>32.380000000000003</v>
      </c>
      <c r="Q427" s="49">
        <v>28.61</v>
      </c>
      <c r="R427" s="49">
        <v>26.53</v>
      </c>
      <c r="S427" s="50">
        <v>55.12</v>
      </c>
      <c r="T427" s="49">
        <v>-6.3</v>
      </c>
      <c r="U427" s="49">
        <v>17.010000000000002</v>
      </c>
      <c r="V427" s="50">
        <v>47</v>
      </c>
      <c r="W427" s="52">
        <v>36.11</v>
      </c>
      <c r="X427" s="13">
        <v>-0.27117218171620872</v>
      </c>
      <c r="Y427" s="13">
        <v>-0.11158137745286634</v>
      </c>
      <c r="Z427" s="13">
        <v>0.22163274144651335</v>
      </c>
      <c r="AA427" s="13">
        <v>-0.16848355933705583</v>
      </c>
    </row>
    <row r="428" spans="1:27" ht="15" x14ac:dyDescent="0.25">
      <c r="A428" s="4">
        <v>260129</v>
      </c>
      <c r="B428" s="20" t="s">
        <v>652</v>
      </c>
      <c r="C428" s="10" t="s">
        <v>23</v>
      </c>
      <c r="D428" s="10" t="s">
        <v>29</v>
      </c>
      <c r="E428" s="10" t="s">
        <v>25</v>
      </c>
      <c r="F428" s="38">
        <v>-17.283236994219649</v>
      </c>
      <c r="G428" s="49">
        <v>32.35</v>
      </c>
      <c r="H428" s="49">
        <v>43.1</v>
      </c>
      <c r="I428" s="49">
        <v>46.23</v>
      </c>
      <c r="J428" s="49">
        <v>39.54</v>
      </c>
      <c r="K428" s="49">
        <v>20.95</v>
      </c>
      <c r="L428" s="49">
        <v>10.7</v>
      </c>
      <c r="M428" s="49">
        <v>-212.59</v>
      </c>
      <c r="N428" s="50">
        <v>1.58</v>
      </c>
      <c r="O428" s="50">
        <v>0.25</v>
      </c>
      <c r="P428" s="49">
        <v>-0.12</v>
      </c>
      <c r="Q428" s="49">
        <v>2.66</v>
      </c>
      <c r="R428" s="49">
        <v>-116.97</v>
      </c>
      <c r="S428" s="50">
        <v>-22.96</v>
      </c>
      <c r="T428" s="49">
        <v>6.26</v>
      </c>
      <c r="U428" s="50">
        <v>-10.87</v>
      </c>
      <c r="V428" s="49">
        <v>-58.93</v>
      </c>
      <c r="W428" s="52">
        <v>-8.01</v>
      </c>
      <c r="X428" s="13">
        <v>-4.6437149719775639E-2</v>
      </c>
      <c r="Y428" s="13">
        <v>0.10327455919395456</v>
      </c>
      <c r="Z428" s="13">
        <v>-0.40154974401549748</v>
      </c>
      <c r="AA428" s="13">
        <v>-0.17283236994219653</v>
      </c>
    </row>
    <row r="429" spans="1:27" ht="15" x14ac:dyDescent="0.25">
      <c r="A429" s="4">
        <v>260129</v>
      </c>
      <c r="B429" s="20" t="s">
        <v>645</v>
      </c>
      <c r="C429" s="10" t="s">
        <v>23</v>
      </c>
      <c r="D429" s="10" t="s">
        <v>445</v>
      </c>
      <c r="E429" s="10" t="s">
        <v>25</v>
      </c>
      <c r="F429" s="38">
        <v>-18.363766844749222</v>
      </c>
      <c r="G429" s="49">
        <v>29.34</v>
      </c>
      <c r="H429" s="49">
        <v>48.13</v>
      </c>
      <c r="I429" s="49">
        <v>39.47</v>
      </c>
      <c r="J429" s="49">
        <v>52.58</v>
      </c>
      <c r="K429" s="49">
        <v>45.14</v>
      </c>
      <c r="L429" s="49">
        <v>34.36</v>
      </c>
      <c r="M429" s="49">
        <v>-1.5</v>
      </c>
      <c r="N429" s="49">
        <v>-18.760000000000002</v>
      </c>
      <c r="O429" s="49">
        <v>-30.1</v>
      </c>
      <c r="P429" s="50">
        <v>-51.99</v>
      </c>
      <c r="Q429" s="50">
        <v>-39.96</v>
      </c>
      <c r="R429" s="50">
        <v>-38.68</v>
      </c>
      <c r="S429" s="49">
        <v>-38.119999999999997</v>
      </c>
      <c r="T429" s="49">
        <v>-38.22</v>
      </c>
      <c r="U429" s="49">
        <v>-19.04</v>
      </c>
      <c r="V429" s="49">
        <v>-30.03</v>
      </c>
      <c r="W429" s="52">
        <v>-15.09</v>
      </c>
      <c r="X429" s="13">
        <v>-8.1600000000000006E-2</v>
      </c>
      <c r="Y429" s="13">
        <v>-0.13498515937540323</v>
      </c>
      <c r="Z429" s="13">
        <v>-6.4523347754736782E-2</v>
      </c>
      <c r="AA429" s="13">
        <v>-0.18363766844749219</v>
      </c>
    </row>
    <row r="430" spans="1:27" ht="15" x14ac:dyDescent="0.25">
      <c r="A430" s="4">
        <v>260129</v>
      </c>
      <c r="B430" s="20" t="s">
        <v>649</v>
      </c>
      <c r="C430" s="10" t="s">
        <v>23</v>
      </c>
      <c r="D430" s="10" t="s">
        <v>443</v>
      </c>
      <c r="E430" s="10" t="s">
        <v>25</v>
      </c>
      <c r="F430" s="38">
        <v>-18.71101871101871</v>
      </c>
      <c r="G430" s="49">
        <v>418</v>
      </c>
      <c r="H430" s="49">
        <v>385</v>
      </c>
      <c r="I430" s="49">
        <v>585</v>
      </c>
      <c r="J430" s="49">
        <v>513</v>
      </c>
      <c r="K430" s="49">
        <v>463</v>
      </c>
      <c r="L430" s="49">
        <v>283</v>
      </c>
      <c r="M430" s="49">
        <v>314</v>
      </c>
      <c r="N430" s="49">
        <v>319</v>
      </c>
      <c r="O430" s="49">
        <v>283</v>
      </c>
      <c r="P430" s="49">
        <v>154</v>
      </c>
      <c r="Q430" s="49">
        <v>0</v>
      </c>
      <c r="R430" s="49">
        <v>119</v>
      </c>
      <c r="S430" s="49">
        <v>338</v>
      </c>
      <c r="T430" s="49">
        <v>159</v>
      </c>
      <c r="U430" s="49">
        <v>0</v>
      </c>
      <c r="V430" s="50">
        <v>465</v>
      </c>
      <c r="W430" s="52">
        <v>158</v>
      </c>
      <c r="X430" s="13">
        <v>8.1833060556464332E-3</v>
      </c>
      <c r="Y430" s="13">
        <v>0</v>
      </c>
      <c r="Z430" s="13">
        <v>0.56168831168831179</v>
      </c>
      <c r="AA430" s="13">
        <v>-0.18711018711018712</v>
      </c>
    </row>
    <row r="431" spans="1:27" ht="15" x14ac:dyDescent="0.25">
      <c r="A431" s="4">
        <v>260129</v>
      </c>
      <c r="B431" s="20" t="s">
        <v>739</v>
      </c>
      <c r="C431" s="10" t="s">
        <v>23</v>
      </c>
      <c r="D431" s="10" t="s">
        <v>41</v>
      </c>
      <c r="E431" s="10" t="s">
        <v>25</v>
      </c>
      <c r="F431" s="38">
        <v>-18.8135593220339</v>
      </c>
      <c r="G431" s="49">
        <v>587</v>
      </c>
      <c r="H431" s="49">
        <v>345</v>
      </c>
      <c r="I431" s="49">
        <v>469</v>
      </c>
      <c r="J431" s="49">
        <v>330</v>
      </c>
      <c r="K431" s="49">
        <v>143</v>
      </c>
      <c r="L431" s="49">
        <v>294</v>
      </c>
      <c r="M431" s="49">
        <v>342</v>
      </c>
      <c r="N431" s="49">
        <v>266</v>
      </c>
      <c r="O431" s="49">
        <v>167</v>
      </c>
      <c r="P431" s="49">
        <v>287</v>
      </c>
      <c r="Q431" s="49">
        <v>363</v>
      </c>
      <c r="R431" s="49">
        <v>369</v>
      </c>
      <c r="S431" s="50">
        <v>364</v>
      </c>
      <c r="T431" s="49">
        <v>319</v>
      </c>
      <c r="U431" s="49">
        <v>284</v>
      </c>
      <c r="V431" s="49">
        <v>213</v>
      </c>
      <c r="W431" s="52">
        <v>142</v>
      </c>
      <c r="X431" s="13">
        <v>2.3138105567606759E-2</v>
      </c>
      <c r="Y431" s="13">
        <v>-5.5830388692579502E-2</v>
      </c>
      <c r="Z431" s="13">
        <v>-0.11676646706586824</v>
      </c>
      <c r="AA431" s="13">
        <v>-0.18813559322033901</v>
      </c>
    </row>
    <row r="432" spans="1:27" ht="15" x14ac:dyDescent="0.25">
      <c r="A432" s="4">
        <v>260129</v>
      </c>
      <c r="B432" s="20" t="s">
        <v>734</v>
      </c>
      <c r="C432" s="10" t="s">
        <v>23</v>
      </c>
      <c r="D432" s="10" t="s">
        <v>691</v>
      </c>
      <c r="E432" s="10" t="s">
        <v>25</v>
      </c>
      <c r="F432" s="38">
        <v>-31.01564806613521</v>
      </c>
      <c r="G432" s="49">
        <v>199.05</v>
      </c>
      <c r="H432" s="49">
        <v>257.24</v>
      </c>
      <c r="I432" s="49">
        <v>305.74</v>
      </c>
      <c r="J432" s="49">
        <v>238.61</v>
      </c>
      <c r="K432" s="49">
        <v>173.5</v>
      </c>
      <c r="L432" s="49">
        <v>136.78</v>
      </c>
      <c r="M432" s="49">
        <v>117.54</v>
      </c>
      <c r="N432" s="49">
        <v>143.49</v>
      </c>
      <c r="O432" s="49">
        <v>66.78</v>
      </c>
      <c r="P432" s="49">
        <v>40.9</v>
      </c>
      <c r="Q432" s="49">
        <v>75.540000000000006</v>
      </c>
      <c r="R432" s="49">
        <v>60.57</v>
      </c>
      <c r="S432" s="49">
        <v>64.47</v>
      </c>
      <c r="T432" s="49">
        <v>55.88</v>
      </c>
      <c r="U432" s="49">
        <v>1.54</v>
      </c>
      <c r="V432" s="49">
        <v>13.59</v>
      </c>
      <c r="W432" s="52">
        <v>22.45</v>
      </c>
      <c r="X432" s="13">
        <v>6.2034122908729783E-2</v>
      </c>
      <c r="Y432" s="13">
        <v>-0.28854402245964306</v>
      </c>
      <c r="Z432" s="13">
        <v>-0.25748109174613609</v>
      </c>
      <c r="AA432" s="13">
        <v>-0.31015648066135215</v>
      </c>
    </row>
    <row r="433" spans="1:27" ht="15" x14ac:dyDescent="0.25">
      <c r="A433" s="4">
        <v>260129</v>
      </c>
      <c r="B433" s="20" t="s">
        <v>725</v>
      </c>
      <c r="C433" s="10" t="s">
        <v>23</v>
      </c>
      <c r="D433" s="10" t="s">
        <v>726</v>
      </c>
      <c r="E433" s="10" t="s">
        <v>25</v>
      </c>
      <c r="F433" s="38">
        <v>-47.498045347928063</v>
      </c>
      <c r="G433" s="49">
        <v>536.6</v>
      </c>
      <c r="H433" s="49">
        <v>559.20000000000005</v>
      </c>
      <c r="I433" s="49">
        <v>578.5</v>
      </c>
      <c r="J433" s="49">
        <v>398</v>
      </c>
      <c r="K433" s="49">
        <v>277.7</v>
      </c>
      <c r="L433" s="49">
        <v>297</v>
      </c>
      <c r="M433" s="49">
        <v>214.3</v>
      </c>
      <c r="N433" s="49">
        <v>183.8</v>
      </c>
      <c r="O433" s="49">
        <v>81.599999999999994</v>
      </c>
      <c r="P433" s="49">
        <v>112.4</v>
      </c>
      <c r="Q433" s="49">
        <v>149.1</v>
      </c>
      <c r="R433" s="49">
        <v>30.1</v>
      </c>
      <c r="S433" s="49">
        <v>64.2</v>
      </c>
      <c r="T433" s="49">
        <v>53.4</v>
      </c>
      <c r="U433" s="49">
        <v>47.6</v>
      </c>
      <c r="V433" s="50">
        <v>90.6</v>
      </c>
      <c r="W433" s="52">
        <v>-57.3</v>
      </c>
      <c r="X433" s="13">
        <v>-0.16582349634626214</v>
      </c>
      <c r="Y433" s="13">
        <v>-0.34198113207547154</v>
      </c>
      <c r="Z433" s="13">
        <v>0.309779825908858</v>
      </c>
      <c r="AA433" s="13">
        <v>-0.47498045347928064</v>
      </c>
    </row>
    <row r="434" spans="1:27" ht="15" x14ac:dyDescent="0.25">
      <c r="A434" s="4">
        <v>260129</v>
      </c>
      <c r="B434" s="20" t="s">
        <v>736</v>
      </c>
      <c r="C434" s="10" t="s">
        <v>23</v>
      </c>
      <c r="D434" s="10" t="s">
        <v>726</v>
      </c>
      <c r="E434" s="10" t="s">
        <v>25</v>
      </c>
      <c r="F434" s="38">
        <v>-57.859078590785913</v>
      </c>
      <c r="G434" s="49">
        <v>1817</v>
      </c>
      <c r="H434" s="49">
        <v>2147</v>
      </c>
      <c r="I434" s="49">
        <v>2117</v>
      </c>
      <c r="J434" s="49">
        <v>1193</v>
      </c>
      <c r="K434" s="49">
        <v>475</v>
      </c>
      <c r="L434" s="49">
        <v>772</v>
      </c>
      <c r="M434" s="49">
        <v>948</v>
      </c>
      <c r="N434" s="49">
        <v>577</v>
      </c>
      <c r="O434" s="49">
        <v>342</v>
      </c>
      <c r="P434" s="49">
        <v>611</v>
      </c>
      <c r="Q434" s="49">
        <v>722</v>
      </c>
      <c r="R434" s="49">
        <v>451</v>
      </c>
      <c r="S434" s="49">
        <v>460</v>
      </c>
      <c r="T434" s="49">
        <v>67</v>
      </c>
      <c r="U434" s="49">
        <v>21</v>
      </c>
      <c r="V434" s="49">
        <v>190</v>
      </c>
      <c r="W434" s="52">
        <v>33</v>
      </c>
      <c r="X434" s="13">
        <v>-0.24242424242424243</v>
      </c>
      <c r="Y434" s="13">
        <v>-0.41235294117647059</v>
      </c>
      <c r="Z434" s="13">
        <v>-0.26126126126126126</v>
      </c>
      <c r="AA434" s="13">
        <v>-0.57859078590785906</v>
      </c>
    </row>
    <row r="435" spans="1:27" ht="15" x14ac:dyDescent="0.25">
      <c r="A435" s="4">
        <v>260129</v>
      </c>
      <c r="B435" s="20" t="s">
        <v>737</v>
      </c>
      <c r="C435" s="10" t="s">
        <v>23</v>
      </c>
      <c r="D435" s="10" t="s">
        <v>738</v>
      </c>
      <c r="E435" s="10" t="s">
        <v>25</v>
      </c>
      <c r="F435" s="38">
        <v>-62.3046875</v>
      </c>
      <c r="G435" s="49">
        <v>544</v>
      </c>
      <c r="H435" s="49">
        <v>1332</v>
      </c>
      <c r="I435" s="49">
        <v>1037</v>
      </c>
      <c r="J435" s="49">
        <v>439</v>
      </c>
      <c r="K435" s="49">
        <v>238</v>
      </c>
      <c r="L435" s="49">
        <v>228</v>
      </c>
      <c r="M435" s="49">
        <v>316</v>
      </c>
      <c r="N435" s="49">
        <v>350</v>
      </c>
      <c r="O435" s="49">
        <v>179</v>
      </c>
      <c r="P435" s="49">
        <v>191</v>
      </c>
      <c r="Q435" s="49">
        <v>248</v>
      </c>
      <c r="R435" s="49">
        <v>90</v>
      </c>
      <c r="S435" s="49">
        <v>141</v>
      </c>
      <c r="T435" s="49">
        <v>162</v>
      </c>
      <c r="U435" s="49">
        <v>160</v>
      </c>
      <c r="V435" s="49">
        <v>49</v>
      </c>
      <c r="W435" s="52">
        <v>-178</v>
      </c>
      <c r="X435" s="13">
        <v>-4.3283582089552186E-2</v>
      </c>
      <c r="Y435" s="13">
        <v>-0.13728549141965674</v>
      </c>
      <c r="Z435" s="13">
        <v>-7.4141048824593159E-2</v>
      </c>
      <c r="AA435" s="13">
        <v>-0.623046875</v>
      </c>
    </row>
    <row r="436" spans="1:27" ht="15" x14ac:dyDescent="0.25">
      <c r="A436" s="4">
        <v>260129</v>
      </c>
      <c r="B436" s="20" t="s">
        <v>697</v>
      </c>
      <c r="C436" s="10" t="s">
        <v>23</v>
      </c>
      <c r="D436" s="10" t="s">
        <v>698</v>
      </c>
      <c r="E436" s="10" t="s">
        <v>25</v>
      </c>
      <c r="F436" s="38">
        <v>-64.08654918581307</v>
      </c>
      <c r="G436" s="49">
        <v>18.12</v>
      </c>
      <c r="H436" s="49">
        <v>23.68</v>
      </c>
      <c r="I436" s="49">
        <v>26.47</v>
      </c>
      <c r="J436" s="49">
        <v>21.15</v>
      </c>
      <c r="K436" s="49">
        <v>9.06</v>
      </c>
      <c r="L436" s="49">
        <v>9.34</v>
      </c>
      <c r="M436" s="49">
        <v>10.29</v>
      </c>
      <c r="N436" s="49">
        <v>15.03</v>
      </c>
      <c r="O436" s="50">
        <v>14.55</v>
      </c>
      <c r="P436" s="49">
        <v>13.13</v>
      </c>
      <c r="Q436" s="50">
        <v>17.13</v>
      </c>
      <c r="R436" s="49">
        <v>17.16</v>
      </c>
      <c r="S436" s="49">
        <v>15.45</v>
      </c>
      <c r="T436" s="49">
        <v>8.66</v>
      </c>
      <c r="U436" s="49">
        <v>12.57</v>
      </c>
      <c r="V436" s="49">
        <v>8.15</v>
      </c>
      <c r="W436" s="52">
        <v>-13.28</v>
      </c>
      <c r="X436" s="13">
        <v>-7.1099093367265942E-2</v>
      </c>
      <c r="Y436" s="13">
        <v>-7.8082191780821875E-2</v>
      </c>
      <c r="Z436" s="13">
        <v>-0.16734769687964335</v>
      </c>
      <c r="AA436" s="13">
        <v>-0.64086549185813069</v>
      </c>
    </row>
    <row r="437" spans="1:27" ht="15" x14ac:dyDescent="0.25">
      <c r="A437" s="4">
        <v>260129</v>
      </c>
      <c r="B437" s="20" t="s">
        <v>740</v>
      </c>
      <c r="C437" s="10" t="s">
        <v>23</v>
      </c>
      <c r="D437" s="10" t="s">
        <v>54</v>
      </c>
      <c r="E437" s="10" t="s">
        <v>25</v>
      </c>
      <c r="F437" s="38">
        <v>-68.549525922937264</v>
      </c>
      <c r="G437" s="49">
        <v>40.94</v>
      </c>
      <c r="H437" s="49">
        <v>55.55</v>
      </c>
      <c r="I437" s="49">
        <v>67.239999999999995</v>
      </c>
      <c r="J437" s="49">
        <v>111.73</v>
      </c>
      <c r="K437" s="49">
        <v>28.69</v>
      </c>
      <c r="L437" s="49">
        <v>38.9</v>
      </c>
      <c r="M437" s="49">
        <v>48.22</v>
      </c>
      <c r="N437" s="49">
        <v>62.08</v>
      </c>
      <c r="O437" s="49">
        <v>20.27</v>
      </c>
      <c r="P437" s="49">
        <v>35.99</v>
      </c>
      <c r="Q437" s="49">
        <v>28.72</v>
      </c>
      <c r="R437" s="49">
        <v>60.04</v>
      </c>
      <c r="S437" s="49">
        <v>2.14</v>
      </c>
      <c r="T437" s="49">
        <v>13.9</v>
      </c>
      <c r="U437" s="49">
        <v>6.63</v>
      </c>
      <c r="V437" s="49">
        <v>26.9</v>
      </c>
      <c r="W437" s="52">
        <v>-31.84</v>
      </c>
      <c r="X437" s="13">
        <v>-0.17408779257624718</v>
      </c>
      <c r="Y437" s="13">
        <v>-0.21078244274809166</v>
      </c>
      <c r="Z437" s="13">
        <v>-0.40067706444202644</v>
      </c>
      <c r="AA437" s="13">
        <v>-0.6854952592293726</v>
      </c>
    </row>
    <row r="438" spans="1:27" ht="15" x14ac:dyDescent="0.25">
      <c r="A438" s="4">
        <v>260129</v>
      </c>
      <c r="B438" s="20" t="s">
        <v>636</v>
      </c>
      <c r="C438" s="10" t="s">
        <v>23</v>
      </c>
      <c r="D438" s="10" t="s">
        <v>29</v>
      </c>
      <c r="E438" s="10" t="s">
        <v>25</v>
      </c>
      <c r="F438" s="38">
        <v>-290.6908787309539</v>
      </c>
      <c r="G438" s="49">
        <v>23.84</v>
      </c>
      <c r="H438" s="49">
        <v>18.43</v>
      </c>
      <c r="I438" s="49">
        <v>19.510000000000002</v>
      </c>
      <c r="J438" s="49">
        <v>18.579999999999998</v>
      </c>
      <c r="K438" s="49">
        <v>14.46</v>
      </c>
      <c r="L438" s="49">
        <v>14.86</v>
      </c>
      <c r="M438" s="49">
        <v>16.79</v>
      </c>
      <c r="N438" s="49">
        <v>16.46</v>
      </c>
      <c r="O438" s="49">
        <v>14.94</v>
      </c>
      <c r="P438" s="49">
        <v>2.4300000000000002</v>
      </c>
      <c r="Q438" s="50">
        <v>30.15</v>
      </c>
      <c r="R438" s="49">
        <v>14.55</v>
      </c>
      <c r="S438" s="49">
        <v>-115.27</v>
      </c>
      <c r="T438" s="49">
        <v>20.62</v>
      </c>
      <c r="U438" s="50">
        <v>21.5</v>
      </c>
      <c r="V438" s="49">
        <v>25.24</v>
      </c>
      <c r="W438" s="52">
        <v>24</v>
      </c>
      <c r="X438" s="13">
        <v>-0.26695039624302919</v>
      </c>
      <c r="Y438" s="13">
        <v>0.17317317317317338</v>
      </c>
      <c r="Z438" s="13">
        <v>-0.18242320819112623</v>
      </c>
      <c r="AA438" s="13">
        <v>-2.9069087873095389</v>
      </c>
    </row>
    <row r="439" spans="1:27" ht="15" x14ac:dyDescent="0.25">
      <c r="A439" s="4">
        <v>260129</v>
      </c>
      <c r="B439" s="20" t="s">
        <v>653</v>
      </c>
      <c r="C439" s="10" t="s">
        <v>23</v>
      </c>
      <c r="D439" s="10" t="s">
        <v>445</v>
      </c>
      <c r="E439" s="10" t="s">
        <v>799</v>
      </c>
      <c r="F439" s="38">
        <v>-294.78527607361968</v>
      </c>
      <c r="G439" s="49">
        <v>36.01</v>
      </c>
      <c r="H439" s="49">
        <v>27.24</v>
      </c>
      <c r="I439" s="49">
        <v>14.74</v>
      </c>
      <c r="J439" s="49">
        <v>59.84</v>
      </c>
      <c r="K439" s="50">
        <v>65.63</v>
      </c>
      <c r="L439" s="50">
        <v>59.3</v>
      </c>
      <c r="M439" s="50">
        <v>70.75</v>
      </c>
      <c r="N439" s="49">
        <v>72.92</v>
      </c>
      <c r="O439" s="49">
        <v>36.69</v>
      </c>
      <c r="P439" s="49">
        <v>37.340000000000003</v>
      </c>
      <c r="Q439" s="49">
        <v>-10.63</v>
      </c>
      <c r="R439" s="49">
        <v>4.07</v>
      </c>
      <c r="S439" s="49">
        <v>-0.04</v>
      </c>
      <c r="T439" s="49">
        <v>-6.72</v>
      </c>
      <c r="U439" s="49">
        <v>-2.74</v>
      </c>
      <c r="V439" s="49">
        <v>6.24</v>
      </c>
      <c r="W439" s="52">
        <v>9.57</v>
      </c>
      <c r="X439" s="13">
        <v>-1.4333116460637605</v>
      </c>
      <c r="Y439" s="13">
        <v>-0.5923423423423424</v>
      </c>
      <c r="Z439" s="13">
        <v>-0.39963167587476978</v>
      </c>
      <c r="AA439" s="13">
        <v>-2.9478527607361964</v>
      </c>
    </row>
    <row r="440" spans="1:27" ht="15" x14ac:dyDescent="0.25">
      <c r="A440" s="4">
        <v>260129</v>
      </c>
      <c r="B440" s="20" t="s">
        <v>741</v>
      </c>
      <c r="C440" s="10" t="s">
        <v>164</v>
      </c>
      <c r="D440" s="37" t="s">
        <v>742</v>
      </c>
      <c r="E440" s="10" t="s">
        <v>25</v>
      </c>
      <c r="F440" s="38">
        <v>2.5396825396825311</v>
      </c>
      <c r="G440" s="49">
        <v>176</v>
      </c>
      <c r="H440" s="49">
        <v>331</v>
      </c>
      <c r="I440" s="49">
        <v>346</v>
      </c>
      <c r="J440" s="49">
        <v>319</v>
      </c>
      <c r="K440" s="50">
        <v>328</v>
      </c>
      <c r="L440" s="49">
        <v>401</v>
      </c>
      <c r="M440" s="49">
        <v>450</v>
      </c>
      <c r="N440" s="49">
        <v>440</v>
      </c>
      <c r="O440" s="49">
        <v>282</v>
      </c>
      <c r="P440" s="49">
        <v>356</v>
      </c>
      <c r="Q440" s="49">
        <v>472</v>
      </c>
      <c r="R440" s="49">
        <v>421</v>
      </c>
      <c r="S440" s="49">
        <v>333</v>
      </c>
      <c r="T440" s="49">
        <v>409</v>
      </c>
      <c r="U440" s="49">
        <v>436</v>
      </c>
      <c r="V440" s="49">
        <v>397</v>
      </c>
      <c r="W440" s="52">
        <v>373</v>
      </c>
      <c r="X440" s="13">
        <v>3.3501896333754777E-2</v>
      </c>
      <c r="Y440" s="13">
        <v>-2.2018348623853212E-2</v>
      </c>
      <c r="Z440" s="13">
        <v>-1.5009380863039379E-2</v>
      </c>
      <c r="AA440" s="13">
        <v>2.5396825396825307E-2</v>
      </c>
    </row>
    <row r="441" spans="1:27" ht="15" x14ac:dyDescent="0.25">
      <c r="A441" s="4">
        <v>260129</v>
      </c>
      <c r="B441" s="20" t="s">
        <v>743</v>
      </c>
      <c r="C441" s="10" t="s">
        <v>164</v>
      </c>
      <c r="D441" s="37" t="s">
        <v>744</v>
      </c>
      <c r="E441" s="10" t="s">
        <v>25</v>
      </c>
      <c r="F441" s="38">
        <v>2.027027027027017</v>
      </c>
      <c r="G441" s="49">
        <v>655</v>
      </c>
      <c r="H441" s="49">
        <v>852</v>
      </c>
      <c r="I441" s="49">
        <v>855</v>
      </c>
      <c r="J441" s="49">
        <v>1041</v>
      </c>
      <c r="K441" s="49">
        <v>407</v>
      </c>
      <c r="L441" s="49">
        <v>701</v>
      </c>
      <c r="M441" s="49">
        <v>958</v>
      </c>
      <c r="N441" s="49">
        <v>1112</v>
      </c>
      <c r="O441" s="50">
        <v>822</v>
      </c>
      <c r="P441" s="49">
        <v>836</v>
      </c>
      <c r="Q441" s="49">
        <v>852</v>
      </c>
      <c r="R441" s="49">
        <v>1022</v>
      </c>
      <c r="S441" s="49">
        <v>800</v>
      </c>
      <c r="T441" s="49">
        <v>728</v>
      </c>
      <c r="U441" s="49">
        <v>950</v>
      </c>
      <c r="V441" s="49">
        <v>1074</v>
      </c>
      <c r="W441" s="52">
        <v>872</v>
      </c>
      <c r="X441" s="13">
        <v>-3.0769230769230771E-2</v>
      </c>
      <c r="Y441" s="13">
        <v>2.8806584362139898E-2</v>
      </c>
      <c r="Z441" s="13">
        <v>1.4857142857142902E-2</v>
      </c>
      <c r="AA441" s="13">
        <v>2.0270270270270174E-2</v>
      </c>
    </row>
    <row r="442" spans="1:27" ht="15" x14ac:dyDescent="0.25">
      <c r="A442" s="4">
        <v>260129</v>
      </c>
      <c r="B442" s="20" t="s">
        <v>745</v>
      </c>
      <c r="C442" s="10" t="s">
        <v>164</v>
      </c>
      <c r="D442" s="37" t="s">
        <v>746</v>
      </c>
      <c r="E442" s="10" t="s">
        <v>25</v>
      </c>
      <c r="F442" s="38">
        <v>-2.9765013054830258</v>
      </c>
      <c r="G442" s="49">
        <v>802</v>
      </c>
      <c r="H442" s="49">
        <v>830</v>
      </c>
      <c r="I442" s="49">
        <v>908</v>
      </c>
      <c r="J442" s="49">
        <v>912</v>
      </c>
      <c r="K442" s="49">
        <v>877</v>
      </c>
      <c r="L442" s="49">
        <v>1077</v>
      </c>
      <c r="M442" s="49">
        <v>1061</v>
      </c>
      <c r="N442" s="49">
        <v>1031</v>
      </c>
      <c r="O442" s="49">
        <v>974</v>
      </c>
      <c r="P442" s="49">
        <v>860</v>
      </c>
      <c r="Q442" s="49">
        <v>1087</v>
      </c>
      <c r="R442" s="49">
        <v>1015</v>
      </c>
      <c r="S442" s="49">
        <v>1032</v>
      </c>
      <c r="T442" s="49">
        <v>874</v>
      </c>
      <c r="U442" s="49">
        <v>950</v>
      </c>
      <c r="V442" s="49">
        <v>974</v>
      </c>
      <c r="W442" s="52">
        <v>918</v>
      </c>
      <c r="X442" s="13">
        <v>3.5052578868302042E-3</v>
      </c>
      <c r="Y442" s="13">
        <v>-3.4181636726546949E-2</v>
      </c>
      <c r="Z442" s="13">
        <v>-1.0591578403513324E-2</v>
      </c>
      <c r="AA442" s="13">
        <v>-2.9765013054830258E-2</v>
      </c>
    </row>
    <row r="443" spans="1:27" ht="15" x14ac:dyDescent="0.25">
      <c r="A443" s="4">
        <v>260129</v>
      </c>
      <c r="B443" s="20">
        <v>6952</v>
      </c>
      <c r="C443" s="10" t="s">
        <v>67</v>
      </c>
      <c r="D443" s="37" t="s">
        <v>748</v>
      </c>
      <c r="E443" s="10" t="s">
        <v>25</v>
      </c>
      <c r="F443" s="99">
        <v>58.140925054173209</v>
      </c>
      <c r="G443" s="49">
        <v>8009</v>
      </c>
      <c r="H443" s="49">
        <v>1969</v>
      </c>
      <c r="I443" s="49">
        <v>4835</v>
      </c>
      <c r="J443" s="49">
        <v>5244</v>
      </c>
      <c r="K443" s="49">
        <v>6411</v>
      </c>
      <c r="L443" s="49">
        <v>1674</v>
      </c>
      <c r="M443" s="49">
        <v>4327</v>
      </c>
      <c r="N443" s="49">
        <v>3850</v>
      </c>
      <c r="O443" s="49">
        <v>3643</v>
      </c>
      <c r="P443" s="49">
        <v>2388</v>
      </c>
      <c r="Q443" s="49">
        <v>4529</v>
      </c>
      <c r="R443" s="50">
        <v>5812</v>
      </c>
      <c r="S443" s="49">
        <v>888</v>
      </c>
      <c r="T443" s="49">
        <v>3007</v>
      </c>
      <c r="U443" s="49">
        <v>3730</v>
      </c>
      <c r="V443" s="49">
        <v>5758</v>
      </c>
      <c r="W443" s="51">
        <v>8669</v>
      </c>
      <c r="X443" s="13">
        <v>4.545788352794311E-2</v>
      </c>
      <c r="Y443" s="13">
        <v>-5.6125316100028133E-2</v>
      </c>
      <c r="Z443" s="13">
        <v>-4.0187541862022336E-3</v>
      </c>
      <c r="AA443" s="13">
        <v>0.58140925054173209</v>
      </c>
    </row>
    <row r="444" spans="1:27" ht="15" x14ac:dyDescent="0.25">
      <c r="A444" s="4">
        <v>260129</v>
      </c>
      <c r="B444" s="20">
        <v>6702</v>
      </c>
      <c r="C444" s="10" t="s">
        <v>67</v>
      </c>
      <c r="D444" s="37" t="s">
        <v>774</v>
      </c>
      <c r="E444" s="10" t="s">
        <v>25</v>
      </c>
      <c r="F444" s="99">
        <v>21.112507820616582</v>
      </c>
      <c r="G444" s="49">
        <v>65185</v>
      </c>
      <c r="H444" s="49">
        <v>113339</v>
      </c>
      <c r="I444" s="49">
        <v>25602</v>
      </c>
      <c r="J444" s="49">
        <v>75367</v>
      </c>
      <c r="K444" s="49">
        <v>72316</v>
      </c>
      <c r="L444" s="49">
        <v>105062</v>
      </c>
      <c r="M444" s="49">
        <v>-1665</v>
      </c>
      <c r="N444" s="49">
        <v>46445</v>
      </c>
      <c r="O444" s="49">
        <v>3309</v>
      </c>
      <c r="P444" s="50">
        <v>207286</v>
      </c>
      <c r="Q444" s="49">
        <v>21387</v>
      </c>
      <c r="R444" s="49">
        <v>35008</v>
      </c>
      <c r="S444" s="50">
        <v>68874</v>
      </c>
      <c r="T444" s="49">
        <v>0</v>
      </c>
      <c r="U444" s="49">
        <v>33486</v>
      </c>
      <c r="V444" s="50">
        <v>71859</v>
      </c>
      <c r="W444" s="51">
        <v>105656</v>
      </c>
      <c r="X444" s="13">
        <v>-0.62331343687510343</v>
      </c>
      <c r="Y444" s="13">
        <v>9.658415090724759E-2</v>
      </c>
      <c r="Z444" s="13">
        <v>0.26826480694193688</v>
      </c>
      <c r="AA444" s="13">
        <v>0.21112507820616577</v>
      </c>
    </row>
    <row r="445" spans="1:27" ht="15" x14ac:dyDescent="0.25">
      <c r="A445" s="4">
        <v>260129</v>
      </c>
      <c r="B445" s="20">
        <v>4519</v>
      </c>
      <c r="C445" s="10" t="s">
        <v>67</v>
      </c>
      <c r="D445" s="37" t="s">
        <v>750</v>
      </c>
      <c r="E445" s="10" t="s">
        <v>25</v>
      </c>
      <c r="F445" s="38">
        <v>8.2434516030490244</v>
      </c>
      <c r="G445" s="49">
        <v>139062</v>
      </c>
      <c r="H445" s="49">
        <v>187007</v>
      </c>
      <c r="I445" s="49">
        <v>99939</v>
      </c>
      <c r="J445" s="49">
        <v>96887</v>
      </c>
      <c r="K445" s="49">
        <v>149475</v>
      </c>
      <c r="L445" s="49">
        <v>98296</v>
      </c>
      <c r="M445" s="49">
        <v>112614</v>
      </c>
      <c r="N445" s="49">
        <v>106686</v>
      </c>
      <c r="O445" s="49">
        <v>121576</v>
      </c>
      <c r="P445" s="49">
        <v>99873</v>
      </c>
      <c r="Q445" s="50">
        <v>158321</v>
      </c>
      <c r="R445" s="50">
        <v>160406</v>
      </c>
      <c r="S445" s="49">
        <v>123401</v>
      </c>
      <c r="T445" s="49">
        <v>136650</v>
      </c>
      <c r="U445" s="49">
        <v>136691</v>
      </c>
      <c r="V445" s="49">
        <v>156485</v>
      </c>
      <c r="W445" s="52">
        <v>169006</v>
      </c>
      <c r="X445" s="13">
        <v>6.7854118350335169E-2</v>
      </c>
      <c r="Y445" s="13">
        <v>-3.7371842053429805E-2</v>
      </c>
      <c r="Z445" s="13">
        <v>-7.0376273449783699E-3</v>
      </c>
      <c r="AA445" s="13">
        <v>8.2434516030490235E-2</v>
      </c>
    </row>
    <row r="446" spans="1:27" ht="15" x14ac:dyDescent="0.25">
      <c r="A446" s="4">
        <v>260129</v>
      </c>
      <c r="B446" s="20">
        <v>7380</v>
      </c>
      <c r="C446" s="10" t="s">
        <v>67</v>
      </c>
      <c r="D446" s="37" t="s">
        <v>752</v>
      </c>
      <c r="E446" s="10" t="s">
        <v>25</v>
      </c>
      <c r="F446" s="38">
        <v>6.0038191410169306</v>
      </c>
      <c r="G446" s="49">
        <v>7798</v>
      </c>
      <c r="H446" s="49">
        <v>3765</v>
      </c>
      <c r="I446" s="49">
        <v>8429</v>
      </c>
      <c r="J446" s="49">
        <v>7078</v>
      </c>
      <c r="K446" s="49">
        <v>5716</v>
      </c>
      <c r="L446" s="49">
        <v>5772</v>
      </c>
      <c r="M446" s="49">
        <v>7490</v>
      </c>
      <c r="N446" s="49">
        <v>6522</v>
      </c>
      <c r="O446" s="49">
        <v>6921</v>
      </c>
      <c r="P446" s="49">
        <v>6867</v>
      </c>
      <c r="Q446" s="49">
        <v>8834</v>
      </c>
      <c r="R446" s="49">
        <v>6915</v>
      </c>
      <c r="S446" s="49">
        <v>7689</v>
      </c>
      <c r="T446" s="49">
        <v>7185</v>
      </c>
      <c r="U446" s="49">
        <v>8874</v>
      </c>
      <c r="V446" s="49">
        <v>7149</v>
      </c>
      <c r="W446" s="52">
        <v>9544</v>
      </c>
      <c r="X446" s="13">
        <v>1.0493317934334279E-2</v>
      </c>
      <c r="Y446" s="13">
        <v>1.3062077523429139E-3</v>
      </c>
      <c r="Z446" s="13">
        <v>7.631347226298768E-3</v>
      </c>
      <c r="AA446" s="13">
        <v>6.0038191410169306E-2</v>
      </c>
    </row>
    <row r="447" spans="1:27" ht="15" x14ac:dyDescent="0.25">
      <c r="A447" s="4">
        <v>260129</v>
      </c>
      <c r="B447" s="20">
        <v>7205</v>
      </c>
      <c r="C447" s="10" t="s">
        <v>67</v>
      </c>
      <c r="D447" s="37" t="s">
        <v>775</v>
      </c>
      <c r="E447" s="10" t="s">
        <v>25</v>
      </c>
      <c r="F447" s="38">
        <v>5.2065988498187998</v>
      </c>
      <c r="G447" s="49">
        <v>18021</v>
      </c>
      <c r="H447" s="49">
        <v>-16022</v>
      </c>
      <c r="I447" s="49">
        <v>4317</v>
      </c>
      <c r="J447" s="49">
        <v>12299</v>
      </c>
      <c r="K447" s="49">
        <v>9020</v>
      </c>
      <c r="L447" s="50">
        <v>-8229</v>
      </c>
      <c r="M447" s="49">
        <v>1135</v>
      </c>
      <c r="N447" s="49">
        <v>5632</v>
      </c>
      <c r="O447" s="49">
        <v>-2098</v>
      </c>
      <c r="P447" s="50">
        <v>-12772</v>
      </c>
      <c r="Q447" s="49">
        <v>6384</v>
      </c>
      <c r="R447" s="49">
        <v>17713</v>
      </c>
      <c r="S447" s="50">
        <v>20972</v>
      </c>
      <c r="T447" s="50">
        <v>12422</v>
      </c>
      <c r="U447" s="50">
        <v>16946</v>
      </c>
      <c r="V447" s="49">
        <v>21127</v>
      </c>
      <c r="W447" s="52">
        <v>24693</v>
      </c>
      <c r="X447" s="13">
        <v>0.78007245254977242</v>
      </c>
      <c r="Y447" s="13">
        <v>0.18371571202449077</v>
      </c>
      <c r="Z447" s="13">
        <v>5.01667817730298E-2</v>
      </c>
      <c r="AA447" s="13">
        <v>5.2065988498187998E-2</v>
      </c>
    </row>
    <row r="448" spans="1:27" ht="15" x14ac:dyDescent="0.25">
      <c r="A448" s="4">
        <v>260129</v>
      </c>
      <c r="B448" s="20">
        <v>4373</v>
      </c>
      <c r="C448" s="10" t="s">
        <v>67</v>
      </c>
      <c r="D448" s="37" t="s">
        <v>749</v>
      </c>
      <c r="E448" s="10" t="s">
        <v>25</v>
      </c>
      <c r="F448" s="38">
        <v>4.7802236945216237</v>
      </c>
      <c r="G448" s="49">
        <v>1602</v>
      </c>
      <c r="H448" s="49">
        <v>1140</v>
      </c>
      <c r="I448" s="49">
        <v>1340</v>
      </c>
      <c r="J448" s="49">
        <v>2010</v>
      </c>
      <c r="K448" s="49">
        <v>2017</v>
      </c>
      <c r="L448" s="50">
        <v>1971</v>
      </c>
      <c r="M448" s="49">
        <v>1707</v>
      </c>
      <c r="N448" s="49">
        <v>2292</v>
      </c>
      <c r="O448" s="49">
        <v>2386</v>
      </c>
      <c r="P448" s="49">
        <v>2516</v>
      </c>
      <c r="Q448" s="49">
        <v>1625</v>
      </c>
      <c r="R448" s="49">
        <v>2292</v>
      </c>
      <c r="S448" s="49">
        <v>3090</v>
      </c>
      <c r="T448" s="50">
        <v>3892</v>
      </c>
      <c r="U448" s="50">
        <v>3213</v>
      </c>
      <c r="V448" s="50">
        <v>3842</v>
      </c>
      <c r="W448" s="52">
        <v>3761</v>
      </c>
      <c r="X448" s="13">
        <v>0.14449228184395668</v>
      </c>
      <c r="Y448" s="13">
        <v>0.14570144049912837</v>
      </c>
      <c r="Z448" s="13">
        <v>0.12412909425802843</v>
      </c>
      <c r="AA448" s="13">
        <v>4.7802236945216237E-2</v>
      </c>
    </row>
    <row r="449" spans="1:27" ht="15" x14ac:dyDescent="0.25">
      <c r="A449" s="4">
        <v>260129</v>
      </c>
      <c r="B449" s="20">
        <v>9044</v>
      </c>
      <c r="C449" s="10" t="s">
        <v>67</v>
      </c>
      <c r="D449" s="37" t="s">
        <v>754</v>
      </c>
      <c r="E449" s="10" t="s">
        <v>25</v>
      </c>
      <c r="F449" s="38">
        <v>4.0385473833469021</v>
      </c>
      <c r="G449" s="49">
        <v>6065</v>
      </c>
      <c r="H449" s="49">
        <v>2328</v>
      </c>
      <c r="I449" s="49">
        <v>4798</v>
      </c>
      <c r="J449" s="49">
        <v>4649</v>
      </c>
      <c r="K449" s="49">
        <v>6442</v>
      </c>
      <c r="L449" s="50">
        <v>5135</v>
      </c>
      <c r="M449" s="49">
        <v>6828</v>
      </c>
      <c r="N449" s="50">
        <v>7411</v>
      </c>
      <c r="O449" s="50">
        <v>12522</v>
      </c>
      <c r="P449" s="49">
        <v>4060</v>
      </c>
      <c r="Q449" s="49">
        <v>9877</v>
      </c>
      <c r="R449" s="49">
        <v>8380</v>
      </c>
      <c r="S449" s="49">
        <v>10950</v>
      </c>
      <c r="T449" s="49">
        <v>5449</v>
      </c>
      <c r="U449" s="49">
        <v>11296</v>
      </c>
      <c r="V449" s="49">
        <v>10388</v>
      </c>
      <c r="W449" s="52">
        <v>12488</v>
      </c>
      <c r="X449" s="13">
        <v>4.1753088646406367E-2</v>
      </c>
      <c r="Y449" s="13">
        <v>4.094529085872578E-2</v>
      </c>
      <c r="Z449" s="13">
        <v>5.5661815661815606E-2</v>
      </c>
      <c r="AA449" s="13">
        <v>4.0385473833469021E-2</v>
      </c>
    </row>
    <row r="450" spans="1:27" ht="15" x14ac:dyDescent="0.25">
      <c r="A450" s="4">
        <v>260129</v>
      </c>
      <c r="B450" s="20">
        <v>6754</v>
      </c>
      <c r="C450" s="10" t="s">
        <v>67</v>
      </c>
      <c r="D450" s="37" t="s">
        <v>756</v>
      </c>
      <c r="E450" s="10" t="s">
        <v>25</v>
      </c>
      <c r="F450" s="38">
        <v>3.9750815781667059</v>
      </c>
      <c r="G450" s="49">
        <v>3459</v>
      </c>
      <c r="H450" s="49">
        <v>5891</v>
      </c>
      <c r="I450" s="49">
        <v>3019</v>
      </c>
      <c r="J450" s="49">
        <v>2397</v>
      </c>
      <c r="K450" s="49">
        <v>2586</v>
      </c>
      <c r="L450" s="49">
        <v>3701</v>
      </c>
      <c r="M450" s="49">
        <v>-57</v>
      </c>
      <c r="N450" s="49">
        <v>2994</v>
      </c>
      <c r="O450" s="49">
        <v>2227</v>
      </c>
      <c r="P450" s="49">
        <v>4337</v>
      </c>
      <c r="Q450" s="49">
        <v>624</v>
      </c>
      <c r="R450" s="49">
        <v>2954</v>
      </c>
      <c r="S450" s="49">
        <v>2842</v>
      </c>
      <c r="T450" s="50">
        <v>5607</v>
      </c>
      <c r="U450" s="49">
        <v>1341</v>
      </c>
      <c r="V450" s="49">
        <v>3694</v>
      </c>
      <c r="W450" s="52">
        <v>3378</v>
      </c>
      <c r="X450" s="13">
        <v>0.11806265687459327</v>
      </c>
      <c r="Y450" s="13">
        <v>5.9615864305313071E-2</v>
      </c>
      <c r="Z450" s="13">
        <v>5.8066541117388626E-2</v>
      </c>
      <c r="AA450" s="13">
        <v>3.9750815781667059E-2</v>
      </c>
    </row>
    <row r="451" spans="1:27" ht="15" x14ac:dyDescent="0.25">
      <c r="A451" s="4">
        <v>260129</v>
      </c>
      <c r="B451" s="20">
        <v>1944</v>
      </c>
      <c r="C451" s="10" t="s">
        <v>67</v>
      </c>
      <c r="D451" s="37" t="s">
        <v>757</v>
      </c>
      <c r="E451" s="10" t="s">
        <v>25</v>
      </c>
      <c r="F451" s="38">
        <v>2.799064894800662</v>
      </c>
      <c r="G451" s="49">
        <v>8303</v>
      </c>
      <c r="H451" s="49">
        <v>17228</v>
      </c>
      <c r="I451" s="49">
        <v>354</v>
      </c>
      <c r="J451" s="49">
        <v>6246</v>
      </c>
      <c r="K451" s="49">
        <v>6968</v>
      </c>
      <c r="L451" s="50">
        <v>23863</v>
      </c>
      <c r="M451" s="49">
        <v>869</v>
      </c>
      <c r="N451" s="49">
        <v>8267</v>
      </c>
      <c r="O451" s="50">
        <v>11485</v>
      </c>
      <c r="P451" s="49">
        <v>22057</v>
      </c>
      <c r="Q451" s="49">
        <v>1964</v>
      </c>
      <c r="R451" s="49">
        <v>10913</v>
      </c>
      <c r="S451" s="50">
        <v>17831</v>
      </c>
      <c r="T451" s="50">
        <v>30272</v>
      </c>
      <c r="U451" s="49">
        <v>7245</v>
      </c>
      <c r="V451" s="50">
        <v>24643</v>
      </c>
      <c r="W451" s="52">
        <v>20070</v>
      </c>
      <c r="X451" s="13">
        <v>0.15569032502605884</v>
      </c>
      <c r="Y451" s="13">
        <v>8.6602164644145718E-2</v>
      </c>
      <c r="Z451" s="13">
        <v>0.20721087819380934</v>
      </c>
      <c r="AA451" s="13">
        <v>2.7990648948006625E-2</v>
      </c>
    </row>
    <row r="452" spans="1:27" ht="15" x14ac:dyDescent="0.25">
      <c r="A452" s="4">
        <v>260129</v>
      </c>
      <c r="B452" s="20">
        <v>6504</v>
      </c>
      <c r="C452" s="10" t="s">
        <v>67</v>
      </c>
      <c r="D452" s="37" t="s">
        <v>758</v>
      </c>
      <c r="E452" s="10" t="s">
        <v>25</v>
      </c>
      <c r="F452" s="38">
        <v>2.3697198736372771</v>
      </c>
      <c r="G452" s="49">
        <v>16368</v>
      </c>
      <c r="H452" s="49">
        <v>41580</v>
      </c>
      <c r="I452" s="49">
        <v>9873</v>
      </c>
      <c r="J452" s="49">
        <v>16847</v>
      </c>
      <c r="K452" s="49">
        <v>15716</v>
      </c>
      <c r="L452" s="49">
        <v>45979</v>
      </c>
      <c r="M452" s="49">
        <v>14664</v>
      </c>
      <c r="N452" s="49">
        <v>20331</v>
      </c>
      <c r="O452" s="49">
        <v>22663</v>
      </c>
      <c r="P452" s="49">
        <v>48012</v>
      </c>
      <c r="Q452" s="49">
        <v>17254</v>
      </c>
      <c r="R452" s="49">
        <v>23083</v>
      </c>
      <c r="S452" s="49">
        <v>28095</v>
      </c>
      <c r="T452" s="49">
        <v>49115</v>
      </c>
      <c r="U452" s="49">
        <v>17777</v>
      </c>
      <c r="V452" s="49">
        <v>24352</v>
      </c>
      <c r="W452" s="52">
        <v>30923</v>
      </c>
      <c r="X452" s="13">
        <v>9.4723643983374295E-3</v>
      </c>
      <c r="Y452" s="13">
        <v>4.4492841161407615E-3</v>
      </c>
      <c r="Z452" s="13">
        <v>1.0747861438130002E-2</v>
      </c>
      <c r="AA452" s="13">
        <v>2.3697198736372771E-2</v>
      </c>
    </row>
    <row r="453" spans="1:27" ht="15" x14ac:dyDescent="0.25">
      <c r="A453" s="4">
        <v>260129</v>
      </c>
      <c r="B453" s="20">
        <v>4307</v>
      </c>
      <c r="C453" s="10" t="s">
        <v>67</v>
      </c>
      <c r="D453" s="37" t="s">
        <v>755</v>
      </c>
      <c r="E453" s="10" t="s">
        <v>25</v>
      </c>
      <c r="F453" s="38">
        <v>2.3444311246730631</v>
      </c>
      <c r="G453" s="49">
        <v>27290</v>
      </c>
      <c r="H453" s="49">
        <v>21453</v>
      </c>
      <c r="I453" s="49">
        <v>27992</v>
      </c>
      <c r="J453" s="49">
        <v>27139</v>
      </c>
      <c r="K453" s="49">
        <v>28403</v>
      </c>
      <c r="L453" s="49">
        <v>26044</v>
      </c>
      <c r="M453" s="49">
        <v>26880</v>
      </c>
      <c r="N453" s="49">
        <v>31696</v>
      </c>
      <c r="O453" s="49">
        <v>32043</v>
      </c>
      <c r="P453" s="49">
        <v>28318</v>
      </c>
      <c r="Q453" s="49">
        <v>32491</v>
      </c>
      <c r="R453" s="49">
        <v>32815</v>
      </c>
      <c r="S453" s="49">
        <v>36288</v>
      </c>
      <c r="T453" s="49">
        <v>32235</v>
      </c>
      <c r="U453" s="49">
        <v>36962</v>
      </c>
      <c r="V453" s="49">
        <v>41331</v>
      </c>
      <c r="W453" s="52">
        <v>39730</v>
      </c>
      <c r="X453" s="13">
        <v>3.0151179259806593E-2</v>
      </c>
      <c r="Y453" s="13">
        <v>3.340830462754707E-2</v>
      </c>
      <c r="Z453" s="13">
        <v>6.1576283441793223E-2</v>
      </c>
      <c r="AA453" s="13">
        <v>2.3444311246730631E-2</v>
      </c>
    </row>
    <row r="454" spans="1:27" ht="15" x14ac:dyDescent="0.25">
      <c r="A454" s="4">
        <v>260129</v>
      </c>
      <c r="B454" s="20">
        <v>4290</v>
      </c>
      <c r="C454" s="10" t="s">
        <v>67</v>
      </c>
      <c r="D454" s="37" t="s">
        <v>753</v>
      </c>
      <c r="E454" s="10" t="s">
        <v>25</v>
      </c>
      <c r="F454" s="38">
        <v>2.0774315391879128</v>
      </c>
      <c r="G454" s="49">
        <v>1860</v>
      </c>
      <c r="H454" s="49">
        <v>1918</v>
      </c>
      <c r="I454" s="49">
        <v>1886</v>
      </c>
      <c r="J454" s="49">
        <v>1953</v>
      </c>
      <c r="K454" s="49">
        <v>2202</v>
      </c>
      <c r="L454" s="49">
        <v>1788</v>
      </c>
      <c r="M454" s="49">
        <v>1890</v>
      </c>
      <c r="N454" s="49">
        <v>1968</v>
      </c>
      <c r="O454" s="49">
        <v>1996</v>
      </c>
      <c r="P454" s="49">
        <v>2067</v>
      </c>
      <c r="Q454" s="49">
        <v>1730</v>
      </c>
      <c r="R454" s="49">
        <v>2000</v>
      </c>
      <c r="S454" s="49">
        <v>2249</v>
      </c>
      <c r="T454" s="49">
        <v>1967</v>
      </c>
      <c r="U454" s="49">
        <v>1935</v>
      </c>
      <c r="V454" s="49">
        <v>2321</v>
      </c>
      <c r="W454" s="52">
        <v>2425</v>
      </c>
      <c r="X454" s="13">
        <v>-1.2428535918468819E-2</v>
      </c>
      <c r="Y454" s="13">
        <v>2.5799144223508597E-2</v>
      </c>
      <c r="Z454" s="13">
        <v>3.9381670960618287E-2</v>
      </c>
      <c r="AA454" s="13">
        <v>2.0774315391879128E-2</v>
      </c>
    </row>
    <row r="455" spans="1:27" ht="15" x14ac:dyDescent="0.25">
      <c r="A455" s="4">
        <v>260129</v>
      </c>
      <c r="B455" s="20">
        <v>6861</v>
      </c>
      <c r="C455" s="10" t="s">
        <v>67</v>
      </c>
      <c r="D455" s="37" t="s">
        <v>751</v>
      </c>
      <c r="E455" s="10" t="s">
        <v>801</v>
      </c>
      <c r="F455" s="38">
        <v>1.9950142565023481</v>
      </c>
      <c r="G455" s="49">
        <v>110316</v>
      </c>
      <c r="H455" s="49">
        <v>110316</v>
      </c>
      <c r="I455" s="49">
        <v>102814</v>
      </c>
      <c r="J455" s="49">
        <v>138670</v>
      </c>
      <c r="K455" s="49">
        <v>127548</v>
      </c>
      <c r="L455" s="49">
        <v>129884</v>
      </c>
      <c r="M455" s="49">
        <v>111277</v>
      </c>
      <c r="N455" s="49">
        <v>126389</v>
      </c>
      <c r="O455" s="49">
        <v>121850</v>
      </c>
      <c r="P455" s="49">
        <v>135500</v>
      </c>
      <c r="Q455" s="49">
        <v>123406</v>
      </c>
      <c r="R455" s="49">
        <v>140559</v>
      </c>
      <c r="S455" s="49">
        <v>133070</v>
      </c>
      <c r="T455" s="49">
        <v>152741</v>
      </c>
      <c r="U455" s="49">
        <v>129301</v>
      </c>
      <c r="V455" s="49">
        <v>142879</v>
      </c>
      <c r="W455" s="52">
        <v>144202</v>
      </c>
      <c r="X455" s="13">
        <v>3.2375336832320967E-2</v>
      </c>
      <c r="Y455" s="13">
        <v>1.0722548819882993E-2</v>
      </c>
      <c r="Z455" s="13">
        <v>4.1751324074856822E-3</v>
      </c>
      <c r="AA455" s="13">
        <v>1.9950142565023476E-2</v>
      </c>
    </row>
    <row r="456" spans="1:27" ht="15" x14ac:dyDescent="0.25">
      <c r="A456" s="4">
        <v>260129</v>
      </c>
      <c r="B456" s="20">
        <v>5333</v>
      </c>
      <c r="C456" s="10" t="s">
        <v>67</v>
      </c>
      <c r="D456" s="37" t="s">
        <v>764</v>
      </c>
      <c r="E456" s="10" t="s">
        <v>25</v>
      </c>
      <c r="F456" s="38">
        <v>1.8359646955779629</v>
      </c>
      <c r="G456" s="49">
        <v>18618</v>
      </c>
      <c r="H456" s="49">
        <v>18984</v>
      </c>
      <c r="I456" s="49">
        <v>20635</v>
      </c>
      <c r="J456" s="49">
        <v>18174</v>
      </c>
      <c r="K456" s="49">
        <v>18781</v>
      </c>
      <c r="L456" s="49">
        <v>8433</v>
      </c>
      <c r="M456" s="49">
        <v>18561</v>
      </c>
      <c r="N456" s="49">
        <v>13925</v>
      </c>
      <c r="O456" s="49">
        <v>17832</v>
      </c>
      <c r="P456" s="50">
        <v>15297</v>
      </c>
      <c r="Q456" s="49">
        <v>17658</v>
      </c>
      <c r="R456" s="50">
        <v>22043</v>
      </c>
      <c r="S456" s="49">
        <v>22712</v>
      </c>
      <c r="T456" s="49">
        <v>17641</v>
      </c>
      <c r="U456" s="49">
        <v>23783</v>
      </c>
      <c r="V456" s="49">
        <v>24918</v>
      </c>
      <c r="W456" s="52">
        <v>24347</v>
      </c>
      <c r="X456" s="13">
        <v>3.0163428130227876E-2</v>
      </c>
      <c r="Y456" s="13">
        <v>7.6510855172758463E-2</v>
      </c>
      <c r="Z456" s="13">
        <v>3.336079555344118E-2</v>
      </c>
      <c r="AA456" s="13">
        <v>1.8359646955779629E-2</v>
      </c>
    </row>
    <row r="457" spans="1:27" ht="15" x14ac:dyDescent="0.25">
      <c r="A457" s="4">
        <v>260129</v>
      </c>
      <c r="B457" s="20">
        <v>9766</v>
      </c>
      <c r="C457" s="10" t="s">
        <v>67</v>
      </c>
      <c r="D457" s="37" t="s">
        <v>766</v>
      </c>
      <c r="E457" s="10" t="s">
        <v>25</v>
      </c>
      <c r="F457" s="38">
        <v>1.3226349165264659</v>
      </c>
      <c r="G457" s="49">
        <v>21201</v>
      </c>
      <c r="H457" s="49">
        <v>14124</v>
      </c>
      <c r="I457" s="49">
        <v>14040</v>
      </c>
      <c r="J457" s="49">
        <v>11356</v>
      </c>
      <c r="K457" s="49">
        <v>12127</v>
      </c>
      <c r="L457" s="49">
        <v>8662</v>
      </c>
      <c r="M457" s="49">
        <v>17151</v>
      </c>
      <c r="N457" s="50">
        <v>18292</v>
      </c>
      <c r="O457" s="50">
        <v>24165</v>
      </c>
      <c r="P457" s="50">
        <v>20654</v>
      </c>
      <c r="Q457" s="49">
        <v>25149</v>
      </c>
      <c r="R457" s="49">
        <v>24695</v>
      </c>
      <c r="S457" s="50">
        <v>36920</v>
      </c>
      <c r="T457" s="49">
        <v>14717</v>
      </c>
      <c r="U457" s="49">
        <v>27732</v>
      </c>
      <c r="V457" s="50">
        <v>36536</v>
      </c>
      <c r="W457" s="52">
        <v>38453</v>
      </c>
      <c r="X457" s="13">
        <v>-5.5270066469306767E-2</v>
      </c>
      <c r="Y457" s="13">
        <v>2.5453040470629906E-2</v>
      </c>
      <c r="Z457" s="13">
        <v>0.11378574723247237</v>
      </c>
      <c r="AA457" s="13">
        <v>1.3226349165264661E-2</v>
      </c>
    </row>
    <row r="458" spans="1:27" ht="15" x14ac:dyDescent="0.25">
      <c r="A458" s="4">
        <v>260129</v>
      </c>
      <c r="B458" s="20">
        <v>6345</v>
      </c>
      <c r="C458" s="10" t="s">
        <v>67</v>
      </c>
      <c r="D458" s="37" t="s">
        <v>380</v>
      </c>
      <c r="E458" s="10" t="s">
        <v>25</v>
      </c>
      <c r="F458" s="38">
        <v>0.94702676642015593</v>
      </c>
      <c r="G458" s="49">
        <v>1582</v>
      </c>
      <c r="H458" s="49">
        <v>2678</v>
      </c>
      <c r="I458" s="49">
        <v>702</v>
      </c>
      <c r="J458" s="49">
        <v>1752</v>
      </c>
      <c r="K458" s="49">
        <v>1128</v>
      </c>
      <c r="L458" s="50">
        <v>3769</v>
      </c>
      <c r="M458" s="49">
        <v>729</v>
      </c>
      <c r="N458" s="49">
        <v>1814</v>
      </c>
      <c r="O458" s="49">
        <v>1566</v>
      </c>
      <c r="P458" s="49">
        <v>2233</v>
      </c>
      <c r="Q458" s="49">
        <v>985.04</v>
      </c>
      <c r="R458" s="49">
        <v>1773</v>
      </c>
      <c r="S458" s="49">
        <v>1506</v>
      </c>
      <c r="T458" s="50">
        <v>3176</v>
      </c>
      <c r="U458" s="49">
        <v>295.18</v>
      </c>
      <c r="V458" s="49">
        <v>1992</v>
      </c>
      <c r="W458" s="52">
        <v>1572</v>
      </c>
      <c r="X458" s="13">
        <v>0.14514301897479465</v>
      </c>
      <c r="Y458" s="13">
        <v>-9.2722619770861381E-2</v>
      </c>
      <c r="Z458" s="13">
        <v>3.2443579282330326E-2</v>
      </c>
      <c r="AA458" s="13">
        <v>9.4702676642015593E-3</v>
      </c>
    </row>
    <row r="459" spans="1:27" ht="15" x14ac:dyDescent="0.25">
      <c r="A459" s="4">
        <v>260129</v>
      </c>
      <c r="B459" s="20">
        <v>9436</v>
      </c>
      <c r="C459" s="10" t="s">
        <v>67</v>
      </c>
      <c r="D459" s="37" t="s">
        <v>759</v>
      </c>
      <c r="E459" s="10" t="s">
        <v>25</v>
      </c>
      <c r="F459" s="38">
        <v>0.9224687019547595</v>
      </c>
      <c r="G459" s="49">
        <v>4221</v>
      </c>
      <c r="H459" s="49">
        <v>1580</v>
      </c>
      <c r="I459" s="49">
        <v>4595</v>
      </c>
      <c r="J459" s="49">
        <v>4191</v>
      </c>
      <c r="K459" s="49">
        <v>4252</v>
      </c>
      <c r="L459" s="49">
        <v>2894</v>
      </c>
      <c r="M459" s="49">
        <v>4523</v>
      </c>
      <c r="N459" s="49">
        <v>4762</v>
      </c>
      <c r="O459" s="49">
        <v>4388</v>
      </c>
      <c r="P459" s="49">
        <v>3341</v>
      </c>
      <c r="Q459" s="49">
        <v>4371</v>
      </c>
      <c r="R459" s="49">
        <v>4530</v>
      </c>
      <c r="S459" s="49">
        <v>4832</v>
      </c>
      <c r="T459" s="49">
        <v>4029</v>
      </c>
      <c r="U459" s="49">
        <v>4644</v>
      </c>
      <c r="V459" s="49">
        <v>4707</v>
      </c>
      <c r="W459" s="52">
        <v>5000</v>
      </c>
      <c r="X459" s="13">
        <v>4.0295185662410749E-2</v>
      </c>
      <c r="Y459" s="13">
        <v>1.5369890778065498E-2</v>
      </c>
      <c r="Z459" s="13">
        <v>9.8142500693096935E-3</v>
      </c>
      <c r="AA459" s="13">
        <v>9.224687019547595E-3</v>
      </c>
    </row>
    <row r="460" spans="1:27" ht="15" x14ac:dyDescent="0.25">
      <c r="A460" s="4">
        <v>260129</v>
      </c>
      <c r="B460" s="20">
        <v>4661</v>
      </c>
      <c r="C460" s="10" t="s">
        <v>67</v>
      </c>
      <c r="D460" s="37" t="s">
        <v>763</v>
      </c>
      <c r="E460" s="10" t="s">
        <v>25</v>
      </c>
      <c r="F460" s="38">
        <v>0.77389419494682254</v>
      </c>
      <c r="G460" s="49">
        <v>17504</v>
      </c>
      <c r="H460" s="49">
        <v>9241</v>
      </c>
      <c r="I460" s="49">
        <v>17064</v>
      </c>
      <c r="J460" s="49">
        <v>20930</v>
      </c>
      <c r="K460" s="50">
        <v>47659</v>
      </c>
      <c r="L460" s="50">
        <v>25548</v>
      </c>
      <c r="M460" s="50">
        <v>38680</v>
      </c>
      <c r="N460" s="50">
        <v>38392</v>
      </c>
      <c r="O460" s="50">
        <v>64596</v>
      </c>
      <c r="P460" s="49">
        <v>23770</v>
      </c>
      <c r="Q460" s="49">
        <v>33336</v>
      </c>
      <c r="R460" s="49">
        <v>29863</v>
      </c>
      <c r="S460" s="49">
        <v>71801</v>
      </c>
      <c r="T460" s="49">
        <v>37112</v>
      </c>
      <c r="U460" s="49">
        <v>38768</v>
      </c>
      <c r="V460" s="49">
        <v>29475</v>
      </c>
      <c r="W460" s="52">
        <v>73172</v>
      </c>
      <c r="X460" s="13">
        <v>8.4033507589595047E-2</v>
      </c>
      <c r="Y460" s="13">
        <v>3.1560844101515384E-2</v>
      </c>
      <c r="Z460" s="13">
        <v>-2.1853737665029627E-3</v>
      </c>
      <c r="AA460" s="13">
        <v>7.7389419494682254E-3</v>
      </c>
    </row>
    <row r="461" spans="1:27" ht="15" x14ac:dyDescent="0.25">
      <c r="A461" s="4">
        <v>260129</v>
      </c>
      <c r="B461" s="20">
        <v>8421</v>
      </c>
      <c r="C461" s="10" t="s">
        <v>67</v>
      </c>
      <c r="D461" s="37" t="s">
        <v>747</v>
      </c>
      <c r="E461" s="10" t="s">
        <v>25</v>
      </c>
      <c r="F461" s="38">
        <v>0.69731448883445513</v>
      </c>
      <c r="G461" s="49">
        <v>7196</v>
      </c>
      <c r="H461" s="49">
        <v>6492</v>
      </c>
      <c r="I461" s="49">
        <v>21451</v>
      </c>
      <c r="J461" s="49">
        <v>13675</v>
      </c>
      <c r="K461" s="49">
        <v>2905</v>
      </c>
      <c r="L461" s="49">
        <v>-2382</v>
      </c>
      <c r="M461" s="49">
        <v>12294</v>
      </c>
      <c r="N461" s="49">
        <v>10752</v>
      </c>
      <c r="O461" s="50">
        <v>7637</v>
      </c>
      <c r="P461" s="50">
        <v>13395</v>
      </c>
      <c r="Q461" s="50">
        <v>19155</v>
      </c>
      <c r="R461" s="49">
        <v>10241</v>
      </c>
      <c r="S461" s="50">
        <v>17080</v>
      </c>
      <c r="T461" s="49">
        <v>11830</v>
      </c>
      <c r="U461" s="49">
        <v>14535</v>
      </c>
      <c r="V461" s="49">
        <v>15352</v>
      </c>
      <c r="W461" s="52">
        <v>17490</v>
      </c>
      <c r="X461" s="13">
        <v>-2.6139533329992859E-2</v>
      </c>
      <c r="Y461" s="13">
        <v>-7.9237128254382005E-2</v>
      </c>
      <c r="Z461" s="13">
        <v>9.5201728569831889E-2</v>
      </c>
      <c r="AA461" s="13">
        <v>6.9731448883445513E-3</v>
      </c>
    </row>
    <row r="462" spans="1:27" ht="15" x14ac:dyDescent="0.25">
      <c r="A462" s="4">
        <v>260129</v>
      </c>
      <c r="B462" s="20">
        <v>7947</v>
      </c>
      <c r="C462" s="10" t="s">
        <v>67</v>
      </c>
      <c r="D462" s="37" t="s">
        <v>768</v>
      </c>
      <c r="E462" s="10" t="s">
        <v>25</v>
      </c>
      <c r="F462" s="38">
        <v>0.27235161532681568</v>
      </c>
      <c r="G462" s="49">
        <v>5417</v>
      </c>
      <c r="H462" s="49">
        <v>1900</v>
      </c>
      <c r="I462" s="49">
        <v>2765</v>
      </c>
      <c r="J462" s="49">
        <v>3309</v>
      </c>
      <c r="K462" s="50">
        <v>8100</v>
      </c>
      <c r="L462" s="49">
        <v>2511</v>
      </c>
      <c r="M462" s="49">
        <v>2981</v>
      </c>
      <c r="N462" s="49">
        <v>4001</v>
      </c>
      <c r="O462" s="49">
        <v>6544</v>
      </c>
      <c r="P462" s="49">
        <v>2885</v>
      </c>
      <c r="Q462" s="49">
        <v>2191</v>
      </c>
      <c r="R462" s="49">
        <v>4282</v>
      </c>
      <c r="S462" s="50">
        <v>8440</v>
      </c>
      <c r="T462" s="49">
        <v>3559</v>
      </c>
      <c r="U462" s="49">
        <v>3930</v>
      </c>
      <c r="V462" s="49">
        <v>5367</v>
      </c>
      <c r="W462" s="52">
        <v>8498</v>
      </c>
      <c r="X462" s="13">
        <v>3.7869423530733748E-2</v>
      </c>
      <c r="Y462" s="13">
        <v>9.4142485924642694E-2</v>
      </c>
      <c r="Z462" s="13">
        <v>5.3683637623076486E-2</v>
      </c>
      <c r="AA462" s="13">
        <v>2.7235161532681573E-3</v>
      </c>
    </row>
    <row r="463" spans="1:27" ht="15" x14ac:dyDescent="0.25">
      <c r="A463" s="4">
        <v>260129</v>
      </c>
      <c r="B463" s="20">
        <v>4502</v>
      </c>
      <c r="C463" s="10" t="s">
        <v>67</v>
      </c>
      <c r="D463" s="37" t="s">
        <v>761</v>
      </c>
      <c r="E463" s="10" t="s">
        <v>25</v>
      </c>
      <c r="F463" s="38">
        <v>-0.82319867328086715</v>
      </c>
      <c r="G463" s="49">
        <v>116485</v>
      </c>
      <c r="H463" s="49">
        <v>78497</v>
      </c>
      <c r="I463" s="49">
        <v>164754</v>
      </c>
      <c r="J463" s="49">
        <v>104437</v>
      </c>
      <c r="K463" s="49">
        <v>146990</v>
      </c>
      <c r="L463" s="50">
        <v>137283</v>
      </c>
      <c r="M463" s="49">
        <v>174771</v>
      </c>
      <c r="N463" s="49">
        <v>-143746</v>
      </c>
      <c r="O463" s="50">
        <v>312418</v>
      </c>
      <c r="P463" s="49">
        <v>156032</v>
      </c>
      <c r="Q463" s="49">
        <v>190528</v>
      </c>
      <c r="R463" s="50">
        <v>243338</v>
      </c>
      <c r="S463" s="49">
        <v>69879</v>
      </c>
      <c r="T463" s="49">
        <v>123018</v>
      </c>
      <c r="U463" s="49">
        <v>186865</v>
      </c>
      <c r="V463" s="49">
        <v>170166</v>
      </c>
      <c r="W463" s="52">
        <v>65352</v>
      </c>
      <c r="X463" s="13">
        <v>-5.0038118940187393E-2</v>
      </c>
      <c r="Y463" s="13">
        <v>-5.8443143580587664E-3</v>
      </c>
      <c r="Z463" s="13">
        <v>-0.11743219386936288</v>
      </c>
      <c r="AA463" s="13">
        <v>-8.2319867328086715E-3</v>
      </c>
    </row>
    <row r="464" spans="1:27" ht="15" x14ac:dyDescent="0.25">
      <c r="A464" s="4">
        <v>260129</v>
      </c>
      <c r="B464" s="20">
        <v>4204</v>
      </c>
      <c r="C464" s="10" t="s">
        <v>67</v>
      </c>
      <c r="D464" s="37" t="s">
        <v>767</v>
      </c>
      <c r="E464" s="10" t="s">
        <v>25</v>
      </c>
      <c r="F464" s="38">
        <v>-1.128232563027221</v>
      </c>
      <c r="G464" s="49">
        <v>21934</v>
      </c>
      <c r="H464" s="49">
        <v>31425</v>
      </c>
      <c r="I464" s="49">
        <v>13845</v>
      </c>
      <c r="J464" s="49">
        <v>26500</v>
      </c>
      <c r="K464" s="49">
        <v>22122</v>
      </c>
      <c r="L464" s="49">
        <v>29199</v>
      </c>
      <c r="M464" s="49">
        <v>15287</v>
      </c>
      <c r="N464" s="49">
        <v>25868</v>
      </c>
      <c r="O464" s="49">
        <v>24679</v>
      </c>
      <c r="P464" s="49">
        <v>28566</v>
      </c>
      <c r="Q464" s="49">
        <v>20198</v>
      </c>
      <c r="R464" s="49">
        <v>28525</v>
      </c>
      <c r="S464" s="49">
        <v>28637</v>
      </c>
      <c r="T464" s="49">
        <v>30592</v>
      </c>
      <c r="U464" s="49">
        <v>21220</v>
      </c>
      <c r="V464" s="49">
        <v>24228</v>
      </c>
      <c r="W464" s="52">
        <v>27456</v>
      </c>
      <c r="X464" s="13">
        <v>1.91265600513566E-2</v>
      </c>
      <c r="Y464" s="13">
        <v>9.4671705943383255E-3</v>
      </c>
      <c r="Z464" s="13">
        <v>-3.9431424009396698E-2</v>
      </c>
      <c r="AA464" s="13">
        <v>-1.1282325630272205E-2</v>
      </c>
    </row>
    <row r="465" spans="1:27" ht="15" x14ac:dyDescent="0.25">
      <c r="A465" s="4">
        <v>260129</v>
      </c>
      <c r="B465" s="20">
        <v>7751</v>
      </c>
      <c r="C465" s="10" t="s">
        <v>67</v>
      </c>
      <c r="D465" s="37" t="s">
        <v>762</v>
      </c>
      <c r="E465" s="10" t="s">
        <v>25</v>
      </c>
      <c r="F465" s="38">
        <v>-1.756936923720809</v>
      </c>
      <c r="G465" s="49">
        <v>81021</v>
      </c>
      <c r="H465" s="49">
        <v>81992</v>
      </c>
      <c r="I465" s="49">
        <v>105220</v>
      </c>
      <c r="J465" s="49">
        <v>87498</v>
      </c>
      <c r="K465" s="49">
        <v>104630</v>
      </c>
      <c r="L465" s="49">
        <v>87441</v>
      </c>
      <c r="M465" s="49">
        <v>95176</v>
      </c>
      <c r="N465" s="49">
        <v>85592</v>
      </c>
      <c r="O465" s="49">
        <v>118258</v>
      </c>
      <c r="P465" s="49">
        <v>80083</v>
      </c>
      <c r="Q465" s="49">
        <v>118391</v>
      </c>
      <c r="R465" s="49">
        <v>98164</v>
      </c>
      <c r="S465" s="50">
        <v>161179</v>
      </c>
      <c r="T465" s="49">
        <v>96517</v>
      </c>
      <c r="U465" s="49">
        <v>117791</v>
      </c>
      <c r="V465" s="49">
        <v>88047</v>
      </c>
      <c r="W465" s="52">
        <v>153035</v>
      </c>
      <c r="X465" s="13">
        <v>3.5896438970156153E-2</v>
      </c>
      <c r="Y465" s="13">
        <v>-1.2651528410061452E-3</v>
      </c>
      <c r="Z465" s="13">
        <v>-2.1359608657006923E-2</v>
      </c>
      <c r="AA465" s="13">
        <v>-1.7569369237208088E-2</v>
      </c>
    </row>
    <row r="466" spans="1:27" ht="15" x14ac:dyDescent="0.25">
      <c r="A466" s="4">
        <v>260129</v>
      </c>
      <c r="B466" s="20">
        <v>9505</v>
      </c>
      <c r="C466" s="10" t="s">
        <v>67</v>
      </c>
      <c r="D466" s="37" t="s">
        <v>776</v>
      </c>
      <c r="E466" s="10" t="s">
        <v>25</v>
      </c>
      <c r="F466" s="38">
        <v>-2.453439756746489</v>
      </c>
      <c r="G466" s="49">
        <v>-15423</v>
      </c>
      <c r="H466" s="49">
        <v>-12461</v>
      </c>
      <c r="I466" s="49">
        <v>-12214</v>
      </c>
      <c r="J466" s="49">
        <v>-24969</v>
      </c>
      <c r="K466" s="50">
        <v>-30068</v>
      </c>
      <c r="L466" s="49">
        <v>-6540</v>
      </c>
      <c r="M466" s="49">
        <v>41859</v>
      </c>
      <c r="N466" s="49">
        <v>33154</v>
      </c>
      <c r="O466" s="50">
        <v>15497</v>
      </c>
      <c r="P466" s="50">
        <v>24401</v>
      </c>
      <c r="Q466" s="49">
        <v>35993</v>
      </c>
      <c r="R466" s="49">
        <v>26347</v>
      </c>
      <c r="S466" s="49">
        <v>16121</v>
      </c>
      <c r="T466" s="49">
        <v>22573</v>
      </c>
      <c r="U466" s="49">
        <v>36273</v>
      </c>
      <c r="V466" s="49">
        <v>30273</v>
      </c>
      <c r="W466" s="52">
        <v>13539</v>
      </c>
      <c r="X466" s="13">
        <v>-1.7771383018024167E-2</v>
      </c>
      <c r="Y466" s="13">
        <v>2.7713442999386384E-3</v>
      </c>
      <c r="Z466" s="13">
        <v>3.8750814300096748E-2</v>
      </c>
      <c r="AA466" s="13">
        <v>-2.4534397567464894E-2</v>
      </c>
    </row>
    <row r="467" spans="1:27" ht="15" x14ac:dyDescent="0.25">
      <c r="A467" s="4">
        <v>260129</v>
      </c>
      <c r="B467" s="20">
        <v>6701</v>
      </c>
      <c r="C467" s="10" t="s">
        <v>67</v>
      </c>
      <c r="D467" s="37" t="s">
        <v>765</v>
      </c>
      <c r="E467" s="10" t="s">
        <v>25</v>
      </c>
      <c r="F467" s="38">
        <v>-4.5045917656958423</v>
      </c>
      <c r="G467" s="49">
        <v>24057</v>
      </c>
      <c r="H467" s="49">
        <v>85263</v>
      </c>
      <c r="I467" s="49">
        <v>-15341</v>
      </c>
      <c r="J467" s="49">
        <v>29208</v>
      </c>
      <c r="K467" s="50">
        <v>43232</v>
      </c>
      <c r="L467" s="50">
        <v>113348</v>
      </c>
      <c r="M467" s="49">
        <v>-8125</v>
      </c>
      <c r="N467" s="49">
        <v>36120</v>
      </c>
      <c r="O467" s="49">
        <v>41820</v>
      </c>
      <c r="P467" s="49">
        <v>118197</v>
      </c>
      <c r="Q467" s="49">
        <v>4540</v>
      </c>
      <c r="R467" s="49">
        <v>40153</v>
      </c>
      <c r="S467" s="50">
        <v>81473</v>
      </c>
      <c r="T467" s="49">
        <v>130331</v>
      </c>
      <c r="U467" s="50">
        <v>35389</v>
      </c>
      <c r="V467" s="50">
        <v>83181</v>
      </c>
      <c r="W467" s="52">
        <v>66591</v>
      </c>
      <c r="X467" s="13">
        <v>4.9655635263931019E-2</v>
      </c>
      <c r="Y467" s="13">
        <v>0.1202704125194447</v>
      </c>
      <c r="Z467" s="13">
        <v>0.14974281876204998</v>
      </c>
      <c r="AA467" s="13">
        <v>-4.5045917656958423E-2</v>
      </c>
    </row>
    <row r="468" spans="1:27" ht="15" x14ac:dyDescent="0.25">
      <c r="A468" s="4">
        <v>260129</v>
      </c>
      <c r="B468" s="20">
        <v>7148</v>
      </c>
      <c r="C468" s="10" t="s">
        <v>67</v>
      </c>
      <c r="D468" s="37" t="s">
        <v>777</v>
      </c>
      <c r="E468" s="10" t="s">
        <v>25</v>
      </c>
      <c r="F468" s="38">
        <v>-5.1850977615169764</v>
      </c>
      <c r="G468" s="49">
        <v>3406</v>
      </c>
      <c r="H468" s="49">
        <v>2769</v>
      </c>
      <c r="I468" s="49">
        <v>3660</v>
      </c>
      <c r="J468" s="49">
        <v>1911</v>
      </c>
      <c r="K468" s="50">
        <v>7093</v>
      </c>
      <c r="L468" s="49">
        <v>4236</v>
      </c>
      <c r="M468" s="49">
        <v>4065</v>
      </c>
      <c r="N468" s="49">
        <v>2745</v>
      </c>
      <c r="O468" s="49">
        <v>8310</v>
      </c>
      <c r="P468" s="50">
        <v>7368</v>
      </c>
      <c r="Q468" s="50">
        <v>7415</v>
      </c>
      <c r="R468" s="50">
        <v>5528</v>
      </c>
      <c r="S468" s="49">
        <v>7681</v>
      </c>
      <c r="T468" s="49">
        <v>7441</v>
      </c>
      <c r="U468" s="49">
        <v>3926</v>
      </c>
      <c r="V468" s="49">
        <v>6371</v>
      </c>
      <c r="W468" s="52">
        <v>6363</v>
      </c>
      <c r="X468" s="13">
        <v>2.6078879679909406E-3</v>
      </c>
      <c r="Y468" s="13">
        <v>-0.12431854623196148</v>
      </c>
      <c r="Z468" s="13">
        <v>3.43017578125E-2</v>
      </c>
      <c r="AA468" s="13">
        <v>-5.1850977615169769E-2</v>
      </c>
    </row>
    <row r="469" spans="1:27" ht="15" x14ac:dyDescent="0.25">
      <c r="A469" s="4">
        <v>260129</v>
      </c>
      <c r="B469" s="20">
        <v>6586</v>
      </c>
      <c r="C469" s="10" t="s">
        <v>67</v>
      </c>
      <c r="D469" s="37" t="s">
        <v>760</v>
      </c>
      <c r="E469" s="10" t="s">
        <v>25</v>
      </c>
      <c r="F469" s="38">
        <v>-5.7580821329549341</v>
      </c>
      <c r="G469" s="49">
        <v>21073</v>
      </c>
      <c r="H469" s="49">
        <v>18495</v>
      </c>
      <c r="I469" s="49">
        <v>15228</v>
      </c>
      <c r="J469" s="49">
        <v>6691</v>
      </c>
      <c r="K469" s="49">
        <v>5239</v>
      </c>
      <c r="L469" s="49">
        <v>1088</v>
      </c>
      <c r="M469" s="49">
        <v>16311</v>
      </c>
      <c r="N469" s="50">
        <v>15449</v>
      </c>
      <c r="O469" s="50">
        <v>16289</v>
      </c>
      <c r="P469" s="50">
        <v>18120</v>
      </c>
      <c r="Q469" s="49">
        <v>21344</v>
      </c>
      <c r="R469" s="50">
        <v>30071</v>
      </c>
      <c r="S469" s="50">
        <v>30919</v>
      </c>
      <c r="T469" s="49">
        <v>24704</v>
      </c>
      <c r="U469" s="49">
        <v>26069</v>
      </c>
      <c r="V469" s="49">
        <v>25427</v>
      </c>
      <c r="W469" s="52">
        <v>24751</v>
      </c>
      <c r="X469" s="13">
        <v>6.5542437334501269E-2</v>
      </c>
      <c r="Y469" s="13">
        <v>4.4143201479848182E-2</v>
      </c>
      <c r="Z469" s="13">
        <v>-4.1552213165358842E-2</v>
      </c>
      <c r="AA469" s="13">
        <v>-5.7580821329549337E-2</v>
      </c>
    </row>
    <row r="470" spans="1:27" ht="15" x14ac:dyDescent="0.25">
      <c r="A470" s="4">
        <v>260129</v>
      </c>
      <c r="B470" s="20">
        <v>4956</v>
      </c>
      <c r="C470" s="10" t="s">
        <v>67</v>
      </c>
      <c r="D470" s="37" t="s">
        <v>772</v>
      </c>
      <c r="E470" s="10" t="s">
        <v>25</v>
      </c>
      <c r="F470" s="38">
        <v>-6.2692901234567948</v>
      </c>
      <c r="G470" s="49">
        <v>2062</v>
      </c>
      <c r="H470" s="49">
        <v>1799</v>
      </c>
      <c r="I470" s="49">
        <v>1251</v>
      </c>
      <c r="J470" s="49">
        <v>1624</v>
      </c>
      <c r="K470" s="49">
        <v>2281</v>
      </c>
      <c r="L470" s="49">
        <v>2227</v>
      </c>
      <c r="M470" s="50">
        <v>2191</v>
      </c>
      <c r="N470" s="50">
        <v>2725</v>
      </c>
      <c r="O470" s="50">
        <v>3288</v>
      </c>
      <c r="P470" s="49">
        <v>2037</v>
      </c>
      <c r="Q470" s="49">
        <v>2116</v>
      </c>
      <c r="R470" s="49">
        <v>2758</v>
      </c>
      <c r="S470" s="49">
        <v>3613</v>
      </c>
      <c r="T470" s="49">
        <v>2133</v>
      </c>
      <c r="U470" s="49">
        <v>2107</v>
      </c>
      <c r="V470" s="49">
        <v>2515</v>
      </c>
      <c r="W470" s="52">
        <v>2963</v>
      </c>
      <c r="X470" s="13">
        <v>9.1220068415052147E-3</v>
      </c>
      <c r="Y470" s="13">
        <v>-8.4745762711868622E-4</v>
      </c>
      <c r="Z470" s="13">
        <v>-2.2900763358778664E-2</v>
      </c>
      <c r="AA470" s="13">
        <v>-6.2692901234567944E-2</v>
      </c>
    </row>
    <row r="471" spans="1:27" ht="15" x14ac:dyDescent="0.25">
      <c r="A471" s="4">
        <v>260129</v>
      </c>
      <c r="B471" s="20">
        <v>6923</v>
      </c>
      <c r="C471" s="10" t="s">
        <v>67</v>
      </c>
      <c r="D471" s="37" t="s">
        <v>770</v>
      </c>
      <c r="E471" s="10" t="s">
        <v>25</v>
      </c>
      <c r="F471" s="38">
        <v>-7.5224264020385734</v>
      </c>
      <c r="G471" s="49">
        <v>8425</v>
      </c>
      <c r="H471" s="49">
        <v>6340</v>
      </c>
      <c r="I471" s="49">
        <v>2839</v>
      </c>
      <c r="J471" s="49">
        <v>11787</v>
      </c>
      <c r="K471" s="49">
        <v>6283</v>
      </c>
      <c r="L471" s="50">
        <v>13760</v>
      </c>
      <c r="M471" s="49">
        <v>3666</v>
      </c>
      <c r="N471" s="49">
        <v>10412</v>
      </c>
      <c r="O471" s="50">
        <v>13337</v>
      </c>
      <c r="P471" s="49">
        <v>8420</v>
      </c>
      <c r="Q471" s="50">
        <v>9536</v>
      </c>
      <c r="R471" s="49">
        <v>9662</v>
      </c>
      <c r="S471" s="49">
        <v>13753</v>
      </c>
      <c r="T471" s="50">
        <v>16053</v>
      </c>
      <c r="U471" s="49">
        <v>8608</v>
      </c>
      <c r="V471" s="49">
        <v>9855</v>
      </c>
      <c r="W471" s="52">
        <v>10122</v>
      </c>
      <c r="X471" s="13">
        <v>0.18450122066181618</v>
      </c>
      <c r="Y471" s="13">
        <v>-1.893722961390909E-2</v>
      </c>
      <c r="Z471" s="13">
        <v>4.0144770779599881E-3</v>
      </c>
      <c r="AA471" s="13">
        <v>-7.5224264020385734E-2</v>
      </c>
    </row>
    <row r="472" spans="1:27" ht="15" x14ac:dyDescent="0.25">
      <c r="A472" s="4">
        <v>260129</v>
      </c>
      <c r="B472" s="20">
        <v>5471</v>
      </c>
      <c r="C472" s="10" t="s">
        <v>67</v>
      </c>
      <c r="D472" s="37" t="s">
        <v>771</v>
      </c>
      <c r="E472" s="10" t="s">
        <v>25</v>
      </c>
      <c r="F472" s="38">
        <v>-7.6093661328924922</v>
      </c>
      <c r="G472" s="49">
        <v>9758</v>
      </c>
      <c r="H472" s="49">
        <v>8068</v>
      </c>
      <c r="I472" s="49">
        <v>10191</v>
      </c>
      <c r="J472" s="49">
        <v>13035</v>
      </c>
      <c r="K472" s="50">
        <v>14430</v>
      </c>
      <c r="L472" s="49">
        <v>9331</v>
      </c>
      <c r="M472" s="49">
        <v>7980</v>
      </c>
      <c r="N472" s="49">
        <v>11024</v>
      </c>
      <c r="O472" s="49">
        <v>14048</v>
      </c>
      <c r="P472" s="49">
        <v>3569</v>
      </c>
      <c r="Q472" s="49">
        <v>10068</v>
      </c>
      <c r="R472" s="49">
        <v>8192</v>
      </c>
      <c r="S472" s="49">
        <v>15811</v>
      </c>
      <c r="T472" s="49">
        <v>6253</v>
      </c>
      <c r="U472" s="49">
        <v>8659</v>
      </c>
      <c r="V472" s="49">
        <v>9806</v>
      </c>
      <c r="W472" s="52">
        <v>12727</v>
      </c>
      <c r="X472" s="13">
        <v>7.130712008501594E-2</v>
      </c>
      <c r="Y472" s="13">
        <v>-3.4941970042654535E-2</v>
      </c>
      <c r="Z472" s="13">
        <v>4.147500963638695E-2</v>
      </c>
      <c r="AA472" s="13">
        <v>-7.6093661328924922E-2</v>
      </c>
    </row>
    <row r="473" spans="1:27" ht="15" x14ac:dyDescent="0.25">
      <c r="A473" s="4">
        <v>260129</v>
      </c>
      <c r="B473" s="20">
        <v>6305</v>
      </c>
      <c r="C473" s="10" t="s">
        <v>67</v>
      </c>
      <c r="D473" s="37" t="s">
        <v>769</v>
      </c>
      <c r="E473" s="10" t="s">
        <v>25</v>
      </c>
      <c r="F473" s="38">
        <v>-9.5820907083930429</v>
      </c>
      <c r="G473" s="49">
        <v>23283</v>
      </c>
      <c r="H473" s="49">
        <v>42281</v>
      </c>
      <c r="I473" s="49">
        <v>21791</v>
      </c>
      <c r="J473" s="49">
        <v>31471</v>
      </c>
      <c r="K473" s="49">
        <v>34152</v>
      </c>
      <c r="L473" s="49">
        <v>49976</v>
      </c>
      <c r="M473" s="50">
        <v>38150</v>
      </c>
      <c r="N473" s="49">
        <v>44693</v>
      </c>
      <c r="O473" s="49">
        <v>38878</v>
      </c>
      <c r="P473" s="49">
        <v>0</v>
      </c>
      <c r="Q473" s="49">
        <v>32815</v>
      </c>
      <c r="R473" s="49">
        <v>37974</v>
      </c>
      <c r="S473" s="49">
        <v>45288</v>
      </c>
      <c r="T473" s="50">
        <v>41914</v>
      </c>
      <c r="U473" s="49">
        <v>22081</v>
      </c>
      <c r="V473" s="49">
        <v>45631</v>
      </c>
      <c r="W473" s="52">
        <v>30444</v>
      </c>
      <c r="X473" s="13">
        <v>0.36108789855010026</v>
      </c>
      <c r="Y473" s="13">
        <v>-6.7940578893734505E-2</v>
      </c>
      <c r="Z473" s="13">
        <v>5.1997528131090487E-2</v>
      </c>
      <c r="AA473" s="13">
        <v>-9.5820907083930429E-2</v>
      </c>
    </row>
    <row r="474" spans="1:27" ht="15" x14ac:dyDescent="0.25">
      <c r="A474" s="4">
        <v>260129</v>
      </c>
      <c r="B474" s="20">
        <v>3593</v>
      </c>
      <c r="C474" s="10" t="s">
        <v>67</v>
      </c>
      <c r="D474" s="37" t="s">
        <v>773</v>
      </c>
      <c r="E474" s="10" t="s">
        <v>25</v>
      </c>
      <c r="F474" s="38">
        <v>-17.130405631914179</v>
      </c>
      <c r="G474" s="49">
        <v>1814</v>
      </c>
      <c r="H474" s="49">
        <v>1334</v>
      </c>
      <c r="I474" s="49">
        <v>1858</v>
      </c>
      <c r="J474" s="49">
        <v>1328</v>
      </c>
      <c r="K474" s="49">
        <v>1878</v>
      </c>
      <c r="L474" s="49">
        <v>1571</v>
      </c>
      <c r="M474" s="49">
        <v>1303</v>
      </c>
      <c r="N474" s="49">
        <v>1073</v>
      </c>
      <c r="O474" s="49">
        <v>1111</v>
      </c>
      <c r="P474" s="49">
        <v>682</v>
      </c>
      <c r="Q474" s="49">
        <v>1337</v>
      </c>
      <c r="R474" s="49">
        <v>586</v>
      </c>
      <c r="S474" s="49">
        <v>1322</v>
      </c>
      <c r="T474" s="49">
        <v>383</v>
      </c>
      <c r="U474" s="49">
        <v>951</v>
      </c>
      <c r="V474" s="49">
        <v>327</v>
      </c>
      <c r="W474" s="52">
        <v>811</v>
      </c>
      <c r="X474" s="13">
        <v>-7.6139546727782004E-2</v>
      </c>
      <c r="Y474" s="13">
        <v>-0.10639470782800442</v>
      </c>
      <c r="Z474" s="13">
        <v>-7.9888957433682961E-2</v>
      </c>
      <c r="AA474" s="13">
        <v>-0.17130405631914181</v>
      </c>
    </row>
    <row r="475" spans="1:27" ht="15" x14ac:dyDescent="0.25">
      <c r="A475" s="4">
        <v>260129</v>
      </c>
      <c r="B475" s="20" t="s">
        <v>778</v>
      </c>
      <c r="C475" s="10" t="s">
        <v>31</v>
      </c>
      <c r="D475" s="37" t="s">
        <v>779</v>
      </c>
      <c r="E475" s="10" t="s">
        <v>25</v>
      </c>
      <c r="F475" s="38">
        <v>8.1999766382431893</v>
      </c>
      <c r="G475" s="49">
        <v>2907</v>
      </c>
      <c r="H475" s="49">
        <v>2742</v>
      </c>
      <c r="I475" s="49">
        <v>3149</v>
      </c>
      <c r="J475" s="49">
        <v>2060</v>
      </c>
      <c r="K475" s="50">
        <v>4044</v>
      </c>
      <c r="L475" s="50">
        <v>5173</v>
      </c>
      <c r="M475" s="49">
        <v>3612</v>
      </c>
      <c r="N475" s="50">
        <v>4184</v>
      </c>
      <c r="O475" s="49">
        <v>3718</v>
      </c>
      <c r="P475" s="49">
        <v>6526</v>
      </c>
      <c r="Q475" s="50">
        <v>6058</v>
      </c>
      <c r="R475" s="50">
        <v>7127</v>
      </c>
      <c r="S475" s="49">
        <v>4288</v>
      </c>
      <c r="T475" s="49">
        <v>3432</v>
      </c>
      <c r="U475" s="49">
        <v>6776</v>
      </c>
      <c r="V475" s="50">
        <v>11187</v>
      </c>
      <c r="W475" s="52">
        <v>6394</v>
      </c>
      <c r="X475" s="13">
        <v>-0.12892203841826744</v>
      </c>
      <c r="Y475" s="13">
        <v>3.4345850275053769E-2</v>
      </c>
      <c r="Z475" s="13">
        <v>0.18776303010683071</v>
      </c>
      <c r="AA475" s="13">
        <v>8.1999766382431893E-2</v>
      </c>
    </row>
    <row r="476" spans="1:27" ht="15" x14ac:dyDescent="0.25">
      <c r="A476" s="4">
        <v>260129</v>
      </c>
      <c r="B476" s="20" t="s">
        <v>802</v>
      </c>
      <c r="C476" s="10" t="s">
        <v>31</v>
      </c>
      <c r="D476" s="37" t="s">
        <v>797</v>
      </c>
      <c r="E476" s="10" t="s">
        <v>25</v>
      </c>
      <c r="F476" s="38">
        <v>5.5355681484798414</v>
      </c>
      <c r="G476" s="49">
        <v>24224</v>
      </c>
      <c r="H476" s="49">
        <v>29307</v>
      </c>
      <c r="I476" s="49">
        <v>30960</v>
      </c>
      <c r="J476" s="49">
        <v>34870</v>
      </c>
      <c r="K476" s="50">
        <v>40209</v>
      </c>
      <c r="L476" s="50">
        <v>43595</v>
      </c>
      <c r="M476" s="50">
        <v>51142</v>
      </c>
      <c r="N476" s="50">
        <v>52495</v>
      </c>
      <c r="O476" s="49">
        <v>50969</v>
      </c>
      <c r="P476" s="49">
        <v>-596.52</v>
      </c>
      <c r="Q476" s="49">
        <v>55431</v>
      </c>
      <c r="R476" s="49">
        <v>56389</v>
      </c>
      <c r="S476" s="49">
        <v>56092</v>
      </c>
      <c r="T476" s="49">
        <v>9007</v>
      </c>
      <c r="U476" s="49">
        <v>65378</v>
      </c>
      <c r="V476" s="49">
        <v>63812</v>
      </c>
      <c r="W476" s="52">
        <v>66847</v>
      </c>
      <c r="X476" s="13">
        <v>5.7397677728324936E-2</v>
      </c>
      <c r="Y476" s="13">
        <v>5.6223469497340695E-2</v>
      </c>
      <c r="Z476" s="13">
        <v>3.9723652242783514E-2</v>
      </c>
      <c r="AA476" s="13">
        <v>5.5355681484798414E-2</v>
      </c>
    </row>
    <row r="477" spans="1:27" ht="15" x14ac:dyDescent="0.25">
      <c r="A477" s="4">
        <v>260129</v>
      </c>
      <c r="B477" s="20" t="s">
        <v>784</v>
      </c>
      <c r="C477" s="10" t="s">
        <v>31</v>
      </c>
      <c r="D477" s="37" t="s">
        <v>785</v>
      </c>
      <c r="E477" s="10" t="s">
        <v>25</v>
      </c>
      <c r="F477" s="38">
        <v>5.3415697674418672</v>
      </c>
      <c r="G477" s="49">
        <v>3212</v>
      </c>
      <c r="H477" s="49">
        <v>3205</v>
      </c>
      <c r="I477" s="49">
        <v>3415</v>
      </c>
      <c r="J477" s="49">
        <v>3670</v>
      </c>
      <c r="K477" s="49">
        <v>2905</v>
      </c>
      <c r="L477" s="49">
        <v>3591</v>
      </c>
      <c r="M477" s="49">
        <v>2537</v>
      </c>
      <c r="N477" s="49">
        <v>3934</v>
      </c>
      <c r="O477" s="49">
        <v>3586</v>
      </c>
      <c r="P477" s="49">
        <v>3497</v>
      </c>
      <c r="Q477" s="49">
        <v>2722</v>
      </c>
      <c r="R477" s="49">
        <v>4157</v>
      </c>
      <c r="S477" s="49">
        <v>3795</v>
      </c>
      <c r="T477" s="49">
        <v>2970</v>
      </c>
      <c r="U477" s="49">
        <v>2711</v>
      </c>
      <c r="V477" s="49">
        <v>4284</v>
      </c>
      <c r="W477" s="52">
        <v>4530</v>
      </c>
      <c r="X477" s="13">
        <v>-3.7188624655987601E-2</v>
      </c>
      <c r="Y477" s="13">
        <v>-8.0621518616241783E-4</v>
      </c>
      <c r="Z477" s="13">
        <v>9.3156311890265631E-3</v>
      </c>
      <c r="AA477" s="13">
        <v>5.3415697674418672E-2</v>
      </c>
    </row>
    <row r="478" spans="1:27" ht="15" x14ac:dyDescent="0.25">
      <c r="A478" s="4">
        <v>260129</v>
      </c>
      <c r="B478" s="20" t="s">
        <v>792</v>
      </c>
      <c r="C478" s="10" t="s">
        <v>31</v>
      </c>
      <c r="D478" s="37" t="s">
        <v>793</v>
      </c>
      <c r="E478" s="10" t="s">
        <v>25</v>
      </c>
      <c r="F478" s="38">
        <v>3.4432981498894182</v>
      </c>
      <c r="G478" s="49">
        <v>1459</v>
      </c>
      <c r="H478" s="49">
        <v>2771</v>
      </c>
      <c r="I478" s="49">
        <v>1685</v>
      </c>
      <c r="J478" s="49">
        <v>911.4</v>
      </c>
      <c r="K478" s="49">
        <v>653.20000000000005</v>
      </c>
      <c r="L478" s="49">
        <v>2343</v>
      </c>
      <c r="M478" s="49">
        <v>1741</v>
      </c>
      <c r="N478" s="49">
        <v>585.9</v>
      </c>
      <c r="O478" s="49">
        <v>155.80000000000001</v>
      </c>
      <c r="P478" s="49">
        <v>2061</v>
      </c>
      <c r="Q478" s="50">
        <v>4104</v>
      </c>
      <c r="R478" s="50">
        <v>1458</v>
      </c>
      <c r="S478" s="50">
        <v>1795</v>
      </c>
      <c r="T478" s="50">
        <v>3695</v>
      </c>
      <c r="U478" s="49">
        <v>1601</v>
      </c>
      <c r="V478" s="49">
        <v>459.9</v>
      </c>
      <c r="W478" s="52">
        <v>2055</v>
      </c>
      <c r="X478" s="13">
        <v>0.17349755786791254</v>
      </c>
      <c r="Y478" s="13">
        <v>-0.22647484618168656</v>
      </c>
      <c r="Z478" s="13">
        <v>-0.11675049713416774</v>
      </c>
      <c r="AA478" s="13">
        <v>3.4432981498894177E-2</v>
      </c>
    </row>
    <row r="479" spans="1:27" ht="15" x14ac:dyDescent="0.25">
      <c r="A479" s="4">
        <v>260129</v>
      </c>
      <c r="B479" s="20" t="s">
        <v>788</v>
      </c>
      <c r="C479" s="10" t="s">
        <v>31</v>
      </c>
      <c r="D479" s="37" t="s">
        <v>789</v>
      </c>
      <c r="E479" s="10" t="s">
        <v>25</v>
      </c>
      <c r="F479" s="38">
        <v>1.981057366403749</v>
      </c>
      <c r="G479" s="49">
        <v>149.09</v>
      </c>
      <c r="H479" s="49">
        <v>181.65</v>
      </c>
      <c r="I479" s="49">
        <v>175.48</v>
      </c>
      <c r="J479" s="49">
        <v>3354</v>
      </c>
      <c r="K479" s="49">
        <v>247.37</v>
      </c>
      <c r="L479" s="49">
        <v>232.17</v>
      </c>
      <c r="M479" s="49">
        <v>231.96</v>
      </c>
      <c r="N479" s="49">
        <v>861.33</v>
      </c>
      <c r="O479" s="49">
        <v>245.84</v>
      </c>
      <c r="P479" s="49">
        <v>235.77</v>
      </c>
      <c r="Q479" s="49">
        <v>240.34</v>
      </c>
      <c r="R479" s="50">
        <v>1585</v>
      </c>
      <c r="S479" s="49">
        <v>259.48</v>
      </c>
      <c r="T479" s="49">
        <v>255.96</v>
      </c>
      <c r="U479" s="49">
        <v>263.45999999999998</v>
      </c>
      <c r="V479" s="49">
        <v>799.55</v>
      </c>
      <c r="W479" s="52">
        <v>290.75</v>
      </c>
      <c r="X479" s="13">
        <v>8.7003736118829167E-3</v>
      </c>
      <c r="Y479" s="13">
        <v>9.8770495304985051E-3</v>
      </c>
      <c r="Z479" s="13">
        <v>-0.33226870849020684</v>
      </c>
      <c r="AA479" s="13">
        <v>1.9810573664037268E-2</v>
      </c>
    </row>
    <row r="480" spans="1:27" ht="15" x14ac:dyDescent="0.25">
      <c r="A480" s="4">
        <v>260129</v>
      </c>
      <c r="B480" s="20" t="s">
        <v>782</v>
      </c>
      <c r="C480" s="10" t="s">
        <v>31</v>
      </c>
      <c r="D480" s="37" t="s">
        <v>783</v>
      </c>
      <c r="E480" s="10" t="s">
        <v>25</v>
      </c>
      <c r="F480" s="38">
        <v>7.5412073113789724E-2</v>
      </c>
      <c r="G480" s="49">
        <v>5020</v>
      </c>
      <c r="H480" s="49">
        <v>4022</v>
      </c>
      <c r="I480" s="49">
        <v>6408</v>
      </c>
      <c r="J480" s="49">
        <v>10112</v>
      </c>
      <c r="K480" s="49">
        <v>7335</v>
      </c>
      <c r="L480" s="49">
        <v>5250</v>
      </c>
      <c r="M480" s="49">
        <v>6611</v>
      </c>
      <c r="N480" s="49">
        <v>10048</v>
      </c>
      <c r="O480" s="49">
        <v>2943</v>
      </c>
      <c r="P480" s="49">
        <v>2557</v>
      </c>
      <c r="Q480" s="49">
        <v>4405</v>
      </c>
      <c r="R480" s="49">
        <v>9058</v>
      </c>
      <c r="S480" s="50">
        <v>6510</v>
      </c>
      <c r="T480" s="49">
        <v>4274</v>
      </c>
      <c r="U480" s="49">
        <v>6615</v>
      </c>
      <c r="V480" s="49">
        <v>10448</v>
      </c>
      <c r="W480" s="52">
        <v>6531</v>
      </c>
      <c r="X480" s="13">
        <v>7.6209498446515811E-2</v>
      </c>
      <c r="Y480" s="13">
        <v>9.1145296325318537E-2</v>
      </c>
      <c r="Z480" s="13">
        <v>5.2538080659182862E-2</v>
      </c>
      <c r="AA480" s="13">
        <v>7.5412073113789724E-4</v>
      </c>
    </row>
    <row r="481" spans="1:27" ht="15" x14ac:dyDescent="0.25">
      <c r="A481" s="4">
        <v>260129</v>
      </c>
      <c r="B481" s="20" t="s">
        <v>786</v>
      </c>
      <c r="C481" s="10" t="s">
        <v>31</v>
      </c>
      <c r="D481" s="37" t="s">
        <v>787</v>
      </c>
      <c r="E481" s="10" t="s">
        <v>25</v>
      </c>
      <c r="F481" s="38">
        <v>-2.0977879356787188</v>
      </c>
      <c r="G481" s="49">
        <v>2247</v>
      </c>
      <c r="H481" s="49">
        <v>3926</v>
      </c>
      <c r="I481" s="49">
        <v>2682</v>
      </c>
      <c r="J481" s="49">
        <v>2423</v>
      </c>
      <c r="K481" s="49">
        <v>2791</v>
      </c>
      <c r="L481" s="49">
        <v>4247</v>
      </c>
      <c r="M481" s="49">
        <v>3121</v>
      </c>
      <c r="N481" s="49">
        <v>3302</v>
      </c>
      <c r="O481" s="49">
        <v>3603</v>
      </c>
      <c r="P481" s="49">
        <v>4139</v>
      </c>
      <c r="Q481" s="49">
        <v>3404</v>
      </c>
      <c r="R481" s="49">
        <v>3497</v>
      </c>
      <c r="S481" s="49">
        <v>3329</v>
      </c>
      <c r="T481" s="49">
        <v>3368</v>
      </c>
      <c r="U481" s="49">
        <v>3148</v>
      </c>
      <c r="V481" s="49">
        <v>2406</v>
      </c>
      <c r="W481" s="52">
        <v>3072</v>
      </c>
      <c r="X481" s="13">
        <v>-5.3657178648479409E-2</v>
      </c>
      <c r="Y481" s="13">
        <v>-1.8826297984997797E-2</v>
      </c>
      <c r="Z481" s="13">
        <v>-8.1771848298605954E-2</v>
      </c>
      <c r="AA481" s="13">
        <v>-2.0977879356787188E-2</v>
      </c>
    </row>
    <row r="482" spans="1:27" ht="15" x14ac:dyDescent="0.25">
      <c r="A482" s="4">
        <v>260129</v>
      </c>
      <c r="B482" s="20" t="s">
        <v>794</v>
      </c>
      <c r="C482" s="10" t="s">
        <v>31</v>
      </c>
      <c r="D482" s="37" t="s">
        <v>795</v>
      </c>
      <c r="E482" s="10" t="s">
        <v>25</v>
      </c>
      <c r="F482" s="38">
        <v>-4.605966080047164</v>
      </c>
      <c r="G482" s="49">
        <v>9864</v>
      </c>
      <c r="H482" s="49">
        <v>45900</v>
      </c>
      <c r="I482" s="49">
        <v>49037</v>
      </c>
      <c r="J482" s="49">
        <v>1148</v>
      </c>
      <c r="K482" s="49">
        <v>6321</v>
      </c>
      <c r="L482" s="49">
        <v>12776</v>
      </c>
      <c r="M482" s="49">
        <v>25796</v>
      </c>
      <c r="N482" s="50">
        <v>41669</v>
      </c>
      <c r="O482" s="50">
        <v>36431</v>
      </c>
      <c r="P482" s="50">
        <v>39329</v>
      </c>
      <c r="Q482" s="50">
        <v>51987</v>
      </c>
      <c r="R482" s="49">
        <v>42170</v>
      </c>
      <c r="S482" s="49">
        <v>38529</v>
      </c>
      <c r="T482" s="49">
        <v>38789</v>
      </c>
      <c r="U482" s="49">
        <v>45967</v>
      </c>
      <c r="V482" s="49">
        <v>39569</v>
      </c>
      <c r="W482" s="52">
        <v>31028</v>
      </c>
      <c r="X482" s="13">
        <v>-3.1392611109496427E-3</v>
      </c>
      <c r="Y482" s="13">
        <v>-3.5107158477912237E-2</v>
      </c>
      <c r="Z482" s="13">
        <v>-1.5720286482729495E-2</v>
      </c>
      <c r="AA482" s="13">
        <v>-4.6059660800471636E-2</v>
      </c>
    </row>
    <row r="483" spans="1:27" ht="15" x14ac:dyDescent="0.25">
      <c r="A483" s="4">
        <v>260129</v>
      </c>
      <c r="B483" s="20" t="s">
        <v>790</v>
      </c>
      <c r="C483" s="10" t="s">
        <v>31</v>
      </c>
      <c r="D483" s="37" t="s">
        <v>791</v>
      </c>
      <c r="E483" s="10" t="s">
        <v>25</v>
      </c>
      <c r="F483" s="38">
        <v>-7.5148036876441671</v>
      </c>
      <c r="G483" s="49">
        <v>1297</v>
      </c>
      <c r="H483" s="49">
        <v>803.88</v>
      </c>
      <c r="I483" s="49">
        <v>846.4</v>
      </c>
      <c r="J483" s="49">
        <v>1185</v>
      </c>
      <c r="K483" s="49">
        <v>1237</v>
      </c>
      <c r="L483" s="50">
        <v>1409</v>
      </c>
      <c r="M483" s="49">
        <v>1237</v>
      </c>
      <c r="N483" s="49">
        <v>1217</v>
      </c>
      <c r="O483" s="49">
        <v>1443</v>
      </c>
      <c r="P483" s="49">
        <v>1607</v>
      </c>
      <c r="Q483" s="49">
        <v>1422</v>
      </c>
      <c r="R483" s="49">
        <v>1430</v>
      </c>
      <c r="S483" s="49">
        <v>1244</v>
      </c>
      <c r="T483" s="49">
        <v>975.13</v>
      </c>
      <c r="U483" s="49">
        <v>623.6</v>
      </c>
      <c r="V483" s="49">
        <v>941.8</v>
      </c>
      <c r="W483" s="52">
        <v>959.6</v>
      </c>
      <c r="X483" s="13">
        <v>-0.11079607224267929</v>
      </c>
      <c r="Y483" s="13">
        <v>-0.15744025493331848</v>
      </c>
      <c r="Z483" s="13">
        <v>-0.11425950153648856</v>
      </c>
      <c r="AA483" s="13">
        <v>-7.5148036876441782E-2</v>
      </c>
    </row>
    <row r="484" spans="1:27" ht="15" x14ac:dyDescent="0.25">
      <c r="A484" s="101">
        <v>260129</v>
      </c>
      <c r="B484" s="109" t="s">
        <v>803</v>
      </c>
      <c r="C484" s="102" t="s">
        <v>31</v>
      </c>
      <c r="D484" s="103" t="s">
        <v>781</v>
      </c>
      <c r="E484" s="10" t="s">
        <v>25</v>
      </c>
      <c r="F484" s="104">
        <v>-170.50930996714129</v>
      </c>
      <c r="G484" s="49">
        <v>-8488</v>
      </c>
      <c r="H484" s="49">
        <v>-8163</v>
      </c>
      <c r="I484" s="49">
        <v>-7311</v>
      </c>
      <c r="J484" s="49">
        <v>-6421</v>
      </c>
      <c r="K484" s="49">
        <v>-4547</v>
      </c>
      <c r="L484" s="106">
        <v>-2872</v>
      </c>
      <c r="M484" s="106">
        <v>-4518</v>
      </c>
      <c r="N484" s="106">
        <v>-4111</v>
      </c>
      <c r="O484" s="106">
        <v>-3604</v>
      </c>
      <c r="P484" s="106">
        <v>-3028</v>
      </c>
      <c r="Q484" s="105">
        <v>-9706</v>
      </c>
      <c r="R484" s="106">
        <v>-5819</v>
      </c>
      <c r="S484" s="106">
        <v>-3877</v>
      </c>
      <c r="T484" s="106">
        <v>887</v>
      </c>
      <c r="U484" s="106">
        <v>-702</v>
      </c>
      <c r="V484" s="106">
        <v>40</v>
      </c>
      <c r="W484" s="107">
        <v>2350</v>
      </c>
      <c r="X484" s="110">
        <v>-0.1745430227374053</v>
      </c>
      <c r="Y484" s="110">
        <v>-0.48630839859573316</v>
      </c>
      <c r="Z484" s="110">
        <v>-0.61602355167700562</v>
      </c>
      <c r="AA484" s="110">
        <v>-1.7050930996714129</v>
      </c>
    </row>
    <row r="485" spans="1:27" ht="15" x14ac:dyDescent="0.25">
      <c r="A485" s="4">
        <v>260128</v>
      </c>
      <c r="B485" s="20" t="s">
        <v>28</v>
      </c>
      <c r="C485" s="10" t="s">
        <v>23</v>
      </c>
      <c r="D485" s="10" t="s">
        <v>29</v>
      </c>
      <c r="E485" s="2" t="s">
        <v>25</v>
      </c>
      <c r="F485" s="21">
        <v>731.7663817663821</v>
      </c>
      <c r="G485" s="2">
        <v>38.5</v>
      </c>
      <c r="H485" s="2">
        <v>33.049999999999997</v>
      </c>
      <c r="I485" s="2">
        <v>33.700000000000003</v>
      </c>
      <c r="J485" s="2">
        <v>37.07</v>
      </c>
      <c r="K485" s="2">
        <v>36.14</v>
      </c>
      <c r="L485" s="55">
        <v>8.67</v>
      </c>
      <c r="M485" s="55">
        <v>27.82</v>
      </c>
      <c r="N485" s="55">
        <v>28.87</v>
      </c>
      <c r="O485" s="55">
        <v>28.56</v>
      </c>
      <c r="P485" s="56">
        <v>19.48</v>
      </c>
      <c r="Q485" s="55">
        <v>21.65</v>
      </c>
      <c r="R485" s="55">
        <v>26.75</v>
      </c>
      <c r="S485" s="55">
        <v>23.82</v>
      </c>
      <c r="T485" s="55">
        <v>25.48</v>
      </c>
      <c r="U485" s="55">
        <v>29.59</v>
      </c>
      <c r="V485" s="55">
        <v>-71.87</v>
      </c>
      <c r="W485" s="57">
        <v>75.19</v>
      </c>
      <c r="X485" s="13">
        <f>SUM(Q485:T485)/SUM(P485:S485)-1</f>
        <v>6.5430752453653485E-2</v>
      </c>
      <c r="Y485" s="13">
        <f t="shared" ref="Y485:AA500" si="0">SUM(R485:U485)/SUM(Q485:T485)-1</f>
        <v>8.1269191402251861E-2</v>
      </c>
      <c r="Z485" s="13">
        <f t="shared" si="0"/>
        <v>-0.93354789852328668</v>
      </c>
      <c r="AA485" s="13">
        <f t="shared" si="0"/>
        <v>7.3176638176638207</v>
      </c>
    </row>
    <row r="486" spans="1:27" ht="15" x14ac:dyDescent="0.25">
      <c r="A486" s="4">
        <v>260128</v>
      </c>
      <c r="B486" s="20" t="s">
        <v>38</v>
      </c>
      <c r="C486" s="10" t="s">
        <v>23</v>
      </c>
      <c r="D486" s="10" t="s">
        <v>29</v>
      </c>
      <c r="E486" s="2" t="s">
        <v>25</v>
      </c>
      <c r="F486" s="21">
        <v>91.618371486525646</v>
      </c>
      <c r="G486" s="2">
        <v>40.47</v>
      </c>
      <c r="H486" s="2">
        <v>54.15</v>
      </c>
      <c r="I486" s="2">
        <v>56.14</v>
      </c>
      <c r="J486" s="2">
        <v>40.22</v>
      </c>
      <c r="K486" s="2">
        <v>24.09</v>
      </c>
      <c r="L486" s="55">
        <v>19.62</v>
      </c>
      <c r="M486" s="55">
        <v>16.079999999999998</v>
      </c>
      <c r="N486" s="55">
        <v>9.23</v>
      </c>
      <c r="O486" s="55">
        <v>14.27</v>
      </c>
      <c r="P486" s="55">
        <v>16.87</v>
      </c>
      <c r="Q486" s="55">
        <v>19.64</v>
      </c>
      <c r="R486" s="56">
        <v>18.14</v>
      </c>
      <c r="S486" s="55">
        <v>11.12</v>
      </c>
      <c r="T486" s="55">
        <v>15.7</v>
      </c>
      <c r="U486" s="56">
        <v>53.98</v>
      </c>
      <c r="V486" s="56">
        <v>57.24</v>
      </c>
      <c r="W486" s="57">
        <v>137.59</v>
      </c>
      <c r="X486" s="13">
        <f t="shared" ref="X486:AA509" si="1">SUM(Q486:T486)/SUM(P486:S486)-1</f>
        <v>-1.7789265622624506E-2</v>
      </c>
      <c r="Y486" s="13">
        <f t="shared" si="0"/>
        <v>0.53157894736842115</v>
      </c>
      <c r="Z486" s="13">
        <f t="shared" si="0"/>
        <v>0.39518900343642605</v>
      </c>
      <c r="AA486" s="13">
        <f t="shared" si="0"/>
        <v>0.91618371486525652</v>
      </c>
    </row>
    <row r="487" spans="1:27" ht="15" x14ac:dyDescent="0.25">
      <c r="A487" s="4">
        <v>260128</v>
      </c>
      <c r="B487" s="20" t="s">
        <v>188</v>
      </c>
      <c r="C487" s="10" t="s">
        <v>23</v>
      </c>
      <c r="D487" s="10" t="s">
        <v>189</v>
      </c>
      <c r="E487" s="2" t="s">
        <v>25</v>
      </c>
      <c r="F487" s="21">
        <v>36.111111111111107</v>
      </c>
      <c r="G487" s="2">
        <v>80</v>
      </c>
      <c r="H487" s="2">
        <v>-151</v>
      </c>
      <c r="I487" s="2">
        <v>1158</v>
      </c>
      <c r="J487" s="2">
        <v>421</v>
      </c>
      <c r="K487" s="2">
        <v>-350</v>
      </c>
      <c r="L487" s="55">
        <v>-284</v>
      </c>
      <c r="M487" s="55">
        <v>795</v>
      </c>
      <c r="N487" s="55">
        <v>128</v>
      </c>
      <c r="O487" s="56">
        <v>239</v>
      </c>
      <c r="P487" s="55">
        <v>-393</v>
      </c>
      <c r="Q487" s="55">
        <v>398</v>
      </c>
      <c r="R487" s="55">
        <v>19</v>
      </c>
      <c r="S487" s="55">
        <v>261</v>
      </c>
      <c r="T487" s="56">
        <v>-161</v>
      </c>
      <c r="U487" s="55">
        <v>225</v>
      </c>
      <c r="V487" s="55">
        <v>35</v>
      </c>
      <c r="W487" s="57">
        <v>391</v>
      </c>
      <c r="X487" s="13">
        <f t="shared" si="1"/>
        <v>0.81403508771929833</v>
      </c>
      <c r="Y487" s="13">
        <f t="shared" si="0"/>
        <v>-0.33462282398452614</v>
      </c>
      <c r="Z487" s="13">
        <f t="shared" si="0"/>
        <v>4.6511627906976827E-2</v>
      </c>
      <c r="AA487" s="13">
        <f t="shared" si="0"/>
        <v>0.36111111111111116</v>
      </c>
    </row>
    <row r="488" spans="1:27" ht="15" x14ac:dyDescent="0.25">
      <c r="A488" s="4">
        <v>260128</v>
      </c>
      <c r="B488" s="20" t="s">
        <v>97</v>
      </c>
      <c r="C488" s="10" t="s">
        <v>23</v>
      </c>
      <c r="D488" s="10" t="s">
        <v>29</v>
      </c>
      <c r="E488" s="2" t="s">
        <v>25</v>
      </c>
      <c r="F488" s="21">
        <v>25.528284551778452</v>
      </c>
      <c r="G488" s="2">
        <v>33.18</v>
      </c>
      <c r="H488" s="2">
        <v>25.96</v>
      </c>
      <c r="I488" s="2">
        <v>26.12</v>
      </c>
      <c r="J488" s="2">
        <v>19.059999999999999</v>
      </c>
      <c r="K488" s="2">
        <v>36.299999999999997</v>
      </c>
      <c r="L488" s="55">
        <v>30.57</v>
      </c>
      <c r="M488" s="55">
        <v>27.73</v>
      </c>
      <c r="N488" s="55">
        <v>30.07</v>
      </c>
      <c r="O488" s="55">
        <v>17.54</v>
      </c>
      <c r="P488" s="55">
        <v>28.86</v>
      </c>
      <c r="Q488" s="55">
        <v>26.74</v>
      </c>
      <c r="R488" s="55">
        <v>23.67</v>
      </c>
      <c r="S488" s="55">
        <v>18</v>
      </c>
      <c r="T488" s="55">
        <v>28.55</v>
      </c>
      <c r="U488" s="55">
        <v>18.66</v>
      </c>
      <c r="V488" s="55">
        <v>10.98</v>
      </c>
      <c r="W488" s="57">
        <v>37.450000000000003</v>
      </c>
      <c r="X488" s="13">
        <f t="shared" si="1"/>
        <v>-3.1870052431376417E-3</v>
      </c>
      <c r="Y488" s="13">
        <f t="shared" si="0"/>
        <v>-8.333333333333337E-2</v>
      </c>
      <c r="Z488" s="13">
        <f t="shared" si="0"/>
        <v>-0.14277677767776775</v>
      </c>
      <c r="AA488" s="13">
        <f t="shared" si="0"/>
        <v>0.25528284551778446</v>
      </c>
    </row>
    <row r="489" spans="1:27" customFormat="1" hidden="1" x14ac:dyDescent="0.3">
      <c r="B489" s="2" t="s">
        <v>33</v>
      </c>
      <c r="C489" s="2" t="s">
        <v>23</v>
      </c>
      <c r="D489" s="2" t="s">
        <v>34</v>
      </c>
      <c r="E489" s="2" t="s">
        <v>35</v>
      </c>
      <c r="F489" s="2">
        <v>12.12121212121211</v>
      </c>
      <c r="G489" s="2">
        <v>-2.73</v>
      </c>
      <c r="H489" s="2">
        <v>5.81</v>
      </c>
      <c r="I489" s="2">
        <v>7.18</v>
      </c>
      <c r="J489" s="2">
        <v>3.97</v>
      </c>
      <c r="K489" s="3">
        <v>4.82</v>
      </c>
      <c r="L489" s="3">
        <v>11.41</v>
      </c>
      <c r="M489" s="2">
        <v>6.72</v>
      </c>
      <c r="N489" s="2">
        <v>6.04</v>
      </c>
      <c r="O489" s="2">
        <v>4.6399999999999997</v>
      </c>
      <c r="P489" s="2">
        <v>8.77</v>
      </c>
      <c r="Q489" s="2">
        <v>4.93</v>
      </c>
      <c r="R489" s="2">
        <v>3.3</v>
      </c>
      <c r="S489" s="2">
        <v>3.04</v>
      </c>
      <c r="T489" s="2">
        <v>3.72</v>
      </c>
      <c r="U489" s="2">
        <v>-1.79</v>
      </c>
      <c r="V489" s="3">
        <v>6.91</v>
      </c>
      <c r="W489" s="19">
        <v>4.4800000000000004</v>
      </c>
      <c r="X489" s="13">
        <f t="shared" si="1"/>
        <v>-0.25199600798403188</v>
      </c>
      <c r="Y489" s="13">
        <f t="shared" si="0"/>
        <v>-0.44829886591060708</v>
      </c>
      <c r="Z489" s="13">
        <f t="shared" si="0"/>
        <v>0.43651753325272069</v>
      </c>
      <c r="AA489" s="13">
        <f t="shared" si="0"/>
        <v>0.12121212121212133</v>
      </c>
    </row>
    <row r="490" spans="1:27" ht="15" x14ac:dyDescent="0.25">
      <c r="A490" s="4">
        <v>260128</v>
      </c>
      <c r="B490" s="20" t="s">
        <v>78</v>
      </c>
      <c r="C490" s="10" t="s">
        <v>23</v>
      </c>
      <c r="D490" s="10" t="s">
        <v>79</v>
      </c>
      <c r="E490" s="2" t="s">
        <v>59</v>
      </c>
      <c r="F490" s="21">
        <v>23.14569536423841</v>
      </c>
      <c r="G490" s="2">
        <v>27.44</v>
      </c>
      <c r="H490" s="2">
        <v>11.47</v>
      </c>
      <c r="I490" s="2">
        <v>26.26</v>
      </c>
      <c r="J490" s="2">
        <v>24.57</v>
      </c>
      <c r="K490" s="2">
        <v>24.54</v>
      </c>
      <c r="L490" s="55">
        <v>5.93</v>
      </c>
      <c r="M490" s="55">
        <v>18.190000000000001</v>
      </c>
      <c r="N490" s="55">
        <v>22.95</v>
      </c>
      <c r="O490" s="55">
        <v>21.49</v>
      </c>
      <c r="P490" s="56">
        <v>14.87</v>
      </c>
      <c r="Q490" s="55">
        <v>14.67</v>
      </c>
      <c r="R490" s="55">
        <v>12.55</v>
      </c>
      <c r="S490" s="55">
        <v>11.58</v>
      </c>
      <c r="T490" s="55">
        <v>-1.1299999999999999</v>
      </c>
      <c r="U490" s="55">
        <v>14.03</v>
      </c>
      <c r="V490" s="55">
        <v>5.72</v>
      </c>
      <c r="W490" s="57">
        <v>18.57</v>
      </c>
      <c r="X490" s="13">
        <f t="shared" si="1"/>
        <v>-0.29811812930873871</v>
      </c>
      <c r="Y490" s="13">
        <f t="shared" si="0"/>
        <v>-1.6989646933899483E-2</v>
      </c>
      <c r="Z490" s="13">
        <f t="shared" si="0"/>
        <v>-0.18444504455846622</v>
      </c>
      <c r="AA490" s="13">
        <f t="shared" si="0"/>
        <v>0.23145695364238428</v>
      </c>
    </row>
    <row r="491" spans="1:27" ht="15" x14ac:dyDescent="0.25">
      <c r="A491" s="4">
        <v>260128</v>
      </c>
      <c r="B491" s="20" t="s">
        <v>55</v>
      </c>
      <c r="C491" s="10" t="s">
        <v>23</v>
      </c>
      <c r="D491" s="10" t="s">
        <v>29</v>
      </c>
      <c r="E491" s="2" t="s">
        <v>25</v>
      </c>
      <c r="F491" s="21">
        <v>22.713032581453628</v>
      </c>
      <c r="G491" s="2">
        <v>66.5</v>
      </c>
      <c r="H491" s="2">
        <v>-41.3</v>
      </c>
      <c r="I491" s="2">
        <v>80.3</v>
      </c>
      <c r="J491" s="2">
        <v>108.1</v>
      </c>
      <c r="K491" s="3">
        <v>110</v>
      </c>
      <c r="L491" s="56">
        <v>74.3</v>
      </c>
      <c r="M491" s="55">
        <v>86.9</v>
      </c>
      <c r="N491" s="55">
        <v>94.7</v>
      </c>
      <c r="O491" s="55">
        <v>80.900000000000006</v>
      </c>
      <c r="P491" s="55">
        <v>76.7</v>
      </c>
      <c r="Q491" s="55">
        <v>78.400000000000006</v>
      </c>
      <c r="R491" s="55">
        <v>72.7</v>
      </c>
      <c r="S491" s="55">
        <v>66.7</v>
      </c>
      <c r="T491" s="55">
        <v>66.400000000000006</v>
      </c>
      <c r="U491" s="55">
        <v>93.5</v>
      </c>
      <c r="V491" s="55">
        <v>92.6</v>
      </c>
      <c r="W491" s="57">
        <v>139.19999999999999</v>
      </c>
      <c r="X491" s="13">
        <f t="shared" si="1"/>
        <v>-3.4974533106960748E-2</v>
      </c>
      <c r="Y491" s="13">
        <f t="shared" si="0"/>
        <v>5.31315974665727E-2</v>
      </c>
      <c r="Z491" s="13">
        <f t="shared" si="0"/>
        <v>6.6488473103909262E-2</v>
      </c>
      <c r="AA491" s="13">
        <f t="shared" si="0"/>
        <v>0.22713032581453607</v>
      </c>
    </row>
    <row r="492" spans="1:27" customFormat="1" hidden="1" x14ac:dyDescent="0.3">
      <c r="B492" s="2" t="s">
        <v>39</v>
      </c>
      <c r="C492" s="2" t="s">
        <v>23</v>
      </c>
      <c r="D492" s="2" t="s">
        <v>29</v>
      </c>
      <c r="E492" s="2" t="s">
        <v>35</v>
      </c>
      <c r="F492" s="2">
        <v>9.108561341571054</v>
      </c>
      <c r="G492" s="2">
        <v>67.03</v>
      </c>
      <c r="H492" s="2">
        <v>54.59</v>
      </c>
      <c r="I492" s="2">
        <v>50.65</v>
      </c>
      <c r="J492" s="2">
        <v>64.540000000000006</v>
      </c>
      <c r="K492" s="2">
        <v>47.07</v>
      </c>
      <c r="L492" s="3">
        <v>79.459999999999994</v>
      </c>
      <c r="M492" s="3">
        <v>87.69</v>
      </c>
      <c r="N492" s="2">
        <v>81.150000000000006</v>
      </c>
      <c r="O492" s="3">
        <v>78.37</v>
      </c>
      <c r="P492" s="2">
        <v>71.39</v>
      </c>
      <c r="Q492" s="2">
        <v>61.74</v>
      </c>
      <c r="R492" s="2">
        <v>74.8</v>
      </c>
      <c r="S492" s="2">
        <v>64.88</v>
      </c>
      <c r="T492" s="2">
        <v>66.91</v>
      </c>
      <c r="U492" s="2">
        <v>63.6</v>
      </c>
      <c r="V492" s="2">
        <v>87.86</v>
      </c>
      <c r="W492" s="18">
        <v>90.68</v>
      </c>
      <c r="X492" s="13">
        <f t="shared" si="1"/>
        <v>-1.6421685422088661E-2</v>
      </c>
      <c r="Y492" s="13">
        <f t="shared" si="0"/>
        <v>6.9317631274923297E-3</v>
      </c>
      <c r="Z492" s="13">
        <f t="shared" si="0"/>
        <v>4.8336355897701688E-2</v>
      </c>
      <c r="AA492" s="13">
        <f t="shared" si="0"/>
        <v>9.1085613415710531E-2</v>
      </c>
    </row>
    <row r="493" spans="1:27" ht="15" x14ac:dyDescent="0.25">
      <c r="A493" s="4">
        <v>260128</v>
      </c>
      <c r="B493" s="20" t="s">
        <v>88</v>
      </c>
      <c r="C493" s="10" t="s">
        <v>23</v>
      </c>
      <c r="D493" s="10" t="s">
        <v>29</v>
      </c>
      <c r="E493" s="2" t="s">
        <v>25</v>
      </c>
      <c r="F493" s="21">
        <v>17.742901641308251</v>
      </c>
      <c r="G493" s="2">
        <v>29.93</v>
      </c>
      <c r="H493" s="2">
        <v>25.48</v>
      </c>
      <c r="I493" s="2">
        <v>23.78</v>
      </c>
      <c r="J493" s="2">
        <v>22.63</v>
      </c>
      <c r="K493" s="2">
        <v>26.88</v>
      </c>
      <c r="L493" s="55">
        <v>21.25</v>
      </c>
      <c r="M493" s="55">
        <v>18.95</v>
      </c>
      <c r="N493" s="55">
        <v>17.489999999999998</v>
      </c>
      <c r="O493" s="55">
        <v>19.14</v>
      </c>
      <c r="P493" s="55">
        <v>16.920000000000002</v>
      </c>
      <c r="Q493" s="55">
        <v>20.65</v>
      </c>
      <c r="R493" s="55">
        <v>17.07</v>
      </c>
      <c r="S493" s="55">
        <v>13.4</v>
      </c>
      <c r="T493" s="55">
        <v>22.55</v>
      </c>
      <c r="U493" s="55">
        <v>23.88</v>
      </c>
      <c r="V493" s="55">
        <v>23.64</v>
      </c>
      <c r="W493" s="57">
        <v>28.21</v>
      </c>
      <c r="X493" s="13">
        <f t="shared" si="1"/>
        <v>8.2745443856554912E-2</v>
      </c>
      <c r="Y493" s="13">
        <f t="shared" si="0"/>
        <v>4.3844169947061085E-2</v>
      </c>
      <c r="Z493" s="13">
        <f t="shared" si="0"/>
        <v>8.5435630689206787E-2</v>
      </c>
      <c r="AA493" s="13">
        <f t="shared" si="0"/>
        <v>0.17742901641308251</v>
      </c>
    </row>
    <row r="494" spans="1:27" ht="15" x14ac:dyDescent="0.25">
      <c r="A494" s="4">
        <v>260128</v>
      </c>
      <c r="B494" s="20" t="s">
        <v>142</v>
      </c>
      <c r="C494" s="10" t="s">
        <v>23</v>
      </c>
      <c r="D494" s="10" t="s">
        <v>65</v>
      </c>
      <c r="E494" s="2" t="s">
        <v>25</v>
      </c>
      <c r="F494" s="21">
        <v>15.330359525715799</v>
      </c>
      <c r="G494" s="2">
        <v>600.9</v>
      </c>
      <c r="H494" s="2">
        <v>589.79999999999995</v>
      </c>
      <c r="I494" s="2">
        <v>648.79999999999995</v>
      </c>
      <c r="J494" s="2">
        <v>693.1</v>
      </c>
      <c r="K494" s="2">
        <v>674</v>
      </c>
      <c r="L494" s="55">
        <v>597.1</v>
      </c>
      <c r="M494" s="55">
        <v>623.9</v>
      </c>
      <c r="N494" s="55">
        <v>666.9</v>
      </c>
      <c r="O494" s="55">
        <v>705.8</v>
      </c>
      <c r="P494" s="55">
        <v>684.8</v>
      </c>
      <c r="Q494" s="55">
        <v>768.8</v>
      </c>
      <c r="R494" s="55">
        <v>883.1</v>
      </c>
      <c r="S494" s="55">
        <v>965.8</v>
      </c>
      <c r="T494" s="56">
        <v>1130</v>
      </c>
      <c r="U494" s="56">
        <v>1448</v>
      </c>
      <c r="V494" s="56">
        <v>1702</v>
      </c>
      <c r="W494" s="57">
        <v>1770</v>
      </c>
      <c r="X494" s="13">
        <f t="shared" si="1"/>
        <v>0.13480696442089313</v>
      </c>
      <c r="Y494" s="13">
        <f t="shared" si="0"/>
        <v>0.18123115510846644</v>
      </c>
      <c r="Z494" s="13">
        <f t="shared" si="0"/>
        <v>0.18498271928437515</v>
      </c>
      <c r="AA494" s="13">
        <f t="shared" si="0"/>
        <v>0.15330359525715798</v>
      </c>
    </row>
    <row r="495" spans="1:27" customFormat="1" hidden="1" x14ac:dyDescent="0.3">
      <c r="B495" s="2" t="s">
        <v>44</v>
      </c>
      <c r="C495" s="2" t="s">
        <v>31</v>
      </c>
      <c r="D495" s="2" t="s">
        <v>32</v>
      </c>
      <c r="E495" s="2" t="s">
        <v>35</v>
      </c>
      <c r="F495" s="2">
        <v>-8.1592153284671518</v>
      </c>
      <c r="G495" s="2">
        <v>-2344</v>
      </c>
      <c r="H495" s="2">
        <v>-7520</v>
      </c>
      <c r="I495" s="2">
        <v>-716.19</v>
      </c>
      <c r="J495" s="2">
        <v>3048</v>
      </c>
      <c r="K495" s="2">
        <v>1315</v>
      </c>
      <c r="L495" s="2">
        <v>3008</v>
      </c>
      <c r="M495" s="3">
        <v>1779</v>
      </c>
      <c r="N495" s="2">
        <v>3947</v>
      </c>
      <c r="O495" s="2">
        <v>1778</v>
      </c>
      <c r="P495" s="3">
        <v>4088</v>
      </c>
      <c r="Q495" s="2">
        <v>2089</v>
      </c>
      <c r="R495" s="2">
        <v>4365</v>
      </c>
      <c r="S495" s="2">
        <v>1597</v>
      </c>
      <c r="T495" s="2">
        <v>2860</v>
      </c>
      <c r="U495" s="2">
        <v>649</v>
      </c>
      <c r="V495" s="2">
        <v>3662</v>
      </c>
      <c r="W495" s="18">
        <v>881.6</v>
      </c>
      <c r="X495" s="13">
        <f t="shared" si="1"/>
        <v>-0.10116154543207845</v>
      </c>
      <c r="Y495" s="13">
        <f t="shared" si="0"/>
        <v>-0.13197690404179263</v>
      </c>
      <c r="Z495" s="13">
        <f t="shared" si="0"/>
        <v>-7.4226586421708318E-2</v>
      </c>
      <c r="AA495" s="13">
        <f t="shared" si="0"/>
        <v>-8.1592153284671509E-2</v>
      </c>
    </row>
    <row r="496" spans="1:27" ht="15" x14ac:dyDescent="0.25">
      <c r="A496" s="4">
        <v>260128</v>
      </c>
      <c r="B496" s="20" t="s">
        <v>132</v>
      </c>
      <c r="C496" s="10" t="s">
        <v>23</v>
      </c>
      <c r="D496" s="10" t="s">
        <v>65</v>
      </c>
      <c r="E496" s="2" t="s">
        <v>25</v>
      </c>
      <c r="F496" s="21">
        <v>13.40402969247085</v>
      </c>
      <c r="G496" s="2">
        <v>56.9</v>
      </c>
      <c r="H496" s="2">
        <v>49.4</v>
      </c>
      <c r="I496" s="2">
        <v>60.2</v>
      </c>
      <c r="J496" s="2">
        <v>80</v>
      </c>
      <c r="K496" s="3">
        <v>148.4</v>
      </c>
      <c r="L496" s="55">
        <v>64</v>
      </c>
      <c r="M496" s="55">
        <v>93</v>
      </c>
      <c r="N496" s="56">
        <v>122.2</v>
      </c>
      <c r="O496" s="55">
        <v>68.8</v>
      </c>
      <c r="P496" s="56">
        <v>130.30000000000001</v>
      </c>
      <c r="Q496" s="56">
        <v>144.1</v>
      </c>
      <c r="R496" s="55">
        <v>138.69999999999999</v>
      </c>
      <c r="S496" s="56">
        <v>194.4</v>
      </c>
      <c r="T496" s="55">
        <v>132.6</v>
      </c>
      <c r="U496" s="56">
        <v>286.3</v>
      </c>
      <c r="V496" s="56">
        <v>329.7</v>
      </c>
      <c r="W496" s="57">
        <v>320.8</v>
      </c>
      <c r="X496" s="13">
        <f t="shared" si="1"/>
        <v>3.7860082304526088E-3</v>
      </c>
      <c r="Y496" s="13">
        <f t="shared" si="0"/>
        <v>0.23319121023286327</v>
      </c>
      <c r="Z496" s="13">
        <f t="shared" si="0"/>
        <v>0.2539893617021276</v>
      </c>
      <c r="AA496" s="13">
        <f t="shared" si="0"/>
        <v>0.13404029692470831</v>
      </c>
    </row>
    <row r="497" spans="1:27" customFormat="1" hidden="1" x14ac:dyDescent="0.3">
      <c r="B497" s="2" t="s">
        <v>47</v>
      </c>
      <c r="C497" s="2" t="s">
        <v>23</v>
      </c>
      <c r="D497" s="2" t="s">
        <v>48</v>
      </c>
      <c r="E497" s="2" t="s">
        <v>35</v>
      </c>
      <c r="F497" s="2">
        <v>4.2407247627264999</v>
      </c>
      <c r="G497" s="2">
        <v>16.63</v>
      </c>
      <c r="H497" s="2">
        <v>86.29</v>
      </c>
      <c r="I497" s="2">
        <v>-25.02</v>
      </c>
      <c r="J497" s="2">
        <v>-16.11</v>
      </c>
      <c r="K497" s="2">
        <v>-16.149999999999999</v>
      </c>
      <c r="L497" s="2">
        <v>44.79</v>
      </c>
      <c r="M497" s="2">
        <v>17.920000000000002</v>
      </c>
      <c r="N497" s="3">
        <v>60.12</v>
      </c>
      <c r="O497" s="3">
        <v>33.770000000000003</v>
      </c>
      <c r="P497" s="3">
        <v>108.16</v>
      </c>
      <c r="Q497" s="2">
        <v>39.369999999999997</v>
      </c>
      <c r="R497" s="2">
        <v>66.48</v>
      </c>
      <c r="S497" s="2">
        <v>39.44</v>
      </c>
      <c r="T497" s="2">
        <v>81.11</v>
      </c>
      <c r="U497" s="2">
        <v>41.01</v>
      </c>
      <c r="V497" s="2">
        <v>70.239999999999995</v>
      </c>
      <c r="W497" s="18">
        <v>49.27</v>
      </c>
      <c r="X497" s="13">
        <f t="shared" si="1"/>
        <v>-0.10672716512132574</v>
      </c>
      <c r="Y497" s="13">
        <f t="shared" si="0"/>
        <v>7.243816254417057E-3</v>
      </c>
      <c r="Z497" s="13">
        <f t="shared" si="0"/>
        <v>1.6488335379758023E-2</v>
      </c>
      <c r="AA497" s="13">
        <f t="shared" si="0"/>
        <v>4.2407247627264999E-2</v>
      </c>
    </row>
    <row r="498" spans="1:27" ht="15" x14ac:dyDescent="0.25">
      <c r="A498" s="4">
        <v>260128</v>
      </c>
      <c r="B498" s="20" t="s">
        <v>112</v>
      </c>
      <c r="C498" s="10" t="s">
        <v>23</v>
      </c>
      <c r="D498" s="10" t="s">
        <v>113</v>
      </c>
      <c r="E498" s="2" t="s">
        <v>25</v>
      </c>
      <c r="F498" s="21">
        <v>11.257720381807969</v>
      </c>
      <c r="G498" s="2">
        <v>837</v>
      </c>
      <c r="H498" s="2">
        <v>665</v>
      </c>
      <c r="I498" s="2">
        <v>651</v>
      </c>
      <c r="J498" s="2">
        <v>673</v>
      </c>
      <c r="K498" s="2">
        <v>639</v>
      </c>
      <c r="L498" s="55">
        <v>499</v>
      </c>
      <c r="M498" s="55">
        <v>670</v>
      </c>
      <c r="N498" s="55">
        <v>761</v>
      </c>
      <c r="O498" s="56">
        <v>1251</v>
      </c>
      <c r="P498" s="55">
        <v>660</v>
      </c>
      <c r="Q498" s="55">
        <v>817</v>
      </c>
      <c r="R498" s="55">
        <v>983</v>
      </c>
      <c r="S498" s="55">
        <v>893</v>
      </c>
      <c r="T498" s="55">
        <v>709</v>
      </c>
      <c r="U498" s="55">
        <v>894</v>
      </c>
      <c r="V498" s="55">
        <v>1066</v>
      </c>
      <c r="W498" s="57">
        <v>1294</v>
      </c>
      <c r="X498" s="13">
        <f t="shared" si="1"/>
        <v>1.4613778705636848E-2</v>
      </c>
      <c r="Y498" s="13">
        <f t="shared" si="0"/>
        <v>2.2633744855967031E-2</v>
      </c>
      <c r="Z498" s="13">
        <f t="shared" si="0"/>
        <v>2.3857430296062132E-2</v>
      </c>
      <c r="AA498" s="13">
        <f t="shared" si="0"/>
        <v>0.11257720381807967</v>
      </c>
    </row>
    <row r="499" spans="1:27" ht="15" x14ac:dyDescent="0.25">
      <c r="A499" s="4">
        <v>260128</v>
      </c>
      <c r="B499" s="20" t="s">
        <v>125</v>
      </c>
      <c r="C499" s="10" t="s">
        <v>23</v>
      </c>
      <c r="D499" s="10" t="s">
        <v>65</v>
      </c>
      <c r="E499" s="2" t="s">
        <v>25</v>
      </c>
      <c r="F499" s="21">
        <v>11.175616835994189</v>
      </c>
      <c r="G499" s="2">
        <v>588</v>
      </c>
      <c r="H499" s="2">
        <v>594</v>
      </c>
      <c r="I499" s="2">
        <v>491</v>
      </c>
      <c r="J499" s="2">
        <v>319</v>
      </c>
      <c r="K499" s="2">
        <v>501</v>
      </c>
      <c r="L499" s="55">
        <v>296</v>
      </c>
      <c r="M499" s="55">
        <v>278</v>
      </c>
      <c r="N499" s="55">
        <v>288</v>
      </c>
      <c r="O499" s="55">
        <v>164</v>
      </c>
      <c r="P499" s="55">
        <v>257</v>
      </c>
      <c r="Q499" s="55">
        <v>331</v>
      </c>
      <c r="R499" s="55">
        <v>384</v>
      </c>
      <c r="S499" s="56">
        <v>441</v>
      </c>
      <c r="T499" s="56">
        <v>451</v>
      </c>
      <c r="U499" s="56">
        <v>578</v>
      </c>
      <c r="V499" s="56">
        <v>597</v>
      </c>
      <c r="W499" s="57">
        <v>672</v>
      </c>
      <c r="X499" s="13">
        <f t="shared" si="1"/>
        <v>0.1372965322009907</v>
      </c>
      <c r="Y499" s="13">
        <f t="shared" si="0"/>
        <v>0.15370255133789668</v>
      </c>
      <c r="Z499" s="13">
        <f t="shared" si="0"/>
        <v>0.11488673139158578</v>
      </c>
      <c r="AA499" s="13">
        <f t="shared" si="0"/>
        <v>0.11175616835994195</v>
      </c>
    </row>
    <row r="500" spans="1:27" ht="15" x14ac:dyDescent="0.25">
      <c r="A500" s="4">
        <v>260128</v>
      </c>
      <c r="B500" s="20" t="s">
        <v>158</v>
      </c>
      <c r="C500" s="10" t="s">
        <v>23</v>
      </c>
      <c r="D500" s="10" t="s">
        <v>65</v>
      </c>
      <c r="E500" s="2" t="s">
        <v>59</v>
      </c>
      <c r="F500" s="21">
        <v>10.56644880174291</v>
      </c>
      <c r="G500" s="2">
        <v>98.26</v>
      </c>
      <c r="H500" s="2">
        <v>155.24</v>
      </c>
      <c r="I500" s="2">
        <v>134.44999999999999</v>
      </c>
      <c r="J500" s="2">
        <v>131.71</v>
      </c>
      <c r="K500" s="2">
        <v>112.84</v>
      </c>
      <c r="L500" s="55">
        <v>113.41</v>
      </c>
      <c r="M500" s="55">
        <v>98.42</v>
      </c>
      <c r="N500" s="55">
        <v>97.66</v>
      </c>
      <c r="O500" s="55">
        <v>69.28</v>
      </c>
      <c r="P500" s="55">
        <v>57.77</v>
      </c>
      <c r="Q500" s="55">
        <v>70.25</v>
      </c>
      <c r="R500" s="55">
        <v>89.18</v>
      </c>
      <c r="S500" s="55">
        <v>50.13</v>
      </c>
      <c r="T500" s="55">
        <v>78.11</v>
      </c>
      <c r="U500" s="55">
        <v>94.66</v>
      </c>
      <c r="V500" s="55">
        <v>98.4</v>
      </c>
      <c r="W500" s="57">
        <v>84.08</v>
      </c>
      <c r="X500" s="13">
        <f t="shared" si="1"/>
        <v>7.608573672988439E-2</v>
      </c>
      <c r="Y500" s="13">
        <f t="shared" si="0"/>
        <v>8.4854173184551795E-2</v>
      </c>
      <c r="Z500" s="13">
        <f t="shared" si="0"/>
        <v>2.9543706741860909E-2</v>
      </c>
      <c r="AA500" s="13">
        <f t="shared" si="0"/>
        <v>0.10566448801742889</v>
      </c>
    </row>
    <row r="501" spans="1:27" ht="15" x14ac:dyDescent="0.25">
      <c r="A501" s="4">
        <v>260128</v>
      </c>
      <c r="B501" s="20" t="s">
        <v>92</v>
      </c>
      <c r="C501" s="10" t="s">
        <v>23</v>
      </c>
      <c r="D501" s="10" t="s">
        <v>93</v>
      </c>
      <c r="E501" s="2" t="s">
        <v>25</v>
      </c>
      <c r="F501" s="44">
        <v>9.9700488245189298</v>
      </c>
      <c r="G501" s="2">
        <v>59.46</v>
      </c>
      <c r="H501" s="2">
        <v>48.9</v>
      </c>
      <c r="I501" s="2">
        <v>50.96</v>
      </c>
      <c r="J501" s="2">
        <v>56.84</v>
      </c>
      <c r="K501" s="2">
        <v>57.21</v>
      </c>
      <c r="L501" s="55">
        <v>49.35</v>
      </c>
      <c r="M501" s="55">
        <v>60.79</v>
      </c>
      <c r="N501" s="55">
        <v>56.38</v>
      </c>
      <c r="O501" s="55">
        <v>51.48</v>
      </c>
      <c r="P501" s="55">
        <v>55.13</v>
      </c>
      <c r="Q501" s="55">
        <v>63.44</v>
      </c>
      <c r="R501" s="55">
        <v>62.87</v>
      </c>
      <c r="S501" s="55">
        <v>37.799999999999997</v>
      </c>
      <c r="T501" s="55">
        <v>58.37</v>
      </c>
      <c r="U501" s="55">
        <v>66.91</v>
      </c>
      <c r="V501" s="55">
        <v>80.650000000000006</v>
      </c>
      <c r="W501" s="58">
        <v>62.1</v>
      </c>
      <c r="X501" s="13">
        <f t="shared" si="1"/>
        <v>1.4778325123152802E-2</v>
      </c>
      <c r="Y501" s="13">
        <f t="shared" si="1"/>
        <v>1.5596907587198672E-2</v>
      </c>
      <c r="Z501" s="13">
        <f t="shared" si="1"/>
        <v>7.8689975658331468E-2</v>
      </c>
      <c r="AA501" s="13">
        <f t="shared" si="1"/>
        <v>9.9700488245189511E-2</v>
      </c>
    </row>
    <row r="502" spans="1:27" customFormat="1" hidden="1" x14ac:dyDescent="0.3">
      <c r="B502" s="2" t="s">
        <v>56</v>
      </c>
      <c r="C502" s="2" t="s">
        <v>31</v>
      </c>
      <c r="D502" s="2" t="s">
        <v>32</v>
      </c>
      <c r="E502" s="2" t="s">
        <v>35</v>
      </c>
      <c r="F502" s="2">
        <v>1.9845644983461861</v>
      </c>
      <c r="G502" s="2">
        <v>2313</v>
      </c>
      <c r="H502" s="2">
        <v>2079</v>
      </c>
      <c r="I502" s="2">
        <v>1794</v>
      </c>
      <c r="J502" s="2">
        <v>1900</v>
      </c>
      <c r="K502" s="2">
        <v>1636</v>
      </c>
      <c r="L502" s="2">
        <v>1732</v>
      </c>
      <c r="M502" s="2">
        <v>1466</v>
      </c>
      <c r="N502" s="2">
        <v>2481</v>
      </c>
      <c r="O502" s="3">
        <v>2570</v>
      </c>
      <c r="P502" s="3">
        <v>2874</v>
      </c>
      <c r="Q502" s="3">
        <v>2532</v>
      </c>
      <c r="R502" s="2">
        <v>2964</v>
      </c>
      <c r="S502" s="2">
        <v>3024</v>
      </c>
      <c r="T502" s="2">
        <v>2849</v>
      </c>
      <c r="U502" s="2">
        <v>2566</v>
      </c>
      <c r="V502" s="2">
        <v>3352</v>
      </c>
      <c r="W502" s="18">
        <v>3258</v>
      </c>
      <c r="X502" s="13">
        <f t="shared" si="1"/>
        <v>-2.194137265227325E-3</v>
      </c>
      <c r="Y502" s="13">
        <f t="shared" si="1"/>
        <v>2.9905884422551932E-3</v>
      </c>
      <c r="Z502" s="13">
        <f t="shared" si="1"/>
        <v>3.4026133473647358E-2</v>
      </c>
      <c r="AA502" s="13">
        <f t="shared" si="1"/>
        <v>1.9845644983461863E-2</v>
      </c>
    </row>
    <row r="503" spans="1:27" ht="15" x14ac:dyDescent="0.25">
      <c r="A503" s="4">
        <v>260128</v>
      </c>
      <c r="B503" s="20" t="s">
        <v>116</v>
      </c>
      <c r="C503" s="10" t="s">
        <v>23</v>
      </c>
      <c r="D503" s="10" t="s">
        <v>117</v>
      </c>
      <c r="E503" s="2" t="s">
        <v>25</v>
      </c>
      <c r="F503" s="38">
        <v>9.738632295023276</v>
      </c>
      <c r="G503" s="2">
        <v>-129</v>
      </c>
      <c r="H503" s="2">
        <v>-296</v>
      </c>
      <c r="I503" s="2">
        <v>-147</v>
      </c>
      <c r="J503" s="2">
        <v>-175</v>
      </c>
      <c r="K503" s="2">
        <v>-165</v>
      </c>
      <c r="L503" s="55">
        <v>392</v>
      </c>
      <c r="M503" s="55">
        <v>541</v>
      </c>
      <c r="N503" s="56">
        <v>692</v>
      </c>
      <c r="O503" s="56">
        <v>715</v>
      </c>
      <c r="P503" s="56">
        <v>731</v>
      </c>
      <c r="Q503" s="55">
        <v>607</v>
      </c>
      <c r="R503" s="55">
        <v>515</v>
      </c>
      <c r="S503" s="55">
        <v>599</v>
      </c>
      <c r="T503" s="55">
        <v>616</v>
      </c>
      <c r="U503" s="55">
        <v>791</v>
      </c>
      <c r="V503" s="56">
        <v>787</v>
      </c>
      <c r="W503" s="58">
        <v>871</v>
      </c>
      <c r="X503" s="13">
        <f t="shared" si="1"/>
        <v>-4.6900489396411116E-2</v>
      </c>
      <c r="Y503" s="13">
        <f t="shared" si="1"/>
        <v>7.8733418913136566E-2</v>
      </c>
      <c r="Z503" s="13">
        <f t="shared" si="1"/>
        <v>0.10789369297897666</v>
      </c>
      <c r="AA503" s="13">
        <f t="shared" si="1"/>
        <v>9.7386322950232751E-2</v>
      </c>
    </row>
    <row r="504" spans="1:27" ht="15" x14ac:dyDescent="0.25">
      <c r="A504" s="4">
        <v>260128</v>
      </c>
      <c r="B504" s="20" t="s">
        <v>169</v>
      </c>
      <c r="C504" s="10" t="s">
        <v>23</v>
      </c>
      <c r="D504" s="10" t="s">
        <v>52</v>
      </c>
      <c r="E504" s="2" t="s">
        <v>170</v>
      </c>
      <c r="F504" s="38">
        <v>9.2940107458912671</v>
      </c>
      <c r="G504" s="2">
        <v>-768.1</v>
      </c>
      <c r="H504" s="2">
        <v>-141.19</v>
      </c>
      <c r="I504" s="2">
        <v>349.59</v>
      </c>
      <c r="J504" s="2">
        <v>77.989999999999995</v>
      </c>
      <c r="K504" s="2">
        <v>-2.4900000000000002</v>
      </c>
      <c r="L504" s="56">
        <v>66.489999999999995</v>
      </c>
      <c r="M504" s="55">
        <v>48.05</v>
      </c>
      <c r="N504" s="56">
        <v>205.12</v>
      </c>
      <c r="O504" s="55">
        <v>21.34</v>
      </c>
      <c r="P504" s="56">
        <v>113.43</v>
      </c>
      <c r="Q504" s="55">
        <v>10.53</v>
      </c>
      <c r="R504" s="56">
        <v>293.14999999999998</v>
      </c>
      <c r="S504" s="55">
        <v>19.260000000000002</v>
      </c>
      <c r="T504" s="55">
        <v>124.52</v>
      </c>
      <c r="U504" s="55">
        <v>51.63</v>
      </c>
      <c r="V504" s="55">
        <v>310.83</v>
      </c>
      <c r="W504" s="58">
        <v>66.31</v>
      </c>
      <c r="X504" s="13">
        <f t="shared" si="1"/>
        <v>2.5414212709397699E-2</v>
      </c>
      <c r="Y504" s="13">
        <f t="shared" si="1"/>
        <v>9.1851785634470273E-2</v>
      </c>
      <c r="Z504" s="13">
        <f t="shared" si="1"/>
        <v>3.6187981005403769E-2</v>
      </c>
      <c r="AA504" s="13">
        <f t="shared" si="1"/>
        <v>9.294010745891268E-2</v>
      </c>
    </row>
    <row r="505" spans="1:27" ht="15" x14ac:dyDescent="0.25">
      <c r="A505" s="4">
        <v>260128</v>
      </c>
      <c r="B505" s="20" t="s">
        <v>36</v>
      </c>
      <c r="C505" s="10" t="s">
        <v>23</v>
      </c>
      <c r="D505" s="10" t="s">
        <v>37</v>
      </c>
      <c r="E505" s="2" t="s">
        <v>25</v>
      </c>
      <c r="F505" s="38">
        <v>9.2697466467958289</v>
      </c>
      <c r="G505" s="2">
        <v>20.46</v>
      </c>
      <c r="H505" s="2">
        <v>20.55</v>
      </c>
      <c r="I505" s="2">
        <v>11.78</v>
      </c>
      <c r="J505" s="2">
        <v>18.27</v>
      </c>
      <c r="K505" s="2">
        <v>23.91</v>
      </c>
      <c r="L505" s="56">
        <v>30.95</v>
      </c>
      <c r="M505" s="56">
        <v>38.44</v>
      </c>
      <c r="N505" s="56">
        <v>38.619999999999997</v>
      </c>
      <c r="O505" s="55">
        <v>19.489999999999998</v>
      </c>
      <c r="P505" s="55">
        <v>-48.05</v>
      </c>
      <c r="Q505" s="55">
        <v>-38.94</v>
      </c>
      <c r="R505" s="56">
        <v>-3.44</v>
      </c>
      <c r="S505" s="55">
        <v>13.7</v>
      </c>
      <c r="T505" s="55">
        <v>9.94</v>
      </c>
      <c r="U505" s="55">
        <v>-1.76</v>
      </c>
      <c r="V505" s="56">
        <v>11.67</v>
      </c>
      <c r="W505" s="58">
        <v>16.809999999999999</v>
      </c>
      <c r="X505" s="13">
        <f t="shared" si="1"/>
        <v>-0.75576697510751989</v>
      </c>
      <c r="Y505" s="13">
        <f t="shared" si="1"/>
        <v>-1.9839914621131272</v>
      </c>
      <c r="Z505" s="13">
        <f t="shared" si="1"/>
        <v>0.81941431670282006</v>
      </c>
      <c r="AA505" s="13">
        <f t="shared" si="1"/>
        <v>9.2697466467958289E-2</v>
      </c>
    </row>
    <row r="506" spans="1:27" customFormat="1" hidden="1" x14ac:dyDescent="0.3">
      <c r="B506" s="2" t="s">
        <v>62</v>
      </c>
      <c r="C506" s="2" t="s">
        <v>23</v>
      </c>
      <c r="D506" s="2" t="s">
        <v>63</v>
      </c>
      <c r="E506" s="2" t="s">
        <v>35</v>
      </c>
      <c r="F506" s="2">
        <v>-12.4260095584689</v>
      </c>
      <c r="G506" s="2">
        <v>245.3</v>
      </c>
      <c r="H506" s="2">
        <v>0</v>
      </c>
      <c r="I506" s="2">
        <v>51.75</v>
      </c>
      <c r="J506" s="2">
        <v>573.47</v>
      </c>
      <c r="K506" s="3">
        <v>698.03</v>
      </c>
      <c r="L506" s="3">
        <v>308.89</v>
      </c>
      <c r="M506" s="3">
        <v>296.16000000000003</v>
      </c>
      <c r="N506" s="2">
        <v>160.22999999999999</v>
      </c>
      <c r="O506" s="2">
        <v>368.73</v>
      </c>
      <c r="P506" s="2">
        <v>216.72</v>
      </c>
      <c r="Q506" s="2">
        <v>184.16</v>
      </c>
      <c r="R506" s="2">
        <v>179.69</v>
      </c>
      <c r="S506" s="2">
        <v>169.66</v>
      </c>
      <c r="T506" s="2">
        <v>57.51</v>
      </c>
      <c r="U506" s="2">
        <v>139.97</v>
      </c>
      <c r="V506" s="2">
        <v>89</v>
      </c>
      <c r="W506" s="18">
        <v>112.98</v>
      </c>
      <c r="X506" s="13">
        <f t="shared" si="1"/>
        <v>-0.21221492075763426</v>
      </c>
      <c r="Y506" s="13">
        <f t="shared" si="1"/>
        <v>-7.4769043348786757E-2</v>
      </c>
      <c r="Z506" s="13">
        <f t="shared" si="1"/>
        <v>-0.1658467896786936</v>
      </c>
      <c r="AA506" s="13">
        <f t="shared" si="1"/>
        <v>-0.12426009558468876</v>
      </c>
    </row>
    <row r="507" spans="1:27" customFormat="1" hidden="1" x14ac:dyDescent="0.3">
      <c r="B507" s="2" t="s">
        <v>64</v>
      </c>
      <c r="C507" s="2" t="s">
        <v>23</v>
      </c>
      <c r="D507" s="2" t="s">
        <v>65</v>
      </c>
      <c r="E507" s="2" t="s">
        <v>66</v>
      </c>
      <c r="F507" s="2">
        <v>-0.40444893832153328</v>
      </c>
      <c r="G507" s="2">
        <v>42.34</v>
      </c>
      <c r="H507" s="2">
        <v>32.49</v>
      </c>
      <c r="I507" s="2">
        <v>35.85</v>
      </c>
      <c r="J507" s="2">
        <v>49.59</v>
      </c>
      <c r="K507" s="3">
        <v>62.41</v>
      </c>
      <c r="L507" s="3">
        <v>57.34</v>
      </c>
      <c r="M507" s="3">
        <v>56.81</v>
      </c>
      <c r="N507" s="2">
        <v>51.24</v>
      </c>
      <c r="O507" s="2">
        <v>53.24</v>
      </c>
      <c r="P507" s="2">
        <v>45.32</v>
      </c>
      <c r="Q507" s="2">
        <v>40.56</v>
      </c>
      <c r="R507" s="2">
        <v>48.49</v>
      </c>
      <c r="S507" s="2">
        <v>53.85</v>
      </c>
      <c r="T507" s="2">
        <v>51.39</v>
      </c>
      <c r="U507" s="2">
        <v>48.7</v>
      </c>
      <c r="V507" s="2">
        <v>53.75</v>
      </c>
      <c r="W507" s="18">
        <v>53.01</v>
      </c>
      <c r="X507" s="13">
        <f t="shared" si="1"/>
        <v>3.2249495271490902E-2</v>
      </c>
      <c r="Y507" s="13">
        <f t="shared" si="1"/>
        <v>4.1896134644088701E-2</v>
      </c>
      <c r="Z507" s="13">
        <f t="shared" si="1"/>
        <v>2.5984290865978421E-2</v>
      </c>
      <c r="AA507" s="13">
        <f t="shared" si="1"/>
        <v>-4.0444893832153328E-3</v>
      </c>
    </row>
    <row r="508" spans="1:27" ht="15" x14ac:dyDescent="0.25">
      <c r="A508" s="4">
        <v>260128</v>
      </c>
      <c r="B508" s="20" t="s">
        <v>145</v>
      </c>
      <c r="C508" s="10" t="s">
        <v>23</v>
      </c>
      <c r="D508" s="10" t="s">
        <v>146</v>
      </c>
      <c r="E508" s="2" t="s">
        <v>42</v>
      </c>
      <c r="F508" s="38">
        <v>7.3615836684194136</v>
      </c>
      <c r="G508" s="2">
        <v>1338</v>
      </c>
      <c r="H508" s="2">
        <v>1192</v>
      </c>
      <c r="I508" s="2">
        <v>1479</v>
      </c>
      <c r="J508" s="2">
        <v>1698</v>
      </c>
      <c r="K508" s="2">
        <v>1680</v>
      </c>
      <c r="L508" s="55">
        <v>1049</v>
      </c>
      <c r="M508" s="55">
        <v>867.79</v>
      </c>
      <c r="N508" s="55">
        <v>1033</v>
      </c>
      <c r="O508" s="55">
        <v>1074</v>
      </c>
      <c r="P508" s="55">
        <v>1088</v>
      </c>
      <c r="Q508" s="55">
        <v>1131</v>
      </c>
      <c r="R508" s="55">
        <v>1264</v>
      </c>
      <c r="S508" s="55">
        <v>1334</v>
      </c>
      <c r="T508" s="55">
        <v>1562</v>
      </c>
      <c r="U508" s="56">
        <v>1741</v>
      </c>
      <c r="V508" s="55">
        <v>1829</v>
      </c>
      <c r="W508" s="58">
        <v>1810</v>
      </c>
      <c r="X508" s="13">
        <f t="shared" si="1"/>
        <v>9.8401494706248593E-2</v>
      </c>
      <c r="Y508" s="13">
        <f t="shared" si="1"/>
        <v>0.11529011529011535</v>
      </c>
      <c r="Z508" s="13">
        <f t="shared" si="1"/>
        <v>9.5746483646839575E-2</v>
      </c>
      <c r="AA508" s="13">
        <f t="shared" si="1"/>
        <v>7.3615836684194136E-2</v>
      </c>
    </row>
    <row r="509" spans="1:27" ht="15" x14ac:dyDescent="0.25">
      <c r="A509" s="4">
        <v>260128</v>
      </c>
      <c r="B509" s="20" t="s">
        <v>104</v>
      </c>
      <c r="C509" s="10" t="s">
        <v>23</v>
      </c>
      <c r="D509" s="10" t="s">
        <v>29</v>
      </c>
      <c r="E509" s="2" t="s">
        <v>25</v>
      </c>
      <c r="F509" s="38">
        <v>7.3596723681040643</v>
      </c>
      <c r="G509" s="2">
        <v>27.87</v>
      </c>
      <c r="H509" s="2">
        <v>27.75</v>
      </c>
      <c r="I509" s="2">
        <v>26.77</v>
      </c>
      <c r="J509" s="2">
        <v>24.82</v>
      </c>
      <c r="K509" s="2">
        <v>19.75</v>
      </c>
      <c r="L509" s="55">
        <v>17.52</v>
      </c>
      <c r="M509" s="55">
        <v>9.9</v>
      </c>
      <c r="N509" s="55">
        <v>-186.13</v>
      </c>
      <c r="O509" s="56">
        <v>2.0699999999999998</v>
      </c>
      <c r="P509" s="55">
        <v>17.22</v>
      </c>
      <c r="Q509" s="55">
        <v>15.61</v>
      </c>
      <c r="R509" s="55">
        <v>19.21</v>
      </c>
      <c r="S509" s="56">
        <v>19.100000000000001</v>
      </c>
      <c r="T509" s="55">
        <v>19.25</v>
      </c>
      <c r="U509" s="55">
        <v>21.63</v>
      </c>
      <c r="V509" s="55">
        <v>23.04</v>
      </c>
      <c r="W509" s="58">
        <v>25.21</v>
      </c>
      <c r="X509" s="13">
        <f t="shared" si="1"/>
        <v>2.8535282541467533E-2</v>
      </c>
      <c r="Y509" s="13">
        <f t="shared" si="1"/>
        <v>8.2274156074894078E-2</v>
      </c>
      <c r="Z509" s="13">
        <f t="shared" si="1"/>
        <v>4.8364692511680962E-2</v>
      </c>
      <c r="AA509" s="13">
        <f t="shared" si="1"/>
        <v>7.3596723681040421E-2</v>
      </c>
    </row>
    <row r="510" spans="1:27" ht="15" x14ac:dyDescent="0.25">
      <c r="A510" s="4">
        <v>260128</v>
      </c>
      <c r="B510" s="20" t="s">
        <v>143</v>
      </c>
      <c r="C510" s="10" t="s">
        <v>23</v>
      </c>
      <c r="D510" s="10" t="s">
        <v>144</v>
      </c>
      <c r="E510" s="2" t="s">
        <v>25</v>
      </c>
      <c r="F510" s="38">
        <v>6.1861913825921544</v>
      </c>
      <c r="G510" s="2">
        <v>2810</v>
      </c>
      <c r="H510" s="2">
        <v>988</v>
      </c>
      <c r="I510" s="2">
        <v>1770</v>
      </c>
      <c r="J510" s="2">
        <v>1393</v>
      </c>
      <c r="K510" s="2">
        <v>3414</v>
      </c>
      <c r="L510" s="55">
        <v>1445</v>
      </c>
      <c r="M510" s="55">
        <v>2285</v>
      </c>
      <c r="N510" s="55">
        <v>2140</v>
      </c>
      <c r="O510" s="55">
        <v>4031</v>
      </c>
      <c r="P510" s="55">
        <v>1478</v>
      </c>
      <c r="Q510" s="55">
        <v>2354</v>
      </c>
      <c r="R510" s="55">
        <v>2115</v>
      </c>
      <c r="S510" s="55">
        <v>3841</v>
      </c>
      <c r="T510" s="55">
        <v>1803</v>
      </c>
      <c r="U510" s="55">
        <v>3110</v>
      </c>
      <c r="V510" s="55">
        <v>2804</v>
      </c>
      <c r="W510" s="58">
        <v>4556</v>
      </c>
      <c r="X510" s="13">
        <f t="shared" ref="X510:AA574" si="2">SUM(Q510:T510)/SUM(P510:S510)-1</f>
        <v>3.3203923171229999E-2</v>
      </c>
      <c r="Y510" s="13">
        <f t="shared" si="2"/>
        <v>7.4755265499851786E-2</v>
      </c>
      <c r="Z510" s="13">
        <f t="shared" si="2"/>
        <v>6.3391296347410142E-2</v>
      </c>
      <c r="AA510" s="13">
        <f t="shared" si="2"/>
        <v>6.1861913825921544E-2</v>
      </c>
    </row>
    <row r="511" spans="1:27" customFormat="1" hidden="1" x14ac:dyDescent="0.3">
      <c r="B511" s="2" t="s">
        <v>72</v>
      </c>
      <c r="C511" s="2" t="s">
        <v>23</v>
      </c>
      <c r="D511" s="2" t="s">
        <v>54</v>
      </c>
      <c r="E511" s="2" t="s">
        <v>35</v>
      </c>
      <c r="F511" s="2">
        <v>-15.27836558808818</v>
      </c>
      <c r="G511" s="2">
        <v>260.52</v>
      </c>
      <c r="H511" s="2">
        <v>312.25</v>
      </c>
      <c r="I511" s="2">
        <v>286.24</v>
      </c>
      <c r="J511" s="2">
        <v>332.15</v>
      </c>
      <c r="K511" s="2">
        <v>329.57</v>
      </c>
      <c r="L511" s="2">
        <v>338.69</v>
      </c>
      <c r="M511" s="2">
        <v>156.46</v>
      </c>
      <c r="N511" s="2">
        <v>226.66</v>
      </c>
      <c r="O511" s="2">
        <v>273.31</v>
      </c>
      <c r="P511" s="2">
        <v>245.96</v>
      </c>
      <c r="Q511" s="2">
        <v>224.99</v>
      </c>
      <c r="R511" s="2">
        <v>286.49</v>
      </c>
      <c r="S511" s="2">
        <v>239.25</v>
      </c>
      <c r="T511" s="2">
        <v>207.61</v>
      </c>
      <c r="U511" s="2">
        <v>150.66</v>
      </c>
      <c r="V511" s="2">
        <v>182.21</v>
      </c>
      <c r="W511" s="18">
        <v>120.12</v>
      </c>
      <c r="X511" s="13">
        <f t="shared" si="2"/>
        <v>-3.8477360061804577E-2</v>
      </c>
      <c r="Y511" s="13">
        <f t="shared" si="2"/>
        <v>-7.7561199574263884E-2</v>
      </c>
      <c r="Z511" s="13">
        <f t="shared" si="2"/>
        <v>-0.11796246648793562</v>
      </c>
      <c r="AA511" s="13">
        <f t="shared" si="2"/>
        <v>-0.15278365588088183</v>
      </c>
    </row>
    <row r="512" spans="1:27" ht="15" x14ac:dyDescent="0.25">
      <c r="A512" s="4">
        <v>260128</v>
      </c>
      <c r="B512" s="20" t="s">
        <v>45</v>
      </c>
      <c r="C512" s="10" t="s">
        <v>23</v>
      </c>
      <c r="D512" s="10" t="s">
        <v>46</v>
      </c>
      <c r="E512" s="2" t="s">
        <v>25</v>
      </c>
      <c r="F512" s="38">
        <v>6.0648801128349916</v>
      </c>
      <c r="G512" s="2">
        <v>-58.62</v>
      </c>
      <c r="H512" s="2">
        <v>9.85</v>
      </c>
      <c r="I512" s="2">
        <v>109.36</v>
      </c>
      <c r="J512" s="2">
        <v>180.47</v>
      </c>
      <c r="K512" s="3">
        <v>197.45</v>
      </c>
      <c r="L512" s="56">
        <v>226.22</v>
      </c>
      <c r="M512" s="56">
        <v>203.8</v>
      </c>
      <c r="N512" s="55">
        <v>201.62</v>
      </c>
      <c r="O512" s="55">
        <v>123.99</v>
      </c>
      <c r="P512" s="55">
        <v>114.27</v>
      </c>
      <c r="Q512" s="55">
        <v>143.08000000000001</v>
      </c>
      <c r="R512" s="55">
        <v>113.3</v>
      </c>
      <c r="S512" s="55">
        <v>13.48</v>
      </c>
      <c r="T512" s="55">
        <v>32.53</v>
      </c>
      <c r="U512" s="55">
        <v>42.7</v>
      </c>
      <c r="V512" s="55">
        <v>-3.63</v>
      </c>
      <c r="W512" s="58">
        <v>18.64</v>
      </c>
      <c r="X512" s="13">
        <f t="shared" si="2"/>
        <v>-0.21279254419076887</v>
      </c>
      <c r="Y512" s="13">
        <f t="shared" si="2"/>
        <v>-0.33195542180627668</v>
      </c>
      <c r="Z512" s="13">
        <f t="shared" si="2"/>
        <v>-0.5788327310529181</v>
      </c>
      <c r="AA512" s="13">
        <f t="shared" si="2"/>
        <v>6.0648801128349694E-2</v>
      </c>
    </row>
    <row r="513" spans="1:27" ht="15" x14ac:dyDescent="0.25">
      <c r="A513" s="4">
        <v>260128</v>
      </c>
      <c r="B513" s="20" t="s">
        <v>114</v>
      </c>
      <c r="C513" s="10" t="s">
        <v>23</v>
      </c>
      <c r="D513" s="10" t="s">
        <v>115</v>
      </c>
      <c r="E513" s="2" t="s">
        <v>25</v>
      </c>
      <c r="F513" s="38">
        <v>5.8261557203616254</v>
      </c>
      <c r="G513" s="2">
        <v>115.59</v>
      </c>
      <c r="H513" s="2">
        <v>152.06</v>
      </c>
      <c r="I513" s="2">
        <v>140.62</v>
      </c>
      <c r="J513" s="2">
        <v>134.16</v>
      </c>
      <c r="K513" s="2">
        <v>138.4</v>
      </c>
      <c r="L513" s="55">
        <v>159.76</v>
      </c>
      <c r="M513" s="55">
        <v>177.03</v>
      </c>
      <c r="N513" s="55">
        <v>165.7</v>
      </c>
      <c r="O513" s="55">
        <v>151.36000000000001</v>
      </c>
      <c r="P513" s="55">
        <v>194.84</v>
      </c>
      <c r="Q513" s="55">
        <v>190.25</v>
      </c>
      <c r="R513" s="55">
        <v>197.18</v>
      </c>
      <c r="S513" s="55">
        <v>179.53</v>
      </c>
      <c r="T513" s="55">
        <v>245.65</v>
      </c>
      <c r="U513" s="55">
        <v>262.52</v>
      </c>
      <c r="V513" s="55">
        <v>248.08</v>
      </c>
      <c r="W513" s="58">
        <v>234.05</v>
      </c>
      <c r="X513" s="13">
        <f t="shared" si="2"/>
        <v>6.6697295878183294E-2</v>
      </c>
      <c r="Y513" s="13">
        <f t="shared" si="2"/>
        <v>8.8935651788680792E-2</v>
      </c>
      <c r="Z513" s="13">
        <f t="shared" si="2"/>
        <v>5.7521923876683978E-2</v>
      </c>
      <c r="AA513" s="13">
        <f t="shared" si="2"/>
        <v>5.8261557203616032E-2</v>
      </c>
    </row>
    <row r="514" spans="1:27" customFormat="1" hidden="1" x14ac:dyDescent="0.3">
      <c r="B514" s="2" t="s">
        <v>74</v>
      </c>
      <c r="C514" s="2" t="s">
        <v>23</v>
      </c>
      <c r="D514" s="2" t="s">
        <v>32</v>
      </c>
      <c r="E514" s="2" t="s">
        <v>75</v>
      </c>
      <c r="F514" s="2">
        <v>3.538704581358632</v>
      </c>
      <c r="G514" s="2">
        <v>19.920000000000002</v>
      </c>
      <c r="H514" s="2">
        <v>18.260000000000002</v>
      </c>
      <c r="I514" s="2">
        <v>16.399999999999999</v>
      </c>
      <c r="J514" s="2">
        <v>17.16</v>
      </c>
      <c r="K514" s="2">
        <v>13.8</v>
      </c>
      <c r="L514" s="2">
        <v>18.440000000000001</v>
      </c>
      <c r="M514" s="2">
        <v>12.34</v>
      </c>
      <c r="N514" s="2">
        <v>9.7100000000000009</v>
      </c>
      <c r="O514" s="2">
        <v>9.75</v>
      </c>
      <c r="P514" s="2">
        <v>10.92</v>
      </c>
      <c r="Q514" s="2">
        <v>-5.26</v>
      </c>
      <c r="R514" s="2">
        <v>9.74</v>
      </c>
      <c r="S514" s="2">
        <v>9.51</v>
      </c>
      <c r="T514" s="2">
        <v>4.29</v>
      </c>
      <c r="U514" s="3">
        <v>10.72</v>
      </c>
      <c r="V514" s="2">
        <v>7.13</v>
      </c>
      <c r="W514" s="18">
        <v>10.63</v>
      </c>
      <c r="X514" s="13">
        <f t="shared" si="2"/>
        <v>-0.26615816940987547</v>
      </c>
      <c r="Y514" s="13">
        <f t="shared" si="2"/>
        <v>0.87417943107220974</v>
      </c>
      <c r="Z514" s="13">
        <f t="shared" si="2"/>
        <v>-7.6182136602451767E-2</v>
      </c>
      <c r="AA514" s="13">
        <f t="shared" si="2"/>
        <v>3.5387045813586093E-2</v>
      </c>
    </row>
    <row r="515" spans="1:27" ht="15" x14ac:dyDescent="0.25">
      <c r="A515" s="4">
        <v>260128</v>
      </c>
      <c r="B515" s="20" t="s">
        <v>184</v>
      </c>
      <c r="C515" s="10" t="s">
        <v>23</v>
      </c>
      <c r="D515" s="10" t="s">
        <v>131</v>
      </c>
      <c r="E515" s="2" t="s">
        <v>185</v>
      </c>
      <c r="F515" s="38">
        <v>5.6683587140439862</v>
      </c>
      <c r="G515" s="2">
        <v>281</v>
      </c>
      <c r="H515" s="2">
        <v>260</v>
      </c>
      <c r="I515" s="2">
        <v>291</v>
      </c>
      <c r="J515" s="2">
        <v>285</v>
      </c>
      <c r="K515" s="2">
        <v>274</v>
      </c>
      <c r="L515" s="55">
        <v>244</v>
      </c>
      <c r="M515" s="55">
        <v>345</v>
      </c>
      <c r="N515" s="55">
        <v>317</v>
      </c>
      <c r="O515" s="55">
        <v>0</v>
      </c>
      <c r="P515" s="55">
        <v>266</v>
      </c>
      <c r="Q515" s="55">
        <v>356</v>
      </c>
      <c r="R515" s="55">
        <v>272</v>
      </c>
      <c r="S515" s="56">
        <v>243</v>
      </c>
      <c r="T515" s="55">
        <v>266</v>
      </c>
      <c r="U515" s="55">
        <v>331</v>
      </c>
      <c r="V515" s="55">
        <v>342</v>
      </c>
      <c r="W515" s="58">
        <v>310</v>
      </c>
      <c r="X515" s="13">
        <f t="shared" si="2"/>
        <v>0</v>
      </c>
      <c r="Y515" s="13">
        <f t="shared" si="2"/>
        <v>-2.1987686895338587E-2</v>
      </c>
      <c r="Z515" s="13">
        <f t="shared" si="2"/>
        <v>6.2949640287769837E-2</v>
      </c>
      <c r="AA515" s="13">
        <f t="shared" si="2"/>
        <v>5.6683587140439862E-2</v>
      </c>
    </row>
    <row r="516" spans="1:27" customFormat="1" hidden="1" x14ac:dyDescent="0.3">
      <c r="B516" s="2" t="s">
        <v>77</v>
      </c>
      <c r="C516" s="2" t="s">
        <v>67</v>
      </c>
      <c r="D516" s="2" t="s">
        <v>32</v>
      </c>
      <c r="E516" s="2" t="s">
        <v>35</v>
      </c>
      <c r="F516" s="2">
        <v>3.244357928233033</v>
      </c>
      <c r="G516" s="2">
        <v>2082</v>
      </c>
      <c r="H516" s="2">
        <v>1582</v>
      </c>
      <c r="I516" s="2">
        <v>2678</v>
      </c>
      <c r="J516" s="2">
        <v>702</v>
      </c>
      <c r="K516" s="2">
        <v>1752</v>
      </c>
      <c r="L516" s="2">
        <v>1128</v>
      </c>
      <c r="M516" s="3">
        <v>3769</v>
      </c>
      <c r="N516" s="2">
        <v>729</v>
      </c>
      <c r="O516" s="2">
        <v>1814</v>
      </c>
      <c r="P516" s="2">
        <v>1566</v>
      </c>
      <c r="Q516" s="2">
        <v>2233</v>
      </c>
      <c r="R516" s="2">
        <v>985.04</v>
      </c>
      <c r="S516" s="2">
        <v>1773</v>
      </c>
      <c r="T516" s="2">
        <v>1506</v>
      </c>
      <c r="U516" s="3">
        <v>3176</v>
      </c>
      <c r="V516" s="2">
        <v>295.18</v>
      </c>
      <c r="W516" s="18">
        <v>1992</v>
      </c>
      <c r="X516" s="13">
        <f t="shared" si="2"/>
        <v>-9.1504703341751537E-3</v>
      </c>
      <c r="Y516" s="13">
        <f t="shared" si="2"/>
        <v>0.14514301897479465</v>
      </c>
      <c r="Z516" s="13">
        <f t="shared" si="2"/>
        <v>-9.2722619770861381E-2</v>
      </c>
      <c r="AA516" s="13">
        <f t="shared" si="2"/>
        <v>3.2443579282330326E-2</v>
      </c>
    </row>
    <row r="517" spans="1:27" ht="15" x14ac:dyDescent="0.25">
      <c r="A517" s="4">
        <v>260128</v>
      </c>
      <c r="B517" s="20" t="s">
        <v>135</v>
      </c>
      <c r="C517" s="10" t="s">
        <v>23</v>
      </c>
      <c r="D517" s="10" t="s">
        <v>136</v>
      </c>
      <c r="E517" s="2" t="s">
        <v>25</v>
      </c>
      <c r="F517" s="38">
        <v>5.1711633304322602</v>
      </c>
      <c r="G517" s="2">
        <v>1256</v>
      </c>
      <c r="H517" s="2">
        <v>444.5</v>
      </c>
      <c r="I517" s="2">
        <v>-348.1</v>
      </c>
      <c r="J517" s="2">
        <v>205.6</v>
      </c>
      <c r="K517" s="2">
        <v>1088</v>
      </c>
      <c r="L517" s="56">
        <v>617.70000000000005</v>
      </c>
      <c r="M517" s="56">
        <v>501.4</v>
      </c>
      <c r="N517" s="56">
        <v>1480</v>
      </c>
      <c r="O517" s="56">
        <v>2573</v>
      </c>
      <c r="P517" s="56">
        <v>3010</v>
      </c>
      <c r="Q517" s="56">
        <v>1929</v>
      </c>
      <c r="R517" s="56">
        <v>3016</v>
      </c>
      <c r="S517" s="55">
        <v>3038</v>
      </c>
      <c r="T517" s="55">
        <v>3306</v>
      </c>
      <c r="U517" s="56">
        <v>4051</v>
      </c>
      <c r="V517" s="55">
        <v>3393</v>
      </c>
      <c r="W517" s="58">
        <v>3751</v>
      </c>
      <c r="X517" s="13">
        <f t="shared" si="2"/>
        <v>2.6926225780041779E-2</v>
      </c>
      <c r="Y517" s="13">
        <f t="shared" si="2"/>
        <v>0.18797059084064127</v>
      </c>
      <c r="Z517" s="13">
        <f t="shared" si="2"/>
        <v>2.8111251957348538E-2</v>
      </c>
      <c r="AA517" s="13">
        <f t="shared" si="2"/>
        <v>5.1711633304322602E-2</v>
      </c>
    </row>
    <row r="518" spans="1:27" ht="15" x14ac:dyDescent="0.25">
      <c r="A518" s="4">
        <v>260128</v>
      </c>
      <c r="B518" s="20" t="s">
        <v>176</v>
      </c>
      <c r="C518" s="10" t="s">
        <v>23</v>
      </c>
      <c r="D518" s="10" t="s">
        <v>177</v>
      </c>
      <c r="E518" s="2" t="s">
        <v>25</v>
      </c>
      <c r="F518" s="38">
        <v>4.9530346391801539</v>
      </c>
      <c r="G518" s="2">
        <v>334.9</v>
      </c>
      <c r="H518" s="2">
        <v>241.9</v>
      </c>
      <c r="I518" s="2">
        <v>235.33</v>
      </c>
      <c r="J518" s="2">
        <v>217.73</v>
      </c>
      <c r="K518" s="2">
        <v>257.2</v>
      </c>
      <c r="L518" s="55">
        <v>227.27</v>
      </c>
      <c r="M518" s="55">
        <v>196.53</v>
      </c>
      <c r="N518" s="55">
        <v>176.43</v>
      </c>
      <c r="O518" s="55">
        <v>269.2</v>
      </c>
      <c r="P518" s="55">
        <v>230.85</v>
      </c>
      <c r="Q518" s="55">
        <v>226.89</v>
      </c>
      <c r="R518" s="55">
        <v>216.66</v>
      </c>
      <c r="S518" s="55">
        <v>266.2</v>
      </c>
      <c r="T518" s="55">
        <v>76.040000000000006</v>
      </c>
      <c r="U518" s="55">
        <v>213.82</v>
      </c>
      <c r="V518" s="55">
        <v>286.05</v>
      </c>
      <c r="W518" s="58">
        <v>307.91000000000003</v>
      </c>
      <c r="X518" s="13">
        <f t="shared" si="2"/>
        <v>-0.16458643419094188</v>
      </c>
      <c r="Y518" s="13">
        <f t="shared" si="2"/>
        <v>-1.6632942643708848E-2</v>
      </c>
      <c r="Z518" s="13">
        <f t="shared" si="2"/>
        <v>8.9799668702764013E-2</v>
      </c>
      <c r="AA518" s="13">
        <f t="shared" si="2"/>
        <v>4.9530346391801761E-2</v>
      </c>
    </row>
    <row r="519" spans="1:27" customFormat="1" hidden="1" x14ac:dyDescent="0.3">
      <c r="B519" s="2" t="s">
        <v>81</v>
      </c>
      <c r="C519" s="2" t="s">
        <v>23</v>
      </c>
      <c r="D519" s="2" t="s">
        <v>69</v>
      </c>
      <c r="E519" s="2" t="s">
        <v>35</v>
      </c>
      <c r="F519" s="2">
        <v>-11.711856248997259</v>
      </c>
      <c r="G519" s="2">
        <v>27.62</v>
      </c>
      <c r="H519" s="2">
        <v>32.659999999999997</v>
      </c>
      <c r="I519" s="2">
        <v>31.19</v>
      </c>
      <c r="J519" s="2">
        <v>42.33</v>
      </c>
      <c r="K519" s="2">
        <v>37.65</v>
      </c>
      <c r="L519" s="2">
        <v>36.869999999999997</v>
      </c>
      <c r="M519" s="2">
        <v>28.32</v>
      </c>
      <c r="N519" s="2">
        <v>30.63</v>
      </c>
      <c r="O519" s="2">
        <v>19.84</v>
      </c>
      <c r="P519" s="2">
        <v>21.45</v>
      </c>
      <c r="Q519" s="2">
        <v>14.57</v>
      </c>
      <c r="R519" s="2">
        <v>22.05</v>
      </c>
      <c r="S519" s="2">
        <v>17.8</v>
      </c>
      <c r="T519" s="2">
        <v>18.16</v>
      </c>
      <c r="U519" s="2">
        <v>11.1</v>
      </c>
      <c r="V519" s="2">
        <v>15.27</v>
      </c>
      <c r="W519" s="18">
        <v>10.5</v>
      </c>
      <c r="X519" s="13">
        <f t="shared" si="2"/>
        <v>-4.33636483458546E-2</v>
      </c>
      <c r="Y519" s="13">
        <f t="shared" si="2"/>
        <v>-4.7809313860567637E-2</v>
      </c>
      <c r="Z519" s="13">
        <f t="shared" si="2"/>
        <v>-9.8104471132976379E-2</v>
      </c>
      <c r="AA519" s="13">
        <f t="shared" si="2"/>
        <v>-0.11711856248997266</v>
      </c>
    </row>
    <row r="520" spans="1:27" customFormat="1" hidden="1" x14ac:dyDescent="0.3">
      <c r="B520" s="2" t="s">
        <v>82</v>
      </c>
      <c r="C520" s="2" t="s">
        <v>67</v>
      </c>
      <c r="D520" s="2" t="s">
        <v>32</v>
      </c>
      <c r="E520" s="2" t="s">
        <v>35</v>
      </c>
      <c r="F520" s="2">
        <v>-30.407665190273889</v>
      </c>
      <c r="G520" s="2">
        <v>1954</v>
      </c>
      <c r="H520" s="2">
        <v>683</v>
      </c>
      <c r="I520" s="2">
        <v>1176</v>
      </c>
      <c r="J520" s="2">
        <v>423</v>
      </c>
      <c r="K520" s="2">
        <v>1249</v>
      </c>
      <c r="L520" s="3">
        <v>1670</v>
      </c>
      <c r="M520" s="3">
        <v>2425</v>
      </c>
      <c r="N520" s="3">
        <v>2626</v>
      </c>
      <c r="O520" s="3">
        <v>5539</v>
      </c>
      <c r="P520" s="2">
        <v>1491</v>
      </c>
      <c r="Q520" s="3">
        <v>3959</v>
      </c>
      <c r="R520" s="2">
        <v>3956</v>
      </c>
      <c r="S520" s="2">
        <v>4479</v>
      </c>
      <c r="T520" s="3">
        <v>4682</v>
      </c>
      <c r="U520" s="2">
        <v>979</v>
      </c>
      <c r="V520" s="2">
        <v>923</v>
      </c>
      <c r="W520" s="18">
        <v>1115</v>
      </c>
      <c r="X520" s="13">
        <f t="shared" si="2"/>
        <v>0.22981634857760169</v>
      </c>
      <c r="Y520" s="13">
        <f t="shared" si="2"/>
        <v>-0.17451393769032564</v>
      </c>
      <c r="Z520" s="13">
        <f t="shared" si="2"/>
        <v>-0.21516742338251982</v>
      </c>
      <c r="AA520" s="13">
        <f t="shared" si="2"/>
        <v>-0.30407665190273891</v>
      </c>
    </row>
    <row r="521" spans="1:27" customFormat="1" hidden="1" x14ac:dyDescent="0.3">
      <c r="B521" s="2" t="s">
        <v>83</v>
      </c>
      <c r="C521" s="2" t="s">
        <v>67</v>
      </c>
      <c r="D521" s="2" t="s">
        <v>32</v>
      </c>
      <c r="E521" s="2" t="s">
        <v>35</v>
      </c>
      <c r="F521" s="2">
        <v>12.585383545910661</v>
      </c>
      <c r="G521" s="2">
        <v>3414</v>
      </c>
      <c r="H521" s="2">
        <v>1247</v>
      </c>
      <c r="I521" s="2">
        <v>1973</v>
      </c>
      <c r="J521" s="2">
        <v>3029</v>
      </c>
      <c r="K521" s="2">
        <v>3056</v>
      </c>
      <c r="L521" s="3">
        <v>3005</v>
      </c>
      <c r="M521" s="3">
        <v>5729</v>
      </c>
      <c r="N521" s="3">
        <v>4877</v>
      </c>
      <c r="O521" s="3">
        <v>5064</v>
      </c>
      <c r="P521" s="2">
        <v>4807</v>
      </c>
      <c r="Q521" s="2">
        <v>6307</v>
      </c>
      <c r="R521" s="2">
        <v>3091</v>
      </c>
      <c r="S521" s="2">
        <v>2824</v>
      </c>
      <c r="T521" s="2">
        <v>3784</v>
      </c>
      <c r="U521" s="2">
        <v>5633</v>
      </c>
      <c r="V521" s="2">
        <v>4302</v>
      </c>
      <c r="W521" s="19">
        <v>4906</v>
      </c>
      <c r="X521" s="13">
        <f t="shared" si="2"/>
        <v>-6.007399142639025E-2</v>
      </c>
      <c r="Y521" s="13">
        <f t="shared" si="2"/>
        <v>-4.2109209046607532E-2</v>
      </c>
      <c r="Z521" s="13">
        <f t="shared" si="2"/>
        <v>7.8985129141664556E-2</v>
      </c>
      <c r="AA521" s="13">
        <f t="shared" si="2"/>
        <v>0.12585383545910656</v>
      </c>
    </row>
    <row r="522" spans="1:27" customFormat="1" hidden="1" x14ac:dyDescent="0.3">
      <c r="B522" s="2" t="s">
        <v>84</v>
      </c>
      <c r="C522" s="2" t="s">
        <v>31</v>
      </c>
      <c r="D522" s="2" t="s">
        <v>32</v>
      </c>
      <c r="E522" s="2" t="s">
        <v>35</v>
      </c>
      <c r="F522" s="2">
        <v>10.795884400060521</v>
      </c>
      <c r="G522" s="2">
        <v>314.47000000000003</v>
      </c>
      <c r="H522" s="2">
        <v>380.4</v>
      </c>
      <c r="I522" s="2">
        <v>358.92</v>
      </c>
      <c r="J522" s="2">
        <v>356.08</v>
      </c>
      <c r="K522" s="2">
        <v>382.51</v>
      </c>
      <c r="L522" s="2">
        <v>385.66</v>
      </c>
      <c r="M522" s="3">
        <v>576.29999999999995</v>
      </c>
      <c r="N522" s="2">
        <v>469.53</v>
      </c>
      <c r="O522" s="2">
        <v>561.4</v>
      </c>
      <c r="P522" s="2">
        <v>466.61</v>
      </c>
      <c r="Q522" s="2">
        <v>591.08000000000004</v>
      </c>
      <c r="R522" s="2">
        <v>377</v>
      </c>
      <c r="S522" s="2">
        <v>546.20000000000005</v>
      </c>
      <c r="T522" s="2">
        <v>362.7</v>
      </c>
      <c r="U522" s="2">
        <v>323.3</v>
      </c>
      <c r="V522" s="2">
        <v>89.6</v>
      </c>
      <c r="W522" s="19">
        <v>688.9</v>
      </c>
      <c r="X522" s="13">
        <f t="shared" si="2"/>
        <v>-5.2456219174209506E-2</v>
      </c>
      <c r="Y522" s="13">
        <f t="shared" si="2"/>
        <v>-0.14266534539526265</v>
      </c>
      <c r="Z522" s="13">
        <f t="shared" si="2"/>
        <v>-0.17859806114839683</v>
      </c>
      <c r="AA522" s="13">
        <f t="shared" si="2"/>
        <v>0.10795884400060518</v>
      </c>
    </row>
    <row r="523" spans="1:27" customFormat="1" hidden="1" x14ac:dyDescent="0.3">
      <c r="B523" s="2" t="s">
        <v>85</v>
      </c>
      <c r="C523" s="2" t="s">
        <v>31</v>
      </c>
      <c r="D523" s="2" t="s">
        <v>32</v>
      </c>
      <c r="E523" s="2" t="s">
        <v>35</v>
      </c>
      <c r="F523" s="2">
        <v>5.1582211272990008</v>
      </c>
      <c r="G523" s="2">
        <v>293.55</v>
      </c>
      <c r="H523" s="2">
        <v>324.07</v>
      </c>
      <c r="I523" s="2">
        <v>644.99</v>
      </c>
      <c r="J523" s="2">
        <v>340.71</v>
      </c>
      <c r="K523" s="2">
        <v>439.62</v>
      </c>
      <c r="L523" s="3">
        <v>529.01</v>
      </c>
      <c r="M523" s="3">
        <v>924.99</v>
      </c>
      <c r="N523" s="2">
        <v>456.75</v>
      </c>
      <c r="O523" s="2">
        <v>660.34</v>
      </c>
      <c r="P523" s="3">
        <v>1019</v>
      </c>
      <c r="Q523" s="2">
        <v>1001</v>
      </c>
      <c r="R523" s="2">
        <v>728.2</v>
      </c>
      <c r="S523" s="2">
        <v>718.13</v>
      </c>
      <c r="T523" s="2">
        <v>956.62</v>
      </c>
      <c r="U523" s="2">
        <v>1164</v>
      </c>
      <c r="V523" s="2">
        <v>692.7</v>
      </c>
      <c r="W523" s="18">
        <v>900.29</v>
      </c>
      <c r="X523" s="13">
        <f t="shared" si="2"/>
        <v>-1.7995978455600081E-2</v>
      </c>
      <c r="Y523" s="13">
        <f t="shared" si="2"/>
        <v>4.788554473479345E-2</v>
      </c>
      <c r="Z523" s="13">
        <f t="shared" si="2"/>
        <v>-9.9524804104347275E-3</v>
      </c>
      <c r="AA523" s="13">
        <f t="shared" si="2"/>
        <v>5.1582211272989786E-2</v>
      </c>
    </row>
    <row r="524" spans="1:27" ht="15" x14ac:dyDescent="0.25">
      <c r="A524" s="4">
        <v>260128</v>
      </c>
      <c r="B524" s="20" t="s">
        <v>183</v>
      </c>
      <c r="C524" s="10" t="s">
        <v>23</v>
      </c>
      <c r="D524" s="10" t="s">
        <v>177</v>
      </c>
      <c r="E524" s="2" t="s">
        <v>25</v>
      </c>
      <c r="F524" s="38">
        <v>4.8803906961344401</v>
      </c>
      <c r="G524" s="2">
        <v>249.17</v>
      </c>
      <c r="H524" s="2">
        <v>102.72</v>
      </c>
      <c r="I524" s="2">
        <v>77.53</v>
      </c>
      <c r="J524" s="2">
        <v>89.58</v>
      </c>
      <c r="K524" s="2">
        <v>84.74</v>
      </c>
      <c r="L524" s="55">
        <v>89.99</v>
      </c>
      <c r="M524" s="55">
        <v>73.22</v>
      </c>
      <c r="N524" s="55">
        <v>100.84</v>
      </c>
      <c r="O524" s="55">
        <v>106.21</v>
      </c>
      <c r="P524" s="55">
        <v>111.84</v>
      </c>
      <c r="Q524" s="55">
        <v>110.11</v>
      </c>
      <c r="R524" s="55">
        <v>135.30000000000001</v>
      </c>
      <c r="S524" s="55">
        <v>148.82</v>
      </c>
      <c r="T524" s="55">
        <v>158.88999999999999</v>
      </c>
      <c r="U524" s="55">
        <v>127.36</v>
      </c>
      <c r="V524" s="55">
        <v>168.98</v>
      </c>
      <c r="W524" s="58">
        <v>178.3</v>
      </c>
      <c r="X524" s="13">
        <f t="shared" si="2"/>
        <v>9.2971328077143589E-2</v>
      </c>
      <c r="Y524" s="13">
        <f t="shared" si="2"/>
        <v>3.1186722591842742E-2</v>
      </c>
      <c r="Z524" s="13">
        <f t="shared" si="2"/>
        <v>5.9049388993109631E-2</v>
      </c>
      <c r="AA524" s="13">
        <f t="shared" si="2"/>
        <v>4.8803906961344401E-2</v>
      </c>
    </row>
    <row r="525" spans="1:27" customFormat="1" hidden="1" x14ac:dyDescent="0.3">
      <c r="B525" s="2" t="s">
        <v>87</v>
      </c>
      <c r="C525" s="2" t="s">
        <v>31</v>
      </c>
      <c r="D525" s="2" t="s">
        <v>32</v>
      </c>
      <c r="E525" s="2" t="s">
        <v>35</v>
      </c>
      <c r="F525" s="2">
        <v>24.1941914082187</v>
      </c>
      <c r="G525" s="2">
        <v>-345.84</v>
      </c>
      <c r="H525" s="2">
        <v>-342.15</v>
      </c>
      <c r="I525" s="2">
        <v>-323.89</v>
      </c>
      <c r="J525" s="2">
        <v>-43.44</v>
      </c>
      <c r="K525" s="2">
        <v>10.49</v>
      </c>
      <c r="L525" s="2">
        <v>33.630000000000003</v>
      </c>
      <c r="M525" s="2">
        <v>57.88</v>
      </c>
      <c r="N525" s="3">
        <v>-29.03</v>
      </c>
      <c r="O525" s="3">
        <v>18.25</v>
      </c>
      <c r="P525" s="3">
        <v>157.80000000000001</v>
      </c>
      <c r="Q525" s="3">
        <v>170.38</v>
      </c>
      <c r="R525" s="3">
        <v>115.16</v>
      </c>
      <c r="S525" s="3">
        <v>220.64</v>
      </c>
      <c r="T525" s="3">
        <v>395.67</v>
      </c>
      <c r="U525" s="3">
        <v>368.34</v>
      </c>
      <c r="V525" s="3">
        <v>344.76</v>
      </c>
      <c r="W525" s="19">
        <v>542.28</v>
      </c>
      <c r="X525" s="13">
        <f t="shared" si="2"/>
        <v>0.35824874243200089</v>
      </c>
      <c r="Y525" s="13">
        <f t="shared" si="2"/>
        <v>0.2195043521649942</v>
      </c>
      <c r="Z525" s="13">
        <f t="shared" si="2"/>
        <v>0.20876333184822826</v>
      </c>
      <c r="AA525" s="13">
        <f t="shared" si="2"/>
        <v>0.24194191408218702</v>
      </c>
    </row>
    <row r="526" spans="1:27" ht="15" x14ac:dyDescent="0.25">
      <c r="A526" s="4">
        <v>260128</v>
      </c>
      <c r="B526" s="20" t="s">
        <v>22</v>
      </c>
      <c r="C526" s="10" t="s">
        <v>23</v>
      </c>
      <c r="D526" s="10" t="s">
        <v>24</v>
      </c>
      <c r="E526" s="2" t="s">
        <v>25</v>
      </c>
      <c r="F526" s="38">
        <v>4.8713742395374293</v>
      </c>
      <c r="G526" s="2">
        <v>22247</v>
      </c>
      <c r="H526" s="2">
        <v>20364</v>
      </c>
      <c r="I526" s="2">
        <v>20534</v>
      </c>
      <c r="J526" s="2">
        <v>21518</v>
      </c>
      <c r="K526" s="2">
        <v>20551</v>
      </c>
      <c r="L526" s="55">
        <v>22352</v>
      </c>
      <c r="M526" s="55">
        <v>24254</v>
      </c>
      <c r="N526" s="55">
        <v>26895</v>
      </c>
      <c r="O526" s="55">
        <v>27032</v>
      </c>
      <c r="P526" s="55">
        <v>27581</v>
      </c>
      <c r="Q526" s="55">
        <v>27925</v>
      </c>
      <c r="R526" s="55">
        <v>30552</v>
      </c>
      <c r="S526" s="55">
        <v>31653</v>
      </c>
      <c r="T526" s="55">
        <v>32000</v>
      </c>
      <c r="U526" s="55">
        <v>34323</v>
      </c>
      <c r="V526" s="55">
        <v>37961</v>
      </c>
      <c r="W526" s="58">
        <v>38275</v>
      </c>
      <c r="X526" s="13">
        <f t="shared" si="2"/>
        <v>3.7541096414098973E-2</v>
      </c>
      <c r="Y526" s="13">
        <f t="shared" si="2"/>
        <v>5.2386800949807633E-2</v>
      </c>
      <c r="Z526" s="13">
        <f t="shared" si="2"/>
        <v>5.7645026764596041E-2</v>
      </c>
      <c r="AA526" s="13">
        <f t="shared" si="2"/>
        <v>4.8713742395374293E-2</v>
      </c>
    </row>
    <row r="527" spans="1:27" ht="15" x14ac:dyDescent="0.25">
      <c r="A527" s="4">
        <v>260128</v>
      </c>
      <c r="B527" s="20" t="s">
        <v>51</v>
      </c>
      <c r="C527" s="10" t="s">
        <v>23</v>
      </c>
      <c r="D527" s="10" t="s">
        <v>52</v>
      </c>
      <c r="E527" s="2" t="s">
        <v>25</v>
      </c>
      <c r="F527" s="38">
        <v>4.6018930957683724</v>
      </c>
      <c r="G527" s="2">
        <v>32.340000000000003</v>
      </c>
      <c r="H527" s="2">
        <v>49.39</v>
      </c>
      <c r="I527" s="2">
        <v>60.06</v>
      </c>
      <c r="J527" s="2">
        <v>48.24</v>
      </c>
      <c r="K527" s="3">
        <v>61.73</v>
      </c>
      <c r="L527" s="55">
        <v>58.74</v>
      </c>
      <c r="M527" s="55">
        <v>57.63</v>
      </c>
      <c r="N527" s="55">
        <v>52.63</v>
      </c>
      <c r="O527" s="55">
        <v>65.59</v>
      </c>
      <c r="P527" s="55">
        <v>80.650000000000006</v>
      </c>
      <c r="Q527" s="55">
        <v>72.77</v>
      </c>
      <c r="R527" s="55">
        <v>72.33</v>
      </c>
      <c r="S527" s="56">
        <v>98.64</v>
      </c>
      <c r="T527" s="55">
        <v>97.46</v>
      </c>
      <c r="U527" s="55">
        <v>77.31</v>
      </c>
      <c r="V527" s="55">
        <v>85.79</v>
      </c>
      <c r="W527" s="58">
        <v>115.17</v>
      </c>
      <c r="X527" s="13">
        <f t="shared" si="2"/>
        <v>5.1820339714541142E-2</v>
      </c>
      <c r="Y527" s="13">
        <f t="shared" si="2"/>
        <v>1.3305978898006998E-2</v>
      </c>
      <c r="Z527" s="13">
        <f t="shared" si="2"/>
        <v>3.8930988604153338E-2</v>
      </c>
      <c r="AA527" s="13">
        <f t="shared" si="2"/>
        <v>4.6018930957683724E-2</v>
      </c>
    </row>
    <row r="528" spans="1:27" customFormat="1" hidden="1" x14ac:dyDescent="0.3">
      <c r="B528" s="2" t="s">
        <v>90</v>
      </c>
      <c r="C528" s="2" t="s">
        <v>67</v>
      </c>
      <c r="D528" s="2" t="s">
        <v>32</v>
      </c>
      <c r="E528" s="2" t="s">
        <v>35</v>
      </c>
      <c r="F528" s="2">
        <v>14.472378432021159</v>
      </c>
      <c r="G528" s="2">
        <v>-381</v>
      </c>
      <c r="H528" s="2">
        <v>568</v>
      </c>
      <c r="I528" s="2">
        <v>10789</v>
      </c>
      <c r="J528" s="2">
        <v>-1932</v>
      </c>
      <c r="K528" s="2">
        <v>-1053</v>
      </c>
      <c r="L528" s="2">
        <v>961</v>
      </c>
      <c r="M528" s="2">
        <v>10714</v>
      </c>
      <c r="N528" s="2">
        <v>-2523</v>
      </c>
      <c r="O528" s="2">
        <v>-259</v>
      </c>
      <c r="P528" s="3">
        <v>2874</v>
      </c>
      <c r="Q528" s="2">
        <v>9812</v>
      </c>
      <c r="R528" s="2">
        <v>-2068</v>
      </c>
      <c r="S528" s="2">
        <v>-1</v>
      </c>
      <c r="T528" s="2">
        <v>1717</v>
      </c>
      <c r="U528" s="3">
        <v>10979</v>
      </c>
      <c r="V528" s="3">
        <v>-603</v>
      </c>
      <c r="W528" s="19">
        <v>1749</v>
      </c>
      <c r="X528" s="13">
        <f t="shared" si="2"/>
        <v>-0.10897617029292639</v>
      </c>
      <c r="Y528" s="13">
        <f t="shared" si="2"/>
        <v>0.12336152219873142</v>
      </c>
      <c r="Z528" s="13">
        <f t="shared" si="2"/>
        <v>0.13785640350051764</v>
      </c>
      <c r="AA528" s="13">
        <f t="shared" si="2"/>
        <v>0.1447237843202116</v>
      </c>
    </row>
    <row r="529" spans="1:27" customFormat="1" hidden="1" x14ac:dyDescent="0.3">
      <c r="B529" s="2" t="s">
        <v>91</v>
      </c>
      <c r="C529" s="2" t="s">
        <v>67</v>
      </c>
      <c r="D529" s="2" t="s">
        <v>32</v>
      </c>
      <c r="E529" s="2" t="s">
        <v>35</v>
      </c>
      <c r="F529" s="2">
        <v>6.1854589296010953</v>
      </c>
      <c r="G529" s="2">
        <v>2570</v>
      </c>
      <c r="H529" s="2">
        <v>2725</v>
      </c>
      <c r="I529" s="2">
        <v>2981</v>
      </c>
      <c r="J529" s="2">
        <v>3350</v>
      </c>
      <c r="K529" s="3">
        <v>3773</v>
      </c>
      <c r="L529" s="3">
        <v>4278</v>
      </c>
      <c r="M529" s="2">
        <v>4146</v>
      </c>
      <c r="N529" s="2">
        <v>3817</v>
      </c>
      <c r="O529" s="2">
        <v>4169</v>
      </c>
      <c r="P529" s="2">
        <v>3384</v>
      </c>
      <c r="Q529" s="2">
        <v>4861</v>
      </c>
      <c r="R529" s="2">
        <v>4721</v>
      </c>
      <c r="S529" s="2">
        <v>4798</v>
      </c>
      <c r="T529" s="2">
        <v>4447</v>
      </c>
      <c r="U529" s="2">
        <v>4114</v>
      </c>
      <c r="V529" s="2">
        <v>5718</v>
      </c>
      <c r="W529" s="18">
        <v>5978</v>
      </c>
      <c r="X529" s="13">
        <f t="shared" si="2"/>
        <v>5.984012609772571E-2</v>
      </c>
      <c r="Y529" s="13">
        <f t="shared" si="2"/>
        <v>-3.9677059542146953E-2</v>
      </c>
      <c r="Z529" s="13">
        <f t="shared" si="2"/>
        <v>5.5143805309734617E-2</v>
      </c>
      <c r="AA529" s="13">
        <f t="shared" si="2"/>
        <v>6.1854589296010953E-2</v>
      </c>
    </row>
    <row r="530" spans="1:27" ht="15" x14ac:dyDescent="0.25">
      <c r="A530" s="4">
        <v>260128</v>
      </c>
      <c r="B530" s="20" t="s">
        <v>89</v>
      </c>
      <c r="C530" s="10" t="s">
        <v>23</v>
      </c>
      <c r="D530" s="10" t="s">
        <v>29</v>
      </c>
      <c r="E530" s="2" t="s">
        <v>25</v>
      </c>
      <c r="F530" s="38">
        <v>4.5756457564575692</v>
      </c>
      <c r="G530" s="2">
        <v>21.99</v>
      </c>
      <c r="H530" s="2">
        <v>25.17</v>
      </c>
      <c r="I530" s="2">
        <v>16.420000000000002</v>
      </c>
      <c r="J530" s="2">
        <v>25.99</v>
      </c>
      <c r="K530" s="2">
        <v>29.63</v>
      </c>
      <c r="L530" s="55">
        <v>26.08</v>
      </c>
      <c r="M530" s="55">
        <v>20.94</v>
      </c>
      <c r="N530" s="55">
        <v>21.27</v>
      </c>
      <c r="O530" s="55">
        <v>20.399999999999999</v>
      </c>
      <c r="P530" s="55">
        <v>25.56</v>
      </c>
      <c r="Q530" s="55">
        <v>22.59</v>
      </c>
      <c r="R530" s="55">
        <v>23.39</v>
      </c>
      <c r="S530" s="55">
        <v>23.76</v>
      </c>
      <c r="T530" s="55">
        <v>27.56</v>
      </c>
      <c r="U530" s="55">
        <v>25.02</v>
      </c>
      <c r="V530" s="55">
        <v>32.06</v>
      </c>
      <c r="W530" s="58">
        <v>28.72</v>
      </c>
      <c r="X530" s="13">
        <f t="shared" si="2"/>
        <v>2.0986358866736721E-2</v>
      </c>
      <c r="Y530" s="13">
        <f t="shared" si="2"/>
        <v>2.4974306269270219E-2</v>
      </c>
      <c r="Z530" s="13">
        <f t="shared" si="2"/>
        <v>8.6934723754136245E-2</v>
      </c>
      <c r="AA530" s="13">
        <f t="shared" si="2"/>
        <v>4.5756457564575692E-2</v>
      </c>
    </row>
    <row r="531" spans="1:27" customFormat="1" hidden="1" x14ac:dyDescent="0.3">
      <c r="B531" s="2" t="s">
        <v>94</v>
      </c>
      <c r="C531" s="2" t="s">
        <v>23</v>
      </c>
      <c r="D531" s="2" t="s">
        <v>95</v>
      </c>
      <c r="E531" s="2" t="s">
        <v>96</v>
      </c>
      <c r="F531" s="2">
        <v>-79.90654205607477</v>
      </c>
      <c r="G531" s="2">
        <v>-0.82</v>
      </c>
      <c r="H531" s="2">
        <v>-0.21</v>
      </c>
      <c r="I531" s="2">
        <v>-0.72</v>
      </c>
      <c r="J531" s="2">
        <v>-0.24</v>
      </c>
      <c r="K531" s="2">
        <v>-0.45</v>
      </c>
      <c r="L531" s="2">
        <v>-0.01</v>
      </c>
      <c r="M531" s="2">
        <v>-0.41</v>
      </c>
      <c r="N531" s="2">
        <v>-0.31</v>
      </c>
      <c r="O531" s="2">
        <v>-0.01</v>
      </c>
      <c r="P531" s="3">
        <v>-0.35</v>
      </c>
      <c r="Q531" s="3">
        <v>-0.83</v>
      </c>
      <c r="R531" s="2">
        <v>-0.11</v>
      </c>
      <c r="S531" s="3">
        <v>-0.32</v>
      </c>
      <c r="T531" s="2">
        <v>-0.38</v>
      </c>
      <c r="U531" s="2">
        <v>0.92</v>
      </c>
      <c r="V531" s="2">
        <v>-4.5</v>
      </c>
      <c r="W531" s="18">
        <v>3.1</v>
      </c>
      <c r="X531" s="13">
        <f t="shared" si="2"/>
        <v>1.8633540372670732E-2</v>
      </c>
      <c r="Y531" s="13">
        <f t="shared" si="2"/>
        <v>-1.0670731707317074</v>
      </c>
      <c r="Z531" s="13">
        <f t="shared" si="2"/>
        <v>-39.909090909090914</v>
      </c>
      <c r="AA531" s="13">
        <f t="shared" si="2"/>
        <v>-0.7990654205607477</v>
      </c>
    </row>
    <row r="532" spans="1:27" ht="15" x14ac:dyDescent="0.25">
      <c r="A532" s="4">
        <v>260128</v>
      </c>
      <c r="B532" s="20" t="s">
        <v>161</v>
      </c>
      <c r="C532" s="10" t="s">
        <v>23</v>
      </c>
      <c r="D532" s="10" t="s">
        <v>162</v>
      </c>
      <c r="E532" s="2" t="s">
        <v>59</v>
      </c>
      <c r="F532" s="38">
        <v>4.3207957724588084</v>
      </c>
      <c r="G532" s="2">
        <v>635.72</v>
      </c>
      <c r="H532" s="2">
        <v>376.65</v>
      </c>
      <c r="I532" s="2">
        <v>72.09</v>
      </c>
      <c r="J532" s="2">
        <v>331.33</v>
      </c>
      <c r="K532" s="2">
        <v>516.29</v>
      </c>
      <c r="L532" s="55">
        <v>138.44999999999999</v>
      </c>
      <c r="M532" s="55">
        <v>-32.479999999999997</v>
      </c>
      <c r="N532" s="55">
        <v>351.06</v>
      </c>
      <c r="O532" s="55">
        <v>216.78</v>
      </c>
      <c r="P532" s="55">
        <v>-63.97</v>
      </c>
      <c r="Q532" s="55">
        <v>-110.28</v>
      </c>
      <c r="R532" s="55">
        <v>284.57</v>
      </c>
      <c r="S532" s="56">
        <v>296.14</v>
      </c>
      <c r="T532" s="56">
        <v>3.91</v>
      </c>
      <c r="U532" s="55">
        <v>-69.47</v>
      </c>
      <c r="V532" s="55">
        <v>316.31</v>
      </c>
      <c r="W532" s="58">
        <v>319.77</v>
      </c>
      <c r="X532" s="13">
        <f t="shared" si="2"/>
        <v>0.16700290311469757</v>
      </c>
      <c r="Y532" s="13">
        <f t="shared" si="2"/>
        <v>8.6035333305224171E-2</v>
      </c>
      <c r="Z532" s="13">
        <f t="shared" si="2"/>
        <v>6.1613122391536379E-2</v>
      </c>
      <c r="AA532" s="13">
        <f t="shared" si="2"/>
        <v>4.3207957724588075E-2</v>
      </c>
    </row>
    <row r="533" spans="1:27" ht="15" x14ac:dyDescent="0.25">
      <c r="A533" s="4">
        <v>260128</v>
      </c>
      <c r="B533" s="20" t="s">
        <v>165</v>
      </c>
      <c r="C533" s="10" t="s">
        <v>23</v>
      </c>
      <c r="D533" s="10" t="s">
        <v>166</v>
      </c>
      <c r="E533" s="2" t="s">
        <v>25</v>
      </c>
      <c r="F533" s="38">
        <v>4.1015150287612601</v>
      </c>
      <c r="G533" s="2">
        <v>206.71</v>
      </c>
      <c r="H533" s="2">
        <v>241.39</v>
      </c>
      <c r="I533" s="2">
        <v>166.86</v>
      </c>
      <c r="J533" s="2">
        <v>179.49</v>
      </c>
      <c r="K533" s="2">
        <v>257.79000000000002</v>
      </c>
      <c r="L533" s="55">
        <v>225.12</v>
      </c>
      <c r="M533" s="55">
        <v>157.51</v>
      </c>
      <c r="N533" s="55">
        <v>128.53</v>
      </c>
      <c r="O533" s="55">
        <v>210.7</v>
      </c>
      <c r="P533" s="55">
        <v>254.68</v>
      </c>
      <c r="Q533" s="55">
        <v>152.84</v>
      </c>
      <c r="R533" s="55">
        <v>125.19</v>
      </c>
      <c r="S533" s="55">
        <v>235.62</v>
      </c>
      <c r="T533" s="55">
        <v>331.09</v>
      </c>
      <c r="U533" s="56">
        <v>237.35</v>
      </c>
      <c r="V533" s="55">
        <v>183.38</v>
      </c>
      <c r="W533" s="58">
        <v>276.12</v>
      </c>
      <c r="X533" s="13">
        <f t="shared" si="2"/>
        <v>9.9449455312170532E-2</v>
      </c>
      <c r="Y533" s="13">
        <f t="shared" si="2"/>
        <v>0.1000426166631152</v>
      </c>
      <c r="Z533" s="13">
        <f t="shared" si="2"/>
        <v>6.2620392789884294E-2</v>
      </c>
      <c r="AA533" s="13">
        <f t="shared" si="2"/>
        <v>4.1015150287612379E-2</v>
      </c>
    </row>
    <row r="534" spans="1:27" ht="15" x14ac:dyDescent="0.25">
      <c r="A534" s="4">
        <v>260128</v>
      </c>
      <c r="B534" s="20" t="s">
        <v>70</v>
      </c>
      <c r="C534" s="10" t="s">
        <v>23</v>
      </c>
      <c r="D534" s="10" t="s">
        <v>71</v>
      </c>
      <c r="E534" s="2" t="s">
        <v>59</v>
      </c>
      <c r="F534" s="38">
        <v>3.953114226614574</v>
      </c>
      <c r="G534" s="2">
        <v>-34.6</v>
      </c>
      <c r="H534" s="2">
        <v>389.3</v>
      </c>
      <c r="I534" s="2">
        <v>150.4</v>
      </c>
      <c r="J534" s="2">
        <v>-103.6</v>
      </c>
      <c r="K534" s="2">
        <v>-11.7</v>
      </c>
      <c r="L534" s="55">
        <v>352</v>
      </c>
      <c r="M534" s="55">
        <v>114.7</v>
      </c>
      <c r="N534" s="55">
        <v>-148.5</v>
      </c>
      <c r="O534" s="55">
        <v>-55.4</v>
      </c>
      <c r="P534" s="55">
        <v>347.8</v>
      </c>
      <c r="Q534" s="56">
        <v>203.9</v>
      </c>
      <c r="R534" s="55">
        <v>-128.80000000000001</v>
      </c>
      <c r="S534" s="55">
        <v>-39</v>
      </c>
      <c r="T534" s="55">
        <v>365.9</v>
      </c>
      <c r="U534" s="55">
        <v>231.5</v>
      </c>
      <c r="V534" s="55">
        <v>-123.3</v>
      </c>
      <c r="W534" s="58">
        <v>-21.8</v>
      </c>
      <c r="X534" s="13">
        <f t="shared" si="2"/>
        <v>4.7147694712164512E-2</v>
      </c>
      <c r="Y534" s="13">
        <f t="shared" si="2"/>
        <v>6.8656716417910379E-2</v>
      </c>
      <c r="Z534" s="13">
        <f t="shared" si="2"/>
        <v>1.2802607076350059E-2</v>
      </c>
      <c r="AA534" s="13">
        <f t="shared" si="2"/>
        <v>3.9531142266145736E-2</v>
      </c>
    </row>
    <row r="535" spans="1:27" customFormat="1" hidden="1" x14ac:dyDescent="0.3">
      <c r="B535" s="2" t="s">
        <v>100</v>
      </c>
      <c r="C535" s="2" t="s">
        <v>23</v>
      </c>
      <c r="D535" s="2" t="s">
        <v>101</v>
      </c>
      <c r="E535" s="2" t="s">
        <v>35</v>
      </c>
      <c r="F535" s="2">
        <v>-1.2977099236641141</v>
      </c>
      <c r="G535" s="2">
        <v>26.72</v>
      </c>
      <c r="H535" s="2">
        <v>36.81</v>
      </c>
      <c r="I535" s="2">
        <v>22.44</v>
      </c>
      <c r="J535" s="2">
        <v>28.3</v>
      </c>
      <c r="K535" s="2">
        <v>26.35</v>
      </c>
      <c r="L535" s="2">
        <v>14.98</v>
      </c>
      <c r="M535" s="2">
        <v>21.34</v>
      </c>
      <c r="N535" s="2">
        <v>29.02</v>
      </c>
      <c r="O535" s="3">
        <v>35.700000000000003</v>
      </c>
      <c r="P535" s="3">
        <v>42.12</v>
      </c>
      <c r="Q535" s="2">
        <v>30.11</v>
      </c>
      <c r="R535" s="2">
        <v>38.43</v>
      </c>
      <c r="S535" s="2">
        <v>38.659999999999997</v>
      </c>
      <c r="T535" s="2">
        <v>53.72</v>
      </c>
      <c r="U535" s="2">
        <v>23.36</v>
      </c>
      <c r="V535" s="2">
        <v>41.46</v>
      </c>
      <c r="W535" s="18">
        <v>36.619999999999997</v>
      </c>
      <c r="X535" s="13">
        <f t="shared" si="2"/>
        <v>7.7685507634610129E-2</v>
      </c>
      <c r="Y535" s="13">
        <f t="shared" si="2"/>
        <v>-4.1946308724832071E-2</v>
      </c>
      <c r="Z535" s="13">
        <f t="shared" si="2"/>
        <v>1.965362911072166E-2</v>
      </c>
      <c r="AA535" s="13">
        <f t="shared" si="2"/>
        <v>-1.2977099236641143E-2</v>
      </c>
    </row>
    <row r="536" spans="1:27" customFormat="1" hidden="1" x14ac:dyDescent="0.3">
      <c r="B536" s="2" t="s">
        <v>102</v>
      </c>
      <c r="C536" s="2" t="s">
        <v>31</v>
      </c>
      <c r="D536" s="2" t="s">
        <v>32</v>
      </c>
      <c r="E536" s="2" t="s">
        <v>35</v>
      </c>
      <c r="F536" s="2">
        <v>-3.150809965953572</v>
      </c>
      <c r="G536" s="2">
        <v>689.91</v>
      </c>
      <c r="H536" s="2">
        <v>1671</v>
      </c>
      <c r="I536" s="2">
        <v>1171</v>
      </c>
      <c r="J536" s="2">
        <v>1367</v>
      </c>
      <c r="K536" s="2">
        <v>905.4</v>
      </c>
      <c r="L536" s="2">
        <v>1994</v>
      </c>
      <c r="M536" s="2">
        <v>1405</v>
      </c>
      <c r="N536" s="2">
        <v>1182</v>
      </c>
      <c r="O536" s="2">
        <v>603.49</v>
      </c>
      <c r="P536" s="2">
        <v>2076</v>
      </c>
      <c r="Q536" s="2">
        <v>1373</v>
      </c>
      <c r="R536" s="2">
        <v>755.17</v>
      </c>
      <c r="S536" s="2">
        <v>846.97</v>
      </c>
      <c r="T536" s="2">
        <v>2031</v>
      </c>
      <c r="U536" s="2">
        <v>1266</v>
      </c>
      <c r="V536" s="2">
        <v>808.09</v>
      </c>
      <c r="W536" s="18">
        <v>690.94</v>
      </c>
      <c r="X536" s="13">
        <f t="shared" si="2"/>
        <v>-8.9088799756095183E-3</v>
      </c>
      <c r="Y536" s="13">
        <f t="shared" si="2"/>
        <v>-2.1373753031277754E-2</v>
      </c>
      <c r="Z536" s="13">
        <f t="shared" si="2"/>
        <v>1.0801895842944109E-2</v>
      </c>
      <c r="AA536" s="13">
        <f t="shared" si="2"/>
        <v>-3.1508099659535604E-2</v>
      </c>
    </row>
    <row r="537" spans="1:27" ht="15" x14ac:dyDescent="0.25">
      <c r="A537" s="4">
        <v>260128</v>
      </c>
      <c r="B537" s="20" t="s">
        <v>118</v>
      </c>
      <c r="C537" s="10" t="s">
        <v>23</v>
      </c>
      <c r="D537" s="10" t="s">
        <v>119</v>
      </c>
      <c r="E537" s="2" t="s">
        <v>25</v>
      </c>
      <c r="F537" s="38">
        <v>3.678931793926465</v>
      </c>
      <c r="G537" s="2">
        <v>288.06</v>
      </c>
      <c r="H537" s="2">
        <v>290.29000000000002</v>
      </c>
      <c r="I537" s="2">
        <v>302.2</v>
      </c>
      <c r="J537" s="2">
        <v>310.45999999999998</v>
      </c>
      <c r="K537" s="2">
        <v>307.74</v>
      </c>
      <c r="L537" s="55">
        <v>314.60000000000002</v>
      </c>
      <c r="M537" s="55">
        <v>345.95</v>
      </c>
      <c r="N537" s="55">
        <v>354.32</v>
      </c>
      <c r="O537" s="55">
        <v>371.53</v>
      </c>
      <c r="P537" s="55">
        <v>340.89</v>
      </c>
      <c r="Q537" s="55">
        <v>385.34</v>
      </c>
      <c r="R537" s="55">
        <v>404.43</v>
      </c>
      <c r="S537" s="55">
        <v>402.95</v>
      </c>
      <c r="T537" s="55">
        <v>377.02</v>
      </c>
      <c r="U537" s="55">
        <v>421.46</v>
      </c>
      <c r="V537" s="55">
        <v>447.69</v>
      </c>
      <c r="W537" s="58">
        <v>463.62</v>
      </c>
      <c r="X537" s="13">
        <f t="shared" si="2"/>
        <v>2.3558792652629945E-2</v>
      </c>
      <c r="Y537" s="13">
        <f t="shared" si="2"/>
        <v>2.301018002981392E-2</v>
      </c>
      <c r="Z537" s="13">
        <f t="shared" si="2"/>
        <v>2.6938836511277486E-2</v>
      </c>
      <c r="AA537" s="13">
        <f t="shared" si="2"/>
        <v>3.6789317939264432E-2</v>
      </c>
    </row>
    <row r="538" spans="1:27" ht="15" x14ac:dyDescent="0.25">
      <c r="A538" s="4">
        <v>260128</v>
      </c>
      <c r="B538" s="20" t="s">
        <v>150</v>
      </c>
      <c r="C538" s="10" t="s">
        <v>23</v>
      </c>
      <c r="D538" s="10" t="s">
        <v>151</v>
      </c>
      <c r="E538" s="2" t="s">
        <v>25</v>
      </c>
      <c r="F538" s="38">
        <v>3.526896157336612</v>
      </c>
      <c r="G538" s="2">
        <v>12585</v>
      </c>
      <c r="H538" s="2">
        <v>8524</v>
      </c>
      <c r="I538" s="2">
        <v>8358</v>
      </c>
      <c r="J538" s="2">
        <v>5664</v>
      </c>
      <c r="K538" s="2">
        <v>11010</v>
      </c>
      <c r="L538" s="55">
        <v>7848</v>
      </c>
      <c r="M538" s="55">
        <v>9576</v>
      </c>
      <c r="N538" s="56">
        <v>14092</v>
      </c>
      <c r="O538" s="56">
        <v>17491</v>
      </c>
      <c r="P538" s="56">
        <v>13818</v>
      </c>
      <c r="Q538" s="55">
        <v>14847</v>
      </c>
      <c r="R538" s="55">
        <v>17350</v>
      </c>
      <c r="S538" s="55">
        <v>21908</v>
      </c>
      <c r="T538" s="55">
        <v>17555</v>
      </c>
      <c r="U538" s="55">
        <v>20441</v>
      </c>
      <c r="V538" s="55">
        <v>20535</v>
      </c>
      <c r="W538" s="58">
        <v>24745</v>
      </c>
      <c r="X538" s="13">
        <f t="shared" si="2"/>
        <v>5.5018182353547385E-2</v>
      </c>
      <c r="Y538" s="13">
        <f t="shared" si="2"/>
        <v>7.8063075634942747E-2</v>
      </c>
      <c r="Z538" s="13">
        <f t="shared" si="2"/>
        <v>4.1227638698319913E-2</v>
      </c>
      <c r="AA538" s="13">
        <f t="shared" si="2"/>
        <v>3.526896157336612E-2</v>
      </c>
    </row>
    <row r="539" spans="1:27" ht="15" x14ac:dyDescent="0.25">
      <c r="A539" s="4">
        <v>260128</v>
      </c>
      <c r="B539" s="20" t="s">
        <v>157</v>
      </c>
      <c r="C539" s="10" t="s">
        <v>23</v>
      </c>
      <c r="D539" s="10" t="s">
        <v>131</v>
      </c>
      <c r="E539" s="2" t="s">
        <v>25</v>
      </c>
      <c r="F539" s="38">
        <v>2.181633688483009</v>
      </c>
      <c r="G539" s="2">
        <v>41.8</v>
      </c>
      <c r="H539" s="2">
        <v>31.1</v>
      </c>
      <c r="I539" s="2">
        <v>44.4</v>
      </c>
      <c r="J539" s="2">
        <v>40.799999999999997</v>
      </c>
      <c r="K539" s="2">
        <v>48.1</v>
      </c>
      <c r="L539" s="56">
        <v>63</v>
      </c>
      <c r="M539" s="55">
        <v>61.3</v>
      </c>
      <c r="N539" s="55">
        <v>42.8</v>
      </c>
      <c r="O539" s="55">
        <v>48.4</v>
      </c>
      <c r="P539" s="55">
        <v>52.9</v>
      </c>
      <c r="Q539" s="55">
        <v>72</v>
      </c>
      <c r="R539" s="55">
        <v>52.5</v>
      </c>
      <c r="S539" s="55">
        <v>57.1</v>
      </c>
      <c r="T539" s="55">
        <v>45.3</v>
      </c>
      <c r="U539" s="55">
        <v>54.2</v>
      </c>
      <c r="V539" s="55">
        <v>40.5</v>
      </c>
      <c r="W539" s="58">
        <v>61.4</v>
      </c>
      <c r="X539" s="13">
        <f t="shared" si="2"/>
        <v>-3.2409381663113135E-2</v>
      </c>
      <c r="Y539" s="13">
        <f t="shared" si="2"/>
        <v>-7.844865579550464E-2</v>
      </c>
      <c r="Z539" s="13">
        <f t="shared" si="2"/>
        <v>-5.7388809182209233E-2</v>
      </c>
      <c r="AA539" s="13">
        <f t="shared" si="2"/>
        <v>2.1816336884829868E-2</v>
      </c>
    </row>
    <row r="540" spans="1:27" ht="15" x14ac:dyDescent="0.25">
      <c r="A540" s="4">
        <v>260128</v>
      </c>
      <c r="B540" s="20" t="s">
        <v>110</v>
      </c>
      <c r="C540" s="10" t="s">
        <v>23</v>
      </c>
      <c r="D540" s="10" t="s">
        <v>111</v>
      </c>
      <c r="E540" s="2" t="s">
        <v>25</v>
      </c>
      <c r="F540" s="38">
        <v>2.1540687966158378</v>
      </c>
      <c r="G540" s="2">
        <v>22.83</v>
      </c>
      <c r="H540" s="2">
        <v>18.829999999999998</v>
      </c>
      <c r="I540" s="2">
        <v>22.06</v>
      </c>
      <c r="J540" s="2">
        <v>23.84</v>
      </c>
      <c r="K540" s="2">
        <v>22.44</v>
      </c>
      <c r="L540" s="55">
        <v>25.01</v>
      </c>
      <c r="M540" s="55">
        <v>29.47</v>
      </c>
      <c r="N540" s="55">
        <v>31.39</v>
      </c>
      <c r="O540" s="55">
        <v>32.049999999999997</v>
      </c>
      <c r="P540" s="55">
        <v>36.57</v>
      </c>
      <c r="Q540" s="55">
        <v>41.5</v>
      </c>
      <c r="R540" s="55">
        <v>40.61</v>
      </c>
      <c r="S540" s="55">
        <v>39.21</v>
      </c>
      <c r="T540" s="55">
        <v>49.45</v>
      </c>
      <c r="U540" s="55">
        <v>44.89</v>
      </c>
      <c r="V540" s="55">
        <v>46.11</v>
      </c>
      <c r="W540" s="58">
        <v>43.08</v>
      </c>
      <c r="X540" s="13">
        <f t="shared" si="2"/>
        <v>8.1575780606751414E-2</v>
      </c>
      <c r="Y540" s="13">
        <f t="shared" si="2"/>
        <v>1.9851261931252528E-2</v>
      </c>
      <c r="Z540" s="13">
        <f t="shared" si="2"/>
        <v>3.1580156178227181E-2</v>
      </c>
      <c r="AA540" s="13">
        <f t="shared" si="2"/>
        <v>2.1540687966157934E-2</v>
      </c>
    </row>
    <row r="541" spans="1:27" ht="15" x14ac:dyDescent="0.25">
      <c r="A541" s="4">
        <v>260128</v>
      </c>
      <c r="B541" s="20" t="s">
        <v>137</v>
      </c>
      <c r="C541" s="10" t="s">
        <v>23</v>
      </c>
      <c r="D541" s="10" t="s">
        <v>115</v>
      </c>
      <c r="E541" s="2" t="s">
        <v>25</v>
      </c>
      <c r="F541" s="38">
        <v>1.980198019801982</v>
      </c>
      <c r="G541" s="2">
        <v>35</v>
      </c>
      <c r="H541" s="2">
        <v>87</v>
      </c>
      <c r="I541" s="2">
        <v>22</v>
      </c>
      <c r="J541" s="2">
        <v>91</v>
      </c>
      <c r="K541" s="3">
        <v>155</v>
      </c>
      <c r="L541" s="56">
        <v>144</v>
      </c>
      <c r="M541" s="56">
        <v>117</v>
      </c>
      <c r="N541" s="56">
        <v>231</v>
      </c>
      <c r="O541" s="56">
        <v>308</v>
      </c>
      <c r="P541" s="56">
        <v>332</v>
      </c>
      <c r="Q541" s="56">
        <v>240</v>
      </c>
      <c r="R541" s="56">
        <v>418</v>
      </c>
      <c r="S541" s="55">
        <v>407</v>
      </c>
      <c r="T541" s="55">
        <v>451</v>
      </c>
      <c r="U541" s="55">
        <v>388</v>
      </c>
      <c r="V541" s="55">
        <v>572</v>
      </c>
      <c r="W541" s="58">
        <v>443</v>
      </c>
      <c r="X541" s="13">
        <f t="shared" si="2"/>
        <v>8.5182534001431609E-2</v>
      </c>
      <c r="Y541" s="13">
        <f t="shared" si="2"/>
        <v>9.7625329815303363E-2</v>
      </c>
      <c r="Z541" s="13">
        <f t="shared" si="2"/>
        <v>9.2548076923076872E-2</v>
      </c>
      <c r="AA541" s="13">
        <f t="shared" si="2"/>
        <v>1.980198019801982E-2</v>
      </c>
    </row>
    <row r="542" spans="1:27" ht="15" x14ac:dyDescent="0.25">
      <c r="A542" s="4">
        <v>260128</v>
      </c>
      <c r="B542" s="20" t="s">
        <v>160</v>
      </c>
      <c r="C542" s="10" t="s">
        <v>23</v>
      </c>
      <c r="D542" s="10" t="s">
        <v>29</v>
      </c>
      <c r="E542" s="2" t="s">
        <v>25</v>
      </c>
      <c r="F542" s="38">
        <v>1.902649016352487</v>
      </c>
      <c r="G542" s="2">
        <v>160.97999999999999</v>
      </c>
      <c r="H542" s="2">
        <v>155.22</v>
      </c>
      <c r="I542" s="2">
        <v>163.19</v>
      </c>
      <c r="J542" s="2">
        <v>173.15</v>
      </c>
      <c r="K542" s="2">
        <v>174.62</v>
      </c>
      <c r="L542" s="55">
        <v>158.72999999999999</v>
      </c>
      <c r="M542" s="55">
        <v>111.74</v>
      </c>
      <c r="N542" s="55">
        <v>142.61000000000001</v>
      </c>
      <c r="O542" s="55">
        <v>121.38</v>
      </c>
      <c r="P542" s="55">
        <v>141.27000000000001</v>
      </c>
      <c r="Q542" s="55">
        <v>142.88</v>
      </c>
      <c r="R542" s="55">
        <v>162.44999999999999</v>
      </c>
      <c r="S542" s="55">
        <v>166.07</v>
      </c>
      <c r="T542" s="55">
        <v>166.38</v>
      </c>
      <c r="U542" s="55">
        <v>172.14</v>
      </c>
      <c r="V542" s="55">
        <v>176.04</v>
      </c>
      <c r="W542" s="58">
        <v>179.02</v>
      </c>
      <c r="X542" s="13">
        <f t="shared" si="2"/>
        <v>4.0984543065598178E-2</v>
      </c>
      <c r="Y542" s="13">
        <f t="shared" si="2"/>
        <v>4.5877888927216226E-2</v>
      </c>
      <c r="Z542" s="13">
        <f t="shared" si="2"/>
        <v>2.0373590789158014E-2</v>
      </c>
      <c r="AA542" s="13">
        <f t="shared" si="2"/>
        <v>1.9026490163524867E-2</v>
      </c>
    </row>
    <row r="543" spans="1:27" ht="15" x14ac:dyDescent="0.25">
      <c r="A543" s="4">
        <v>260128</v>
      </c>
      <c r="B543" s="20" t="s">
        <v>133</v>
      </c>
      <c r="C543" s="10" t="s">
        <v>23</v>
      </c>
      <c r="D543" s="10" t="s">
        <v>115</v>
      </c>
      <c r="E543" s="2" t="s">
        <v>25</v>
      </c>
      <c r="F543" s="38">
        <v>1.7081591858985949</v>
      </c>
      <c r="G543" s="2">
        <v>919.6</v>
      </c>
      <c r="H543" s="2">
        <v>1201</v>
      </c>
      <c r="I543" s="2">
        <v>810.1</v>
      </c>
      <c r="J543" s="2">
        <v>1033</v>
      </c>
      <c r="K543" s="2">
        <v>1098</v>
      </c>
      <c r="L543" s="55">
        <v>1379</v>
      </c>
      <c r="M543" s="55">
        <v>1050</v>
      </c>
      <c r="N543" s="55">
        <v>1125</v>
      </c>
      <c r="O543" s="55">
        <v>1192</v>
      </c>
      <c r="P543" s="55">
        <v>1553</v>
      </c>
      <c r="Q543" s="55">
        <v>1106</v>
      </c>
      <c r="R543" s="55">
        <v>1280</v>
      </c>
      <c r="S543" s="55">
        <v>1308</v>
      </c>
      <c r="T543" s="55">
        <v>1641</v>
      </c>
      <c r="U543" s="55">
        <v>1214</v>
      </c>
      <c r="V543" s="55">
        <v>1340</v>
      </c>
      <c r="W543" s="58">
        <v>1402</v>
      </c>
      <c r="X543" s="13">
        <f t="shared" si="2"/>
        <v>1.6771488469601747E-2</v>
      </c>
      <c r="Y543" s="13">
        <f t="shared" si="2"/>
        <v>2.0243673851921384E-2</v>
      </c>
      <c r="Z543" s="13">
        <f t="shared" si="2"/>
        <v>1.1023332720925927E-2</v>
      </c>
      <c r="AA543" s="13">
        <f t="shared" si="2"/>
        <v>1.7081591858985945E-2</v>
      </c>
    </row>
    <row r="544" spans="1:27" ht="15" x14ac:dyDescent="0.25">
      <c r="A544" s="4">
        <v>260128</v>
      </c>
      <c r="B544" s="20" t="s">
        <v>123</v>
      </c>
      <c r="C544" s="10" t="s">
        <v>23</v>
      </c>
      <c r="D544" s="10" t="s">
        <v>124</v>
      </c>
      <c r="E544" s="2" t="s">
        <v>25</v>
      </c>
      <c r="F544" s="38">
        <v>1.673360107095045</v>
      </c>
      <c r="G544" s="2">
        <v>969</v>
      </c>
      <c r="H544" s="2">
        <v>656</v>
      </c>
      <c r="I544" s="2">
        <v>988</v>
      </c>
      <c r="J544" s="2">
        <v>1039</v>
      </c>
      <c r="K544" s="2">
        <v>1170</v>
      </c>
      <c r="L544" s="55">
        <v>927</v>
      </c>
      <c r="M544" s="55">
        <v>1143</v>
      </c>
      <c r="N544" s="55">
        <v>1258</v>
      </c>
      <c r="O544" s="56">
        <v>1699</v>
      </c>
      <c r="P544" s="55">
        <v>1263</v>
      </c>
      <c r="Q544" s="55">
        <v>1383</v>
      </c>
      <c r="R544" s="55">
        <v>1328</v>
      </c>
      <c r="S544" s="55">
        <v>1607</v>
      </c>
      <c r="T544" s="55">
        <v>1444</v>
      </c>
      <c r="U544" s="55">
        <v>1469</v>
      </c>
      <c r="V544" s="55">
        <v>1456</v>
      </c>
      <c r="W544" s="58">
        <v>1707</v>
      </c>
      <c r="X544" s="13">
        <f t="shared" si="2"/>
        <v>3.2431463895359336E-2</v>
      </c>
      <c r="Y544" s="13">
        <f t="shared" si="2"/>
        <v>1.4925373134328401E-2</v>
      </c>
      <c r="Z544" s="13">
        <f t="shared" si="2"/>
        <v>2.188782489740082E-2</v>
      </c>
      <c r="AA544" s="13">
        <f t="shared" si="2"/>
        <v>1.6733601070950455E-2</v>
      </c>
    </row>
    <row r="545" spans="1:27" ht="15" x14ac:dyDescent="0.25">
      <c r="A545" s="4">
        <v>260128</v>
      </c>
      <c r="B545" s="20" t="s">
        <v>128</v>
      </c>
      <c r="C545" s="10" t="s">
        <v>23</v>
      </c>
      <c r="D545" s="10" t="s">
        <v>129</v>
      </c>
      <c r="E545" s="2" t="s">
        <v>25</v>
      </c>
      <c r="F545" s="38">
        <v>1.654898499558688</v>
      </c>
      <c r="G545" s="2">
        <v>721</v>
      </c>
      <c r="H545" s="2">
        <v>785</v>
      </c>
      <c r="I545" s="2">
        <v>890</v>
      </c>
      <c r="J545" s="2">
        <v>943</v>
      </c>
      <c r="K545" s="2">
        <v>810</v>
      </c>
      <c r="L545" s="55">
        <v>825</v>
      </c>
      <c r="M545" s="55">
        <v>945</v>
      </c>
      <c r="N545" s="55">
        <v>1021</v>
      </c>
      <c r="O545" s="55">
        <v>1032</v>
      </c>
      <c r="P545" s="55">
        <v>1014</v>
      </c>
      <c r="Q545" s="55">
        <v>1067</v>
      </c>
      <c r="R545" s="55">
        <v>1127</v>
      </c>
      <c r="S545" s="55">
        <v>1101</v>
      </c>
      <c r="T545" s="55">
        <v>1028</v>
      </c>
      <c r="U545" s="55">
        <v>1187</v>
      </c>
      <c r="V545" s="55">
        <v>1216</v>
      </c>
      <c r="W545" s="58">
        <v>1176</v>
      </c>
      <c r="X545" s="13">
        <f t="shared" si="2"/>
        <v>3.2490136922720403E-3</v>
      </c>
      <c r="Y545" s="13">
        <f t="shared" si="2"/>
        <v>2.7758501040943795E-2</v>
      </c>
      <c r="Z545" s="13">
        <f t="shared" si="2"/>
        <v>2.0031510240828165E-2</v>
      </c>
      <c r="AA545" s="13">
        <f t="shared" si="2"/>
        <v>1.654898499558688E-2</v>
      </c>
    </row>
    <row r="546" spans="1:27" ht="15" x14ac:dyDescent="0.25">
      <c r="A546" s="4">
        <v>260128</v>
      </c>
      <c r="B546" s="20" t="s">
        <v>130</v>
      </c>
      <c r="C546" s="10" t="s">
        <v>23</v>
      </c>
      <c r="D546" s="10" t="s">
        <v>131</v>
      </c>
      <c r="E546" s="2" t="s">
        <v>25</v>
      </c>
      <c r="F546" s="38">
        <v>1.614114114114118</v>
      </c>
      <c r="G546" s="2">
        <v>1197</v>
      </c>
      <c r="H546" s="2">
        <v>994</v>
      </c>
      <c r="I546" s="2">
        <v>1064</v>
      </c>
      <c r="J546" s="2">
        <v>1183</v>
      </c>
      <c r="K546" s="2">
        <v>1360</v>
      </c>
      <c r="L546" s="55">
        <v>811</v>
      </c>
      <c r="M546" s="55">
        <v>835</v>
      </c>
      <c r="N546" s="55">
        <v>929</v>
      </c>
      <c r="O546" s="55">
        <v>1132</v>
      </c>
      <c r="P546" s="55">
        <v>1046</v>
      </c>
      <c r="Q546" s="55">
        <v>1166</v>
      </c>
      <c r="R546" s="55">
        <v>1191</v>
      </c>
      <c r="S546" s="55">
        <v>1366</v>
      </c>
      <c r="T546" s="55">
        <v>1287</v>
      </c>
      <c r="U546" s="55">
        <v>1325</v>
      </c>
      <c r="V546" s="55">
        <v>1350</v>
      </c>
      <c r="W546" s="58">
        <v>1452</v>
      </c>
      <c r="X546" s="13">
        <f t="shared" si="2"/>
        <v>5.0534703292094862E-2</v>
      </c>
      <c r="Y546" s="13">
        <f t="shared" si="2"/>
        <v>3.1736526946107846E-2</v>
      </c>
      <c r="Z546" s="13">
        <f t="shared" si="2"/>
        <v>3.0760301799187539E-2</v>
      </c>
      <c r="AA546" s="13">
        <f t="shared" si="2"/>
        <v>1.614114114114118E-2</v>
      </c>
    </row>
    <row r="547" spans="1:27" ht="15" x14ac:dyDescent="0.25">
      <c r="A547" s="4">
        <v>260128</v>
      </c>
      <c r="B547" s="20" t="s">
        <v>60</v>
      </c>
      <c r="C547" s="10" t="s">
        <v>23</v>
      </c>
      <c r="D547" s="10" t="s">
        <v>61</v>
      </c>
      <c r="E547" s="2" t="s">
        <v>59</v>
      </c>
      <c r="F547" s="38">
        <v>1.4739517153748329</v>
      </c>
      <c r="G547" s="2">
        <v>215.92</v>
      </c>
      <c r="H547" s="2">
        <v>304.92</v>
      </c>
      <c r="I547" s="2">
        <v>288.94</v>
      </c>
      <c r="J547" s="2">
        <v>295.45</v>
      </c>
      <c r="K547" s="2">
        <v>303.89</v>
      </c>
      <c r="L547" s="55">
        <v>318.54000000000002</v>
      </c>
      <c r="M547" s="55">
        <v>268.63</v>
      </c>
      <c r="N547" s="55">
        <v>260.25</v>
      </c>
      <c r="O547" s="55">
        <v>245.28</v>
      </c>
      <c r="P547" s="55">
        <v>193.94</v>
      </c>
      <c r="Q547" s="55">
        <v>220.57</v>
      </c>
      <c r="R547" s="55">
        <v>171.59</v>
      </c>
      <c r="S547" s="55">
        <v>162.09</v>
      </c>
      <c r="T547" s="55">
        <v>155.32</v>
      </c>
      <c r="U547" s="55">
        <v>159.9</v>
      </c>
      <c r="V547" s="55">
        <v>152.29</v>
      </c>
      <c r="W547" s="58">
        <v>171.37</v>
      </c>
      <c r="X547" s="13">
        <f t="shared" si="2"/>
        <v>-5.1617904542963888E-2</v>
      </c>
      <c r="Y547" s="13">
        <f t="shared" si="2"/>
        <v>-8.5502487421959761E-2</v>
      </c>
      <c r="Z547" s="13">
        <f t="shared" si="2"/>
        <v>-2.974264139312699E-2</v>
      </c>
      <c r="AA547" s="13">
        <f t="shared" si="2"/>
        <v>1.4739517153748549E-2</v>
      </c>
    </row>
    <row r="548" spans="1:27" ht="15" x14ac:dyDescent="0.25">
      <c r="A548" s="4">
        <v>260128</v>
      </c>
      <c r="B548" s="20" t="s">
        <v>40</v>
      </c>
      <c r="C548" s="10" t="s">
        <v>23</v>
      </c>
      <c r="D548" s="10" t="s">
        <v>41</v>
      </c>
      <c r="E548" s="2" t="s">
        <v>42</v>
      </c>
      <c r="F548" s="38">
        <v>1.240592175998678</v>
      </c>
      <c r="G548" s="2">
        <v>14.26</v>
      </c>
      <c r="H548" s="2">
        <v>15.21</v>
      </c>
      <c r="I548" s="2">
        <v>27.86</v>
      </c>
      <c r="J548" s="2">
        <v>26.54</v>
      </c>
      <c r="K548" s="2">
        <v>15.27</v>
      </c>
      <c r="L548" s="55">
        <v>18.48</v>
      </c>
      <c r="M548" s="55">
        <v>32.49</v>
      </c>
      <c r="N548" s="55">
        <v>32.99</v>
      </c>
      <c r="O548" s="55">
        <v>18.47</v>
      </c>
      <c r="P548" s="55">
        <v>20.079999999999998</v>
      </c>
      <c r="Q548" s="55">
        <v>39.79</v>
      </c>
      <c r="R548" s="55">
        <v>33.75</v>
      </c>
      <c r="S548" s="55">
        <v>21.06</v>
      </c>
      <c r="T548" s="55">
        <v>24.58</v>
      </c>
      <c r="U548" s="55">
        <v>41.33</v>
      </c>
      <c r="V548" s="55">
        <v>33.94</v>
      </c>
      <c r="W548" s="58">
        <v>22.56</v>
      </c>
      <c r="X548" s="13">
        <f t="shared" si="2"/>
        <v>3.9239623299616166E-2</v>
      </c>
      <c r="Y548" s="13">
        <f t="shared" si="2"/>
        <v>1.2921631146165513E-2</v>
      </c>
      <c r="Z548" s="13">
        <f t="shared" si="2"/>
        <v>1.5738899933730455E-3</v>
      </c>
      <c r="AA548" s="13">
        <f t="shared" si="2"/>
        <v>1.2405921759986782E-2</v>
      </c>
    </row>
    <row r="549" spans="1:27" ht="15" x14ac:dyDescent="0.25">
      <c r="A549" s="4">
        <v>260128</v>
      </c>
      <c r="B549" s="20" t="s">
        <v>154</v>
      </c>
      <c r="C549" s="10" t="s">
        <v>23</v>
      </c>
      <c r="D549" s="10" t="s">
        <v>95</v>
      </c>
      <c r="E549" s="2" t="s">
        <v>25</v>
      </c>
      <c r="F549" s="38">
        <v>1.124410591222347</v>
      </c>
      <c r="G549" s="2">
        <v>559</v>
      </c>
      <c r="H549" s="2">
        <v>470</v>
      </c>
      <c r="I549" s="2">
        <v>441</v>
      </c>
      <c r="J549" s="2">
        <v>564</v>
      </c>
      <c r="K549" s="2">
        <v>668</v>
      </c>
      <c r="L549" s="55">
        <v>580</v>
      </c>
      <c r="M549" s="55">
        <v>535</v>
      </c>
      <c r="N549" s="55">
        <v>573</v>
      </c>
      <c r="O549" s="55">
        <v>675</v>
      </c>
      <c r="P549" s="55">
        <v>599</v>
      </c>
      <c r="Q549" s="55">
        <v>645</v>
      </c>
      <c r="R549" s="55">
        <v>798</v>
      </c>
      <c r="S549" s="55">
        <v>697</v>
      </c>
      <c r="T549" s="55">
        <v>693</v>
      </c>
      <c r="U549" s="55">
        <v>620</v>
      </c>
      <c r="V549" s="55">
        <v>747</v>
      </c>
      <c r="W549" s="58">
        <v>728</v>
      </c>
      <c r="X549" s="13">
        <f t="shared" si="2"/>
        <v>3.4319094560058439E-2</v>
      </c>
      <c r="Y549" s="13">
        <f t="shared" si="2"/>
        <v>-8.8245675961877712E-3</v>
      </c>
      <c r="Z549" s="13">
        <f t="shared" si="2"/>
        <v>-1.8162393162393209E-2</v>
      </c>
      <c r="AA549" s="13">
        <f t="shared" si="2"/>
        <v>1.1244105912223468E-2</v>
      </c>
    </row>
    <row r="550" spans="1:27" ht="15" x14ac:dyDescent="0.25">
      <c r="A550" s="4">
        <v>260128</v>
      </c>
      <c r="B550" s="20" t="s">
        <v>147</v>
      </c>
      <c r="C550" s="10" t="s">
        <v>23</v>
      </c>
      <c r="D550" s="10" t="s">
        <v>146</v>
      </c>
      <c r="E550" s="2" t="s">
        <v>25</v>
      </c>
      <c r="F550" s="38">
        <v>0.67706013363029172</v>
      </c>
      <c r="G550" s="2">
        <v>1818</v>
      </c>
      <c r="H550" s="2">
        <v>784.6</v>
      </c>
      <c r="I550" s="2">
        <v>1653</v>
      </c>
      <c r="J550" s="2">
        <v>1939</v>
      </c>
      <c r="K550" s="2">
        <v>2124</v>
      </c>
      <c r="L550" s="56">
        <v>2205</v>
      </c>
      <c r="M550" s="55">
        <v>2263</v>
      </c>
      <c r="N550" s="55">
        <v>2182</v>
      </c>
      <c r="O550" s="55">
        <v>2392</v>
      </c>
      <c r="P550" s="55">
        <v>1391</v>
      </c>
      <c r="Q550" s="55">
        <v>1835</v>
      </c>
      <c r="R550" s="55">
        <v>2441</v>
      </c>
      <c r="S550" s="56">
        <v>3355</v>
      </c>
      <c r="T550" s="56">
        <v>2738</v>
      </c>
      <c r="U550" s="55">
        <v>2664</v>
      </c>
      <c r="V550" s="55">
        <v>2468</v>
      </c>
      <c r="W550" s="58">
        <v>3431</v>
      </c>
      <c r="X550" s="13">
        <f t="shared" si="2"/>
        <v>0.14930170693859446</v>
      </c>
      <c r="Y550" s="13">
        <f t="shared" si="2"/>
        <v>7.9949850515961041E-2</v>
      </c>
      <c r="Z550" s="13">
        <f t="shared" si="2"/>
        <v>2.4111448472940999E-3</v>
      </c>
      <c r="AA550" s="13">
        <f t="shared" si="2"/>
        <v>6.7706013363029172E-3</v>
      </c>
    </row>
    <row r="551" spans="1:27" x14ac:dyDescent="0.3">
      <c r="A551" s="4">
        <v>260128</v>
      </c>
      <c r="B551" s="48" t="s">
        <v>413</v>
      </c>
      <c r="C551" s="4" t="s">
        <v>414</v>
      </c>
      <c r="D551" s="46" t="s">
        <v>153</v>
      </c>
      <c r="F551" s="47">
        <f>AA551</f>
        <v>4.8828125E-3</v>
      </c>
      <c r="L551" s="45">
        <v>-215</v>
      </c>
      <c r="M551" s="45">
        <v>-97</v>
      </c>
      <c r="N551" s="45">
        <v>-55</v>
      </c>
      <c r="O551" s="45">
        <v>461</v>
      </c>
      <c r="P551" s="45">
        <v>-12</v>
      </c>
      <c r="Q551" s="45">
        <v>473</v>
      </c>
      <c r="R551" s="45">
        <v>-22</v>
      </c>
      <c r="S551" s="45">
        <v>710</v>
      </c>
      <c r="T551" s="45">
        <v>227</v>
      </c>
      <c r="U551" s="45">
        <v>539</v>
      </c>
      <c r="V551" s="45">
        <v>572</v>
      </c>
      <c r="W551" s="45">
        <v>720</v>
      </c>
      <c r="X551" s="13">
        <f t="shared" ref="X551" si="3">SUM(Q551:T551)/SUM(P551:S551)-1</f>
        <v>0.20800696257615314</v>
      </c>
      <c r="Y551" s="13">
        <f t="shared" ref="Y551" si="4">SUM(R551:U551)/SUM(Q551:T551)-1</f>
        <v>4.7550432276657117E-2</v>
      </c>
      <c r="Z551" s="13">
        <f t="shared" ref="Z551" si="5">SUM(S551:V551)/SUM(R551:U551)-1</f>
        <v>0.40852819807427787</v>
      </c>
      <c r="AA551" s="13">
        <f t="shared" ref="AA551" si="6">SUM(T551:W551)/SUM(S551:V551)-1</f>
        <v>4.8828125E-3</v>
      </c>
    </row>
    <row r="552" spans="1:27" ht="15" x14ac:dyDescent="0.25">
      <c r="A552" s="4">
        <v>260128</v>
      </c>
      <c r="B552" s="20" t="s">
        <v>152</v>
      </c>
      <c r="C552" s="10" t="s">
        <v>23</v>
      </c>
      <c r="D552" s="10" t="s">
        <v>153</v>
      </c>
      <c r="E552" s="2" t="s">
        <v>25</v>
      </c>
      <c r="F552" s="38">
        <v>0.37174721189590088</v>
      </c>
      <c r="G552" s="2">
        <v>538</v>
      </c>
      <c r="H552" s="2">
        <v>534</v>
      </c>
      <c r="I552" s="2">
        <v>532</v>
      </c>
      <c r="J552" s="2">
        <v>531</v>
      </c>
      <c r="K552" s="2">
        <v>499</v>
      </c>
      <c r="L552" s="55">
        <v>512</v>
      </c>
      <c r="M552" s="55">
        <v>580</v>
      </c>
      <c r="N552" s="55">
        <v>592</v>
      </c>
      <c r="O552" s="55">
        <v>557</v>
      </c>
      <c r="P552" s="55">
        <v>562</v>
      </c>
      <c r="Q552" s="55">
        <v>611</v>
      </c>
      <c r="R552" s="55">
        <v>596</v>
      </c>
      <c r="S552" s="55">
        <v>581</v>
      </c>
      <c r="T552" s="55">
        <v>606</v>
      </c>
      <c r="U552" s="55">
        <v>607</v>
      </c>
      <c r="V552" s="55">
        <v>627</v>
      </c>
      <c r="W552" s="58">
        <v>590</v>
      </c>
      <c r="X552" s="13">
        <f t="shared" si="2"/>
        <v>1.8723404255319043E-2</v>
      </c>
      <c r="Y552" s="13">
        <f t="shared" si="2"/>
        <v>-1.6708437761069339E-3</v>
      </c>
      <c r="Z552" s="13">
        <f t="shared" si="2"/>
        <v>1.2970711297071169E-2</v>
      </c>
      <c r="AA552" s="13">
        <f t="shared" si="2"/>
        <v>3.7174721189590088E-3</v>
      </c>
    </row>
    <row r="553" spans="1:27" ht="15" x14ac:dyDescent="0.25">
      <c r="A553" s="4">
        <v>260128</v>
      </c>
      <c r="B553" s="20" t="s">
        <v>105</v>
      </c>
      <c r="C553" s="10" t="s">
        <v>23</v>
      </c>
      <c r="D553" s="10" t="s">
        <v>106</v>
      </c>
      <c r="E553" s="2" t="s">
        <v>107</v>
      </c>
      <c r="F553" s="38">
        <v>5.1724137931019598E-2</v>
      </c>
      <c r="G553" s="2">
        <v>44.8</v>
      </c>
      <c r="H553" s="2">
        <v>52.6</v>
      </c>
      <c r="I553" s="2">
        <v>56.1</v>
      </c>
      <c r="J553" s="2">
        <v>-16</v>
      </c>
      <c r="K553" s="2">
        <v>46.6</v>
      </c>
      <c r="L553" s="56">
        <v>70.8</v>
      </c>
      <c r="M553" s="56">
        <v>71.900000000000006</v>
      </c>
      <c r="N553" s="56">
        <v>29.5</v>
      </c>
      <c r="O553" s="55">
        <v>65.099999999999994</v>
      </c>
      <c r="P553" s="55">
        <v>79.8</v>
      </c>
      <c r="Q553" s="55">
        <v>78.7</v>
      </c>
      <c r="R553" s="56">
        <v>59.6</v>
      </c>
      <c r="S553" s="56">
        <v>168.1</v>
      </c>
      <c r="T553" s="56">
        <v>165.9</v>
      </c>
      <c r="U553" s="56">
        <v>126.8</v>
      </c>
      <c r="V553" s="56">
        <v>119.2</v>
      </c>
      <c r="W553" s="58">
        <v>168.4</v>
      </c>
      <c r="X553" s="13">
        <f t="shared" si="2"/>
        <v>0.2229414810978767</v>
      </c>
      <c r="Y553" s="13">
        <f t="shared" si="2"/>
        <v>0.10184204954478093</v>
      </c>
      <c r="Z553" s="13">
        <f t="shared" si="2"/>
        <v>0.11452728670253665</v>
      </c>
      <c r="AA553" s="13">
        <f t="shared" si="2"/>
        <v>5.1724137931019598E-4</v>
      </c>
    </row>
    <row r="554" spans="1:27" ht="15" x14ac:dyDescent="0.25">
      <c r="A554" s="4">
        <v>260128</v>
      </c>
      <c r="B554" s="20" t="s">
        <v>148</v>
      </c>
      <c r="C554" s="10" t="s">
        <v>23</v>
      </c>
      <c r="D554" s="10" t="s">
        <v>149</v>
      </c>
      <c r="E554" s="2" t="s">
        <v>25</v>
      </c>
      <c r="F554" s="38">
        <v>-0.24686278543509799</v>
      </c>
      <c r="G554" s="2">
        <v>2613</v>
      </c>
      <c r="H554" s="2">
        <v>3603</v>
      </c>
      <c r="I554" s="2">
        <v>2500</v>
      </c>
      <c r="J554" s="2">
        <v>3688</v>
      </c>
      <c r="K554" s="3">
        <v>3865</v>
      </c>
      <c r="L554" s="55">
        <v>2664</v>
      </c>
      <c r="M554" s="55">
        <v>2399</v>
      </c>
      <c r="N554" s="55">
        <v>1764</v>
      </c>
      <c r="O554" s="55">
        <v>2064</v>
      </c>
      <c r="P554" s="55">
        <v>1171</v>
      </c>
      <c r="Q554" s="55">
        <v>2188</v>
      </c>
      <c r="R554" s="56">
        <v>2772</v>
      </c>
      <c r="S554" s="55">
        <v>1583</v>
      </c>
      <c r="T554" s="55">
        <v>493</v>
      </c>
      <c r="U554" s="55">
        <v>923</v>
      </c>
      <c r="V554" s="55">
        <v>1862</v>
      </c>
      <c r="W554" s="58">
        <v>1571</v>
      </c>
      <c r="X554" s="13">
        <f t="shared" si="2"/>
        <v>-8.7892144153487117E-2</v>
      </c>
      <c r="Y554" s="13">
        <f t="shared" si="2"/>
        <v>-0.17978965321205231</v>
      </c>
      <c r="Z554" s="13">
        <f t="shared" si="2"/>
        <v>-0.15768497660717384</v>
      </c>
      <c r="AA554" s="13">
        <f t="shared" si="2"/>
        <v>-2.4686278543509799E-3</v>
      </c>
    </row>
    <row r="555" spans="1:27" ht="15" x14ac:dyDescent="0.25">
      <c r="A555" s="4">
        <v>260128</v>
      </c>
      <c r="B555" s="20" t="s">
        <v>121</v>
      </c>
      <c r="C555" s="10" t="s">
        <v>23</v>
      </c>
      <c r="D555" s="10" t="s">
        <v>122</v>
      </c>
      <c r="E555" s="2" t="s">
        <v>25</v>
      </c>
      <c r="F555" s="38">
        <v>-0.60210737581535279</v>
      </c>
      <c r="G555" s="2">
        <v>755</v>
      </c>
      <c r="H555" s="2">
        <v>578</v>
      </c>
      <c r="I555" s="2">
        <v>721</v>
      </c>
      <c r="J555" s="2">
        <v>925</v>
      </c>
      <c r="K555" s="2">
        <v>1035</v>
      </c>
      <c r="L555" s="55">
        <v>782</v>
      </c>
      <c r="M555" s="55">
        <v>966</v>
      </c>
      <c r="N555" s="55">
        <v>1125</v>
      </c>
      <c r="O555" s="55">
        <v>1090</v>
      </c>
      <c r="P555" s="55">
        <v>870</v>
      </c>
      <c r="Q555" s="55">
        <v>1021</v>
      </c>
      <c r="R555" s="55">
        <v>1137</v>
      </c>
      <c r="S555" s="55">
        <v>1040</v>
      </c>
      <c r="T555" s="55">
        <v>816</v>
      </c>
      <c r="U555" s="55">
        <v>1010</v>
      </c>
      <c r="V555" s="55">
        <v>1120</v>
      </c>
      <c r="W555" s="58">
        <v>1016</v>
      </c>
      <c r="X555" s="13">
        <f t="shared" si="2"/>
        <v>-1.3274336283185861E-2</v>
      </c>
      <c r="Y555" s="13">
        <f t="shared" si="2"/>
        <v>-2.7404085700050151E-3</v>
      </c>
      <c r="Z555" s="13">
        <f t="shared" si="2"/>
        <v>-4.2468148888333834E-3</v>
      </c>
      <c r="AA555" s="13">
        <f t="shared" si="2"/>
        <v>-6.0210737581535279E-3</v>
      </c>
    </row>
    <row r="556" spans="1:27" ht="15" x14ac:dyDescent="0.25">
      <c r="A556" s="4">
        <v>260128</v>
      </c>
      <c r="B556" s="20" t="s">
        <v>171</v>
      </c>
      <c r="C556" s="10" t="s">
        <v>23</v>
      </c>
      <c r="D556" s="10" t="s">
        <v>172</v>
      </c>
      <c r="E556" s="2" t="s">
        <v>42</v>
      </c>
      <c r="F556" s="38">
        <v>-0.65624587785252375</v>
      </c>
      <c r="G556" s="2">
        <v>87.22</v>
      </c>
      <c r="H556" s="2">
        <v>74.69</v>
      </c>
      <c r="I556" s="2">
        <v>83.64</v>
      </c>
      <c r="J556" s="2">
        <v>95.39</v>
      </c>
      <c r="K556" s="2">
        <v>96.74</v>
      </c>
      <c r="L556" s="55">
        <v>88.5</v>
      </c>
      <c r="M556" s="55">
        <v>99.78</v>
      </c>
      <c r="N556" s="56">
        <v>134.9</v>
      </c>
      <c r="O556" s="55">
        <v>111.08</v>
      </c>
      <c r="P556" s="55">
        <v>117.7</v>
      </c>
      <c r="Q556" s="55">
        <v>129.13</v>
      </c>
      <c r="R556" s="55">
        <v>154.34</v>
      </c>
      <c r="S556" s="55">
        <v>137.53</v>
      </c>
      <c r="T556" s="55">
        <v>130.09</v>
      </c>
      <c r="U556" s="55">
        <v>164.93</v>
      </c>
      <c r="V556" s="55">
        <v>173.93</v>
      </c>
      <c r="W556" s="58">
        <v>133.55000000000001</v>
      </c>
      <c r="X556" s="13">
        <f t="shared" si="2"/>
        <v>2.2999814367922866E-2</v>
      </c>
      <c r="Y556" s="13">
        <f t="shared" si="2"/>
        <v>6.4962165889419277E-2</v>
      </c>
      <c r="Z556" s="13">
        <f t="shared" si="2"/>
        <v>3.3379338547257387E-2</v>
      </c>
      <c r="AA556" s="13">
        <f t="shared" si="2"/>
        <v>-6.5624587785252375E-3</v>
      </c>
    </row>
    <row r="557" spans="1:27" ht="15" x14ac:dyDescent="0.25">
      <c r="A557" s="4">
        <v>260128</v>
      </c>
      <c r="B557" s="20" t="s">
        <v>178</v>
      </c>
      <c r="C557" s="10" t="s">
        <v>23</v>
      </c>
      <c r="D557" s="10" t="s">
        <v>179</v>
      </c>
      <c r="E557" s="2" t="s">
        <v>25</v>
      </c>
      <c r="F557" s="38">
        <v>-0.84304395069129123</v>
      </c>
      <c r="G557" s="2">
        <v>98.74</v>
      </c>
      <c r="H557" s="2">
        <v>116.08</v>
      </c>
      <c r="I557" s="2">
        <v>97.49</v>
      </c>
      <c r="J557" s="2">
        <v>105.64</v>
      </c>
      <c r="K557" s="2">
        <v>105.98</v>
      </c>
      <c r="L557" s="55">
        <v>123.15</v>
      </c>
      <c r="M557" s="55">
        <v>100.55</v>
      </c>
      <c r="N557" s="55">
        <v>116.53</v>
      </c>
      <c r="O557" s="55">
        <v>127.04</v>
      </c>
      <c r="P557" s="55">
        <v>135.06</v>
      </c>
      <c r="Q557" s="55">
        <v>113.38</v>
      </c>
      <c r="R557" s="55">
        <v>127.18</v>
      </c>
      <c r="S557" s="55">
        <v>139.43</v>
      </c>
      <c r="T557" s="55">
        <v>147.62</v>
      </c>
      <c r="U557" s="55">
        <v>115.78</v>
      </c>
      <c r="V557" s="55">
        <v>130.94999999999999</v>
      </c>
      <c r="W557" s="58">
        <v>134.93</v>
      </c>
      <c r="X557" s="13">
        <f t="shared" si="2"/>
        <v>2.4385981943500834E-2</v>
      </c>
      <c r="Y557" s="13">
        <f t="shared" si="2"/>
        <v>4.5488144652299223E-3</v>
      </c>
      <c r="Z557" s="13">
        <f t="shared" si="2"/>
        <v>7.1130733382389622E-3</v>
      </c>
      <c r="AA557" s="13">
        <f t="shared" si="2"/>
        <v>-8.4304395069129123E-3</v>
      </c>
    </row>
    <row r="558" spans="1:27" ht="15" x14ac:dyDescent="0.25">
      <c r="A558" s="4">
        <v>260128</v>
      </c>
      <c r="B558" s="20" t="s">
        <v>186</v>
      </c>
      <c r="C558" s="10" t="s">
        <v>23</v>
      </c>
      <c r="D558" s="10" t="s">
        <v>109</v>
      </c>
      <c r="E558" s="2" t="s">
        <v>25</v>
      </c>
      <c r="F558" s="38">
        <v>-1.8788315903353729</v>
      </c>
      <c r="G558" s="2">
        <v>287.41000000000003</v>
      </c>
      <c r="H558" s="2">
        <v>345.47</v>
      </c>
      <c r="I558" s="2">
        <v>469.67</v>
      </c>
      <c r="J558" s="2">
        <v>287.61</v>
      </c>
      <c r="K558" s="2">
        <v>200.72</v>
      </c>
      <c r="L558" s="55">
        <v>164.76</v>
      </c>
      <c r="M558" s="55">
        <v>146.76</v>
      </c>
      <c r="N558" s="55">
        <v>113.38</v>
      </c>
      <c r="O558" s="55">
        <v>107.19</v>
      </c>
      <c r="P558" s="55">
        <v>140.04</v>
      </c>
      <c r="Q558" s="55">
        <v>193.3</v>
      </c>
      <c r="R558" s="56">
        <v>184.55</v>
      </c>
      <c r="S558" s="56">
        <v>196.98</v>
      </c>
      <c r="T558" s="55">
        <v>184.35</v>
      </c>
      <c r="U558" s="55">
        <v>219.8</v>
      </c>
      <c r="V558" s="55">
        <v>230.77</v>
      </c>
      <c r="W558" s="58">
        <v>181.35</v>
      </c>
      <c r="X558" s="13">
        <f t="shared" si="2"/>
        <v>6.1983297662511871E-2</v>
      </c>
      <c r="Y558" s="13">
        <f t="shared" si="2"/>
        <v>3.4906082878895628E-2</v>
      </c>
      <c r="Z558" s="13">
        <f t="shared" si="2"/>
        <v>5.8828021586396329E-2</v>
      </c>
      <c r="AA558" s="13">
        <f t="shared" si="2"/>
        <v>-1.8788315903353725E-2</v>
      </c>
    </row>
    <row r="559" spans="1:27" ht="15" x14ac:dyDescent="0.25">
      <c r="A559" s="4">
        <v>260128</v>
      </c>
      <c r="B559" s="20" t="s">
        <v>134</v>
      </c>
      <c r="C559" s="10" t="s">
        <v>23</v>
      </c>
      <c r="D559" s="10" t="s">
        <v>106</v>
      </c>
      <c r="E559" s="2" t="s">
        <v>42</v>
      </c>
      <c r="F559" s="38">
        <v>-4.2553769280903806</v>
      </c>
      <c r="G559" s="2">
        <v>1130</v>
      </c>
      <c r="H559" s="2">
        <v>904.2</v>
      </c>
      <c r="I559" s="2">
        <v>1255</v>
      </c>
      <c r="J559" s="2">
        <v>1154</v>
      </c>
      <c r="K559" s="2">
        <v>1201</v>
      </c>
      <c r="L559" s="55">
        <v>1194</v>
      </c>
      <c r="M559" s="55">
        <v>1521</v>
      </c>
      <c r="N559" s="55">
        <v>1610</v>
      </c>
      <c r="O559" s="55">
        <v>1430</v>
      </c>
      <c r="P559" s="55">
        <v>1031</v>
      </c>
      <c r="Q559" s="55">
        <v>1444</v>
      </c>
      <c r="R559" s="55">
        <v>1227</v>
      </c>
      <c r="S559" s="55">
        <v>1075</v>
      </c>
      <c r="T559" s="55">
        <v>658.1</v>
      </c>
      <c r="U559" s="55">
        <v>899.3</v>
      </c>
      <c r="V559" s="55">
        <v>1050</v>
      </c>
      <c r="W559" s="58">
        <v>918.3</v>
      </c>
      <c r="X559" s="13">
        <f t="shared" si="2"/>
        <v>-7.8061544902658486E-2</v>
      </c>
      <c r="Y559" s="13">
        <f t="shared" si="2"/>
        <v>-0.12368020707976679</v>
      </c>
      <c r="Z559" s="13">
        <f t="shared" si="2"/>
        <v>-4.5862051096025258E-2</v>
      </c>
      <c r="AA559" s="13">
        <f t="shared" si="2"/>
        <v>-4.2553769280903708E-2</v>
      </c>
    </row>
    <row r="560" spans="1:27" ht="15" x14ac:dyDescent="0.25">
      <c r="A560" s="4">
        <v>260128</v>
      </c>
      <c r="B560" s="20" t="s">
        <v>126</v>
      </c>
      <c r="C560" s="10" t="s">
        <v>23</v>
      </c>
      <c r="D560" s="10" t="s">
        <v>127</v>
      </c>
      <c r="E560" s="2" t="s">
        <v>25</v>
      </c>
      <c r="F560" s="38">
        <v>-4.4728809579713591</v>
      </c>
      <c r="G560" s="2">
        <v>1829</v>
      </c>
      <c r="H560" s="2">
        <v>2507</v>
      </c>
      <c r="I560" s="2">
        <v>2330</v>
      </c>
      <c r="J560" s="2">
        <v>2340</v>
      </c>
      <c r="K560" s="2">
        <v>1317</v>
      </c>
      <c r="L560" s="55">
        <v>2870</v>
      </c>
      <c r="M560" s="55">
        <v>2702</v>
      </c>
      <c r="N560" s="55">
        <v>1913</v>
      </c>
      <c r="O560" s="56">
        <v>2404</v>
      </c>
      <c r="P560" s="55">
        <v>3204</v>
      </c>
      <c r="Q560" s="55">
        <v>3026</v>
      </c>
      <c r="R560" s="55">
        <v>2378</v>
      </c>
      <c r="S560" s="55">
        <v>987</v>
      </c>
      <c r="T560" s="55">
        <v>3141</v>
      </c>
      <c r="U560" s="55">
        <v>2633</v>
      </c>
      <c r="V560" s="55">
        <v>1757</v>
      </c>
      <c r="W560" s="58">
        <v>606</v>
      </c>
      <c r="X560" s="13">
        <f t="shared" si="2"/>
        <v>-6.565919749869753E-3</v>
      </c>
      <c r="Y560" s="13">
        <f t="shared" si="2"/>
        <v>-4.122954259336975E-2</v>
      </c>
      <c r="Z560" s="13">
        <f t="shared" si="2"/>
        <v>-6.7950541634752115E-2</v>
      </c>
      <c r="AA560" s="13">
        <f t="shared" si="2"/>
        <v>-4.4728809579713591E-2</v>
      </c>
    </row>
    <row r="561" spans="1:27" ht="15" x14ac:dyDescent="0.25">
      <c r="A561" s="4">
        <v>260128</v>
      </c>
      <c r="B561" s="20" t="s">
        <v>190</v>
      </c>
      <c r="C561" s="10" t="s">
        <v>23</v>
      </c>
      <c r="D561" s="10" t="s">
        <v>191</v>
      </c>
      <c r="E561" s="2" t="s">
        <v>25</v>
      </c>
      <c r="F561" s="38">
        <v>-4.5467462347257737</v>
      </c>
      <c r="G561" s="2">
        <v>103.7</v>
      </c>
      <c r="H561" s="2">
        <v>110.3</v>
      </c>
      <c r="I561" s="2">
        <v>224</v>
      </c>
      <c r="J561" s="2">
        <v>182</v>
      </c>
      <c r="K561" s="2">
        <v>135.4</v>
      </c>
      <c r="L561" s="55">
        <v>137.5</v>
      </c>
      <c r="M561" s="55">
        <v>272.10000000000002</v>
      </c>
      <c r="N561" s="55">
        <v>244.7</v>
      </c>
      <c r="O561" s="55">
        <v>175</v>
      </c>
      <c r="P561" s="55">
        <v>166.2</v>
      </c>
      <c r="Q561" s="55">
        <v>316.89999999999998</v>
      </c>
      <c r="R561" s="55">
        <v>301.5</v>
      </c>
      <c r="S561" s="55">
        <v>249.5</v>
      </c>
      <c r="T561" s="55">
        <v>154.69999999999999</v>
      </c>
      <c r="U561" s="55">
        <v>347</v>
      </c>
      <c r="V561" s="55">
        <v>304.5</v>
      </c>
      <c r="W561" s="58">
        <v>201.5</v>
      </c>
      <c r="X561" s="13">
        <f t="shared" si="2"/>
        <v>-1.1120781355768328E-2</v>
      </c>
      <c r="Y561" s="13">
        <f t="shared" si="2"/>
        <v>2.9434774105222106E-2</v>
      </c>
      <c r="Z561" s="13">
        <f t="shared" si="2"/>
        <v>2.8498147620403813E-3</v>
      </c>
      <c r="AA561" s="13">
        <f t="shared" si="2"/>
        <v>-4.5467462347257737E-2</v>
      </c>
    </row>
    <row r="562" spans="1:27" ht="15" x14ac:dyDescent="0.25">
      <c r="A562" s="4">
        <v>260128</v>
      </c>
      <c r="B562" s="20" t="s">
        <v>140</v>
      </c>
      <c r="C562" s="10" t="s">
        <v>23</v>
      </c>
      <c r="D562" s="10" t="s">
        <v>141</v>
      </c>
      <c r="E562" s="2" t="s">
        <v>25</v>
      </c>
      <c r="F562" s="38">
        <v>-4.8561424874410068</v>
      </c>
      <c r="G562" s="2">
        <v>7002</v>
      </c>
      <c r="H562" s="2">
        <v>7681</v>
      </c>
      <c r="I562" s="2">
        <v>7905</v>
      </c>
      <c r="J562" s="2">
        <v>8363</v>
      </c>
      <c r="K562" s="2">
        <v>4400</v>
      </c>
      <c r="L562" s="55">
        <v>6799</v>
      </c>
      <c r="M562" s="55">
        <v>7279</v>
      </c>
      <c r="N562" s="55">
        <v>7209</v>
      </c>
      <c r="O562" s="55">
        <v>5247</v>
      </c>
      <c r="P562" s="55">
        <v>6604</v>
      </c>
      <c r="Q562" s="55">
        <v>6837</v>
      </c>
      <c r="R562" s="55">
        <v>7136</v>
      </c>
      <c r="S562" s="55">
        <v>5873</v>
      </c>
      <c r="T562" s="55">
        <v>6766</v>
      </c>
      <c r="U562" s="55">
        <v>7010</v>
      </c>
      <c r="V562" s="55">
        <v>6627</v>
      </c>
      <c r="W562" s="58">
        <v>4597</v>
      </c>
      <c r="X562" s="13">
        <f t="shared" si="2"/>
        <v>6.1247637051040638E-3</v>
      </c>
      <c r="Y562" s="13">
        <f t="shared" si="2"/>
        <v>6.5008266947241822E-3</v>
      </c>
      <c r="Z562" s="13">
        <f t="shared" si="2"/>
        <v>-1.9003173417957764E-2</v>
      </c>
      <c r="AA562" s="13">
        <f t="shared" si="2"/>
        <v>-4.8561424874410064E-2</v>
      </c>
    </row>
    <row r="563" spans="1:27" ht="15" x14ac:dyDescent="0.25">
      <c r="A563" s="4">
        <v>260128</v>
      </c>
      <c r="B563" s="20" t="s">
        <v>108</v>
      </c>
      <c r="C563" s="10" t="s">
        <v>23</v>
      </c>
      <c r="D563" s="10" t="s">
        <v>109</v>
      </c>
      <c r="E563" s="2" t="s">
        <v>59</v>
      </c>
      <c r="F563" s="38">
        <v>-12.344259152769791</v>
      </c>
      <c r="G563" s="2">
        <v>148.16999999999999</v>
      </c>
      <c r="H563" s="2">
        <v>162.66999999999999</v>
      </c>
      <c r="I563" s="2">
        <v>150.41999999999999</v>
      </c>
      <c r="J563" s="2">
        <v>133.5</v>
      </c>
      <c r="K563" s="2">
        <v>122.68</v>
      </c>
      <c r="L563" s="55">
        <v>100.14</v>
      </c>
      <c r="M563" s="55">
        <v>87.95</v>
      </c>
      <c r="N563" s="55">
        <v>80.349999999999994</v>
      </c>
      <c r="O563" s="55">
        <v>73.84</v>
      </c>
      <c r="P563" s="55">
        <v>59.71</v>
      </c>
      <c r="Q563" s="55">
        <v>68.06</v>
      </c>
      <c r="R563" s="55">
        <v>63.12</v>
      </c>
      <c r="S563" s="55">
        <v>57.38</v>
      </c>
      <c r="T563" s="55">
        <v>38.590000000000003</v>
      </c>
      <c r="U563" s="55">
        <v>56.28</v>
      </c>
      <c r="V563" s="55">
        <v>56.43</v>
      </c>
      <c r="W563" s="58">
        <v>31.62</v>
      </c>
      <c r="X563" s="13">
        <f t="shared" si="2"/>
        <v>-8.5068675232609636E-2</v>
      </c>
      <c r="Y563" s="13">
        <f t="shared" si="2"/>
        <v>-5.1860004402377258E-2</v>
      </c>
      <c r="Z563" s="13">
        <f t="shared" si="2"/>
        <v>-3.1062822120072386E-2</v>
      </c>
      <c r="AA563" s="13">
        <f t="shared" si="2"/>
        <v>-0.12344259152769788</v>
      </c>
    </row>
    <row r="564" spans="1:27" ht="15" x14ac:dyDescent="0.25">
      <c r="A564" s="4">
        <v>260128</v>
      </c>
      <c r="B564" s="20" t="s">
        <v>58</v>
      </c>
      <c r="C564" s="10" t="s">
        <v>23</v>
      </c>
      <c r="D564" s="10" t="s">
        <v>37</v>
      </c>
      <c r="E564" s="2" t="s">
        <v>59</v>
      </c>
      <c r="F564" s="38">
        <v>-12.79069767441861</v>
      </c>
      <c r="G564" s="2">
        <v>49.2</v>
      </c>
      <c r="H564" s="2">
        <v>40.9</v>
      </c>
      <c r="I564" s="2">
        <v>47.6</v>
      </c>
      <c r="J564" s="2">
        <v>43.9</v>
      </c>
      <c r="K564" s="2">
        <v>24.2</v>
      </c>
      <c r="L564" s="55">
        <v>6.1</v>
      </c>
      <c r="M564" s="55">
        <v>10.4</v>
      </c>
      <c r="N564" s="55">
        <v>13.7</v>
      </c>
      <c r="O564" s="55">
        <v>16.100000000000001</v>
      </c>
      <c r="P564" s="55">
        <v>4.7</v>
      </c>
      <c r="Q564" s="55">
        <v>8.6</v>
      </c>
      <c r="R564" s="55">
        <v>6.7</v>
      </c>
      <c r="S564" s="56">
        <v>22.3</v>
      </c>
      <c r="T564" s="56">
        <v>24.3</v>
      </c>
      <c r="U564" s="56">
        <v>21.2</v>
      </c>
      <c r="V564" s="56">
        <v>18.2</v>
      </c>
      <c r="W564" s="58">
        <v>11.3</v>
      </c>
      <c r="X564" s="13">
        <f t="shared" si="2"/>
        <v>0.46335697399527209</v>
      </c>
      <c r="Y564" s="13">
        <f t="shared" si="2"/>
        <v>0.20355411954765734</v>
      </c>
      <c r="Z564" s="13">
        <f t="shared" si="2"/>
        <v>0.15436241610738266</v>
      </c>
      <c r="AA564" s="13">
        <f t="shared" si="2"/>
        <v>-0.12790697674418605</v>
      </c>
    </row>
    <row r="565" spans="1:27" ht="15" x14ac:dyDescent="0.25">
      <c r="A565" s="4">
        <v>260128</v>
      </c>
      <c r="B565" s="20" t="s">
        <v>53</v>
      </c>
      <c r="C565" s="10" t="s">
        <v>23</v>
      </c>
      <c r="D565" s="10" t="s">
        <v>54</v>
      </c>
      <c r="E565" s="2" t="s">
        <v>25</v>
      </c>
      <c r="F565" s="38">
        <v>-14.68726954672521</v>
      </c>
      <c r="G565" s="2">
        <v>138.93</v>
      </c>
      <c r="H565" s="2">
        <v>122.03</v>
      </c>
      <c r="I565" s="2">
        <v>181.92</v>
      </c>
      <c r="J565" s="2">
        <v>165.95</v>
      </c>
      <c r="K565" s="2">
        <v>162.43</v>
      </c>
      <c r="L565" s="55">
        <v>132.26</v>
      </c>
      <c r="M565" s="55">
        <v>148.08000000000001</v>
      </c>
      <c r="N565" s="55">
        <v>169.54</v>
      </c>
      <c r="O565" s="55">
        <v>126.99</v>
      </c>
      <c r="P565" s="55">
        <v>170.44</v>
      </c>
      <c r="Q565" s="55">
        <v>183.31</v>
      </c>
      <c r="R565" s="55">
        <v>178.36</v>
      </c>
      <c r="S565" s="55">
        <v>160.28</v>
      </c>
      <c r="T565" s="55">
        <v>138.26</v>
      </c>
      <c r="U565" s="55">
        <v>152.65</v>
      </c>
      <c r="V565" s="55">
        <v>131.9</v>
      </c>
      <c r="W565" s="58">
        <v>74.64</v>
      </c>
      <c r="X565" s="13">
        <f t="shared" si="2"/>
        <v>-4.6476696659397132E-2</v>
      </c>
      <c r="Y565" s="13">
        <f t="shared" si="2"/>
        <v>-4.6439769164356881E-2</v>
      </c>
      <c r="Z565" s="13">
        <f t="shared" si="2"/>
        <v>-7.379874513541429E-2</v>
      </c>
      <c r="AA565" s="13">
        <f t="shared" si="2"/>
        <v>-0.14687269546725201</v>
      </c>
    </row>
    <row r="566" spans="1:27" ht="15" x14ac:dyDescent="0.25">
      <c r="A566" s="4">
        <v>260128</v>
      </c>
      <c r="B566" s="20" t="s">
        <v>68</v>
      </c>
      <c r="C566" s="10" t="s">
        <v>23</v>
      </c>
      <c r="D566" s="10" t="s">
        <v>69</v>
      </c>
      <c r="E566" s="2" t="s">
        <v>25</v>
      </c>
      <c r="F566" s="38">
        <v>-15.25625744934446</v>
      </c>
      <c r="G566" s="2">
        <v>509</v>
      </c>
      <c r="H566" s="2">
        <v>478</v>
      </c>
      <c r="I566" s="2">
        <v>443</v>
      </c>
      <c r="J566" s="2">
        <v>239</v>
      </c>
      <c r="K566" s="2">
        <v>153</v>
      </c>
      <c r="L566" s="55">
        <v>270</v>
      </c>
      <c r="M566" s="55">
        <v>333</v>
      </c>
      <c r="N566" s="55">
        <v>311</v>
      </c>
      <c r="O566" s="56">
        <v>311</v>
      </c>
      <c r="P566" s="55">
        <v>152</v>
      </c>
      <c r="Q566" s="55">
        <v>224</v>
      </c>
      <c r="R566" s="55">
        <v>242</v>
      </c>
      <c r="S566" s="55">
        <v>272</v>
      </c>
      <c r="T566" s="55">
        <v>190</v>
      </c>
      <c r="U566" s="55">
        <v>201</v>
      </c>
      <c r="V566" s="55">
        <v>176</v>
      </c>
      <c r="W566" s="58">
        <v>144</v>
      </c>
      <c r="X566" s="13">
        <f t="shared" si="2"/>
        <v>4.2696629213483162E-2</v>
      </c>
      <c r="Y566" s="13">
        <f t="shared" si="2"/>
        <v>-2.4784482758620663E-2</v>
      </c>
      <c r="Z566" s="13">
        <f t="shared" si="2"/>
        <v>-7.2928176795580058E-2</v>
      </c>
      <c r="AA566" s="13">
        <f t="shared" si="2"/>
        <v>-0.15256257449344457</v>
      </c>
    </row>
    <row r="567" spans="1:27" ht="15" x14ac:dyDescent="0.25">
      <c r="A567" s="4">
        <v>260128</v>
      </c>
      <c r="B567" s="20" t="s">
        <v>73</v>
      </c>
      <c r="C567" s="10" t="s">
        <v>23</v>
      </c>
      <c r="D567" s="10" t="s">
        <v>29</v>
      </c>
      <c r="E567" s="2" t="s">
        <v>25</v>
      </c>
      <c r="F567" s="38">
        <v>-16.991818753933281</v>
      </c>
      <c r="G567" s="2">
        <v>72.78</v>
      </c>
      <c r="H567" s="2">
        <v>66.84</v>
      </c>
      <c r="I567" s="2">
        <v>72.03</v>
      </c>
      <c r="J567" s="2">
        <v>77.400000000000006</v>
      </c>
      <c r="K567" s="2">
        <v>74.88</v>
      </c>
      <c r="L567" s="55">
        <v>73.319999999999993</v>
      </c>
      <c r="M567" s="55">
        <v>68.58</v>
      </c>
      <c r="N567" s="55">
        <v>106.56</v>
      </c>
      <c r="O567" s="55">
        <v>99.45</v>
      </c>
      <c r="P567" s="56">
        <v>114.29</v>
      </c>
      <c r="Q567" s="55">
        <v>99.13</v>
      </c>
      <c r="R567" s="55">
        <v>81.349999999999994</v>
      </c>
      <c r="S567" s="55">
        <v>127.88</v>
      </c>
      <c r="T567" s="55">
        <v>76.5</v>
      </c>
      <c r="U567" s="55">
        <v>48.84</v>
      </c>
      <c r="V567" s="55">
        <v>64.58</v>
      </c>
      <c r="W567" s="58">
        <v>73.88</v>
      </c>
      <c r="X567" s="13">
        <f t="shared" si="2"/>
        <v>-8.941204306163486E-2</v>
      </c>
      <c r="Y567" s="13">
        <f t="shared" si="2"/>
        <v>-0.13067089331185355</v>
      </c>
      <c r="Z567" s="13">
        <f t="shared" si="2"/>
        <v>-5.0124039812296517E-2</v>
      </c>
      <c r="AA567" s="13">
        <f t="shared" si="2"/>
        <v>-0.16991818753933285</v>
      </c>
    </row>
    <row r="568" spans="1:27" ht="15" x14ac:dyDescent="0.25">
      <c r="A568" s="4">
        <v>260128</v>
      </c>
      <c r="B568" s="20" t="s">
        <v>26</v>
      </c>
      <c r="C568" s="10" t="s">
        <v>23</v>
      </c>
      <c r="D568" s="10" t="s">
        <v>27</v>
      </c>
      <c r="E568" s="2" t="s">
        <v>25</v>
      </c>
      <c r="F568" s="38">
        <v>-27.80973905896856</v>
      </c>
      <c r="G568" s="2">
        <v>212.53</v>
      </c>
      <c r="H568" s="2">
        <v>189.64</v>
      </c>
      <c r="I568" s="2">
        <v>219.89</v>
      </c>
      <c r="J568" s="2">
        <v>177.73</v>
      </c>
      <c r="K568" s="2">
        <v>117.6</v>
      </c>
      <c r="L568" s="55">
        <v>42.51</v>
      </c>
      <c r="M568" s="55">
        <v>70.09</v>
      </c>
      <c r="N568" s="55">
        <v>113.66</v>
      </c>
      <c r="O568" s="55">
        <v>129.38999999999999</v>
      </c>
      <c r="P568" s="56">
        <v>93.95</v>
      </c>
      <c r="Q568" s="55">
        <v>109.36</v>
      </c>
      <c r="R568" s="55">
        <v>112.25</v>
      </c>
      <c r="S568" s="55">
        <v>130.74</v>
      </c>
      <c r="T568" s="55">
        <v>57.56</v>
      </c>
      <c r="U568" s="55">
        <v>49.75</v>
      </c>
      <c r="V568" s="55">
        <v>53.97</v>
      </c>
      <c r="W568" s="58">
        <v>49.53</v>
      </c>
      <c r="X568" s="13">
        <f t="shared" si="2"/>
        <v>-8.1537082679811745E-2</v>
      </c>
      <c r="Y568" s="13">
        <f t="shared" si="2"/>
        <v>-0.1454221658412822</v>
      </c>
      <c r="Z568" s="13">
        <f t="shared" si="2"/>
        <v>-0.16637168141592928</v>
      </c>
      <c r="AA568" s="13">
        <f t="shared" si="2"/>
        <v>-0.27809739058968563</v>
      </c>
    </row>
    <row r="569" spans="1:27" ht="15" x14ac:dyDescent="0.25">
      <c r="A569" s="4">
        <v>260128</v>
      </c>
      <c r="B569" s="20" t="s">
        <v>138</v>
      </c>
      <c r="C569" s="10" t="s">
        <v>23</v>
      </c>
      <c r="D569" s="10" t="s">
        <v>139</v>
      </c>
      <c r="E569" s="2" t="s">
        <v>25</v>
      </c>
      <c r="F569" s="38">
        <v>-28.1957773512476</v>
      </c>
      <c r="G569" s="2">
        <v>2223</v>
      </c>
      <c r="H569" s="2">
        <v>2176</v>
      </c>
      <c r="I569" s="2">
        <v>2225</v>
      </c>
      <c r="J569" s="2">
        <v>2028</v>
      </c>
      <c r="K569" s="2">
        <v>0</v>
      </c>
      <c r="L569" s="55">
        <v>1519</v>
      </c>
      <c r="M569" s="55">
        <v>1165</v>
      </c>
      <c r="N569" s="55">
        <v>1186</v>
      </c>
      <c r="O569" s="56">
        <v>1511</v>
      </c>
      <c r="P569" s="55">
        <v>1338</v>
      </c>
      <c r="Q569" s="55">
        <v>1168</v>
      </c>
      <c r="R569" s="55">
        <v>1179</v>
      </c>
      <c r="S569" s="55">
        <v>1469</v>
      </c>
      <c r="T569" s="55">
        <v>1291</v>
      </c>
      <c r="U569" s="55">
        <v>1194</v>
      </c>
      <c r="V569" s="55">
        <v>1256</v>
      </c>
      <c r="W569" s="58">
        <v>0</v>
      </c>
      <c r="X569" s="13">
        <f t="shared" si="2"/>
        <v>-9.1191307722157111E-3</v>
      </c>
      <c r="Y569" s="13">
        <f t="shared" si="2"/>
        <v>5.091051497944088E-3</v>
      </c>
      <c r="Z569" s="13">
        <f t="shared" si="2"/>
        <v>1.5000974089226515E-2</v>
      </c>
      <c r="AA569" s="13">
        <f t="shared" si="2"/>
        <v>-0.28195777351247597</v>
      </c>
    </row>
    <row r="570" spans="1:27" ht="15" x14ac:dyDescent="0.25">
      <c r="A570" s="4">
        <v>260128</v>
      </c>
      <c r="B570" s="20" t="s">
        <v>80</v>
      </c>
      <c r="C570" s="10" t="s">
        <v>23</v>
      </c>
      <c r="D570" s="10" t="s">
        <v>29</v>
      </c>
      <c r="E570" s="2" t="s">
        <v>25</v>
      </c>
      <c r="F570" s="38">
        <v>-65.580261955528485</v>
      </c>
      <c r="G570" s="2">
        <v>16.73</v>
      </c>
      <c r="H570" s="2">
        <v>13.07</v>
      </c>
      <c r="I570" s="2">
        <v>12.02</v>
      </c>
      <c r="J570" s="2">
        <v>12.56</v>
      </c>
      <c r="K570" s="2">
        <v>14.53</v>
      </c>
      <c r="L570" s="55">
        <v>10.49</v>
      </c>
      <c r="M570" s="55">
        <v>11.64</v>
      </c>
      <c r="N570" s="55">
        <v>11.54</v>
      </c>
      <c r="O570" s="55">
        <v>-17.82</v>
      </c>
      <c r="P570" s="55">
        <v>8.52</v>
      </c>
      <c r="Q570" s="55">
        <v>8.1300000000000008</v>
      </c>
      <c r="R570" s="55">
        <v>6.8</v>
      </c>
      <c r="S570" s="56">
        <v>-0.28999999999999998</v>
      </c>
      <c r="T570" s="56">
        <v>17.559999999999999</v>
      </c>
      <c r="U570" s="56">
        <v>26.36</v>
      </c>
      <c r="V570" s="56">
        <v>22.03</v>
      </c>
      <c r="W570" s="58">
        <v>-43.35</v>
      </c>
      <c r="X570" s="13">
        <f t="shared" si="2"/>
        <v>0.3903281519861832</v>
      </c>
      <c r="Y570" s="13">
        <f t="shared" si="2"/>
        <v>0.56614906832298129</v>
      </c>
      <c r="Z570" s="13">
        <f t="shared" si="2"/>
        <v>0.30200277612532211</v>
      </c>
      <c r="AA570" s="13">
        <f t="shared" si="2"/>
        <v>-0.65580261955528474</v>
      </c>
    </row>
    <row r="571" spans="1:27" customFormat="1" hidden="1" x14ac:dyDescent="0.3">
      <c r="B571" s="2" t="s">
        <v>156</v>
      </c>
      <c r="C571" s="2" t="s">
        <v>31</v>
      </c>
      <c r="D571" s="2" t="s">
        <v>32</v>
      </c>
      <c r="E571" s="2" t="s">
        <v>35</v>
      </c>
      <c r="F571" s="2">
        <v>11.67180277349769</v>
      </c>
      <c r="G571" s="2">
        <v>1710</v>
      </c>
      <c r="H571" s="2">
        <v>2404</v>
      </c>
      <c r="I571" s="2">
        <v>1804</v>
      </c>
      <c r="J571" s="2">
        <v>2052</v>
      </c>
      <c r="K571" s="2">
        <v>2058</v>
      </c>
      <c r="L571" s="2">
        <v>2649</v>
      </c>
      <c r="M571" s="2">
        <v>2081</v>
      </c>
      <c r="N571" s="2">
        <v>2589</v>
      </c>
      <c r="O571" s="2">
        <v>2467</v>
      </c>
      <c r="P571" s="2">
        <v>3001</v>
      </c>
      <c r="Q571" s="2">
        <v>2072</v>
      </c>
      <c r="R571" s="2">
        <v>3006</v>
      </c>
      <c r="S571" s="2">
        <v>2423</v>
      </c>
      <c r="T571" s="2">
        <v>3499</v>
      </c>
      <c r="U571" s="2">
        <v>2955</v>
      </c>
      <c r="V571" s="2">
        <v>4103</v>
      </c>
      <c r="W571" s="19">
        <v>3938</v>
      </c>
      <c r="X571" s="13">
        <f t="shared" si="2"/>
        <v>4.7419539135402866E-2</v>
      </c>
      <c r="Y571" s="13">
        <f t="shared" si="2"/>
        <v>8.0272727272727273E-2</v>
      </c>
      <c r="Z571" s="13">
        <f t="shared" si="2"/>
        <v>9.2316755028191588E-2</v>
      </c>
      <c r="AA571" s="13">
        <f t="shared" si="2"/>
        <v>0.11671802773497686</v>
      </c>
    </row>
    <row r="572" spans="1:27" ht="15" x14ac:dyDescent="0.25">
      <c r="A572" s="4">
        <v>260128</v>
      </c>
      <c r="B572" s="20" t="s">
        <v>98</v>
      </c>
      <c r="C572" s="10" t="s">
        <v>23</v>
      </c>
      <c r="D572" s="10" t="s">
        <v>99</v>
      </c>
      <c r="E572" s="2" t="s">
        <v>25</v>
      </c>
      <c r="F572" s="38">
        <v>-193.93939393939391</v>
      </c>
      <c r="G572" s="2">
        <v>58</v>
      </c>
      <c r="H572" s="2">
        <v>335</v>
      </c>
      <c r="I572" s="2">
        <v>244</v>
      </c>
      <c r="J572" s="2">
        <v>158</v>
      </c>
      <c r="K572" s="2">
        <v>131</v>
      </c>
      <c r="L572" s="55">
        <v>148</v>
      </c>
      <c r="M572" s="55">
        <v>111</v>
      </c>
      <c r="N572" s="55">
        <v>114</v>
      </c>
      <c r="O572" s="55">
        <v>-26</v>
      </c>
      <c r="P572" s="55">
        <v>89</v>
      </c>
      <c r="Q572" s="55">
        <v>64</v>
      </c>
      <c r="R572" s="55">
        <v>-189</v>
      </c>
      <c r="S572" s="55">
        <v>196</v>
      </c>
      <c r="T572" s="55">
        <v>-2</v>
      </c>
      <c r="U572" s="55">
        <v>18</v>
      </c>
      <c r="V572" s="56">
        <v>-113</v>
      </c>
      <c r="W572" s="58">
        <v>4</v>
      </c>
      <c r="X572" s="13">
        <f t="shared" si="2"/>
        <v>-0.56874999999999998</v>
      </c>
      <c r="Y572" s="13">
        <f t="shared" si="2"/>
        <v>-0.66666666666666674</v>
      </c>
      <c r="Z572" s="13">
        <f t="shared" si="2"/>
        <v>3.3043478260869561</v>
      </c>
      <c r="AA572" s="13">
        <f t="shared" si="2"/>
        <v>-1.9393939393939394</v>
      </c>
    </row>
    <row r="573" spans="1:27" ht="15" x14ac:dyDescent="0.25">
      <c r="A573" s="4">
        <v>260128</v>
      </c>
      <c r="B573" s="20" t="s">
        <v>49</v>
      </c>
      <c r="C573" s="10" t="s">
        <v>23</v>
      </c>
      <c r="D573" s="10" t="s">
        <v>50</v>
      </c>
      <c r="E573" s="2" t="s">
        <v>25</v>
      </c>
      <c r="F573" s="38">
        <v>-275.10356673739523</v>
      </c>
      <c r="G573" s="2">
        <v>-7.22</v>
      </c>
      <c r="H573" s="2">
        <v>31.6</v>
      </c>
      <c r="I573" s="2">
        <v>49.61</v>
      </c>
      <c r="J573" s="2">
        <v>33.21</v>
      </c>
      <c r="K573" s="3">
        <v>6.03</v>
      </c>
      <c r="L573" s="55">
        <v>7.69</v>
      </c>
      <c r="M573" s="55">
        <v>13.58</v>
      </c>
      <c r="N573" s="55">
        <v>-3.02</v>
      </c>
      <c r="O573" s="55">
        <v>-11.52</v>
      </c>
      <c r="P573" s="56">
        <v>126.96</v>
      </c>
      <c r="Q573" s="56">
        <v>45.06</v>
      </c>
      <c r="R573" s="56">
        <v>17.25</v>
      </c>
      <c r="S573" s="55">
        <v>-230.01</v>
      </c>
      <c r="T573" s="56">
        <v>58.73</v>
      </c>
      <c r="U573" s="55">
        <v>62.34</v>
      </c>
      <c r="V573" s="55">
        <v>9.9700000000000006</v>
      </c>
      <c r="W573" s="58">
        <v>42.26</v>
      </c>
      <c r="X573" s="13">
        <f t="shared" si="2"/>
        <v>1.6747668139420711</v>
      </c>
      <c r="Y573" s="13">
        <f t="shared" si="2"/>
        <v>-0.15857575479489772</v>
      </c>
      <c r="Z573" s="13">
        <f t="shared" si="2"/>
        <v>7.9397971425455349E-2</v>
      </c>
      <c r="AA573" s="13">
        <f t="shared" si="2"/>
        <v>-2.7510356673739516</v>
      </c>
    </row>
    <row r="574" spans="1:27" customFormat="1" hidden="1" x14ac:dyDescent="0.3">
      <c r="B574" s="2" t="s">
        <v>159</v>
      </c>
      <c r="C574" s="2" t="s">
        <v>67</v>
      </c>
      <c r="D574" s="2" t="s">
        <v>32</v>
      </c>
      <c r="E574" s="2" t="s">
        <v>35</v>
      </c>
      <c r="F574" s="2">
        <v>7.9940231602540157</v>
      </c>
      <c r="G574" s="2">
        <v>6484</v>
      </c>
      <c r="H574" s="2">
        <v>7160</v>
      </c>
      <c r="I574" s="2">
        <v>10031</v>
      </c>
      <c r="J574" s="2">
        <v>5852</v>
      </c>
      <c r="K574" s="2">
        <v>7779</v>
      </c>
      <c r="L574" s="2">
        <v>7791</v>
      </c>
      <c r="M574" s="2">
        <v>11327</v>
      </c>
      <c r="N574" s="2">
        <v>6768</v>
      </c>
      <c r="O574" s="2">
        <v>8978</v>
      </c>
      <c r="P574" s="2">
        <v>9187</v>
      </c>
      <c r="Q574" s="3">
        <v>16003</v>
      </c>
      <c r="R574" s="2">
        <v>10353</v>
      </c>
      <c r="S574" s="3">
        <v>15075</v>
      </c>
      <c r="T574" s="3">
        <v>16505</v>
      </c>
      <c r="U574" s="2">
        <v>16394</v>
      </c>
      <c r="V574" s="3">
        <v>18951</v>
      </c>
      <c r="W574" s="18">
        <v>20425</v>
      </c>
      <c r="X574" s="13">
        <f t="shared" si="2"/>
        <v>0.14457307677110909</v>
      </c>
      <c r="Y574" s="13">
        <f t="shared" si="2"/>
        <v>6.748826291079757E-3</v>
      </c>
      <c r="Z574" s="13">
        <f t="shared" si="2"/>
        <v>0.14741029026008534</v>
      </c>
      <c r="AA574" s="13">
        <f t="shared" ref="AA574:AA597" si="7">SUM(T574:W574)/SUM(S574:V574)-1</f>
        <v>7.9940231602540157E-2</v>
      </c>
    </row>
    <row r="575" spans="1:27" ht="15" x14ac:dyDescent="0.25">
      <c r="A575" s="4">
        <v>260128</v>
      </c>
      <c r="B575" s="20" t="s">
        <v>76</v>
      </c>
      <c r="C575" s="10" t="s">
        <v>23</v>
      </c>
      <c r="D575" s="10" t="s">
        <v>29</v>
      </c>
      <c r="E575" s="2" t="s">
        <v>25</v>
      </c>
      <c r="F575" s="38">
        <v>-301.1638316920322</v>
      </c>
      <c r="G575" s="2">
        <v>25.65</v>
      </c>
      <c r="H575" s="2">
        <v>20.93</v>
      </c>
      <c r="I575" s="2">
        <v>25.29</v>
      </c>
      <c r="J575" s="2">
        <v>23.98</v>
      </c>
      <c r="K575" s="2">
        <v>20.97</v>
      </c>
      <c r="L575" s="55">
        <v>16.11</v>
      </c>
      <c r="M575" s="55">
        <v>14.11</v>
      </c>
      <c r="N575" s="55">
        <v>14.09</v>
      </c>
      <c r="O575" s="55">
        <v>12.17</v>
      </c>
      <c r="P575" s="55">
        <v>13.77</v>
      </c>
      <c r="Q575" s="55">
        <v>13.84</v>
      </c>
      <c r="R575" s="55">
        <v>13.83</v>
      </c>
      <c r="S575" s="55">
        <v>-80.25</v>
      </c>
      <c r="T575" s="55">
        <v>15.67</v>
      </c>
      <c r="U575" s="55">
        <v>17.13</v>
      </c>
      <c r="V575" s="55">
        <v>13.94</v>
      </c>
      <c r="W575" s="58">
        <v>20.67</v>
      </c>
      <c r="X575" s="13">
        <f t="shared" ref="X575:Z597" si="8">SUM(Q575:T575)/SUM(P575:S575)-1</f>
        <v>-4.8956454522030568E-2</v>
      </c>
      <c r="Y575" s="13">
        <f t="shared" si="8"/>
        <v>-8.913573557301524E-2</v>
      </c>
      <c r="Z575" s="13">
        <f t="shared" si="8"/>
        <v>-3.2718619869125387E-3</v>
      </c>
      <c r="AA575" s="13">
        <f t="shared" si="7"/>
        <v>-3.011638316920322</v>
      </c>
    </row>
    <row r="576" spans="1:27" ht="15" x14ac:dyDescent="0.25">
      <c r="A576" s="4">
        <v>260128</v>
      </c>
      <c r="B576" s="20" t="s">
        <v>57</v>
      </c>
      <c r="C576" s="10" t="s">
        <v>23</v>
      </c>
      <c r="D576" s="10" t="s">
        <v>24</v>
      </c>
      <c r="E576" s="2" t="s">
        <v>25</v>
      </c>
      <c r="F576" s="38">
        <v>-398.71977240398292</v>
      </c>
      <c r="G576" s="2">
        <v>13.83</v>
      </c>
      <c r="H576" s="2">
        <v>9.85</v>
      </c>
      <c r="I576" s="2">
        <v>9.6999999999999993</v>
      </c>
      <c r="J576" s="2">
        <v>20.010000000000002</v>
      </c>
      <c r="K576" s="2">
        <v>13.05</v>
      </c>
      <c r="L576" s="55">
        <v>9.94</v>
      </c>
      <c r="M576" s="55">
        <v>11.81</v>
      </c>
      <c r="N576" s="55">
        <v>15.93</v>
      </c>
      <c r="O576" s="55">
        <v>-12.09</v>
      </c>
      <c r="P576" s="55">
        <v>-2.0299999999999998</v>
      </c>
      <c r="Q576" s="55">
        <v>-11.36</v>
      </c>
      <c r="R576" s="56">
        <v>-10.9</v>
      </c>
      <c r="S576" s="56">
        <v>-18.75</v>
      </c>
      <c r="T576" s="55">
        <v>-6.08</v>
      </c>
      <c r="U576" s="55">
        <v>0.39</v>
      </c>
      <c r="V576" s="55">
        <v>17.41</v>
      </c>
      <c r="W576" s="58">
        <v>9.2799999999999994</v>
      </c>
      <c r="X576" s="13">
        <f t="shared" si="8"/>
        <v>9.4098513011152463E-2</v>
      </c>
      <c r="Y576" s="13">
        <f t="shared" si="8"/>
        <v>-0.2495221915480994</v>
      </c>
      <c r="Z576" s="13">
        <f t="shared" si="8"/>
        <v>-0.80107526881720437</v>
      </c>
      <c r="AA576" s="13">
        <f t="shared" si="7"/>
        <v>-3.9871977240398304</v>
      </c>
    </row>
    <row r="577" spans="1:27" ht="15" x14ac:dyDescent="0.25">
      <c r="A577" s="4">
        <v>260128</v>
      </c>
      <c r="B577" s="20" t="s">
        <v>163</v>
      </c>
      <c r="C577" s="10" t="s">
        <v>164</v>
      </c>
      <c r="D577" s="37" t="str">
        <f>VLOOKUP(B577,'실적 기업 정보'!B223:G378,2,FALSE)</f>
        <v>Nordnet AB (publ)</v>
      </c>
      <c r="E577" s="2" t="s">
        <v>25</v>
      </c>
      <c r="F577" s="38">
        <v>3.5197832278043522</v>
      </c>
      <c r="G577" s="2">
        <v>587.20000000000005</v>
      </c>
      <c r="H577" s="2">
        <v>613.4</v>
      </c>
      <c r="I577" s="2">
        <v>310.39999999999998</v>
      </c>
      <c r="J577" s="2">
        <v>487.7</v>
      </c>
      <c r="K577" s="2">
        <v>623.1</v>
      </c>
      <c r="L577" s="55">
        <v>794.2</v>
      </c>
      <c r="M577" s="56">
        <v>729.6</v>
      </c>
      <c r="N577" s="56">
        <v>806.6</v>
      </c>
      <c r="O577" s="55">
        <v>824.8</v>
      </c>
      <c r="P577" s="55">
        <v>882</v>
      </c>
      <c r="Q577" s="55">
        <v>905</v>
      </c>
      <c r="R577" s="55">
        <v>851</v>
      </c>
      <c r="S577" s="55">
        <v>835.7</v>
      </c>
      <c r="T577" s="55">
        <v>985</v>
      </c>
      <c r="U577" s="55">
        <v>889</v>
      </c>
      <c r="V577" s="55">
        <v>907</v>
      </c>
      <c r="W577" s="58">
        <v>963</v>
      </c>
      <c r="X577" s="13">
        <f t="shared" si="8"/>
        <v>2.9651380372513358E-2</v>
      </c>
      <c r="Y577" s="13">
        <f t="shared" si="8"/>
        <v>-4.4733972656358922E-3</v>
      </c>
      <c r="Z577" s="13">
        <f t="shared" si="8"/>
        <v>1.5727244642907312E-2</v>
      </c>
      <c r="AA577" s="13">
        <f t="shared" si="7"/>
        <v>3.5197832278043517E-2</v>
      </c>
    </row>
    <row r="578" spans="1:27" ht="15" x14ac:dyDescent="0.25">
      <c r="A578" s="4">
        <v>260128</v>
      </c>
      <c r="B578" s="20">
        <v>4552</v>
      </c>
      <c r="C578" s="10" t="s">
        <v>67</v>
      </c>
      <c r="D578" s="37" t="e">
        <f>VLOOKUP(B578,'실적 기업 정보'!B224:G379,2,FALSE)</f>
        <v>#N/A</v>
      </c>
      <c r="E578" s="2" t="s">
        <v>25</v>
      </c>
      <c r="F578" s="21">
        <v>52.094028640907872</v>
      </c>
      <c r="G578" s="2">
        <v>4717</v>
      </c>
      <c r="H578" s="2">
        <v>1578</v>
      </c>
      <c r="I578" s="2">
        <v>1537</v>
      </c>
      <c r="J578" s="2">
        <v>-791</v>
      </c>
      <c r="K578" s="2">
        <v>4208</v>
      </c>
      <c r="L578" s="55">
        <v>23</v>
      </c>
      <c r="M578" s="56">
        <v>2066</v>
      </c>
      <c r="N578" s="56">
        <v>4832</v>
      </c>
      <c r="O578" s="55">
        <v>911</v>
      </c>
      <c r="P578" s="55">
        <v>-277</v>
      </c>
      <c r="Q578" s="55">
        <v>-510</v>
      </c>
      <c r="R578" s="55">
        <v>-327</v>
      </c>
      <c r="S578" s="56">
        <v>-60</v>
      </c>
      <c r="T578" s="56">
        <v>-5944</v>
      </c>
      <c r="U578" s="55">
        <v>-644</v>
      </c>
      <c r="V578" s="55">
        <v>2947</v>
      </c>
      <c r="W578" s="57">
        <v>-1988</v>
      </c>
      <c r="X578" s="13">
        <f t="shared" si="8"/>
        <v>4.8270868824531519</v>
      </c>
      <c r="Y578" s="13">
        <f t="shared" si="8"/>
        <v>1.9587779564391061E-2</v>
      </c>
      <c r="Z578" s="13">
        <f t="shared" si="8"/>
        <v>-0.46939068100358428</v>
      </c>
      <c r="AA578" s="13">
        <f t="shared" si="7"/>
        <v>0.52094028640907863</v>
      </c>
    </row>
    <row r="579" spans="1:27" customFormat="1" hidden="1" x14ac:dyDescent="0.3">
      <c r="B579" s="2" t="s">
        <v>167</v>
      </c>
      <c r="C579" s="2" t="s">
        <v>23</v>
      </c>
      <c r="D579" s="2" t="s">
        <v>168</v>
      </c>
      <c r="E579" s="2" t="s">
        <v>35</v>
      </c>
      <c r="F579" s="2">
        <v>3.0699251540338151</v>
      </c>
      <c r="G579" s="2">
        <v>32.15</v>
      </c>
      <c r="H579" s="2">
        <v>236.41</v>
      </c>
      <c r="I579" s="2">
        <v>108.97</v>
      </c>
      <c r="J579" s="2">
        <v>2.73</v>
      </c>
      <c r="K579" s="2">
        <v>-115.72</v>
      </c>
      <c r="L579" s="2">
        <v>183.78</v>
      </c>
      <c r="M579" s="3">
        <v>223.8</v>
      </c>
      <c r="N579" s="3">
        <v>222.97</v>
      </c>
      <c r="O579" s="3">
        <v>204.65</v>
      </c>
      <c r="P579" s="2">
        <v>-97.45</v>
      </c>
      <c r="Q579" s="2">
        <v>275.52999999999997</v>
      </c>
      <c r="R579" s="2">
        <v>268.25</v>
      </c>
      <c r="S579" s="3">
        <v>336.08</v>
      </c>
      <c r="T579" s="3">
        <v>171.63</v>
      </c>
      <c r="U579" s="2">
        <v>309.70999999999998</v>
      </c>
      <c r="V579" s="3">
        <v>391.73</v>
      </c>
      <c r="W579" s="18">
        <v>373.2</v>
      </c>
      <c r="X579" s="13">
        <f t="shared" si="8"/>
        <v>0.34391175981902045</v>
      </c>
      <c r="Y579" s="13">
        <f t="shared" si="8"/>
        <v>3.2506253031412635E-2</v>
      </c>
      <c r="Z579" s="13">
        <f t="shared" si="8"/>
        <v>0.1137362181878474</v>
      </c>
      <c r="AA579" s="13">
        <f t="shared" si="7"/>
        <v>3.0699251540338146E-2</v>
      </c>
    </row>
    <row r="580" spans="1:27" ht="15" x14ac:dyDescent="0.25">
      <c r="A580" s="4">
        <v>260128</v>
      </c>
      <c r="B580" s="20">
        <v>6857</v>
      </c>
      <c r="C580" s="10" t="s">
        <v>67</v>
      </c>
      <c r="D580" s="37" t="e">
        <f>VLOOKUP(B580,'실적 기업 정보'!B226:G381,2,FALSE)</f>
        <v>#N/A</v>
      </c>
      <c r="E580" s="2" t="s">
        <v>25</v>
      </c>
      <c r="F580" s="21">
        <v>11.463508524452079</v>
      </c>
      <c r="G580" s="2">
        <v>33566</v>
      </c>
      <c r="H580" s="2">
        <v>32946</v>
      </c>
      <c r="I580" s="2">
        <v>44783</v>
      </c>
      <c r="J580" s="2">
        <v>43133</v>
      </c>
      <c r="K580" s="2">
        <v>41224</v>
      </c>
      <c r="L580" s="55">
        <v>38547</v>
      </c>
      <c r="M580" s="55">
        <v>14864</v>
      </c>
      <c r="N580" s="55">
        <v>17821</v>
      </c>
      <c r="O580" s="55">
        <v>26830</v>
      </c>
      <c r="P580" s="55">
        <v>31111</v>
      </c>
      <c r="Q580" s="56">
        <v>31325</v>
      </c>
      <c r="R580" s="56">
        <v>64100</v>
      </c>
      <c r="S580" s="56">
        <v>69200</v>
      </c>
      <c r="T580" s="56">
        <v>85428</v>
      </c>
      <c r="U580" s="56">
        <v>123952</v>
      </c>
      <c r="V580" s="56">
        <v>108483</v>
      </c>
      <c r="W580" s="57">
        <v>113571</v>
      </c>
      <c r="X580" s="13">
        <f t="shared" si="8"/>
        <v>0.27750132831977758</v>
      </c>
      <c r="Y580" s="13">
        <f t="shared" si="8"/>
        <v>0.370429468952582</v>
      </c>
      <c r="Z580" s="13">
        <f t="shared" si="8"/>
        <v>0.12951733395587728</v>
      </c>
      <c r="AA580" s="13">
        <f t="shared" si="7"/>
        <v>0.11463508524452082</v>
      </c>
    </row>
    <row r="581" spans="1:27" ht="15" x14ac:dyDescent="0.25">
      <c r="A581" s="4">
        <v>260128</v>
      </c>
      <c r="B581" s="20">
        <v>2303</v>
      </c>
      <c r="C581" s="10" t="s">
        <v>67</v>
      </c>
      <c r="D581" s="37" t="e">
        <f>VLOOKUP(B581,'실적 기업 정보'!B227:G382,2,FALSE)</f>
        <v>#N/A</v>
      </c>
      <c r="E581" s="2" t="s">
        <v>170</v>
      </c>
      <c r="F581" s="38">
        <v>9.7913808768772981</v>
      </c>
      <c r="G581" s="2">
        <v>120</v>
      </c>
      <c r="H581" s="2">
        <v>114</v>
      </c>
      <c r="I581" s="2">
        <v>124</v>
      </c>
      <c r="J581" s="2">
        <v>68</v>
      </c>
      <c r="K581" s="2">
        <v>66</v>
      </c>
      <c r="L581" s="56">
        <v>192</v>
      </c>
      <c r="M581" s="55">
        <v>117</v>
      </c>
      <c r="N581" s="55">
        <v>66</v>
      </c>
      <c r="O581" s="55">
        <v>100</v>
      </c>
      <c r="P581" s="55">
        <v>165</v>
      </c>
      <c r="Q581" s="56">
        <v>202</v>
      </c>
      <c r="R581" s="56">
        <v>120</v>
      </c>
      <c r="S581" s="55">
        <v>71</v>
      </c>
      <c r="T581" s="55">
        <v>191.27</v>
      </c>
      <c r="U581" s="55">
        <v>219</v>
      </c>
      <c r="V581" s="55">
        <v>80.040000000000006</v>
      </c>
      <c r="W581" s="58">
        <v>125.96</v>
      </c>
      <c r="X581" s="13">
        <f t="shared" si="8"/>
        <v>4.7078853046594871E-2</v>
      </c>
      <c r="Y581" s="13">
        <f t="shared" si="8"/>
        <v>2.9096137059920979E-2</v>
      </c>
      <c r="Z581" s="13">
        <f t="shared" si="8"/>
        <v>-6.6459327756249298E-2</v>
      </c>
      <c r="AA581" s="13">
        <f t="shared" si="7"/>
        <v>9.7913808768773203E-2</v>
      </c>
    </row>
    <row r="582" spans="1:27" ht="15" x14ac:dyDescent="0.25">
      <c r="A582" s="4">
        <v>260128</v>
      </c>
      <c r="B582" s="20">
        <v>8060</v>
      </c>
      <c r="C582" s="10" t="s">
        <v>67</v>
      </c>
      <c r="D582" s="37" t="str">
        <f>VLOOKUP(B582,'실적 기업 정보'!B228:G383,2,FALSE)</f>
        <v>Canon Marketing Japan Inc.</v>
      </c>
      <c r="E582" s="2" t="s">
        <v>25</v>
      </c>
      <c r="F582" s="38">
        <v>5.7328197114510981</v>
      </c>
      <c r="G582" s="2">
        <v>13038</v>
      </c>
      <c r="H582" s="2">
        <v>14797</v>
      </c>
      <c r="I582" s="2">
        <v>13036</v>
      </c>
      <c r="J582" s="2">
        <v>10021</v>
      </c>
      <c r="K582" s="2">
        <v>12095</v>
      </c>
      <c r="L582" s="55">
        <v>15286</v>
      </c>
      <c r="M582" s="55">
        <v>11805</v>
      </c>
      <c r="N582" s="55">
        <v>10591</v>
      </c>
      <c r="O582" s="55">
        <v>14814</v>
      </c>
      <c r="P582" s="55">
        <v>13809</v>
      </c>
      <c r="Q582" s="55">
        <v>12226</v>
      </c>
      <c r="R582" s="55">
        <v>10256</v>
      </c>
      <c r="S582" s="55">
        <v>16833</v>
      </c>
      <c r="T582" s="55">
        <v>13170</v>
      </c>
      <c r="U582" s="55">
        <v>14157</v>
      </c>
      <c r="V582" s="55">
        <v>10874</v>
      </c>
      <c r="W582" s="58">
        <v>19988</v>
      </c>
      <c r="X582" s="13">
        <f t="shared" si="8"/>
        <v>-1.2028461712220495E-2</v>
      </c>
      <c r="Y582" s="13">
        <f t="shared" si="8"/>
        <v>3.6791464227874604E-2</v>
      </c>
      <c r="Z582" s="13">
        <f t="shared" si="8"/>
        <v>1.1356953837106776E-2</v>
      </c>
      <c r="AA582" s="13">
        <f t="shared" si="7"/>
        <v>5.7328197114510981E-2</v>
      </c>
    </row>
    <row r="583" spans="1:27" customFormat="1" hidden="1" x14ac:dyDescent="0.3">
      <c r="B583" s="2" t="s">
        <v>174</v>
      </c>
      <c r="C583" s="2" t="s">
        <v>23</v>
      </c>
      <c r="D583" s="2" t="s">
        <v>162</v>
      </c>
      <c r="E583" s="2" t="s">
        <v>96</v>
      </c>
      <c r="F583" s="2">
        <v>-0.23584905660378741</v>
      </c>
      <c r="G583" s="2">
        <v>215.61</v>
      </c>
      <c r="H583" s="2">
        <v>234.91</v>
      </c>
      <c r="I583" s="2">
        <v>236.3</v>
      </c>
      <c r="J583" s="2">
        <v>138.19999999999999</v>
      </c>
      <c r="K583" s="2">
        <v>187.5</v>
      </c>
      <c r="L583" s="2">
        <v>145.69999999999999</v>
      </c>
      <c r="M583" s="2">
        <v>185.3</v>
      </c>
      <c r="N583" s="2">
        <v>16.5</v>
      </c>
      <c r="O583" s="2">
        <v>139.30000000000001</v>
      </c>
      <c r="P583" s="2">
        <v>180.9</v>
      </c>
      <c r="Q583" s="2">
        <v>137</v>
      </c>
      <c r="R583" s="3">
        <v>85.1</v>
      </c>
      <c r="S583" s="2">
        <v>182.1</v>
      </c>
      <c r="T583" s="3">
        <v>258</v>
      </c>
      <c r="U583" s="3">
        <v>203.9</v>
      </c>
      <c r="V583" s="2">
        <v>119.2</v>
      </c>
      <c r="W583" s="18">
        <v>180.3</v>
      </c>
      <c r="X583" s="13">
        <f t="shared" si="8"/>
        <v>0.13177234660741766</v>
      </c>
      <c r="Y583" s="13">
        <f t="shared" si="8"/>
        <v>0.1010268800966474</v>
      </c>
      <c r="Z583" s="13">
        <f t="shared" si="8"/>
        <v>4.676999039912233E-2</v>
      </c>
      <c r="AA583" s="13">
        <f t="shared" si="7"/>
        <v>-2.3584905660376521E-3</v>
      </c>
    </row>
    <row r="584" spans="1:27" customFormat="1" hidden="1" x14ac:dyDescent="0.3">
      <c r="B584" s="2" t="s">
        <v>175</v>
      </c>
      <c r="C584" s="2" t="s">
        <v>23</v>
      </c>
      <c r="D584" s="2" t="s">
        <v>95</v>
      </c>
      <c r="E584" s="2" t="s">
        <v>35</v>
      </c>
      <c r="F584" s="2">
        <v>2.7236499949343069</v>
      </c>
      <c r="G584" s="2">
        <v>141.13</v>
      </c>
      <c r="H584" s="2">
        <v>144.66999999999999</v>
      </c>
      <c r="I584" s="2">
        <v>214.8</v>
      </c>
      <c r="J584" s="2">
        <v>115.86</v>
      </c>
      <c r="K584" s="2">
        <v>51.05</v>
      </c>
      <c r="L584" s="2">
        <v>94.05</v>
      </c>
      <c r="M584" s="2">
        <v>101.77</v>
      </c>
      <c r="N584" s="2">
        <v>112.6</v>
      </c>
      <c r="O584" s="3">
        <v>108.47</v>
      </c>
      <c r="P584" s="2">
        <v>106.93</v>
      </c>
      <c r="Q584" s="2">
        <v>132.05000000000001</v>
      </c>
      <c r="R584" s="2">
        <v>136.51</v>
      </c>
      <c r="S584" s="2">
        <v>143.83000000000001</v>
      </c>
      <c r="T584" s="2">
        <v>144</v>
      </c>
      <c r="U584" s="2">
        <v>155.75</v>
      </c>
      <c r="V584" s="2">
        <v>148.63999999999999</v>
      </c>
      <c r="W584" s="18">
        <v>159.96</v>
      </c>
      <c r="X584" s="13">
        <f t="shared" si="8"/>
        <v>7.1381806978356277E-2</v>
      </c>
      <c r="Y584" s="13">
        <f t="shared" si="8"/>
        <v>4.2596020776793253E-2</v>
      </c>
      <c r="Z584" s="13">
        <f t="shared" si="8"/>
        <v>2.0910548363185066E-2</v>
      </c>
      <c r="AA584" s="13">
        <f t="shared" si="7"/>
        <v>2.7236499949343074E-2</v>
      </c>
    </row>
    <row r="585" spans="1:27" ht="15" x14ac:dyDescent="0.25">
      <c r="A585" s="4">
        <v>260128</v>
      </c>
      <c r="B585" s="20">
        <v>7278</v>
      </c>
      <c r="C585" s="10" t="s">
        <v>67</v>
      </c>
      <c r="D585" s="37" t="e">
        <f>VLOOKUP(B585,'실적 기업 정보'!B231:G386,2,FALSE)</f>
        <v>#N/A</v>
      </c>
      <c r="E585" s="2" t="s">
        <v>25</v>
      </c>
      <c r="F585" s="38">
        <v>4.8536244305110721</v>
      </c>
      <c r="G585" s="2">
        <v>3979</v>
      </c>
      <c r="H585" s="2">
        <v>5342</v>
      </c>
      <c r="I585" s="2">
        <v>1034</v>
      </c>
      <c r="J585" s="2">
        <v>2539</v>
      </c>
      <c r="K585" s="2">
        <v>5110</v>
      </c>
      <c r="L585" s="55">
        <v>4372</v>
      </c>
      <c r="M585" s="56">
        <v>2413</v>
      </c>
      <c r="N585" s="56">
        <v>4018</v>
      </c>
      <c r="O585" s="55">
        <v>5096</v>
      </c>
      <c r="P585" s="55">
        <v>5325</v>
      </c>
      <c r="Q585" s="55">
        <v>4084</v>
      </c>
      <c r="R585" s="56">
        <v>7252</v>
      </c>
      <c r="S585" s="55">
        <v>4847</v>
      </c>
      <c r="T585" s="55">
        <v>6509</v>
      </c>
      <c r="U585" s="55">
        <v>4912</v>
      </c>
      <c r="V585" s="55">
        <v>5901</v>
      </c>
      <c r="W585" s="58">
        <v>5923</v>
      </c>
      <c r="X585" s="13">
        <f t="shared" si="8"/>
        <v>5.5049283987353537E-2</v>
      </c>
      <c r="Y585" s="13">
        <f t="shared" si="8"/>
        <v>3.6488630354309937E-2</v>
      </c>
      <c r="Z585" s="13">
        <f t="shared" si="8"/>
        <v>-5.7440476190476208E-2</v>
      </c>
      <c r="AA585" s="13">
        <f t="shared" si="7"/>
        <v>4.8536244305110721E-2</v>
      </c>
    </row>
    <row r="586" spans="1:27" ht="15" x14ac:dyDescent="0.25">
      <c r="A586" s="4">
        <v>260128</v>
      </c>
      <c r="B586" s="20">
        <v>6807</v>
      </c>
      <c r="C586" s="10" t="s">
        <v>67</v>
      </c>
      <c r="D586" s="37" t="e">
        <f>VLOOKUP(B586,'실적 기업 정보'!B232:G387,2,FALSE)</f>
        <v>#N/A</v>
      </c>
      <c r="E586" s="2" t="s">
        <v>25</v>
      </c>
      <c r="F586" s="38">
        <v>-9.6782865848194284</v>
      </c>
      <c r="G586" s="2">
        <v>5250</v>
      </c>
      <c r="H586" s="2">
        <v>3575</v>
      </c>
      <c r="I586" s="2">
        <v>5226</v>
      </c>
      <c r="J586" s="2">
        <v>5597</v>
      </c>
      <c r="K586" s="2">
        <v>5362</v>
      </c>
      <c r="L586" s="55">
        <v>1378</v>
      </c>
      <c r="M586" s="55">
        <v>1828</v>
      </c>
      <c r="N586" s="55">
        <v>4944</v>
      </c>
      <c r="O586" s="55">
        <v>4727</v>
      </c>
      <c r="P586" s="56">
        <v>2925</v>
      </c>
      <c r="Q586" s="56">
        <v>3775</v>
      </c>
      <c r="R586" s="55">
        <v>5443</v>
      </c>
      <c r="S586" s="55">
        <v>2236</v>
      </c>
      <c r="T586" s="55">
        <v>4162</v>
      </c>
      <c r="U586" s="55">
        <v>1481</v>
      </c>
      <c r="V586" s="55">
        <v>3280</v>
      </c>
      <c r="W586" s="58">
        <v>1156</v>
      </c>
      <c r="X586" s="13">
        <f t="shared" si="8"/>
        <v>8.602823562139239E-2</v>
      </c>
      <c r="Y586" s="13">
        <f t="shared" si="8"/>
        <v>-0.14690061475409832</v>
      </c>
      <c r="Z586" s="13">
        <f t="shared" si="8"/>
        <v>-0.1623630085572737</v>
      </c>
      <c r="AA586" s="13">
        <f t="shared" si="7"/>
        <v>-9.6782865848194288E-2</v>
      </c>
    </row>
    <row r="587" spans="1:27" ht="15" x14ac:dyDescent="0.25">
      <c r="A587" s="4">
        <v>260128</v>
      </c>
      <c r="B587" s="20">
        <v>2678</v>
      </c>
      <c r="C587" s="10" t="s">
        <v>67</v>
      </c>
      <c r="D587" s="37" t="e">
        <f>VLOOKUP(B587,'실적 기업 정보'!B233:G388,2,FALSE)</f>
        <v>#N/A</v>
      </c>
      <c r="E587" s="2" t="s">
        <v>86</v>
      </c>
      <c r="F587" s="38">
        <v>-59.924914130521607</v>
      </c>
      <c r="G587" s="2">
        <v>3423</v>
      </c>
      <c r="H587" s="2">
        <v>3942</v>
      </c>
      <c r="I587" s="2">
        <v>3672</v>
      </c>
      <c r="J587" s="2">
        <v>2957</v>
      </c>
      <c r="K587" s="2">
        <v>3788</v>
      </c>
      <c r="L587" s="55">
        <v>3618</v>
      </c>
      <c r="M587" s="55">
        <v>4258</v>
      </c>
      <c r="N587" s="55">
        <v>2829</v>
      </c>
      <c r="O587" s="55">
        <v>4414</v>
      </c>
      <c r="P587" s="56">
        <v>5251</v>
      </c>
      <c r="Q587" s="55">
        <v>4459</v>
      </c>
      <c r="R587" s="55">
        <v>2576</v>
      </c>
      <c r="S587" s="55">
        <v>3453</v>
      </c>
      <c r="T587" s="55">
        <v>3772</v>
      </c>
      <c r="U587" s="55">
        <v>4239</v>
      </c>
      <c r="V587" s="55">
        <v>1055</v>
      </c>
      <c r="W587" s="58">
        <v>-4049</v>
      </c>
      <c r="X587" s="13">
        <f t="shared" si="8"/>
        <v>-9.3970392019823379E-2</v>
      </c>
      <c r="Y587" s="13">
        <f t="shared" si="8"/>
        <v>-1.5427769985974726E-2</v>
      </c>
      <c r="Z587" s="13">
        <f t="shared" si="8"/>
        <v>-0.10833333333333328</v>
      </c>
      <c r="AA587" s="13">
        <f t="shared" si="7"/>
        <v>-0.59924914130521612</v>
      </c>
    </row>
    <row r="588" spans="1:27" customFormat="1" hidden="1" x14ac:dyDescent="0.3">
      <c r="B588" s="2" t="s">
        <v>181</v>
      </c>
      <c r="C588" s="2" t="s">
        <v>23</v>
      </c>
      <c r="D588" s="2" t="s">
        <v>182</v>
      </c>
      <c r="E588" s="2" t="s">
        <v>35</v>
      </c>
      <c r="F588" s="2">
        <v>71.952361980035946</v>
      </c>
      <c r="G588" s="2">
        <v>528.78</v>
      </c>
      <c r="H588" s="2">
        <v>447.18</v>
      </c>
      <c r="I588" s="2">
        <v>2051</v>
      </c>
      <c r="J588" s="2">
        <v>910.71</v>
      </c>
      <c r="K588" s="2">
        <v>-275.35000000000002</v>
      </c>
      <c r="L588" s="2">
        <v>-866.27</v>
      </c>
      <c r="M588" s="2">
        <v>-828.3</v>
      </c>
      <c r="N588" s="3">
        <v>175.46</v>
      </c>
      <c r="O588" s="3">
        <v>-556.69000000000005</v>
      </c>
      <c r="P588" s="2">
        <v>-389.5</v>
      </c>
      <c r="Q588" s="2">
        <v>485.47</v>
      </c>
      <c r="R588" s="3">
        <v>-15.62</v>
      </c>
      <c r="S588" s="2">
        <v>170.23</v>
      </c>
      <c r="T588" s="3">
        <v>483.48</v>
      </c>
      <c r="U588" s="2">
        <v>182.36</v>
      </c>
      <c r="V588" s="3">
        <v>92.6</v>
      </c>
      <c r="W588" s="19">
        <v>838.43</v>
      </c>
      <c r="X588" s="13">
        <f t="shared" si="8"/>
        <v>3.4838374970069435</v>
      </c>
      <c r="Y588" s="13">
        <f t="shared" si="8"/>
        <v>-0.26977642493502785</v>
      </c>
      <c r="Z588" s="13">
        <f t="shared" si="8"/>
        <v>0.13190322384057529</v>
      </c>
      <c r="AA588" s="13">
        <f t="shared" si="7"/>
        <v>0.71952361980035939</v>
      </c>
    </row>
    <row r="589" spans="1:27" ht="15" x14ac:dyDescent="0.25">
      <c r="A589" s="4">
        <v>260128</v>
      </c>
      <c r="B589" s="20" t="s">
        <v>103</v>
      </c>
      <c r="C589" s="10" t="s">
        <v>31</v>
      </c>
      <c r="D589" s="37" t="e">
        <f>VLOOKUP(B589,'실적 기업 정보'!B235:G390,2,FALSE)</f>
        <v>#N/A</v>
      </c>
      <c r="E589" s="2" t="s">
        <v>25</v>
      </c>
      <c r="F589" s="21">
        <v>18.34319526627219</v>
      </c>
      <c r="G589" s="2">
        <v>1440</v>
      </c>
      <c r="H589" s="2">
        <v>1546</v>
      </c>
      <c r="I589" s="2">
        <v>1502</v>
      </c>
      <c r="J589" s="2">
        <v>1557</v>
      </c>
      <c r="K589" s="2">
        <v>-136.36000000000001</v>
      </c>
      <c r="L589" s="55">
        <v>1471</v>
      </c>
      <c r="M589" s="55">
        <v>1717</v>
      </c>
      <c r="N589" s="55">
        <v>1856</v>
      </c>
      <c r="O589" s="56">
        <v>1932</v>
      </c>
      <c r="P589" s="55">
        <v>2006</v>
      </c>
      <c r="Q589" s="55">
        <v>1745</v>
      </c>
      <c r="R589" s="55">
        <v>1431</v>
      </c>
      <c r="S589" s="55">
        <v>1422</v>
      </c>
      <c r="T589" s="55">
        <v>1520</v>
      </c>
      <c r="U589" s="55">
        <v>1380</v>
      </c>
      <c r="V589" s="55">
        <v>1931</v>
      </c>
      <c r="W589" s="57">
        <v>2569</v>
      </c>
      <c r="X589" s="13">
        <f t="shared" si="8"/>
        <v>-7.3591762568140484E-2</v>
      </c>
      <c r="Y589" s="13">
        <f t="shared" si="8"/>
        <v>-5.9660019614253046E-2</v>
      </c>
      <c r="Z589" s="13">
        <f t="shared" si="8"/>
        <v>8.6911176777333621E-2</v>
      </c>
      <c r="AA589" s="13">
        <f t="shared" si="7"/>
        <v>0.18343195266272194</v>
      </c>
    </row>
    <row r="590" spans="1:27" ht="15" x14ac:dyDescent="0.25">
      <c r="A590" s="4">
        <v>260128</v>
      </c>
      <c r="B590" s="20" t="s">
        <v>173</v>
      </c>
      <c r="C590" s="10" t="s">
        <v>31</v>
      </c>
      <c r="D590" s="37" t="e">
        <f>VLOOKUP(B590,'실적 기업 정보'!B236:G391,2,FALSE)</f>
        <v>#N/A</v>
      </c>
      <c r="E590" s="2" t="s">
        <v>25</v>
      </c>
      <c r="F590" s="38">
        <v>8.9739116951583533</v>
      </c>
      <c r="G590" s="2">
        <v>5185</v>
      </c>
      <c r="H590" s="2">
        <v>6658</v>
      </c>
      <c r="I590" s="2">
        <v>8409</v>
      </c>
      <c r="J590" s="2">
        <v>7057</v>
      </c>
      <c r="K590" s="2">
        <v>6843</v>
      </c>
      <c r="L590" s="55">
        <v>7871</v>
      </c>
      <c r="M590" s="55">
        <v>7966</v>
      </c>
      <c r="N590" s="55">
        <v>8094</v>
      </c>
      <c r="O590" s="55">
        <v>7376</v>
      </c>
      <c r="P590" s="55">
        <v>8708</v>
      </c>
      <c r="Q590" s="55">
        <v>7992</v>
      </c>
      <c r="R590" s="55">
        <v>5452</v>
      </c>
      <c r="S590" s="55">
        <v>5176</v>
      </c>
      <c r="T590" s="55">
        <v>7139</v>
      </c>
      <c r="U590" s="55">
        <v>7484</v>
      </c>
      <c r="V590" s="55">
        <v>5998</v>
      </c>
      <c r="W590" s="58">
        <v>7491</v>
      </c>
      <c r="X590" s="13">
        <f t="shared" si="8"/>
        <v>-5.7413641686182681E-2</v>
      </c>
      <c r="Y590" s="13">
        <f t="shared" si="8"/>
        <v>-1.9721262471369183E-2</v>
      </c>
      <c r="Z590" s="13">
        <f t="shared" si="8"/>
        <v>2.1622906023523791E-2</v>
      </c>
      <c r="AA590" s="13">
        <f t="shared" si="7"/>
        <v>8.9739116951583542E-2</v>
      </c>
    </row>
    <row r="591" spans="1:27" ht="15" x14ac:dyDescent="0.25">
      <c r="A591" s="4">
        <v>260128</v>
      </c>
      <c r="B591" s="20" t="s">
        <v>30</v>
      </c>
      <c r="C591" s="10" t="s">
        <v>31</v>
      </c>
      <c r="D591" s="37" t="e">
        <f>VLOOKUP(B591,'실적 기업 정보'!B237:G392,2,FALSE)</f>
        <v>#N/A</v>
      </c>
      <c r="E591" s="2" t="s">
        <v>25</v>
      </c>
      <c r="F591" s="38">
        <v>3.3110740122426212</v>
      </c>
      <c r="G591" s="2">
        <v>1436</v>
      </c>
      <c r="H591" s="2">
        <v>1456</v>
      </c>
      <c r="I591" s="2">
        <v>1769</v>
      </c>
      <c r="J591" s="2">
        <v>1554</v>
      </c>
      <c r="K591" s="2">
        <v>1464</v>
      </c>
      <c r="L591" s="55">
        <v>1791</v>
      </c>
      <c r="M591" s="55">
        <v>1745</v>
      </c>
      <c r="N591" s="55">
        <v>1763</v>
      </c>
      <c r="O591" s="55">
        <v>1476</v>
      </c>
      <c r="P591" s="55">
        <v>1752</v>
      </c>
      <c r="Q591" s="55">
        <v>1934</v>
      </c>
      <c r="R591" s="55">
        <v>1889</v>
      </c>
      <c r="S591" s="55">
        <v>1714</v>
      </c>
      <c r="T591" s="55">
        <v>1667</v>
      </c>
      <c r="U591" s="55">
        <v>1884</v>
      </c>
      <c r="V591" s="55">
        <v>1923</v>
      </c>
      <c r="W591" s="58">
        <v>1952</v>
      </c>
      <c r="X591" s="13">
        <f t="shared" si="8"/>
        <v>-1.1661407600493945E-2</v>
      </c>
      <c r="Y591" s="13">
        <f t="shared" si="8"/>
        <v>-6.9405885619100438E-3</v>
      </c>
      <c r="Z591" s="13">
        <f t="shared" si="8"/>
        <v>4.7525859658932301E-3</v>
      </c>
      <c r="AA591" s="13">
        <f t="shared" si="7"/>
        <v>3.3110740122426208E-2</v>
      </c>
    </row>
    <row r="592" spans="1:27" customFormat="1" hidden="1" x14ac:dyDescent="0.3">
      <c r="B592" s="2" t="s">
        <v>187</v>
      </c>
      <c r="C592" s="2" t="s">
        <v>23</v>
      </c>
      <c r="D592" s="2" t="s">
        <v>113</v>
      </c>
      <c r="E592" s="2" t="s">
        <v>35</v>
      </c>
      <c r="F592" s="2">
        <v>13.63522641981487</v>
      </c>
      <c r="G592" s="2">
        <v>17.739999999999998</v>
      </c>
      <c r="H592" s="2">
        <v>12.49</v>
      </c>
      <c r="I592" s="2">
        <v>0.46</v>
      </c>
      <c r="J592" s="2">
        <v>-3.77</v>
      </c>
      <c r="K592" s="2">
        <v>-13.53</v>
      </c>
      <c r="L592" s="2">
        <v>37.69</v>
      </c>
      <c r="M592" s="3">
        <v>12.52</v>
      </c>
      <c r="N592" s="2">
        <v>-31.17</v>
      </c>
      <c r="O592" s="3">
        <v>-12.18</v>
      </c>
      <c r="P592" s="2">
        <v>19.940000000000001</v>
      </c>
      <c r="Q592" s="3">
        <v>-18.21</v>
      </c>
      <c r="R592" s="3">
        <v>-36.15</v>
      </c>
      <c r="S592" s="3">
        <v>-32.69</v>
      </c>
      <c r="T592" s="3">
        <v>1.17</v>
      </c>
      <c r="U592" s="2">
        <v>-19.82</v>
      </c>
      <c r="V592" s="2">
        <v>-28.6</v>
      </c>
      <c r="W592" s="19">
        <v>-43.59</v>
      </c>
      <c r="X592" s="13">
        <f t="shared" si="8"/>
        <v>0.27969006109372674</v>
      </c>
      <c r="Y592" s="13">
        <f t="shared" si="8"/>
        <v>1.8747088961341474E-2</v>
      </c>
      <c r="Z592" s="13">
        <f t="shared" si="8"/>
        <v>-8.6295576637330118E-2</v>
      </c>
      <c r="AA592" s="13">
        <f t="shared" si="7"/>
        <v>0.13635226419814872</v>
      </c>
    </row>
    <row r="593" spans="1:27" ht="15" x14ac:dyDescent="0.25">
      <c r="A593" s="4">
        <v>260128</v>
      </c>
      <c r="B593" s="20" t="s">
        <v>155</v>
      </c>
      <c r="C593" s="10" t="s">
        <v>31</v>
      </c>
      <c r="D593" s="37" t="e">
        <f>VLOOKUP(B593,'실적 기업 정보'!B239:G394,2,FALSE)</f>
        <v>#N/A</v>
      </c>
      <c r="E593" s="2" t="s">
        <v>25</v>
      </c>
      <c r="F593" s="38">
        <v>2.54224834680381</v>
      </c>
      <c r="G593" s="2">
        <v>4098</v>
      </c>
      <c r="H593" s="2">
        <v>7351</v>
      </c>
      <c r="I593" s="2">
        <v>3009</v>
      </c>
      <c r="J593" s="2">
        <v>4370</v>
      </c>
      <c r="K593" s="2">
        <v>3465</v>
      </c>
      <c r="L593" s="55">
        <v>8316</v>
      </c>
      <c r="M593" s="55">
        <v>4326</v>
      </c>
      <c r="N593" s="55">
        <v>4241</v>
      </c>
      <c r="O593" s="55">
        <v>3700</v>
      </c>
      <c r="P593" s="55">
        <v>8603</v>
      </c>
      <c r="Q593" s="55">
        <v>5970</v>
      </c>
      <c r="R593" s="55">
        <v>5598</v>
      </c>
      <c r="S593" s="55">
        <v>5951</v>
      </c>
      <c r="T593" s="55">
        <v>9131</v>
      </c>
      <c r="U593" s="55">
        <v>6562</v>
      </c>
      <c r="V593" s="55">
        <v>5576</v>
      </c>
      <c r="W593" s="58">
        <v>6643</v>
      </c>
      <c r="X593" s="13">
        <f t="shared" si="8"/>
        <v>2.0212847408314749E-2</v>
      </c>
      <c r="Y593" s="13">
        <f t="shared" si="8"/>
        <v>2.2213883677298263E-2</v>
      </c>
      <c r="Z593" s="13">
        <f t="shared" si="8"/>
        <v>-8.0757653623086956E-4</v>
      </c>
      <c r="AA593" s="13">
        <f t="shared" si="7"/>
        <v>2.5422483468038104E-2</v>
      </c>
    </row>
    <row r="594" spans="1:27" ht="15" x14ac:dyDescent="0.25">
      <c r="A594" s="4">
        <v>260128</v>
      </c>
      <c r="B594" s="20" t="s">
        <v>180</v>
      </c>
      <c r="C594" s="10" t="s">
        <v>31</v>
      </c>
      <c r="D594" s="37" t="e">
        <f>VLOOKUP(B594,'실적 기업 정보'!B240:G395,2,FALSE)</f>
        <v>#N/A</v>
      </c>
      <c r="E594" s="2" t="s">
        <v>25</v>
      </c>
      <c r="F594" s="38">
        <v>1.711756665871178</v>
      </c>
      <c r="G594" s="2">
        <v>4671</v>
      </c>
      <c r="H594" s="2">
        <v>9143</v>
      </c>
      <c r="I594" s="2">
        <v>4471</v>
      </c>
      <c r="J594" s="2">
        <v>4021</v>
      </c>
      <c r="K594" s="2">
        <v>3821</v>
      </c>
      <c r="L594" s="55">
        <v>7503</v>
      </c>
      <c r="M594" s="55">
        <v>3060</v>
      </c>
      <c r="N594" s="55">
        <v>3868</v>
      </c>
      <c r="O594" s="56">
        <v>8494</v>
      </c>
      <c r="P594" s="56">
        <v>11200</v>
      </c>
      <c r="Q594" s="56">
        <v>6964</v>
      </c>
      <c r="R594" s="55">
        <v>6381</v>
      </c>
      <c r="S594" s="56">
        <v>12387</v>
      </c>
      <c r="T594" s="55">
        <v>14147</v>
      </c>
      <c r="U594" s="55">
        <v>9185</v>
      </c>
      <c r="V594" s="55">
        <v>10374</v>
      </c>
      <c r="W594" s="58">
        <v>13176</v>
      </c>
      <c r="X594" s="13">
        <f t="shared" si="8"/>
        <v>7.9795299469294978E-2</v>
      </c>
      <c r="Y594" s="13">
        <f t="shared" si="8"/>
        <v>5.5693472755084183E-2</v>
      </c>
      <c r="Z594" s="13">
        <f t="shared" si="8"/>
        <v>9.4845605700712543E-2</v>
      </c>
      <c r="AA594" s="13">
        <f t="shared" si="7"/>
        <v>1.711756665871178E-2</v>
      </c>
    </row>
    <row r="595" spans="1:27" ht="15" x14ac:dyDescent="0.25">
      <c r="A595" s="4">
        <v>260128</v>
      </c>
      <c r="B595" s="20" t="s">
        <v>120</v>
      </c>
      <c r="C595" s="10" t="s">
        <v>31</v>
      </c>
      <c r="D595" s="37" t="e">
        <f>VLOOKUP(B595,'실적 기업 정보'!B241:G396,2,FALSE)</f>
        <v>#N/A</v>
      </c>
      <c r="E595" s="2" t="s">
        <v>25</v>
      </c>
      <c r="F595" s="38">
        <v>1.409178102405195</v>
      </c>
      <c r="G595" s="2">
        <v>9216</v>
      </c>
      <c r="H595" s="2">
        <v>18537</v>
      </c>
      <c r="I595" s="2">
        <v>12629</v>
      </c>
      <c r="J595" s="2">
        <v>20476</v>
      </c>
      <c r="K595" s="3">
        <v>21263</v>
      </c>
      <c r="L595" s="56">
        <v>27074</v>
      </c>
      <c r="M595" s="56">
        <v>22373</v>
      </c>
      <c r="N595" s="56">
        <v>40159</v>
      </c>
      <c r="O595" s="55">
        <v>31385</v>
      </c>
      <c r="P595" s="56">
        <v>41346</v>
      </c>
      <c r="Q595" s="56">
        <v>37749</v>
      </c>
      <c r="R595" s="55">
        <v>36131</v>
      </c>
      <c r="S595" s="55">
        <v>36475</v>
      </c>
      <c r="T595" s="55">
        <v>34569</v>
      </c>
      <c r="U595" s="55">
        <v>30666</v>
      </c>
      <c r="V595" s="55">
        <v>33830</v>
      </c>
      <c r="W595" s="58">
        <v>38385</v>
      </c>
      <c r="X595" s="13">
        <f t="shared" si="8"/>
        <v>-4.4673403603140427E-2</v>
      </c>
      <c r="Y595" s="13">
        <f t="shared" si="8"/>
        <v>-4.887389252297758E-2</v>
      </c>
      <c r="Z595" s="13">
        <f t="shared" si="8"/>
        <v>-1.6693146451346119E-2</v>
      </c>
      <c r="AA595" s="13">
        <f t="shared" si="7"/>
        <v>1.4091781024051953E-2</v>
      </c>
    </row>
    <row r="596" spans="1:27" ht="15" x14ac:dyDescent="0.25">
      <c r="A596" s="4">
        <v>260128</v>
      </c>
      <c r="B596" s="20" t="s">
        <v>43</v>
      </c>
      <c r="C596" s="10" t="s">
        <v>31</v>
      </c>
      <c r="D596" s="37" t="str">
        <f>VLOOKUP(B596,'실적 기업 정보'!B242:G397,2,FALSE)</f>
        <v>Piramal Pharma Limited</v>
      </c>
      <c r="E596" s="2" t="s">
        <v>25</v>
      </c>
      <c r="F596" s="38">
        <v>-34.889098487844947</v>
      </c>
      <c r="G596" s="2">
        <v>413.4</v>
      </c>
      <c r="H596" s="2">
        <v>4295</v>
      </c>
      <c r="I596" s="2">
        <v>-1446</v>
      </c>
      <c r="J596" s="2">
        <v>525.9</v>
      </c>
      <c r="K596" s="2">
        <v>-1952</v>
      </c>
      <c r="L596" s="55">
        <v>1707</v>
      </c>
      <c r="M596" s="55">
        <v>-412.9</v>
      </c>
      <c r="N596" s="55">
        <v>811.3</v>
      </c>
      <c r="O596" s="56">
        <v>820.5</v>
      </c>
      <c r="P596" s="56">
        <v>3382</v>
      </c>
      <c r="Q596" s="56">
        <v>199.4</v>
      </c>
      <c r="R596" s="56">
        <v>1494</v>
      </c>
      <c r="S596" s="55">
        <v>1409</v>
      </c>
      <c r="T596" s="55">
        <v>3225</v>
      </c>
      <c r="U596" s="55">
        <v>-905.8</v>
      </c>
      <c r="V596" s="55">
        <v>-441.5</v>
      </c>
      <c r="W596" s="58">
        <v>262.3</v>
      </c>
      <c r="X596" s="13">
        <f t="shared" si="8"/>
        <v>-2.4211954845475336E-2</v>
      </c>
      <c r="Y596" s="13">
        <f t="shared" si="8"/>
        <v>-0.17466890033821159</v>
      </c>
      <c r="Z596" s="13">
        <f t="shared" si="8"/>
        <v>-0.37062923672015624</v>
      </c>
      <c r="AA596" s="13">
        <f t="shared" si="7"/>
        <v>-0.34889098487844949</v>
      </c>
    </row>
    <row r="597" spans="1:27" customFormat="1" hidden="1" x14ac:dyDescent="0.3">
      <c r="B597" s="2" t="s">
        <v>192</v>
      </c>
      <c r="C597" s="2" t="s">
        <v>31</v>
      </c>
      <c r="D597" s="2" t="s">
        <v>32</v>
      </c>
      <c r="E597" s="2" t="s">
        <v>35</v>
      </c>
      <c r="F597" s="2">
        <v>8.1124449457514292</v>
      </c>
      <c r="G597" s="2">
        <v>317.06</v>
      </c>
      <c r="H597" s="2">
        <v>130.75</v>
      </c>
      <c r="I597" s="2">
        <v>205.51</v>
      </c>
      <c r="J597" s="2">
        <v>138.49</v>
      </c>
      <c r="K597" s="2">
        <v>394.76</v>
      </c>
      <c r="L597" s="2">
        <v>152.15</v>
      </c>
      <c r="M597" s="2">
        <v>259.79000000000002</v>
      </c>
      <c r="N597" s="2">
        <v>152.61000000000001</v>
      </c>
      <c r="O597" s="2">
        <v>392.8</v>
      </c>
      <c r="P597" s="2">
        <v>207.5</v>
      </c>
      <c r="Q597" s="2">
        <v>263.61</v>
      </c>
      <c r="R597" s="2">
        <v>190.18</v>
      </c>
      <c r="S597" s="3">
        <v>528.66</v>
      </c>
      <c r="T597" s="3">
        <v>358.68</v>
      </c>
      <c r="U597" s="2">
        <v>358.68</v>
      </c>
      <c r="V597" s="2">
        <v>243.42</v>
      </c>
      <c r="W597" s="18">
        <v>649.49</v>
      </c>
      <c r="X597" s="13">
        <f t="shared" si="8"/>
        <v>0.12704735493087971</v>
      </c>
      <c r="Y597" s="13">
        <f t="shared" si="8"/>
        <v>7.0887982522201298E-2</v>
      </c>
      <c r="Z597" s="13">
        <f t="shared" si="8"/>
        <v>3.7070045954602504E-2</v>
      </c>
      <c r="AA597" s="13">
        <f t="shared" si="7"/>
        <v>8.1124449457514292E-2</v>
      </c>
    </row>
    <row r="598" spans="1:27" x14ac:dyDescent="0.3">
      <c r="A598" s="74">
        <v>260127</v>
      </c>
      <c r="B598" s="83" t="s">
        <v>469</v>
      </c>
      <c r="C598" s="84" t="s">
        <v>23</v>
      </c>
      <c r="D598" s="84" t="s">
        <v>189</v>
      </c>
      <c r="F598" s="85">
        <v>54.460093896713623</v>
      </c>
      <c r="G598" s="63">
        <v>-111</v>
      </c>
      <c r="H598" s="63">
        <v>-367</v>
      </c>
      <c r="I598" s="63">
        <v>-69</v>
      </c>
      <c r="J598" s="63">
        <v>152</v>
      </c>
      <c r="K598" s="63">
        <v>99</v>
      </c>
      <c r="L598" s="86">
        <v>-130</v>
      </c>
      <c r="M598" s="87">
        <v>259</v>
      </c>
      <c r="N598" s="86">
        <v>-123</v>
      </c>
      <c r="O598" s="86">
        <v>-38</v>
      </c>
      <c r="P598" s="87">
        <v>-157</v>
      </c>
      <c r="Q598" s="87">
        <v>58</v>
      </c>
      <c r="R598" s="86">
        <v>-11</v>
      </c>
      <c r="S598" s="86">
        <v>17</v>
      </c>
      <c r="T598" s="87">
        <v>-174</v>
      </c>
      <c r="U598" s="87">
        <v>30</v>
      </c>
      <c r="V598" s="87">
        <v>-86</v>
      </c>
      <c r="W598" s="89">
        <v>-99</v>
      </c>
      <c r="X598" s="13">
        <f t="shared" ref="X598:X661" si="9">SUM(Q598:T598)/SUM(P598:S598)-1</f>
        <v>0.18279569892473124</v>
      </c>
      <c r="Y598" s="13">
        <f t="shared" ref="Y598:Y661" si="10">SUM(R598:U598)/SUM(Q598:T598)-1</f>
        <v>0.25454545454545463</v>
      </c>
      <c r="Z598" s="13">
        <f t="shared" ref="Z598:Z661" si="11">SUM(S598:V598)/SUM(R598:U598)-1</f>
        <v>0.54347826086956519</v>
      </c>
      <c r="AA598" s="13">
        <f t="shared" ref="AA598:AA661" si="12">SUM(T598:W598)/SUM(S598:V598)-1</f>
        <v>0.54460093896713624</v>
      </c>
    </row>
    <row r="599" spans="1:27" x14ac:dyDescent="0.3">
      <c r="A599" s="4">
        <v>260127</v>
      </c>
      <c r="B599" s="20" t="s">
        <v>418</v>
      </c>
      <c r="C599" s="10" t="s">
        <v>23</v>
      </c>
      <c r="D599" s="10" t="s">
        <v>29</v>
      </c>
      <c r="F599" s="62">
        <v>39.055649241146703</v>
      </c>
      <c r="G599" s="63">
        <v>17.7</v>
      </c>
      <c r="H599" s="63">
        <v>18.739999999999998</v>
      </c>
      <c r="I599" s="63">
        <v>18.93</v>
      </c>
      <c r="J599" s="63">
        <v>20.68</v>
      </c>
      <c r="K599" s="63">
        <v>19.87</v>
      </c>
      <c r="L599" s="88">
        <v>20.399999999999999</v>
      </c>
      <c r="M599" s="88">
        <v>17.16</v>
      </c>
      <c r="N599" s="88">
        <v>17.13</v>
      </c>
      <c r="O599" s="88">
        <v>17.14</v>
      </c>
      <c r="P599" s="88">
        <v>15.43</v>
      </c>
      <c r="Q599" s="88">
        <v>16</v>
      </c>
      <c r="R599" s="88">
        <v>17.29</v>
      </c>
      <c r="S599" s="88">
        <v>18.63</v>
      </c>
      <c r="T599" s="88">
        <v>14.34</v>
      </c>
      <c r="U599" s="88">
        <v>17.25</v>
      </c>
      <c r="V599" s="88">
        <v>9.08</v>
      </c>
      <c r="W599" s="90">
        <v>41.79</v>
      </c>
      <c r="X599" s="13">
        <f t="shared" si="9"/>
        <v>-1.6184112843355414E-2</v>
      </c>
      <c r="Y599" s="13">
        <f t="shared" si="10"/>
        <v>1.8865076969514005E-2</v>
      </c>
      <c r="Z599" s="13">
        <f t="shared" si="11"/>
        <v>-0.12161161309435653</v>
      </c>
      <c r="AA599" s="13">
        <f t="shared" si="12"/>
        <v>0.39055649241146728</v>
      </c>
    </row>
    <row r="600" spans="1:27" x14ac:dyDescent="0.3">
      <c r="A600" s="4">
        <v>260127</v>
      </c>
      <c r="B600" s="20" t="s">
        <v>451</v>
      </c>
      <c r="C600" s="10" t="s">
        <v>23</v>
      </c>
      <c r="D600" s="10" t="s">
        <v>445</v>
      </c>
      <c r="F600" s="62">
        <v>29.387434777075459</v>
      </c>
      <c r="G600" s="63">
        <v>296.01</v>
      </c>
      <c r="H600" s="63">
        <v>344.3</v>
      </c>
      <c r="I600" s="63">
        <v>101.86</v>
      </c>
      <c r="J600" s="63">
        <v>261.56</v>
      </c>
      <c r="K600" s="63">
        <v>36.11</v>
      </c>
      <c r="L600" s="63">
        <v>-71.66</v>
      </c>
      <c r="M600" s="63">
        <v>-25.4</v>
      </c>
      <c r="N600" s="63">
        <v>207.85</v>
      </c>
      <c r="O600" s="64">
        <v>134.72</v>
      </c>
      <c r="P600" s="64">
        <v>88.79</v>
      </c>
      <c r="Q600" s="64">
        <v>21.41</v>
      </c>
      <c r="R600" s="63">
        <v>132.05000000000001</v>
      </c>
      <c r="S600" s="63">
        <v>53.59</v>
      </c>
      <c r="T600" s="64">
        <v>194.62</v>
      </c>
      <c r="U600" s="63">
        <v>35.85</v>
      </c>
      <c r="V600" s="64">
        <v>187.4</v>
      </c>
      <c r="W600" s="90">
        <v>192.14</v>
      </c>
      <c r="X600" s="13">
        <f t="shared" si="9"/>
        <v>0.35772714981070841</v>
      </c>
      <c r="Y600" s="13">
        <f t="shared" si="10"/>
        <v>3.5949909129384894E-2</v>
      </c>
      <c r="Z600" s="13">
        <f t="shared" si="11"/>
        <v>0.13301771166278153</v>
      </c>
      <c r="AA600" s="13">
        <f t="shared" si="12"/>
        <v>0.29387434777075461</v>
      </c>
    </row>
    <row r="601" spans="1:27" x14ac:dyDescent="0.3">
      <c r="A601" s="4">
        <v>260127</v>
      </c>
      <c r="B601" s="20" t="s">
        <v>419</v>
      </c>
      <c r="C601" s="10" t="s">
        <v>23</v>
      </c>
      <c r="D601" s="10" t="s">
        <v>29</v>
      </c>
      <c r="F601" s="62">
        <v>27.392491467576789</v>
      </c>
      <c r="G601" s="63">
        <v>39.159999999999997</v>
      </c>
      <c r="H601" s="63">
        <v>35.71</v>
      </c>
      <c r="I601" s="63">
        <v>36.200000000000003</v>
      </c>
      <c r="J601" s="63">
        <v>44.14</v>
      </c>
      <c r="K601" s="63">
        <v>45.69</v>
      </c>
      <c r="L601" s="63">
        <v>46.35</v>
      </c>
      <c r="M601" s="63">
        <v>36.85</v>
      </c>
      <c r="N601" s="63">
        <v>37.49</v>
      </c>
      <c r="O601" s="63">
        <v>33.22</v>
      </c>
      <c r="P601" s="63">
        <v>34.96</v>
      </c>
      <c r="Q601" s="63">
        <v>38.42</v>
      </c>
      <c r="R601" s="63">
        <v>42.56</v>
      </c>
      <c r="S601" s="63">
        <v>37.36</v>
      </c>
      <c r="T601" s="63">
        <v>-32.67</v>
      </c>
      <c r="U601" s="64">
        <v>64.510000000000005</v>
      </c>
      <c r="V601" s="64">
        <v>77.3</v>
      </c>
      <c r="W601" s="90">
        <v>77.489999999999995</v>
      </c>
      <c r="X601" s="13">
        <f t="shared" si="9"/>
        <v>-0.44116112198303981</v>
      </c>
      <c r="Y601" s="13">
        <f t="shared" si="10"/>
        <v>0.30454067935099816</v>
      </c>
      <c r="Z601" s="13">
        <f t="shared" si="11"/>
        <v>0.31084466714387959</v>
      </c>
      <c r="AA601" s="13">
        <f t="shared" si="12"/>
        <v>0.27392491467576785</v>
      </c>
    </row>
    <row r="602" spans="1:27" x14ac:dyDescent="0.3">
      <c r="A602" s="4">
        <v>260127</v>
      </c>
      <c r="B602" s="20" t="s">
        <v>420</v>
      </c>
      <c r="C602" s="10" t="s">
        <v>23</v>
      </c>
      <c r="D602" s="10" t="s">
        <v>29</v>
      </c>
      <c r="F602" s="62">
        <v>26.20505399087163</v>
      </c>
      <c r="G602" s="63">
        <v>48.42</v>
      </c>
      <c r="H602" s="63">
        <v>41.48</v>
      </c>
      <c r="I602" s="63">
        <v>50.54</v>
      </c>
      <c r="J602" s="63">
        <v>60.13</v>
      </c>
      <c r="K602" s="63">
        <v>59.16</v>
      </c>
      <c r="L602" s="63">
        <v>57.4</v>
      </c>
      <c r="M602" s="63">
        <v>35.28</v>
      </c>
      <c r="N602" s="63">
        <v>52.6</v>
      </c>
      <c r="O602" s="63">
        <v>31.91</v>
      </c>
      <c r="P602" s="63">
        <v>49.32</v>
      </c>
      <c r="Q602" s="63">
        <v>48.51</v>
      </c>
      <c r="R602" s="64">
        <v>97.38</v>
      </c>
      <c r="S602" s="63">
        <v>49.75</v>
      </c>
      <c r="T602" s="63">
        <v>51.97</v>
      </c>
      <c r="U602" s="63">
        <v>2.67</v>
      </c>
      <c r="V602" s="63">
        <v>75.27</v>
      </c>
      <c r="W602" s="90">
        <v>96.83</v>
      </c>
      <c r="X602" s="13">
        <f t="shared" si="9"/>
        <v>1.0818092749836694E-2</v>
      </c>
      <c r="Y602" s="13">
        <f t="shared" si="10"/>
        <v>-0.1851298412826623</v>
      </c>
      <c r="Z602" s="13">
        <f t="shared" si="11"/>
        <v>-0.10958021509639682</v>
      </c>
      <c r="AA602" s="13">
        <f t="shared" si="12"/>
        <v>0.26205053990871652</v>
      </c>
    </row>
    <row r="603" spans="1:27" x14ac:dyDescent="0.3">
      <c r="A603" s="4">
        <v>260127</v>
      </c>
      <c r="B603" s="20" t="s">
        <v>422</v>
      </c>
      <c r="C603" s="10" t="s">
        <v>23</v>
      </c>
      <c r="D603" s="10" t="s">
        <v>29</v>
      </c>
      <c r="F603" s="62">
        <v>23.253145001103519</v>
      </c>
      <c r="G603" s="63">
        <v>66.290000000000006</v>
      </c>
      <c r="H603" s="63">
        <v>53.98</v>
      </c>
      <c r="I603" s="63">
        <v>53</v>
      </c>
      <c r="J603" s="63">
        <v>65.349999999999994</v>
      </c>
      <c r="K603" s="63">
        <v>64.069999999999993</v>
      </c>
      <c r="L603" s="63">
        <v>52.28</v>
      </c>
      <c r="M603" s="63">
        <v>53.94</v>
      </c>
      <c r="N603" s="63">
        <v>44.3</v>
      </c>
      <c r="O603" s="63">
        <v>43.53</v>
      </c>
      <c r="P603" s="63">
        <v>43.39</v>
      </c>
      <c r="Q603" s="63">
        <v>35.020000000000003</v>
      </c>
      <c r="R603" s="63">
        <v>44.77</v>
      </c>
      <c r="S603" s="64">
        <v>61.94</v>
      </c>
      <c r="T603" s="63">
        <v>-9.67</v>
      </c>
      <c r="U603" s="64">
        <v>70.97</v>
      </c>
      <c r="V603" s="64">
        <v>103.31</v>
      </c>
      <c r="W603" s="90">
        <v>114.62</v>
      </c>
      <c r="X603" s="13">
        <f t="shared" si="9"/>
        <v>-0.2866248919619705</v>
      </c>
      <c r="Y603" s="13">
        <f t="shared" si="10"/>
        <v>0.27222474632742655</v>
      </c>
      <c r="Z603" s="13">
        <f t="shared" si="11"/>
        <v>0.34843164097375179</v>
      </c>
      <c r="AA603" s="13">
        <f t="shared" si="12"/>
        <v>0.23253145001103515</v>
      </c>
    </row>
    <row r="604" spans="1:27" x14ac:dyDescent="0.3">
      <c r="A604" s="4">
        <v>260127</v>
      </c>
      <c r="B604" s="20" t="s">
        <v>421</v>
      </c>
      <c r="C604" s="10" t="s">
        <v>23</v>
      </c>
      <c r="D604" s="10" t="s">
        <v>29</v>
      </c>
      <c r="F604" s="62">
        <v>16.743832308164428</v>
      </c>
      <c r="G604" s="63">
        <v>98.37</v>
      </c>
      <c r="H604" s="63">
        <v>125.76</v>
      </c>
      <c r="I604" s="63">
        <v>173.6</v>
      </c>
      <c r="J604" s="63">
        <v>108.81</v>
      </c>
      <c r="K604" s="63">
        <v>123.85</v>
      </c>
      <c r="L604" s="63">
        <v>111.59</v>
      </c>
      <c r="M604" s="63">
        <v>110.02</v>
      </c>
      <c r="N604" s="63">
        <v>119.19</v>
      </c>
      <c r="O604" s="63">
        <v>80.8</v>
      </c>
      <c r="P604" s="63">
        <v>133.87</v>
      </c>
      <c r="Q604" s="63">
        <v>126.91</v>
      </c>
      <c r="R604" s="63">
        <v>135.66999999999999</v>
      </c>
      <c r="S604" s="64">
        <v>144.82</v>
      </c>
      <c r="T604" s="63">
        <v>93.05</v>
      </c>
      <c r="U604" s="64">
        <v>275.04000000000002</v>
      </c>
      <c r="V604" s="64">
        <v>236.56</v>
      </c>
      <c r="W604" s="90">
        <v>270.31</v>
      </c>
      <c r="X604" s="13">
        <f t="shared" si="9"/>
        <v>-7.5415227150959718E-2</v>
      </c>
      <c r="Y604" s="13">
        <f t="shared" si="10"/>
        <v>0.2959936057548207</v>
      </c>
      <c r="Z604" s="13">
        <f t="shared" si="11"/>
        <v>0.15555521292670127</v>
      </c>
      <c r="AA604" s="13">
        <f t="shared" si="12"/>
        <v>0.1674383230816443</v>
      </c>
    </row>
    <row r="605" spans="1:27" x14ac:dyDescent="0.3">
      <c r="A605" s="4">
        <v>260127</v>
      </c>
      <c r="B605" s="20" t="s">
        <v>429</v>
      </c>
      <c r="C605" s="10" t="s">
        <v>23</v>
      </c>
      <c r="D605" s="10" t="s">
        <v>430</v>
      </c>
      <c r="F605" s="62">
        <v>15.71576763485478</v>
      </c>
      <c r="G605" s="63">
        <v>581</v>
      </c>
      <c r="H605" s="63">
        <v>429</v>
      </c>
      <c r="I605" s="63">
        <v>361</v>
      </c>
      <c r="J605" s="63">
        <v>116</v>
      </c>
      <c r="K605" s="63">
        <v>-40</v>
      </c>
      <c r="L605" s="63">
        <v>5</v>
      </c>
      <c r="M605" s="63">
        <v>110</v>
      </c>
      <c r="N605" s="63">
        <v>-114</v>
      </c>
      <c r="O605" s="63">
        <v>93</v>
      </c>
      <c r="P605" s="64">
        <v>145</v>
      </c>
      <c r="Q605" s="64">
        <v>283</v>
      </c>
      <c r="R605" s="64">
        <v>404</v>
      </c>
      <c r="S605" s="64">
        <v>489</v>
      </c>
      <c r="T605" s="64">
        <v>451</v>
      </c>
      <c r="U605" s="64">
        <v>584</v>
      </c>
      <c r="V605" s="64">
        <v>707</v>
      </c>
      <c r="W605" s="90">
        <v>846</v>
      </c>
      <c r="X605" s="13">
        <f t="shared" si="9"/>
        <v>0.23164269492808476</v>
      </c>
      <c r="Y605" s="13">
        <f t="shared" si="10"/>
        <v>0.18500307314074993</v>
      </c>
      <c r="Z605" s="13">
        <f t="shared" si="11"/>
        <v>0.15715767634854783</v>
      </c>
      <c r="AA605" s="13">
        <f t="shared" si="12"/>
        <v>0.16001792917974011</v>
      </c>
    </row>
    <row r="606" spans="1:27" x14ac:dyDescent="0.3">
      <c r="A606" s="4">
        <v>260127</v>
      </c>
      <c r="B606" s="20" t="s">
        <v>424</v>
      </c>
      <c r="C606" s="10" t="s">
        <v>23</v>
      </c>
      <c r="D606" s="10" t="s">
        <v>29</v>
      </c>
      <c r="F606" s="62">
        <v>14.267034723231159</v>
      </c>
      <c r="G606" s="63">
        <v>20.7</v>
      </c>
      <c r="H606" s="63">
        <v>21.06</v>
      </c>
      <c r="I606" s="63">
        <v>18.77</v>
      </c>
      <c r="J606" s="63">
        <v>17.91</v>
      </c>
      <c r="K606" s="63">
        <v>19.309999999999999</v>
      </c>
      <c r="L606" s="63">
        <v>15.98</v>
      </c>
      <c r="M606" s="63">
        <v>15.55</v>
      </c>
      <c r="N606" s="63">
        <v>12.02</v>
      </c>
      <c r="O606" s="63">
        <v>10.28</v>
      </c>
      <c r="P606" s="63">
        <v>16.34</v>
      </c>
      <c r="Q606" s="63">
        <v>14.87</v>
      </c>
      <c r="R606" s="63">
        <v>15.85</v>
      </c>
      <c r="S606" s="64">
        <v>18.399999999999999</v>
      </c>
      <c r="T606" s="63">
        <v>6.17</v>
      </c>
      <c r="U606" s="63">
        <v>17.760000000000002</v>
      </c>
      <c r="V606" s="64">
        <v>26.5</v>
      </c>
      <c r="W606" s="90">
        <v>28.22</v>
      </c>
      <c r="X606" s="13">
        <f t="shared" si="9"/>
        <v>-0.15536205316223661</v>
      </c>
      <c r="Y606" s="13">
        <f t="shared" si="10"/>
        <v>5.2269849882438102E-2</v>
      </c>
      <c r="Z606" s="13">
        <f t="shared" si="11"/>
        <v>0.18305259539360597</v>
      </c>
      <c r="AA606" s="13">
        <f t="shared" si="12"/>
        <v>0.14267034723231165</v>
      </c>
    </row>
    <row r="607" spans="1:27" x14ac:dyDescent="0.3">
      <c r="A607" s="4">
        <v>260127</v>
      </c>
      <c r="B607" s="20" t="s">
        <v>437</v>
      </c>
      <c r="C607" s="10" t="s">
        <v>23</v>
      </c>
      <c r="D607" s="10" t="s">
        <v>29</v>
      </c>
      <c r="F607" s="62">
        <v>13.81406502704812</v>
      </c>
      <c r="G607" s="63">
        <v>52.08</v>
      </c>
      <c r="H607" s="63">
        <v>59.19</v>
      </c>
      <c r="I607" s="63">
        <v>53.57</v>
      </c>
      <c r="J607" s="63">
        <v>60.08</v>
      </c>
      <c r="K607" s="63">
        <v>67.27</v>
      </c>
      <c r="L607" s="63">
        <v>54.99</v>
      </c>
      <c r="M607" s="63">
        <v>43.63</v>
      </c>
      <c r="N607" s="63">
        <v>37.39</v>
      </c>
      <c r="O607" s="63">
        <v>39.770000000000003</v>
      </c>
      <c r="P607" s="63">
        <v>42.97</v>
      </c>
      <c r="Q607" s="63">
        <v>-21.32</v>
      </c>
      <c r="R607" s="64">
        <v>65.260000000000005</v>
      </c>
      <c r="S607" s="64">
        <v>62.71</v>
      </c>
      <c r="T607" s="64">
        <v>91.85</v>
      </c>
      <c r="U607" s="64">
        <v>102.44</v>
      </c>
      <c r="V607" s="64">
        <v>101.62</v>
      </c>
      <c r="W607" s="90">
        <v>112.25</v>
      </c>
      <c r="X607" s="13">
        <f t="shared" si="9"/>
        <v>0.32669429220692425</v>
      </c>
      <c r="Y607" s="13">
        <f t="shared" si="10"/>
        <v>0.62347607052896725</v>
      </c>
      <c r="Z607" s="13">
        <f t="shared" si="11"/>
        <v>0.11282815118227529</v>
      </c>
      <c r="AA607" s="13">
        <f t="shared" si="12"/>
        <v>0.13814065027048117</v>
      </c>
    </row>
    <row r="608" spans="1:27" x14ac:dyDescent="0.3">
      <c r="A608" s="4">
        <v>260127</v>
      </c>
      <c r="B608" s="20" t="s">
        <v>431</v>
      </c>
      <c r="C608" s="10" t="s">
        <v>23</v>
      </c>
      <c r="D608" s="10" t="s">
        <v>115</v>
      </c>
      <c r="F608" s="62">
        <v>12.826471890216901</v>
      </c>
      <c r="G608" s="63">
        <v>12.36</v>
      </c>
      <c r="H608" s="63">
        <v>7.66</v>
      </c>
      <c r="I608" s="63">
        <v>9.58</v>
      </c>
      <c r="J608" s="63">
        <v>9.31</v>
      </c>
      <c r="K608" s="63">
        <v>14.25</v>
      </c>
      <c r="L608" s="64">
        <v>19.91</v>
      </c>
      <c r="M608" s="64">
        <v>18.48</v>
      </c>
      <c r="N608" s="64">
        <v>17.63</v>
      </c>
      <c r="O608" s="63">
        <v>21.05</v>
      </c>
      <c r="P608" s="63">
        <v>22.74</v>
      </c>
      <c r="Q608" s="63">
        <v>23.11</v>
      </c>
      <c r="R608" s="63">
        <v>18.440000000000001</v>
      </c>
      <c r="S608" s="63">
        <v>20.07</v>
      </c>
      <c r="T608" s="63">
        <v>30.33</v>
      </c>
      <c r="U608" s="63">
        <v>24.78</v>
      </c>
      <c r="V608" s="63">
        <v>15.18</v>
      </c>
      <c r="W608" s="90">
        <v>31.66</v>
      </c>
      <c r="X608" s="13">
        <f t="shared" si="9"/>
        <v>8.9971550497866426E-2</v>
      </c>
      <c r="Y608" s="13">
        <f t="shared" si="10"/>
        <v>1.8162044589451032E-2</v>
      </c>
      <c r="Z608" s="13">
        <f t="shared" si="11"/>
        <v>-3.4821619312112695E-2</v>
      </c>
      <c r="AA608" s="13">
        <f t="shared" si="12"/>
        <v>0.12826471890216884</v>
      </c>
    </row>
    <row r="609" spans="1:27" x14ac:dyDescent="0.3">
      <c r="A609" s="4">
        <v>260127</v>
      </c>
      <c r="B609" s="20" t="s">
        <v>425</v>
      </c>
      <c r="C609" s="10" t="s">
        <v>23</v>
      </c>
      <c r="D609" s="10" t="s">
        <v>29</v>
      </c>
      <c r="F609" s="62">
        <v>12.43445692883896</v>
      </c>
      <c r="G609" s="63">
        <v>16.829999999999998</v>
      </c>
      <c r="H609" s="63">
        <v>16.55</v>
      </c>
      <c r="I609" s="63">
        <v>17.399999999999999</v>
      </c>
      <c r="J609" s="63">
        <v>19.829999999999998</v>
      </c>
      <c r="K609" s="63">
        <v>17.93</v>
      </c>
      <c r="L609" s="63">
        <v>15.82</v>
      </c>
      <c r="M609" s="63">
        <v>12.96</v>
      </c>
      <c r="N609" s="63">
        <v>12.51</v>
      </c>
      <c r="O609" s="63">
        <v>11.23</v>
      </c>
      <c r="P609" s="63">
        <v>10.24</v>
      </c>
      <c r="Q609" s="63">
        <v>10.62</v>
      </c>
      <c r="R609" s="63">
        <v>11.36</v>
      </c>
      <c r="S609" s="63">
        <v>10.51</v>
      </c>
      <c r="T609" s="63">
        <v>12.65</v>
      </c>
      <c r="U609" s="64">
        <v>15.14</v>
      </c>
      <c r="V609" s="63">
        <v>15.1</v>
      </c>
      <c r="W609" s="90">
        <v>17.149999999999999</v>
      </c>
      <c r="X609" s="13">
        <f t="shared" si="9"/>
        <v>5.6400655277322631E-2</v>
      </c>
      <c r="Y609" s="13">
        <f t="shared" si="10"/>
        <v>0.10013291980505112</v>
      </c>
      <c r="Z609" s="13">
        <f t="shared" si="11"/>
        <v>7.5312122432541262E-2</v>
      </c>
      <c r="AA609" s="13">
        <f t="shared" si="12"/>
        <v>0.12434456928838955</v>
      </c>
    </row>
    <row r="610" spans="1:27" x14ac:dyDescent="0.3">
      <c r="A610" s="4">
        <v>260127</v>
      </c>
      <c r="B610" s="20" t="s">
        <v>452</v>
      </c>
      <c r="C610" s="10" t="s">
        <v>23</v>
      </c>
      <c r="D610" s="10" t="s">
        <v>29</v>
      </c>
      <c r="F610" s="62">
        <v>11.21586475942782</v>
      </c>
      <c r="G610" s="63">
        <v>8.5</v>
      </c>
      <c r="H610" s="63">
        <v>10.38</v>
      </c>
      <c r="I610" s="63">
        <v>10.74</v>
      </c>
      <c r="J610" s="63">
        <v>-6.4</v>
      </c>
      <c r="K610" s="64">
        <v>11.89</v>
      </c>
      <c r="L610" s="63">
        <v>11.39</v>
      </c>
      <c r="M610" s="63">
        <v>12.39</v>
      </c>
      <c r="N610" s="64">
        <v>11.56</v>
      </c>
      <c r="O610" s="63">
        <v>9.6999999999999993</v>
      </c>
      <c r="P610" s="63">
        <v>10.74</v>
      </c>
      <c r="Q610" s="63">
        <v>9.82</v>
      </c>
      <c r="R610" s="63">
        <v>-9.9</v>
      </c>
      <c r="S610" s="64">
        <v>17.14</v>
      </c>
      <c r="T610" s="64">
        <v>22.76</v>
      </c>
      <c r="U610" s="64">
        <v>24.7</v>
      </c>
      <c r="V610" s="64">
        <v>27.68</v>
      </c>
      <c r="W610" s="90">
        <v>27.49</v>
      </c>
      <c r="X610" s="13">
        <f t="shared" si="9"/>
        <v>0.43237410071942461</v>
      </c>
      <c r="Y610" s="13">
        <f t="shared" si="10"/>
        <v>0.37368156705173261</v>
      </c>
      <c r="Z610" s="13">
        <f t="shared" si="11"/>
        <v>0.6870201096892139</v>
      </c>
      <c r="AA610" s="13">
        <f t="shared" si="12"/>
        <v>0.11215864759427818</v>
      </c>
    </row>
    <row r="611" spans="1:27" x14ac:dyDescent="0.3">
      <c r="A611" s="4">
        <v>260127</v>
      </c>
      <c r="B611" s="20" t="s">
        <v>433</v>
      </c>
      <c r="C611" s="10" t="s">
        <v>23</v>
      </c>
      <c r="D611" s="10" t="s">
        <v>434</v>
      </c>
      <c r="F611" s="38">
        <v>8.1132075471698215</v>
      </c>
      <c r="G611" s="63">
        <v>1362</v>
      </c>
      <c r="H611" s="63">
        <v>-614</v>
      </c>
      <c r="I611" s="63">
        <v>966</v>
      </c>
      <c r="J611" s="63">
        <v>1761</v>
      </c>
      <c r="K611" s="64">
        <v>1763</v>
      </c>
      <c r="L611" s="64">
        <v>3004</v>
      </c>
      <c r="M611" s="64">
        <v>2855</v>
      </c>
      <c r="N611" s="63">
        <v>1891</v>
      </c>
      <c r="O611" s="63">
        <v>2327</v>
      </c>
      <c r="P611" s="63">
        <v>2021</v>
      </c>
      <c r="Q611" s="63">
        <v>1707</v>
      </c>
      <c r="R611" s="64">
        <v>2690</v>
      </c>
      <c r="S611" s="63">
        <v>944</v>
      </c>
      <c r="T611" s="63">
        <v>2287</v>
      </c>
      <c r="U611" s="63">
        <v>2268</v>
      </c>
      <c r="V611" s="63">
        <v>2451</v>
      </c>
      <c r="W611" s="91">
        <v>1589</v>
      </c>
      <c r="X611" s="13">
        <f t="shared" si="9"/>
        <v>3.6131486009236546E-2</v>
      </c>
      <c r="Y611" s="13">
        <f t="shared" si="10"/>
        <v>7.3544834819087468E-2</v>
      </c>
      <c r="Z611" s="13">
        <f t="shared" si="11"/>
        <v>-2.9185492734155605E-2</v>
      </c>
      <c r="AA611" s="13">
        <f t="shared" si="12"/>
        <v>8.1132075471698206E-2</v>
      </c>
    </row>
    <row r="612" spans="1:27" x14ac:dyDescent="0.3">
      <c r="A612" s="4">
        <v>260127</v>
      </c>
      <c r="B612" s="20" t="s">
        <v>470</v>
      </c>
      <c r="C612" s="10" t="s">
        <v>23</v>
      </c>
      <c r="D612" s="10" t="s">
        <v>109</v>
      </c>
      <c r="F612" s="38">
        <v>7.0727410017618952</v>
      </c>
      <c r="G612" s="63">
        <v>2904</v>
      </c>
      <c r="H612" s="63">
        <v>3604</v>
      </c>
      <c r="I612" s="63">
        <v>3874</v>
      </c>
      <c r="J612" s="63">
        <v>3446</v>
      </c>
      <c r="K612" s="63">
        <v>2893</v>
      </c>
      <c r="L612" s="63">
        <v>2621</v>
      </c>
      <c r="M612" s="63">
        <v>2985</v>
      </c>
      <c r="N612" s="63">
        <v>1681</v>
      </c>
      <c r="O612" s="63">
        <v>2141</v>
      </c>
      <c r="P612" s="63">
        <v>1814</v>
      </c>
      <c r="Q612" s="63">
        <v>2126</v>
      </c>
      <c r="R612" s="63">
        <v>2051</v>
      </c>
      <c r="S612" s="63">
        <v>2060</v>
      </c>
      <c r="T612" s="63">
        <v>1793</v>
      </c>
      <c r="U612" s="63">
        <v>1914</v>
      </c>
      <c r="V612" s="63">
        <v>2179</v>
      </c>
      <c r="W612" s="91">
        <v>2622</v>
      </c>
      <c r="X612" s="13">
        <f t="shared" si="9"/>
        <v>-2.6083716308532567E-3</v>
      </c>
      <c r="Y612" s="13">
        <f t="shared" si="10"/>
        <v>-2.6400996264009935E-2</v>
      </c>
      <c r="Z612" s="13">
        <f t="shared" si="11"/>
        <v>1.6372473778460073E-2</v>
      </c>
      <c r="AA612" s="13">
        <f t="shared" si="12"/>
        <v>7.0727410017618952E-2</v>
      </c>
    </row>
    <row r="613" spans="1:27" x14ac:dyDescent="0.3">
      <c r="A613" s="4">
        <v>260127</v>
      </c>
      <c r="B613" s="20" t="s">
        <v>436</v>
      </c>
      <c r="C613" s="10" t="s">
        <v>23</v>
      </c>
      <c r="D613" s="10" t="s">
        <v>29</v>
      </c>
      <c r="F613" s="38">
        <v>6.5831244778613129</v>
      </c>
      <c r="G613" s="63">
        <v>43.63</v>
      </c>
      <c r="H613" s="63">
        <v>34.46</v>
      </c>
      <c r="I613" s="63">
        <v>38.39</v>
      </c>
      <c r="J613" s="63">
        <v>42.45</v>
      </c>
      <c r="K613" s="63">
        <v>44.88</v>
      </c>
      <c r="L613" s="63">
        <v>37.94</v>
      </c>
      <c r="M613" s="63">
        <v>53.61</v>
      </c>
      <c r="N613" s="63">
        <v>49.29</v>
      </c>
      <c r="O613" s="63">
        <v>56.72</v>
      </c>
      <c r="P613" s="63">
        <v>46.48</v>
      </c>
      <c r="Q613" s="63">
        <v>46.58</v>
      </c>
      <c r="R613" s="63">
        <v>40.53</v>
      </c>
      <c r="S613" s="63">
        <v>44.62</v>
      </c>
      <c r="T613" s="63">
        <v>41.04</v>
      </c>
      <c r="U613" s="63">
        <v>42.07</v>
      </c>
      <c r="V613" s="63">
        <v>51.82</v>
      </c>
      <c r="W613" s="91">
        <v>56.44</v>
      </c>
      <c r="X613" s="13">
        <f t="shared" si="9"/>
        <v>-3.0525784187194982E-2</v>
      </c>
      <c r="Y613" s="13">
        <f t="shared" si="10"/>
        <v>-2.6104068993459517E-2</v>
      </c>
      <c r="Z613" s="13">
        <f t="shared" si="11"/>
        <v>6.7098537976940431E-2</v>
      </c>
      <c r="AA613" s="13">
        <f t="shared" si="12"/>
        <v>6.5831244778613351E-2</v>
      </c>
    </row>
    <row r="614" spans="1:27" x14ac:dyDescent="0.3">
      <c r="A614" s="4">
        <v>260127</v>
      </c>
      <c r="B614" s="20" t="s">
        <v>449</v>
      </c>
      <c r="C614" s="10" t="s">
        <v>23</v>
      </c>
      <c r="D614" s="10" t="s">
        <v>29</v>
      </c>
      <c r="F614" s="38">
        <v>5.9889884304828778</v>
      </c>
      <c r="G614" s="63">
        <v>281.62</v>
      </c>
      <c r="H614" s="63">
        <v>262.17</v>
      </c>
      <c r="I614" s="63">
        <v>275.63</v>
      </c>
      <c r="J614" s="63">
        <v>490.38</v>
      </c>
      <c r="K614" s="63">
        <v>206.79</v>
      </c>
      <c r="L614" s="63">
        <v>205.29</v>
      </c>
      <c r="M614" s="63">
        <v>194.66</v>
      </c>
      <c r="N614" s="63">
        <v>182.47</v>
      </c>
      <c r="O614" s="63">
        <v>93.12</v>
      </c>
      <c r="P614" s="63">
        <v>158.85</v>
      </c>
      <c r="Q614" s="63">
        <v>218.25</v>
      </c>
      <c r="R614" s="63">
        <v>197.79</v>
      </c>
      <c r="S614" s="64">
        <v>221.73</v>
      </c>
      <c r="T614" s="63">
        <v>222.57</v>
      </c>
      <c r="U614" s="63">
        <v>258.32</v>
      </c>
      <c r="V614" s="63">
        <v>247.29</v>
      </c>
      <c r="W614" s="91">
        <v>278.62</v>
      </c>
      <c r="X614" s="13">
        <f t="shared" si="9"/>
        <v>7.9987949084883603E-2</v>
      </c>
      <c r="Y614" s="13">
        <f t="shared" si="10"/>
        <v>4.6574610037891873E-2</v>
      </c>
      <c r="Z614" s="13">
        <f t="shared" si="11"/>
        <v>5.4974955853444474E-2</v>
      </c>
      <c r="AA614" s="13">
        <f t="shared" si="12"/>
        <v>5.9889884304829E-2</v>
      </c>
    </row>
    <row r="615" spans="1:27" x14ac:dyDescent="0.3">
      <c r="A615" s="4">
        <v>260127</v>
      </c>
      <c r="B615" s="20" t="s">
        <v>441</v>
      </c>
      <c r="C615" s="10" t="s">
        <v>23</v>
      </c>
      <c r="D615" s="10" t="s">
        <v>131</v>
      </c>
      <c r="F615" s="38">
        <v>5.4738081224249502</v>
      </c>
      <c r="G615" s="63">
        <v>3465</v>
      </c>
      <c r="H615" s="63">
        <v>1273</v>
      </c>
      <c r="I615" s="63">
        <v>1331</v>
      </c>
      <c r="J615" s="63">
        <v>1220</v>
      </c>
      <c r="K615" s="63">
        <v>2514</v>
      </c>
      <c r="L615" s="63">
        <v>1079</v>
      </c>
      <c r="M615" s="63">
        <v>1100</v>
      </c>
      <c r="N615" s="63">
        <v>1148</v>
      </c>
      <c r="O615" s="63">
        <v>-682</v>
      </c>
      <c r="P615" s="63">
        <v>1239</v>
      </c>
      <c r="Q615" s="63">
        <v>1257</v>
      </c>
      <c r="R615" s="63">
        <v>1288</v>
      </c>
      <c r="S615" s="64">
        <v>1685</v>
      </c>
      <c r="T615" s="63">
        <v>703</v>
      </c>
      <c r="U615" s="63">
        <v>1331</v>
      </c>
      <c r="V615" s="63">
        <v>1378</v>
      </c>
      <c r="W615" s="91">
        <v>1964</v>
      </c>
      <c r="X615" s="13">
        <f t="shared" si="9"/>
        <v>-9.8006948253794079E-2</v>
      </c>
      <c r="Y615" s="13">
        <f t="shared" si="10"/>
        <v>1.5001013581998679E-2</v>
      </c>
      <c r="Z615" s="13">
        <f t="shared" si="11"/>
        <v>1.7974835230677E-2</v>
      </c>
      <c r="AA615" s="13">
        <f t="shared" si="12"/>
        <v>5.4738081224249502E-2</v>
      </c>
    </row>
    <row r="616" spans="1:27" x14ac:dyDescent="0.3">
      <c r="A616" s="4">
        <v>260127</v>
      </c>
      <c r="B616" s="20" t="s">
        <v>428</v>
      </c>
      <c r="C616" s="10" t="s">
        <v>23</v>
      </c>
      <c r="D616" s="10" t="s">
        <v>99</v>
      </c>
      <c r="F616" s="38">
        <v>5.0982349233032096</v>
      </c>
      <c r="G616" s="63">
        <v>61.66</v>
      </c>
      <c r="H616" s="63">
        <v>68.260000000000005</v>
      </c>
      <c r="I616" s="63">
        <v>64.540000000000006</v>
      </c>
      <c r="J616" s="63">
        <v>67.59</v>
      </c>
      <c r="K616" s="63">
        <v>67.72</v>
      </c>
      <c r="L616" s="63">
        <v>65.95</v>
      </c>
      <c r="M616" s="63">
        <v>66.010000000000005</v>
      </c>
      <c r="N616" s="63">
        <v>55.07</v>
      </c>
      <c r="O616" s="63">
        <v>40.33</v>
      </c>
      <c r="P616" s="63">
        <v>65.2</v>
      </c>
      <c r="Q616" s="63">
        <v>74.099999999999994</v>
      </c>
      <c r="R616" s="63">
        <v>76.81</v>
      </c>
      <c r="S616" s="64">
        <v>78.209999999999994</v>
      </c>
      <c r="T616" s="63">
        <v>91.36</v>
      </c>
      <c r="U616" s="63">
        <v>101.33</v>
      </c>
      <c r="V616" s="63">
        <v>109.82</v>
      </c>
      <c r="W616" s="91">
        <v>97.62</v>
      </c>
      <c r="X616" s="13">
        <f t="shared" si="9"/>
        <v>8.8882848600163156E-2</v>
      </c>
      <c r="Y616" s="13">
        <f t="shared" si="10"/>
        <v>8.4966300549176088E-2</v>
      </c>
      <c r="Z616" s="13">
        <f t="shared" si="11"/>
        <v>9.4935434701331589E-2</v>
      </c>
      <c r="AA616" s="13">
        <f t="shared" si="12"/>
        <v>5.0982349233032132E-2</v>
      </c>
    </row>
    <row r="617" spans="1:27" x14ac:dyDescent="0.3">
      <c r="A617" s="4">
        <v>260127</v>
      </c>
      <c r="B617" s="20" t="s">
        <v>438</v>
      </c>
      <c r="C617" s="10" t="s">
        <v>23</v>
      </c>
      <c r="D617" s="10" t="s">
        <v>131</v>
      </c>
      <c r="F617" s="38">
        <v>4.8075951924048121</v>
      </c>
      <c r="G617" s="63">
        <v>1479</v>
      </c>
      <c r="H617" s="63">
        <v>1560</v>
      </c>
      <c r="I617" s="63">
        <v>1805</v>
      </c>
      <c r="J617" s="63">
        <v>1993</v>
      </c>
      <c r="K617" s="63">
        <v>1957</v>
      </c>
      <c r="L617" s="63">
        <v>2131</v>
      </c>
      <c r="M617" s="63">
        <v>1962</v>
      </c>
      <c r="N617" s="63">
        <v>-950</v>
      </c>
      <c r="O617" s="63">
        <v>2132</v>
      </c>
      <c r="P617" s="63">
        <v>1841</v>
      </c>
      <c r="Q617" s="63">
        <v>1815</v>
      </c>
      <c r="R617" s="64">
        <v>2402</v>
      </c>
      <c r="S617" s="63">
        <v>2221</v>
      </c>
      <c r="T617" s="63">
        <v>2401</v>
      </c>
      <c r="U617" s="63">
        <v>2492</v>
      </c>
      <c r="V617" s="63">
        <v>2787</v>
      </c>
      <c r="W617" s="91">
        <v>2697</v>
      </c>
      <c r="X617" s="13">
        <f t="shared" si="9"/>
        <v>6.7641019446793127E-2</v>
      </c>
      <c r="Y617" s="13">
        <f t="shared" si="10"/>
        <v>7.6592374703020605E-2</v>
      </c>
      <c r="Z617" s="13">
        <f t="shared" si="11"/>
        <v>4.0458175704077393E-2</v>
      </c>
      <c r="AA617" s="13">
        <f t="shared" si="12"/>
        <v>4.8075951924048121E-2</v>
      </c>
    </row>
    <row r="618" spans="1:27" x14ac:dyDescent="0.3">
      <c r="A618" s="4">
        <v>260127</v>
      </c>
      <c r="B618" s="20" t="s">
        <v>435</v>
      </c>
      <c r="C618" s="10" t="s">
        <v>23</v>
      </c>
      <c r="D618" s="10" t="s">
        <v>29</v>
      </c>
      <c r="F618" s="38">
        <v>4.6543197905556166</v>
      </c>
      <c r="G618" s="63">
        <v>43.11</v>
      </c>
      <c r="H618" s="63">
        <v>29.16</v>
      </c>
      <c r="I618" s="63">
        <v>35.28</v>
      </c>
      <c r="J618" s="63">
        <v>38.159999999999997</v>
      </c>
      <c r="K618" s="63">
        <v>38.119999999999997</v>
      </c>
      <c r="L618" s="63">
        <v>31.27</v>
      </c>
      <c r="M618" s="63">
        <v>29.15</v>
      </c>
      <c r="N618" s="63">
        <v>26.68</v>
      </c>
      <c r="O618" s="63">
        <v>27.48</v>
      </c>
      <c r="P618" s="63">
        <v>21.72</v>
      </c>
      <c r="Q618" s="63">
        <v>20.440000000000001</v>
      </c>
      <c r="R618" s="63">
        <v>21.12</v>
      </c>
      <c r="S618" s="63">
        <v>25.33</v>
      </c>
      <c r="T618" s="63">
        <v>25.11</v>
      </c>
      <c r="U618" s="63">
        <v>21.23</v>
      </c>
      <c r="V618" s="64">
        <v>31.46</v>
      </c>
      <c r="W618" s="91">
        <v>30.13</v>
      </c>
      <c r="X618" s="13">
        <f t="shared" si="9"/>
        <v>3.8257533009818268E-2</v>
      </c>
      <c r="Y618" s="13">
        <f t="shared" si="10"/>
        <v>8.5869565217391308E-3</v>
      </c>
      <c r="Z618" s="13">
        <f t="shared" si="11"/>
        <v>0.11143442181269525</v>
      </c>
      <c r="AA618" s="13">
        <f t="shared" si="12"/>
        <v>4.6543197905556166E-2</v>
      </c>
    </row>
    <row r="619" spans="1:27" x14ac:dyDescent="0.3">
      <c r="A619" s="4">
        <v>260127</v>
      </c>
      <c r="B619" s="20" t="s">
        <v>457</v>
      </c>
      <c r="C619" s="10" t="s">
        <v>23</v>
      </c>
      <c r="D619" s="10" t="s">
        <v>52</v>
      </c>
      <c r="F619" s="38">
        <v>4.6349810747716269</v>
      </c>
      <c r="G619" s="63">
        <v>58.74</v>
      </c>
      <c r="H619" s="63">
        <v>65.89</v>
      </c>
      <c r="I619" s="63">
        <v>39</v>
      </c>
      <c r="J619" s="63">
        <v>-31.39</v>
      </c>
      <c r="K619" s="63">
        <v>69.47</v>
      </c>
      <c r="L619" s="63">
        <v>73.5</v>
      </c>
      <c r="M619" s="64">
        <v>58.18</v>
      </c>
      <c r="N619" s="64">
        <v>4.32</v>
      </c>
      <c r="O619" s="63">
        <v>85.59</v>
      </c>
      <c r="P619" s="63">
        <v>89.31</v>
      </c>
      <c r="Q619" s="63">
        <v>70.38</v>
      </c>
      <c r="R619" s="64">
        <v>48.14</v>
      </c>
      <c r="S619" s="64">
        <v>126.4</v>
      </c>
      <c r="T619" s="64">
        <v>131.99</v>
      </c>
      <c r="U619" s="64">
        <v>112.94</v>
      </c>
      <c r="V619" s="63">
        <v>69.88</v>
      </c>
      <c r="W619" s="91">
        <v>146.85</v>
      </c>
      <c r="X619" s="13">
        <f t="shared" si="9"/>
        <v>0.12769649642461789</v>
      </c>
      <c r="Y619" s="13">
        <f t="shared" si="10"/>
        <v>0.11291820328460367</v>
      </c>
      <c r="Z619" s="13">
        <f t="shared" si="11"/>
        <v>5.182730588599882E-2</v>
      </c>
      <c r="AA619" s="13">
        <f t="shared" si="12"/>
        <v>4.6349810747716491E-2</v>
      </c>
    </row>
    <row r="620" spans="1:27" x14ac:dyDescent="0.3">
      <c r="A620" s="4">
        <v>260127</v>
      </c>
      <c r="B620" s="20" t="s">
        <v>432</v>
      </c>
      <c r="C620" s="10" t="s">
        <v>23</v>
      </c>
      <c r="D620" s="10" t="s">
        <v>29</v>
      </c>
      <c r="F620" s="38">
        <v>4.2094770740683796</v>
      </c>
      <c r="G620" s="63">
        <v>33.31</v>
      </c>
      <c r="H620" s="63">
        <v>25.96</v>
      </c>
      <c r="I620" s="63">
        <v>16.73</v>
      </c>
      <c r="J620" s="63">
        <v>34.119999999999997</v>
      </c>
      <c r="K620" s="63">
        <v>36.74</v>
      </c>
      <c r="L620" s="63">
        <v>29.94</v>
      </c>
      <c r="M620" s="64">
        <v>32.39</v>
      </c>
      <c r="N620" s="63">
        <v>26.96</v>
      </c>
      <c r="O620" s="63">
        <v>37.33</v>
      </c>
      <c r="P620" s="63">
        <v>27.9</v>
      </c>
      <c r="Q620" s="63">
        <v>31.67</v>
      </c>
      <c r="R620" s="63">
        <v>29.83</v>
      </c>
      <c r="S620" s="63">
        <v>33.18</v>
      </c>
      <c r="T620" s="63">
        <v>26.11</v>
      </c>
      <c r="U620" s="63">
        <v>30.57</v>
      </c>
      <c r="V620" s="63">
        <v>40.56</v>
      </c>
      <c r="W620" s="91">
        <v>38.67</v>
      </c>
      <c r="X620" s="13">
        <f t="shared" si="9"/>
        <v>-1.4602708435307643E-2</v>
      </c>
      <c r="Y620" s="13">
        <f t="shared" si="10"/>
        <v>-9.1067141319646217E-3</v>
      </c>
      <c r="Z620" s="13">
        <f t="shared" si="11"/>
        <v>8.9648257999833003E-2</v>
      </c>
      <c r="AA620" s="13">
        <f t="shared" si="12"/>
        <v>4.2094770740684018E-2</v>
      </c>
    </row>
    <row r="621" spans="1:27" x14ac:dyDescent="0.3">
      <c r="A621" s="4">
        <v>260127</v>
      </c>
      <c r="B621" s="20" t="s">
        <v>426</v>
      </c>
      <c r="C621" s="10" t="s">
        <v>23</v>
      </c>
      <c r="D621" s="10" t="s">
        <v>427</v>
      </c>
      <c r="F621" s="38">
        <v>3.4833335670513721</v>
      </c>
      <c r="G621" s="63">
        <v>17.11</v>
      </c>
      <c r="H621" s="63">
        <v>20.52</v>
      </c>
      <c r="I621" s="63">
        <v>29.77</v>
      </c>
      <c r="J621" s="63">
        <v>39.47</v>
      </c>
      <c r="K621" s="64">
        <v>58.66</v>
      </c>
      <c r="L621" s="64">
        <v>42.02</v>
      </c>
      <c r="M621" s="64">
        <v>73.88</v>
      </c>
      <c r="N621" s="64">
        <v>94.09</v>
      </c>
      <c r="O621" s="64">
        <v>148.47</v>
      </c>
      <c r="P621" s="64">
        <v>270.67</v>
      </c>
      <c r="Q621" s="64">
        <v>161.57</v>
      </c>
      <c r="R621" s="63">
        <v>135.65</v>
      </c>
      <c r="S621" s="63">
        <v>151.27000000000001</v>
      </c>
      <c r="T621" s="63">
        <v>190.61</v>
      </c>
      <c r="U621" s="63">
        <v>187.31</v>
      </c>
      <c r="V621" s="63">
        <v>183.92</v>
      </c>
      <c r="W621" s="91">
        <v>176.11</v>
      </c>
      <c r="X621" s="13">
        <f t="shared" si="9"/>
        <v>-0.11132432282106897</v>
      </c>
      <c r="Y621" s="13">
        <f t="shared" si="10"/>
        <v>4.0275387263339013E-2</v>
      </c>
      <c r="Z621" s="13">
        <f t="shared" si="11"/>
        <v>7.2603934781300783E-2</v>
      </c>
      <c r="AA621" s="13">
        <f t="shared" si="12"/>
        <v>3.4833335670513721E-2</v>
      </c>
    </row>
    <row r="622" spans="1:27" x14ac:dyDescent="0.3">
      <c r="A622" s="4">
        <v>260127</v>
      </c>
      <c r="B622" s="20" t="s">
        <v>450</v>
      </c>
      <c r="C622" s="10" t="s">
        <v>23</v>
      </c>
      <c r="D622" s="10" t="s">
        <v>29</v>
      </c>
      <c r="F622" s="38">
        <v>3.258322484656873</v>
      </c>
      <c r="G622" s="63">
        <v>31.2</v>
      </c>
      <c r="H622" s="63">
        <v>33.909999999999997</v>
      </c>
      <c r="I622" s="63">
        <v>41.01</v>
      </c>
      <c r="J622" s="63">
        <v>50.42</v>
      </c>
      <c r="K622" s="63">
        <v>-51.59</v>
      </c>
      <c r="L622" s="64">
        <v>56.08</v>
      </c>
      <c r="M622" s="63">
        <v>47.66</v>
      </c>
      <c r="N622" s="63">
        <v>36.840000000000003</v>
      </c>
      <c r="O622" s="64">
        <v>40.46</v>
      </c>
      <c r="P622" s="63">
        <v>45.01</v>
      </c>
      <c r="Q622" s="63">
        <v>-138.31</v>
      </c>
      <c r="R622" s="63">
        <v>62.46</v>
      </c>
      <c r="S622" s="64">
        <v>64.91</v>
      </c>
      <c r="T622" s="64">
        <v>65.33</v>
      </c>
      <c r="U622" s="64">
        <v>68.86</v>
      </c>
      <c r="V622" s="63">
        <v>69.75</v>
      </c>
      <c r="W622" s="91">
        <v>73.67</v>
      </c>
      <c r="X622" s="13">
        <f t="shared" si="9"/>
        <v>0.59641913707073746</v>
      </c>
      <c r="Y622" s="13">
        <f t="shared" si="10"/>
        <v>3.8089722375436663</v>
      </c>
      <c r="Z622" s="13">
        <f t="shared" si="11"/>
        <v>2.787123413365955E-2</v>
      </c>
      <c r="AA622" s="13">
        <f t="shared" si="12"/>
        <v>3.2583224846568726E-2</v>
      </c>
    </row>
    <row r="623" spans="1:27" x14ac:dyDescent="0.3">
      <c r="A623" s="4">
        <v>260127</v>
      </c>
      <c r="B623" s="20" t="s">
        <v>446</v>
      </c>
      <c r="C623" s="10" t="s">
        <v>23</v>
      </c>
      <c r="D623" s="10" t="s">
        <v>115</v>
      </c>
      <c r="F623" s="38">
        <v>2.9284464499493179</v>
      </c>
      <c r="G623" s="63">
        <v>354.9</v>
      </c>
      <c r="H623" s="63">
        <v>355.9</v>
      </c>
      <c r="I623" s="63">
        <v>362.9</v>
      </c>
      <c r="J623" s="63">
        <v>393.2</v>
      </c>
      <c r="K623" s="63">
        <v>412.5</v>
      </c>
      <c r="L623" s="63">
        <v>401</v>
      </c>
      <c r="M623" s="63">
        <v>435.3</v>
      </c>
      <c r="N623" s="63">
        <v>446.1</v>
      </c>
      <c r="O623" s="63">
        <v>462.8</v>
      </c>
      <c r="P623" s="63">
        <v>481.3</v>
      </c>
      <c r="Q623" s="63">
        <v>494.2</v>
      </c>
      <c r="R623" s="63">
        <v>496.6</v>
      </c>
      <c r="S623" s="63">
        <v>524.70000000000005</v>
      </c>
      <c r="T623" s="63">
        <v>525.79999999999995</v>
      </c>
      <c r="U623" s="63">
        <v>548.29999999999995</v>
      </c>
      <c r="V623" s="63">
        <v>573</v>
      </c>
      <c r="W623" s="91">
        <v>588.29999999999995</v>
      </c>
      <c r="X623" s="13">
        <f t="shared" si="9"/>
        <v>2.2285657051282159E-2</v>
      </c>
      <c r="Y623" s="13">
        <f t="shared" si="10"/>
        <v>2.6502718855631047E-2</v>
      </c>
      <c r="Z623" s="13">
        <f t="shared" si="11"/>
        <v>3.646081893671882E-2</v>
      </c>
      <c r="AA623" s="13">
        <f t="shared" si="12"/>
        <v>2.9284464499493179E-2</v>
      </c>
    </row>
    <row r="624" spans="1:27" x14ac:dyDescent="0.3">
      <c r="A624" s="4">
        <v>260127</v>
      </c>
      <c r="B624" s="20" t="s">
        <v>458</v>
      </c>
      <c r="C624" s="10" t="s">
        <v>23</v>
      </c>
      <c r="D624" s="10" t="s">
        <v>459</v>
      </c>
      <c r="F624" s="38">
        <v>2.8539499699131721</v>
      </c>
      <c r="G624" s="63">
        <v>2386</v>
      </c>
      <c r="H624" s="63">
        <v>2201</v>
      </c>
      <c r="I624" s="63">
        <v>2296</v>
      </c>
      <c r="J624" s="63">
        <v>2143</v>
      </c>
      <c r="K624" s="63">
        <v>2413</v>
      </c>
      <c r="L624" s="63">
        <v>2434</v>
      </c>
      <c r="M624" s="63">
        <v>2300</v>
      </c>
      <c r="N624" s="63">
        <v>2092</v>
      </c>
      <c r="O624" s="63">
        <v>2800</v>
      </c>
      <c r="P624" s="63">
        <v>2560</v>
      </c>
      <c r="Q624" s="63">
        <v>2731</v>
      </c>
      <c r="R624" s="63">
        <v>2410</v>
      </c>
      <c r="S624" s="63">
        <v>2846</v>
      </c>
      <c r="T624" s="63">
        <v>2855</v>
      </c>
      <c r="U624" s="63">
        <v>2967</v>
      </c>
      <c r="V624" s="63">
        <v>2965</v>
      </c>
      <c r="W624" s="91">
        <v>3178</v>
      </c>
      <c r="X624" s="13">
        <f t="shared" si="9"/>
        <v>2.7970038873613268E-2</v>
      </c>
      <c r="Y624" s="13">
        <f t="shared" si="10"/>
        <v>2.1767201623316801E-2</v>
      </c>
      <c r="Z624" s="13">
        <f t="shared" si="11"/>
        <v>5.0099295901787411E-2</v>
      </c>
      <c r="AA624" s="13">
        <f t="shared" si="12"/>
        <v>2.8539499699131721E-2</v>
      </c>
    </row>
    <row r="625" spans="1:27" x14ac:dyDescent="0.3">
      <c r="A625" s="4">
        <v>260127</v>
      </c>
      <c r="B625" s="20" t="s">
        <v>462</v>
      </c>
      <c r="C625" s="10" t="s">
        <v>23</v>
      </c>
      <c r="D625" s="10" t="s">
        <v>29</v>
      </c>
      <c r="F625" s="38">
        <v>2.7870955011839</v>
      </c>
      <c r="G625" s="63">
        <v>115.26</v>
      </c>
      <c r="H625" s="63">
        <v>125.63</v>
      </c>
      <c r="I625" s="63">
        <v>108.8</v>
      </c>
      <c r="J625" s="63">
        <v>106.63</v>
      </c>
      <c r="K625" s="63">
        <v>106.53</v>
      </c>
      <c r="L625" s="63">
        <v>102.63</v>
      </c>
      <c r="M625" s="63">
        <v>100.94</v>
      </c>
      <c r="N625" s="63">
        <v>108.99</v>
      </c>
      <c r="O625" s="63">
        <v>84.87</v>
      </c>
      <c r="P625" s="63">
        <v>97.41</v>
      </c>
      <c r="Q625" s="63">
        <v>101.38</v>
      </c>
      <c r="R625" s="63">
        <v>96.39</v>
      </c>
      <c r="S625" s="63">
        <v>96.03</v>
      </c>
      <c r="T625" s="63">
        <v>100.3</v>
      </c>
      <c r="U625" s="63">
        <v>102.89</v>
      </c>
      <c r="V625" s="63">
        <v>106.22</v>
      </c>
      <c r="W625" s="91">
        <v>107.33</v>
      </c>
      <c r="X625" s="13">
        <f t="shared" si="9"/>
        <v>7.3873367245211874E-3</v>
      </c>
      <c r="Y625" s="13">
        <f t="shared" si="10"/>
        <v>3.8315148439482805E-3</v>
      </c>
      <c r="Z625" s="13">
        <f t="shared" si="11"/>
        <v>2.4847703546421851E-2</v>
      </c>
      <c r="AA625" s="13">
        <f t="shared" si="12"/>
        <v>2.7870955011839005E-2</v>
      </c>
    </row>
    <row r="626" spans="1:27" x14ac:dyDescent="0.3">
      <c r="A626" s="4">
        <v>260127</v>
      </c>
      <c r="B626" s="20" t="s">
        <v>440</v>
      </c>
      <c r="C626" s="10" t="s">
        <v>23</v>
      </c>
      <c r="D626" s="10" t="s">
        <v>29</v>
      </c>
      <c r="F626" s="38">
        <v>2.7535258562793712</v>
      </c>
      <c r="G626" s="63">
        <v>56.6</v>
      </c>
      <c r="H626" s="63">
        <v>59.83</v>
      </c>
      <c r="I626" s="63">
        <v>50.78</v>
      </c>
      <c r="J626" s="63">
        <v>62.4</v>
      </c>
      <c r="K626" s="63">
        <v>67.31</v>
      </c>
      <c r="L626" s="63">
        <v>6.97</v>
      </c>
      <c r="M626" s="63">
        <v>61.47</v>
      </c>
      <c r="N626" s="63">
        <v>55.99</v>
      </c>
      <c r="O626" s="63">
        <v>43.8</v>
      </c>
      <c r="P626" s="64">
        <v>53.04</v>
      </c>
      <c r="Q626" s="63">
        <v>62.09</v>
      </c>
      <c r="R626" s="63">
        <v>57.03</v>
      </c>
      <c r="S626" s="63">
        <v>64.540000000000006</v>
      </c>
      <c r="T626" s="63">
        <v>64.27</v>
      </c>
      <c r="U626" s="63">
        <v>66.040000000000006</v>
      </c>
      <c r="V626" s="63">
        <v>73.17</v>
      </c>
      <c r="W626" s="91">
        <v>71.92</v>
      </c>
      <c r="X626" s="13">
        <f t="shared" si="9"/>
        <v>4.7444021968736871E-2</v>
      </c>
      <c r="Y626" s="13">
        <f t="shared" si="10"/>
        <v>1.5931916266688217E-2</v>
      </c>
      <c r="Z626" s="13">
        <f t="shared" si="11"/>
        <v>6.4078132444021163E-2</v>
      </c>
      <c r="AA626" s="13">
        <f t="shared" si="12"/>
        <v>2.7535258562793707E-2</v>
      </c>
    </row>
    <row r="627" spans="1:27" x14ac:dyDescent="0.3">
      <c r="A627" s="4">
        <v>260127</v>
      </c>
      <c r="B627" s="20" t="s">
        <v>461</v>
      </c>
      <c r="C627" s="10" t="s">
        <v>23</v>
      </c>
      <c r="D627" s="10" t="s">
        <v>115</v>
      </c>
      <c r="F627" s="38">
        <v>2.2863758049345368</v>
      </c>
      <c r="G627" s="63">
        <v>27.14</v>
      </c>
      <c r="H627" s="63">
        <v>33.97</v>
      </c>
      <c r="I627" s="63">
        <v>37.25</v>
      </c>
      <c r="J627" s="63">
        <v>36.770000000000003</v>
      </c>
      <c r="K627" s="64">
        <v>44.71</v>
      </c>
      <c r="L627" s="63">
        <v>47.09</v>
      </c>
      <c r="M627" s="63">
        <v>50.48</v>
      </c>
      <c r="N627" s="63">
        <v>53.45</v>
      </c>
      <c r="O627" s="63">
        <v>58.87</v>
      </c>
      <c r="P627" s="63">
        <v>57.63</v>
      </c>
      <c r="Q627" s="63">
        <v>68.19</v>
      </c>
      <c r="R627" s="63">
        <v>75.09</v>
      </c>
      <c r="S627" s="63">
        <v>60.69</v>
      </c>
      <c r="T627" s="63">
        <v>66.099999999999994</v>
      </c>
      <c r="U627" s="63">
        <v>73.8</v>
      </c>
      <c r="V627" s="63">
        <v>75.83</v>
      </c>
      <c r="W627" s="91">
        <v>67.010000000000005</v>
      </c>
      <c r="X627" s="13">
        <f t="shared" si="9"/>
        <v>3.2377675840978393E-2</v>
      </c>
      <c r="Y627" s="13">
        <f t="shared" si="10"/>
        <v>2.0772392342726098E-2</v>
      </c>
      <c r="Z627" s="13">
        <f t="shared" si="11"/>
        <v>2.6842716192685412E-3</v>
      </c>
      <c r="AA627" s="13">
        <f t="shared" si="12"/>
        <v>2.2863758049345151E-2</v>
      </c>
    </row>
    <row r="628" spans="1:27" x14ac:dyDescent="0.3">
      <c r="A628" s="4">
        <v>260127</v>
      </c>
      <c r="B628" s="20" t="s">
        <v>444</v>
      </c>
      <c r="C628" s="10" t="s">
        <v>23</v>
      </c>
      <c r="D628" s="10" t="s">
        <v>445</v>
      </c>
      <c r="F628" s="38">
        <v>1.79461615154537</v>
      </c>
      <c r="G628" s="63">
        <v>2491</v>
      </c>
      <c r="H628" s="63">
        <v>2626</v>
      </c>
      <c r="I628" s="63">
        <v>2769</v>
      </c>
      <c r="J628" s="63">
        <v>2737</v>
      </c>
      <c r="K628" s="63">
        <v>2220</v>
      </c>
      <c r="L628" s="63">
        <v>1930</v>
      </c>
      <c r="M628" s="63">
        <v>1968</v>
      </c>
      <c r="N628" s="63">
        <v>1887</v>
      </c>
      <c r="O628" s="63">
        <v>1530</v>
      </c>
      <c r="P628" s="63">
        <v>1159</v>
      </c>
      <c r="Q628" s="63">
        <v>1244</v>
      </c>
      <c r="R628" s="63">
        <v>1550</v>
      </c>
      <c r="S628" s="63">
        <v>1397</v>
      </c>
      <c r="T628" s="63">
        <v>1321</v>
      </c>
      <c r="U628" s="63">
        <v>1558</v>
      </c>
      <c r="V628" s="63">
        <v>1742</v>
      </c>
      <c r="W628" s="91">
        <v>1505</v>
      </c>
      <c r="X628" s="13">
        <f t="shared" si="9"/>
        <v>3.028037383177562E-2</v>
      </c>
      <c r="Y628" s="13">
        <f t="shared" si="10"/>
        <v>5.6966618287372928E-2</v>
      </c>
      <c r="Z628" s="13">
        <f t="shared" si="11"/>
        <v>3.2955715756951554E-2</v>
      </c>
      <c r="AA628" s="13">
        <f t="shared" si="12"/>
        <v>1.7946161515453696E-2</v>
      </c>
    </row>
    <row r="629" spans="1:27" x14ac:dyDescent="0.3">
      <c r="A629" s="4">
        <v>260127</v>
      </c>
      <c r="B629" s="20" t="s">
        <v>465</v>
      </c>
      <c r="C629" s="10" t="s">
        <v>23</v>
      </c>
      <c r="D629" s="10" t="s">
        <v>29</v>
      </c>
      <c r="F629" s="38">
        <v>1.5155279503105581</v>
      </c>
      <c r="G629" s="63">
        <v>9.18</v>
      </c>
      <c r="H629" s="63">
        <v>11.28</v>
      </c>
      <c r="I629" s="63">
        <v>7.22</v>
      </c>
      <c r="J629" s="63">
        <v>12.06</v>
      </c>
      <c r="K629" s="63">
        <v>10.51</v>
      </c>
      <c r="L629" s="64">
        <v>17.38</v>
      </c>
      <c r="M629" s="64">
        <v>17.62</v>
      </c>
      <c r="N629" s="63">
        <v>14.51</v>
      </c>
      <c r="O629" s="63">
        <v>14.35</v>
      </c>
      <c r="P629" s="63">
        <v>15.36</v>
      </c>
      <c r="Q629" s="63">
        <v>17.23</v>
      </c>
      <c r="R629" s="63">
        <v>15.6</v>
      </c>
      <c r="S629" s="63">
        <v>17.38</v>
      </c>
      <c r="T629" s="64">
        <v>21.99</v>
      </c>
      <c r="U629" s="63">
        <v>20.04</v>
      </c>
      <c r="V629" s="63">
        <v>21.09</v>
      </c>
      <c r="W629" s="91">
        <v>18.600000000000001</v>
      </c>
      <c r="X629" s="13">
        <f t="shared" si="9"/>
        <v>0.10111331401555557</v>
      </c>
      <c r="Y629" s="13">
        <f t="shared" si="10"/>
        <v>3.8919667590027629E-2</v>
      </c>
      <c r="Z629" s="13">
        <f t="shared" si="11"/>
        <v>7.3190241301160031E-2</v>
      </c>
      <c r="AA629" s="13">
        <f t="shared" si="12"/>
        <v>1.5155279503105579E-2</v>
      </c>
    </row>
    <row r="630" spans="1:27" x14ac:dyDescent="0.3">
      <c r="A630" s="4">
        <v>260127</v>
      </c>
      <c r="B630" s="20" t="s">
        <v>453</v>
      </c>
      <c r="C630" s="10" t="s">
        <v>23</v>
      </c>
      <c r="D630" s="10" t="s">
        <v>454</v>
      </c>
      <c r="F630" s="38">
        <v>0.46269295073679828</v>
      </c>
      <c r="G630" s="63">
        <v>78.02</v>
      </c>
      <c r="H630" s="63">
        <v>95.69</v>
      </c>
      <c r="I630" s="63">
        <v>109.07</v>
      </c>
      <c r="J630" s="63">
        <v>106.39</v>
      </c>
      <c r="K630" s="63">
        <v>111.72</v>
      </c>
      <c r="L630" s="63">
        <v>126.84</v>
      </c>
      <c r="M630" s="63">
        <v>127.92</v>
      </c>
      <c r="N630" s="63">
        <v>120.65</v>
      </c>
      <c r="O630" s="63">
        <v>114.57</v>
      </c>
      <c r="P630" s="63">
        <v>121.18</v>
      </c>
      <c r="Q630" s="63">
        <v>139.31</v>
      </c>
      <c r="R630" s="63">
        <v>113.14</v>
      </c>
      <c r="S630" s="63">
        <v>120.83</v>
      </c>
      <c r="T630" s="63">
        <v>129.5</v>
      </c>
      <c r="U630" s="63">
        <v>135.05000000000001</v>
      </c>
      <c r="V630" s="63">
        <v>129</v>
      </c>
      <c r="W630" s="91">
        <v>123.21</v>
      </c>
      <c r="X630" s="13">
        <f t="shared" si="9"/>
        <v>1.6826436921085541E-2</v>
      </c>
      <c r="Y630" s="13">
        <f t="shared" si="10"/>
        <v>-8.4728907275546383E-3</v>
      </c>
      <c r="Z630" s="13">
        <f t="shared" si="11"/>
        <v>3.1814169943031212E-2</v>
      </c>
      <c r="AA630" s="13">
        <f t="shared" si="12"/>
        <v>4.6269295073679828E-3</v>
      </c>
    </row>
    <row r="631" spans="1:27" x14ac:dyDescent="0.3">
      <c r="A631" s="4">
        <v>260127</v>
      </c>
      <c r="B631" s="20" t="s">
        <v>463</v>
      </c>
      <c r="C631" s="10" t="s">
        <v>23</v>
      </c>
      <c r="D631" s="10" t="s">
        <v>41</v>
      </c>
      <c r="F631" s="38">
        <v>-0.1388888888888884</v>
      </c>
      <c r="G631" s="63">
        <v>0</v>
      </c>
      <c r="H631" s="63">
        <v>376</v>
      </c>
      <c r="I631" s="63">
        <v>503</v>
      </c>
      <c r="J631" s="63">
        <v>476</v>
      </c>
      <c r="K631" s="64">
        <v>363</v>
      </c>
      <c r="L631" s="64">
        <v>567</v>
      </c>
      <c r="M631" s="63">
        <v>687</v>
      </c>
      <c r="N631" s="63">
        <v>584</v>
      </c>
      <c r="O631" s="63">
        <v>0</v>
      </c>
      <c r="P631" s="63">
        <v>566</v>
      </c>
      <c r="Q631" s="63">
        <v>686</v>
      </c>
      <c r="R631" s="63">
        <v>575</v>
      </c>
      <c r="S631" s="64">
        <v>453</v>
      </c>
      <c r="T631" s="63">
        <v>490</v>
      </c>
      <c r="U631" s="63">
        <v>639</v>
      </c>
      <c r="V631" s="63">
        <v>578</v>
      </c>
      <c r="W631" s="91">
        <v>450</v>
      </c>
      <c r="X631" s="13">
        <f t="shared" si="9"/>
        <v>-3.3333333333333326E-2</v>
      </c>
      <c r="Y631" s="13">
        <f t="shared" si="10"/>
        <v>-2.1324863883847578E-2</v>
      </c>
      <c r="Z631" s="13">
        <f t="shared" si="11"/>
        <v>1.3908205841446364E-3</v>
      </c>
      <c r="AA631" s="13">
        <f t="shared" si="12"/>
        <v>-1.388888888888884E-3</v>
      </c>
    </row>
    <row r="632" spans="1:27" x14ac:dyDescent="0.3">
      <c r="A632" s="4">
        <v>260127</v>
      </c>
      <c r="B632" s="20" t="s">
        <v>456</v>
      </c>
      <c r="C632" s="10" t="s">
        <v>23</v>
      </c>
      <c r="D632" s="10" t="s">
        <v>24</v>
      </c>
      <c r="F632" s="38">
        <v>-0.2855554432427132</v>
      </c>
      <c r="G632" s="63">
        <v>128.24</v>
      </c>
      <c r="H632" s="63">
        <v>74.650000000000006</v>
      </c>
      <c r="I632" s="63">
        <v>107.46</v>
      </c>
      <c r="J632" s="63">
        <v>107.53</v>
      </c>
      <c r="K632" s="63">
        <v>99.95</v>
      </c>
      <c r="L632" s="63">
        <v>106.05</v>
      </c>
      <c r="M632" s="64">
        <v>160.22</v>
      </c>
      <c r="N632" s="64">
        <v>171.74</v>
      </c>
      <c r="O632" s="64">
        <v>172.99</v>
      </c>
      <c r="P632" s="63">
        <v>140.05000000000001</v>
      </c>
      <c r="Q632" s="63">
        <v>163.18</v>
      </c>
      <c r="R632" s="63">
        <v>191.03</v>
      </c>
      <c r="S632" s="63">
        <v>216.4</v>
      </c>
      <c r="T632" s="63">
        <v>158.9</v>
      </c>
      <c r="U632" s="63">
        <v>196.32</v>
      </c>
      <c r="V632" s="63">
        <v>219.82</v>
      </c>
      <c r="W632" s="91">
        <v>214.14</v>
      </c>
      <c r="X632" s="13">
        <f t="shared" si="9"/>
        <v>2.6524639067908806E-2</v>
      </c>
      <c r="Y632" s="13">
        <f t="shared" si="10"/>
        <v>4.5427752875217831E-2</v>
      </c>
      <c r="Z632" s="13">
        <f t="shared" si="11"/>
        <v>3.7749950829345069E-2</v>
      </c>
      <c r="AA632" s="13">
        <f t="shared" si="12"/>
        <v>-2.855554432427132E-3</v>
      </c>
    </row>
    <row r="633" spans="1:27" x14ac:dyDescent="0.3">
      <c r="A633" s="4">
        <v>260127</v>
      </c>
      <c r="B633" s="20" t="s">
        <v>464</v>
      </c>
      <c r="C633" s="10" t="s">
        <v>23</v>
      </c>
      <c r="D633" s="10" t="s">
        <v>99</v>
      </c>
      <c r="F633" s="38">
        <v>-0.45239121068505472</v>
      </c>
      <c r="G633" s="63">
        <v>1047</v>
      </c>
      <c r="H633" s="63">
        <v>1233</v>
      </c>
      <c r="I633" s="63">
        <v>1066</v>
      </c>
      <c r="J633" s="63">
        <v>922</v>
      </c>
      <c r="K633" s="63">
        <v>741</v>
      </c>
      <c r="L633" s="63">
        <v>790</v>
      </c>
      <c r="M633" s="63">
        <v>742</v>
      </c>
      <c r="N633" s="63">
        <v>833</v>
      </c>
      <c r="O633" s="63">
        <v>539</v>
      </c>
      <c r="P633" s="64">
        <v>1708</v>
      </c>
      <c r="Q633" s="63">
        <v>844</v>
      </c>
      <c r="R633" s="63">
        <v>1028</v>
      </c>
      <c r="S633" s="64">
        <v>973</v>
      </c>
      <c r="T633" s="63">
        <v>984</v>
      </c>
      <c r="U633" s="64">
        <v>1256</v>
      </c>
      <c r="V633" s="63">
        <v>1429</v>
      </c>
      <c r="W633" s="91">
        <v>952</v>
      </c>
      <c r="X633" s="13">
        <f t="shared" si="9"/>
        <v>-0.15901603338458159</v>
      </c>
      <c r="Y633" s="13">
        <f t="shared" si="10"/>
        <v>0.107599895534082</v>
      </c>
      <c r="Z633" s="13">
        <f t="shared" si="11"/>
        <v>9.4553171421834392E-2</v>
      </c>
      <c r="AA633" s="13">
        <f t="shared" si="12"/>
        <v>-4.5239121068505472E-3</v>
      </c>
    </row>
    <row r="634" spans="1:27" x14ac:dyDescent="0.3">
      <c r="A634" s="4">
        <v>260127</v>
      </c>
      <c r="B634" s="20" t="s">
        <v>455</v>
      </c>
      <c r="C634" s="10" t="s">
        <v>23</v>
      </c>
      <c r="D634" s="10" t="s">
        <v>29</v>
      </c>
      <c r="F634" s="38">
        <v>-0.55135475740392126</v>
      </c>
      <c r="G634" s="63">
        <v>13.59</v>
      </c>
      <c r="H634" s="63">
        <v>12.4</v>
      </c>
      <c r="I634" s="63">
        <v>14.64</v>
      </c>
      <c r="J634" s="63">
        <v>17.46</v>
      </c>
      <c r="K634" s="63">
        <v>15.66</v>
      </c>
      <c r="L634" s="63">
        <v>15.44</v>
      </c>
      <c r="M634" s="63">
        <v>12.87</v>
      </c>
      <c r="N634" s="63">
        <v>18.95</v>
      </c>
      <c r="O634" s="63">
        <v>14.72</v>
      </c>
      <c r="P634" s="63">
        <v>16.489999999999998</v>
      </c>
      <c r="Q634" s="63">
        <v>16.21</v>
      </c>
      <c r="R634" s="63">
        <v>16.510000000000002</v>
      </c>
      <c r="S634" s="63">
        <v>16.48</v>
      </c>
      <c r="T634" s="63">
        <v>15.26</v>
      </c>
      <c r="U634" s="63">
        <v>15.83</v>
      </c>
      <c r="V634" s="63">
        <v>15.91</v>
      </c>
      <c r="W634" s="91">
        <v>16.13</v>
      </c>
      <c r="X634" s="13">
        <f t="shared" si="9"/>
        <v>-1.8724311158471618E-2</v>
      </c>
      <c r="Y634" s="13">
        <f t="shared" si="10"/>
        <v>-5.8951287620231385E-3</v>
      </c>
      <c r="Z634" s="13">
        <f t="shared" si="11"/>
        <v>-9.3632958801497246E-3</v>
      </c>
      <c r="AA634" s="13">
        <f t="shared" si="12"/>
        <v>-5.5135475740392126E-3</v>
      </c>
    </row>
    <row r="635" spans="1:27" x14ac:dyDescent="0.3">
      <c r="A635" s="4">
        <v>260127</v>
      </c>
      <c r="B635" s="20" t="s">
        <v>466</v>
      </c>
      <c r="C635" s="10" t="s">
        <v>23</v>
      </c>
      <c r="D635" s="10" t="s">
        <v>50</v>
      </c>
      <c r="F635" s="38">
        <v>-0.56956059603313625</v>
      </c>
      <c r="G635" s="63">
        <v>252.74</v>
      </c>
      <c r="H635" s="63">
        <v>257.72000000000003</v>
      </c>
      <c r="I635" s="63">
        <v>273.17</v>
      </c>
      <c r="J635" s="63">
        <v>269.27999999999997</v>
      </c>
      <c r="K635" s="63">
        <v>255.8</v>
      </c>
      <c r="L635" s="63">
        <v>228.44</v>
      </c>
      <c r="M635" s="63">
        <v>266.93</v>
      </c>
      <c r="N635" s="63">
        <v>267.08999999999997</v>
      </c>
      <c r="O635" s="63">
        <v>252.49</v>
      </c>
      <c r="P635" s="63">
        <v>248.69</v>
      </c>
      <c r="Q635" s="63">
        <v>248.49</v>
      </c>
      <c r="R635" s="63">
        <v>252.1</v>
      </c>
      <c r="S635" s="63">
        <v>260.14999999999998</v>
      </c>
      <c r="T635" s="63">
        <v>242.62</v>
      </c>
      <c r="U635" s="63">
        <v>248.54</v>
      </c>
      <c r="V635" s="63">
        <v>245.95</v>
      </c>
      <c r="W635" s="91">
        <v>254.47</v>
      </c>
      <c r="X635" s="13">
        <f t="shared" si="9"/>
        <v>-6.0132946316237001E-3</v>
      </c>
      <c r="Y635" s="13">
        <f t="shared" si="10"/>
        <v>4.9832562589724461E-5</v>
      </c>
      <c r="Z635" s="13">
        <f t="shared" si="11"/>
        <v>-6.1290997697850402E-3</v>
      </c>
      <c r="AA635" s="13">
        <f t="shared" si="12"/>
        <v>-5.6956059603313625E-3</v>
      </c>
    </row>
    <row r="636" spans="1:27" x14ac:dyDescent="0.3">
      <c r="A636" s="4">
        <v>260127</v>
      </c>
      <c r="B636" s="20" t="s">
        <v>468</v>
      </c>
      <c r="C636" s="10" t="s">
        <v>23</v>
      </c>
      <c r="D636" s="10" t="s">
        <v>124</v>
      </c>
      <c r="F636" s="38">
        <v>-1.3668562306694549</v>
      </c>
      <c r="G636" s="63">
        <v>2447</v>
      </c>
      <c r="H636" s="63">
        <v>2397</v>
      </c>
      <c r="I636" s="63">
        <v>2516</v>
      </c>
      <c r="J636" s="63">
        <v>2655</v>
      </c>
      <c r="K636" s="63">
        <v>2433</v>
      </c>
      <c r="L636" s="63">
        <v>2308</v>
      </c>
      <c r="M636" s="63">
        <v>2218</v>
      </c>
      <c r="N636" s="63">
        <v>2189</v>
      </c>
      <c r="O636" s="63">
        <v>2419</v>
      </c>
      <c r="P636" s="63">
        <v>2387</v>
      </c>
      <c r="Q636" s="63">
        <v>2369</v>
      </c>
      <c r="R636" s="63">
        <v>2428</v>
      </c>
      <c r="S636" s="63">
        <v>2538</v>
      </c>
      <c r="T636" s="63">
        <v>2384</v>
      </c>
      <c r="U636" s="63">
        <v>2539</v>
      </c>
      <c r="V636" s="63">
        <v>2562</v>
      </c>
      <c r="W636" s="91">
        <v>2401</v>
      </c>
      <c r="X636" s="13">
        <f t="shared" si="9"/>
        <v>-3.0857848179388636E-4</v>
      </c>
      <c r="Y636" s="13">
        <f t="shared" si="10"/>
        <v>1.7491511472373711E-2</v>
      </c>
      <c r="Z636" s="13">
        <f t="shared" si="11"/>
        <v>1.3550409545960207E-2</v>
      </c>
      <c r="AA636" s="13">
        <f t="shared" si="12"/>
        <v>-1.3668562306694554E-2</v>
      </c>
    </row>
    <row r="637" spans="1:27" x14ac:dyDescent="0.3">
      <c r="A637" s="4">
        <v>260127</v>
      </c>
      <c r="B637" s="20" t="s">
        <v>475</v>
      </c>
      <c r="C637" s="10" t="s">
        <v>23</v>
      </c>
      <c r="D637" s="10" t="s">
        <v>476</v>
      </c>
      <c r="F637" s="38">
        <v>-3.8447319778188489</v>
      </c>
      <c r="G637" s="63">
        <v>610</v>
      </c>
      <c r="H637" s="63">
        <v>663</v>
      </c>
      <c r="I637" s="63">
        <v>622</v>
      </c>
      <c r="J637" s="63">
        <v>668</v>
      </c>
      <c r="K637" s="63">
        <v>619</v>
      </c>
      <c r="L637" s="63">
        <v>779</v>
      </c>
      <c r="M637" s="63">
        <v>684</v>
      </c>
      <c r="N637" s="63">
        <v>786</v>
      </c>
      <c r="O637" s="63">
        <v>582</v>
      </c>
      <c r="P637" s="63">
        <v>783</v>
      </c>
      <c r="Q637" s="63">
        <v>738</v>
      </c>
      <c r="R637" s="63">
        <v>627</v>
      </c>
      <c r="S637" s="63">
        <v>655</v>
      </c>
      <c r="T637" s="63">
        <v>682</v>
      </c>
      <c r="U637" s="63">
        <v>675</v>
      </c>
      <c r="V637" s="63">
        <v>693</v>
      </c>
      <c r="W637" s="91">
        <v>551</v>
      </c>
      <c r="X637" s="13">
        <f t="shared" si="9"/>
        <v>-3.6032821976453855E-2</v>
      </c>
      <c r="Y637" s="13">
        <f t="shared" si="10"/>
        <v>-2.3316062176165775E-2</v>
      </c>
      <c r="Z637" s="13">
        <f t="shared" si="11"/>
        <v>2.5009473285335426E-2</v>
      </c>
      <c r="AA637" s="13">
        <f t="shared" si="12"/>
        <v>-3.8447319778188493E-2</v>
      </c>
    </row>
    <row r="638" spans="1:27" x14ac:dyDescent="0.3">
      <c r="A638" s="4">
        <v>260127</v>
      </c>
      <c r="B638" s="20" t="s">
        <v>472</v>
      </c>
      <c r="C638" s="10" t="s">
        <v>23</v>
      </c>
      <c r="D638" s="10" t="s">
        <v>29</v>
      </c>
      <c r="F638" s="38">
        <v>-10.477657935285039</v>
      </c>
      <c r="G638" s="63">
        <v>28.06</v>
      </c>
      <c r="H638" s="63">
        <v>21.96</v>
      </c>
      <c r="I638" s="63">
        <v>24.72</v>
      </c>
      <c r="J638" s="63">
        <v>19.829999999999998</v>
      </c>
      <c r="K638" s="63">
        <v>19.670000000000002</v>
      </c>
      <c r="L638" s="64">
        <v>50.36</v>
      </c>
      <c r="M638" s="64">
        <v>40.93</v>
      </c>
      <c r="N638" s="64">
        <v>45.41</v>
      </c>
      <c r="O638" s="64">
        <v>38.9</v>
      </c>
      <c r="P638" s="63">
        <v>38.89</v>
      </c>
      <c r="Q638" s="63">
        <v>31.75</v>
      </c>
      <c r="R638" s="63">
        <v>39.880000000000003</v>
      </c>
      <c r="S638" s="63">
        <v>34.729999999999997</v>
      </c>
      <c r="T638" s="63">
        <v>29.85</v>
      </c>
      <c r="U638" s="63">
        <v>41.54</v>
      </c>
      <c r="V638" s="63">
        <v>43.15</v>
      </c>
      <c r="W638" s="91">
        <v>19.09</v>
      </c>
      <c r="X638" s="13">
        <f t="shared" si="9"/>
        <v>-6.2237521514630134E-2</v>
      </c>
      <c r="Y638" s="13">
        <f t="shared" si="10"/>
        <v>7.1874311724543061E-2</v>
      </c>
      <c r="Z638" s="13">
        <f t="shared" si="11"/>
        <v>2.2397260273972597E-2</v>
      </c>
      <c r="AA638" s="13">
        <f t="shared" si="12"/>
        <v>-0.10477657935285067</v>
      </c>
    </row>
    <row r="639" spans="1:27" x14ac:dyDescent="0.3">
      <c r="A639" s="4">
        <v>260127</v>
      </c>
      <c r="B639" s="20" t="s">
        <v>477</v>
      </c>
      <c r="C639" s="10" t="s">
        <v>23</v>
      </c>
      <c r="D639" s="10" t="s">
        <v>443</v>
      </c>
      <c r="F639" s="38">
        <v>-10.729215048769159</v>
      </c>
      <c r="G639" s="63">
        <v>192.6</v>
      </c>
      <c r="H639" s="63">
        <v>206.7</v>
      </c>
      <c r="I639" s="63">
        <v>171.1</v>
      </c>
      <c r="J639" s="63">
        <v>113.8</v>
      </c>
      <c r="K639" s="63">
        <v>176.3</v>
      </c>
      <c r="L639" s="63">
        <v>172.9</v>
      </c>
      <c r="M639" s="63">
        <v>140.5</v>
      </c>
      <c r="N639" s="63">
        <v>78.3</v>
      </c>
      <c r="O639" s="63">
        <v>0</v>
      </c>
      <c r="P639" s="63">
        <v>94.5</v>
      </c>
      <c r="Q639" s="63">
        <v>54.7</v>
      </c>
      <c r="R639" s="63">
        <v>39.200000000000003</v>
      </c>
      <c r="S639" s="64">
        <v>79.599999999999994</v>
      </c>
      <c r="T639" s="63">
        <v>0</v>
      </c>
      <c r="U639" s="64">
        <v>102.1</v>
      </c>
      <c r="V639" s="63">
        <v>33.6</v>
      </c>
      <c r="W639" s="91">
        <v>56.5</v>
      </c>
      <c r="X639" s="13">
        <f t="shared" si="9"/>
        <v>-0.35261194029850751</v>
      </c>
      <c r="Y639" s="13">
        <f t="shared" si="10"/>
        <v>0.27319884726224775</v>
      </c>
      <c r="Z639" s="13">
        <f t="shared" si="11"/>
        <v>-2.5350837483024025E-2</v>
      </c>
      <c r="AA639" s="13">
        <f t="shared" si="12"/>
        <v>-0.10729215048769158</v>
      </c>
    </row>
    <row r="640" spans="1:27" x14ac:dyDescent="0.3">
      <c r="A640" s="4">
        <v>260127</v>
      </c>
      <c r="B640" s="20" t="s">
        <v>442</v>
      </c>
      <c r="C640" s="10" t="s">
        <v>23</v>
      </c>
      <c r="D640" s="10" t="s">
        <v>443</v>
      </c>
      <c r="F640" s="38">
        <v>-11.529320987654319</v>
      </c>
      <c r="G640" s="63">
        <v>372.8</v>
      </c>
      <c r="H640" s="63">
        <v>374.6</v>
      </c>
      <c r="I640" s="63">
        <v>436.4</v>
      </c>
      <c r="J640" s="63">
        <v>375.9</v>
      </c>
      <c r="K640" s="63">
        <v>306.60000000000002</v>
      </c>
      <c r="L640" s="63">
        <v>285.7</v>
      </c>
      <c r="M640" s="63">
        <v>296.2</v>
      </c>
      <c r="N640" s="63">
        <v>268.7</v>
      </c>
      <c r="O640" s="63">
        <v>273.3</v>
      </c>
      <c r="P640" s="63">
        <v>214.7</v>
      </c>
      <c r="Q640" s="63">
        <v>284.60000000000002</v>
      </c>
      <c r="R640" s="63">
        <v>340</v>
      </c>
      <c r="S640" s="63">
        <v>317.8</v>
      </c>
      <c r="T640" s="63">
        <v>294.8</v>
      </c>
      <c r="U640" s="63">
        <v>320.60000000000002</v>
      </c>
      <c r="V640" s="63">
        <v>362.8</v>
      </c>
      <c r="W640" s="91">
        <v>168.38</v>
      </c>
      <c r="X640" s="13">
        <f t="shared" si="9"/>
        <v>6.9224786103189162E-2</v>
      </c>
      <c r="Y640" s="13">
        <f t="shared" si="10"/>
        <v>2.9097963142579841E-2</v>
      </c>
      <c r="Z640" s="13">
        <f t="shared" si="11"/>
        <v>1.7907634307257503E-2</v>
      </c>
      <c r="AA640" s="13">
        <f t="shared" si="12"/>
        <v>-0.11529320987654323</v>
      </c>
    </row>
    <row r="641" spans="1:27" x14ac:dyDescent="0.3">
      <c r="A641" s="4">
        <v>260127</v>
      </c>
      <c r="B641" s="20" t="s">
        <v>473</v>
      </c>
      <c r="C641" s="10" t="s">
        <v>23</v>
      </c>
      <c r="D641" s="10" t="s">
        <v>474</v>
      </c>
      <c r="F641" s="38">
        <v>-12.39083441418072</v>
      </c>
      <c r="G641" s="63">
        <v>645.4</v>
      </c>
      <c r="H641" s="63">
        <v>765.8</v>
      </c>
      <c r="I641" s="63">
        <v>921.4</v>
      </c>
      <c r="J641" s="63">
        <v>948.2</v>
      </c>
      <c r="K641" s="64">
        <v>1144</v>
      </c>
      <c r="L641" s="64">
        <v>1474</v>
      </c>
      <c r="M641" s="64">
        <v>1511</v>
      </c>
      <c r="N641" s="64">
        <v>1517</v>
      </c>
      <c r="O641" s="63">
        <v>1541</v>
      </c>
      <c r="P641" s="63">
        <v>1448</v>
      </c>
      <c r="Q641" s="63">
        <v>1367</v>
      </c>
      <c r="R641" s="63">
        <v>1147</v>
      </c>
      <c r="S641" s="63">
        <v>1032</v>
      </c>
      <c r="T641" s="63">
        <v>910.6</v>
      </c>
      <c r="U641" s="63">
        <v>865</v>
      </c>
      <c r="V641" s="63">
        <v>661.9</v>
      </c>
      <c r="W641" s="91">
        <v>602.1</v>
      </c>
      <c r="X641" s="13">
        <f t="shared" si="9"/>
        <v>-0.10760913095714852</v>
      </c>
      <c r="Y641" s="13">
        <f t="shared" si="10"/>
        <v>-0.11264192433693854</v>
      </c>
      <c r="Z641" s="13">
        <f t="shared" si="11"/>
        <v>-0.12266727355484752</v>
      </c>
      <c r="AA641" s="13">
        <f t="shared" si="12"/>
        <v>-0.12390834414180718</v>
      </c>
    </row>
    <row r="642" spans="1:27" x14ac:dyDescent="0.3">
      <c r="A642" s="4">
        <v>260127</v>
      </c>
      <c r="B642" s="20" t="s">
        <v>467</v>
      </c>
      <c r="C642" s="10" t="s">
        <v>23</v>
      </c>
      <c r="D642" s="10" t="s">
        <v>99</v>
      </c>
      <c r="F642" s="38">
        <v>-13.191850594227491</v>
      </c>
      <c r="G642" s="63">
        <v>17.88</v>
      </c>
      <c r="H642" s="63">
        <v>34.700000000000003</v>
      </c>
      <c r="I642" s="63">
        <v>-5.45</v>
      </c>
      <c r="J642" s="63">
        <v>12.94</v>
      </c>
      <c r="K642" s="63">
        <v>22.37</v>
      </c>
      <c r="L642" s="64">
        <v>41.46</v>
      </c>
      <c r="M642" s="64">
        <v>24.9</v>
      </c>
      <c r="N642" s="64">
        <v>33.46</v>
      </c>
      <c r="O642" s="63">
        <v>31.21</v>
      </c>
      <c r="P642" s="64">
        <v>58.16</v>
      </c>
      <c r="Q642" s="63">
        <v>22.7</v>
      </c>
      <c r="R642" s="63">
        <v>38.39</v>
      </c>
      <c r="S642" s="63">
        <v>27.31</v>
      </c>
      <c r="T642" s="63">
        <v>66.25</v>
      </c>
      <c r="U642" s="63">
        <v>11.58</v>
      </c>
      <c r="V642" s="63">
        <v>12.66</v>
      </c>
      <c r="W642" s="91">
        <v>11.77</v>
      </c>
      <c r="X642" s="13">
        <f t="shared" si="9"/>
        <v>5.5199235807860347E-2</v>
      </c>
      <c r="Y642" s="13">
        <f t="shared" si="10"/>
        <v>-7.1904300032331059E-2</v>
      </c>
      <c r="Z642" s="13">
        <f t="shared" si="11"/>
        <v>-0.17926565874730027</v>
      </c>
      <c r="AA642" s="13">
        <f t="shared" si="12"/>
        <v>-0.13191850594227505</v>
      </c>
    </row>
    <row r="643" spans="1:27" x14ac:dyDescent="0.3">
      <c r="A643" s="4">
        <v>260127</v>
      </c>
      <c r="B643" s="20" t="s">
        <v>439</v>
      </c>
      <c r="C643" s="10" t="s">
        <v>23</v>
      </c>
      <c r="D643" s="10" t="s">
        <v>127</v>
      </c>
      <c r="F643" s="38">
        <v>-14.286178861788621</v>
      </c>
      <c r="G643" s="63">
        <v>5541</v>
      </c>
      <c r="H643" s="63">
        <v>6950</v>
      </c>
      <c r="I643" s="63">
        <v>7132</v>
      </c>
      <c r="J643" s="63">
        <v>7462</v>
      </c>
      <c r="K643" s="63">
        <v>6891</v>
      </c>
      <c r="L643" s="63">
        <v>8086</v>
      </c>
      <c r="M643" s="63">
        <v>8057</v>
      </c>
      <c r="N643" s="63">
        <v>8526</v>
      </c>
      <c r="O643" s="63">
        <v>7689</v>
      </c>
      <c r="P643" s="63">
        <v>7931</v>
      </c>
      <c r="Q643" s="63">
        <v>7875</v>
      </c>
      <c r="R643" s="63">
        <v>8708</v>
      </c>
      <c r="S643" s="63">
        <v>7773</v>
      </c>
      <c r="T643" s="63">
        <v>9119</v>
      </c>
      <c r="U643" s="63">
        <v>5150</v>
      </c>
      <c r="V643" s="63">
        <v>4315</v>
      </c>
      <c r="W643" s="91">
        <v>380</v>
      </c>
      <c r="X643" s="13">
        <f t="shared" si="9"/>
        <v>3.6794994889584043E-2</v>
      </c>
      <c r="Y643" s="13">
        <f t="shared" si="10"/>
        <v>-8.1404032860343589E-2</v>
      </c>
      <c r="Z643" s="13">
        <f t="shared" si="11"/>
        <v>-0.14286178861788623</v>
      </c>
      <c r="AA643" s="13">
        <f t="shared" si="12"/>
        <v>-0.28049474522897144</v>
      </c>
    </row>
    <row r="644" spans="1:27" x14ac:dyDescent="0.3">
      <c r="A644" s="4">
        <v>260127</v>
      </c>
      <c r="B644" s="20" t="s">
        <v>423</v>
      </c>
      <c r="C644" s="10" t="s">
        <v>23</v>
      </c>
      <c r="D644" s="10" t="s">
        <v>131</v>
      </c>
      <c r="F644" s="38">
        <v>-35.383663366336627</v>
      </c>
      <c r="G644" s="63">
        <v>-3377</v>
      </c>
      <c r="H644" s="63">
        <v>-408</v>
      </c>
      <c r="I644" s="63">
        <v>1382</v>
      </c>
      <c r="J644" s="63">
        <v>-2087</v>
      </c>
      <c r="K644" s="63">
        <v>296</v>
      </c>
      <c r="L644" s="63">
        <v>532</v>
      </c>
      <c r="M644" s="63">
        <v>4</v>
      </c>
      <c r="N644" s="63">
        <v>-687</v>
      </c>
      <c r="O644" s="64">
        <v>570</v>
      </c>
      <c r="P644" s="63">
        <v>68</v>
      </c>
      <c r="Q644" s="64">
        <v>-961</v>
      </c>
      <c r="R644" s="64">
        <v>-5605</v>
      </c>
      <c r="S644" s="64">
        <v>-3650</v>
      </c>
      <c r="T644" s="63">
        <v>539</v>
      </c>
      <c r="U644" s="63">
        <v>-222</v>
      </c>
      <c r="V644" s="63">
        <v>-4747</v>
      </c>
      <c r="W644" s="91">
        <v>-791</v>
      </c>
      <c r="X644" s="13">
        <f t="shared" si="9"/>
        <v>-4.6413086322428021E-2</v>
      </c>
      <c r="Y644" s="13">
        <f t="shared" si="10"/>
        <v>-7.6366642554510644E-2</v>
      </c>
      <c r="Z644" s="13">
        <f t="shared" si="11"/>
        <v>-9.5994629671067311E-2</v>
      </c>
      <c r="AA644" s="13">
        <f t="shared" si="12"/>
        <v>-0.35383663366336637</v>
      </c>
    </row>
    <row r="645" spans="1:27" x14ac:dyDescent="0.3">
      <c r="A645" s="4">
        <v>260127</v>
      </c>
      <c r="B645" s="20" t="s">
        <v>471</v>
      </c>
      <c r="C645" s="10" t="s">
        <v>23</v>
      </c>
      <c r="D645" s="10" t="s">
        <v>149</v>
      </c>
      <c r="F645" s="38">
        <v>-69.371428571428567</v>
      </c>
      <c r="G645" s="63">
        <v>1973</v>
      </c>
      <c r="H645" s="63">
        <v>2626</v>
      </c>
      <c r="I645" s="63">
        <v>2542</v>
      </c>
      <c r="J645" s="63">
        <v>3811</v>
      </c>
      <c r="K645" s="63">
        <v>1947</v>
      </c>
      <c r="L645" s="63">
        <v>2706</v>
      </c>
      <c r="M645" s="63">
        <v>2933</v>
      </c>
      <c r="N645" s="63">
        <v>3154</v>
      </c>
      <c r="O645" s="63">
        <v>804</v>
      </c>
      <c r="P645" s="64">
        <v>3769</v>
      </c>
      <c r="Q645" s="64">
        <v>4197</v>
      </c>
      <c r="R645" s="63">
        <v>3881</v>
      </c>
      <c r="S645" s="63">
        <v>1193</v>
      </c>
      <c r="T645" s="63">
        <v>3437</v>
      </c>
      <c r="U645" s="63">
        <v>2238</v>
      </c>
      <c r="V645" s="63">
        <v>2757</v>
      </c>
      <c r="W645" s="91">
        <v>-5484</v>
      </c>
      <c r="X645" s="13">
        <f t="shared" si="9"/>
        <v>-2.5460122699386467E-2</v>
      </c>
      <c r="Y645" s="13">
        <f t="shared" si="10"/>
        <v>-0.15415486307837578</v>
      </c>
      <c r="Z645" s="13">
        <f t="shared" si="11"/>
        <v>-0.10456786677830499</v>
      </c>
      <c r="AA645" s="13">
        <f t="shared" si="12"/>
        <v>-0.69371428571428573</v>
      </c>
    </row>
    <row r="646" spans="1:27" x14ac:dyDescent="0.3">
      <c r="A646" s="4">
        <v>260127</v>
      </c>
      <c r="B646" s="20" t="s">
        <v>447</v>
      </c>
      <c r="C646" s="10" t="s">
        <v>23</v>
      </c>
      <c r="D646" s="10" t="s">
        <v>448</v>
      </c>
      <c r="F646" s="38">
        <v>-70.704012112036338</v>
      </c>
      <c r="G646" s="63">
        <v>159.9</v>
      </c>
      <c r="H646" s="63">
        <v>100.2</v>
      </c>
      <c r="I646" s="63">
        <v>193.1</v>
      </c>
      <c r="J646" s="63">
        <v>254.3</v>
      </c>
      <c r="K646" s="64">
        <v>256.89999999999998</v>
      </c>
      <c r="L646" s="63">
        <v>161.1</v>
      </c>
      <c r="M646" s="63">
        <v>196</v>
      </c>
      <c r="N646" s="63">
        <v>201.1</v>
      </c>
      <c r="O646" s="63">
        <v>142.69999999999999</v>
      </c>
      <c r="P646" s="63">
        <v>39</v>
      </c>
      <c r="Q646" s="63">
        <v>119.7</v>
      </c>
      <c r="R646" s="63">
        <v>66.099999999999994</v>
      </c>
      <c r="S646" s="63">
        <v>65.8</v>
      </c>
      <c r="T646" s="63">
        <v>-36.1</v>
      </c>
      <c r="U646" s="63">
        <v>39.700000000000003</v>
      </c>
      <c r="V646" s="63">
        <v>62.7</v>
      </c>
      <c r="W646" s="91">
        <v>-27.6</v>
      </c>
      <c r="X646" s="13">
        <f t="shared" si="9"/>
        <v>-0.25843083275980716</v>
      </c>
      <c r="Y646" s="13">
        <f t="shared" si="10"/>
        <v>-0.37122969837587017</v>
      </c>
      <c r="Z646" s="13">
        <f t="shared" si="11"/>
        <v>-2.5092250922509107E-2</v>
      </c>
      <c r="AA646" s="13">
        <f t="shared" si="12"/>
        <v>-0.70704012112036341</v>
      </c>
    </row>
    <row r="647" spans="1:27" x14ac:dyDescent="0.3">
      <c r="A647" s="4">
        <v>260127</v>
      </c>
      <c r="B647" s="20" t="s">
        <v>460</v>
      </c>
      <c r="C647" s="10" t="s">
        <v>23</v>
      </c>
      <c r="D647" s="10" t="s">
        <v>95</v>
      </c>
      <c r="F647" s="38">
        <v>-162.06675811614079</v>
      </c>
      <c r="G647" s="63">
        <v>421.3</v>
      </c>
      <c r="H647" s="63">
        <v>412.9</v>
      </c>
      <c r="I647" s="63">
        <v>344.9</v>
      </c>
      <c r="J647" s="63">
        <v>319.89999999999998</v>
      </c>
      <c r="K647" s="63">
        <v>313.3</v>
      </c>
      <c r="L647" s="63">
        <v>231.1</v>
      </c>
      <c r="M647" s="63">
        <v>203.8</v>
      </c>
      <c r="N647" s="63">
        <v>227.7</v>
      </c>
      <c r="O647" s="63">
        <v>153.1</v>
      </c>
      <c r="P647" s="63">
        <v>213.1</v>
      </c>
      <c r="Q647" s="63">
        <v>256.8</v>
      </c>
      <c r="R647" s="63">
        <v>248.1</v>
      </c>
      <c r="S647" s="64">
        <v>314.2</v>
      </c>
      <c r="T647" s="63">
        <v>277.3</v>
      </c>
      <c r="U647" s="63">
        <v>231.1</v>
      </c>
      <c r="V647" s="63">
        <v>270.89999999999998</v>
      </c>
      <c r="W647" s="91">
        <v>-1458</v>
      </c>
      <c r="X647" s="13">
        <f t="shared" si="9"/>
        <v>6.2197248595233345E-2</v>
      </c>
      <c r="Y647" s="13">
        <f t="shared" si="10"/>
        <v>-2.3440350237139751E-2</v>
      </c>
      <c r="Z647" s="13">
        <f t="shared" si="11"/>
        <v>2.1294480246567771E-2</v>
      </c>
      <c r="AA647" s="13">
        <f t="shared" si="12"/>
        <v>-1.6206675811614084</v>
      </c>
    </row>
    <row r="648" spans="1:27" x14ac:dyDescent="0.3">
      <c r="A648" s="4">
        <v>260127</v>
      </c>
      <c r="B648" s="20" t="s">
        <v>417</v>
      </c>
      <c r="C648" s="10" t="s">
        <v>23</v>
      </c>
      <c r="D648" s="10" t="s">
        <v>29</v>
      </c>
      <c r="F648" s="38">
        <v>-176.44454283816691</v>
      </c>
      <c r="G648" s="63">
        <v>22.83</v>
      </c>
      <c r="H648" s="63">
        <v>24.64</v>
      </c>
      <c r="I648" s="63">
        <v>34.97</v>
      </c>
      <c r="J648" s="63">
        <v>32.42</v>
      </c>
      <c r="K648" s="63">
        <v>12.82</v>
      </c>
      <c r="L648" s="63">
        <v>5.46</v>
      </c>
      <c r="M648" s="63">
        <v>11.87</v>
      </c>
      <c r="N648" s="63">
        <v>10.75</v>
      </c>
      <c r="O648" s="63">
        <v>11.75</v>
      </c>
      <c r="P648" s="63">
        <v>5</v>
      </c>
      <c r="Q648" s="63">
        <v>7.14</v>
      </c>
      <c r="R648" s="63">
        <v>11.46</v>
      </c>
      <c r="S648" s="63">
        <v>-71.86</v>
      </c>
      <c r="T648" s="64">
        <v>-5.93</v>
      </c>
      <c r="U648" s="63">
        <v>18.940000000000001</v>
      </c>
      <c r="V648" s="63">
        <v>13.68</v>
      </c>
      <c r="W648" s="91">
        <v>7.84</v>
      </c>
      <c r="X648" s="13">
        <f t="shared" si="9"/>
        <v>0.22648155822627425</v>
      </c>
      <c r="Y648" s="13">
        <f t="shared" si="10"/>
        <v>-0.19935799966210499</v>
      </c>
      <c r="Z648" s="13">
        <f t="shared" si="11"/>
        <v>-4.6845326018147393E-2</v>
      </c>
      <c r="AA648" s="13">
        <f t="shared" si="12"/>
        <v>-1.7644454283816695</v>
      </c>
    </row>
    <row r="649" spans="1:27" x14ac:dyDescent="0.3">
      <c r="A649" s="4">
        <v>260127</v>
      </c>
      <c r="B649" s="20" t="s">
        <v>479</v>
      </c>
      <c r="C649" s="10" t="s">
        <v>164</v>
      </c>
      <c r="D649" s="10" t="s">
        <v>32</v>
      </c>
      <c r="F649" s="38">
        <v>-2.5614610161554641</v>
      </c>
      <c r="G649" s="63">
        <v>5173</v>
      </c>
      <c r="H649" s="63">
        <v>4731</v>
      </c>
      <c r="I649" s="63">
        <v>3691</v>
      </c>
      <c r="J649" s="63">
        <v>5010</v>
      </c>
      <c r="K649" s="63">
        <v>6090</v>
      </c>
      <c r="L649" s="63">
        <v>5592</v>
      </c>
      <c r="M649" s="63">
        <v>5132</v>
      </c>
      <c r="N649" s="63">
        <v>5765</v>
      </c>
      <c r="O649" s="63">
        <v>6539</v>
      </c>
      <c r="P649" s="63">
        <v>2194</v>
      </c>
      <c r="Q649" s="63">
        <v>5554</v>
      </c>
      <c r="R649" s="63">
        <v>4926</v>
      </c>
      <c r="S649" s="63">
        <v>6432</v>
      </c>
      <c r="T649" s="64">
        <v>5207</v>
      </c>
      <c r="U649" s="63">
        <v>4552</v>
      </c>
      <c r="V649" s="63">
        <v>5164</v>
      </c>
      <c r="W649" s="91">
        <v>5885</v>
      </c>
      <c r="X649" s="13">
        <f t="shared" si="9"/>
        <v>0.15769915209881713</v>
      </c>
      <c r="Y649" s="13">
        <f t="shared" si="10"/>
        <v>-4.5300420453004198E-2</v>
      </c>
      <c r="Z649" s="13">
        <f t="shared" si="11"/>
        <v>1.1270540322962486E-2</v>
      </c>
      <c r="AA649" s="13">
        <f t="shared" si="12"/>
        <v>-2.5614610161554641E-2</v>
      </c>
    </row>
    <row r="650" spans="1:27" x14ac:dyDescent="0.3">
      <c r="A650" s="4">
        <v>260127</v>
      </c>
      <c r="B650" s="20" t="s">
        <v>478</v>
      </c>
      <c r="C650" s="10" t="s">
        <v>164</v>
      </c>
      <c r="D650" s="10" t="s">
        <v>32</v>
      </c>
      <c r="F650" s="38">
        <v>-259.11303407247158</v>
      </c>
      <c r="G650" s="63">
        <v>146.9</v>
      </c>
      <c r="H650" s="63">
        <v>82.4</v>
      </c>
      <c r="I650" s="63">
        <v>123.3</v>
      </c>
      <c r="J650" s="63">
        <v>-364</v>
      </c>
      <c r="K650" s="63">
        <v>368.7</v>
      </c>
      <c r="L650" s="63">
        <v>-95.9</v>
      </c>
      <c r="M650" s="63">
        <v>69.3</v>
      </c>
      <c r="N650" s="64">
        <v>-1260</v>
      </c>
      <c r="O650" s="63">
        <v>1114</v>
      </c>
      <c r="P650" s="63">
        <v>-37.6</v>
      </c>
      <c r="Q650" s="64">
        <v>38.299999999999997</v>
      </c>
      <c r="R650" s="63">
        <v>-0.4</v>
      </c>
      <c r="S650" s="63">
        <v>-343.5</v>
      </c>
      <c r="T650" s="63">
        <v>-0.4</v>
      </c>
      <c r="U650" s="63">
        <v>91.5</v>
      </c>
      <c r="V650" s="63">
        <v>67.5</v>
      </c>
      <c r="W650" s="91">
        <v>135.6</v>
      </c>
      <c r="X650" s="13">
        <f t="shared" si="9"/>
        <v>-0.10839160839160833</v>
      </c>
      <c r="Y650" s="13">
        <f t="shared" si="10"/>
        <v>-0.17385620915032696</v>
      </c>
      <c r="Z650" s="13">
        <f t="shared" si="11"/>
        <v>-0.26859177215189867</v>
      </c>
      <c r="AA650" s="13">
        <f t="shared" si="12"/>
        <v>-2.5911303407247162</v>
      </c>
    </row>
    <row r="651" spans="1:27" x14ac:dyDescent="0.3">
      <c r="A651" s="4">
        <v>260127</v>
      </c>
      <c r="B651" s="20">
        <v>9697</v>
      </c>
      <c r="C651" s="10" t="s">
        <v>67</v>
      </c>
      <c r="D651" s="10" t="s">
        <v>32</v>
      </c>
      <c r="F651" s="38">
        <v>5.5388990934407856</v>
      </c>
      <c r="G651" s="63">
        <v>6171</v>
      </c>
      <c r="H651" s="63">
        <v>7815</v>
      </c>
      <c r="I651" s="63">
        <v>12061</v>
      </c>
      <c r="J651" s="63">
        <v>9836</v>
      </c>
      <c r="K651" s="64">
        <v>11436</v>
      </c>
      <c r="L651" s="64">
        <v>17481</v>
      </c>
      <c r="M651" s="64">
        <v>24047</v>
      </c>
      <c r="N651" s="63">
        <v>9790</v>
      </c>
      <c r="O651" s="63">
        <v>13868</v>
      </c>
      <c r="P651" s="63">
        <v>9378</v>
      </c>
      <c r="Q651" s="63">
        <v>12890</v>
      </c>
      <c r="R651" s="63">
        <v>7837</v>
      </c>
      <c r="S651" s="63">
        <v>10294</v>
      </c>
      <c r="T651" s="64">
        <v>34757</v>
      </c>
      <c r="U651" s="64">
        <v>24599</v>
      </c>
      <c r="V651" s="63">
        <v>14735</v>
      </c>
      <c r="W651" s="91">
        <v>14968</v>
      </c>
      <c r="X651" s="13">
        <f t="shared" si="9"/>
        <v>0.6282086190252234</v>
      </c>
      <c r="Y651" s="13">
        <f t="shared" si="10"/>
        <v>0.1780078445680926</v>
      </c>
      <c r="Z651" s="13">
        <f t="shared" si="11"/>
        <v>8.9021384232193856E-2</v>
      </c>
      <c r="AA651" s="13">
        <f t="shared" si="12"/>
        <v>5.5388990934407856E-2</v>
      </c>
    </row>
    <row r="652" spans="1:27" x14ac:dyDescent="0.3">
      <c r="A652" s="4">
        <v>260127</v>
      </c>
      <c r="B652" s="20">
        <v>8218</v>
      </c>
      <c r="C652" s="10" t="s">
        <v>67</v>
      </c>
      <c r="D652" s="10" t="s">
        <v>32</v>
      </c>
      <c r="F652" s="38">
        <v>-1.524068868587491</v>
      </c>
      <c r="G652" s="63">
        <v>7379</v>
      </c>
      <c r="H652" s="63">
        <v>2702</v>
      </c>
      <c r="I652" s="63">
        <v>10596</v>
      </c>
      <c r="J652" s="63">
        <v>6481</v>
      </c>
      <c r="K652" s="63">
        <v>7139</v>
      </c>
      <c r="L652" s="63">
        <v>1837</v>
      </c>
      <c r="M652" s="63">
        <v>8440</v>
      </c>
      <c r="N652" s="63">
        <v>5388</v>
      </c>
      <c r="O652" s="63">
        <v>6278</v>
      </c>
      <c r="P652" s="63">
        <v>1976</v>
      </c>
      <c r="Q652" s="63">
        <v>9463</v>
      </c>
      <c r="R652" s="63">
        <v>4632</v>
      </c>
      <c r="S652" s="63">
        <v>5719</v>
      </c>
      <c r="T652" s="63">
        <v>1777</v>
      </c>
      <c r="U652" s="63">
        <v>10007</v>
      </c>
      <c r="V652" s="63">
        <v>5265</v>
      </c>
      <c r="W652" s="91">
        <v>5372</v>
      </c>
      <c r="X652" s="13">
        <f t="shared" si="9"/>
        <v>-9.1326296466268664E-3</v>
      </c>
      <c r="Y652" s="13">
        <f t="shared" si="10"/>
        <v>2.5195683386596279E-2</v>
      </c>
      <c r="Z652" s="13">
        <f t="shared" si="11"/>
        <v>2.8597244183419912E-2</v>
      </c>
      <c r="AA652" s="13">
        <f t="shared" si="12"/>
        <v>-1.5240688685874915E-2</v>
      </c>
    </row>
    <row r="653" spans="1:27" x14ac:dyDescent="0.3">
      <c r="A653" s="4">
        <v>260127</v>
      </c>
      <c r="B653" s="20">
        <v>4063</v>
      </c>
      <c r="C653" s="10" t="s">
        <v>67</v>
      </c>
      <c r="D653" s="10" t="s">
        <v>32</v>
      </c>
      <c r="F653" s="38">
        <v>-2.1847220129576632</v>
      </c>
      <c r="G653" s="63">
        <v>181709</v>
      </c>
      <c r="H653" s="63">
        <v>192570</v>
      </c>
      <c r="I653" s="63">
        <v>248936</v>
      </c>
      <c r="J653" s="63">
        <v>286205</v>
      </c>
      <c r="K653" s="64">
        <v>273087</v>
      </c>
      <c r="L653" s="63">
        <v>189974</v>
      </c>
      <c r="M653" s="63">
        <v>190822</v>
      </c>
      <c r="N653" s="63">
        <v>191097</v>
      </c>
      <c r="O653" s="63">
        <v>177609</v>
      </c>
      <c r="P653" s="63">
        <v>141510</v>
      </c>
      <c r="Q653" s="63">
        <v>191023</v>
      </c>
      <c r="R653" s="63">
        <v>214682</v>
      </c>
      <c r="S653" s="63">
        <v>178735</v>
      </c>
      <c r="T653" s="63">
        <v>157666</v>
      </c>
      <c r="U653" s="63">
        <v>166805</v>
      </c>
      <c r="V653" s="63">
        <v>167131</v>
      </c>
      <c r="W653" s="91">
        <v>164090</v>
      </c>
      <c r="X653" s="13">
        <f t="shared" si="9"/>
        <v>2.2254976238032853E-2</v>
      </c>
      <c r="Y653" s="13">
        <f t="shared" si="10"/>
        <v>-3.263415199445896E-2</v>
      </c>
      <c r="Z653" s="13">
        <f t="shared" si="11"/>
        <v>-6.6237351787465482E-2</v>
      </c>
      <c r="AA653" s="13">
        <f t="shared" si="12"/>
        <v>-2.1847220129576628E-2</v>
      </c>
    </row>
    <row r="654" spans="1:27" x14ac:dyDescent="0.3">
      <c r="A654" s="4">
        <v>260127</v>
      </c>
      <c r="B654" s="20" t="s">
        <v>481</v>
      </c>
      <c r="C654" s="10" t="s">
        <v>31</v>
      </c>
      <c r="D654" s="10" t="s">
        <v>32</v>
      </c>
      <c r="F654" s="38">
        <v>9.7603296822470487</v>
      </c>
      <c r="G654" s="63">
        <v>3919</v>
      </c>
      <c r="H654" s="63">
        <v>3504</v>
      </c>
      <c r="I654" s="63">
        <v>3844</v>
      </c>
      <c r="J654" s="63">
        <v>3607</v>
      </c>
      <c r="K654" s="63">
        <v>3785</v>
      </c>
      <c r="L654" s="63">
        <v>4228</v>
      </c>
      <c r="M654" s="63">
        <v>4631</v>
      </c>
      <c r="N654" s="63">
        <v>4432</v>
      </c>
      <c r="O654" s="63">
        <v>4869</v>
      </c>
      <c r="P654" s="63">
        <v>5047</v>
      </c>
      <c r="Q654" s="63">
        <v>5194</v>
      </c>
      <c r="R654" s="63">
        <v>4770</v>
      </c>
      <c r="S654" s="63">
        <v>4144</v>
      </c>
      <c r="T654" s="63">
        <v>4533</v>
      </c>
      <c r="U654" s="63">
        <v>4580</v>
      </c>
      <c r="V654" s="63">
        <v>5185</v>
      </c>
      <c r="W654" s="91">
        <v>5944</v>
      </c>
      <c r="X654" s="13">
        <f t="shared" si="9"/>
        <v>-2.6833724876011433E-2</v>
      </c>
      <c r="Y654" s="13">
        <f t="shared" si="10"/>
        <v>-3.2938147095112891E-2</v>
      </c>
      <c r="Z654" s="13">
        <f t="shared" si="11"/>
        <v>2.3021024019526326E-2</v>
      </c>
      <c r="AA654" s="13">
        <f t="shared" si="12"/>
        <v>9.7603296822470487E-2</v>
      </c>
    </row>
    <row r="655" spans="1:27" x14ac:dyDescent="0.3">
      <c r="A655" s="4">
        <v>260127</v>
      </c>
      <c r="B655" s="20" t="s">
        <v>480</v>
      </c>
      <c r="C655" s="10" t="s">
        <v>31</v>
      </c>
      <c r="D655" s="10" t="s">
        <v>32</v>
      </c>
      <c r="F655" s="38">
        <v>9.3883911180366209</v>
      </c>
      <c r="G655" s="63">
        <v>1835</v>
      </c>
      <c r="H655" s="63">
        <v>1281</v>
      </c>
      <c r="I655" s="63">
        <v>1680</v>
      </c>
      <c r="J655" s="63">
        <v>2350</v>
      </c>
      <c r="K655" s="63">
        <v>2510</v>
      </c>
      <c r="L655" s="64">
        <v>2449</v>
      </c>
      <c r="M655" s="63">
        <v>2411</v>
      </c>
      <c r="N655" s="63">
        <v>2858</v>
      </c>
      <c r="O655" s="63">
        <v>2370</v>
      </c>
      <c r="P655" s="63">
        <v>2614</v>
      </c>
      <c r="Q655" s="63">
        <v>3031</v>
      </c>
      <c r="R655" s="63">
        <v>2671</v>
      </c>
      <c r="S655" s="63">
        <v>3026</v>
      </c>
      <c r="T655" s="63">
        <v>3185</v>
      </c>
      <c r="U655" s="63">
        <v>3377</v>
      </c>
      <c r="V655" s="63">
        <v>3247</v>
      </c>
      <c r="W655" s="91">
        <v>4231</v>
      </c>
      <c r="X655" s="13">
        <f t="shared" si="9"/>
        <v>5.0343854699347546E-2</v>
      </c>
      <c r="Y655" s="13">
        <f t="shared" si="10"/>
        <v>2.9043901620078971E-2</v>
      </c>
      <c r="Z655" s="13">
        <f t="shared" si="11"/>
        <v>4.6985887919079872E-2</v>
      </c>
      <c r="AA655" s="13">
        <f t="shared" si="12"/>
        <v>9.3883911180366209E-2</v>
      </c>
    </row>
    <row r="656" spans="1:27" x14ac:dyDescent="0.3">
      <c r="A656" s="4">
        <v>260127</v>
      </c>
      <c r="B656" s="20" t="s">
        <v>482</v>
      </c>
      <c r="C656" s="10" t="s">
        <v>31</v>
      </c>
      <c r="D656" s="10" t="s">
        <v>32</v>
      </c>
      <c r="F656" s="38">
        <v>1.720613625989809</v>
      </c>
      <c r="G656" s="63">
        <v>13344</v>
      </c>
      <c r="H656" s="63">
        <v>12382</v>
      </c>
      <c r="I656" s="63">
        <v>13479</v>
      </c>
      <c r="J656" s="63">
        <v>10120</v>
      </c>
      <c r="K656" s="63">
        <v>13974</v>
      </c>
      <c r="L656" s="63">
        <v>17058</v>
      </c>
      <c r="M656" s="64">
        <v>19230</v>
      </c>
      <c r="N656" s="63">
        <v>15075</v>
      </c>
      <c r="O656" s="63">
        <v>18357</v>
      </c>
      <c r="P656" s="63">
        <v>14761</v>
      </c>
      <c r="Q656" s="63">
        <v>14661</v>
      </c>
      <c r="R656" s="63">
        <v>9975</v>
      </c>
      <c r="S656" s="63">
        <v>13812</v>
      </c>
      <c r="T656" s="63">
        <v>11351</v>
      </c>
      <c r="U656" s="63">
        <v>13241</v>
      </c>
      <c r="V656" s="63">
        <v>11985</v>
      </c>
      <c r="W656" s="91">
        <v>14679</v>
      </c>
      <c r="X656" s="13">
        <f t="shared" si="9"/>
        <v>-6.4086902591666828E-2</v>
      </c>
      <c r="Y656" s="13">
        <f t="shared" si="10"/>
        <v>-2.8514628807807418E-2</v>
      </c>
      <c r="Z656" s="13">
        <f t="shared" si="11"/>
        <v>4.154695218999982E-2</v>
      </c>
      <c r="AA656" s="13">
        <f t="shared" si="12"/>
        <v>1.7206136259898086E-2</v>
      </c>
    </row>
    <row r="657" spans="1:27" x14ac:dyDescent="0.3">
      <c r="A657" s="74">
        <v>260126</v>
      </c>
      <c r="B657" s="75" t="s">
        <v>493</v>
      </c>
      <c r="C657" s="76" t="s">
        <v>635</v>
      </c>
      <c r="D657" s="74" t="s">
        <v>182</v>
      </c>
      <c r="F657" s="80">
        <v>99.28400954653938</v>
      </c>
      <c r="G657" s="68">
        <v>-27</v>
      </c>
      <c r="H657" s="68">
        <v>-651</v>
      </c>
      <c r="I657" s="68">
        <v>-434</v>
      </c>
      <c r="J657" s="68">
        <v>-666</v>
      </c>
      <c r="K657" s="68">
        <v>561</v>
      </c>
      <c r="L657" s="81">
        <v>-151</v>
      </c>
      <c r="M657" s="81">
        <v>286</v>
      </c>
      <c r="N657" s="82">
        <v>-392</v>
      </c>
      <c r="O657" s="81">
        <v>412</v>
      </c>
      <c r="P657" s="82">
        <v>443</v>
      </c>
      <c r="Q657" s="81">
        <v>-48</v>
      </c>
      <c r="R657" s="82">
        <v>346</v>
      </c>
      <c r="S657" s="81">
        <v>122</v>
      </c>
      <c r="T657" s="81">
        <v>50</v>
      </c>
      <c r="U657" s="81">
        <v>-140</v>
      </c>
      <c r="V657" s="82">
        <v>806</v>
      </c>
      <c r="W657" s="92">
        <v>954</v>
      </c>
      <c r="X657" s="13">
        <f t="shared" si="9"/>
        <v>-0.45538818076477405</v>
      </c>
      <c r="Y657" s="13">
        <f t="shared" si="10"/>
        <v>-0.19574468085106378</v>
      </c>
      <c r="Z657" s="13">
        <f t="shared" si="11"/>
        <v>1.2169312169312168</v>
      </c>
      <c r="AA657" s="13">
        <f t="shared" si="12"/>
        <v>0.99284009546539376</v>
      </c>
    </row>
    <row r="658" spans="1:27" x14ac:dyDescent="0.3">
      <c r="A658" s="4">
        <v>260126</v>
      </c>
      <c r="B658" s="23" t="s">
        <v>488</v>
      </c>
      <c r="C658" s="73" t="s">
        <v>635</v>
      </c>
      <c r="D658" s="4" t="s">
        <v>182</v>
      </c>
      <c r="F658" s="67">
        <v>72.660858271551504</v>
      </c>
      <c r="G658" s="68">
        <v>14.06</v>
      </c>
      <c r="H658" s="68">
        <v>117.21</v>
      </c>
      <c r="I658" s="68">
        <v>29.34</v>
      </c>
      <c r="J658" s="68">
        <v>-46.67</v>
      </c>
      <c r="K658" s="69">
        <v>43.29</v>
      </c>
      <c r="L658" s="68">
        <v>-41.72</v>
      </c>
      <c r="M658" s="68">
        <v>54.34</v>
      </c>
      <c r="N658" s="69">
        <v>-43.05</v>
      </c>
      <c r="O658" s="68">
        <v>24.31</v>
      </c>
      <c r="P658" s="68">
        <v>40.119999999999997</v>
      </c>
      <c r="Q658" s="68">
        <v>-8.3000000000000007</v>
      </c>
      <c r="R658" s="69">
        <v>31</v>
      </c>
      <c r="S658" s="69">
        <v>51.09</v>
      </c>
      <c r="T658" s="68">
        <v>-3.08</v>
      </c>
      <c r="U658" s="68">
        <v>-13.61</v>
      </c>
      <c r="V658" s="69">
        <v>150.38999999999999</v>
      </c>
      <c r="W658" s="93">
        <v>185.36</v>
      </c>
      <c r="X658" s="13">
        <f t="shared" si="9"/>
        <v>-0.3792467737687647</v>
      </c>
      <c r="Y658" s="13">
        <f t="shared" si="10"/>
        <v>-7.5095460330929176E-2</v>
      </c>
      <c r="Z658" s="13">
        <f t="shared" si="11"/>
        <v>1.8255351681957181</v>
      </c>
      <c r="AA658" s="13">
        <f t="shared" si="12"/>
        <v>0.72660858271551509</v>
      </c>
    </row>
    <row r="659" spans="1:27" x14ac:dyDescent="0.3">
      <c r="A659" s="4">
        <v>260126</v>
      </c>
      <c r="B659" s="23" t="s">
        <v>489</v>
      </c>
      <c r="C659" s="73" t="s">
        <v>635</v>
      </c>
      <c r="D659" s="4" t="s">
        <v>115</v>
      </c>
      <c r="F659" s="67">
        <v>16.97318007662836</v>
      </c>
      <c r="G659" s="68">
        <v>1.62</v>
      </c>
      <c r="H659" s="68">
        <v>2.64</v>
      </c>
      <c r="I659" s="68">
        <v>3.25</v>
      </c>
      <c r="J659" s="68">
        <v>2.99</v>
      </c>
      <c r="K659" s="69">
        <v>3.68</v>
      </c>
      <c r="L659" s="68">
        <v>3.51</v>
      </c>
      <c r="M659" s="68">
        <v>1.72</v>
      </c>
      <c r="N659" s="68">
        <v>3.56</v>
      </c>
      <c r="O659" s="69">
        <v>7.75</v>
      </c>
      <c r="P659" s="68">
        <v>3.51</v>
      </c>
      <c r="Q659" s="69">
        <v>6.01</v>
      </c>
      <c r="R659" s="68">
        <v>4.2300000000000004</v>
      </c>
      <c r="S659" s="68">
        <v>7.24</v>
      </c>
      <c r="T659" s="69">
        <v>5.76</v>
      </c>
      <c r="U659" s="68">
        <v>4.54</v>
      </c>
      <c r="V659" s="69">
        <v>8.56</v>
      </c>
      <c r="W659" s="93">
        <v>11.67</v>
      </c>
      <c r="X659" s="13">
        <f t="shared" si="9"/>
        <v>0.10719390185802768</v>
      </c>
      <c r="Y659" s="13">
        <f t="shared" si="10"/>
        <v>-6.3253012048192891E-2</v>
      </c>
      <c r="Z659" s="13">
        <f t="shared" si="11"/>
        <v>0.19889756545705106</v>
      </c>
      <c r="AA659" s="13">
        <f t="shared" si="12"/>
        <v>0.16973180076628358</v>
      </c>
    </row>
    <row r="660" spans="1:27" x14ac:dyDescent="0.3">
      <c r="A660" s="4">
        <v>260126</v>
      </c>
      <c r="B660" s="23" t="s">
        <v>498</v>
      </c>
      <c r="C660" s="73" t="s">
        <v>635</v>
      </c>
      <c r="D660" s="4" t="s">
        <v>29</v>
      </c>
      <c r="F660" s="67">
        <v>11.059771089444689</v>
      </c>
      <c r="G660" s="68">
        <v>76.98</v>
      </c>
      <c r="H660" s="68">
        <v>70.44</v>
      </c>
      <c r="I660" s="68">
        <v>74.62</v>
      </c>
      <c r="J660" s="68">
        <v>66.569999999999993</v>
      </c>
      <c r="K660" s="68">
        <v>79.010000000000005</v>
      </c>
      <c r="L660" s="68">
        <v>62.77</v>
      </c>
      <c r="M660" s="68">
        <v>61.07</v>
      </c>
      <c r="N660" s="68">
        <v>63.67</v>
      </c>
      <c r="O660" s="68">
        <v>39.61</v>
      </c>
      <c r="P660" s="68">
        <v>48.36</v>
      </c>
      <c r="Q660" s="68">
        <v>45.31</v>
      </c>
      <c r="R660" s="68">
        <v>52.64</v>
      </c>
      <c r="S660" s="68">
        <v>51.54</v>
      </c>
      <c r="T660" s="68">
        <v>56.16</v>
      </c>
      <c r="U660" s="68">
        <v>60.45</v>
      </c>
      <c r="V660" s="68">
        <v>67.75</v>
      </c>
      <c r="W660" s="93">
        <v>77.63</v>
      </c>
      <c r="X660" s="13">
        <f t="shared" si="9"/>
        <v>3.9423805913570975E-2</v>
      </c>
      <c r="Y660" s="13">
        <f t="shared" si="10"/>
        <v>7.3620228543642252E-2</v>
      </c>
      <c r="Z660" s="13">
        <f t="shared" si="11"/>
        <v>6.8436070474205968E-2</v>
      </c>
      <c r="AA660" s="13">
        <f t="shared" si="12"/>
        <v>0.11059771089444692</v>
      </c>
    </row>
    <row r="661" spans="1:27" x14ac:dyDescent="0.3">
      <c r="A661" s="4">
        <v>260126</v>
      </c>
      <c r="B661" s="23" t="s">
        <v>491</v>
      </c>
      <c r="C661" s="73" t="s">
        <v>635</v>
      </c>
      <c r="D661" s="4" t="s">
        <v>65</v>
      </c>
      <c r="F661" s="65">
        <v>6.9812180428289414</v>
      </c>
      <c r="G661" s="68">
        <v>75.05</v>
      </c>
      <c r="H661" s="68">
        <v>79.209999999999994</v>
      </c>
      <c r="I661" s="68">
        <v>95.61</v>
      </c>
      <c r="J661" s="68">
        <v>104.44</v>
      </c>
      <c r="K661" s="69">
        <v>129.06</v>
      </c>
      <c r="L661" s="69">
        <v>121.41</v>
      </c>
      <c r="M661" s="68">
        <v>107.66</v>
      </c>
      <c r="N661" s="68">
        <v>103.59</v>
      </c>
      <c r="O661" s="68">
        <v>89.77</v>
      </c>
      <c r="P661" s="68">
        <v>79.239999999999995</v>
      </c>
      <c r="Q661" s="68">
        <v>84.16</v>
      </c>
      <c r="R661" s="68">
        <v>92.56</v>
      </c>
      <c r="S661" s="68">
        <v>90.05</v>
      </c>
      <c r="T661" s="68">
        <v>92.61</v>
      </c>
      <c r="U661" s="68">
        <v>103.43</v>
      </c>
      <c r="V661" s="68">
        <v>108.97</v>
      </c>
      <c r="W661" s="94">
        <v>117.63</v>
      </c>
      <c r="X661" s="13">
        <f t="shared" si="9"/>
        <v>3.8640501719603426E-2</v>
      </c>
      <c r="Y661" s="13">
        <f t="shared" si="10"/>
        <v>5.3620123546107346E-2</v>
      </c>
      <c r="Z661" s="13">
        <f t="shared" si="11"/>
        <v>4.3338175095734899E-2</v>
      </c>
      <c r="AA661" s="13">
        <f t="shared" si="12"/>
        <v>6.9812180428289183E-2</v>
      </c>
    </row>
    <row r="662" spans="1:27" x14ac:dyDescent="0.3">
      <c r="A662" s="4">
        <v>260126</v>
      </c>
      <c r="B662" s="23" t="s">
        <v>487</v>
      </c>
      <c r="C662" s="73" t="s">
        <v>635</v>
      </c>
      <c r="D662" s="4" t="s">
        <v>29</v>
      </c>
      <c r="F662" s="65">
        <v>6.0104676684112679</v>
      </c>
      <c r="G662" s="68">
        <v>29.79</v>
      </c>
      <c r="H662" s="68">
        <v>28.18</v>
      </c>
      <c r="I662" s="68">
        <v>31.26</v>
      </c>
      <c r="J662" s="68">
        <v>34.76</v>
      </c>
      <c r="K662" s="68">
        <v>30.96</v>
      </c>
      <c r="L662" s="68">
        <v>28.05</v>
      </c>
      <c r="M662" s="68">
        <v>16.489999999999998</v>
      </c>
      <c r="N662" s="68">
        <v>29.73</v>
      </c>
      <c r="O662" s="68">
        <v>36.06</v>
      </c>
      <c r="P662" s="68">
        <v>27.8</v>
      </c>
      <c r="Q662" s="68">
        <v>26.92</v>
      </c>
      <c r="R662" s="68">
        <v>27.74</v>
      </c>
      <c r="S662" s="68">
        <v>29.23</v>
      </c>
      <c r="T662" s="68">
        <v>24.24</v>
      </c>
      <c r="U662" s="68">
        <v>32.93</v>
      </c>
      <c r="V662" s="68">
        <v>32.06</v>
      </c>
      <c r="W662" s="94">
        <v>36.35</v>
      </c>
      <c r="X662" s="13">
        <f t="shared" ref="X662:X725" si="13">SUM(Q662:T662)/SUM(P662:S662)-1</f>
        <v>-3.1873936789327595E-2</v>
      </c>
      <c r="Y662" s="13">
        <f t="shared" ref="Y662:Y725" si="14">SUM(R662:U662)/SUM(Q662:T662)-1</f>
        <v>5.5581244797928253E-2</v>
      </c>
      <c r="Z662" s="13">
        <f t="shared" ref="Z662:Z725" si="15">SUM(S662:V662)/SUM(R662:U662)-1</f>
        <v>3.7848256527072133E-2</v>
      </c>
      <c r="AA662" s="13">
        <f t="shared" ref="AA662:AA725" si="16">SUM(T662:W662)/SUM(S662:V662)-1</f>
        <v>6.0104676684112901E-2</v>
      </c>
    </row>
    <row r="663" spans="1:27" x14ac:dyDescent="0.3">
      <c r="A663" s="4">
        <v>260126</v>
      </c>
      <c r="B663" s="23" t="s">
        <v>483</v>
      </c>
      <c r="C663" s="73" t="s">
        <v>635</v>
      </c>
      <c r="D663" s="4" t="s">
        <v>484</v>
      </c>
      <c r="F663" s="65">
        <v>5.6013598309742729</v>
      </c>
      <c r="G663" s="68">
        <v>3021</v>
      </c>
      <c r="H663" s="68">
        <v>2934</v>
      </c>
      <c r="I663" s="68">
        <v>3541</v>
      </c>
      <c r="J663" s="68">
        <v>2357</v>
      </c>
      <c r="K663" s="68">
        <v>1579</v>
      </c>
      <c r="L663" s="68">
        <v>1608</v>
      </c>
      <c r="M663" s="68">
        <v>2048</v>
      </c>
      <c r="N663" s="68">
        <v>1535</v>
      </c>
      <c r="O663" s="68">
        <v>1038</v>
      </c>
      <c r="P663" s="68">
        <v>1178</v>
      </c>
      <c r="Q663" s="68">
        <v>900</v>
      </c>
      <c r="R663" s="68">
        <v>514</v>
      </c>
      <c r="S663" s="68">
        <v>386.96</v>
      </c>
      <c r="T663" s="68">
        <v>324</v>
      </c>
      <c r="U663" s="68">
        <v>919</v>
      </c>
      <c r="V663" s="69">
        <v>888</v>
      </c>
      <c r="W663" s="94">
        <v>528</v>
      </c>
      <c r="X663" s="13">
        <f t="shared" si="13"/>
        <v>-0.28667722963718878</v>
      </c>
      <c r="Y663" s="13">
        <f t="shared" si="14"/>
        <v>8.9413447782547006E-3</v>
      </c>
      <c r="Z663" s="13">
        <f t="shared" si="15"/>
        <v>0.17444355305136283</v>
      </c>
      <c r="AA663" s="13">
        <f t="shared" si="16"/>
        <v>5.6013598309742729E-2</v>
      </c>
    </row>
    <row r="664" spans="1:27" x14ac:dyDescent="0.3">
      <c r="A664" s="4">
        <v>260126</v>
      </c>
      <c r="B664" s="23" t="s">
        <v>496</v>
      </c>
      <c r="C664" s="73" t="s">
        <v>635</v>
      </c>
      <c r="D664" s="4" t="s">
        <v>484</v>
      </c>
      <c r="F664" s="65">
        <v>5.1829311745506867</v>
      </c>
      <c r="G664" s="68">
        <v>1429</v>
      </c>
      <c r="H664" s="68">
        <v>1495</v>
      </c>
      <c r="I664" s="68">
        <v>1618</v>
      </c>
      <c r="J664" s="68">
        <v>1220</v>
      </c>
      <c r="K664" s="68">
        <v>759.05</v>
      </c>
      <c r="L664" s="68">
        <v>835.36</v>
      </c>
      <c r="M664" s="68">
        <v>1064</v>
      </c>
      <c r="N664" s="68">
        <v>733.55</v>
      </c>
      <c r="O664" s="68">
        <v>518.54</v>
      </c>
      <c r="P664" s="68">
        <v>750.98</v>
      </c>
      <c r="Q664" s="68">
        <v>559.12</v>
      </c>
      <c r="R664" s="68">
        <v>395.44</v>
      </c>
      <c r="S664" s="68">
        <v>237.5</v>
      </c>
      <c r="T664" s="68">
        <v>275.14</v>
      </c>
      <c r="U664" s="68">
        <v>382.86</v>
      </c>
      <c r="V664" s="68">
        <v>507.76</v>
      </c>
      <c r="W664" s="94">
        <v>310.23</v>
      </c>
      <c r="X664" s="13">
        <f t="shared" si="13"/>
        <v>-0.24489459815546777</v>
      </c>
      <c r="Y664" s="13">
        <f t="shared" si="14"/>
        <v>-0.12013358778625938</v>
      </c>
      <c r="Z664" s="13">
        <f t="shared" si="15"/>
        <v>8.7006367453173583E-2</v>
      </c>
      <c r="AA664" s="13">
        <f t="shared" si="16"/>
        <v>5.1829311745506867E-2</v>
      </c>
    </row>
    <row r="665" spans="1:27" x14ac:dyDescent="0.3">
      <c r="A665" s="4">
        <v>260126</v>
      </c>
      <c r="B665" s="23" t="s">
        <v>486</v>
      </c>
      <c r="C665" s="73" t="s">
        <v>635</v>
      </c>
      <c r="D665" s="4" t="s">
        <v>29</v>
      </c>
      <c r="F665" s="65">
        <v>5.0994431185362066</v>
      </c>
      <c r="G665" s="68">
        <v>14.09</v>
      </c>
      <c r="H665" s="68">
        <v>16.43</v>
      </c>
      <c r="I665" s="68">
        <v>15.25</v>
      </c>
      <c r="J665" s="68">
        <v>15.79</v>
      </c>
      <c r="K665" s="68">
        <v>11.82</v>
      </c>
      <c r="L665" s="68">
        <v>16.02</v>
      </c>
      <c r="M665" s="68">
        <v>18.920000000000002</v>
      </c>
      <c r="N665" s="68">
        <v>18.45</v>
      </c>
      <c r="O665" s="69">
        <v>22.32</v>
      </c>
      <c r="P665" s="68">
        <v>22.36</v>
      </c>
      <c r="Q665" s="68">
        <v>21.03</v>
      </c>
      <c r="R665" s="68">
        <v>22.4</v>
      </c>
      <c r="S665" s="68">
        <v>25.01</v>
      </c>
      <c r="T665" s="69">
        <v>33.43</v>
      </c>
      <c r="U665" s="68">
        <v>29.52</v>
      </c>
      <c r="V665" s="69">
        <v>37.74</v>
      </c>
      <c r="W665" s="94">
        <v>31.42</v>
      </c>
      <c r="X665" s="13">
        <f t="shared" si="13"/>
        <v>0.12191629955947136</v>
      </c>
      <c r="Y665" s="13">
        <f t="shared" si="14"/>
        <v>8.3341513693923508E-2</v>
      </c>
      <c r="Z665" s="13">
        <f t="shared" si="15"/>
        <v>0.1389996375498368</v>
      </c>
      <c r="AA665" s="13">
        <f t="shared" si="16"/>
        <v>5.0994431185362066E-2</v>
      </c>
    </row>
    <row r="666" spans="1:27" x14ac:dyDescent="0.3">
      <c r="A666" s="4">
        <v>260126</v>
      </c>
      <c r="B666" s="23" t="s">
        <v>494</v>
      </c>
      <c r="C666" s="73" t="s">
        <v>635</v>
      </c>
      <c r="D666" s="4" t="s">
        <v>153</v>
      </c>
      <c r="F666" s="65">
        <v>4.967046546752707</v>
      </c>
      <c r="G666" s="68">
        <v>134.03</v>
      </c>
      <c r="H666" s="68">
        <v>119.35</v>
      </c>
      <c r="I666" s="68">
        <v>149.08000000000001</v>
      </c>
      <c r="J666" s="68">
        <v>144.15</v>
      </c>
      <c r="K666" s="68">
        <v>149.52000000000001</v>
      </c>
      <c r="L666" s="68">
        <v>156.13</v>
      </c>
      <c r="M666" s="68">
        <v>156.52000000000001</v>
      </c>
      <c r="N666" s="68">
        <v>161.94</v>
      </c>
      <c r="O666" s="68">
        <v>127.46</v>
      </c>
      <c r="P666" s="68">
        <v>131.80000000000001</v>
      </c>
      <c r="Q666" s="68">
        <v>160.84</v>
      </c>
      <c r="R666" s="68">
        <v>144.82</v>
      </c>
      <c r="S666" s="68">
        <v>129.63999999999999</v>
      </c>
      <c r="T666" s="68">
        <v>144.41</v>
      </c>
      <c r="U666" s="68">
        <v>157.38999999999999</v>
      </c>
      <c r="V666" s="68">
        <v>151.19999999999999</v>
      </c>
      <c r="W666" s="94">
        <v>158.58000000000001</v>
      </c>
      <c r="X666" s="13">
        <f t="shared" si="13"/>
        <v>2.2235937224475366E-2</v>
      </c>
      <c r="Y666" s="13">
        <f t="shared" si="14"/>
        <v>-5.9512514878127254E-3</v>
      </c>
      <c r="Z666" s="13">
        <f t="shared" si="15"/>
        <v>1.1071391385832685E-2</v>
      </c>
      <c r="AA666" s="13">
        <f t="shared" si="16"/>
        <v>4.9670465467527292E-2</v>
      </c>
    </row>
    <row r="667" spans="1:27" x14ac:dyDescent="0.3">
      <c r="A667" s="4">
        <v>260126</v>
      </c>
      <c r="B667" s="23" t="s">
        <v>492</v>
      </c>
      <c r="C667" s="73" t="s">
        <v>635</v>
      </c>
      <c r="D667" s="4" t="s">
        <v>153</v>
      </c>
      <c r="F667" s="65">
        <v>3.8786673296867362</v>
      </c>
      <c r="G667" s="68">
        <v>58.1</v>
      </c>
      <c r="H667" s="68">
        <v>66.900000000000006</v>
      </c>
      <c r="I667" s="68">
        <v>47.7</v>
      </c>
      <c r="J667" s="68">
        <v>50.8</v>
      </c>
      <c r="K667" s="68">
        <v>20.9</v>
      </c>
      <c r="L667" s="68">
        <v>76</v>
      </c>
      <c r="M667" s="68">
        <v>61.6</v>
      </c>
      <c r="N667" s="69">
        <v>74.900000000000006</v>
      </c>
      <c r="O667" s="69">
        <v>65.099999999999994</v>
      </c>
      <c r="P667" s="68">
        <v>81.3</v>
      </c>
      <c r="Q667" s="68">
        <v>89.3</v>
      </c>
      <c r="R667" s="68">
        <v>99.5</v>
      </c>
      <c r="S667" s="68">
        <v>86.2</v>
      </c>
      <c r="T667" s="68">
        <v>97.1</v>
      </c>
      <c r="U667" s="68">
        <v>101.7</v>
      </c>
      <c r="V667" s="68">
        <v>117.2</v>
      </c>
      <c r="W667" s="94">
        <v>101.8</v>
      </c>
      <c r="X667" s="13">
        <f t="shared" si="13"/>
        <v>4.4344653381981569E-2</v>
      </c>
      <c r="Y667" s="13">
        <f t="shared" si="14"/>
        <v>3.3324375167965492E-2</v>
      </c>
      <c r="Z667" s="13">
        <f t="shared" si="15"/>
        <v>4.6033810143043086E-2</v>
      </c>
      <c r="AA667" s="13">
        <f t="shared" si="16"/>
        <v>3.8786673296867358E-2</v>
      </c>
    </row>
    <row r="668" spans="1:27" x14ac:dyDescent="0.3">
      <c r="A668" s="4">
        <v>260126</v>
      </c>
      <c r="B668" s="23" t="s">
        <v>490</v>
      </c>
      <c r="C668" s="73" t="s">
        <v>635</v>
      </c>
      <c r="D668" s="4" t="s">
        <v>29</v>
      </c>
      <c r="F668" s="65">
        <v>3.5025698202485471</v>
      </c>
      <c r="G668" s="68">
        <v>71.89</v>
      </c>
      <c r="H668" s="68">
        <v>5.7</v>
      </c>
      <c r="I668" s="68">
        <v>83.33</v>
      </c>
      <c r="J668" s="68">
        <v>99.11</v>
      </c>
      <c r="K668" s="69">
        <v>112.47</v>
      </c>
      <c r="L668" s="69">
        <v>83.6</v>
      </c>
      <c r="M668" s="68">
        <v>91.63</v>
      </c>
      <c r="N668" s="68">
        <v>97.17</v>
      </c>
      <c r="O668" s="68">
        <v>92.87</v>
      </c>
      <c r="P668" s="68">
        <v>86.93</v>
      </c>
      <c r="Q668" s="68">
        <v>90.47</v>
      </c>
      <c r="R668" s="68">
        <v>85.52</v>
      </c>
      <c r="S668" s="68">
        <v>84.35</v>
      </c>
      <c r="T668" s="68">
        <v>86.97</v>
      </c>
      <c r="U668" s="68">
        <v>95.54</v>
      </c>
      <c r="V668" s="68">
        <v>100.87</v>
      </c>
      <c r="W668" s="94">
        <v>97.23</v>
      </c>
      <c r="X668" s="13">
        <f t="shared" si="13"/>
        <v>1.1518415066102961E-4</v>
      </c>
      <c r="Y668" s="13">
        <f t="shared" si="14"/>
        <v>1.4597909648440766E-2</v>
      </c>
      <c r="Z668" s="13">
        <f t="shared" si="15"/>
        <v>4.3560928543050048E-2</v>
      </c>
      <c r="AA668" s="13">
        <f t="shared" si="16"/>
        <v>3.5025698202485467E-2</v>
      </c>
    </row>
    <row r="669" spans="1:27" x14ac:dyDescent="0.3">
      <c r="A669" s="4">
        <v>260126</v>
      </c>
      <c r="B669" s="23" t="s">
        <v>495</v>
      </c>
      <c r="C669" s="73" t="s">
        <v>635</v>
      </c>
      <c r="D669" s="4" t="s">
        <v>50</v>
      </c>
      <c r="F669" s="65">
        <v>-0.64473827996940347</v>
      </c>
      <c r="G669" s="68">
        <v>123.32</v>
      </c>
      <c r="H669" s="68">
        <v>152.37</v>
      </c>
      <c r="I669" s="68">
        <v>162.22</v>
      </c>
      <c r="J669" s="68">
        <v>153.82</v>
      </c>
      <c r="K669" s="68">
        <v>158.63</v>
      </c>
      <c r="L669" s="68">
        <v>180.56</v>
      </c>
      <c r="M669" s="68">
        <v>182.81</v>
      </c>
      <c r="N669" s="68">
        <v>180.99</v>
      </c>
      <c r="O669" s="68">
        <v>190.32</v>
      </c>
      <c r="P669" s="68">
        <v>216.34</v>
      </c>
      <c r="Q669" s="68">
        <v>214.26</v>
      </c>
      <c r="R669" s="68">
        <v>220.54</v>
      </c>
      <c r="S669" s="68">
        <v>185.25</v>
      </c>
      <c r="T669" s="68">
        <v>158.52000000000001</v>
      </c>
      <c r="U669" s="68">
        <v>153.34</v>
      </c>
      <c r="V669" s="68">
        <v>143.46</v>
      </c>
      <c r="W669" s="94">
        <v>181.12</v>
      </c>
      <c r="X669" s="13">
        <f t="shared" si="13"/>
        <v>-6.9130429584284947E-2</v>
      </c>
      <c r="Y669" s="13">
        <f t="shared" si="14"/>
        <v>-7.8246015130302937E-2</v>
      </c>
      <c r="Z669" s="13">
        <f t="shared" si="15"/>
        <v>-0.10740611718804416</v>
      </c>
      <c r="AA669" s="13">
        <f t="shared" si="16"/>
        <v>-6.4473827996940347E-3</v>
      </c>
    </row>
    <row r="670" spans="1:27" x14ac:dyDescent="0.3">
      <c r="A670" s="4">
        <v>260126</v>
      </c>
      <c r="B670" s="23" t="s">
        <v>485</v>
      </c>
      <c r="C670" s="73" t="s">
        <v>635</v>
      </c>
      <c r="D670" s="4" t="s">
        <v>29</v>
      </c>
      <c r="F670" s="65">
        <v>-1.4057929993395499</v>
      </c>
      <c r="G670" s="68">
        <v>18.68</v>
      </c>
      <c r="H670" s="68">
        <v>18.399999999999999</v>
      </c>
      <c r="I670" s="68">
        <v>18.940000000000001</v>
      </c>
      <c r="J670" s="68">
        <v>21.24</v>
      </c>
      <c r="K670" s="68">
        <v>17.62</v>
      </c>
      <c r="L670" s="68">
        <v>12.13</v>
      </c>
      <c r="M670" s="68">
        <v>25.04</v>
      </c>
      <c r="N670" s="68">
        <v>26.62</v>
      </c>
      <c r="O670" s="68">
        <v>24.79</v>
      </c>
      <c r="P670" s="68">
        <v>20.52</v>
      </c>
      <c r="Q670" s="68">
        <v>24.95</v>
      </c>
      <c r="R670" s="68">
        <v>24.51</v>
      </c>
      <c r="S670" s="68">
        <v>27.4</v>
      </c>
      <c r="T670" s="68">
        <v>25.5</v>
      </c>
      <c r="U670" s="68">
        <v>26.36</v>
      </c>
      <c r="V670" s="68">
        <v>26.73</v>
      </c>
      <c r="W670" s="94">
        <v>25.91</v>
      </c>
      <c r="X670" s="13">
        <f t="shared" si="13"/>
        <v>5.1139864448552119E-2</v>
      </c>
      <c r="Y670" s="13">
        <f t="shared" si="14"/>
        <v>1.3774912075029233E-2</v>
      </c>
      <c r="Z670" s="13">
        <f t="shared" si="15"/>
        <v>2.139346631974548E-2</v>
      </c>
      <c r="AA670" s="13">
        <f t="shared" si="16"/>
        <v>-1.4057929993395502E-2</v>
      </c>
    </row>
    <row r="671" spans="1:27" x14ac:dyDescent="0.3">
      <c r="A671" s="4">
        <v>260126</v>
      </c>
      <c r="B671" s="23" t="s">
        <v>497</v>
      </c>
      <c r="C671" s="73" t="s">
        <v>635</v>
      </c>
      <c r="D671" s="4" t="s">
        <v>136</v>
      </c>
      <c r="F671" s="65">
        <v>-3.9938436664386678</v>
      </c>
      <c r="G671" s="68">
        <v>385.44</v>
      </c>
      <c r="H671" s="68">
        <v>763.24</v>
      </c>
      <c r="I671" s="68">
        <v>214.46</v>
      </c>
      <c r="J671" s="68">
        <v>276.98</v>
      </c>
      <c r="K671" s="68">
        <v>544.45000000000005</v>
      </c>
      <c r="L671" s="68">
        <v>417.4</v>
      </c>
      <c r="M671" s="69">
        <v>500.27</v>
      </c>
      <c r="N671" s="68">
        <v>429.34</v>
      </c>
      <c r="O671" s="68">
        <v>566.65</v>
      </c>
      <c r="P671" s="68">
        <v>592.62</v>
      </c>
      <c r="Q671" s="68">
        <v>509.26</v>
      </c>
      <c r="R671" s="68">
        <v>530.79</v>
      </c>
      <c r="S671" s="68">
        <v>706.35</v>
      </c>
      <c r="T671" s="68">
        <v>589.71</v>
      </c>
      <c r="U671" s="68">
        <v>609.04</v>
      </c>
      <c r="V671" s="68">
        <v>667.86</v>
      </c>
      <c r="W671" s="94">
        <v>603.59</v>
      </c>
      <c r="X671" s="13">
        <f t="shared" si="13"/>
        <v>-1.2441107814382679E-3</v>
      </c>
      <c r="Y671" s="13">
        <f t="shared" si="14"/>
        <v>4.2712029827362441E-2</v>
      </c>
      <c r="Z671" s="13">
        <f t="shared" si="15"/>
        <v>5.627101387993716E-2</v>
      </c>
      <c r="AA671" s="13">
        <f t="shared" si="16"/>
        <v>-3.9938436664386456E-2</v>
      </c>
    </row>
    <row r="672" spans="1:27" ht="15" x14ac:dyDescent="0.25">
      <c r="A672" s="74" t="s">
        <v>634</v>
      </c>
      <c r="B672" s="75" t="s">
        <v>499</v>
      </c>
      <c r="C672" s="76" t="s">
        <v>635</v>
      </c>
      <c r="D672" s="77"/>
      <c r="E672" s="71"/>
      <c r="F672" s="78">
        <v>265.17205422314908</v>
      </c>
      <c r="G672" s="71">
        <v>8.0299999999999994</v>
      </c>
      <c r="H672" s="71">
        <v>8.98</v>
      </c>
      <c r="I672" s="71">
        <v>8.61</v>
      </c>
      <c r="J672" s="71">
        <v>10.210000000000001</v>
      </c>
      <c r="K672" s="71">
        <v>8.58</v>
      </c>
      <c r="L672" s="77">
        <v>7.27</v>
      </c>
      <c r="M672" s="77">
        <v>8.24</v>
      </c>
      <c r="N672" s="77">
        <v>5.19</v>
      </c>
      <c r="O672" s="77">
        <v>0.45</v>
      </c>
      <c r="P672" s="77">
        <v>5.61</v>
      </c>
      <c r="Q672" s="77">
        <v>5.34</v>
      </c>
      <c r="R672" s="77">
        <v>4.8499999999999996</v>
      </c>
      <c r="S672" s="77">
        <v>-16.059999999999999</v>
      </c>
      <c r="T672" s="77">
        <v>7.29</v>
      </c>
      <c r="U672" s="79">
        <v>7.83</v>
      </c>
      <c r="V672" s="79">
        <v>10.53</v>
      </c>
      <c r="W672" s="95">
        <v>9.3699999999999992</v>
      </c>
      <c r="X672" s="13">
        <f t="shared" si="13"/>
        <v>-6.4615384615384688</v>
      </c>
      <c r="Y672" s="13">
        <f t="shared" si="14"/>
        <v>1.7535211267605626</v>
      </c>
      <c r="Z672" s="13">
        <f t="shared" si="15"/>
        <v>1.4526854219948842</v>
      </c>
      <c r="AA672" s="13">
        <f t="shared" si="16"/>
        <v>2.6517205422314909</v>
      </c>
    </row>
    <row r="673" spans="1:27" ht="15" x14ac:dyDescent="0.25">
      <c r="A673" s="4" t="s">
        <v>634</v>
      </c>
      <c r="B673" s="23" t="s">
        <v>500</v>
      </c>
      <c r="C673" s="73" t="s">
        <v>635</v>
      </c>
      <c r="D673" s="71"/>
      <c r="E673" s="71"/>
      <c r="F673" s="70">
        <v>143.57061575420411</v>
      </c>
      <c r="G673" s="71">
        <v>92.05</v>
      </c>
      <c r="H673" s="71">
        <v>92.91</v>
      </c>
      <c r="I673" s="71">
        <v>110.19</v>
      </c>
      <c r="J673" s="71">
        <v>122.44</v>
      </c>
      <c r="K673" s="72">
        <v>134.09</v>
      </c>
      <c r="L673" s="71">
        <v>130.69999999999999</v>
      </c>
      <c r="M673" s="71">
        <v>110.69</v>
      </c>
      <c r="N673" s="71">
        <v>102.67</v>
      </c>
      <c r="O673" s="71">
        <v>-138.01</v>
      </c>
      <c r="P673" s="71">
        <v>101.19</v>
      </c>
      <c r="Q673" s="71">
        <v>102.88</v>
      </c>
      <c r="R673" s="71">
        <v>108.14</v>
      </c>
      <c r="S673" s="71">
        <v>-177.75</v>
      </c>
      <c r="T673" s="72">
        <v>121.1</v>
      </c>
      <c r="U673" s="72">
        <v>139.63</v>
      </c>
      <c r="V673" s="72">
        <v>154.29</v>
      </c>
      <c r="W673" s="96">
        <v>162.9</v>
      </c>
      <c r="X673" s="13">
        <f t="shared" si="13"/>
        <v>0.14807377658783283</v>
      </c>
      <c r="Y673" s="13">
        <f t="shared" si="14"/>
        <v>0.23806439074949814</v>
      </c>
      <c r="Z673" s="13">
        <f t="shared" si="15"/>
        <v>0.24147132691502704</v>
      </c>
      <c r="AA673" s="13">
        <f t="shared" si="16"/>
        <v>1.4357061575420409</v>
      </c>
    </row>
    <row r="674" spans="1:27" ht="15" x14ac:dyDescent="0.25">
      <c r="A674" s="4" t="s">
        <v>634</v>
      </c>
      <c r="B674" s="23" t="s">
        <v>501</v>
      </c>
      <c r="C674" s="73" t="s">
        <v>635</v>
      </c>
      <c r="D674" s="71"/>
      <c r="E674" s="71"/>
      <c r="F674" s="70">
        <v>85.35800482703138</v>
      </c>
      <c r="G674" s="71">
        <v>768</v>
      </c>
      <c r="H674" s="71">
        <v>537</v>
      </c>
      <c r="I674" s="71">
        <v>662</v>
      </c>
      <c r="J674" s="71">
        <v>664</v>
      </c>
      <c r="K674" s="71">
        <v>470</v>
      </c>
      <c r="L674" s="71">
        <v>392</v>
      </c>
      <c r="M674" s="71">
        <v>344</v>
      </c>
      <c r="N674" s="71">
        <v>367</v>
      </c>
      <c r="O674" s="71">
        <v>57</v>
      </c>
      <c r="P674" s="71">
        <v>278</v>
      </c>
      <c r="Q674" s="71">
        <v>335</v>
      </c>
      <c r="R674" s="71">
        <v>-506</v>
      </c>
      <c r="S674" s="71">
        <v>-413</v>
      </c>
      <c r="T674" s="71">
        <v>515</v>
      </c>
      <c r="U674" s="71">
        <v>539</v>
      </c>
      <c r="V674" s="72">
        <v>602</v>
      </c>
      <c r="W674" s="96">
        <v>648</v>
      </c>
      <c r="X674" s="13">
        <f t="shared" si="13"/>
        <v>-0.77450980392156865</v>
      </c>
      <c r="Y674" s="13">
        <f t="shared" si="14"/>
        <v>-2.9565217391304346</v>
      </c>
      <c r="Z674" s="13">
        <f t="shared" si="15"/>
        <v>8.2074074074074073</v>
      </c>
      <c r="AA674" s="13">
        <f t="shared" si="16"/>
        <v>0.85358004827031375</v>
      </c>
    </row>
    <row r="675" spans="1:27" ht="15" x14ac:dyDescent="0.25">
      <c r="A675" s="4" t="s">
        <v>634</v>
      </c>
      <c r="B675" s="23" t="s">
        <v>502</v>
      </c>
      <c r="C675" s="73" t="s">
        <v>635</v>
      </c>
      <c r="D675" s="71"/>
      <c r="E675" s="71"/>
      <c r="F675" s="70">
        <v>70.65737919024815</v>
      </c>
      <c r="G675" s="71">
        <v>51.17</v>
      </c>
      <c r="H675" s="71">
        <v>48.02</v>
      </c>
      <c r="I675" s="71">
        <v>53.75</v>
      </c>
      <c r="J675" s="71">
        <v>54.91</v>
      </c>
      <c r="K675" s="71">
        <v>55.23</v>
      </c>
      <c r="L675" s="71">
        <v>50.93</v>
      </c>
      <c r="M675" s="71">
        <v>37.549999999999997</v>
      </c>
      <c r="N675" s="71">
        <v>23.08</v>
      </c>
      <c r="O675" s="71">
        <v>25.33</v>
      </c>
      <c r="P675" s="71">
        <v>24.28</v>
      </c>
      <c r="Q675" s="71">
        <v>26.03</v>
      </c>
      <c r="R675" s="71">
        <v>18.22</v>
      </c>
      <c r="S675" s="71">
        <v>-17.09</v>
      </c>
      <c r="T675" s="71">
        <v>28.71</v>
      </c>
      <c r="U675" s="72">
        <v>40.17</v>
      </c>
      <c r="V675" s="72">
        <v>40.090000000000003</v>
      </c>
      <c r="W675" s="96">
        <v>47.83</v>
      </c>
      <c r="X675" s="13">
        <f t="shared" si="13"/>
        <v>8.6119751166407577E-2</v>
      </c>
      <c r="Y675" s="13">
        <f t="shared" si="14"/>
        <v>0.25308752461070338</v>
      </c>
      <c r="Z675" s="13">
        <f t="shared" si="15"/>
        <v>0.3123839451506929</v>
      </c>
      <c r="AA675" s="13">
        <f t="shared" si="16"/>
        <v>0.70657379190248149</v>
      </c>
    </row>
    <row r="676" spans="1:27" ht="15" x14ac:dyDescent="0.25">
      <c r="A676" s="4" t="s">
        <v>634</v>
      </c>
      <c r="B676" s="23" t="s">
        <v>503</v>
      </c>
      <c r="C676" s="73" t="s">
        <v>635</v>
      </c>
      <c r="D676" s="71"/>
      <c r="E676" s="71"/>
      <c r="F676" s="70">
        <v>51.715712312758953</v>
      </c>
      <c r="G676" s="71">
        <v>47.78</v>
      </c>
      <c r="H676" s="71">
        <v>42.9</v>
      </c>
      <c r="I676" s="71">
        <v>122.32</v>
      </c>
      <c r="J676" s="71">
        <v>44.39</v>
      </c>
      <c r="K676" s="71">
        <v>0.72</v>
      </c>
      <c r="L676" s="71">
        <v>3.61</v>
      </c>
      <c r="M676" s="71">
        <v>18.97</v>
      </c>
      <c r="N676" s="71">
        <v>42.76</v>
      </c>
      <c r="O676" s="72">
        <v>17.48</v>
      </c>
      <c r="P676" s="72">
        <v>22.11</v>
      </c>
      <c r="Q676" s="72">
        <v>36.06</v>
      </c>
      <c r="R676" s="71">
        <v>17.84</v>
      </c>
      <c r="S676" s="71">
        <v>13.23</v>
      </c>
      <c r="T676" s="71">
        <v>13.13</v>
      </c>
      <c r="U676" s="71">
        <v>31.2</v>
      </c>
      <c r="V676" s="72">
        <v>36.57</v>
      </c>
      <c r="W676" s="96">
        <v>61.91</v>
      </c>
      <c r="X676" s="13">
        <f t="shared" si="13"/>
        <v>-0.10062752129090102</v>
      </c>
      <c r="Y676" s="13">
        <f t="shared" si="14"/>
        <v>-6.0553202093197145E-2</v>
      </c>
      <c r="Z676" s="13">
        <f t="shared" si="15"/>
        <v>0.24840848806366034</v>
      </c>
      <c r="AA676" s="13">
        <f t="shared" si="16"/>
        <v>0.51715712312758955</v>
      </c>
    </row>
    <row r="677" spans="1:27" ht="15" x14ac:dyDescent="0.25">
      <c r="A677" s="4" t="s">
        <v>634</v>
      </c>
      <c r="B677" s="23" t="s">
        <v>504</v>
      </c>
      <c r="C677" s="73" t="s">
        <v>635</v>
      </c>
      <c r="D677" s="71"/>
      <c r="E677" s="71"/>
      <c r="F677" s="70">
        <v>35.788113695090431</v>
      </c>
      <c r="G677" s="71">
        <v>899</v>
      </c>
      <c r="H677" s="71">
        <v>846</v>
      </c>
      <c r="I677" s="71">
        <v>634</v>
      </c>
      <c r="J677" s="71">
        <v>417</v>
      </c>
      <c r="K677" s="71">
        <v>445</v>
      </c>
      <c r="L677" s="71">
        <v>388</v>
      </c>
      <c r="M677" s="71">
        <v>403</v>
      </c>
      <c r="N677" s="71">
        <v>228</v>
      </c>
      <c r="O677" s="71">
        <v>84</v>
      </c>
      <c r="P677" s="71">
        <v>183</v>
      </c>
      <c r="Q677" s="71">
        <v>279</v>
      </c>
      <c r="R677" s="71">
        <v>265</v>
      </c>
      <c r="S677" s="71">
        <v>109</v>
      </c>
      <c r="T677" s="71">
        <v>-284</v>
      </c>
      <c r="U677" s="72">
        <v>436</v>
      </c>
      <c r="V677" s="72">
        <v>513</v>
      </c>
      <c r="W677" s="96">
        <v>386</v>
      </c>
      <c r="X677" s="13">
        <f t="shared" si="13"/>
        <v>-0.55861244019138756</v>
      </c>
      <c r="Y677" s="13">
        <f t="shared" si="14"/>
        <v>0.42547425474254741</v>
      </c>
      <c r="Z677" s="13">
        <f t="shared" si="15"/>
        <v>0.47148288973384034</v>
      </c>
      <c r="AA677" s="13">
        <f t="shared" si="16"/>
        <v>0.35788113695090429</v>
      </c>
    </row>
    <row r="678" spans="1:27" ht="15" x14ac:dyDescent="0.25">
      <c r="A678" s="4" t="s">
        <v>634</v>
      </c>
      <c r="B678" s="23" t="s">
        <v>505</v>
      </c>
      <c r="C678" s="73" t="s">
        <v>635</v>
      </c>
      <c r="D678" s="71"/>
      <c r="E678" s="71"/>
      <c r="F678" s="70">
        <v>31.991373112868441</v>
      </c>
      <c r="G678" s="71">
        <v>8.9</v>
      </c>
      <c r="H678" s="71">
        <v>10.5</v>
      </c>
      <c r="I678" s="71">
        <v>10.92</v>
      </c>
      <c r="J678" s="71">
        <v>11.67</v>
      </c>
      <c r="K678" s="72">
        <v>13.3</v>
      </c>
      <c r="L678" s="71">
        <v>12.22</v>
      </c>
      <c r="M678" s="71">
        <v>12.56</v>
      </c>
      <c r="N678" s="71">
        <v>13.8</v>
      </c>
      <c r="O678" s="71">
        <v>15.04</v>
      </c>
      <c r="P678" s="71">
        <v>14.08</v>
      </c>
      <c r="Q678" s="71">
        <v>10.88</v>
      </c>
      <c r="R678" s="71">
        <v>15.48</v>
      </c>
      <c r="S678" s="71">
        <v>2.5299999999999998</v>
      </c>
      <c r="T678" s="71">
        <v>12.99</v>
      </c>
      <c r="U678" s="71">
        <v>10.44</v>
      </c>
      <c r="V678" s="71">
        <v>15.77</v>
      </c>
      <c r="W678" s="96">
        <v>15.88</v>
      </c>
      <c r="X678" s="13">
        <f t="shared" si="13"/>
        <v>-2.5366534791715023E-2</v>
      </c>
      <c r="Y678" s="13">
        <f t="shared" si="14"/>
        <v>-1.0506208213944768E-2</v>
      </c>
      <c r="Z678" s="13">
        <f t="shared" si="15"/>
        <v>6.9980694980695812E-3</v>
      </c>
      <c r="AA678" s="13">
        <f t="shared" si="16"/>
        <v>0.31991373112868438</v>
      </c>
    </row>
    <row r="679" spans="1:27" ht="15" x14ac:dyDescent="0.25">
      <c r="A679" s="4" t="s">
        <v>634</v>
      </c>
      <c r="B679" s="23" t="s">
        <v>506</v>
      </c>
      <c r="C679" s="73" t="s">
        <v>635</v>
      </c>
      <c r="D679" s="71"/>
      <c r="E679" s="71"/>
      <c r="F679" s="70">
        <v>29.886755292959119</v>
      </c>
      <c r="G679" s="71">
        <v>10.45</v>
      </c>
      <c r="H679" s="71">
        <v>19.260000000000002</v>
      </c>
      <c r="I679" s="71">
        <v>16.940000000000001</v>
      </c>
      <c r="J679" s="71">
        <v>18.809999999999999</v>
      </c>
      <c r="K679" s="71">
        <v>15.26</v>
      </c>
      <c r="L679" s="71">
        <v>14.85</v>
      </c>
      <c r="M679" s="71">
        <v>12.95</v>
      </c>
      <c r="N679" s="71">
        <v>14.27</v>
      </c>
      <c r="O679" s="71">
        <v>-39.659999999999997</v>
      </c>
      <c r="P679" s="72">
        <v>17.760000000000002</v>
      </c>
      <c r="Q679" s="72">
        <v>16.3</v>
      </c>
      <c r="R679" s="72">
        <v>23.84</v>
      </c>
      <c r="S679" s="72">
        <v>20.39</v>
      </c>
      <c r="T679" s="71">
        <v>18.850000000000001</v>
      </c>
      <c r="U679" s="71">
        <v>18.37</v>
      </c>
      <c r="V679" s="71">
        <v>-37.299999999999997</v>
      </c>
      <c r="W679" s="96">
        <v>26.46</v>
      </c>
      <c r="X679" s="13">
        <f t="shared" si="13"/>
        <v>1.3922595478349509E-2</v>
      </c>
      <c r="Y679" s="13">
        <f t="shared" si="14"/>
        <v>2.6077097505669E-2</v>
      </c>
      <c r="Z679" s="13">
        <f t="shared" si="15"/>
        <v>-0.75064456721915285</v>
      </c>
      <c r="AA679" s="13">
        <f t="shared" si="16"/>
        <v>0.29886755292959122</v>
      </c>
    </row>
    <row r="680" spans="1:27" ht="15" x14ac:dyDescent="0.25">
      <c r="A680" s="4" t="s">
        <v>634</v>
      </c>
      <c r="B680" s="23" t="s">
        <v>507</v>
      </c>
      <c r="C680" s="73" t="s">
        <v>635</v>
      </c>
      <c r="D680" s="71"/>
      <c r="E680" s="71"/>
      <c r="F680" s="70">
        <v>28.71759890859482</v>
      </c>
      <c r="G680" s="71">
        <v>3.33</v>
      </c>
      <c r="H680" s="71">
        <v>3.5</v>
      </c>
      <c r="I680" s="71">
        <v>3.43</v>
      </c>
      <c r="J680" s="71">
        <v>3.65</v>
      </c>
      <c r="K680" s="71">
        <v>3.98</v>
      </c>
      <c r="L680" s="71">
        <v>4.3099999999999996</v>
      </c>
      <c r="M680" s="72">
        <v>5.21</v>
      </c>
      <c r="N680" s="71">
        <v>5.08</v>
      </c>
      <c r="O680" s="71">
        <v>4.0199999999999996</v>
      </c>
      <c r="P680" s="71">
        <v>3.6</v>
      </c>
      <c r="Q680" s="71">
        <v>4.72</v>
      </c>
      <c r="R680" s="71">
        <v>5.24</v>
      </c>
      <c r="S680" s="71">
        <v>2.85</v>
      </c>
      <c r="T680" s="71">
        <v>2.7</v>
      </c>
      <c r="U680" s="71">
        <v>3.94</v>
      </c>
      <c r="V680" s="71">
        <v>5.17</v>
      </c>
      <c r="W680" s="96">
        <v>7.06</v>
      </c>
      <c r="X680" s="13">
        <f t="shared" si="13"/>
        <v>-5.4844606946983454E-2</v>
      </c>
      <c r="Y680" s="13">
        <f t="shared" si="14"/>
        <v>-5.0290135396518609E-2</v>
      </c>
      <c r="Z680" s="13">
        <f t="shared" si="15"/>
        <v>-4.7522063815341742E-3</v>
      </c>
      <c r="AA680" s="13">
        <f t="shared" si="16"/>
        <v>0.28717598908594821</v>
      </c>
    </row>
    <row r="681" spans="1:27" ht="15" x14ac:dyDescent="0.25">
      <c r="A681" s="4" t="s">
        <v>634</v>
      </c>
      <c r="B681" s="23" t="s">
        <v>508</v>
      </c>
      <c r="C681" s="73" t="s">
        <v>635</v>
      </c>
      <c r="D681" s="71"/>
      <c r="E681" s="71"/>
      <c r="F681" s="70">
        <v>27.06727168597736</v>
      </c>
      <c r="G681" s="71">
        <v>115.25</v>
      </c>
      <c r="H681" s="71">
        <v>96.09</v>
      </c>
      <c r="I681" s="71">
        <v>77.55</v>
      </c>
      <c r="J681" s="71">
        <v>81.81</v>
      </c>
      <c r="K681" s="71">
        <v>35.85</v>
      </c>
      <c r="L681" s="71">
        <v>68.28</v>
      </c>
      <c r="M681" s="71">
        <v>68.34</v>
      </c>
      <c r="N681" s="72">
        <v>110.23</v>
      </c>
      <c r="O681" s="72">
        <v>83.89</v>
      </c>
      <c r="P681" s="71">
        <v>65.38</v>
      </c>
      <c r="Q681" s="71">
        <v>77.12</v>
      </c>
      <c r="R681" s="71">
        <v>46.02</v>
      </c>
      <c r="S681" s="71">
        <v>35.86</v>
      </c>
      <c r="T681" s="71">
        <v>11.89</v>
      </c>
      <c r="U681" s="71">
        <v>78.900000000000006</v>
      </c>
      <c r="V681" s="72">
        <v>100.34</v>
      </c>
      <c r="W681" s="96">
        <v>97.3</v>
      </c>
      <c r="X681" s="13">
        <f t="shared" si="13"/>
        <v>-0.2383902308583653</v>
      </c>
      <c r="Y681" s="13">
        <f t="shared" si="14"/>
        <v>1.0416057112762722E-2</v>
      </c>
      <c r="Z681" s="13">
        <f t="shared" si="15"/>
        <v>0.31458852145711469</v>
      </c>
      <c r="AA681" s="13">
        <f t="shared" si="16"/>
        <v>0.27067271685977357</v>
      </c>
    </row>
    <row r="682" spans="1:27" ht="15" x14ac:dyDescent="0.25">
      <c r="A682" s="4" t="s">
        <v>634</v>
      </c>
      <c r="B682" s="23" t="s">
        <v>509</v>
      </c>
      <c r="C682" s="73" t="s">
        <v>635</v>
      </c>
      <c r="D682" s="71"/>
      <c r="E682" s="71"/>
      <c r="F682" s="70">
        <v>26.416085227699</v>
      </c>
      <c r="G682" s="71">
        <v>55.8</v>
      </c>
      <c r="H682" s="71">
        <v>52.96</v>
      </c>
      <c r="I682" s="71">
        <v>74.73</v>
      </c>
      <c r="J682" s="71">
        <v>69.959999999999994</v>
      </c>
      <c r="K682" s="72">
        <v>82.3</v>
      </c>
      <c r="L682" s="71">
        <v>42.95</v>
      </c>
      <c r="M682" s="71">
        <v>64.55</v>
      </c>
      <c r="N682" s="71">
        <v>65.540000000000006</v>
      </c>
      <c r="O682" s="71">
        <v>66.87</v>
      </c>
      <c r="P682" s="71">
        <v>59.87</v>
      </c>
      <c r="Q682" s="71">
        <v>36.590000000000003</v>
      </c>
      <c r="R682" s="72">
        <v>92.03</v>
      </c>
      <c r="S682" s="71">
        <v>71.3</v>
      </c>
      <c r="T682" s="71">
        <v>61.51</v>
      </c>
      <c r="U682" s="71">
        <v>17.489999999999998</v>
      </c>
      <c r="V682" s="72">
        <v>116.28</v>
      </c>
      <c r="W682" s="96">
        <v>141.72</v>
      </c>
      <c r="X682" s="13">
        <f t="shared" si="13"/>
        <v>6.3127911005043114E-3</v>
      </c>
      <c r="Y682" s="13">
        <f t="shared" si="14"/>
        <v>-7.3059710056229243E-2</v>
      </c>
      <c r="Z682" s="13">
        <f t="shared" si="15"/>
        <v>0.1000701522716958</v>
      </c>
      <c r="AA682" s="13">
        <f t="shared" si="16"/>
        <v>0.26416085227698982</v>
      </c>
    </row>
    <row r="683" spans="1:27" ht="15" x14ac:dyDescent="0.25">
      <c r="A683" s="4" t="s">
        <v>634</v>
      </c>
      <c r="B683" s="23" t="s">
        <v>510</v>
      </c>
      <c r="C683" s="73" t="s">
        <v>635</v>
      </c>
      <c r="D683" s="71"/>
      <c r="E683" s="71"/>
      <c r="F683" s="70">
        <v>22.73070122290504</v>
      </c>
      <c r="G683" s="71">
        <v>398.93</v>
      </c>
      <c r="H683" s="71">
        <v>166.17</v>
      </c>
      <c r="I683" s="71">
        <v>456.37</v>
      </c>
      <c r="J683" s="71">
        <v>104.72</v>
      </c>
      <c r="K683" s="71">
        <v>-93.93</v>
      </c>
      <c r="L683" s="71">
        <v>155.86000000000001</v>
      </c>
      <c r="M683" s="71">
        <v>356.55</v>
      </c>
      <c r="N683" s="71">
        <v>40.61</v>
      </c>
      <c r="O683" s="72">
        <v>226.24</v>
      </c>
      <c r="P683" s="72">
        <v>387.49</v>
      </c>
      <c r="Q683" s="71">
        <v>338.55</v>
      </c>
      <c r="R683" s="71">
        <v>-59.56</v>
      </c>
      <c r="S683" s="71">
        <v>132.16999999999999</v>
      </c>
      <c r="T683" s="71">
        <v>403.12</v>
      </c>
      <c r="U683" s="71">
        <v>87.63</v>
      </c>
      <c r="V683" s="72">
        <v>185.81</v>
      </c>
      <c r="W683" s="96">
        <v>316</v>
      </c>
      <c r="X683" s="13">
        <f t="shared" si="13"/>
        <v>1.957052526137848E-2</v>
      </c>
      <c r="Y683" s="13">
        <f t="shared" si="14"/>
        <v>-0.30814953087390085</v>
      </c>
      <c r="Z683" s="13">
        <f t="shared" si="15"/>
        <v>0.43554742970746951</v>
      </c>
      <c r="AA683" s="13">
        <f t="shared" si="16"/>
        <v>0.22730701222905036</v>
      </c>
    </row>
    <row r="684" spans="1:27" ht="15" x14ac:dyDescent="0.25">
      <c r="A684" s="4" t="s">
        <v>634</v>
      </c>
      <c r="B684" s="23" t="s">
        <v>511</v>
      </c>
      <c r="C684" s="73" t="s">
        <v>635</v>
      </c>
      <c r="D684" s="71"/>
      <c r="E684" s="71"/>
      <c r="F684" s="70">
        <v>22.663252240717039</v>
      </c>
      <c r="G684" s="71">
        <v>6.35</v>
      </c>
      <c r="H684" s="71">
        <v>5.94</v>
      </c>
      <c r="I684" s="71">
        <v>6.77</v>
      </c>
      <c r="J684" s="71">
        <v>7.55</v>
      </c>
      <c r="K684" s="72">
        <v>11.5</v>
      </c>
      <c r="L684" s="71">
        <v>5.48</v>
      </c>
      <c r="M684" s="71">
        <v>4.4400000000000004</v>
      </c>
      <c r="N684" s="71">
        <v>3.69</v>
      </c>
      <c r="O684" s="71">
        <v>5.0599999999999996</v>
      </c>
      <c r="P684" s="71">
        <v>2.69</v>
      </c>
      <c r="Q684" s="71">
        <v>-0.49</v>
      </c>
      <c r="R684" s="71">
        <v>3.23</v>
      </c>
      <c r="S684" s="71">
        <v>3.69</v>
      </c>
      <c r="T684" s="72">
        <v>3.9</v>
      </c>
      <c r="U684" s="72">
        <v>2.65</v>
      </c>
      <c r="V684" s="72">
        <v>5.38</v>
      </c>
      <c r="W684" s="96">
        <v>7.23</v>
      </c>
      <c r="X684" s="13">
        <f t="shared" si="13"/>
        <v>0.13267543859649122</v>
      </c>
      <c r="Y684" s="13">
        <f t="shared" si="14"/>
        <v>0.30396902226524691</v>
      </c>
      <c r="Z684" s="13">
        <f t="shared" si="15"/>
        <v>0.15961395694135128</v>
      </c>
      <c r="AA684" s="13">
        <f t="shared" si="16"/>
        <v>0.22663252240717013</v>
      </c>
    </row>
    <row r="685" spans="1:27" ht="15" x14ac:dyDescent="0.25">
      <c r="A685" s="4" t="s">
        <v>634</v>
      </c>
      <c r="B685" s="23" t="s">
        <v>512</v>
      </c>
      <c r="C685" s="73" t="s">
        <v>635</v>
      </c>
      <c r="D685" s="71"/>
      <c r="E685" s="71"/>
      <c r="F685" s="70">
        <v>20.501635768811319</v>
      </c>
      <c r="G685" s="71">
        <v>32.15</v>
      </c>
      <c r="H685" s="71">
        <v>66.16</v>
      </c>
      <c r="I685" s="71">
        <v>0</v>
      </c>
      <c r="J685" s="71">
        <v>69.459999999999994</v>
      </c>
      <c r="K685" s="72">
        <v>48.96</v>
      </c>
      <c r="L685" s="71">
        <v>-267.45999999999998</v>
      </c>
      <c r="M685" s="71">
        <v>60.36</v>
      </c>
      <c r="N685" s="72">
        <v>47.29</v>
      </c>
      <c r="O685" s="72">
        <v>33.82</v>
      </c>
      <c r="P685" s="71">
        <v>48.94</v>
      </c>
      <c r="Q685" s="71">
        <v>38</v>
      </c>
      <c r="R685" s="71">
        <v>-3.35</v>
      </c>
      <c r="S685" s="72">
        <v>72.180000000000007</v>
      </c>
      <c r="T685" s="71">
        <v>-183.94</v>
      </c>
      <c r="U685" s="71">
        <v>100.32</v>
      </c>
      <c r="V685" s="71">
        <v>93.97</v>
      </c>
      <c r="W685" s="96">
        <v>89.1</v>
      </c>
      <c r="X685" s="13">
        <f t="shared" si="13"/>
        <v>-1.4950247159273287</v>
      </c>
      <c r="Y685" s="13">
        <f t="shared" si="14"/>
        <v>-0.80819608351705363</v>
      </c>
      <c r="Z685" s="13">
        <f t="shared" si="15"/>
        <v>-6.5801217038539583</v>
      </c>
      <c r="AA685" s="13">
        <f t="shared" si="16"/>
        <v>0.20501635768811322</v>
      </c>
    </row>
    <row r="686" spans="1:27" ht="15" x14ac:dyDescent="0.25">
      <c r="A686" s="4" t="s">
        <v>634</v>
      </c>
      <c r="B686" s="23" t="s">
        <v>513</v>
      </c>
      <c r="C686" s="73" t="s">
        <v>635</v>
      </c>
      <c r="D686" s="71"/>
      <c r="E686" s="71"/>
      <c r="F686" s="70">
        <v>19.759277833500509</v>
      </c>
      <c r="G686" s="71">
        <v>7.15</v>
      </c>
      <c r="H686" s="71">
        <v>6.45</v>
      </c>
      <c r="I686" s="71">
        <v>6.22</v>
      </c>
      <c r="J686" s="71">
        <v>6.98</v>
      </c>
      <c r="K686" s="71">
        <v>5.5</v>
      </c>
      <c r="L686" s="71">
        <v>3.87</v>
      </c>
      <c r="M686" s="71">
        <v>3.02</v>
      </c>
      <c r="N686" s="71">
        <v>3.52</v>
      </c>
      <c r="O686" s="71">
        <v>2.48</v>
      </c>
      <c r="P686" s="71">
        <v>2.72</v>
      </c>
      <c r="Q686" s="71">
        <v>2.57</v>
      </c>
      <c r="R686" s="71">
        <v>2.61</v>
      </c>
      <c r="S686" s="72">
        <v>4.34</v>
      </c>
      <c r="T686" s="72">
        <v>4.24</v>
      </c>
      <c r="U686" s="72">
        <v>5.64</v>
      </c>
      <c r="V686" s="72">
        <v>5.72</v>
      </c>
      <c r="W686" s="96">
        <v>8.2799999999999994</v>
      </c>
      <c r="X686" s="13">
        <f t="shared" si="13"/>
        <v>0.12418300653594772</v>
      </c>
      <c r="Y686" s="13">
        <f t="shared" si="14"/>
        <v>0.22311046511627897</v>
      </c>
      <c r="Z686" s="13">
        <f t="shared" si="15"/>
        <v>0.18478906714200827</v>
      </c>
      <c r="AA686" s="13">
        <f t="shared" si="16"/>
        <v>0.19759277833500488</v>
      </c>
    </row>
    <row r="687" spans="1:27" ht="15" x14ac:dyDescent="0.25">
      <c r="A687" s="4" t="s">
        <v>634</v>
      </c>
      <c r="B687" s="23" t="s">
        <v>514</v>
      </c>
      <c r="C687" s="73" t="s">
        <v>635</v>
      </c>
      <c r="D687" s="71"/>
      <c r="E687" s="71"/>
      <c r="F687" s="70">
        <v>17.6174223955794</v>
      </c>
      <c r="G687" s="71">
        <v>0.59</v>
      </c>
      <c r="H687" s="71">
        <v>13.92</v>
      </c>
      <c r="I687" s="71">
        <v>15.02</v>
      </c>
      <c r="J687" s="71">
        <v>19.11</v>
      </c>
      <c r="K687" s="72">
        <v>19.3</v>
      </c>
      <c r="L687" s="71">
        <v>13.81</v>
      </c>
      <c r="M687" s="71">
        <v>4.9800000000000004</v>
      </c>
      <c r="N687" s="71">
        <v>11.51</v>
      </c>
      <c r="O687" s="71">
        <v>14.39</v>
      </c>
      <c r="P687" s="71">
        <v>14.71</v>
      </c>
      <c r="Q687" s="72">
        <v>14.27</v>
      </c>
      <c r="R687" s="71">
        <v>14.87</v>
      </c>
      <c r="S687" s="71">
        <v>16.18</v>
      </c>
      <c r="T687" s="71">
        <v>16.809999999999999</v>
      </c>
      <c r="U687" s="71">
        <v>4.28</v>
      </c>
      <c r="V687" s="72">
        <v>24.26</v>
      </c>
      <c r="W687" s="96">
        <v>27.02</v>
      </c>
      <c r="X687" s="13">
        <f t="shared" si="13"/>
        <v>3.4982508745627028E-2</v>
      </c>
      <c r="Y687" s="13">
        <f t="shared" si="14"/>
        <v>-0.16079188797682276</v>
      </c>
      <c r="Z687" s="13">
        <f t="shared" si="15"/>
        <v>0.18009205983889531</v>
      </c>
      <c r="AA687" s="13">
        <f t="shared" si="16"/>
        <v>0.17617422395579396</v>
      </c>
    </row>
    <row r="688" spans="1:27" ht="15" x14ac:dyDescent="0.25">
      <c r="A688" s="4" t="s">
        <v>634</v>
      </c>
      <c r="B688" s="23" t="s">
        <v>515</v>
      </c>
      <c r="C688" s="73" t="s">
        <v>635</v>
      </c>
      <c r="D688" s="71"/>
      <c r="E688" s="71"/>
      <c r="F688" s="70">
        <v>17.437722419928821</v>
      </c>
      <c r="G688" s="71">
        <v>15.66</v>
      </c>
      <c r="H688" s="71">
        <v>10.3</v>
      </c>
      <c r="I688" s="71">
        <v>9.59</v>
      </c>
      <c r="J688" s="71">
        <v>11.14</v>
      </c>
      <c r="K688" s="71">
        <v>7.09</v>
      </c>
      <c r="L688" s="71">
        <v>3.54</v>
      </c>
      <c r="M688" s="71">
        <v>3.26</v>
      </c>
      <c r="N688" s="71">
        <v>5.29</v>
      </c>
      <c r="O688" s="71">
        <v>5.34</v>
      </c>
      <c r="P688" s="71">
        <v>3.38</v>
      </c>
      <c r="Q688" s="71">
        <v>3.91</v>
      </c>
      <c r="R688" s="71">
        <v>5.73</v>
      </c>
      <c r="S688" s="71">
        <v>6.89</v>
      </c>
      <c r="T688" s="72">
        <v>6.91</v>
      </c>
      <c r="U688" s="72">
        <v>8.59</v>
      </c>
      <c r="V688" s="72">
        <v>11.33</v>
      </c>
      <c r="W688" s="96">
        <v>12.77</v>
      </c>
      <c r="X688" s="13">
        <f t="shared" si="13"/>
        <v>0.17729784028126572</v>
      </c>
      <c r="Y688" s="13">
        <f t="shared" si="14"/>
        <v>0.19965870307167233</v>
      </c>
      <c r="Z688" s="13">
        <f t="shared" si="15"/>
        <v>0.19914651493598856</v>
      </c>
      <c r="AA688" s="13">
        <f t="shared" si="16"/>
        <v>0.17437722419928803</v>
      </c>
    </row>
    <row r="689" spans="1:27" ht="15" x14ac:dyDescent="0.25">
      <c r="A689" s="4" t="s">
        <v>634</v>
      </c>
      <c r="B689" s="23" t="s">
        <v>516</v>
      </c>
      <c r="C689" s="73" t="s">
        <v>635</v>
      </c>
      <c r="D689" s="71"/>
      <c r="E689" s="71"/>
      <c r="F689" s="70">
        <v>16.58109586735122</v>
      </c>
      <c r="G689" s="71">
        <v>62.84</v>
      </c>
      <c r="H689" s="71">
        <v>44.55</v>
      </c>
      <c r="I689" s="71">
        <v>26.07</v>
      </c>
      <c r="J689" s="71">
        <v>40.76</v>
      </c>
      <c r="K689" s="71">
        <v>48.19</v>
      </c>
      <c r="L689" s="71">
        <v>46.08</v>
      </c>
      <c r="M689" s="72">
        <v>45.14</v>
      </c>
      <c r="N689" s="71">
        <v>23.15</v>
      </c>
      <c r="O689" s="71">
        <v>35.92</v>
      </c>
      <c r="P689" s="71">
        <v>34.25</v>
      </c>
      <c r="Q689" s="71">
        <v>50.91</v>
      </c>
      <c r="R689" s="71">
        <v>11.39</v>
      </c>
      <c r="S689" s="72">
        <v>50.12</v>
      </c>
      <c r="T689" s="71">
        <v>48.83</v>
      </c>
      <c r="U689" s="71">
        <v>-9.74</v>
      </c>
      <c r="V689" s="72">
        <v>29.6</v>
      </c>
      <c r="W689" s="96">
        <v>69.819999999999993</v>
      </c>
      <c r="X689" s="13">
        <f t="shared" si="13"/>
        <v>9.9406831662916861E-2</v>
      </c>
      <c r="Y689" s="13">
        <f t="shared" si="14"/>
        <v>-0.37612403100775194</v>
      </c>
      <c r="Z689" s="13">
        <f t="shared" si="15"/>
        <v>0.18101391650099385</v>
      </c>
      <c r="AA689" s="13">
        <f t="shared" si="16"/>
        <v>0.16581095867351214</v>
      </c>
    </row>
    <row r="690" spans="1:27" ht="15" x14ac:dyDescent="0.25">
      <c r="A690" s="4" t="s">
        <v>634</v>
      </c>
      <c r="B690" s="23" t="s">
        <v>517</v>
      </c>
      <c r="C690" s="73" t="s">
        <v>635</v>
      </c>
      <c r="D690" s="71"/>
      <c r="E690" s="71"/>
      <c r="F690" s="70">
        <v>15.36444677503934</v>
      </c>
      <c r="G690" s="71">
        <v>-44</v>
      </c>
      <c r="H690" s="71">
        <v>-46</v>
      </c>
      <c r="I690" s="71">
        <v>10</v>
      </c>
      <c r="J690" s="71">
        <v>-25</v>
      </c>
      <c r="K690" s="71">
        <v>24</v>
      </c>
      <c r="L690" s="72">
        <v>-81</v>
      </c>
      <c r="M690" s="72">
        <v>-33</v>
      </c>
      <c r="N690" s="71">
        <v>8</v>
      </c>
      <c r="O690" s="71">
        <v>73</v>
      </c>
      <c r="P690" s="72">
        <v>-238</v>
      </c>
      <c r="Q690" s="72">
        <v>-94</v>
      </c>
      <c r="R690" s="72">
        <v>-112</v>
      </c>
      <c r="S690" s="72">
        <v>-81.400000000000006</v>
      </c>
      <c r="T690" s="71">
        <v>-117</v>
      </c>
      <c r="U690" s="71">
        <v>-74</v>
      </c>
      <c r="V690" s="71">
        <v>-109</v>
      </c>
      <c r="W690" s="96">
        <v>-140</v>
      </c>
      <c r="X690" s="13">
        <f t="shared" si="13"/>
        <v>-0.23030072325846973</v>
      </c>
      <c r="Y690" s="13">
        <f t="shared" si="14"/>
        <v>-4.9455984174085033E-2</v>
      </c>
      <c r="Z690" s="13">
        <f t="shared" si="15"/>
        <v>-7.804370447450526E-3</v>
      </c>
      <c r="AA690" s="13">
        <f t="shared" si="16"/>
        <v>0.15364446775039342</v>
      </c>
    </row>
    <row r="691" spans="1:27" ht="15" x14ac:dyDescent="0.25">
      <c r="A691" s="4" t="s">
        <v>634</v>
      </c>
      <c r="B691" s="23" t="s">
        <v>518</v>
      </c>
      <c r="C691" s="73" t="s">
        <v>635</v>
      </c>
      <c r="D691" s="71"/>
      <c r="E691" s="71"/>
      <c r="F691" s="70">
        <v>14.29110105580693</v>
      </c>
      <c r="G691" s="71">
        <v>111.34</v>
      </c>
      <c r="H691" s="71">
        <v>51.78</v>
      </c>
      <c r="I691" s="71">
        <v>-16.2</v>
      </c>
      <c r="J691" s="71">
        <v>574.07000000000005</v>
      </c>
      <c r="K691" s="71">
        <v>109.23</v>
      </c>
      <c r="L691" s="71">
        <v>120.88</v>
      </c>
      <c r="M691" s="72">
        <v>96.56</v>
      </c>
      <c r="N691" s="71">
        <v>15.16</v>
      </c>
      <c r="O691" s="71">
        <v>142.36000000000001</v>
      </c>
      <c r="P691" s="71">
        <v>156.84</v>
      </c>
      <c r="Q691" s="71">
        <v>103.26</v>
      </c>
      <c r="R691" s="72">
        <v>117.2</v>
      </c>
      <c r="S691" s="71">
        <v>61.45</v>
      </c>
      <c r="T691" s="71">
        <v>76.92</v>
      </c>
      <c r="U691" s="72">
        <v>155.4</v>
      </c>
      <c r="V691" s="71">
        <v>157.07</v>
      </c>
      <c r="W691" s="96">
        <v>125.88</v>
      </c>
      <c r="X691" s="13">
        <f t="shared" si="13"/>
        <v>-0.18215384615384611</v>
      </c>
      <c r="Y691" s="13">
        <f t="shared" si="14"/>
        <v>0.14530557645681785</v>
      </c>
      <c r="Z691" s="13">
        <f t="shared" si="15"/>
        <v>9.7014380611723405E-2</v>
      </c>
      <c r="AA691" s="13">
        <f t="shared" si="16"/>
        <v>0.14291101055806932</v>
      </c>
    </row>
    <row r="692" spans="1:27" ht="15" x14ac:dyDescent="0.25">
      <c r="A692" s="4" t="s">
        <v>634</v>
      </c>
      <c r="B692" s="23" t="s">
        <v>519</v>
      </c>
      <c r="C692" s="73" t="s">
        <v>635</v>
      </c>
      <c r="D692" s="71"/>
      <c r="E692" s="71"/>
      <c r="F692" s="70">
        <v>14.040453872718309</v>
      </c>
      <c r="G692" s="71">
        <v>135.12</v>
      </c>
      <c r="H692" s="71">
        <v>127.41</v>
      </c>
      <c r="I692" s="71">
        <v>152.12</v>
      </c>
      <c r="J692" s="71">
        <v>171.08</v>
      </c>
      <c r="K692" s="71">
        <v>182.76</v>
      </c>
      <c r="L692" s="71">
        <v>179.02</v>
      </c>
      <c r="M692" s="71">
        <v>157.94</v>
      </c>
      <c r="N692" s="71">
        <v>157.30000000000001</v>
      </c>
      <c r="O692" s="71">
        <v>136.58000000000001</v>
      </c>
      <c r="P692" s="71">
        <v>153.52000000000001</v>
      </c>
      <c r="Q692" s="71">
        <v>172.85</v>
      </c>
      <c r="R692" s="71">
        <v>186.54</v>
      </c>
      <c r="S692" s="71">
        <v>187.34</v>
      </c>
      <c r="T692" s="71">
        <v>121.25</v>
      </c>
      <c r="U692" s="72">
        <v>282.2</v>
      </c>
      <c r="V692" s="72">
        <v>321.36</v>
      </c>
      <c r="W692" s="96">
        <v>315.41000000000003</v>
      </c>
      <c r="X692" s="13">
        <f t="shared" si="13"/>
        <v>-4.6083541592288446E-2</v>
      </c>
      <c r="Y692" s="13">
        <f t="shared" si="14"/>
        <v>0.1637025060630557</v>
      </c>
      <c r="Z692" s="13">
        <f t="shared" si="15"/>
        <v>0.17343985180039367</v>
      </c>
      <c r="AA692" s="13">
        <f t="shared" si="16"/>
        <v>0.14040453872718306</v>
      </c>
    </row>
    <row r="693" spans="1:27" ht="15" x14ac:dyDescent="0.25">
      <c r="A693" s="4" t="s">
        <v>634</v>
      </c>
      <c r="B693" s="23" t="s">
        <v>520</v>
      </c>
      <c r="C693" s="73" t="s">
        <v>635</v>
      </c>
      <c r="D693" s="71"/>
      <c r="E693" s="71"/>
      <c r="F693" s="70">
        <v>14.037202893558391</v>
      </c>
      <c r="G693" s="71">
        <v>117.14</v>
      </c>
      <c r="H693" s="71">
        <v>121.5</v>
      </c>
      <c r="I693" s="71">
        <v>105.14</v>
      </c>
      <c r="J693" s="71">
        <v>111.51</v>
      </c>
      <c r="K693" s="71">
        <v>112.43</v>
      </c>
      <c r="L693" s="71">
        <v>-18.920000000000002</v>
      </c>
      <c r="M693" s="72">
        <v>179.08</v>
      </c>
      <c r="N693" s="72">
        <v>183.97</v>
      </c>
      <c r="O693" s="71">
        <v>127.07</v>
      </c>
      <c r="P693" s="72">
        <v>169.07</v>
      </c>
      <c r="Q693" s="71">
        <v>161.09</v>
      </c>
      <c r="R693" s="71">
        <v>196</v>
      </c>
      <c r="S693" s="71">
        <v>192.35</v>
      </c>
      <c r="T693" s="71">
        <v>123.85</v>
      </c>
      <c r="U693" s="71">
        <v>203.46</v>
      </c>
      <c r="V693" s="71">
        <v>119</v>
      </c>
      <c r="W693" s="96">
        <v>282</v>
      </c>
      <c r="X693" s="13">
        <f t="shared" si="13"/>
        <v>-6.2935797692446727E-2</v>
      </c>
      <c r="Y693" s="13">
        <f t="shared" si="14"/>
        <v>6.2929792511399185E-2</v>
      </c>
      <c r="Z693" s="13">
        <f t="shared" si="15"/>
        <v>-0.1075929910851523</v>
      </c>
      <c r="AA693" s="13">
        <f t="shared" si="16"/>
        <v>0.14037202893558387</v>
      </c>
    </row>
    <row r="694" spans="1:27" ht="15" x14ac:dyDescent="0.25">
      <c r="A694" s="4" t="s">
        <v>634</v>
      </c>
      <c r="B694" s="23" t="s">
        <v>521</v>
      </c>
      <c r="C694" s="73" t="s">
        <v>635</v>
      </c>
      <c r="D694" s="71"/>
      <c r="E694" s="71"/>
      <c r="F694" s="70">
        <v>13.842813721233171</v>
      </c>
      <c r="G694" s="71">
        <v>-1.1200000000000001</v>
      </c>
      <c r="H694" s="71">
        <v>70.2</v>
      </c>
      <c r="I694" s="71">
        <v>82.2</v>
      </c>
      <c r="J694" s="71">
        <v>95.07</v>
      </c>
      <c r="K694" s="72">
        <v>100.29</v>
      </c>
      <c r="L694" s="71">
        <v>81.33</v>
      </c>
      <c r="M694" s="71">
        <v>82.75</v>
      </c>
      <c r="N694" s="71">
        <v>80.14</v>
      </c>
      <c r="O694" s="71">
        <v>70.92</v>
      </c>
      <c r="P694" s="71">
        <v>62.5</v>
      </c>
      <c r="Q694" s="71">
        <v>66.39</v>
      </c>
      <c r="R694" s="71">
        <v>55.31</v>
      </c>
      <c r="S694" s="71">
        <v>62.93</v>
      </c>
      <c r="T694" s="71">
        <v>57.17</v>
      </c>
      <c r="U694" s="71">
        <v>65.81</v>
      </c>
      <c r="V694" s="71">
        <v>44.39</v>
      </c>
      <c r="W694" s="96">
        <v>94.81</v>
      </c>
      <c r="X694" s="13">
        <f t="shared" si="13"/>
        <v>-2.1567596002104117E-2</v>
      </c>
      <c r="Y694" s="13">
        <f t="shared" si="14"/>
        <v>-2.3986765922249242E-3</v>
      </c>
      <c r="Z694" s="13">
        <f t="shared" si="15"/>
        <v>-4.5269878119558959E-2</v>
      </c>
      <c r="AA694" s="13">
        <f t="shared" si="16"/>
        <v>0.13842813721233171</v>
      </c>
    </row>
    <row r="695" spans="1:27" ht="15" x14ac:dyDescent="0.25">
      <c r="A695" s="4" t="s">
        <v>634</v>
      </c>
      <c r="B695" s="23" t="s">
        <v>522</v>
      </c>
      <c r="C695" s="73" t="s">
        <v>635</v>
      </c>
      <c r="D695" s="71"/>
      <c r="E695" s="71"/>
      <c r="F695" s="70">
        <v>13.499855616517481</v>
      </c>
      <c r="G695" s="71">
        <v>24.32</v>
      </c>
      <c r="H695" s="71">
        <v>23.34</v>
      </c>
      <c r="I695" s="71">
        <v>22.56</v>
      </c>
      <c r="J695" s="71">
        <v>25.65</v>
      </c>
      <c r="K695" s="71">
        <v>27.89</v>
      </c>
      <c r="L695" s="71">
        <v>24.67</v>
      </c>
      <c r="M695" s="71">
        <v>19.87</v>
      </c>
      <c r="N695" s="71">
        <v>21.8</v>
      </c>
      <c r="O695" s="71">
        <v>6.58</v>
      </c>
      <c r="P695" s="71">
        <v>6.87</v>
      </c>
      <c r="Q695" s="71">
        <v>16</v>
      </c>
      <c r="R695" s="71">
        <v>13.07</v>
      </c>
      <c r="S695" s="72">
        <v>16.329999999999998</v>
      </c>
      <c r="T695" s="72">
        <v>16.16</v>
      </c>
      <c r="U695" s="71">
        <v>14.46</v>
      </c>
      <c r="V695" s="72">
        <v>22.31</v>
      </c>
      <c r="W695" s="96">
        <v>25.68</v>
      </c>
      <c r="X695" s="13">
        <f t="shared" si="13"/>
        <v>0.17773101205280284</v>
      </c>
      <c r="Y695" s="13">
        <f t="shared" si="14"/>
        <v>-2.5016244314489899E-2</v>
      </c>
      <c r="Z695" s="13">
        <f t="shared" si="15"/>
        <v>0.15394868377207582</v>
      </c>
      <c r="AA695" s="13">
        <f t="shared" si="16"/>
        <v>0.13499855616517475</v>
      </c>
    </row>
    <row r="696" spans="1:27" ht="15" x14ac:dyDescent="0.25">
      <c r="A696" s="4" t="s">
        <v>634</v>
      </c>
      <c r="B696" s="23" t="s">
        <v>523</v>
      </c>
      <c r="C696" s="73" t="s">
        <v>635</v>
      </c>
      <c r="D696" s="71"/>
      <c r="E696" s="71"/>
      <c r="F696" s="70">
        <v>11.93857331571995</v>
      </c>
      <c r="G696" s="71">
        <v>19.309999999999999</v>
      </c>
      <c r="H696" s="71">
        <v>18</v>
      </c>
      <c r="I696" s="71">
        <v>20.97</v>
      </c>
      <c r="J696" s="71">
        <v>25.92</v>
      </c>
      <c r="K696" s="72">
        <v>29.49</v>
      </c>
      <c r="L696" s="71">
        <v>26.59</v>
      </c>
      <c r="M696" s="71">
        <v>23.12</v>
      </c>
      <c r="N696" s="71">
        <v>22.25</v>
      </c>
      <c r="O696" s="71">
        <v>18.46</v>
      </c>
      <c r="P696" s="71">
        <v>14.42</v>
      </c>
      <c r="Q696" s="71">
        <v>13.07</v>
      </c>
      <c r="R696" s="71">
        <v>14.45</v>
      </c>
      <c r="S696" s="71">
        <v>14.74</v>
      </c>
      <c r="T696" s="71">
        <v>16.329999999999998</v>
      </c>
      <c r="U696" s="71">
        <v>8.93</v>
      </c>
      <c r="V696" s="72">
        <v>20.56</v>
      </c>
      <c r="W696" s="96">
        <v>21.97</v>
      </c>
      <c r="X696" s="13">
        <f t="shared" si="13"/>
        <v>3.369795342272397E-2</v>
      </c>
      <c r="Y696" s="13">
        <f t="shared" si="14"/>
        <v>-7.0660522273425563E-2</v>
      </c>
      <c r="Z696" s="13">
        <f t="shared" si="15"/>
        <v>0.112213039485767</v>
      </c>
      <c r="AA696" s="13">
        <f t="shared" si="16"/>
        <v>0.11938573315719925</v>
      </c>
    </row>
    <row r="697" spans="1:27" ht="15" x14ac:dyDescent="0.25">
      <c r="A697" s="4" t="s">
        <v>634</v>
      </c>
      <c r="B697" s="23" t="s">
        <v>524</v>
      </c>
      <c r="C697" s="73" t="s">
        <v>635</v>
      </c>
      <c r="D697" s="71"/>
      <c r="E697" s="71"/>
      <c r="F697" s="70">
        <v>11.924837388581061</v>
      </c>
      <c r="G697" s="71">
        <v>5.53</v>
      </c>
      <c r="H697" s="71">
        <v>8.23</v>
      </c>
      <c r="I697" s="71">
        <v>10.87</v>
      </c>
      <c r="J697" s="71">
        <v>13.05</v>
      </c>
      <c r="K697" s="72">
        <v>12.8</v>
      </c>
      <c r="L697" s="71">
        <v>11.42</v>
      </c>
      <c r="M697" s="71">
        <v>12.06</v>
      </c>
      <c r="N697" s="71">
        <v>11.63</v>
      </c>
      <c r="O697" s="71">
        <v>4.75</v>
      </c>
      <c r="P697" s="71">
        <v>8.5299999999999994</v>
      </c>
      <c r="Q697" s="71">
        <v>14.25</v>
      </c>
      <c r="R697" s="71">
        <v>9.41</v>
      </c>
      <c r="S697" s="71">
        <v>8.23</v>
      </c>
      <c r="T697" s="71">
        <v>-0.55000000000000004</v>
      </c>
      <c r="U697" s="71">
        <v>14.91</v>
      </c>
      <c r="V697" s="72">
        <v>18.920000000000002</v>
      </c>
      <c r="W697" s="96">
        <v>13.18</v>
      </c>
      <c r="X697" s="13">
        <f t="shared" si="13"/>
        <v>-0.22464126669965367</v>
      </c>
      <c r="Y697" s="13">
        <f t="shared" si="14"/>
        <v>2.105934907466489E-2</v>
      </c>
      <c r="Z697" s="13">
        <f t="shared" si="15"/>
        <v>0.29718750000000016</v>
      </c>
      <c r="AA697" s="13">
        <f t="shared" si="16"/>
        <v>0.11924837388581055</v>
      </c>
    </row>
    <row r="698" spans="1:27" ht="15" x14ac:dyDescent="0.25">
      <c r="A698" s="4" t="s">
        <v>634</v>
      </c>
      <c r="B698" s="23" t="s">
        <v>525</v>
      </c>
      <c r="C698" s="73" t="s">
        <v>635</v>
      </c>
      <c r="D698" s="71"/>
      <c r="E698" s="71"/>
      <c r="F698" s="70">
        <v>11.796151104775481</v>
      </c>
      <c r="G698" s="71">
        <v>806</v>
      </c>
      <c r="H698" s="71">
        <v>399.5</v>
      </c>
      <c r="I698" s="71">
        <v>-37.9</v>
      </c>
      <c r="J698" s="71">
        <v>-103.3</v>
      </c>
      <c r="K698" s="71">
        <v>665.8</v>
      </c>
      <c r="L698" s="71">
        <v>266.10000000000002</v>
      </c>
      <c r="M698" s="72">
        <v>217.5</v>
      </c>
      <c r="N698" s="72">
        <v>80.5</v>
      </c>
      <c r="O698" s="71">
        <v>264.7</v>
      </c>
      <c r="P698" s="72">
        <v>415.2</v>
      </c>
      <c r="Q698" s="71">
        <v>135.69999999999999</v>
      </c>
      <c r="R698" s="72">
        <v>448.2</v>
      </c>
      <c r="S698" s="71">
        <v>148.19999999999999</v>
      </c>
      <c r="T698" s="71">
        <v>325.7</v>
      </c>
      <c r="U698" s="72">
        <v>278</v>
      </c>
      <c r="V698" s="71">
        <v>370.5</v>
      </c>
      <c r="W698" s="96">
        <v>280.60000000000002</v>
      </c>
      <c r="X698" s="13">
        <f t="shared" si="13"/>
        <v>-7.8009239083064563E-2</v>
      </c>
      <c r="Y698" s="13">
        <f t="shared" si="14"/>
        <v>0.13452448477973156</v>
      </c>
      <c r="Z698" s="13">
        <f t="shared" si="15"/>
        <v>-6.4744604616281842E-2</v>
      </c>
      <c r="AA698" s="13">
        <f t="shared" si="16"/>
        <v>0.11796151104775499</v>
      </c>
    </row>
    <row r="699" spans="1:27" ht="15" x14ac:dyDescent="0.25">
      <c r="A699" s="4" t="s">
        <v>634</v>
      </c>
      <c r="B699" s="23" t="s">
        <v>526</v>
      </c>
      <c r="C699" s="73" t="s">
        <v>635</v>
      </c>
      <c r="D699" s="71"/>
      <c r="E699" s="71"/>
      <c r="F699" s="70">
        <v>11.48132427843804</v>
      </c>
      <c r="G699" s="71">
        <v>9.23</v>
      </c>
      <c r="H699" s="71">
        <v>7.99</v>
      </c>
      <c r="I699" s="71">
        <v>8.5</v>
      </c>
      <c r="J699" s="71">
        <v>8.35</v>
      </c>
      <c r="K699" s="71">
        <v>10.31</v>
      </c>
      <c r="L699" s="71">
        <v>9.32</v>
      </c>
      <c r="M699" s="71">
        <v>8.34</v>
      </c>
      <c r="N699" s="71">
        <v>8.49</v>
      </c>
      <c r="O699" s="71">
        <v>7.7</v>
      </c>
      <c r="P699" s="71">
        <v>4.8</v>
      </c>
      <c r="Q699" s="71">
        <v>-7.88</v>
      </c>
      <c r="R699" s="71">
        <v>4.16</v>
      </c>
      <c r="S699" s="72">
        <v>9.92</v>
      </c>
      <c r="T699" s="72">
        <v>11.36</v>
      </c>
      <c r="U699" s="72">
        <v>10.76</v>
      </c>
      <c r="V699" s="72">
        <v>15.08</v>
      </c>
      <c r="W699" s="96">
        <v>15.33</v>
      </c>
      <c r="X699" s="13">
        <f t="shared" si="13"/>
        <v>0.59636363636363621</v>
      </c>
      <c r="Y699" s="13">
        <f t="shared" si="14"/>
        <v>1.0615034168564921</v>
      </c>
      <c r="Z699" s="13">
        <f t="shared" si="15"/>
        <v>0.3016574585635361</v>
      </c>
      <c r="AA699" s="13">
        <f t="shared" si="16"/>
        <v>0.11481324278438021</v>
      </c>
    </row>
    <row r="700" spans="1:27" ht="15" x14ac:dyDescent="0.25">
      <c r="A700" s="4" t="s">
        <v>634</v>
      </c>
      <c r="B700" s="23" t="s">
        <v>527</v>
      </c>
      <c r="C700" s="73" t="s">
        <v>635</v>
      </c>
      <c r="D700" s="71"/>
      <c r="E700" s="71"/>
      <c r="F700" s="70">
        <v>11.29924072065398</v>
      </c>
      <c r="G700" s="71">
        <v>68.239999999999995</v>
      </c>
      <c r="H700" s="71">
        <v>-36.299999999999997</v>
      </c>
      <c r="I700" s="71">
        <v>139.94999999999999</v>
      </c>
      <c r="J700" s="71">
        <v>179.04</v>
      </c>
      <c r="K700" s="72">
        <v>262.04000000000002</v>
      </c>
      <c r="L700" s="72">
        <v>188.02</v>
      </c>
      <c r="M700" s="71">
        <v>202.43</v>
      </c>
      <c r="N700" s="71">
        <v>192.18</v>
      </c>
      <c r="O700" s="71">
        <v>168.67</v>
      </c>
      <c r="P700" s="71">
        <v>152.77000000000001</v>
      </c>
      <c r="Q700" s="71">
        <v>156.47999999999999</v>
      </c>
      <c r="R700" s="71">
        <v>185.08</v>
      </c>
      <c r="S700" s="71">
        <v>186.11</v>
      </c>
      <c r="T700" s="71">
        <v>181.56</v>
      </c>
      <c r="U700" s="71">
        <v>155.71</v>
      </c>
      <c r="V700" s="71">
        <v>232.6</v>
      </c>
      <c r="W700" s="96">
        <v>271.52999999999997</v>
      </c>
      <c r="X700" s="13">
        <f t="shared" si="13"/>
        <v>4.2310857680324387E-2</v>
      </c>
      <c r="Y700" s="13">
        <f t="shared" si="14"/>
        <v>-1.0856844747120231E-3</v>
      </c>
      <c r="Z700" s="13">
        <f t="shared" si="15"/>
        <v>6.7075064223809377E-2</v>
      </c>
      <c r="AA700" s="13">
        <f t="shared" si="16"/>
        <v>0.1129924072065398</v>
      </c>
    </row>
    <row r="701" spans="1:27" ht="15" x14ac:dyDescent="0.25">
      <c r="A701" s="4" t="s">
        <v>634</v>
      </c>
      <c r="B701" s="23" t="s">
        <v>528</v>
      </c>
      <c r="C701" s="73" t="s">
        <v>635</v>
      </c>
      <c r="D701" s="71"/>
      <c r="E701" s="71"/>
      <c r="F701" s="70">
        <v>11.072210065645519</v>
      </c>
      <c r="G701" s="71">
        <v>-5.01</v>
      </c>
      <c r="H701" s="71">
        <v>-5.18</v>
      </c>
      <c r="I701" s="71">
        <v>-5.37</v>
      </c>
      <c r="J701" s="71">
        <v>-4.87</v>
      </c>
      <c r="K701" s="71">
        <v>-4.6900000000000004</v>
      </c>
      <c r="L701" s="71">
        <v>-5.61</v>
      </c>
      <c r="M701" s="71">
        <v>-5.54</v>
      </c>
      <c r="N701" s="71">
        <v>-5.24</v>
      </c>
      <c r="O701" s="71">
        <v>-5.4</v>
      </c>
      <c r="P701" s="71">
        <v>-6.26</v>
      </c>
      <c r="Q701" s="71">
        <v>-7.6</v>
      </c>
      <c r="R701" s="71">
        <v>-5.12</v>
      </c>
      <c r="S701" s="71">
        <v>-5.95</v>
      </c>
      <c r="T701" s="71">
        <v>-4.8</v>
      </c>
      <c r="U701" s="71">
        <v>-5.82</v>
      </c>
      <c r="V701" s="71">
        <v>-6.28</v>
      </c>
      <c r="W701" s="96">
        <v>-8.48</v>
      </c>
      <c r="X701" s="13">
        <f t="shared" si="13"/>
        <v>-5.8563979141596501E-2</v>
      </c>
      <c r="Y701" s="13">
        <f t="shared" si="14"/>
        <v>-7.5841499786961974E-2</v>
      </c>
      <c r="Z701" s="13">
        <f t="shared" si="15"/>
        <v>5.348086675887509E-2</v>
      </c>
      <c r="AA701" s="13">
        <f t="shared" si="16"/>
        <v>0.11072210065645516</v>
      </c>
    </row>
    <row r="702" spans="1:27" ht="15" x14ac:dyDescent="0.25">
      <c r="A702" s="4" t="s">
        <v>634</v>
      </c>
      <c r="B702" s="23" t="s">
        <v>529</v>
      </c>
      <c r="C702" s="73" t="s">
        <v>635</v>
      </c>
      <c r="D702" s="71"/>
      <c r="E702" s="71"/>
      <c r="F702" s="70">
        <v>11.06145251396649</v>
      </c>
      <c r="G702" s="71">
        <v>25.57</v>
      </c>
      <c r="H702" s="71">
        <v>24.22</v>
      </c>
      <c r="I702" s="71">
        <v>15.58</v>
      </c>
      <c r="J702" s="71">
        <v>21.79</v>
      </c>
      <c r="K702" s="71">
        <v>1.98</v>
      </c>
      <c r="L702" s="71">
        <v>13.21</v>
      </c>
      <c r="M702" s="71">
        <v>15.39</v>
      </c>
      <c r="N702" s="71">
        <v>13.15</v>
      </c>
      <c r="O702" s="71">
        <v>-12.05</v>
      </c>
      <c r="P702" s="71">
        <v>9.11</v>
      </c>
      <c r="Q702" s="71">
        <v>-91</v>
      </c>
      <c r="R702" s="71">
        <v>7.18</v>
      </c>
      <c r="S702" s="71">
        <v>7.82</v>
      </c>
      <c r="T702" s="71">
        <v>7.85</v>
      </c>
      <c r="U702" s="71">
        <v>8.16</v>
      </c>
      <c r="V702" s="72">
        <v>11.97</v>
      </c>
      <c r="W702" s="96">
        <v>11.78</v>
      </c>
      <c r="X702" s="13">
        <f t="shared" si="13"/>
        <v>1.8836896397069758E-2</v>
      </c>
      <c r="Y702" s="13">
        <f t="shared" si="14"/>
        <v>-1.4550256786500366</v>
      </c>
      <c r="Z702" s="13">
        <f t="shared" si="15"/>
        <v>0.15446630119316329</v>
      </c>
      <c r="AA702" s="13">
        <f t="shared" si="16"/>
        <v>0.11061452513966485</v>
      </c>
    </row>
    <row r="703" spans="1:27" ht="15" x14ac:dyDescent="0.25">
      <c r="A703" s="4" t="s">
        <v>634</v>
      </c>
      <c r="B703" s="23" t="s">
        <v>530</v>
      </c>
      <c r="C703" s="73" t="s">
        <v>635</v>
      </c>
      <c r="D703" s="71"/>
      <c r="E703" s="71"/>
      <c r="F703" s="70">
        <v>10.933991917377631</v>
      </c>
      <c r="G703" s="71">
        <v>13.43</v>
      </c>
      <c r="H703" s="71">
        <v>13.5</v>
      </c>
      <c r="I703" s="71">
        <v>14.43</v>
      </c>
      <c r="J703" s="71">
        <v>14.43</v>
      </c>
      <c r="K703" s="71">
        <v>13.72</v>
      </c>
      <c r="L703" s="71">
        <v>14.57</v>
      </c>
      <c r="M703" s="71">
        <v>10.59</v>
      </c>
      <c r="N703" s="71">
        <v>1.37</v>
      </c>
      <c r="O703" s="71">
        <v>11.16</v>
      </c>
      <c r="P703" s="71">
        <v>8.3800000000000008</v>
      </c>
      <c r="Q703" s="71">
        <v>8.8000000000000007</v>
      </c>
      <c r="R703" s="72">
        <v>9.4</v>
      </c>
      <c r="S703" s="71">
        <v>9.73</v>
      </c>
      <c r="T703" s="71">
        <v>10.3</v>
      </c>
      <c r="U703" s="71">
        <v>11.02</v>
      </c>
      <c r="V703" s="72">
        <v>13.49</v>
      </c>
      <c r="W703" s="96">
        <v>14.6</v>
      </c>
      <c r="X703" s="13">
        <f t="shared" si="13"/>
        <v>5.2877995042688086E-2</v>
      </c>
      <c r="Y703" s="13">
        <f t="shared" si="14"/>
        <v>5.8069578864765825E-2</v>
      </c>
      <c r="Z703" s="13">
        <f t="shared" si="15"/>
        <v>0.1011124845488256</v>
      </c>
      <c r="AA703" s="13">
        <f t="shared" si="16"/>
        <v>0.1093399191737765</v>
      </c>
    </row>
    <row r="704" spans="1:27" ht="15" x14ac:dyDescent="0.25">
      <c r="A704" s="4" t="s">
        <v>634</v>
      </c>
      <c r="B704" s="23" t="s">
        <v>531</v>
      </c>
      <c r="C704" s="73" t="s">
        <v>635</v>
      </c>
      <c r="D704" s="71"/>
      <c r="E704" s="71"/>
      <c r="F704" s="70">
        <v>10.735326205542229</v>
      </c>
      <c r="G704" s="71">
        <v>28.05</v>
      </c>
      <c r="H704" s="71">
        <v>26.04</v>
      </c>
      <c r="I704" s="71">
        <v>33.630000000000003</v>
      </c>
      <c r="J704" s="71">
        <v>35.950000000000003</v>
      </c>
      <c r="K704" s="71">
        <v>1.28</v>
      </c>
      <c r="L704" s="71">
        <v>33.840000000000003</v>
      </c>
      <c r="M704" s="71">
        <v>24.86</v>
      </c>
      <c r="N704" s="71">
        <v>28.36</v>
      </c>
      <c r="O704" s="72">
        <v>19.87</v>
      </c>
      <c r="P704" s="71">
        <v>24.29</v>
      </c>
      <c r="Q704" s="71">
        <v>23.88</v>
      </c>
      <c r="R704" s="71">
        <v>17.57</v>
      </c>
      <c r="S704" s="72">
        <v>31.34</v>
      </c>
      <c r="T704" s="71">
        <v>23.36</v>
      </c>
      <c r="U704" s="71">
        <v>26.78</v>
      </c>
      <c r="V704" s="71">
        <v>10.18</v>
      </c>
      <c r="W704" s="96">
        <v>41.18</v>
      </c>
      <c r="X704" s="13">
        <f t="shared" si="13"/>
        <v>-9.579728059332604E-3</v>
      </c>
      <c r="Y704" s="13">
        <f t="shared" si="14"/>
        <v>3.0161206448257927E-2</v>
      </c>
      <c r="Z704" s="13">
        <f t="shared" si="15"/>
        <v>-7.4608783442705717E-2</v>
      </c>
      <c r="AA704" s="13">
        <f t="shared" si="16"/>
        <v>0.10735326205542228</v>
      </c>
    </row>
    <row r="705" spans="1:27" ht="15" x14ac:dyDescent="0.25">
      <c r="A705" s="4" t="s">
        <v>634</v>
      </c>
      <c r="B705" s="23" t="s">
        <v>532</v>
      </c>
      <c r="C705" s="73" t="s">
        <v>635</v>
      </c>
      <c r="D705" s="71"/>
      <c r="E705" s="71"/>
      <c r="F705" s="70">
        <v>10.51815181518152</v>
      </c>
      <c r="G705" s="71">
        <v>123</v>
      </c>
      <c r="H705" s="71">
        <v>67</v>
      </c>
      <c r="I705" s="71">
        <v>137</v>
      </c>
      <c r="J705" s="71">
        <v>173</v>
      </c>
      <c r="K705" s="72">
        <v>176</v>
      </c>
      <c r="L705" s="72">
        <v>182</v>
      </c>
      <c r="M705" s="71">
        <v>179</v>
      </c>
      <c r="N705" s="71">
        <v>164</v>
      </c>
      <c r="O705" s="71">
        <v>59</v>
      </c>
      <c r="P705" s="71">
        <v>156</v>
      </c>
      <c r="Q705" s="71">
        <v>157</v>
      </c>
      <c r="R705" s="71">
        <v>140</v>
      </c>
      <c r="S705" s="71">
        <v>102</v>
      </c>
      <c r="T705" s="71">
        <v>148</v>
      </c>
      <c r="U705" s="71">
        <v>166</v>
      </c>
      <c r="V705" s="71">
        <v>190</v>
      </c>
      <c r="W705" s="96">
        <v>165.74</v>
      </c>
      <c r="X705" s="13">
        <f t="shared" si="13"/>
        <v>-1.4414414414414378E-2</v>
      </c>
      <c r="Y705" s="13">
        <f t="shared" si="14"/>
        <v>1.6453382084095081E-2</v>
      </c>
      <c r="Z705" s="13">
        <f t="shared" si="15"/>
        <v>8.9928057553956942E-2</v>
      </c>
      <c r="AA705" s="13">
        <f t="shared" si="16"/>
        <v>0.1051815181518152</v>
      </c>
    </row>
    <row r="706" spans="1:27" ht="15" x14ac:dyDescent="0.25">
      <c r="A706" s="4" t="s">
        <v>634</v>
      </c>
      <c r="B706" s="23" t="s">
        <v>533</v>
      </c>
      <c r="C706" s="73" t="s">
        <v>635</v>
      </c>
      <c r="D706" s="71"/>
      <c r="E706" s="71"/>
      <c r="F706" s="70">
        <v>10.476728183775011</v>
      </c>
      <c r="G706" s="71">
        <v>187.68</v>
      </c>
      <c r="H706" s="71">
        <v>162.11000000000001</v>
      </c>
      <c r="I706" s="71">
        <v>163.13</v>
      </c>
      <c r="J706" s="71">
        <v>175.18</v>
      </c>
      <c r="K706" s="71">
        <v>67.150000000000006</v>
      </c>
      <c r="L706" s="71">
        <v>-1260</v>
      </c>
      <c r="M706" s="72">
        <v>-264.44</v>
      </c>
      <c r="N706" s="72">
        <v>-26.57</v>
      </c>
      <c r="O706" s="72">
        <v>-659.99</v>
      </c>
      <c r="P706" s="71">
        <v>42.4</v>
      </c>
      <c r="Q706" s="71">
        <v>44.64</v>
      </c>
      <c r="R706" s="71">
        <v>11.51</v>
      </c>
      <c r="S706" s="71">
        <v>70.099999999999994</v>
      </c>
      <c r="T706" s="72">
        <v>73.06</v>
      </c>
      <c r="U706" s="71">
        <v>47.88</v>
      </c>
      <c r="V706" s="72">
        <v>92.35</v>
      </c>
      <c r="W706" s="96">
        <v>99.79</v>
      </c>
      <c r="X706" s="13">
        <f t="shared" si="13"/>
        <v>0.18179662021938947</v>
      </c>
      <c r="Y706" s="13">
        <f t="shared" si="14"/>
        <v>1.6256083488033868E-2</v>
      </c>
      <c r="Z706" s="13">
        <f t="shared" si="15"/>
        <v>0.39911133053567016</v>
      </c>
      <c r="AA706" s="13">
        <f t="shared" si="16"/>
        <v>0.10476728183775008</v>
      </c>
    </row>
    <row r="707" spans="1:27" ht="15" x14ac:dyDescent="0.25">
      <c r="A707" s="4" t="s">
        <v>634</v>
      </c>
      <c r="B707" s="23" t="s">
        <v>534</v>
      </c>
      <c r="C707" s="73" t="s">
        <v>635</v>
      </c>
      <c r="D707" s="71"/>
      <c r="E707" s="71"/>
      <c r="F707" s="70">
        <v>10.36585365853659</v>
      </c>
      <c r="G707" s="71">
        <v>3.35</v>
      </c>
      <c r="H707" s="71">
        <v>2.93</v>
      </c>
      <c r="I707" s="71">
        <v>3.16</v>
      </c>
      <c r="J707" s="71">
        <v>3.8</v>
      </c>
      <c r="K707" s="71">
        <v>4.3499999999999996</v>
      </c>
      <c r="L707" s="72">
        <v>4.59</v>
      </c>
      <c r="M707" s="71">
        <v>3.16</v>
      </c>
      <c r="N707" s="71">
        <v>3.71</v>
      </c>
      <c r="O707" s="71">
        <v>3.59</v>
      </c>
      <c r="P707" s="71">
        <v>3.46</v>
      </c>
      <c r="Q707" s="71">
        <v>3.32</v>
      </c>
      <c r="R707" s="71">
        <v>3.44</v>
      </c>
      <c r="S707" s="71">
        <v>3.95</v>
      </c>
      <c r="T707" s="71">
        <v>3.91</v>
      </c>
      <c r="U707" s="71">
        <v>4.63</v>
      </c>
      <c r="V707" s="72">
        <v>5.55</v>
      </c>
      <c r="W707" s="96">
        <v>5.82</v>
      </c>
      <c r="X707" s="13">
        <f t="shared" si="13"/>
        <v>3.1757233592096146E-2</v>
      </c>
      <c r="Y707" s="13">
        <f t="shared" si="14"/>
        <v>8.960328317373456E-2</v>
      </c>
      <c r="Z707" s="13">
        <f t="shared" si="15"/>
        <v>0.13245448838669183</v>
      </c>
      <c r="AA707" s="13">
        <f t="shared" si="16"/>
        <v>0.10365853658536595</v>
      </c>
    </row>
    <row r="708" spans="1:27" ht="15" x14ac:dyDescent="0.25">
      <c r="A708" s="4" t="s">
        <v>634</v>
      </c>
      <c r="B708" s="23" t="s">
        <v>535</v>
      </c>
      <c r="C708" s="73" t="s">
        <v>635</v>
      </c>
      <c r="D708" s="71"/>
      <c r="E708" s="71"/>
      <c r="F708" s="73">
        <v>9.8480880041906804</v>
      </c>
      <c r="G708" s="71">
        <v>11.6</v>
      </c>
      <c r="H708" s="71">
        <v>11.75</v>
      </c>
      <c r="I708" s="71">
        <v>12.16</v>
      </c>
      <c r="J708" s="71">
        <v>12.31</v>
      </c>
      <c r="K708" s="71">
        <v>11.17</v>
      </c>
      <c r="L708" s="71">
        <v>9.64</v>
      </c>
      <c r="M708" s="71">
        <v>8.93</v>
      </c>
      <c r="N708" s="71">
        <v>9.0399999999999991</v>
      </c>
      <c r="O708" s="71">
        <v>8.09</v>
      </c>
      <c r="P708" s="71">
        <v>7.27</v>
      </c>
      <c r="Q708" s="71">
        <v>7.47</v>
      </c>
      <c r="R708" s="71">
        <v>9.16</v>
      </c>
      <c r="S708" s="71">
        <v>8.68</v>
      </c>
      <c r="T708" s="71">
        <v>8.57</v>
      </c>
      <c r="U708" s="71">
        <v>9.85</v>
      </c>
      <c r="V708" s="71">
        <v>11.08</v>
      </c>
      <c r="W708" s="97">
        <v>12.44</v>
      </c>
      <c r="X708" s="13">
        <f t="shared" si="13"/>
        <v>3.9901780233271955E-2</v>
      </c>
      <c r="Y708" s="13">
        <f t="shared" si="14"/>
        <v>7.024793388429762E-2</v>
      </c>
      <c r="Z708" s="13">
        <f t="shared" si="15"/>
        <v>5.2950910093767289E-2</v>
      </c>
      <c r="AA708" s="13">
        <f t="shared" si="16"/>
        <v>9.8480880041906804E-2</v>
      </c>
    </row>
    <row r="709" spans="1:27" ht="15" x14ac:dyDescent="0.25">
      <c r="A709" s="4" t="s">
        <v>634</v>
      </c>
      <c r="B709" s="23" t="s">
        <v>536</v>
      </c>
      <c r="C709" s="73" t="s">
        <v>635</v>
      </c>
      <c r="D709" s="71"/>
      <c r="E709" s="71"/>
      <c r="F709" s="73">
        <v>9.8413504251808614</v>
      </c>
      <c r="G709" s="71">
        <v>88.84</v>
      </c>
      <c r="H709" s="71">
        <v>52.74</v>
      </c>
      <c r="I709" s="71">
        <v>45.47</v>
      </c>
      <c r="J709" s="71">
        <v>55.37</v>
      </c>
      <c r="K709" s="72">
        <v>278.18</v>
      </c>
      <c r="L709" s="71">
        <v>50.72</v>
      </c>
      <c r="M709" s="72">
        <v>89.36</v>
      </c>
      <c r="N709" s="71">
        <v>81.05</v>
      </c>
      <c r="O709" s="71">
        <v>25.47</v>
      </c>
      <c r="P709" s="71">
        <v>34.94</v>
      </c>
      <c r="Q709" s="71">
        <v>58.6</v>
      </c>
      <c r="R709" s="71">
        <v>-79.989999999999995</v>
      </c>
      <c r="S709" s="72">
        <v>93.52</v>
      </c>
      <c r="T709" s="72">
        <v>60.46</v>
      </c>
      <c r="U709" s="72">
        <v>102.19</v>
      </c>
      <c r="V709" s="72">
        <v>137.78</v>
      </c>
      <c r="W709" s="97">
        <v>132.29</v>
      </c>
      <c r="X709" s="13">
        <f t="shared" si="13"/>
        <v>0.23834874381245919</v>
      </c>
      <c r="Y709" s="13">
        <f t="shared" si="14"/>
        <v>0.32875782487367067</v>
      </c>
      <c r="Z709" s="13">
        <f t="shared" si="15"/>
        <v>1.2360653876716987</v>
      </c>
      <c r="AA709" s="13">
        <f t="shared" si="16"/>
        <v>9.8413504251808837E-2</v>
      </c>
    </row>
    <row r="710" spans="1:27" ht="15" x14ac:dyDescent="0.25">
      <c r="A710" s="4" t="s">
        <v>634</v>
      </c>
      <c r="B710" s="23" t="s">
        <v>537</v>
      </c>
      <c r="C710" s="73" t="s">
        <v>635</v>
      </c>
      <c r="D710" s="71"/>
      <c r="E710" s="71"/>
      <c r="F710" s="73">
        <v>9.6774193548387011</v>
      </c>
      <c r="G710" s="71">
        <v>2.27</v>
      </c>
      <c r="H710" s="71">
        <v>3.02</v>
      </c>
      <c r="I710" s="71">
        <v>2.48</v>
      </c>
      <c r="J710" s="71">
        <v>2.63</v>
      </c>
      <c r="K710" s="71">
        <v>1.07</v>
      </c>
      <c r="L710" s="71">
        <v>1.89</v>
      </c>
      <c r="M710" s="71">
        <v>-0.25</v>
      </c>
      <c r="N710" s="71">
        <v>0.77</v>
      </c>
      <c r="O710" s="71">
        <v>-6.8</v>
      </c>
      <c r="P710" s="71">
        <v>2.39</v>
      </c>
      <c r="Q710" s="71">
        <v>-0.48</v>
      </c>
      <c r="R710" s="71">
        <v>1.42</v>
      </c>
      <c r="S710" s="71">
        <v>1.08</v>
      </c>
      <c r="T710" s="71">
        <v>2.39</v>
      </c>
      <c r="U710" s="71">
        <v>-0.35</v>
      </c>
      <c r="V710" s="72">
        <v>3.08</v>
      </c>
      <c r="W710" s="97">
        <v>1.68</v>
      </c>
      <c r="X710" s="13">
        <f t="shared" si="13"/>
        <v>0</v>
      </c>
      <c r="Y710" s="13">
        <f t="shared" si="14"/>
        <v>2.9478458049886802E-2</v>
      </c>
      <c r="Z710" s="13">
        <f t="shared" si="15"/>
        <v>0.36563876651982352</v>
      </c>
      <c r="AA710" s="13">
        <f t="shared" si="16"/>
        <v>9.6774193548387011E-2</v>
      </c>
    </row>
    <row r="711" spans="1:27" ht="15" x14ac:dyDescent="0.25">
      <c r="A711" s="4" t="s">
        <v>634</v>
      </c>
      <c r="B711" s="23" t="s">
        <v>538</v>
      </c>
      <c r="C711" s="73" t="s">
        <v>635</v>
      </c>
      <c r="D711" s="71"/>
      <c r="E711" s="71"/>
      <c r="F711" s="73">
        <v>9.375</v>
      </c>
      <c r="G711" s="71">
        <v>3.25</v>
      </c>
      <c r="H711" s="71">
        <v>3.64</v>
      </c>
      <c r="I711" s="71">
        <v>4.37</v>
      </c>
      <c r="J711" s="71">
        <v>3.77</v>
      </c>
      <c r="K711" s="71">
        <v>3.97</v>
      </c>
      <c r="L711" s="71">
        <v>3.44</v>
      </c>
      <c r="M711" s="71">
        <v>3.17</v>
      </c>
      <c r="N711" s="71">
        <v>2.2200000000000002</v>
      </c>
      <c r="O711" s="71">
        <v>2.1800000000000002</v>
      </c>
      <c r="P711" s="71">
        <v>2.72</v>
      </c>
      <c r="Q711" s="71">
        <v>2.37</v>
      </c>
      <c r="R711" s="71">
        <v>2.84</v>
      </c>
      <c r="S711" s="71">
        <v>2.94</v>
      </c>
      <c r="T711" s="71">
        <v>2.3199999999999998</v>
      </c>
      <c r="U711" s="71">
        <v>2.98</v>
      </c>
      <c r="V711" s="72">
        <v>4.24</v>
      </c>
      <c r="W711" s="97">
        <v>4.1100000000000003</v>
      </c>
      <c r="X711" s="13">
        <f t="shared" si="13"/>
        <v>-3.6798528058877511E-2</v>
      </c>
      <c r="Y711" s="13">
        <f t="shared" si="14"/>
        <v>5.8261700095511015E-2</v>
      </c>
      <c r="Z711" s="13">
        <f t="shared" si="15"/>
        <v>0.12635379061371843</v>
      </c>
      <c r="AA711" s="13">
        <f t="shared" si="16"/>
        <v>9.3749999999999778E-2</v>
      </c>
    </row>
    <row r="712" spans="1:27" ht="15" x14ac:dyDescent="0.25">
      <c r="A712" s="4" t="s">
        <v>634</v>
      </c>
      <c r="B712" s="23" t="s">
        <v>539</v>
      </c>
      <c r="C712" s="73" t="s">
        <v>635</v>
      </c>
      <c r="D712" s="71"/>
      <c r="E712" s="71"/>
      <c r="F712" s="73">
        <v>9.1510474090408032</v>
      </c>
      <c r="G712" s="71">
        <v>7.4</v>
      </c>
      <c r="H712" s="71">
        <v>7.69</v>
      </c>
      <c r="I712" s="71">
        <v>7.66</v>
      </c>
      <c r="J712" s="71">
        <v>9.77</v>
      </c>
      <c r="K712" s="71">
        <v>10.55</v>
      </c>
      <c r="L712" s="71">
        <v>10.33</v>
      </c>
      <c r="M712" s="71">
        <v>8.93</v>
      </c>
      <c r="N712" s="71">
        <v>10.81</v>
      </c>
      <c r="O712" s="71">
        <v>10.14</v>
      </c>
      <c r="P712" s="71">
        <v>8.3800000000000008</v>
      </c>
      <c r="Q712" s="71">
        <v>9.2899999999999991</v>
      </c>
      <c r="R712" s="71">
        <v>10.68</v>
      </c>
      <c r="S712" s="71">
        <v>10.65</v>
      </c>
      <c r="T712" s="71">
        <v>10.039999999999999</v>
      </c>
      <c r="U712" s="71">
        <v>8.67</v>
      </c>
      <c r="V712" s="71">
        <v>6.92</v>
      </c>
      <c r="W712" s="97">
        <v>13.97</v>
      </c>
      <c r="X712" s="13">
        <f t="shared" si="13"/>
        <v>4.2564102564102368E-2</v>
      </c>
      <c r="Y712" s="13">
        <f t="shared" si="14"/>
        <v>-1.5248401377274901E-2</v>
      </c>
      <c r="Z712" s="13">
        <f t="shared" si="15"/>
        <v>-9.3906093906093835E-2</v>
      </c>
      <c r="AA712" s="13">
        <f t="shared" si="16"/>
        <v>9.1510474090408023E-2</v>
      </c>
    </row>
    <row r="713" spans="1:27" ht="15" x14ac:dyDescent="0.25">
      <c r="A713" s="4" t="s">
        <v>634</v>
      </c>
      <c r="B713" s="23" t="s">
        <v>540</v>
      </c>
      <c r="C713" s="73" t="s">
        <v>635</v>
      </c>
      <c r="D713" s="71"/>
      <c r="E713" s="71"/>
      <c r="F713" s="73">
        <v>8.996782312275009</v>
      </c>
      <c r="G713" s="71">
        <v>61.58</v>
      </c>
      <c r="H713" s="71">
        <v>71.09</v>
      </c>
      <c r="I713" s="71">
        <v>76.55</v>
      </c>
      <c r="J713" s="71">
        <v>77.069999999999993</v>
      </c>
      <c r="K713" s="71">
        <v>84.12</v>
      </c>
      <c r="L713" s="71">
        <v>70.760000000000005</v>
      </c>
      <c r="M713" s="71">
        <v>64.709999999999994</v>
      </c>
      <c r="N713" s="71">
        <v>61.89</v>
      </c>
      <c r="O713" s="71">
        <v>47.23</v>
      </c>
      <c r="P713" s="71">
        <v>60.64</v>
      </c>
      <c r="Q713" s="71">
        <v>66.599999999999994</v>
      </c>
      <c r="R713" s="71">
        <v>72.38</v>
      </c>
      <c r="S713" s="72">
        <v>79.37</v>
      </c>
      <c r="T713" s="71">
        <v>79.09</v>
      </c>
      <c r="U713" s="71">
        <v>76.61</v>
      </c>
      <c r="V713" s="71">
        <v>78.819999999999993</v>
      </c>
      <c r="W713" s="97">
        <v>107.61</v>
      </c>
      <c r="X713" s="13">
        <f t="shared" si="13"/>
        <v>6.6131402559231445E-2</v>
      </c>
      <c r="Y713" s="13">
        <f t="shared" si="14"/>
        <v>3.3653846153846034E-2</v>
      </c>
      <c r="Z713" s="13">
        <f t="shared" si="15"/>
        <v>2.094649536509996E-2</v>
      </c>
      <c r="AA713" s="13">
        <f t="shared" si="16"/>
        <v>8.996782312275009E-2</v>
      </c>
    </row>
    <row r="714" spans="1:27" ht="15" x14ac:dyDescent="0.25">
      <c r="A714" s="4" t="s">
        <v>634</v>
      </c>
      <c r="B714" s="23" t="s">
        <v>541</v>
      </c>
      <c r="C714" s="73" t="s">
        <v>635</v>
      </c>
      <c r="D714" s="71"/>
      <c r="E714" s="71"/>
      <c r="F714" s="73">
        <v>8.8081305820757692</v>
      </c>
      <c r="G714" s="71">
        <v>12.9</v>
      </c>
      <c r="H714" s="71">
        <v>11.5</v>
      </c>
      <c r="I714" s="71">
        <v>11.94</v>
      </c>
      <c r="J714" s="71">
        <v>12.17</v>
      </c>
      <c r="K714" s="71">
        <v>11.12</v>
      </c>
      <c r="L714" s="71">
        <v>10.62</v>
      </c>
      <c r="M714" s="71">
        <v>8.56</v>
      </c>
      <c r="N714" s="71">
        <v>7.02</v>
      </c>
      <c r="O714" s="71">
        <v>7.3</v>
      </c>
      <c r="P714" s="71">
        <v>7.26</v>
      </c>
      <c r="Q714" s="71">
        <v>7.57</v>
      </c>
      <c r="R714" s="71">
        <v>7.58</v>
      </c>
      <c r="S714" s="71">
        <v>6.67</v>
      </c>
      <c r="T714" s="71">
        <v>7.68</v>
      </c>
      <c r="U714" s="71">
        <v>8.4499999999999993</v>
      </c>
      <c r="V714" s="71">
        <v>9.67</v>
      </c>
      <c r="W714" s="97">
        <v>9.5299999999999994</v>
      </c>
      <c r="X714" s="13">
        <f t="shared" si="13"/>
        <v>1.4442916093535096E-2</v>
      </c>
      <c r="Y714" s="13">
        <f t="shared" si="14"/>
        <v>2.9830508474576245E-2</v>
      </c>
      <c r="Z714" s="13">
        <f t="shared" si="15"/>
        <v>6.8795260039499651E-2</v>
      </c>
      <c r="AA714" s="13">
        <f t="shared" si="16"/>
        <v>8.8081305820757683E-2</v>
      </c>
    </row>
    <row r="715" spans="1:27" ht="15" x14ac:dyDescent="0.25">
      <c r="A715" s="4" t="s">
        <v>634</v>
      </c>
      <c r="B715" s="23" t="s">
        <v>542</v>
      </c>
      <c r="C715" s="73" t="s">
        <v>635</v>
      </c>
      <c r="D715" s="71"/>
      <c r="E715" s="71"/>
      <c r="F715" s="73">
        <v>8.6421193907918479</v>
      </c>
      <c r="G715" s="71">
        <v>56.5</v>
      </c>
      <c r="H715" s="71">
        <v>59.69</v>
      </c>
      <c r="I715" s="71">
        <v>28.47</v>
      </c>
      <c r="J715" s="71">
        <v>49.2</v>
      </c>
      <c r="K715" s="71">
        <v>52.31</v>
      </c>
      <c r="L715" s="71">
        <v>31.13</v>
      </c>
      <c r="M715" s="71">
        <v>36.869999999999997</v>
      </c>
      <c r="N715" s="71">
        <v>34.630000000000003</v>
      </c>
      <c r="O715" s="71">
        <v>24.89</v>
      </c>
      <c r="P715" s="71">
        <v>2.66</v>
      </c>
      <c r="Q715" s="71">
        <v>-79.37</v>
      </c>
      <c r="R715" s="72">
        <v>26.68</v>
      </c>
      <c r="S715" s="72">
        <v>19.8</v>
      </c>
      <c r="T715" s="71">
        <v>2.4500000000000002</v>
      </c>
      <c r="U715" s="72">
        <v>-109.2</v>
      </c>
      <c r="V715" s="72">
        <v>-84.42</v>
      </c>
      <c r="W715" s="97">
        <v>4.99</v>
      </c>
      <c r="X715" s="13">
        <f t="shared" si="13"/>
        <v>6.9467416473698584E-3</v>
      </c>
      <c r="Y715" s="13">
        <f t="shared" si="14"/>
        <v>0.97996057818659632</v>
      </c>
      <c r="Z715" s="13">
        <f t="shared" si="15"/>
        <v>1.8433714949394395</v>
      </c>
      <c r="AA715" s="13">
        <f t="shared" si="16"/>
        <v>8.642119390791847E-2</v>
      </c>
    </row>
    <row r="716" spans="1:27" ht="15" x14ac:dyDescent="0.25">
      <c r="A716" s="4" t="s">
        <v>634</v>
      </c>
      <c r="B716" s="23" t="s">
        <v>543</v>
      </c>
      <c r="C716" s="73" t="s">
        <v>635</v>
      </c>
      <c r="D716" s="71"/>
      <c r="E716" s="71"/>
      <c r="F716" s="73">
        <v>8.4675254965109978</v>
      </c>
      <c r="G716" s="71">
        <v>21.63</v>
      </c>
      <c r="H716" s="71">
        <v>22.71</v>
      </c>
      <c r="I716" s="71">
        <v>23.46</v>
      </c>
      <c r="J716" s="71">
        <v>25.74</v>
      </c>
      <c r="K716" s="71">
        <v>27.51</v>
      </c>
      <c r="L716" s="71">
        <v>23.66</v>
      </c>
      <c r="M716" s="71">
        <v>21.82</v>
      </c>
      <c r="N716" s="71">
        <v>19.239999999999998</v>
      </c>
      <c r="O716" s="71">
        <v>12.9</v>
      </c>
      <c r="P716" s="71">
        <v>15.92</v>
      </c>
      <c r="Q716" s="71">
        <v>16.48</v>
      </c>
      <c r="R716" s="71">
        <v>16.899999999999999</v>
      </c>
      <c r="S716" s="71">
        <v>14.75</v>
      </c>
      <c r="T716" s="71">
        <v>18.72</v>
      </c>
      <c r="U716" s="71">
        <v>19.73</v>
      </c>
      <c r="V716" s="71">
        <v>21.32</v>
      </c>
      <c r="W716" s="97">
        <v>21.06</v>
      </c>
      <c r="X716" s="13">
        <f t="shared" si="13"/>
        <v>4.3715846994535568E-2</v>
      </c>
      <c r="Y716" s="13">
        <f t="shared" si="14"/>
        <v>4.8616305160807727E-2</v>
      </c>
      <c r="Z716" s="13">
        <f t="shared" si="15"/>
        <v>6.3052781740371211E-2</v>
      </c>
      <c r="AA716" s="13">
        <f t="shared" si="16"/>
        <v>8.467525496510997E-2</v>
      </c>
    </row>
    <row r="717" spans="1:27" ht="15" x14ac:dyDescent="0.25">
      <c r="A717" s="4" t="s">
        <v>634</v>
      </c>
      <c r="B717" s="23" t="s">
        <v>544</v>
      </c>
      <c r="C717" s="73" t="s">
        <v>635</v>
      </c>
      <c r="D717" s="71"/>
      <c r="E717" s="71"/>
      <c r="F717" s="73">
        <v>8.4544253632760977</v>
      </c>
      <c r="G717" s="71">
        <v>3059</v>
      </c>
      <c r="H717" s="71">
        <v>2945</v>
      </c>
      <c r="I717" s="71">
        <v>2564</v>
      </c>
      <c r="J717" s="71">
        <v>2187</v>
      </c>
      <c r="K717" s="71">
        <v>1544</v>
      </c>
      <c r="L717" s="71">
        <v>1163</v>
      </c>
      <c r="M717" s="71">
        <v>1728</v>
      </c>
      <c r="N717" s="71">
        <v>2222</v>
      </c>
      <c r="O717" s="71">
        <v>932</v>
      </c>
      <c r="P717" s="71">
        <v>1582</v>
      </c>
      <c r="Q717" s="71">
        <v>651</v>
      </c>
      <c r="R717" s="71">
        <v>2218</v>
      </c>
      <c r="S717" s="71">
        <v>1459</v>
      </c>
      <c r="T717" s="71">
        <v>1729</v>
      </c>
      <c r="U717" s="71">
        <v>0</v>
      </c>
      <c r="V717" s="72">
        <v>4382</v>
      </c>
      <c r="W717" s="97">
        <v>2099</v>
      </c>
      <c r="X717" s="13">
        <f t="shared" si="13"/>
        <v>2.4873096446700549E-2</v>
      </c>
      <c r="Y717" s="13">
        <f t="shared" si="14"/>
        <v>-0.10747894997523522</v>
      </c>
      <c r="Z717" s="13">
        <f t="shared" si="15"/>
        <v>0.40029596744358131</v>
      </c>
      <c r="AA717" s="13">
        <f t="shared" si="16"/>
        <v>8.4544253632760968E-2</v>
      </c>
    </row>
    <row r="718" spans="1:27" ht="15" x14ac:dyDescent="0.25">
      <c r="A718" s="4" t="s">
        <v>634</v>
      </c>
      <c r="B718" s="23" t="s">
        <v>545</v>
      </c>
      <c r="C718" s="73" t="s">
        <v>635</v>
      </c>
      <c r="D718" s="71"/>
      <c r="E718" s="71"/>
      <c r="F718" s="73">
        <v>8.1037735849056602</v>
      </c>
      <c r="G718" s="71">
        <v>2121</v>
      </c>
      <c r="H718" s="71">
        <v>1921</v>
      </c>
      <c r="I718" s="71">
        <v>2329</v>
      </c>
      <c r="J718" s="71">
        <v>2776</v>
      </c>
      <c r="K718" s="71">
        <v>2743</v>
      </c>
      <c r="L718" s="71">
        <v>2304</v>
      </c>
      <c r="M718" s="71">
        <v>1713</v>
      </c>
      <c r="N718" s="71">
        <v>1759</v>
      </c>
      <c r="O718" s="71">
        <v>1738</v>
      </c>
      <c r="P718" s="71">
        <v>1829</v>
      </c>
      <c r="Q718" s="71">
        <v>1792</v>
      </c>
      <c r="R718" s="71">
        <v>1862</v>
      </c>
      <c r="S718" s="71">
        <v>2321</v>
      </c>
      <c r="T718" s="71">
        <v>2455</v>
      </c>
      <c r="U718" s="72">
        <v>2803</v>
      </c>
      <c r="V718" s="72">
        <v>3021</v>
      </c>
      <c r="W718" s="97">
        <v>3180</v>
      </c>
      <c r="X718" s="13">
        <f t="shared" si="13"/>
        <v>8.0215274218349508E-2</v>
      </c>
      <c r="Y718" s="13">
        <f t="shared" si="14"/>
        <v>0.11992882562277574</v>
      </c>
      <c r="Z718" s="13">
        <f t="shared" si="15"/>
        <v>0.12276241923525055</v>
      </c>
      <c r="AA718" s="13">
        <f t="shared" si="16"/>
        <v>8.1037735849056602E-2</v>
      </c>
    </row>
    <row r="719" spans="1:27" ht="15" x14ac:dyDescent="0.25">
      <c r="A719" s="4" t="s">
        <v>634</v>
      </c>
      <c r="B719" s="23" t="s">
        <v>546</v>
      </c>
      <c r="C719" s="73" t="s">
        <v>635</v>
      </c>
      <c r="D719" s="71"/>
      <c r="E719" s="71"/>
      <c r="F719" s="73">
        <v>7.8276980083372028</v>
      </c>
      <c r="G719" s="71">
        <v>684</v>
      </c>
      <c r="H719" s="71">
        <v>536</v>
      </c>
      <c r="I719" s="71">
        <v>478</v>
      </c>
      <c r="J719" s="71">
        <v>813</v>
      </c>
      <c r="K719" s="71">
        <v>828</v>
      </c>
      <c r="L719" s="71">
        <v>664</v>
      </c>
      <c r="M719" s="71">
        <v>612</v>
      </c>
      <c r="N719" s="71">
        <v>549</v>
      </c>
      <c r="O719" s="71">
        <v>205</v>
      </c>
      <c r="P719" s="71">
        <v>430</v>
      </c>
      <c r="Q719" s="71">
        <v>480</v>
      </c>
      <c r="R719" s="71">
        <v>470</v>
      </c>
      <c r="S719" s="72">
        <v>508</v>
      </c>
      <c r="T719" s="71">
        <v>468</v>
      </c>
      <c r="U719" s="71">
        <v>554</v>
      </c>
      <c r="V719" s="71">
        <v>629</v>
      </c>
      <c r="W719" s="97">
        <v>677</v>
      </c>
      <c r="X719" s="13">
        <f t="shared" si="13"/>
        <v>2.0127118644067687E-2</v>
      </c>
      <c r="Y719" s="13">
        <f t="shared" si="14"/>
        <v>3.8421599169262688E-2</v>
      </c>
      <c r="Z719" s="13">
        <f t="shared" si="15"/>
        <v>7.9499999999999904E-2</v>
      </c>
      <c r="AA719" s="13">
        <f t="shared" si="16"/>
        <v>7.8276980083372028E-2</v>
      </c>
    </row>
    <row r="720" spans="1:27" ht="15" x14ac:dyDescent="0.25">
      <c r="A720" s="4" t="s">
        <v>634</v>
      </c>
      <c r="B720" s="23" t="s">
        <v>547</v>
      </c>
      <c r="C720" s="73" t="s">
        <v>635</v>
      </c>
      <c r="D720" s="71"/>
      <c r="E720" s="71"/>
      <c r="F720" s="73">
        <v>7.7796662546353534</v>
      </c>
      <c r="G720" s="71">
        <v>12.67</v>
      </c>
      <c r="H720" s="71">
        <v>42.66</v>
      </c>
      <c r="I720" s="71">
        <v>46.14</v>
      </c>
      <c r="J720" s="71">
        <v>48.15</v>
      </c>
      <c r="K720" s="72">
        <v>48.27</v>
      </c>
      <c r="L720" s="71">
        <v>19.350000000000001</v>
      </c>
      <c r="M720" s="71">
        <v>37.270000000000003</v>
      </c>
      <c r="N720" s="71">
        <v>37.659999999999997</v>
      </c>
      <c r="O720" s="71">
        <v>37.69</v>
      </c>
      <c r="P720" s="71">
        <v>31.78</v>
      </c>
      <c r="Q720" s="71">
        <v>36.880000000000003</v>
      </c>
      <c r="R720" s="71">
        <v>22.57</v>
      </c>
      <c r="S720" s="71">
        <v>6.88</v>
      </c>
      <c r="T720" s="72">
        <v>46.78</v>
      </c>
      <c r="U720" s="72">
        <v>49.82</v>
      </c>
      <c r="V720" s="71">
        <v>25.96</v>
      </c>
      <c r="W720" s="97">
        <v>16.95</v>
      </c>
      <c r="X720" s="13">
        <f t="shared" si="13"/>
        <v>0.15288961369890952</v>
      </c>
      <c r="Y720" s="13">
        <f t="shared" si="14"/>
        <v>0.11440190964547803</v>
      </c>
      <c r="Z720" s="13">
        <f t="shared" si="15"/>
        <v>2.689408964696538E-2</v>
      </c>
      <c r="AA720" s="13">
        <f t="shared" si="16"/>
        <v>7.7796662546353534E-2</v>
      </c>
    </row>
    <row r="721" spans="1:27" ht="15" x14ac:dyDescent="0.25">
      <c r="A721" s="4" t="s">
        <v>634</v>
      </c>
      <c r="B721" s="23" t="s">
        <v>548</v>
      </c>
      <c r="C721" s="73" t="s">
        <v>635</v>
      </c>
      <c r="D721" s="71"/>
      <c r="E721" s="71"/>
      <c r="F721" s="73">
        <v>7.5550891920251884</v>
      </c>
      <c r="G721" s="71">
        <v>8.42</v>
      </c>
      <c r="H721" s="71">
        <v>10.51</v>
      </c>
      <c r="I721" s="71">
        <v>13.12</v>
      </c>
      <c r="J721" s="71">
        <v>14.75</v>
      </c>
      <c r="K721" s="72">
        <v>16.53</v>
      </c>
      <c r="L721" s="71">
        <v>14.83</v>
      </c>
      <c r="M721" s="71">
        <v>11.18</v>
      </c>
      <c r="N721" s="71">
        <v>2.39</v>
      </c>
      <c r="O721" s="71">
        <v>7.83</v>
      </c>
      <c r="P721" s="71">
        <v>11.99</v>
      </c>
      <c r="Q721" s="71">
        <v>10.33</v>
      </c>
      <c r="R721" s="72">
        <v>10.75</v>
      </c>
      <c r="S721" s="72">
        <v>12.39</v>
      </c>
      <c r="T721" s="71">
        <v>13.56</v>
      </c>
      <c r="U721" s="71">
        <v>14.26</v>
      </c>
      <c r="V721" s="72">
        <v>16.97</v>
      </c>
      <c r="W721" s="97">
        <v>16.71</v>
      </c>
      <c r="X721" s="13">
        <f t="shared" si="13"/>
        <v>3.453585569731632E-2</v>
      </c>
      <c r="Y721" s="13">
        <f t="shared" si="14"/>
        <v>8.3563682755687818E-2</v>
      </c>
      <c r="Z721" s="13">
        <f t="shared" si="15"/>
        <v>0.12205651491365765</v>
      </c>
      <c r="AA721" s="13">
        <f t="shared" si="16"/>
        <v>7.5550891920251884E-2</v>
      </c>
    </row>
    <row r="722" spans="1:27" ht="15" x14ac:dyDescent="0.25">
      <c r="A722" s="4" t="s">
        <v>634</v>
      </c>
      <c r="B722" s="23" t="s">
        <v>549</v>
      </c>
      <c r="C722" s="73" t="s">
        <v>635</v>
      </c>
      <c r="D722" s="71"/>
      <c r="E722" s="71"/>
      <c r="F722" s="73">
        <v>7.4932483286846541</v>
      </c>
      <c r="G722" s="71">
        <v>80.47</v>
      </c>
      <c r="H722" s="71">
        <v>77.540000000000006</v>
      </c>
      <c r="I722" s="71">
        <v>85.99</v>
      </c>
      <c r="J722" s="71">
        <v>86.23</v>
      </c>
      <c r="K722" s="71">
        <v>97.26</v>
      </c>
      <c r="L722" s="71">
        <v>83.18</v>
      </c>
      <c r="M722" s="71">
        <v>95.67</v>
      </c>
      <c r="N722" s="71">
        <v>88.85</v>
      </c>
      <c r="O722" s="71">
        <v>81.02</v>
      </c>
      <c r="P722" s="71">
        <v>75.55</v>
      </c>
      <c r="Q722" s="71">
        <v>103.17</v>
      </c>
      <c r="R722" s="71">
        <v>79.66</v>
      </c>
      <c r="S722" s="71">
        <v>86.24</v>
      </c>
      <c r="T722" s="72">
        <v>115.06</v>
      </c>
      <c r="U722" s="71">
        <v>122.65</v>
      </c>
      <c r="V722" s="72">
        <v>127.79</v>
      </c>
      <c r="W722" s="97">
        <v>120.09</v>
      </c>
      <c r="X722" s="13">
        <f t="shared" si="13"/>
        <v>0.11464801810690028</v>
      </c>
      <c r="Y722" s="13">
        <f t="shared" si="14"/>
        <v>5.0711998542160241E-2</v>
      </c>
      <c r="Z722" s="13">
        <f t="shared" si="15"/>
        <v>0.11924877976264225</v>
      </c>
      <c r="AA722" s="13">
        <f t="shared" si="16"/>
        <v>7.4932483286846319E-2</v>
      </c>
    </row>
    <row r="723" spans="1:27" ht="15" x14ac:dyDescent="0.25">
      <c r="A723" s="4" t="s">
        <v>634</v>
      </c>
      <c r="B723" s="23" t="s">
        <v>550</v>
      </c>
      <c r="C723" s="73" t="s">
        <v>635</v>
      </c>
      <c r="D723" s="71"/>
      <c r="E723" s="71"/>
      <c r="F723" s="73">
        <v>7.3529411764705843</v>
      </c>
      <c r="G723" s="71">
        <v>2.2200000000000002</v>
      </c>
      <c r="H723" s="71">
        <v>1.27</v>
      </c>
      <c r="I723" s="71">
        <v>2.02</v>
      </c>
      <c r="J723" s="71">
        <v>2.14</v>
      </c>
      <c r="K723" s="71">
        <v>1.44</v>
      </c>
      <c r="L723" s="71">
        <v>1.95</v>
      </c>
      <c r="M723" s="71">
        <v>1.05</v>
      </c>
      <c r="N723" s="71">
        <v>1.9</v>
      </c>
      <c r="O723" s="71">
        <v>1.31</v>
      </c>
      <c r="P723" s="71">
        <v>1.2</v>
      </c>
      <c r="Q723" s="71">
        <v>1.33</v>
      </c>
      <c r="R723" s="71">
        <v>1.59</v>
      </c>
      <c r="S723" s="71">
        <v>1.75</v>
      </c>
      <c r="T723" s="71">
        <v>1.26</v>
      </c>
      <c r="U723" s="72">
        <v>2.2999999999999998</v>
      </c>
      <c r="V723" s="72">
        <v>2.85</v>
      </c>
      <c r="W723" s="97">
        <v>2.35</v>
      </c>
      <c r="X723" s="13">
        <f t="shared" si="13"/>
        <v>1.0221465076660996E-2</v>
      </c>
      <c r="Y723" s="13">
        <f t="shared" si="14"/>
        <v>0.16357504215851604</v>
      </c>
      <c r="Z723" s="13">
        <f t="shared" si="15"/>
        <v>0.18260869565217397</v>
      </c>
      <c r="AA723" s="13">
        <f t="shared" si="16"/>
        <v>7.3529411764705843E-2</v>
      </c>
    </row>
    <row r="724" spans="1:27" ht="15" x14ac:dyDescent="0.25">
      <c r="A724" s="4" t="s">
        <v>634</v>
      </c>
      <c r="B724" s="23" t="s">
        <v>551</v>
      </c>
      <c r="C724" s="73" t="s">
        <v>635</v>
      </c>
      <c r="D724" s="71"/>
      <c r="E724" s="71"/>
      <c r="F724" s="73">
        <v>7.3452544704263989</v>
      </c>
      <c r="G724" s="71">
        <v>98.56</v>
      </c>
      <c r="H724" s="71">
        <v>98.08</v>
      </c>
      <c r="I724" s="71">
        <v>113.16</v>
      </c>
      <c r="J724" s="71">
        <v>130.02000000000001</v>
      </c>
      <c r="K724" s="71">
        <v>131.28</v>
      </c>
      <c r="L724" s="71">
        <v>115.39</v>
      </c>
      <c r="M724" s="71">
        <v>102.67</v>
      </c>
      <c r="N724" s="71">
        <v>92.5</v>
      </c>
      <c r="O724" s="71">
        <v>93.02</v>
      </c>
      <c r="P724" s="71">
        <v>80.040000000000006</v>
      </c>
      <c r="Q724" s="71">
        <v>72.58</v>
      </c>
      <c r="R724" s="71">
        <v>78.150000000000006</v>
      </c>
      <c r="S724" s="71">
        <v>86.77</v>
      </c>
      <c r="T724" s="71">
        <v>86.69</v>
      </c>
      <c r="U724" s="71">
        <v>96.28</v>
      </c>
      <c r="V724" s="71">
        <v>93.76</v>
      </c>
      <c r="W724" s="97">
        <v>113.47</v>
      </c>
      <c r="X724" s="13">
        <f t="shared" si="13"/>
        <v>2.0942243496882229E-2</v>
      </c>
      <c r="Y724" s="13">
        <f t="shared" si="14"/>
        <v>7.3105277769209387E-2</v>
      </c>
      <c r="Z724" s="13">
        <f t="shared" si="15"/>
        <v>4.4870505044698028E-2</v>
      </c>
      <c r="AA724" s="13">
        <f t="shared" si="16"/>
        <v>7.3452544704264211E-2</v>
      </c>
    </row>
    <row r="725" spans="1:27" ht="15" x14ac:dyDescent="0.25">
      <c r="A725" s="4" t="s">
        <v>634</v>
      </c>
      <c r="B725" s="23" t="s">
        <v>552</v>
      </c>
      <c r="C725" s="73" t="s">
        <v>635</v>
      </c>
      <c r="D725" s="71"/>
      <c r="E725" s="71"/>
      <c r="F725" s="73">
        <v>7.1600688468158369</v>
      </c>
      <c r="G725" s="71">
        <v>3.08</v>
      </c>
      <c r="H725" s="71">
        <v>4.91</v>
      </c>
      <c r="I725" s="71">
        <v>4.97</v>
      </c>
      <c r="J725" s="71">
        <v>6.75</v>
      </c>
      <c r="K725" s="72">
        <v>7.2</v>
      </c>
      <c r="L725" s="72">
        <v>8.85</v>
      </c>
      <c r="M725" s="71">
        <v>7.5</v>
      </c>
      <c r="N725" s="71">
        <v>6.25</v>
      </c>
      <c r="O725" s="71">
        <v>8.9</v>
      </c>
      <c r="P725" s="71">
        <v>2.98</v>
      </c>
      <c r="Q725" s="71">
        <v>7.46</v>
      </c>
      <c r="R725" s="72">
        <v>10.119999999999999</v>
      </c>
      <c r="S725" s="71">
        <v>6.65</v>
      </c>
      <c r="T725" s="72">
        <v>6.59</v>
      </c>
      <c r="U725" s="71">
        <v>7.03</v>
      </c>
      <c r="V725" s="71">
        <v>8.7799999999999994</v>
      </c>
      <c r="W725" s="97">
        <v>8.73</v>
      </c>
      <c r="X725" s="13">
        <f t="shared" si="13"/>
        <v>0.13267181183388455</v>
      </c>
      <c r="Y725" s="13">
        <f t="shared" si="14"/>
        <v>-1.395197923426339E-2</v>
      </c>
      <c r="Z725" s="13">
        <f t="shared" si="15"/>
        <v>-4.4093451793353222E-2</v>
      </c>
      <c r="AA725" s="13">
        <f t="shared" si="16"/>
        <v>7.1600688468158369E-2</v>
      </c>
    </row>
    <row r="726" spans="1:27" ht="15" x14ac:dyDescent="0.25">
      <c r="A726" s="4" t="s">
        <v>634</v>
      </c>
      <c r="B726" s="23" t="s">
        <v>553</v>
      </c>
      <c r="C726" s="73" t="s">
        <v>635</v>
      </c>
      <c r="D726" s="71"/>
      <c r="E726" s="71"/>
      <c r="F726" s="73">
        <v>7.1323637432055387</v>
      </c>
      <c r="G726" s="71">
        <v>93.34</v>
      </c>
      <c r="H726" s="71">
        <v>101.76</v>
      </c>
      <c r="I726" s="71">
        <v>119.14</v>
      </c>
      <c r="J726" s="71">
        <v>128.5</v>
      </c>
      <c r="K726" s="71">
        <v>126.37</v>
      </c>
      <c r="L726" s="71">
        <v>122.76</v>
      </c>
      <c r="M726" s="71">
        <v>115.91</v>
      </c>
      <c r="N726" s="71">
        <v>120.94</v>
      </c>
      <c r="O726" s="71">
        <v>104.2</v>
      </c>
      <c r="P726" s="71">
        <v>108.22</v>
      </c>
      <c r="Q726" s="71">
        <v>115.39</v>
      </c>
      <c r="R726" s="71">
        <v>119.92</v>
      </c>
      <c r="S726" s="71">
        <v>121.06</v>
      </c>
      <c r="T726" s="71">
        <v>106.93</v>
      </c>
      <c r="U726" s="71">
        <v>152.09</v>
      </c>
      <c r="V726" s="71">
        <v>164.48</v>
      </c>
      <c r="W726" s="97">
        <v>159.9</v>
      </c>
      <c r="X726" s="13">
        <f t="shared" ref="X726:X789" si="17">SUM(Q726:T726)/SUM(P726:S726)-1</f>
        <v>-2.7766417701630131E-3</v>
      </c>
      <c r="Y726" s="13">
        <f t="shared" ref="Y726:Y789" si="18">SUM(R726:U726)/SUM(Q726:T726)-1</f>
        <v>7.9214331966328544E-2</v>
      </c>
      <c r="Z726" s="13">
        <f t="shared" ref="Z726:Z789" si="19">SUM(S726:V726)/SUM(R726:U726)-1</f>
        <v>8.9120000000000088E-2</v>
      </c>
      <c r="AA726" s="13">
        <f t="shared" ref="AA726:AA789" si="20">SUM(T726:W726)/SUM(S726:V726)-1</f>
        <v>7.1323637432055165E-2</v>
      </c>
    </row>
    <row r="727" spans="1:27" ht="15" x14ac:dyDescent="0.25">
      <c r="A727" s="4" t="s">
        <v>634</v>
      </c>
      <c r="B727" s="23" t="s">
        <v>554</v>
      </c>
      <c r="C727" s="73" t="s">
        <v>635</v>
      </c>
      <c r="D727" s="71"/>
      <c r="E727" s="71"/>
      <c r="F727" s="73">
        <v>7.0728768271598463</v>
      </c>
      <c r="G727" s="71">
        <v>36.270000000000003</v>
      </c>
      <c r="H727" s="71">
        <v>35.19</v>
      </c>
      <c r="I727" s="71">
        <v>38.130000000000003</v>
      </c>
      <c r="J727" s="71">
        <v>42.44</v>
      </c>
      <c r="K727" s="71">
        <v>41.02</v>
      </c>
      <c r="L727" s="71">
        <v>40.42</v>
      </c>
      <c r="M727" s="71">
        <v>42.07</v>
      </c>
      <c r="N727" s="71">
        <v>42.67</v>
      </c>
      <c r="O727" s="71">
        <v>36.520000000000003</v>
      </c>
      <c r="P727" s="71">
        <v>37.89</v>
      </c>
      <c r="Q727" s="71">
        <v>47.72</v>
      </c>
      <c r="R727" s="71">
        <v>45.38</v>
      </c>
      <c r="S727" s="71">
        <v>40.06</v>
      </c>
      <c r="T727" s="71">
        <v>47.7</v>
      </c>
      <c r="U727" s="71">
        <v>48.13</v>
      </c>
      <c r="V727" s="71">
        <v>54.98</v>
      </c>
      <c r="W727" s="97">
        <v>53.56</v>
      </c>
      <c r="X727" s="13">
        <f t="shared" si="17"/>
        <v>5.7351651563870121E-2</v>
      </c>
      <c r="Y727" s="13">
        <f t="shared" si="18"/>
        <v>2.266946809686976E-3</v>
      </c>
      <c r="Z727" s="13">
        <f t="shared" si="19"/>
        <v>5.2959673415347464E-2</v>
      </c>
      <c r="AA727" s="13">
        <f t="shared" si="20"/>
        <v>7.0728768271598463E-2</v>
      </c>
    </row>
    <row r="728" spans="1:27" ht="15" x14ac:dyDescent="0.25">
      <c r="A728" s="4" t="s">
        <v>634</v>
      </c>
      <c r="B728" s="23" t="s">
        <v>555</v>
      </c>
      <c r="C728" s="73" t="s">
        <v>635</v>
      </c>
      <c r="D728" s="71"/>
      <c r="E728" s="71"/>
      <c r="F728" s="73">
        <v>6.8839704397489987</v>
      </c>
      <c r="G728" s="71">
        <v>277.08</v>
      </c>
      <c r="H728" s="71">
        <v>297.91000000000003</v>
      </c>
      <c r="I728" s="71">
        <v>341.04</v>
      </c>
      <c r="J728" s="71">
        <v>384.39</v>
      </c>
      <c r="K728" s="71">
        <v>388.32</v>
      </c>
      <c r="L728" s="71">
        <v>421.39</v>
      </c>
      <c r="M728" s="71">
        <v>357.59</v>
      </c>
      <c r="N728" s="71">
        <v>353.55</v>
      </c>
      <c r="O728" s="71">
        <v>327.24</v>
      </c>
      <c r="P728" s="71">
        <v>372.25</v>
      </c>
      <c r="Q728" s="71">
        <v>364.47</v>
      </c>
      <c r="R728" s="71">
        <v>389.32</v>
      </c>
      <c r="S728" s="71">
        <v>355.82</v>
      </c>
      <c r="T728" s="71">
        <v>391.16</v>
      </c>
      <c r="U728" s="71">
        <v>402.23</v>
      </c>
      <c r="V728" s="71">
        <v>465.12</v>
      </c>
      <c r="W728" s="97">
        <v>466.95</v>
      </c>
      <c r="X728" s="13">
        <f t="shared" si="17"/>
        <v>1.2760989567165648E-2</v>
      </c>
      <c r="Y728" s="13">
        <f t="shared" si="18"/>
        <v>2.5160417652271727E-2</v>
      </c>
      <c r="Z728" s="13">
        <f t="shared" si="19"/>
        <v>4.9267807582562551E-2</v>
      </c>
      <c r="AA728" s="13">
        <f t="shared" si="20"/>
        <v>6.8839704397490209E-2</v>
      </c>
    </row>
    <row r="729" spans="1:27" ht="15" x14ac:dyDescent="0.25">
      <c r="A729" s="4" t="s">
        <v>634</v>
      </c>
      <c r="B729" s="23" t="s">
        <v>556</v>
      </c>
      <c r="C729" s="73" t="s">
        <v>635</v>
      </c>
      <c r="D729" s="71"/>
      <c r="E729" s="71"/>
      <c r="F729" s="73">
        <v>6.8494931115154589</v>
      </c>
      <c r="G729" s="71">
        <v>1738</v>
      </c>
      <c r="H729" s="71">
        <v>1269</v>
      </c>
      <c r="I729" s="71">
        <v>745</v>
      </c>
      <c r="J729" s="71">
        <v>616</v>
      </c>
      <c r="K729" s="71">
        <v>1075</v>
      </c>
      <c r="L729" s="71">
        <v>1016</v>
      </c>
      <c r="M729" s="71">
        <v>44</v>
      </c>
      <c r="N729" s="71">
        <v>570</v>
      </c>
      <c r="O729" s="72">
        <v>2117</v>
      </c>
      <c r="P729" s="72">
        <v>1468</v>
      </c>
      <c r="Q729" s="72">
        <v>754</v>
      </c>
      <c r="R729" s="72">
        <v>1658</v>
      </c>
      <c r="S729" s="71">
        <v>2692</v>
      </c>
      <c r="T729" s="71">
        <v>567</v>
      </c>
      <c r="U729" s="72">
        <v>1980</v>
      </c>
      <c r="V729" s="72">
        <v>2455</v>
      </c>
      <c r="W729" s="97">
        <v>3219</v>
      </c>
      <c r="X729" s="13">
        <f t="shared" si="17"/>
        <v>-0.13709677419354838</v>
      </c>
      <c r="Y729" s="13">
        <f t="shared" si="18"/>
        <v>0.21618762123082358</v>
      </c>
      <c r="Z729" s="13">
        <f t="shared" si="19"/>
        <v>0.11555748876323046</v>
      </c>
      <c r="AA729" s="13">
        <f t="shared" si="20"/>
        <v>6.8494931115154589E-2</v>
      </c>
    </row>
    <row r="730" spans="1:27" ht="15" x14ac:dyDescent="0.25">
      <c r="A730" s="4" t="s">
        <v>634</v>
      </c>
      <c r="B730" s="23" t="s">
        <v>557</v>
      </c>
      <c r="C730" s="73" t="s">
        <v>635</v>
      </c>
      <c r="D730" s="71"/>
      <c r="E730" s="71"/>
      <c r="F730" s="73">
        <v>6.7455621301775182</v>
      </c>
      <c r="G730" s="71">
        <v>709</v>
      </c>
      <c r="H730" s="71">
        <v>742</v>
      </c>
      <c r="I730" s="71">
        <v>766</v>
      </c>
      <c r="J730" s="71">
        <v>766</v>
      </c>
      <c r="K730" s="71">
        <v>617</v>
      </c>
      <c r="L730" s="71">
        <v>658</v>
      </c>
      <c r="M730" s="71">
        <v>689</v>
      </c>
      <c r="N730" s="71">
        <v>717</v>
      </c>
      <c r="O730" s="71">
        <v>722</v>
      </c>
      <c r="P730" s="71">
        <v>724</v>
      </c>
      <c r="Q730" s="71">
        <v>751</v>
      </c>
      <c r="R730" s="71">
        <v>737</v>
      </c>
      <c r="S730" s="71">
        <v>748</v>
      </c>
      <c r="T730" s="71">
        <v>802</v>
      </c>
      <c r="U730" s="71">
        <v>891</v>
      </c>
      <c r="V730" s="71">
        <v>939</v>
      </c>
      <c r="W730" s="97">
        <v>976</v>
      </c>
      <c r="X730" s="13">
        <f t="shared" si="17"/>
        <v>2.635135135135136E-2</v>
      </c>
      <c r="Y730" s="13">
        <f t="shared" si="18"/>
        <v>4.6082949308755783E-2</v>
      </c>
      <c r="Z730" s="13">
        <f t="shared" si="19"/>
        <v>6.3561988672120817E-2</v>
      </c>
      <c r="AA730" s="13">
        <f t="shared" si="20"/>
        <v>6.7455621301775182E-2</v>
      </c>
    </row>
    <row r="731" spans="1:27" ht="15" x14ac:dyDescent="0.25">
      <c r="A731" s="4" t="s">
        <v>634</v>
      </c>
      <c r="B731" s="23" t="s">
        <v>558</v>
      </c>
      <c r="C731" s="73" t="s">
        <v>635</v>
      </c>
      <c r="D731" s="71"/>
      <c r="E731" s="71"/>
      <c r="F731" s="73">
        <v>6.2386980108499079</v>
      </c>
      <c r="G731" s="71">
        <v>269</v>
      </c>
      <c r="H731" s="71">
        <v>255</v>
      </c>
      <c r="I731" s="71">
        <v>260</v>
      </c>
      <c r="J731" s="71">
        <v>278</v>
      </c>
      <c r="K731" s="71">
        <v>359</v>
      </c>
      <c r="L731" s="71">
        <v>282</v>
      </c>
      <c r="M731" s="71">
        <v>226</v>
      </c>
      <c r="N731" s="71">
        <v>228</v>
      </c>
      <c r="O731" s="71">
        <v>150</v>
      </c>
      <c r="P731" s="71">
        <v>203</v>
      </c>
      <c r="Q731" s="71">
        <v>262</v>
      </c>
      <c r="R731" s="71">
        <v>277</v>
      </c>
      <c r="S731" s="72">
        <v>270</v>
      </c>
      <c r="T731" s="71">
        <v>239</v>
      </c>
      <c r="U731" s="71">
        <v>312</v>
      </c>
      <c r="V731" s="71">
        <v>285</v>
      </c>
      <c r="W731" s="97">
        <v>339</v>
      </c>
      <c r="X731" s="13">
        <f t="shared" si="17"/>
        <v>3.5573122529644285E-2</v>
      </c>
      <c r="Y731" s="13">
        <f t="shared" si="18"/>
        <v>4.7709923664122078E-2</v>
      </c>
      <c r="Z731" s="13">
        <f t="shared" si="19"/>
        <v>7.2859744990891873E-3</v>
      </c>
      <c r="AA731" s="13">
        <f t="shared" si="20"/>
        <v>6.2386980108499079E-2</v>
      </c>
    </row>
    <row r="732" spans="1:27" ht="15" x14ac:dyDescent="0.25">
      <c r="A732" s="4" t="s">
        <v>634</v>
      </c>
      <c r="B732" s="23" t="s">
        <v>559</v>
      </c>
      <c r="C732" s="73" t="s">
        <v>635</v>
      </c>
      <c r="D732" s="71"/>
      <c r="E732" s="71"/>
      <c r="F732" s="73">
        <v>6.2380649267982147</v>
      </c>
      <c r="G732" s="71">
        <v>3.93</v>
      </c>
      <c r="H732" s="71">
        <v>3.41</v>
      </c>
      <c r="I732" s="71">
        <v>4.83</v>
      </c>
      <c r="J732" s="71">
        <v>6.3</v>
      </c>
      <c r="K732" s="72">
        <v>7.52</v>
      </c>
      <c r="L732" s="72">
        <v>8.65</v>
      </c>
      <c r="M732" s="71">
        <v>6.22</v>
      </c>
      <c r="N732" s="71">
        <v>5.41</v>
      </c>
      <c r="O732" s="71">
        <v>7.2</v>
      </c>
      <c r="P732" s="71">
        <v>5.86</v>
      </c>
      <c r="Q732" s="71">
        <v>6.05</v>
      </c>
      <c r="R732" s="71">
        <v>5.14</v>
      </c>
      <c r="S732" s="71">
        <v>3.28</v>
      </c>
      <c r="T732" s="71">
        <v>3.75</v>
      </c>
      <c r="U732" s="71">
        <v>3.02</v>
      </c>
      <c r="V732" s="71">
        <v>5.66</v>
      </c>
      <c r="W732" s="97">
        <v>4.26</v>
      </c>
      <c r="X732" s="13">
        <f t="shared" si="17"/>
        <v>-0.10378750614854904</v>
      </c>
      <c r="Y732" s="13">
        <f t="shared" si="18"/>
        <v>-0.16630076838638852</v>
      </c>
      <c r="Z732" s="13">
        <f t="shared" si="19"/>
        <v>3.4233048057932924E-2</v>
      </c>
      <c r="AA732" s="13">
        <f t="shared" si="20"/>
        <v>6.2380649267982147E-2</v>
      </c>
    </row>
    <row r="733" spans="1:27" ht="15" x14ac:dyDescent="0.25">
      <c r="A733" s="4" t="s">
        <v>634</v>
      </c>
      <c r="B733" s="23" t="s">
        <v>560</v>
      </c>
      <c r="C733" s="73" t="s">
        <v>635</v>
      </c>
      <c r="D733" s="71"/>
      <c r="E733" s="71"/>
      <c r="F733" s="73">
        <v>6.036720176872068</v>
      </c>
      <c r="G733" s="71">
        <v>14.6</v>
      </c>
      <c r="H733" s="71">
        <v>11.03</v>
      </c>
      <c r="I733" s="71">
        <v>17.239999999999998</v>
      </c>
      <c r="J733" s="71">
        <v>17.38</v>
      </c>
      <c r="K733" s="72">
        <v>22.94</v>
      </c>
      <c r="L733" s="72">
        <v>19.239999999999998</v>
      </c>
      <c r="M733" s="72">
        <v>25.04</v>
      </c>
      <c r="N733" s="72">
        <v>25.97</v>
      </c>
      <c r="O733" s="71">
        <v>20.34</v>
      </c>
      <c r="P733" s="71">
        <v>17.21</v>
      </c>
      <c r="Q733" s="71">
        <v>21.77</v>
      </c>
      <c r="R733" s="71">
        <v>22.77</v>
      </c>
      <c r="S733" s="71">
        <v>21.3</v>
      </c>
      <c r="T733" s="72">
        <v>25.82</v>
      </c>
      <c r="U733" s="71">
        <v>28.03</v>
      </c>
      <c r="V733" s="71">
        <v>28.88</v>
      </c>
      <c r="W733" s="97">
        <v>27.58</v>
      </c>
      <c r="X733" s="13">
        <f t="shared" si="17"/>
        <v>0.10367248645394334</v>
      </c>
      <c r="Y733" s="13">
        <f t="shared" si="18"/>
        <v>6.829587606371379E-2</v>
      </c>
      <c r="Z733" s="13">
        <f t="shared" si="19"/>
        <v>6.2397875816993409E-2</v>
      </c>
      <c r="AA733" s="13">
        <f t="shared" si="20"/>
        <v>6.036720176872068E-2</v>
      </c>
    </row>
    <row r="734" spans="1:27" ht="15" x14ac:dyDescent="0.25">
      <c r="A734" s="4" t="s">
        <v>634</v>
      </c>
      <c r="B734" s="23" t="s">
        <v>561</v>
      </c>
      <c r="C734" s="73" t="s">
        <v>635</v>
      </c>
      <c r="D734" s="71"/>
      <c r="E734" s="71"/>
      <c r="F734" s="73">
        <v>5.8194060358302213</v>
      </c>
      <c r="G734" s="71">
        <v>2954</v>
      </c>
      <c r="H734" s="71">
        <v>3011</v>
      </c>
      <c r="I734" s="71">
        <v>2482</v>
      </c>
      <c r="J734" s="71">
        <v>1872</v>
      </c>
      <c r="K734" s="71">
        <v>1748</v>
      </c>
      <c r="L734" s="71">
        <v>1629</v>
      </c>
      <c r="M734" s="71">
        <v>1677</v>
      </c>
      <c r="N734" s="71">
        <v>1769</v>
      </c>
      <c r="O734" s="71">
        <v>2145</v>
      </c>
      <c r="P734" s="71">
        <v>1518</v>
      </c>
      <c r="Q734" s="71">
        <v>1808</v>
      </c>
      <c r="R734" s="71">
        <v>1994</v>
      </c>
      <c r="S734" s="71">
        <v>2040</v>
      </c>
      <c r="T734" s="71">
        <v>1874</v>
      </c>
      <c r="U734" s="71">
        <v>2198</v>
      </c>
      <c r="V734" s="71">
        <v>2205</v>
      </c>
      <c r="W734" s="97">
        <v>2524</v>
      </c>
      <c r="X734" s="13">
        <f t="shared" si="17"/>
        <v>4.8369565217391219E-2</v>
      </c>
      <c r="Y734" s="13">
        <f t="shared" si="18"/>
        <v>5.0544323483670217E-2</v>
      </c>
      <c r="Z734" s="13">
        <f t="shared" si="19"/>
        <v>2.6030101159634889E-2</v>
      </c>
      <c r="AA734" s="13">
        <f t="shared" si="20"/>
        <v>5.8194060358302213E-2</v>
      </c>
    </row>
    <row r="735" spans="1:27" ht="15" x14ac:dyDescent="0.25">
      <c r="A735" s="4" t="s">
        <v>634</v>
      </c>
      <c r="B735" s="23" t="s">
        <v>562</v>
      </c>
      <c r="C735" s="73" t="s">
        <v>635</v>
      </c>
      <c r="D735" s="71"/>
      <c r="E735" s="71"/>
      <c r="F735" s="73">
        <v>5.8139534883721034</v>
      </c>
      <c r="G735" s="71">
        <v>377</v>
      </c>
      <c r="H735" s="71">
        <v>412</v>
      </c>
      <c r="I735" s="71">
        <v>445</v>
      </c>
      <c r="J735" s="71">
        <v>563</v>
      </c>
      <c r="K735" s="72">
        <v>678</v>
      </c>
      <c r="L735" s="72">
        <v>760</v>
      </c>
      <c r="M735" s="72">
        <v>707</v>
      </c>
      <c r="N735" s="72">
        <v>857</v>
      </c>
      <c r="O735" s="71">
        <v>825</v>
      </c>
      <c r="P735" s="71">
        <v>868</v>
      </c>
      <c r="Q735" s="71">
        <v>900</v>
      </c>
      <c r="R735" s="71">
        <v>984</v>
      </c>
      <c r="S735" s="71">
        <v>1058</v>
      </c>
      <c r="T735" s="71">
        <v>1035</v>
      </c>
      <c r="U735" s="71">
        <v>1157</v>
      </c>
      <c r="V735" s="71">
        <v>1308</v>
      </c>
      <c r="W735" s="97">
        <v>1323</v>
      </c>
      <c r="X735" s="13">
        <f t="shared" si="17"/>
        <v>4.3832020997375265E-2</v>
      </c>
      <c r="Y735" s="13">
        <f t="shared" si="18"/>
        <v>6.4621574050792052E-2</v>
      </c>
      <c r="Z735" s="13">
        <f t="shared" si="19"/>
        <v>7.6523382144544128E-2</v>
      </c>
      <c r="AA735" s="13">
        <f t="shared" si="20"/>
        <v>5.8139534883721034E-2</v>
      </c>
    </row>
    <row r="736" spans="1:27" ht="15" x14ac:dyDescent="0.25">
      <c r="A736" s="4" t="s">
        <v>634</v>
      </c>
      <c r="B736" s="23" t="s">
        <v>563</v>
      </c>
      <c r="C736" s="73" t="s">
        <v>635</v>
      </c>
      <c r="D736" s="71"/>
      <c r="E736" s="71"/>
      <c r="F736" s="73">
        <v>5.4101083603575129</v>
      </c>
      <c r="G736" s="71">
        <v>631.77</v>
      </c>
      <c r="H736" s="71">
        <v>1972</v>
      </c>
      <c r="I736" s="71">
        <v>1578</v>
      </c>
      <c r="J736" s="71">
        <v>1533</v>
      </c>
      <c r="K736" s="71">
        <v>549.9</v>
      </c>
      <c r="L736" s="71">
        <v>1714</v>
      </c>
      <c r="M736" s="71">
        <v>1827</v>
      </c>
      <c r="N736" s="71">
        <v>1916</v>
      </c>
      <c r="O736" s="72">
        <v>1496</v>
      </c>
      <c r="P736" s="72">
        <v>2633</v>
      </c>
      <c r="Q736" s="71">
        <v>2603</v>
      </c>
      <c r="R736" s="72">
        <v>2909</v>
      </c>
      <c r="S736" s="71">
        <v>2273</v>
      </c>
      <c r="T736" s="71">
        <v>3347</v>
      </c>
      <c r="U736" s="72">
        <v>3775</v>
      </c>
      <c r="V736" s="71">
        <v>3248</v>
      </c>
      <c r="W736" s="97">
        <v>2957</v>
      </c>
      <c r="X736" s="13">
        <f t="shared" si="17"/>
        <v>6.8535227490881256E-2</v>
      </c>
      <c r="Y736" s="13">
        <f t="shared" si="18"/>
        <v>0.10528206970894716</v>
      </c>
      <c r="Z736" s="13">
        <f t="shared" si="19"/>
        <v>2.7552015604681346E-2</v>
      </c>
      <c r="AA736" s="13">
        <f t="shared" si="20"/>
        <v>5.4101083603575129E-2</v>
      </c>
    </row>
    <row r="737" spans="1:27" ht="15" x14ac:dyDescent="0.25">
      <c r="A737" s="4" t="s">
        <v>634</v>
      </c>
      <c r="B737" s="23" t="s">
        <v>564</v>
      </c>
      <c r="C737" s="73" t="s">
        <v>635</v>
      </c>
      <c r="D737" s="71"/>
      <c r="E737" s="71"/>
      <c r="F737" s="73">
        <v>5.3390510582806749</v>
      </c>
      <c r="G737" s="71">
        <v>142.07</v>
      </c>
      <c r="H737" s="71">
        <v>-50.35</v>
      </c>
      <c r="I737" s="71">
        <v>237.12</v>
      </c>
      <c r="J737" s="71">
        <v>298.04000000000002</v>
      </c>
      <c r="K737" s="72">
        <v>313.16000000000003</v>
      </c>
      <c r="L737" s="72">
        <v>286.83</v>
      </c>
      <c r="M737" s="71">
        <v>297.62</v>
      </c>
      <c r="N737" s="71">
        <v>278.44</v>
      </c>
      <c r="O737" s="71">
        <v>221.62</v>
      </c>
      <c r="P737" s="71">
        <v>285.67</v>
      </c>
      <c r="Q737" s="71">
        <v>229.57</v>
      </c>
      <c r="R737" s="71">
        <v>244.67</v>
      </c>
      <c r="S737" s="71">
        <v>257.10000000000002</v>
      </c>
      <c r="T737" s="71">
        <v>283.64999999999998</v>
      </c>
      <c r="U737" s="71">
        <v>323.63</v>
      </c>
      <c r="V737" s="71">
        <v>331.9</v>
      </c>
      <c r="W737" s="97">
        <v>320.97000000000003</v>
      </c>
      <c r="X737" s="13">
        <f t="shared" si="17"/>
        <v>-1.9862144914996049E-3</v>
      </c>
      <c r="Y737" s="13">
        <f t="shared" si="18"/>
        <v>9.2670863752352117E-2</v>
      </c>
      <c r="Z737" s="13">
        <f t="shared" si="19"/>
        <v>7.8652901131599062E-2</v>
      </c>
      <c r="AA737" s="13">
        <f t="shared" si="20"/>
        <v>5.3390510582806749E-2</v>
      </c>
    </row>
    <row r="738" spans="1:27" ht="15" x14ac:dyDescent="0.25">
      <c r="A738" s="4" t="s">
        <v>634</v>
      </c>
      <c r="B738" s="23" t="s">
        <v>565</v>
      </c>
      <c r="C738" s="73" t="s">
        <v>635</v>
      </c>
      <c r="D738" s="71"/>
      <c r="E738" s="71"/>
      <c r="F738" s="73">
        <v>5.3242320819112621</v>
      </c>
      <c r="G738" s="71">
        <v>4.04</v>
      </c>
      <c r="H738" s="71">
        <v>4.09</v>
      </c>
      <c r="I738" s="71">
        <v>4.71</v>
      </c>
      <c r="J738" s="71">
        <v>7.21</v>
      </c>
      <c r="K738" s="71">
        <v>4.82</v>
      </c>
      <c r="L738" s="72">
        <v>8.9</v>
      </c>
      <c r="M738" s="71">
        <v>5.37</v>
      </c>
      <c r="N738" s="71">
        <v>4.62</v>
      </c>
      <c r="O738" s="71">
        <v>4.47</v>
      </c>
      <c r="P738" s="71">
        <v>4.0599999999999996</v>
      </c>
      <c r="Q738" s="71">
        <v>4.3899999999999997</v>
      </c>
      <c r="R738" s="71">
        <v>4.4000000000000004</v>
      </c>
      <c r="S738" s="71">
        <v>2.96</v>
      </c>
      <c r="T738" s="71">
        <v>4.25</v>
      </c>
      <c r="U738" s="71">
        <v>3.78</v>
      </c>
      <c r="V738" s="71">
        <v>3.66</v>
      </c>
      <c r="W738" s="97">
        <v>3.74</v>
      </c>
      <c r="X738" s="13">
        <f t="shared" si="17"/>
        <v>1.2017710309930596E-2</v>
      </c>
      <c r="Y738" s="13">
        <f t="shared" si="18"/>
        <v>-3.8125000000000075E-2</v>
      </c>
      <c r="Z738" s="13">
        <f t="shared" si="19"/>
        <v>-4.808317089018832E-2</v>
      </c>
      <c r="AA738" s="13">
        <f t="shared" si="20"/>
        <v>5.3242320819112621E-2</v>
      </c>
    </row>
    <row r="739" spans="1:27" ht="15" x14ac:dyDescent="0.25">
      <c r="A739" s="4" t="s">
        <v>634</v>
      </c>
      <c r="B739" s="23" t="s">
        <v>566</v>
      </c>
      <c r="C739" s="73" t="s">
        <v>635</v>
      </c>
      <c r="D739" s="71"/>
      <c r="E739" s="71"/>
      <c r="F739" s="73">
        <v>4.8845470692717496</v>
      </c>
      <c r="G739" s="71">
        <v>972</v>
      </c>
      <c r="H739" s="71">
        <v>1014</v>
      </c>
      <c r="I739" s="71">
        <v>995</v>
      </c>
      <c r="J739" s="71">
        <v>922</v>
      </c>
      <c r="K739" s="71">
        <v>1102</v>
      </c>
      <c r="L739" s="71">
        <v>1194</v>
      </c>
      <c r="M739" s="71">
        <v>1017</v>
      </c>
      <c r="N739" s="71">
        <v>935</v>
      </c>
      <c r="O739" s="71">
        <v>1117</v>
      </c>
      <c r="P739" s="71">
        <v>1223</v>
      </c>
      <c r="Q739" s="71">
        <v>1038</v>
      </c>
      <c r="R739" s="71">
        <v>1015</v>
      </c>
      <c r="S739" s="71">
        <v>1144</v>
      </c>
      <c r="T739" s="71">
        <v>1145</v>
      </c>
      <c r="U739" s="71">
        <v>1152</v>
      </c>
      <c r="V739" s="71">
        <v>1063</v>
      </c>
      <c r="W739" s="97">
        <v>1364</v>
      </c>
      <c r="X739" s="13">
        <f t="shared" si="17"/>
        <v>-1.764705882352946E-2</v>
      </c>
      <c r="Y739" s="13">
        <f t="shared" si="18"/>
        <v>2.6255181943804606E-2</v>
      </c>
      <c r="Z739" s="13">
        <f t="shared" si="19"/>
        <v>1.0771992818671361E-2</v>
      </c>
      <c r="AA739" s="13">
        <f t="shared" si="20"/>
        <v>4.8845470692717496E-2</v>
      </c>
    </row>
    <row r="740" spans="1:27" ht="15" x14ac:dyDescent="0.25">
      <c r="A740" s="4" t="s">
        <v>634</v>
      </c>
      <c r="B740" s="23" t="s">
        <v>567</v>
      </c>
      <c r="C740" s="73" t="s">
        <v>635</v>
      </c>
      <c r="D740" s="71"/>
      <c r="E740" s="71"/>
      <c r="F740" s="73">
        <v>4.8526534990849912</v>
      </c>
      <c r="G740" s="71">
        <v>38.630000000000003</v>
      </c>
      <c r="H740" s="71">
        <v>28.24</v>
      </c>
      <c r="I740" s="71">
        <v>43.11</v>
      </c>
      <c r="J740" s="71">
        <v>51.49</v>
      </c>
      <c r="K740" s="71">
        <v>51.07</v>
      </c>
      <c r="L740" s="72">
        <v>48.98</v>
      </c>
      <c r="M740" s="71">
        <v>33.450000000000003</v>
      </c>
      <c r="N740" s="71">
        <v>42.07</v>
      </c>
      <c r="O740" s="71">
        <v>36.4</v>
      </c>
      <c r="P740" s="71">
        <v>37.700000000000003</v>
      </c>
      <c r="Q740" s="71">
        <v>39.119999999999997</v>
      </c>
      <c r="R740" s="71">
        <v>39.4</v>
      </c>
      <c r="S740" s="71">
        <v>38.89</v>
      </c>
      <c r="T740" s="71">
        <v>35.299999999999997</v>
      </c>
      <c r="U740" s="71">
        <v>37.81</v>
      </c>
      <c r="V740" s="71">
        <v>46.47</v>
      </c>
      <c r="W740" s="97">
        <v>46.58</v>
      </c>
      <c r="X740" s="13">
        <f t="shared" si="17"/>
        <v>-1.5472890206950085E-2</v>
      </c>
      <c r="Y740" s="13">
        <f t="shared" si="18"/>
        <v>-8.5783511230437259E-3</v>
      </c>
      <c r="Z740" s="13">
        <f t="shared" si="19"/>
        <v>4.6697490092470373E-2</v>
      </c>
      <c r="AA740" s="13">
        <f t="shared" si="20"/>
        <v>4.8526534990849912E-2</v>
      </c>
    </row>
    <row r="741" spans="1:27" ht="15" x14ac:dyDescent="0.25">
      <c r="A741" s="4" t="s">
        <v>634</v>
      </c>
      <c r="B741" s="23" t="s">
        <v>568</v>
      </c>
      <c r="C741" s="73" t="s">
        <v>635</v>
      </c>
      <c r="D741" s="71"/>
      <c r="E741" s="71"/>
      <c r="F741" s="73">
        <v>4.7992164544564231</v>
      </c>
      <c r="G741" s="71">
        <v>828</v>
      </c>
      <c r="H741" s="71">
        <v>612</v>
      </c>
      <c r="I741" s="71">
        <v>724</v>
      </c>
      <c r="J741" s="71">
        <v>845</v>
      </c>
      <c r="K741" s="71">
        <v>914</v>
      </c>
      <c r="L741" s="71">
        <v>718</v>
      </c>
      <c r="M741" s="71">
        <v>775</v>
      </c>
      <c r="N741" s="71">
        <v>846</v>
      </c>
      <c r="O741" s="71">
        <v>650</v>
      </c>
      <c r="P741" s="71">
        <v>658</v>
      </c>
      <c r="Q741" s="71">
        <v>764</v>
      </c>
      <c r="R741" s="71">
        <v>728</v>
      </c>
      <c r="S741" s="71">
        <v>765</v>
      </c>
      <c r="T741" s="71">
        <v>653</v>
      </c>
      <c r="U741" s="71">
        <v>808</v>
      </c>
      <c r="V741" s="71">
        <v>837</v>
      </c>
      <c r="W741" s="97">
        <v>912</v>
      </c>
      <c r="X741" s="13">
        <f t="shared" si="17"/>
        <v>-1.7152658662092923E-3</v>
      </c>
      <c r="Y741" s="13">
        <f t="shared" si="18"/>
        <v>1.5120274914089293E-2</v>
      </c>
      <c r="Z741" s="13">
        <f t="shared" si="19"/>
        <v>3.6899119837508376E-2</v>
      </c>
      <c r="AA741" s="13">
        <f t="shared" si="20"/>
        <v>4.7992164544564231E-2</v>
      </c>
    </row>
    <row r="742" spans="1:27" ht="15" x14ac:dyDescent="0.25">
      <c r="A742" s="4" t="s">
        <v>634</v>
      </c>
      <c r="B742" s="23" t="s">
        <v>569</v>
      </c>
      <c r="C742" s="73" t="s">
        <v>635</v>
      </c>
      <c r="D742" s="71"/>
      <c r="E742" s="71"/>
      <c r="F742" s="73">
        <v>4.6744390673119307</v>
      </c>
      <c r="G742" s="71">
        <v>2137</v>
      </c>
      <c r="H742" s="71">
        <v>1955</v>
      </c>
      <c r="I742" s="71">
        <v>1948</v>
      </c>
      <c r="J742" s="71">
        <v>2297</v>
      </c>
      <c r="K742" s="71">
        <v>1101</v>
      </c>
      <c r="L742" s="71">
        <v>2159</v>
      </c>
      <c r="M742" s="71">
        <v>1751</v>
      </c>
      <c r="N742" s="71">
        <v>1955</v>
      </c>
      <c r="O742" s="71">
        <v>1000</v>
      </c>
      <c r="P742" s="71">
        <v>1673</v>
      </c>
      <c r="Q742" s="71">
        <v>2056</v>
      </c>
      <c r="R742" s="71">
        <v>2072</v>
      </c>
      <c r="S742" s="72">
        <v>2108</v>
      </c>
      <c r="T742" s="71">
        <v>2159</v>
      </c>
      <c r="U742" s="71">
        <v>2293</v>
      </c>
      <c r="V742" s="71">
        <v>2532</v>
      </c>
      <c r="W742" s="97">
        <v>2533</v>
      </c>
      <c r="X742" s="13">
        <f t="shared" si="17"/>
        <v>6.1448982172208844E-2</v>
      </c>
      <c r="Y742" s="13">
        <f t="shared" si="18"/>
        <v>2.8231089934484865E-2</v>
      </c>
      <c r="Z742" s="13">
        <f t="shared" si="19"/>
        <v>5.3290083410565403E-2</v>
      </c>
      <c r="AA742" s="13">
        <f t="shared" si="20"/>
        <v>4.6744390673119307E-2</v>
      </c>
    </row>
    <row r="743" spans="1:27" ht="15" x14ac:dyDescent="0.25">
      <c r="A743" s="4" t="s">
        <v>634</v>
      </c>
      <c r="B743" s="23" t="s">
        <v>569</v>
      </c>
      <c r="C743" s="73" t="s">
        <v>635</v>
      </c>
      <c r="D743" s="71"/>
      <c r="E743" s="71"/>
      <c r="F743" s="73">
        <v>4.6744390673119307</v>
      </c>
      <c r="G743" s="71">
        <v>2137</v>
      </c>
      <c r="H743" s="71">
        <v>1955</v>
      </c>
      <c r="I743" s="71">
        <v>1948</v>
      </c>
      <c r="J743" s="71">
        <v>2297</v>
      </c>
      <c r="K743" s="71">
        <v>1101</v>
      </c>
      <c r="L743" s="71">
        <v>2159</v>
      </c>
      <c r="M743" s="71">
        <v>1751</v>
      </c>
      <c r="N743" s="71">
        <v>1955</v>
      </c>
      <c r="O743" s="71">
        <v>1000</v>
      </c>
      <c r="P743" s="71">
        <v>1673</v>
      </c>
      <c r="Q743" s="71">
        <v>2056</v>
      </c>
      <c r="R743" s="71">
        <v>2072</v>
      </c>
      <c r="S743" s="72">
        <v>2108</v>
      </c>
      <c r="T743" s="71">
        <v>2159</v>
      </c>
      <c r="U743" s="71">
        <v>2293</v>
      </c>
      <c r="V743" s="71">
        <v>2532</v>
      </c>
      <c r="W743" s="97">
        <v>2533</v>
      </c>
      <c r="X743" s="13">
        <f t="shared" si="17"/>
        <v>6.1448982172208844E-2</v>
      </c>
      <c r="Y743" s="13">
        <f t="shared" si="18"/>
        <v>2.8231089934484865E-2</v>
      </c>
      <c r="Z743" s="13">
        <f t="shared" si="19"/>
        <v>5.3290083410565403E-2</v>
      </c>
      <c r="AA743" s="13">
        <f t="shared" si="20"/>
        <v>4.6744390673119307E-2</v>
      </c>
    </row>
    <row r="744" spans="1:27" ht="15" x14ac:dyDescent="0.25">
      <c r="A744" s="4" t="s">
        <v>634</v>
      </c>
      <c r="B744" s="23" t="s">
        <v>570</v>
      </c>
      <c r="C744" s="73" t="s">
        <v>635</v>
      </c>
      <c r="D744" s="71"/>
      <c r="E744" s="71"/>
      <c r="F744" s="73">
        <v>4.595658720435436</v>
      </c>
      <c r="G744" s="71">
        <v>137.05000000000001</v>
      </c>
      <c r="H744" s="71">
        <v>173.68</v>
      </c>
      <c r="I744" s="71">
        <v>131.66</v>
      </c>
      <c r="J744" s="71">
        <v>200.04</v>
      </c>
      <c r="K744" s="71">
        <v>195.17</v>
      </c>
      <c r="L744" s="71">
        <v>243.55</v>
      </c>
      <c r="M744" s="72">
        <v>211.43</v>
      </c>
      <c r="N744" s="71">
        <v>224.86</v>
      </c>
      <c r="O744" s="71">
        <v>165.24</v>
      </c>
      <c r="P744" s="71">
        <v>249.96</v>
      </c>
      <c r="Q744" s="71">
        <v>211.34</v>
      </c>
      <c r="R744" s="71">
        <v>232.71</v>
      </c>
      <c r="S744" s="72">
        <v>253.08</v>
      </c>
      <c r="T744" s="71">
        <v>253.06</v>
      </c>
      <c r="U744" s="71">
        <v>267.08999999999997</v>
      </c>
      <c r="V744" s="71">
        <v>296.04000000000002</v>
      </c>
      <c r="W744" s="97">
        <v>302.22000000000003</v>
      </c>
      <c r="X744" s="13">
        <f t="shared" si="17"/>
        <v>3.2731841746824752E-3</v>
      </c>
      <c r="Y744" s="13">
        <f t="shared" si="18"/>
        <v>5.8672476031109477E-2</v>
      </c>
      <c r="Z744" s="13">
        <f t="shared" si="19"/>
        <v>6.2956041115772132E-2</v>
      </c>
      <c r="AA744" s="13">
        <f t="shared" si="20"/>
        <v>4.595658720435436E-2</v>
      </c>
    </row>
    <row r="745" spans="1:27" ht="15" x14ac:dyDescent="0.25">
      <c r="A745" s="4" t="s">
        <v>634</v>
      </c>
      <c r="B745" s="23" t="s">
        <v>571</v>
      </c>
      <c r="C745" s="73" t="s">
        <v>635</v>
      </c>
      <c r="D745" s="71"/>
      <c r="E745" s="71"/>
      <c r="F745" s="73">
        <v>4.5803073805100736</v>
      </c>
      <c r="G745" s="71">
        <v>65.98</v>
      </c>
      <c r="H745" s="71">
        <v>66.31</v>
      </c>
      <c r="I745" s="71">
        <v>72.42</v>
      </c>
      <c r="J745" s="71">
        <v>71.44</v>
      </c>
      <c r="K745" s="71">
        <v>70.709999999999994</v>
      </c>
      <c r="L745" s="71">
        <v>64.260000000000005</v>
      </c>
      <c r="M745" s="71">
        <v>62.63</v>
      </c>
      <c r="N745" s="71">
        <v>60.4</v>
      </c>
      <c r="O745" s="71">
        <v>56.01</v>
      </c>
      <c r="P745" s="71">
        <v>64.88</v>
      </c>
      <c r="Q745" s="71">
        <v>63.64</v>
      </c>
      <c r="R745" s="71">
        <v>67.34</v>
      </c>
      <c r="S745" s="71">
        <v>75.989999999999995</v>
      </c>
      <c r="T745" s="71">
        <v>75.16</v>
      </c>
      <c r="U745" s="71">
        <v>81.739999999999995</v>
      </c>
      <c r="V745" s="71">
        <v>63.16</v>
      </c>
      <c r="W745" s="97">
        <v>89.55</v>
      </c>
      <c r="X745" s="13">
        <f t="shared" si="17"/>
        <v>3.7814971491631599E-2</v>
      </c>
      <c r="Y745" s="13">
        <f t="shared" si="18"/>
        <v>6.4154822245064302E-2</v>
      </c>
      <c r="Z745" s="13">
        <f t="shared" si="19"/>
        <v>-1.392265929454084E-2</v>
      </c>
      <c r="AA745" s="13">
        <f t="shared" si="20"/>
        <v>4.5803073805100514E-2</v>
      </c>
    </row>
    <row r="746" spans="1:27" ht="15" x14ac:dyDescent="0.25">
      <c r="A746" s="4" t="s">
        <v>634</v>
      </c>
      <c r="B746" s="23" t="s">
        <v>572</v>
      </c>
      <c r="C746" s="73" t="s">
        <v>635</v>
      </c>
      <c r="D746" s="71"/>
      <c r="E746" s="71"/>
      <c r="F746" s="73">
        <v>4.5103092783505216</v>
      </c>
      <c r="G746" s="71">
        <v>15.27</v>
      </c>
      <c r="H746" s="71">
        <v>11.71</v>
      </c>
      <c r="I746" s="71">
        <v>16.690000000000001</v>
      </c>
      <c r="J746" s="71">
        <v>12.05</v>
      </c>
      <c r="K746" s="71">
        <v>14.93</v>
      </c>
      <c r="L746" s="71">
        <v>2.99</v>
      </c>
      <c r="M746" s="71">
        <v>19.5</v>
      </c>
      <c r="N746" s="71">
        <v>16.64</v>
      </c>
      <c r="O746" s="71">
        <v>15.37</v>
      </c>
      <c r="P746" s="72">
        <v>14.14</v>
      </c>
      <c r="Q746" s="71">
        <v>16.96</v>
      </c>
      <c r="R746" s="71">
        <v>15.84</v>
      </c>
      <c r="S746" s="71">
        <v>19.2</v>
      </c>
      <c r="T746" s="71">
        <v>19.82</v>
      </c>
      <c r="U746" s="71">
        <v>19.14</v>
      </c>
      <c r="V746" s="71">
        <v>19.440000000000001</v>
      </c>
      <c r="W746" s="97">
        <v>22.7</v>
      </c>
      <c r="X746" s="13">
        <f t="shared" si="17"/>
        <v>8.5878439673420015E-2</v>
      </c>
      <c r="Y746" s="13">
        <f t="shared" si="18"/>
        <v>3.0353661932609466E-2</v>
      </c>
      <c r="Z746" s="13">
        <f t="shared" si="19"/>
        <v>4.8648648648648596E-2</v>
      </c>
      <c r="AA746" s="13">
        <f t="shared" si="20"/>
        <v>4.5103092783505438E-2</v>
      </c>
    </row>
    <row r="747" spans="1:27" ht="15" x14ac:dyDescent="0.25">
      <c r="A747" s="4" t="s">
        <v>634</v>
      </c>
      <c r="B747" s="23" t="s">
        <v>573</v>
      </c>
      <c r="C747" s="73" t="s">
        <v>635</v>
      </c>
      <c r="D747" s="71"/>
      <c r="E747" s="71"/>
      <c r="F747" s="73">
        <v>4.417413572343154</v>
      </c>
      <c r="G747" s="71">
        <v>7.52</v>
      </c>
      <c r="H747" s="71">
        <v>6.66</v>
      </c>
      <c r="I747" s="71">
        <v>5.51</v>
      </c>
      <c r="J747" s="71">
        <v>9.82</v>
      </c>
      <c r="K747" s="71">
        <v>10.45</v>
      </c>
      <c r="L747" s="72">
        <v>10.01</v>
      </c>
      <c r="M747" s="72">
        <v>10.07</v>
      </c>
      <c r="N747" s="71">
        <v>9.27</v>
      </c>
      <c r="O747" s="71">
        <v>8.8000000000000007</v>
      </c>
      <c r="P747" s="71">
        <v>8.15</v>
      </c>
      <c r="Q747" s="71">
        <v>7.6</v>
      </c>
      <c r="R747" s="71">
        <v>8.2899999999999991</v>
      </c>
      <c r="S747" s="71">
        <v>8.09</v>
      </c>
      <c r="T747" s="71">
        <v>7.69</v>
      </c>
      <c r="U747" s="71">
        <v>8.7200000000000006</v>
      </c>
      <c r="V747" s="71">
        <v>6.74</v>
      </c>
      <c r="W747" s="97">
        <v>9.4700000000000006</v>
      </c>
      <c r="X747" s="13">
        <f t="shared" si="17"/>
        <v>-1.4316837846249486E-2</v>
      </c>
      <c r="Y747" s="13">
        <f t="shared" si="18"/>
        <v>3.5364698452794441E-2</v>
      </c>
      <c r="Z747" s="13">
        <f t="shared" si="19"/>
        <v>-4.7270509301616248E-2</v>
      </c>
      <c r="AA747" s="13">
        <f t="shared" si="20"/>
        <v>4.4174135723431318E-2</v>
      </c>
    </row>
    <row r="748" spans="1:27" ht="15" x14ac:dyDescent="0.25">
      <c r="A748" s="4" t="s">
        <v>634</v>
      </c>
      <c r="B748" s="23" t="s">
        <v>574</v>
      </c>
      <c r="C748" s="73" t="s">
        <v>635</v>
      </c>
      <c r="D748" s="71"/>
      <c r="E748" s="71"/>
      <c r="F748" s="73">
        <v>4.3625105544610188</v>
      </c>
      <c r="G748" s="71">
        <v>-0.06</v>
      </c>
      <c r="H748" s="71">
        <v>-0.62</v>
      </c>
      <c r="I748" s="71">
        <v>4.2699999999999996</v>
      </c>
      <c r="J748" s="71">
        <v>1.9</v>
      </c>
      <c r="K748" s="72">
        <v>7.47</v>
      </c>
      <c r="L748" s="72">
        <v>7.85</v>
      </c>
      <c r="M748" s="72">
        <v>19.13</v>
      </c>
      <c r="N748" s="72">
        <v>6.71</v>
      </c>
      <c r="O748" s="72">
        <v>22.65</v>
      </c>
      <c r="P748" s="72">
        <v>25.61</v>
      </c>
      <c r="Q748" s="72">
        <v>27.86</v>
      </c>
      <c r="R748" s="72">
        <v>26.11</v>
      </c>
      <c r="S748" s="72">
        <v>34.69</v>
      </c>
      <c r="T748" s="71">
        <v>32.630000000000003</v>
      </c>
      <c r="U748" s="72">
        <v>40.36</v>
      </c>
      <c r="V748" s="71">
        <v>34.44</v>
      </c>
      <c r="W748" s="97">
        <v>40.89</v>
      </c>
      <c r="X748" s="13">
        <f t="shared" si="17"/>
        <v>6.1433447098976135E-2</v>
      </c>
      <c r="Y748" s="13">
        <f t="shared" si="18"/>
        <v>0.10305878473081065</v>
      </c>
      <c r="Z748" s="13">
        <f t="shared" si="19"/>
        <v>6.2261753494281979E-2</v>
      </c>
      <c r="AA748" s="13">
        <f t="shared" si="20"/>
        <v>4.3625105544610188E-2</v>
      </c>
    </row>
    <row r="749" spans="1:27" ht="15" x14ac:dyDescent="0.25">
      <c r="A749" s="4" t="s">
        <v>634</v>
      </c>
      <c r="B749" s="23" t="s">
        <v>575</v>
      </c>
      <c r="C749" s="73" t="s">
        <v>635</v>
      </c>
      <c r="D749" s="71"/>
      <c r="E749" s="71"/>
      <c r="F749" s="73">
        <v>4.1987466427932052</v>
      </c>
      <c r="G749" s="71">
        <v>246.5</v>
      </c>
      <c r="H749" s="71">
        <v>226.3</v>
      </c>
      <c r="I749" s="71">
        <v>232.4</v>
      </c>
      <c r="J749" s="71">
        <v>248.1</v>
      </c>
      <c r="K749" s="71">
        <v>276.60000000000002</v>
      </c>
      <c r="L749" s="71">
        <v>245.8</v>
      </c>
      <c r="M749" s="71">
        <v>259</v>
      </c>
      <c r="N749" s="71">
        <v>267.39999999999998</v>
      </c>
      <c r="O749" s="71">
        <v>268.8</v>
      </c>
      <c r="P749" s="71">
        <v>237</v>
      </c>
      <c r="Q749" s="71">
        <v>249.7</v>
      </c>
      <c r="R749" s="71">
        <v>273.5</v>
      </c>
      <c r="S749" s="71">
        <v>285.3</v>
      </c>
      <c r="T749" s="71">
        <v>265.3</v>
      </c>
      <c r="U749" s="71">
        <v>280.89999999999998</v>
      </c>
      <c r="V749" s="71">
        <v>285.5</v>
      </c>
      <c r="W749" s="97">
        <v>332.2</v>
      </c>
      <c r="X749" s="13">
        <f t="shared" si="17"/>
        <v>2.7068388330942161E-2</v>
      </c>
      <c r="Y749" s="13">
        <f t="shared" si="18"/>
        <v>2.9055690072639306E-2</v>
      </c>
      <c r="Z749" s="13">
        <f t="shared" si="19"/>
        <v>1.0859728506787292E-2</v>
      </c>
      <c r="AA749" s="13">
        <f t="shared" si="20"/>
        <v>4.1987466427932052E-2</v>
      </c>
    </row>
    <row r="750" spans="1:27" ht="15" x14ac:dyDescent="0.25">
      <c r="A750" s="4" t="s">
        <v>634</v>
      </c>
      <c r="B750" s="23" t="s">
        <v>576</v>
      </c>
      <c r="C750" s="73" t="s">
        <v>635</v>
      </c>
      <c r="D750" s="71"/>
      <c r="E750" s="71"/>
      <c r="F750" s="73">
        <v>4.0753508987934062</v>
      </c>
      <c r="G750" s="71">
        <v>9.3699999999999992</v>
      </c>
      <c r="H750" s="71">
        <v>9.18</v>
      </c>
      <c r="I750" s="71">
        <v>6.32</v>
      </c>
      <c r="J750" s="71">
        <v>13.05</v>
      </c>
      <c r="K750" s="71">
        <v>9.9499999999999993</v>
      </c>
      <c r="L750" s="71">
        <v>6.07</v>
      </c>
      <c r="M750" s="71">
        <v>6.93</v>
      </c>
      <c r="N750" s="71">
        <v>10.27</v>
      </c>
      <c r="O750" s="71">
        <v>8.34</v>
      </c>
      <c r="P750" s="72">
        <v>10.5</v>
      </c>
      <c r="Q750" s="72">
        <v>11.56</v>
      </c>
      <c r="R750" s="71">
        <v>11.64</v>
      </c>
      <c r="S750" s="72">
        <v>13.3</v>
      </c>
      <c r="T750" s="72">
        <v>17.579999999999998</v>
      </c>
      <c r="U750" s="71">
        <v>15.77</v>
      </c>
      <c r="V750" s="72">
        <v>34.57</v>
      </c>
      <c r="W750" s="97">
        <v>16.61</v>
      </c>
      <c r="X750" s="13">
        <f t="shared" si="17"/>
        <v>0.1506382978723404</v>
      </c>
      <c r="Y750" s="13">
        <f t="shared" si="18"/>
        <v>7.7847633136094663E-2</v>
      </c>
      <c r="Z750" s="13">
        <f t="shared" si="19"/>
        <v>0.39337793789672348</v>
      </c>
      <c r="AA750" s="13">
        <f t="shared" si="20"/>
        <v>4.075350898793384E-2</v>
      </c>
    </row>
    <row r="751" spans="1:27" ht="15" x14ac:dyDescent="0.25">
      <c r="A751" s="4" t="s">
        <v>634</v>
      </c>
      <c r="B751" s="23" t="s">
        <v>577</v>
      </c>
      <c r="C751" s="73" t="s">
        <v>635</v>
      </c>
      <c r="D751" s="71"/>
      <c r="E751" s="71"/>
      <c r="F751" s="73">
        <v>4.0109213967082216</v>
      </c>
      <c r="G751" s="71">
        <v>317.32</v>
      </c>
      <c r="H751" s="71">
        <v>269.14999999999998</v>
      </c>
      <c r="I751" s="71">
        <v>300.77999999999997</v>
      </c>
      <c r="J751" s="71">
        <v>247.2</v>
      </c>
      <c r="K751" s="71">
        <v>182.59</v>
      </c>
      <c r="L751" s="71">
        <v>126.6</v>
      </c>
      <c r="M751" s="71">
        <v>83.86</v>
      </c>
      <c r="N751" s="71">
        <v>79.19</v>
      </c>
      <c r="O751" s="71">
        <v>-12.07</v>
      </c>
      <c r="P751" s="71">
        <v>26.3</v>
      </c>
      <c r="Q751" s="71">
        <v>63.98</v>
      </c>
      <c r="R751" s="71">
        <v>73.34</v>
      </c>
      <c r="S751" s="72">
        <v>70.69</v>
      </c>
      <c r="T751" s="72">
        <v>51.41</v>
      </c>
      <c r="U751" s="71">
        <v>72.44</v>
      </c>
      <c r="V751" s="71">
        <v>65.5</v>
      </c>
      <c r="W751" s="97">
        <v>81.12</v>
      </c>
      <c r="X751" s="13">
        <f t="shared" si="17"/>
        <v>0.10716572062652019</v>
      </c>
      <c r="Y751" s="13">
        <f t="shared" si="18"/>
        <v>3.2611209621463466E-2</v>
      </c>
      <c r="Z751" s="13">
        <f t="shared" si="19"/>
        <v>-2.9266835896670229E-2</v>
      </c>
      <c r="AA751" s="13">
        <f t="shared" si="20"/>
        <v>4.0109213967082225E-2</v>
      </c>
    </row>
    <row r="752" spans="1:27" ht="15" x14ac:dyDescent="0.25">
      <c r="A752" s="4" t="s">
        <v>634</v>
      </c>
      <c r="B752" s="23" t="s">
        <v>578</v>
      </c>
      <c r="C752" s="73" t="s">
        <v>635</v>
      </c>
      <c r="D752" s="71"/>
      <c r="E752" s="71"/>
      <c r="F752" s="73">
        <v>3.941684665226775</v>
      </c>
      <c r="G752" s="71">
        <v>23.07</v>
      </c>
      <c r="H752" s="71">
        <v>28.61</v>
      </c>
      <c r="I752" s="71">
        <v>26.11</v>
      </c>
      <c r="J752" s="71">
        <v>30.51</v>
      </c>
      <c r="K752" s="71">
        <v>29.45</v>
      </c>
      <c r="L752" s="71">
        <v>32.24</v>
      </c>
      <c r="M752" s="71">
        <v>35.340000000000003</v>
      </c>
      <c r="N752" s="71">
        <v>38.130000000000003</v>
      </c>
      <c r="O752" s="71">
        <v>39.97</v>
      </c>
      <c r="P752" s="71">
        <v>40.56</v>
      </c>
      <c r="Q752" s="71">
        <v>40.119999999999997</v>
      </c>
      <c r="R752" s="71">
        <v>40.04</v>
      </c>
      <c r="S752" s="71">
        <v>40.36</v>
      </c>
      <c r="T752" s="71">
        <v>37.47</v>
      </c>
      <c r="U752" s="71">
        <v>38.93</v>
      </c>
      <c r="V752" s="71">
        <v>49.92</v>
      </c>
      <c r="W752" s="97">
        <v>46.93</v>
      </c>
      <c r="X752" s="13">
        <f t="shared" si="17"/>
        <v>-1.9183014651104835E-2</v>
      </c>
      <c r="Y752" s="13">
        <f t="shared" si="18"/>
        <v>-7.5321222862205772E-3</v>
      </c>
      <c r="Z752" s="13">
        <f t="shared" si="19"/>
        <v>6.3010204081632715E-2</v>
      </c>
      <c r="AA752" s="13">
        <f t="shared" si="20"/>
        <v>3.9416846652267745E-2</v>
      </c>
    </row>
    <row r="753" spans="1:27" ht="15" x14ac:dyDescent="0.25">
      <c r="A753" s="4" t="s">
        <v>634</v>
      </c>
      <c r="B753" s="23" t="s">
        <v>579</v>
      </c>
      <c r="C753" s="73" t="s">
        <v>635</v>
      </c>
      <c r="D753" s="71"/>
      <c r="E753" s="71"/>
      <c r="F753" s="73">
        <v>3.889753278506336</v>
      </c>
      <c r="G753" s="71">
        <v>21.82</v>
      </c>
      <c r="H753" s="71">
        <v>31.89</v>
      </c>
      <c r="I753" s="71">
        <v>31.93</v>
      </c>
      <c r="J753" s="71">
        <v>24.82</v>
      </c>
      <c r="K753" s="72">
        <v>37.1</v>
      </c>
      <c r="L753" s="71">
        <v>-13.09</v>
      </c>
      <c r="M753" s="71">
        <v>30.47</v>
      </c>
      <c r="N753" s="71">
        <v>31.83</v>
      </c>
      <c r="O753" s="71">
        <v>37.42</v>
      </c>
      <c r="P753" s="72">
        <v>34.33</v>
      </c>
      <c r="Q753" s="71">
        <v>36.75</v>
      </c>
      <c r="R753" s="71">
        <v>40.85</v>
      </c>
      <c r="S753" s="71">
        <v>43.2</v>
      </c>
      <c r="T753" s="71">
        <v>40.14</v>
      </c>
      <c r="U753" s="71">
        <v>44.77</v>
      </c>
      <c r="V753" s="71">
        <v>51.85</v>
      </c>
      <c r="W753" s="97">
        <v>50.2</v>
      </c>
      <c r="X753" s="13">
        <f t="shared" si="17"/>
        <v>3.7452459227744539E-2</v>
      </c>
      <c r="Y753" s="13">
        <f t="shared" si="18"/>
        <v>4.9832235615757448E-2</v>
      </c>
      <c r="Z753" s="13">
        <f t="shared" si="19"/>
        <v>6.5104166666666741E-2</v>
      </c>
      <c r="AA753" s="13">
        <f t="shared" si="20"/>
        <v>3.8897532785063138E-2</v>
      </c>
    </row>
    <row r="754" spans="1:27" ht="15" x14ac:dyDescent="0.25">
      <c r="A754" s="4" t="s">
        <v>634</v>
      </c>
      <c r="B754" s="23" t="s">
        <v>580</v>
      </c>
      <c r="C754" s="73" t="s">
        <v>635</v>
      </c>
      <c r="D754" s="71"/>
      <c r="E754" s="71"/>
      <c r="F754" s="73">
        <v>3.8134846509005</v>
      </c>
      <c r="G754" s="71">
        <v>450.4</v>
      </c>
      <c r="H754" s="71">
        <v>408.1</v>
      </c>
      <c r="I754" s="71">
        <v>397.6</v>
      </c>
      <c r="J754" s="71">
        <v>398.9</v>
      </c>
      <c r="K754" s="71">
        <v>400.6</v>
      </c>
      <c r="L754" s="71">
        <v>387.6</v>
      </c>
      <c r="M754" s="71">
        <v>463.2</v>
      </c>
      <c r="N754" s="71">
        <v>465.8</v>
      </c>
      <c r="O754" s="71">
        <v>450.2</v>
      </c>
      <c r="P754" s="71">
        <v>469.4</v>
      </c>
      <c r="Q754" s="71">
        <v>567.29999999999995</v>
      </c>
      <c r="R754" s="71">
        <v>577.29999999999995</v>
      </c>
      <c r="S754" s="72">
        <v>756.1</v>
      </c>
      <c r="T754" s="71">
        <v>578.1</v>
      </c>
      <c r="U754" s="71">
        <v>743.4</v>
      </c>
      <c r="V754" s="71">
        <v>759.7</v>
      </c>
      <c r="W754" s="97">
        <v>864.3</v>
      </c>
      <c r="X754" s="13">
        <f t="shared" si="17"/>
        <v>4.5863043753427979E-2</v>
      </c>
      <c r="Y754" s="13">
        <f t="shared" si="18"/>
        <v>7.1042439890269593E-2</v>
      </c>
      <c r="Z754" s="13">
        <f t="shared" si="19"/>
        <v>6.8703152661117262E-2</v>
      </c>
      <c r="AA754" s="13">
        <f t="shared" si="20"/>
        <v>3.8134846509005005E-2</v>
      </c>
    </row>
    <row r="755" spans="1:27" ht="15" x14ac:dyDescent="0.25">
      <c r="A755" s="4" t="s">
        <v>634</v>
      </c>
      <c r="B755" s="23" t="s">
        <v>581</v>
      </c>
      <c r="C755" s="73" t="s">
        <v>635</v>
      </c>
      <c r="D755" s="71"/>
      <c r="E755" s="71"/>
      <c r="F755" s="73">
        <v>3.2350872706348621</v>
      </c>
      <c r="G755" s="71">
        <v>29.62</v>
      </c>
      <c r="H755" s="71">
        <v>26.59</v>
      </c>
      <c r="I755" s="71">
        <v>28.45</v>
      </c>
      <c r="J755" s="71">
        <v>34.799999999999997</v>
      </c>
      <c r="K755" s="71">
        <v>37.49</v>
      </c>
      <c r="L755" s="71">
        <v>30.6</v>
      </c>
      <c r="M755" s="71">
        <v>40.619999999999997</v>
      </c>
      <c r="N755" s="71">
        <v>37.799999999999997</v>
      </c>
      <c r="O755" s="71">
        <v>34.090000000000003</v>
      </c>
      <c r="P755" s="71">
        <v>36.659999999999997</v>
      </c>
      <c r="Q755" s="71">
        <v>36.26</v>
      </c>
      <c r="R755" s="71">
        <v>37.119999999999997</v>
      </c>
      <c r="S755" s="71">
        <v>34.479999999999997</v>
      </c>
      <c r="T755" s="71">
        <v>36.92</v>
      </c>
      <c r="U755" s="71">
        <v>41.16</v>
      </c>
      <c r="V755" s="71">
        <v>43.85</v>
      </c>
      <c r="W755" s="97">
        <v>39.54</v>
      </c>
      <c r="X755" s="13">
        <f t="shared" si="17"/>
        <v>1.7990589537779655E-3</v>
      </c>
      <c r="Y755" s="13">
        <f t="shared" si="18"/>
        <v>3.3844453653819828E-2</v>
      </c>
      <c r="Z755" s="13">
        <f t="shared" si="19"/>
        <v>4.4962586851950759E-2</v>
      </c>
      <c r="AA755" s="13">
        <f t="shared" si="20"/>
        <v>3.2350872706348621E-2</v>
      </c>
    </row>
    <row r="756" spans="1:27" ht="15" x14ac:dyDescent="0.25">
      <c r="A756" s="4" t="s">
        <v>634</v>
      </c>
      <c r="B756" s="23" t="s">
        <v>582</v>
      </c>
      <c r="C756" s="73" t="s">
        <v>635</v>
      </c>
      <c r="D756" s="71"/>
      <c r="E756" s="71"/>
      <c r="F756" s="73">
        <v>3.200483091787421</v>
      </c>
      <c r="G756" s="71">
        <v>2.59</v>
      </c>
      <c r="H756" s="71">
        <v>7.32</v>
      </c>
      <c r="I756" s="71">
        <v>5.98</v>
      </c>
      <c r="J756" s="71">
        <v>8.24</v>
      </c>
      <c r="K756" s="72">
        <v>7.3</v>
      </c>
      <c r="L756" s="71">
        <v>5.16</v>
      </c>
      <c r="M756" s="71">
        <v>2.04</v>
      </c>
      <c r="N756" s="71">
        <v>4.22</v>
      </c>
      <c r="O756" s="71">
        <v>-4.3600000000000003</v>
      </c>
      <c r="P756" s="71">
        <v>3.58</v>
      </c>
      <c r="Q756" s="71">
        <v>1.42</v>
      </c>
      <c r="R756" s="71">
        <v>2.67</v>
      </c>
      <c r="S756" s="72">
        <v>3.91</v>
      </c>
      <c r="T756" s="72">
        <v>5.36</v>
      </c>
      <c r="U756" s="72">
        <v>3.32</v>
      </c>
      <c r="V756" s="71">
        <v>3.97</v>
      </c>
      <c r="W756" s="97">
        <v>4.4400000000000004</v>
      </c>
      <c r="X756" s="13">
        <f t="shared" si="17"/>
        <v>0.15371329879101903</v>
      </c>
      <c r="Y756" s="13">
        <f t="shared" si="18"/>
        <v>0.14221556886227571</v>
      </c>
      <c r="Z756" s="13">
        <f t="shared" si="19"/>
        <v>8.519003931847946E-2</v>
      </c>
      <c r="AA756" s="13">
        <f t="shared" si="20"/>
        <v>3.2004830917874427E-2</v>
      </c>
    </row>
    <row r="757" spans="1:27" ht="15" x14ac:dyDescent="0.25">
      <c r="A757" s="4" t="s">
        <v>634</v>
      </c>
      <c r="B757" s="23" t="s">
        <v>583</v>
      </c>
      <c r="C757" s="73" t="s">
        <v>635</v>
      </c>
      <c r="D757" s="71"/>
      <c r="E757" s="71"/>
      <c r="F757" s="73">
        <v>3.1916107680407761</v>
      </c>
      <c r="G757" s="71">
        <v>124.11</v>
      </c>
      <c r="H757" s="71">
        <v>125.36</v>
      </c>
      <c r="I757" s="71">
        <v>119.84</v>
      </c>
      <c r="J757" s="71">
        <v>132.80000000000001</v>
      </c>
      <c r="K757" s="71">
        <v>130.87</v>
      </c>
      <c r="L757" s="71">
        <v>155.03</v>
      </c>
      <c r="M757" s="71">
        <v>148.80000000000001</v>
      </c>
      <c r="N757" s="71">
        <v>137.35</v>
      </c>
      <c r="O757" s="71">
        <v>133.31</v>
      </c>
      <c r="P757" s="71">
        <v>181.3</v>
      </c>
      <c r="Q757" s="71">
        <v>197.75</v>
      </c>
      <c r="R757" s="71">
        <v>188.54</v>
      </c>
      <c r="S757" s="71">
        <v>181.3</v>
      </c>
      <c r="T757" s="71">
        <v>196.37</v>
      </c>
      <c r="U757" s="71">
        <v>198.68</v>
      </c>
      <c r="V757" s="71">
        <v>212.28</v>
      </c>
      <c r="W757" s="97">
        <v>206.47</v>
      </c>
      <c r="X757" s="13">
        <f t="shared" si="17"/>
        <v>2.0123115544338654E-2</v>
      </c>
      <c r="Y757" s="13">
        <f t="shared" si="18"/>
        <v>1.2173412220537472E-3</v>
      </c>
      <c r="Z757" s="13">
        <f t="shared" si="19"/>
        <v>3.1037142595667255E-2</v>
      </c>
      <c r="AA757" s="13">
        <f t="shared" si="20"/>
        <v>3.1916107680407979E-2</v>
      </c>
    </row>
    <row r="758" spans="1:27" ht="15" x14ac:dyDescent="0.25">
      <c r="A758" s="4" t="s">
        <v>634</v>
      </c>
      <c r="B758" s="23" t="s">
        <v>584</v>
      </c>
      <c r="C758" s="73" t="s">
        <v>635</v>
      </c>
      <c r="D758" s="71"/>
      <c r="E758" s="71"/>
      <c r="F758" s="73">
        <v>3.1012560086835168</v>
      </c>
      <c r="G758" s="71">
        <v>204.71</v>
      </c>
      <c r="H758" s="71">
        <v>162.75</v>
      </c>
      <c r="I758" s="71">
        <v>217.49</v>
      </c>
      <c r="J758" s="71">
        <v>218.13</v>
      </c>
      <c r="K758" s="71">
        <v>209.13</v>
      </c>
      <c r="L758" s="71">
        <v>232.21</v>
      </c>
      <c r="M758" s="71">
        <v>223.35</v>
      </c>
      <c r="N758" s="71">
        <v>247.19</v>
      </c>
      <c r="O758" s="71">
        <v>274.70999999999998</v>
      </c>
      <c r="P758" s="71">
        <v>294.7</v>
      </c>
      <c r="Q758" s="71">
        <v>299.3</v>
      </c>
      <c r="R758" s="71">
        <v>302.2</v>
      </c>
      <c r="S758" s="71">
        <v>325.18</v>
      </c>
      <c r="T758" s="71">
        <v>385.79</v>
      </c>
      <c r="U758" s="71">
        <v>351.79</v>
      </c>
      <c r="V758" s="71">
        <v>356.02</v>
      </c>
      <c r="W758" s="97">
        <v>369.18</v>
      </c>
      <c r="X758" s="13">
        <f t="shared" si="17"/>
        <v>7.4579573924577147E-2</v>
      </c>
      <c r="Y758" s="13">
        <f t="shared" si="18"/>
        <v>3.9993295084840064E-2</v>
      </c>
      <c r="Z758" s="13">
        <f t="shared" si="19"/>
        <v>3.9429726878443372E-2</v>
      </c>
      <c r="AA758" s="13">
        <f t="shared" si="20"/>
        <v>3.1012560086835173E-2</v>
      </c>
    </row>
    <row r="759" spans="1:27" ht="15" x14ac:dyDescent="0.25">
      <c r="A759" s="4" t="s">
        <v>634</v>
      </c>
      <c r="B759" s="23" t="s">
        <v>585</v>
      </c>
      <c r="C759" s="73" t="s">
        <v>635</v>
      </c>
      <c r="D759" s="71"/>
      <c r="E759" s="71"/>
      <c r="F759" s="73">
        <v>2.9095310678741049</v>
      </c>
      <c r="G759" s="71">
        <v>75.58</v>
      </c>
      <c r="H759" s="71">
        <v>58.1</v>
      </c>
      <c r="I759" s="71">
        <v>30.8</v>
      </c>
      <c r="J759" s="71">
        <v>22.84</v>
      </c>
      <c r="K759" s="71">
        <v>35</v>
      </c>
      <c r="L759" s="71">
        <v>64.540000000000006</v>
      </c>
      <c r="M759" s="72">
        <v>48.85</v>
      </c>
      <c r="N759" s="71">
        <v>33.74</v>
      </c>
      <c r="O759" s="71">
        <v>42.85</v>
      </c>
      <c r="P759" s="72">
        <v>87.09</v>
      </c>
      <c r="Q759" s="71">
        <v>51.18</v>
      </c>
      <c r="R759" s="71">
        <v>37.49</v>
      </c>
      <c r="S759" s="71">
        <v>36.17</v>
      </c>
      <c r="T759" s="71">
        <v>91.36</v>
      </c>
      <c r="U759" s="71">
        <v>47.16</v>
      </c>
      <c r="V759" s="71">
        <v>48.37</v>
      </c>
      <c r="W759" s="97">
        <v>42.66</v>
      </c>
      <c r="X759" s="13">
        <f t="shared" si="17"/>
        <v>2.0148162129004721E-2</v>
      </c>
      <c r="Y759" s="13">
        <f t="shared" si="18"/>
        <v>-1.8593894542090705E-2</v>
      </c>
      <c r="Z759" s="13">
        <f t="shared" si="19"/>
        <v>5.1277217456876301E-2</v>
      </c>
      <c r="AA759" s="13">
        <f t="shared" si="20"/>
        <v>2.9095310678741049E-2</v>
      </c>
    </row>
    <row r="760" spans="1:27" ht="15" x14ac:dyDescent="0.25">
      <c r="A760" s="4" t="s">
        <v>634</v>
      </c>
      <c r="B760" s="23" t="s">
        <v>586</v>
      </c>
      <c r="C760" s="73" t="s">
        <v>635</v>
      </c>
      <c r="D760" s="71"/>
      <c r="E760" s="71"/>
      <c r="F760" s="73">
        <v>2.8974146601195021</v>
      </c>
      <c r="G760" s="71">
        <v>-47.69</v>
      </c>
      <c r="H760" s="71">
        <v>148.59</v>
      </c>
      <c r="I760" s="71">
        <v>163.11000000000001</v>
      </c>
      <c r="J760" s="71">
        <v>160.11000000000001</v>
      </c>
      <c r="K760" s="72">
        <v>0</v>
      </c>
      <c r="L760" s="71">
        <v>94.08</v>
      </c>
      <c r="M760" s="71">
        <v>137.72999999999999</v>
      </c>
      <c r="N760" s="71">
        <v>111.51</v>
      </c>
      <c r="O760" s="71">
        <v>0</v>
      </c>
      <c r="P760" s="72">
        <v>152.49</v>
      </c>
      <c r="Q760" s="72">
        <v>178.28</v>
      </c>
      <c r="R760" s="72">
        <v>175.92</v>
      </c>
      <c r="S760" s="72">
        <v>169.51</v>
      </c>
      <c r="T760" s="71">
        <v>169.19</v>
      </c>
      <c r="U760" s="71">
        <v>172.46</v>
      </c>
      <c r="V760" s="71">
        <v>164.96</v>
      </c>
      <c r="W760" s="97">
        <v>189.1</v>
      </c>
      <c r="X760" s="13">
        <f t="shared" si="17"/>
        <v>2.4696835255841654E-2</v>
      </c>
      <c r="Y760" s="13">
        <f t="shared" si="18"/>
        <v>-8.3994804445087778E-3</v>
      </c>
      <c r="Z760" s="13">
        <f t="shared" si="19"/>
        <v>-1.59515631367525E-2</v>
      </c>
      <c r="AA760" s="13">
        <f t="shared" si="20"/>
        <v>2.8974146601195017E-2</v>
      </c>
    </row>
    <row r="761" spans="1:27" ht="15" x14ac:dyDescent="0.25">
      <c r="A761" s="4" t="s">
        <v>634</v>
      </c>
      <c r="B761" s="23" t="s">
        <v>586</v>
      </c>
      <c r="C761" s="73" t="s">
        <v>635</v>
      </c>
      <c r="D761" s="71"/>
      <c r="E761" s="71"/>
      <c r="F761" s="73">
        <v>2.8974146601195021</v>
      </c>
      <c r="G761" s="71">
        <v>-47.69</v>
      </c>
      <c r="H761" s="71">
        <v>148.59</v>
      </c>
      <c r="I761" s="71">
        <v>163.11000000000001</v>
      </c>
      <c r="J761" s="71">
        <v>160.11000000000001</v>
      </c>
      <c r="K761" s="72">
        <v>0</v>
      </c>
      <c r="L761" s="71">
        <v>94.08</v>
      </c>
      <c r="M761" s="71">
        <v>137.72999999999999</v>
      </c>
      <c r="N761" s="71">
        <v>111.51</v>
      </c>
      <c r="O761" s="71">
        <v>0</v>
      </c>
      <c r="P761" s="72">
        <v>152.49</v>
      </c>
      <c r="Q761" s="72">
        <v>178.28</v>
      </c>
      <c r="R761" s="72">
        <v>175.92</v>
      </c>
      <c r="S761" s="72">
        <v>169.51</v>
      </c>
      <c r="T761" s="71">
        <v>169.19</v>
      </c>
      <c r="U761" s="71">
        <v>172.46</v>
      </c>
      <c r="V761" s="71">
        <v>164.96</v>
      </c>
      <c r="W761" s="97">
        <v>189.1</v>
      </c>
      <c r="X761" s="13">
        <f t="shared" si="17"/>
        <v>2.4696835255841654E-2</v>
      </c>
      <c r="Y761" s="13">
        <f t="shared" si="18"/>
        <v>-8.3994804445087778E-3</v>
      </c>
      <c r="Z761" s="13">
        <f t="shared" si="19"/>
        <v>-1.59515631367525E-2</v>
      </c>
      <c r="AA761" s="13">
        <f t="shared" si="20"/>
        <v>2.8974146601195017E-2</v>
      </c>
    </row>
    <row r="762" spans="1:27" ht="15" x14ac:dyDescent="0.25">
      <c r="A762" s="4" t="s">
        <v>634</v>
      </c>
      <c r="B762" s="23" t="s">
        <v>587</v>
      </c>
      <c r="C762" s="73" t="s">
        <v>635</v>
      </c>
      <c r="D762" s="71"/>
      <c r="E762" s="71"/>
      <c r="F762" s="73">
        <v>2.8566529944739738</v>
      </c>
      <c r="G762" s="71">
        <v>166.39</v>
      </c>
      <c r="H762" s="71">
        <v>157.59</v>
      </c>
      <c r="I762" s="71">
        <v>181.13</v>
      </c>
      <c r="J762" s="71">
        <v>183.84</v>
      </c>
      <c r="K762" s="71">
        <v>174.93</v>
      </c>
      <c r="L762" s="71">
        <v>171.27</v>
      </c>
      <c r="M762" s="71">
        <v>245.9</v>
      </c>
      <c r="N762" s="71">
        <v>167.98</v>
      </c>
      <c r="O762" s="71">
        <v>128.86000000000001</v>
      </c>
      <c r="P762" s="71">
        <v>151.28</v>
      </c>
      <c r="Q762" s="71">
        <v>65</v>
      </c>
      <c r="R762" s="71">
        <v>181.15</v>
      </c>
      <c r="S762" s="72">
        <v>183.79</v>
      </c>
      <c r="T762" s="71">
        <v>170.41</v>
      </c>
      <c r="U762" s="72">
        <v>194.3</v>
      </c>
      <c r="V762" s="71">
        <v>209.73</v>
      </c>
      <c r="W762" s="97">
        <v>205.45</v>
      </c>
      <c r="X762" s="13">
        <f t="shared" si="17"/>
        <v>3.2913526719658748E-2</v>
      </c>
      <c r="Y762" s="13">
        <f t="shared" si="18"/>
        <v>0.21537436495377715</v>
      </c>
      <c r="Z762" s="13">
        <f t="shared" si="19"/>
        <v>3.9169464811896093E-2</v>
      </c>
      <c r="AA762" s="13">
        <f t="shared" si="20"/>
        <v>2.8566529944739738E-2</v>
      </c>
    </row>
    <row r="763" spans="1:27" ht="15" x14ac:dyDescent="0.25">
      <c r="A763" s="4" t="s">
        <v>634</v>
      </c>
      <c r="B763" s="23" t="s">
        <v>588</v>
      </c>
      <c r="C763" s="73" t="s">
        <v>635</v>
      </c>
      <c r="D763" s="71"/>
      <c r="E763" s="71"/>
      <c r="F763" s="73">
        <v>2.8009535160905759</v>
      </c>
      <c r="G763" s="71">
        <v>15.22</v>
      </c>
      <c r="H763" s="71">
        <v>14.32</v>
      </c>
      <c r="I763" s="71">
        <v>14.63</v>
      </c>
      <c r="J763" s="71">
        <v>19.97</v>
      </c>
      <c r="K763" s="72">
        <v>26.87</v>
      </c>
      <c r="L763" s="72">
        <v>26.14</v>
      </c>
      <c r="M763" s="72">
        <v>25.37</v>
      </c>
      <c r="N763" s="71">
        <v>25.99</v>
      </c>
      <c r="O763" s="71">
        <v>25.21</v>
      </c>
      <c r="P763" s="71">
        <v>26.99</v>
      </c>
      <c r="Q763" s="71">
        <v>23.52</v>
      </c>
      <c r="R763" s="71">
        <v>24.56</v>
      </c>
      <c r="S763" s="71">
        <v>23.23</v>
      </c>
      <c r="T763" s="71">
        <v>24.05</v>
      </c>
      <c r="U763" s="71">
        <v>25.96</v>
      </c>
      <c r="V763" s="71">
        <v>27.44</v>
      </c>
      <c r="W763" s="97">
        <v>26.05</v>
      </c>
      <c r="X763" s="13">
        <f t="shared" si="17"/>
        <v>-2.9908443540183072E-2</v>
      </c>
      <c r="Y763" s="13">
        <f t="shared" si="18"/>
        <v>2.558724832214776E-2</v>
      </c>
      <c r="Z763" s="13">
        <f t="shared" si="19"/>
        <v>2.9447852760736248E-2</v>
      </c>
      <c r="AA763" s="13">
        <f t="shared" si="20"/>
        <v>2.8009535160905763E-2</v>
      </c>
    </row>
    <row r="764" spans="1:27" ht="15" x14ac:dyDescent="0.25">
      <c r="A764" s="4" t="s">
        <v>634</v>
      </c>
      <c r="B764" s="23" t="s">
        <v>589</v>
      </c>
      <c r="C764" s="73" t="s">
        <v>635</v>
      </c>
      <c r="D764" s="71"/>
      <c r="E764" s="71"/>
      <c r="F764" s="73">
        <v>2.7551659361302332</v>
      </c>
      <c r="G764" s="71">
        <v>7.56</v>
      </c>
      <c r="H764" s="71">
        <v>7.27</v>
      </c>
      <c r="I764" s="71">
        <v>8.64</v>
      </c>
      <c r="J764" s="71">
        <v>10.49</v>
      </c>
      <c r="K764" s="72">
        <v>12.4</v>
      </c>
      <c r="L764" s="72">
        <v>16.57</v>
      </c>
      <c r="M764" s="71">
        <v>12.48</v>
      </c>
      <c r="N764" s="71">
        <v>13.29</v>
      </c>
      <c r="O764" s="71">
        <v>13.54</v>
      </c>
      <c r="P764" s="71">
        <v>13.68</v>
      </c>
      <c r="Q764" s="71">
        <v>14.37</v>
      </c>
      <c r="R764" s="71">
        <v>15.56</v>
      </c>
      <c r="S764" s="71">
        <v>15.67</v>
      </c>
      <c r="T764" s="71">
        <v>15.51</v>
      </c>
      <c r="U764" s="71">
        <v>15.24</v>
      </c>
      <c r="V764" s="71">
        <v>17.46</v>
      </c>
      <c r="W764" s="97">
        <v>17.43</v>
      </c>
      <c r="X764" s="13">
        <f t="shared" si="17"/>
        <v>3.0870445344129527E-2</v>
      </c>
      <c r="Y764" s="13">
        <f t="shared" si="18"/>
        <v>1.4236622484045336E-2</v>
      </c>
      <c r="Z764" s="13">
        <f t="shared" si="19"/>
        <v>3.0655050016134222E-2</v>
      </c>
      <c r="AA764" s="13">
        <f t="shared" si="20"/>
        <v>2.7551659361302328E-2</v>
      </c>
    </row>
    <row r="765" spans="1:27" ht="15" x14ac:dyDescent="0.25">
      <c r="A765" s="4" t="s">
        <v>634</v>
      </c>
      <c r="B765" s="23" t="s">
        <v>590</v>
      </c>
      <c r="C765" s="73" t="s">
        <v>635</v>
      </c>
      <c r="D765" s="71"/>
      <c r="E765" s="71"/>
      <c r="F765" s="73">
        <v>2.6356935447844791</v>
      </c>
      <c r="G765" s="71">
        <v>11.93</v>
      </c>
      <c r="H765" s="71">
        <v>11.34</v>
      </c>
      <c r="I765" s="71">
        <v>13.25</v>
      </c>
      <c r="J765" s="71">
        <v>14.4</v>
      </c>
      <c r="K765" s="71">
        <v>15.86</v>
      </c>
      <c r="L765" s="71">
        <v>16.59</v>
      </c>
      <c r="M765" s="71">
        <v>13.63</v>
      </c>
      <c r="N765" s="71">
        <v>14.31</v>
      </c>
      <c r="O765" s="71">
        <v>12.59</v>
      </c>
      <c r="P765" s="71">
        <v>12.66</v>
      </c>
      <c r="Q765" s="71">
        <v>12.79</v>
      </c>
      <c r="R765" s="71">
        <v>13.61</v>
      </c>
      <c r="S765" s="71">
        <v>13.55</v>
      </c>
      <c r="T765" s="71">
        <v>12.7</v>
      </c>
      <c r="U765" s="71">
        <v>7.48</v>
      </c>
      <c r="V765" s="71">
        <v>11.04</v>
      </c>
      <c r="W765" s="97">
        <v>14.73</v>
      </c>
      <c r="X765" s="13">
        <f t="shared" si="17"/>
        <v>7.6031172780854916E-4</v>
      </c>
      <c r="Y765" s="13">
        <f t="shared" si="18"/>
        <v>-0.10085470085470094</v>
      </c>
      <c r="Z765" s="13">
        <f t="shared" si="19"/>
        <v>-5.4288128432615101E-2</v>
      </c>
      <c r="AA765" s="13">
        <f t="shared" si="20"/>
        <v>2.6356935447844565E-2</v>
      </c>
    </row>
    <row r="766" spans="1:27" ht="15" x14ac:dyDescent="0.25">
      <c r="A766" s="4" t="s">
        <v>634</v>
      </c>
      <c r="B766" s="23" t="s">
        <v>591</v>
      </c>
      <c r="C766" s="73" t="s">
        <v>635</v>
      </c>
      <c r="D766" s="71"/>
      <c r="E766" s="71"/>
      <c r="F766" s="73">
        <v>2.4438532450658861</v>
      </c>
      <c r="G766" s="71">
        <v>300.89999999999998</v>
      </c>
      <c r="H766" s="71">
        <v>358</v>
      </c>
      <c r="I766" s="71">
        <v>383.4</v>
      </c>
      <c r="J766" s="71">
        <v>379.2</v>
      </c>
      <c r="K766" s="71">
        <v>332.9</v>
      </c>
      <c r="L766" s="71">
        <v>393.2</v>
      </c>
      <c r="M766" s="71">
        <v>394.9</v>
      </c>
      <c r="N766" s="71">
        <v>386.7</v>
      </c>
      <c r="O766" s="71">
        <v>353.8</v>
      </c>
      <c r="P766" s="71">
        <v>390.2</v>
      </c>
      <c r="Q766" s="71">
        <v>386.9</v>
      </c>
      <c r="R766" s="71">
        <v>388.1</v>
      </c>
      <c r="S766" s="71">
        <v>344.8</v>
      </c>
      <c r="T766" s="71">
        <v>393.9</v>
      </c>
      <c r="U766" s="71">
        <v>436.1</v>
      </c>
      <c r="V766" s="71">
        <v>441.5</v>
      </c>
      <c r="W766" s="97">
        <v>384.3</v>
      </c>
      <c r="X766" s="13">
        <f t="shared" si="17"/>
        <v>2.4503311258279314E-3</v>
      </c>
      <c r="Y766" s="13">
        <f t="shared" si="18"/>
        <v>3.2503138006210186E-2</v>
      </c>
      <c r="Z766" s="13">
        <f t="shared" si="19"/>
        <v>3.4167253183185142E-2</v>
      </c>
      <c r="AA766" s="13">
        <f t="shared" si="20"/>
        <v>2.4438532450658856E-2</v>
      </c>
    </row>
    <row r="767" spans="1:27" ht="15" x14ac:dyDescent="0.25">
      <c r="A767" s="4" t="s">
        <v>634</v>
      </c>
      <c r="B767" s="23" t="s">
        <v>592</v>
      </c>
      <c r="C767" s="73" t="s">
        <v>635</v>
      </c>
      <c r="D767" s="71"/>
      <c r="E767" s="71"/>
      <c r="F767" s="73">
        <v>2.295010530902752</v>
      </c>
      <c r="G767" s="71">
        <v>66.8</v>
      </c>
      <c r="H767" s="71">
        <v>63.37</v>
      </c>
      <c r="I767" s="71">
        <v>82.14</v>
      </c>
      <c r="J767" s="71">
        <v>89.9</v>
      </c>
      <c r="K767" s="71">
        <v>92.94</v>
      </c>
      <c r="L767" s="71">
        <v>82.55</v>
      </c>
      <c r="M767" s="71">
        <v>77.67</v>
      </c>
      <c r="N767" s="71">
        <v>80.62</v>
      </c>
      <c r="O767" s="71">
        <v>74.59</v>
      </c>
      <c r="P767" s="71">
        <v>66.8</v>
      </c>
      <c r="Q767" s="71">
        <v>68.78</v>
      </c>
      <c r="R767" s="71">
        <v>67.62</v>
      </c>
      <c r="S767" s="71">
        <v>68.040000000000006</v>
      </c>
      <c r="T767" s="71">
        <v>69.53</v>
      </c>
      <c r="U767" s="71">
        <v>68.8</v>
      </c>
      <c r="V767" s="71">
        <v>69.010000000000005</v>
      </c>
      <c r="W767" s="97">
        <v>74.36</v>
      </c>
      <c r="X767" s="13">
        <f t="shared" si="17"/>
        <v>1.0064887184781046E-2</v>
      </c>
      <c r="Y767" s="13">
        <f t="shared" si="18"/>
        <v>7.3000693506575232E-5</v>
      </c>
      <c r="Z767" s="13">
        <f t="shared" si="19"/>
        <v>5.0731778532062677E-3</v>
      </c>
      <c r="AA767" s="13">
        <f t="shared" si="20"/>
        <v>2.2950105309027524E-2</v>
      </c>
    </row>
    <row r="768" spans="1:27" ht="15" x14ac:dyDescent="0.25">
      <c r="A768" s="4" t="s">
        <v>634</v>
      </c>
      <c r="B768" s="23" t="s">
        <v>593</v>
      </c>
      <c r="C768" s="73" t="s">
        <v>635</v>
      </c>
      <c r="D768" s="71"/>
      <c r="E768" s="71"/>
      <c r="F768" s="73">
        <v>1.9518952273013479</v>
      </c>
      <c r="G768" s="71">
        <v>13.94</v>
      </c>
      <c r="H768" s="71">
        <v>10.23</v>
      </c>
      <c r="I768" s="71">
        <v>7.7</v>
      </c>
      <c r="J768" s="71">
        <v>11.84</v>
      </c>
      <c r="K768" s="71">
        <v>17.68</v>
      </c>
      <c r="L768" s="71">
        <v>8.17</v>
      </c>
      <c r="M768" s="72">
        <v>19.47</v>
      </c>
      <c r="N768" s="72">
        <v>18.649999999999999</v>
      </c>
      <c r="O768" s="72">
        <v>25.07</v>
      </c>
      <c r="P768" s="72">
        <v>19.010000000000002</v>
      </c>
      <c r="Q768" s="71">
        <v>15.81</v>
      </c>
      <c r="R768" s="71">
        <v>16.8</v>
      </c>
      <c r="S768" s="71">
        <v>18.29</v>
      </c>
      <c r="T768" s="71">
        <v>18.43</v>
      </c>
      <c r="U768" s="71">
        <v>21.83</v>
      </c>
      <c r="V768" s="71">
        <v>20.86</v>
      </c>
      <c r="W768" s="97">
        <v>19.84</v>
      </c>
      <c r="X768" s="13">
        <f t="shared" si="17"/>
        <v>-8.2963810613645439E-3</v>
      </c>
      <c r="Y768" s="13">
        <f t="shared" si="18"/>
        <v>8.6831097648925271E-2</v>
      </c>
      <c r="Z768" s="13">
        <f t="shared" si="19"/>
        <v>5.3881884538818925E-2</v>
      </c>
      <c r="AA768" s="13">
        <f t="shared" si="20"/>
        <v>1.9518952273013479E-2</v>
      </c>
    </row>
    <row r="769" spans="1:27" ht="15" x14ac:dyDescent="0.25">
      <c r="A769" s="4" t="s">
        <v>634</v>
      </c>
      <c r="B769" s="23" t="s">
        <v>594</v>
      </c>
      <c r="C769" s="73" t="s">
        <v>635</v>
      </c>
      <c r="D769" s="71"/>
      <c r="E769" s="71"/>
      <c r="F769" s="73">
        <v>1.7482517482517499</v>
      </c>
      <c r="G769" s="71">
        <v>19.36</v>
      </c>
      <c r="H769" s="71">
        <v>21.37</v>
      </c>
      <c r="I769" s="71">
        <v>22.92</v>
      </c>
      <c r="J769" s="71">
        <v>22.81</v>
      </c>
      <c r="K769" s="71">
        <v>27.1</v>
      </c>
      <c r="L769" s="71">
        <v>25.94</v>
      </c>
      <c r="M769" s="71">
        <v>22.81</v>
      </c>
      <c r="N769" s="71">
        <v>20.23</v>
      </c>
      <c r="O769" s="71">
        <v>16.36</v>
      </c>
      <c r="P769" s="71">
        <v>16.57</v>
      </c>
      <c r="Q769" s="71">
        <v>20.85</v>
      </c>
      <c r="R769" s="71">
        <v>20.11</v>
      </c>
      <c r="S769" s="71">
        <v>17.97</v>
      </c>
      <c r="T769" s="71">
        <v>21.45</v>
      </c>
      <c r="U769" s="71">
        <v>24.28</v>
      </c>
      <c r="V769" s="71">
        <v>22.1</v>
      </c>
      <c r="W769" s="97">
        <v>19.47</v>
      </c>
      <c r="X769" s="13">
        <f t="shared" si="17"/>
        <v>6.4635761589403984E-2</v>
      </c>
      <c r="Y769" s="13">
        <f t="shared" si="18"/>
        <v>4.2672306543916516E-2</v>
      </c>
      <c r="Z769" s="13">
        <f t="shared" si="19"/>
        <v>2.3744183271686037E-2</v>
      </c>
      <c r="AA769" s="13">
        <f t="shared" si="20"/>
        <v>1.7482517482517501E-2</v>
      </c>
    </row>
    <row r="770" spans="1:27" ht="15" x14ac:dyDescent="0.25">
      <c r="A770" s="4" t="s">
        <v>634</v>
      </c>
      <c r="B770" s="23" t="s">
        <v>595</v>
      </c>
      <c r="C770" s="73" t="s">
        <v>635</v>
      </c>
      <c r="D770" s="71"/>
      <c r="E770" s="71"/>
      <c r="F770" s="73">
        <v>1.7218139919126909</v>
      </c>
      <c r="G770" s="71">
        <v>509.6</v>
      </c>
      <c r="H770" s="71">
        <v>510.8</v>
      </c>
      <c r="I770" s="71">
        <v>540.6</v>
      </c>
      <c r="J770" s="71">
        <v>524.5</v>
      </c>
      <c r="K770" s="71">
        <v>190.4</v>
      </c>
      <c r="L770" s="71">
        <v>444</v>
      </c>
      <c r="M770" s="71">
        <v>440.7</v>
      </c>
      <c r="N770" s="71">
        <v>434.3</v>
      </c>
      <c r="O770" s="71">
        <v>145.80000000000001</v>
      </c>
      <c r="P770" s="71">
        <v>290.60000000000002</v>
      </c>
      <c r="Q770" s="72">
        <v>1174</v>
      </c>
      <c r="R770" s="71">
        <v>601.1</v>
      </c>
      <c r="S770" s="72">
        <v>594.20000000000005</v>
      </c>
      <c r="T770" s="71">
        <v>521.4</v>
      </c>
      <c r="U770" s="71">
        <v>564.79999999999995</v>
      </c>
      <c r="V770" s="71">
        <v>619.5</v>
      </c>
      <c r="W770" s="97">
        <v>633.79999999999995</v>
      </c>
      <c r="X770" s="13">
        <f t="shared" si="17"/>
        <v>8.6770179330050157E-2</v>
      </c>
      <c r="Y770" s="13">
        <f t="shared" si="18"/>
        <v>-0.21074480229702153</v>
      </c>
      <c r="Z770" s="13">
        <f t="shared" si="19"/>
        <v>8.0648696033309708E-3</v>
      </c>
      <c r="AA770" s="13">
        <f t="shared" si="20"/>
        <v>1.7218139919127129E-2</v>
      </c>
    </row>
    <row r="771" spans="1:27" ht="15" x14ac:dyDescent="0.25">
      <c r="A771" s="4" t="s">
        <v>634</v>
      </c>
      <c r="B771" s="23" t="s">
        <v>596</v>
      </c>
      <c r="C771" s="73" t="s">
        <v>635</v>
      </c>
      <c r="D771" s="71"/>
      <c r="E771" s="71"/>
      <c r="F771" s="73">
        <v>1.7197125256673611</v>
      </c>
      <c r="G771" s="71">
        <v>4.42</v>
      </c>
      <c r="H771" s="71">
        <v>5.17</v>
      </c>
      <c r="I771" s="71">
        <v>7.65</v>
      </c>
      <c r="J771" s="71">
        <v>10.029999999999999</v>
      </c>
      <c r="K771" s="72">
        <v>9.07</v>
      </c>
      <c r="L771" s="71">
        <v>7.73</v>
      </c>
      <c r="M771" s="71">
        <v>10.27</v>
      </c>
      <c r="N771" s="71">
        <v>11.03</v>
      </c>
      <c r="O771" s="71">
        <v>7.82</v>
      </c>
      <c r="P771" s="71">
        <v>7.66</v>
      </c>
      <c r="Q771" s="71">
        <v>10.55</v>
      </c>
      <c r="R771" s="71">
        <v>9.1300000000000008</v>
      </c>
      <c r="S771" s="71">
        <v>8.4600000000000009</v>
      </c>
      <c r="T771" s="71">
        <v>6.24</v>
      </c>
      <c r="U771" s="71">
        <v>13.29</v>
      </c>
      <c r="V771" s="71">
        <v>10.97</v>
      </c>
      <c r="W771" s="97">
        <v>9.1300000000000008</v>
      </c>
      <c r="X771" s="13">
        <f t="shared" si="17"/>
        <v>-3.9664804469273784E-2</v>
      </c>
      <c r="Y771" s="13">
        <f t="shared" si="18"/>
        <v>7.9697498545666212E-2</v>
      </c>
      <c r="Z771" s="13">
        <f t="shared" si="19"/>
        <v>4.9568965517241326E-2</v>
      </c>
      <c r="AA771" s="13">
        <f t="shared" si="20"/>
        <v>1.7197125256673607E-2</v>
      </c>
    </row>
    <row r="772" spans="1:27" ht="15" x14ac:dyDescent="0.25">
      <c r="A772" s="4" t="s">
        <v>634</v>
      </c>
      <c r="B772" s="23" t="s">
        <v>597</v>
      </c>
      <c r="C772" s="73" t="s">
        <v>635</v>
      </c>
      <c r="D772" s="71"/>
      <c r="E772" s="71"/>
      <c r="F772" s="73">
        <v>1.310980674455964</v>
      </c>
      <c r="G772" s="71">
        <v>149.12</v>
      </c>
      <c r="H772" s="71">
        <v>151.93</v>
      </c>
      <c r="I772" s="71">
        <v>152.16999999999999</v>
      </c>
      <c r="J772" s="71">
        <v>160.12</v>
      </c>
      <c r="K772" s="71">
        <v>168.15</v>
      </c>
      <c r="L772" s="71">
        <v>153.37</v>
      </c>
      <c r="M772" s="71">
        <v>166.45</v>
      </c>
      <c r="N772" s="71">
        <v>156.13999999999999</v>
      </c>
      <c r="O772" s="71">
        <v>143.77000000000001</v>
      </c>
      <c r="P772" s="71">
        <v>147.1</v>
      </c>
      <c r="Q772" s="71">
        <v>180.04</v>
      </c>
      <c r="R772" s="71">
        <v>178.51</v>
      </c>
      <c r="S772" s="71">
        <v>173.83</v>
      </c>
      <c r="T772" s="71">
        <v>167.6</v>
      </c>
      <c r="U772" s="71">
        <v>196.16</v>
      </c>
      <c r="V772" s="71">
        <v>184.77</v>
      </c>
      <c r="W772" s="97">
        <v>183.3</v>
      </c>
      <c r="X772" s="13">
        <f t="shared" si="17"/>
        <v>3.017013009948788E-2</v>
      </c>
      <c r="Y772" s="13">
        <f t="shared" si="18"/>
        <v>2.3029229406554386E-2</v>
      </c>
      <c r="Z772" s="13">
        <f t="shared" si="19"/>
        <v>8.7417958385700434E-3</v>
      </c>
      <c r="AA772" s="13">
        <f t="shared" si="20"/>
        <v>1.3109806744559416E-2</v>
      </c>
    </row>
    <row r="773" spans="1:27" ht="15" x14ac:dyDescent="0.25">
      <c r="A773" s="4" t="s">
        <v>634</v>
      </c>
      <c r="B773" s="23" t="s">
        <v>598</v>
      </c>
      <c r="C773" s="73" t="s">
        <v>635</v>
      </c>
      <c r="D773" s="71"/>
      <c r="E773" s="71"/>
      <c r="F773" s="73">
        <v>1.288412556647156</v>
      </c>
      <c r="G773" s="71">
        <v>164.85</v>
      </c>
      <c r="H773" s="71">
        <v>154.47999999999999</v>
      </c>
      <c r="I773" s="71">
        <v>154.05000000000001</v>
      </c>
      <c r="J773" s="71">
        <v>170.74</v>
      </c>
      <c r="K773" s="71">
        <v>179.92</v>
      </c>
      <c r="L773" s="71">
        <v>158.41999999999999</v>
      </c>
      <c r="M773" s="71">
        <v>147.37</v>
      </c>
      <c r="N773" s="71">
        <v>122.04</v>
      </c>
      <c r="O773" s="71">
        <v>62.31</v>
      </c>
      <c r="P773" s="71">
        <v>133.33000000000001</v>
      </c>
      <c r="Q773" s="71">
        <v>144.87</v>
      </c>
      <c r="R773" s="71">
        <v>145.26</v>
      </c>
      <c r="S773" s="72">
        <v>150.52000000000001</v>
      </c>
      <c r="T773" s="71">
        <v>149.18</v>
      </c>
      <c r="U773" s="71">
        <v>144.58000000000001</v>
      </c>
      <c r="V773" s="71">
        <v>160.34</v>
      </c>
      <c r="W773" s="97">
        <v>158.31</v>
      </c>
      <c r="X773" s="13">
        <f t="shared" si="17"/>
        <v>2.7614202585455772E-2</v>
      </c>
      <c r="Y773" s="13">
        <f t="shared" si="18"/>
        <v>-4.9166709051751134E-4</v>
      </c>
      <c r="Z773" s="13">
        <f t="shared" si="19"/>
        <v>2.5579265189809242E-2</v>
      </c>
      <c r="AA773" s="13">
        <f t="shared" si="20"/>
        <v>1.2884125566471338E-2</v>
      </c>
    </row>
    <row r="774" spans="1:27" ht="15" x14ac:dyDescent="0.25">
      <c r="A774" s="4" t="s">
        <v>634</v>
      </c>
      <c r="B774" s="23" t="s">
        <v>599</v>
      </c>
      <c r="C774" s="73" t="s">
        <v>635</v>
      </c>
      <c r="D774" s="71"/>
      <c r="E774" s="71"/>
      <c r="F774" s="73">
        <v>1.2716174974567671</v>
      </c>
      <c r="G774" s="71">
        <v>59.44</v>
      </c>
      <c r="H774" s="71">
        <v>53.85</v>
      </c>
      <c r="I774" s="71">
        <v>59.6</v>
      </c>
      <c r="J774" s="71">
        <v>60.91</v>
      </c>
      <c r="K774" s="71">
        <v>66.42</v>
      </c>
      <c r="L774" s="71">
        <v>68.489999999999995</v>
      </c>
      <c r="M774" s="71">
        <v>48.77</v>
      </c>
      <c r="N774" s="71">
        <v>56.51</v>
      </c>
      <c r="O774" s="71">
        <v>53.32</v>
      </c>
      <c r="P774" s="71">
        <v>46.39</v>
      </c>
      <c r="Q774" s="71">
        <v>49.25</v>
      </c>
      <c r="R774" s="71">
        <v>55.76</v>
      </c>
      <c r="S774" s="71">
        <v>58.09</v>
      </c>
      <c r="T774" s="71">
        <v>55.79</v>
      </c>
      <c r="U774" s="71">
        <v>56.01</v>
      </c>
      <c r="V774" s="71">
        <v>66.03</v>
      </c>
      <c r="W774" s="97">
        <v>61.09</v>
      </c>
      <c r="X774" s="13">
        <f t="shared" si="17"/>
        <v>4.4870876891498268E-2</v>
      </c>
      <c r="Y774" s="13">
        <f t="shared" si="18"/>
        <v>3.0883091964000187E-2</v>
      </c>
      <c r="Z774" s="13">
        <f t="shared" si="19"/>
        <v>4.5512962552625824E-2</v>
      </c>
      <c r="AA774" s="13">
        <f t="shared" si="20"/>
        <v>1.2716174974567673E-2</v>
      </c>
    </row>
    <row r="775" spans="1:27" ht="15" x14ac:dyDescent="0.25">
      <c r="A775" s="4" t="s">
        <v>634</v>
      </c>
      <c r="B775" s="23" t="s">
        <v>600</v>
      </c>
      <c r="C775" s="73" t="s">
        <v>635</v>
      </c>
      <c r="D775" s="71"/>
      <c r="E775" s="71"/>
      <c r="F775" s="73">
        <v>1.1313330054107511</v>
      </c>
      <c r="G775" s="71">
        <v>10.61</v>
      </c>
      <c r="H775" s="71">
        <v>8.49</v>
      </c>
      <c r="I775" s="71">
        <v>8.2799999999999994</v>
      </c>
      <c r="J775" s="71">
        <v>10.65</v>
      </c>
      <c r="K775" s="71">
        <v>9.56</v>
      </c>
      <c r="L775" s="71">
        <v>10.25</v>
      </c>
      <c r="M775" s="71">
        <v>11.47</v>
      </c>
      <c r="N775" s="71">
        <v>11.48</v>
      </c>
      <c r="O775" s="71">
        <v>12.08</v>
      </c>
      <c r="P775" s="71">
        <v>10.53</v>
      </c>
      <c r="Q775" s="71">
        <v>11.34</v>
      </c>
      <c r="R775" s="71">
        <v>9.8699999999999992</v>
      </c>
      <c r="S775" s="71">
        <v>9.85</v>
      </c>
      <c r="T775" s="71">
        <v>9.4600000000000009</v>
      </c>
      <c r="U775" s="71">
        <v>9.76</v>
      </c>
      <c r="V775" s="71">
        <v>11.59</v>
      </c>
      <c r="W775" s="97">
        <v>10.31</v>
      </c>
      <c r="X775" s="13">
        <f t="shared" si="17"/>
        <v>-2.5727338302476421E-2</v>
      </c>
      <c r="Y775" s="13">
        <f t="shared" si="18"/>
        <v>-3.8993089832181749E-2</v>
      </c>
      <c r="Z775" s="13">
        <f t="shared" si="19"/>
        <v>4.4170518746790011E-2</v>
      </c>
      <c r="AA775" s="13">
        <f t="shared" si="20"/>
        <v>1.1313330054107285E-2</v>
      </c>
    </row>
    <row r="776" spans="1:27" ht="15" x14ac:dyDescent="0.25">
      <c r="A776" s="4" t="s">
        <v>634</v>
      </c>
      <c r="B776" s="23" t="s">
        <v>601</v>
      </c>
      <c r="C776" s="73" t="s">
        <v>635</v>
      </c>
      <c r="D776" s="71"/>
      <c r="E776" s="71"/>
      <c r="F776" s="73">
        <v>1.110116976505293</v>
      </c>
      <c r="G776" s="71">
        <v>45.03</v>
      </c>
      <c r="H776" s="71">
        <v>43.71</v>
      </c>
      <c r="I776" s="71">
        <v>55.25</v>
      </c>
      <c r="J776" s="71">
        <v>68.34</v>
      </c>
      <c r="K776" s="72">
        <v>70.14</v>
      </c>
      <c r="L776" s="72">
        <v>74.349999999999994</v>
      </c>
      <c r="M776" s="71">
        <v>69.97</v>
      </c>
      <c r="N776" s="71">
        <v>65.23</v>
      </c>
      <c r="O776" s="71">
        <v>60.41</v>
      </c>
      <c r="P776" s="71">
        <v>64.209999999999994</v>
      </c>
      <c r="Q776" s="71">
        <v>65.17</v>
      </c>
      <c r="R776" s="71">
        <v>73.900000000000006</v>
      </c>
      <c r="S776" s="71">
        <v>72</v>
      </c>
      <c r="T776" s="71">
        <v>71.08</v>
      </c>
      <c r="U776" s="71">
        <v>79.72</v>
      </c>
      <c r="V776" s="71">
        <v>78.97</v>
      </c>
      <c r="W776" s="97">
        <v>75.349999999999994</v>
      </c>
      <c r="X776" s="13">
        <f t="shared" si="17"/>
        <v>2.4956408020924137E-2</v>
      </c>
      <c r="Y776" s="13">
        <f t="shared" si="18"/>
        <v>5.1568314726209818E-2</v>
      </c>
      <c r="Z776" s="13">
        <f t="shared" si="19"/>
        <v>1.7087967644084712E-2</v>
      </c>
      <c r="AA776" s="13">
        <f t="shared" si="20"/>
        <v>1.1101169765052932E-2</v>
      </c>
    </row>
    <row r="777" spans="1:27" ht="15" x14ac:dyDescent="0.25">
      <c r="A777" s="4" t="s">
        <v>634</v>
      </c>
      <c r="B777" s="23" t="s">
        <v>602</v>
      </c>
      <c r="C777" s="73" t="s">
        <v>635</v>
      </c>
      <c r="D777" s="71"/>
      <c r="E777" s="71"/>
      <c r="F777" s="73">
        <v>0.97411633732258363</v>
      </c>
      <c r="G777" s="71">
        <v>59.98</v>
      </c>
      <c r="H777" s="71">
        <v>81.78</v>
      </c>
      <c r="I777" s="71">
        <v>93.73</v>
      </c>
      <c r="J777" s="71">
        <v>97.33</v>
      </c>
      <c r="K777" s="72">
        <v>97.44</v>
      </c>
      <c r="L777" s="71">
        <v>73.64</v>
      </c>
      <c r="M777" s="71">
        <v>67.680000000000007</v>
      </c>
      <c r="N777" s="71">
        <v>64.180000000000007</v>
      </c>
      <c r="O777" s="71">
        <v>62.11</v>
      </c>
      <c r="P777" s="71">
        <v>36.380000000000003</v>
      </c>
      <c r="Q777" s="71">
        <v>54.21</v>
      </c>
      <c r="R777" s="71">
        <v>62.22</v>
      </c>
      <c r="S777" s="71">
        <v>73.489999999999995</v>
      </c>
      <c r="T777" s="72">
        <v>63.49</v>
      </c>
      <c r="U777" s="71">
        <v>65.17</v>
      </c>
      <c r="V777" s="71">
        <v>85.29</v>
      </c>
      <c r="W777" s="97">
        <v>76.290000000000006</v>
      </c>
      <c r="X777" s="13">
        <f t="shared" si="17"/>
        <v>0.11979673000441893</v>
      </c>
      <c r="Y777" s="13">
        <f t="shared" si="18"/>
        <v>4.3250069058048179E-2</v>
      </c>
      <c r="Z777" s="13">
        <f t="shared" si="19"/>
        <v>8.7264061731664011E-2</v>
      </c>
      <c r="AA777" s="13">
        <f t="shared" si="20"/>
        <v>9.7411633732258363E-3</v>
      </c>
    </row>
    <row r="778" spans="1:27" ht="15" x14ac:dyDescent="0.25">
      <c r="A778" s="4" t="s">
        <v>634</v>
      </c>
      <c r="B778" s="23" t="s">
        <v>603</v>
      </c>
      <c r="C778" s="73" t="s">
        <v>635</v>
      </c>
      <c r="D778" s="71"/>
      <c r="E778" s="71"/>
      <c r="F778" s="73">
        <v>0.80737165423430124</v>
      </c>
      <c r="G778" s="71">
        <v>30.6</v>
      </c>
      <c r="H778" s="71">
        <v>27.39</v>
      </c>
      <c r="I778" s="71">
        <v>29.17</v>
      </c>
      <c r="J778" s="71">
        <v>29.38</v>
      </c>
      <c r="K778" s="72">
        <v>43.9</v>
      </c>
      <c r="L778" s="71">
        <v>28.67</v>
      </c>
      <c r="M778" s="71">
        <v>28.82</v>
      </c>
      <c r="N778" s="71">
        <v>22.94</v>
      </c>
      <c r="O778" s="71">
        <v>7.54</v>
      </c>
      <c r="P778" s="71">
        <v>29.06</v>
      </c>
      <c r="Q778" s="71">
        <v>31.81</v>
      </c>
      <c r="R778" s="71">
        <v>24.97</v>
      </c>
      <c r="S778" s="71">
        <v>-2.33</v>
      </c>
      <c r="T778" s="71">
        <v>-137.80000000000001</v>
      </c>
      <c r="U778" s="72">
        <v>14.87</v>
      </c>
      <c r="V778" s="72">
        <v>11.31</v>
      </c>
      <c r="W778" s="97">
        <v>-3.25</v>
      </c>
      <c r="X778" s="13">
        <f t="shared" si="17"/>
        <v>-1.9980840617890072</v>
      </c>
      <c r="Y778" s="13">
        <f t="shared" si="18"/>
        <v>0.20323935212957411</v>
      </c>
      <c r="Z778" s="13">
        <f t="shared" si="19"/>
        <v>0.1362050054840962</v>
      </c>
      <c r="AA778" s="13">
        <f t="shared" si="20"/>
        <v>8.0737165423430124E-3</v>
      </c>
    </row>
    <row r="779" spans="1:27" ht="15" x14ac:dyDescent="0.25">
      <c r="A779" s="4" t="s">
        <v>634</v>
      </c>
      <c r="B779" s="23" t="s">
        <v>604</v>
      </c>
      <c r="C779" s="73" t="s">
        <v>635</v>
      </c>
      <c r="D779" s="71"/>
      <c r="E779" s="71"/>
      <c r="F779" s="73">
        <v>0.72370831806523039</v>
      </c>
      <c r="G779" s="71">
        <v>310.39999999999998</v>
      </c>
      <c r="H779" s="71">
        <v>229.6</v>
      </c>
      <c r="I779" s="71">
        <v>176.4</v>
      </c>
      <c r="J779" s="71">
        <v>241</v>
      </c>
      <c r="K779" s="71">
        <v>280</v>
      </c>
      <c r="L779" s="71">
        <v>229.4</v>
      </c>
      <c r="M779" s="71">
        <v>237.8</v>
      </c>
      <c r="N779" s="71">
        <v>253.8</v>
      </c>
      <c r="O779" s="71">
        <v>313.89999999999998</v>
      </c>
      <c r="P779" s="71">
        <v>239.7</v>
      </c>
      <c r="Q779" s="71">
        <v>238.2</v>
      </c>
      <c r="R779" s="71">
        <v>290.3</v>
      </c>
      <c r="S779" s="71">
        <v>310</v>
      </c>
      <c r="T779" s="71">
        <v>227.1</v>
      </c>
      <c r="U779" s="71">
        <v>259.7</v>
      </c>
      <c r="V779" s="71">
        <v>294.8</v>
      </c>
      <c r="W779" s="97">
        <v>317.89999999999998</v>
      </c>
      <c r="X779" s="13">
        <f t="shared" si="17"/>
        <v>-1.168614357262121E-2</v>
      </c>
      <c r="Y779" s="13">
        <f t="shared" si="18"/>
        <v>2.0176426426426364E-2</v>
      </c>
      <c r="Z779" s="13">
        <f t="shared" si="19"/>
        <v>4.1394535921257525E-3</v>
      </c>
      <c r="AA779" s="13">
        <f t="shared" si="20"/>
        <v>7.2370831806523039E-3</v>
      </c>
    </row>
    <row r="780" spans="1:27" ht="15" x14ac:dyDescent="0.25">
      <c r="A780" s="4" t="s">
        <v>634</v>
      </c>
      <c r="B780" s="23" t="s">
        <v>605</v>
      </c>
      <c r="C780" s="73" t="s">
        <v>635</v>
      </c>
      <c r="D780" s="71"/>
      <c r="E780" s="71"/>
      <c r="F780" s="73">
        <v>0.64121771438843123</v>
      </c>
      <c r="G780" s="71">
        <v>27.22</v>
      </c>
      <c r="H780" s="71">
        <v>36.06</v>
      </c>
      <c r="I780" s="71">
        <v>36.200000000000003</v>
      </c>
      <c r="J780" s="71">
        <v>46.43</v>
      </c>
      <c r="K780" s="72">
        <v>50.25</v>
      </c>
      <c r="L780" s="71">
        <v>49.36</v>
      </c>
      <c r="M780" s="71">
        <v>42.15</v>
      </c>
      <c r="N780" s="71">
        <v>41.27</v>
      </c>
      <c r="O780" s="71">
        <v>46.02</v>
      </c>
      <c r="P780" s="71">
        <v>39.159999999999997</v>
      </c>
      <c r="Q780" s="71">
        <v>42.87</v>
      </c>
      <c r="R780" s="71">
        <v>41.44</v>
      </c>
      <c r="S780" s="71">
        <v>41.35</v>
      </c>
      <c r="T780" s="71">
        <v>41.7</v>
      </c>
      <c r="U780" s="71">
        <v>39.979999999999997</v>
      </c>
      <c r="V780" s="71">
        <v>43.84</v>
      </c>
      <c r="W780" s="97">
        <v>42.42</v>
      </c>
      <c r="X780" s="13">
        <f t="shared" si="17"/>
        <v>1.5410751122436617E-2</v>
      </c>
      <c r="Y780" s="13">
        <f t="shared" si="18"/>
        <v>-1.7268164435946587E-2</v>
      </c>
      <c r="Z780" s="13">
        <f t="shared" si="19"/>
        <v>1.4592326868121841E-2</v>
      </c>
      <c r="AA780" s="13">
        <f t="shared" si="20"/>
        <v>6.4121771438843123E-3</v>
      </c>
    </row>
    <row r="781" spans="1:27" ht="15" x14ac:dyDescent="0.25">
      <c r="A781" s="4" t="s">
        <v>634</v>
      </c>
      <c r="B781" s="23" t="s">
        <v>606</v>
      </c>
      <c r="C781" s="73" t="s">
        <v>635</v>
      </c>
      <c r="D781" s="71"/>
      <c r="E781" s="71"/>
      <c r="F781" s="73">
        <v>0.21905805038335829</v>
      </c>
      <c r="G781" s="71">
        <v>289</v>
      </c>
      <c r="H781" s="71">
        <v>238</v>
      </c>
      <c r="I781" s="71">
        <v>337</v>
      </c>
      <c r="J781" s="71">
        <v>455</v>
      </c>
      <c r="K781" s="72">
        <v>446</v>
      </c>
      <c r="L781" s="72">
        <v>409</v>
      </c>
      <c r="M781" s="71">
        <v>356</v>
      </c>
      <c r="N781" s="71">
        <v>327</v>
      </c>
      <c r="O781" s="71">
        <v>52</v>
      </c>
      <c r="P781" s="71">
        <v>167</v>
      </c>
      <c r="Q781" s="71">
        <v>269</v>
      </c>
      <c r="R781" s="71">
        <v>235</v>
      </c>
      <c r="S781" s="72">
        <v>217</v>
      </c>
      <c r="T781" s="71">
        <v>225</v>
      </c>
      <c r="U781" s="71">
        <v>244</v>
      </c>
      <c r="V781" s="71">
        <v>227</v>
      </c>
      <c r="W781" s="97">
        <v>219</v>
      </c>
      <c r="X781" s="13">
        <f t="shared" si="17"/>
        <v>6.5315315315315425E-2</v>
      </c>
      <c r="Y781" s="13">
        <f t="shared" si="18"/>
        <v>-2.6427061310782207E-2</v>
      </c>
      <c r="Z781" s="13">
        <f t="shared" si="19"/>
        <v>-8.6862106406080386E-3</v>
      </c>
      <c r="AA781" s="13">
        <f t="shared" si="20"/>
        <v>2.1905805038335835E-3</v>
      </c>
    </row>
    <row r="782" spans="1:27" ht="15" x14ac:dyDescent="0.25">
      <c r="A782" s="4" t="s">
        <v>634</v>
      </c>
      <c r="B782" s="23" t="s">
        <v>607</v>
      </c>
      <c r="C782" s="73" t="s">
        <v>635</v>
      </c>
      <c r="D782" s="71"/>
      <c r="E782" s="71"/>
      <c r="F782" s="73">
        <v>0.1577535888941384</v>
      </c>
      <c r="G782" s="71">
        <v>1969</v>
      </c>
      <c r="H782" s="71">
        <v>1746</v>
      </c>
      <c r="I782" s="71">
        <v>1904</v>
      </c>
      <c r="J782" s="71">
        <v>2000</v>
      </c>
      <c r="K782" s="71">
        <v>2019</v>
      </c>
      <c r="L782" s="71">
        <v>1771</v>
      </c>
      <c r="M782" s="71">
        <v>1399</v>
      </c>
      <c r="N782" s="71">
        <v>1312</v>
      </c>
      <c r="O782" s="71">
        <v>0</v>
      </c>
      <c r="P782" s="71">
        <v>1365</v>
      </c>
      <c r="Q782" s="71">
        <v>-5230</v>
      </c>
      <c r="R782" s="71">
        <v>1710</v>
      </c>
      <c r="S782" s="71">
        <v>1554</v>
      </c>
      <c r="T782" s="71">
        <v>1535</v>
      </c>
      <c r="U782" s="71">
        <v>1513</v>
      </c>
      <c r="V782" s="71">
        <v>1737</v>
      </c>
      <c r="W782" s="97">
        <v>1564</v>
      </c>
      <c r="X782" s="13">
        <f t="shared" si="17"/>
        <v>-0.2828618968386023</v>
      </c>
      <c r="Y782" s="13">
        <f t="shared" si="18"/>
        <v>-15.645011600928074</v>
      </c>
      <c r="Z782" s="13">
        <f t="shared" si="19"/>
        <v>4.2775665399239493E-3</v>
      </c>
      <c r="AA782" s="13">
        <f t="shared" si="20"/>
        <v>1.5775358889413837E-3</v>
      </c>
    </row>
    <row r="783" spans="1:27" ht="15" x14ac:dyDescent="0.25">
      <c r="A783" s="4" t="s">
        <v>634</v>
      </c>
      <c r="B783" s="23" t="s">
        <v>608</v>
      </c>
      <c r="C783" s="73" t="s">
        <v>635</v>
      </c>
      <c r="D783" s="71"/>
      <c r="E783" s="71"/>
      <c r="F783" s="73">
        <v>6.3080628512457437E-2</v>
      </c>
      <c r="G783" s="71">
        <v>26.91</v>
      </c>
      <c r="H783" s="71">
        <v>30.86</v>
      </c>
      <c r="I783" s="71">
        <v>32.340000000000003</v>
      </c>
      <c r="J783" s="71">
        <v>32.32</v>
      </c>
      <c r="K783" s="71">
        <v>31.93</v>
      </c>
      <c r="L783" s="71">
        <v>41.42</v>
      </c>
      <c r="M783" s="71">
        <v>30.49</v>
      </c>
      <c r="N783" s="71">
        <v>31.86</v>
      </c>
      <c r="O783" s="71">
        <v>26.02</v>
      </c>
      <c r="P783" s="71">
        <v>39.04</v>
      </c>
      <c r="Q783" s="71">
        <v>31.38</v>
      </c>
      <c r="R783" s="71">
        <v>43.45</v>
      </c>
      <c r="S783" s="72">
        <v>43.33</v>
      </c>
      <c r="T783" s="71">
        <v>42.68</v>
      </c>
      <c r="U783" s="71">
        <v>42.12</v>
      </c>
      <c r="V783" s="71">
        <v>46.25</v>
      </c>
      <c r="W783" s="97">
        <v>43.44</v>
      </c>
      <c r="X783" s="13">
        <f t="shared" si="17"/>
        <v>2.315521628498729E-2</v>
      </c>
      <c r="Y783" s="13">
        <f t="shared" si="18"/>
        <v>6.6774434220343348E-2</v>
      </c>
      <c r="Z783" s="13">
        <f t="shared" si="19"/>
        <v>1.6318918288844797E-2</v>
      </c>
      <c r="AA783" s="13">
        <f t="shared" si="20"/>
        <v>6.3080628512457437E-4</v>
      </c>
    </row>
    <row r="784" spans="1:27" ht="15" x14ac:dyDescent="0.25">
      <c r="A784" s="4" t="s">
        <v>634</v>
      </c>
      <c r="B784" s="23" t="s">
        <v>609</v>
      </c>
      <c r="C784" s="73" t="s">
        <v>635</v>
      </c>
      <c r="D784" s="71"/>
      <c r="E784" s="71"/>
      <c r="F784" s="73">
        <v>0</v>
      </c>
      <c r="G784" s="71">
        <v>8.58</v>
      </c>
      <c r="H784" s="71">
        <v>12.7</v>
      </c>
      <c r="I784" s="71">
        <v>11.86</v>
      </c>
      <c r="J784" s="71">
        <v>9</v>
      </c>
      <c r="K784" s="71">
        <v>10.78</v>
      </c>
      <c r="L784" s="71">
        <v>4.6900000000000004</v>
      </c>
      <c r="M784" s="71">
        <v>8.06</v>
      </c>
      <c r="N784" s="71">
        <v>3.37</v>
      </c>
      <c r="O784" s="71">
        <v>4.32</v>
      </c>
      <c r="P784" s="71">
        <v>6.09</v>
      </c>
      <c r="Q784" s="71">
        <v>4.8899999999999997</v>
      </c>
      <c r="R784" s="72">
        <v>6.17</v>
      </c>
      <c r="S784" s="72">
        <v>7.27</v>
      </c>
      <c r="T784" s="71">
        <v>7.71</v>
      </c>
      <c r="U784" s="71">
        <v>5.43</v>
      </c>
      <c r="V784" s="71">
        <v>7.47</v>
      </c>
      <c r="W784" s="97">
        <v>7.27</v>
      </c>
      <c r="X784" s="13">
        <f t="shared" si="17"/>
        <v>6.6339066339066388E-2</v>
      </c>
      <c r="Y784" s="13">
        <f t="shared" si="18"/>
        <v>2.0737327188940169E-2</v>
      </c>
      <c r="Z784" s="13">
        <f t="shared" si="19"/>
        <v>4.8908954100827629E-2</v>
      </c>
      <c r="AA784" s="13">
        <f t="shared" si="20"/>
        <v>0</v>
      </c>
    </row>
    <row r="785" spans="1:27" ht="15" x14ac:dyDescent="0.25">
      <c r="A785" s="4" t="s">
        <v>634</v>
      </c>
      <c r="B785" s="23" t="s">
        <v>610</v>
      </c>
      <c r="C785" s="73" t="s">
        <v>635</v>
      </c>
      <c r="D785" s="71"/>
      <c r="E785" s="71"/>
      <c r="F785" s="73">
        <v>-0.23912003825921069</v>
      </c>
      <c r="G785" s="71">
        <v>51.9</v>
      </c>
      <c r="H785" s="71">
        <v>63.2</v>
      </c>
      <c r="I785" s="71">
        <v>49.8</v>
      </c>
      <c r="J785" s="71">
        <v>65.5</v>
      </c>
      <c r="K785" s="71">
        <v>24.6</v>
      </c>
      <c r="L785" s="71">
        <v>53.3</v>
      </c>
      <c r="M785" s="71">
        <v>58.6</v>
      </c>
      <c r="N785" s="72">
        <v>89.3</v>
      </c>
      <c r="O785" s="71">
        <v>44.9</v>
      </c>
      <c r="P785" s="71">
        <v>53.9</v>
      </c>
      <c r="Q785" s="71">
        <v>42.2</v>
      </c>
      <c r="R785" s="71">
        <v>99.9</v>
      </c>
      <c r="S785" s="71">
        <v>19</v>
      </c>
      <c r="T785" s="71">
        <v>40.799999999999997</v>
      </c>
      <c r="U785" s="71">
        <v>42.3</v>
      </c>
      <c r="V785" s="71">
        <v>107</v>
      </c>
      <c r="W785" s="97">
        <v>18.5</v>
      </c>
      <c r="X785" s="13">
        <f t="shared" si="17"/>
        <v>-6.0930232558139341E-2</v>
      </c>
      <c r="Y785" s="13">
        <f t="shared" si="18"/>
        <v>4.9529470034648249E-4</v>
      </c>
      <c r="Z785" s="13">
        <f t="shared" si="19"/>
        <v>3.514851485148518E-2</v>
      </c>
      <c r="AA785" s="13">
        <f t="shared" si="20"/>
        <v>-2.3912003825921069E-3</v>
      </c>
    </row>
    <row r="786" spans="1:27" ht="15" x14ac:dyDescent="0.25">
      <c r="A786" s="4" t="s">
        <v>634</v>
      </c>
      <c r="B786" s="23" t="s">
        <v>611</v>
      </c>
      <c r="C786" s="73" t="s">
        <v>635</v>
      </c>
      <c r="D786" s="71"/>
      <c r="E786" s="71"/>
      <c r="F786" s="73">
        <v>-0.25080943043458431</v>
      </c>
      <c r="G786" s="71">
        <v>5240</v>
      </c>
      <c r="H786" s="71">
        <v>4103</v>
      </c>
      <c r="I786" s="71">
        <v>4274</v>
      </c>
      <c r="J786" s="71">
        <v>4939</v>
      </c>
      <c r="K786" s="71">
        <v>4873</v>
      </c>
      <c r="L786" s="71">
        <v>4334</v>
      </c>
      <c r="M786" s="71">
        <v>4822</v>
      </c>
      <c r="N786" s="71">
        <v>5865</v>
      </c>
      <c r="O786" s="71">
        <v>5879</v>
      </c>
      <c r="P786" s="71">
        <v>4460</v>
      </c>
      <c r="Q786" s="71">
        <v>4947</v>
      </c>
      <c r="R786" s="71">
        <v>5940</v>
      </c>
      <c r="S786" s="71">
        <v>5895</v>
      </c>
      <c r="T786" s="71">
        <v>4607</v>
      </c>
      <c r="U786" s="71">
        <v>5253</v>
      </c>
      <c r="V786" s="71">
        <v>6174</v>
      </c>
      <c r="W786" s="97">
        <v>5840</v>
      </c>
      <c r="X786" s="13">
        <f t="shared" si="17"/>
        <v>6.920252330289145E-3</v>
      </c>
      <c r="Y786" s="13">
        <f t="shared" si="18"/>
        <v>1.4306419187432695E-2</v>
      </c>
      <c r="Z786" s="13">
        <f t="shared" si="19"/>
        <v>1.078589536759611E-2</v>
      </c>
      <c r="AA786" s="13">
        <f t="shared" si="20"/>
        <v>-2.5080943043458426E-3</v>
      </c>
    </row>
    <row r="787" spans="1:27" ht="15" x14ac:dyDescent="0.25">
      <c r="A787" s="4" t="s">
        <v>634</v>
      </c>
      <c r="B787" s="23" t="s">
        <v>612</v>
      </c>
      <c r="C787" s="73" t="s">
        <v>635</v>
      </c>
      <c r="D787" s="71"/>
      <c r="E787" s="71"/>
      <c r="F787" s="73">
        <v>-0.5609166414822897</v>
      </c>
      <c r="G787" s="71">
        <v>650.25</v>
      </c>
      <c r="H787" s="71">
        <v>487.72</v>
      </c>
      <c r="I787" s="71">
        <v>507.11</v>
      </c>
      <c r="J787" s="71">
        <v>924.2</v>
      </c>
      <c r="K787" s="71">
        <v>672.24</v>
      </c>
      <c r="L787" s="71">
        <v>650.78</v>
      </c>
      <c r="M787" s="72">
        <v>1273</v>
      </c>
      <c r="N787" s="71">
        <v>734.86</v>
      </c>
      <c r="O787" s="71">
        <v>733.28</v>
      </c>
      <c r="P787" s="71">
        <v>734.99</v>
      </c>
      <c r="Q787" s="71">
        <v>839.18</v>
      </c>
      <c r="R787" s="71">
        <v>869.27</v>
      </c>
      <c r="S787" s="71">
        <v>1008</v>
      </c>
      <c r="T787" s="71">
        <v>882.06</v>
      </c>
      <c r="U787" s="71">
        <v>962.88</v>
      </c>
      <c r="V787" s="71">
        <v>985.42</v>
      </c>
      <c r="W787" s="97">
        <v>986.47</v>
      </c>
      <c r="X787" s="13">
        <f t="shared" si="17"/>
        <v>4.2611199962913959E-2</v>
      </c>
      <c r="Y787" s="13">
        <f t="shared" si="18"/>
        <v>3.4375338681843504E-2</v>
      </c>
      <c r="Z787" s="13">
        <f t="shared" si="19"/>
        <v>3.1204580074740473E-2</v>
      </c>
      <c r="AA787" s="13">
        <f t="shared" si="20"/>
        <v>-5.609166414823008E-3</v>
      </c>
    </row>
    <row r="788" spans="1:27" ht="15" x14ac:dyDescent="0.25">
      <c r="A788" s="4" t="s">
        <v>634</v>
      </c>
      <c r="B788" s="23" t="s">
        <v>613</v>
      </c>
      <c r="C788" s="73" t="s">
        <v>635</v>
      </c>
      <c r="D788" s="71"/>
      <c r="E788" s="71"/>
      <c r="F788" s="73">
        <v>-0.70254126499941227</v>
      </c>
      <c r="G788" s="71">
        <v>193.96</v>
      </c>
      <c r="H788" s="71">
        <v>168.91</v>
      </c>
      <c r="I788" s="71">
        <v>175.79</v>
      </c>
      <c r="J788" s="71">
        <v>168.32</v>
      </c>
      <c r="K788" s="71">
        <v>208.51</v>
      </c>
      <c r="L788" s="71">
        <v>210.62</v>
      </c>
      <c r="M788" s="71">
        <v>217.68</v>
      </c>
      <c r="N788" s="71">
        <v>219.97</v>
      </c>
      <c r="O788" s="71">
        <v>218.73</v>
      </c>
      <c r="P788" s="71">
        <v>229.78</v>
      </c>
      <c r="Q788" s="71">
        <v>230.31</v>
      </c>
      <c r="R788" s="71">
        <v>236.16</v>
      </c>
      <c r="S788" s="71">
        <v>235.04</v>
      </c>
      <c r="T788" s="71">
        <v>223.86</v>
      </c>
      <c r="U788" s="71">
        <v>239.66</v>
      </c>
      <c r="V788" s="71">
        <v>242.31</v>
      </c>
      <c r="W788" s="97">
        <v>228.43</v>
      </c>
      <c r="X788" s="13">
        <f t="shared" si="17"/>
        <v>-6.3567739372267784E-3</v>
      </c>
      <c r="Y788" s="13">
        <f t="shared" si="18"/>
        <v>1.0104066481515295E-2</v>
      </c>
      <c r="Z788" s="13">
        <f t="shared" si="19"/>
        <v>6.5795104416295214E-3</v>
      </c>
      <c r="AA788" s="13">
        <f t="shared" si="20"/>
        <v>-7.0254126499940117E-3</v>
      </c>
    </row>
    <row r="789" spans="1:27" ht="15" x14ac:dyDescent="0.25">
      <c r="A789" s="4" t="s">
        <v>634</v>
      </c>
      <c r="B789" s="23" t="s">
        <v>614</v>
      </c>
      <c r="C789" s="73" t="s">
        <v>635</v>
      </c>
      <c r="D789" s="71"/>
      <c r="E789" s="71"/>
      <c r="F789" s="73">
        <v>-0.86327386335607326</v>
      </c>
      <c r="G789" s="71">
        <v>63.53</v>
      </c>
      <c r="H789" s="71">
        <v>88.79</v>
      </c>
      <c r="I789" s="71">
        <v>87.47</v>
      </c>
      <c r="J789" s="71">
        <v>117.08</v>
      </c>
      <c r="K789" s="71">
        <v>81.790000000000006</v>
      </c>
      <c r="L789" s="71">
        <v>71.84</v>
      </c>
      <c r="M789" s="71">
        <v>78.63</v>
      </c>
      <c r="N789" s="71">
        <v>62.43</v>
      </c>
      <c r="O789" s="71">
        <v>24.19</v>
      </c>
      <c r="P789" s="71">
        <v>67.209999999999994</v>
      </c>
      <c r="Q789" s="71">
        <v>72.959999999999994</v>
      </c>
      <c r="R789" s="71">
        <v>83.19</v>
      </c>
      <c r="S789" s="72">
        <v>92.99</v>
      </c>
      <c r="T789" s="71">
        <v>80.069999999999993</v>
      </c>
      <c r="U789" s="71">
        <v>93.9</v>
      </c>
      <c r="V789" s="71">
        <v>97.93</v>
      </c>
      <c r="W789" s="97">
        <v>89.84</v>
      </c>
      <c r="X789" s="13">
        <f t="shared" si="17"/>
        <v>4.0651177493282731E-2</v>
      </c>
      <c r="Y789" s="13">
        <f t="shared" si="18"/>
        <v>6.3606816317851811E-2</v>
      </c>
      <c r="Z789" s="13">
        <f t="shared" si="19"/>
        <v>4.2096244466657273E-2</v>
      </c>
      <c r="AA789" s="13">
        <f t="shared" si="20"/>
        <v>-8.6327386335608436E-3</v>
      </c>
    </row>
    <row r="790" spans="1:27" ht="15" x14ac:dyDescent="0.25">
      <c r="A790" s="4" t="s">
        <v>634</v>
      </c>
      <c r="B790" s="23" t="s">
        <v>615</v>
      </c>
      <c r="C790" s="73" t="s">
        <v>635</v>
      </c>
      <c r="D790" s="71"/>
      <c r="E790" s="71"/>
      <c r="F790" s="73">
        <v>-1.3939838591342619</v>
      </c>
      <c r="G790" s="71">
        <v>490</v>
      </c>
      <c r="H790" s="71">
        <v>567</v>
      </c>
      <c r="I790" s="71">
        <v>661</v>
      </c>
      <c r="J790" s="71">
        <v>743</v>
      </c>
      <c r="K790" s="72">
        <v>793</v>
      </c>
      <c r="L790" s="71">
        <v>750</v>
      </c>
      <c r="M790" s="71">
        <v>699</v>
      </c>
      <c r="N790" s="71">
        <v>688</v>
      </c>
      <c r="O790" s="71">
        <v>247</v>
      </c>
      <c r="P790" s="71">
        <v>510</v>
      </c>
      <c r="Q790" s="71">
        <v>586</v>
      </c>
      <c r="R790" s="71">
        <v>638</v>
      </c>
      <c r="S790" s="72">
        <v>669</v>
      </c>
      <c r="T790" s="71">
        <v>653</v>
      </c>
      <c r="U790" s="71">
        <v>638</v>
      </c>
      <c r="V790" s="71">
        <v>766</v>
      </c>
      <c r="W790" s="97">
        <v>631</v>
      </c>
      <c r="X790" s="13">
        <f t="shared" ref="X790:X808" si="21">SUM(Q790:T790)/SUM(P790:S790)-1</f>
        <v>5.9508947149396585E-2</v>
      </c>
      <c r="Y790" s="13">
        <f t="shared" ref="Y790:Y808" si="22">SUM(R790:U790)/SUM(Q790:T790)-1</f>
        <v>2.0424194815396701E-2</v>
      </c>
      <c r="Z790" s="13">
        <f t="shared" ref="Z790:Z808" si="23">SUM(S790:V790)/SUM(R790:U790)-1</f>
        <v>4.9268668206312594E-2</v>
      </c>
      <c r="AA790" s="13">
        <f t="shared" ref="AA790:AA808" si="24">SUM(T790:W790)/SUM(S790:V790)-1</f>
        <v>-1.3939838591342624E-2</v>
      </c>
    </row>
    <row r="791" spans="1:27" ht="15" x14ac:dyDescent="0.25">
      <c r="A791" s="4" t="s">
        <v>634</v>
      </c>
      <c r="B791" s="23" t="s">
        <v>616</v>
      </c>
      <c r="C791" s="73" t="s">
        <v>635</v>
      </c>
      <c r="D791" s="71"/>
      <c r="E791" s="71"/>
      <c r="F791" s="73">
        <v>-1.977401129943501</v>
      </c>
      <c r="G791" s="71">
        <v>5018</v>
      </c>
      <c r="H791" s="71">
        <v>3130</v>
      </c>
      <c r="I791" s="71">
        <v>-613</v>
      </c>
      <c r="J791" s="71">
        <v>489</v>
      </c>
      <c r="K791" s="71">
        <v>-431</v>
      </c>
      <c r="L791" s="71">
        <v>-1404</v>
      </c>
      <c r="M791" s="72">
        <v>-816</v>
      </c>
      <c r="N791" s="71">
        <v>1152</v>
      </c>
      <c r="O791" s="71">
        <v>1613</v>
      </c>
      <c r="P791" s="72">
        <v>-497</v>
      </c>
      <c r="Q791" s="71">
        <v>-1021</v>
      </c>
      <c r="R791" s="71">
        <v>-390</v>
      </c>
      <c r="S791" s="72">
        <v>724</v>
      </c>
      <c r="T791" s="71">
        <v>-31</v>
      </c>
      <c r="U791" s="71">
        <v>-489</v>
      </c>
      <c r="V791" s="71">
        <v>858</v>
      </c>
      <c r="W791" s="97">
        <v>703</v>
      </c>
      <c r="X791" s="13">
        <f t="shared" si="21"/>
        <v>-0.39358108108108103</v>
      </c>
      <c r="Y791" s="13">
        <f t="shared" si="22"/>
        <v>-0.74094707520891367</v>
      </c>
      <c r="Z791" s="13">
        <f t="shared" si="23"/>
        <v>-6.709677419354839</v>
      </c>
      <c r="AA791" s="13">
        <f t="shared" si="24"/>
        <v>-1.9774011299435013E-2</v>
      </c>
    </row>
    <row r="792" spans="1:27" ht="15" x14ac:dyDescent="0.25">
      <c r="A792" s="4" t="s">
        <v>634</v>
      </c>
      <c r="B792" s="23" t="s">
        <v>617</v>
      </c>
      <c r="C792" s="73" t="s">
        <v>635</v>
      </c>
      <c r="D792" s="71"/>
      <c r="E792" s="71"/>
      <c r="F792" s="73">
        <v>-2.2422648127270461</v>
      </c>
      <c r="G792" s="71">
        <v>48.61</v>
      </c>
      <c r="H792" s="71">
        <v>54.09</v>
      </c>
      <c r="I792" s="71">
        <v>59.36</v>
      </c>
      <c r="J792" s="71">
        <v>62.52</v>
      </c>
      <c r="K792" s="71">
        <v>68.14</v>
      </c>
      <c r="L792" s="71">
        <v>65.13</v>
      </c>
      <c r="M792" s="71">
        <v>65.790000000000006</v>
      </c>
      <c r="N792" s="71">
        <v>65.900000000000006</v>
      </c>
      <c r="O792" s="71">
        <v>68.430000000000007</v>
      </c>
      <c r="P792" s="71">
        <v>67.92</v>
      </c>
      <c r="Q792" s="71">
        <v>71.260000000000005</v>
      </c>
      <c r="R792" s="71">
        <v>61.78</v>
      </c>
      <c r="S792" s="71">
        <v>52.79</v>
      </c>
      <c r="T792" s="71">
        <v>59.45</v>
      </c>
      <c r="U792" s="71">
        <v>65.88</v>
      </c>
      <c r="V792" s="71">
        <v>61.37</v>
      </c>
      <c r="W792" s="97">
        <v>47.42</v>
      </c>
      <c r="X792" s="13">
        <f t="shared" si="21"/>
        <v>-3.337931034482744E-2</v>
      </c>
      <c r="Y792" s="13">
        <f t="shared" si="22"/>
        <v>-2.1934116112198532E-2</v>
      </c>
      <c r="Z792" s="13">
        <f t="shared" si="23"/>
        <v>-1.7090454355980222E-3</v>
      </c>
      <c r="AA792" s="13">
        <f t="shared" si="24"/>
        <v>-2.2422648127270461E-2</v>
      </c>
    </row>
    <row r="793" spans="1:27" ht="15" x14ac:dyDescent="0.25">
      <c r="A793" s="4" t="s">
        <v>634</v>
      </c>
      <c r="B793" s="23" t="s">
        <v>618</v>
      </c>
      <c r="C793" s="73" t="s">
        <v>635</v>
      </c>
      <c r="D793" s="71"/>
      <c r="E793" s="71"/>
      <c r="F793" s="73">
        <v>-2.2766770941953451</v>
      </c>
      <c r="G793" s="71">
        <v>836</v>
      </c>
      <c r="H793" s="71">
        <v>400</v>
      </c>
      <c r="I793" s="71">
        <v>1276</v>
      </c>
      <c r="J793" s="71">
        <v>1181</v>
      </c>
      <c r="K793" s="72">
        <v>1294</v>
      </c>
      <c r="L793" s="72">
        <v>1186</v>
      </c>
      <c r="M793" s="71">
        <v>1338</v>
      </c>
      <c r="N793" s="71">
        <v>1451</v>
      </c>
      <c r="O793" s="71">
        <v>1614</v>
      </c>
      <c r="P793" s="71">
        <v>1411</v>
      </c>
      <c r="Q793" s="71">
        <v>1610</v>
      </c>
      <c r="R793" s="71">
        <v>1659</v>
      </c>
      <c r="S793" s="71">
        <v>1689</v>
      </c>
      <c r="T793" s="71">
        <v>1338</v>
      </c>
      <c r="U793" s="71">
        <v>1345</v>
      </c>
      <c r="V793" s="71">
        <v>1382</v>
      </c>
      <c r="W793" s="97">
        <v>1558</v>
      </c>
      <c r="X793" s="13">
        <f t="shared" si="21"/>
        <v>-1.1461767938451883E-2</v>
      </c>
      <c r="Y793" s="13">
        <f t="shared" si="22"/>
        <v>-4.209021601016516E-2</v>
      </c>
      <c r="Z793" s="13">
        <f t="shared" si="23"/>
        <v>-4.5929364947769891E-2</v>
      </c>
      <c r="AA793" s="13">
        <f t="shared" si="24"/>
        <v>-2.2766770941953451E-2</v>
      </c>
    </row>
    <row r="794" spans="1:27" ht="15" x14ac:dyDescent="0.25">
      <c r="A794" s="4" t="s">
        <v>634</v>
      </c>
      <c r="B794" s="23" t="s">
        <v>619</v>
      </c>
      <c r="C794" s="73" t="s">
        <v>635</v>
      </c>
      <c r="D794" s="71"/>
      <c r="E794" s="71"/>
      <c r="F794" s="73">
        <v>-2.8952504879635632</v>
      </c>
      <c r="G794" s="71">
        <v>514</v>
      </c>
      <c r="H794" s="71">
        <v>511</v>
      </c>
      <c r="I794" s="71">
        <v>374</v>
      </c>
      <c r="J794" s="71">
        <v>846</v>
      </c>
      <c r="K794" s="72">
        <v>906</v>
      </c>
      <c r="L794" s="72">
        <v>977</v>
      </c>
      <c r="M794" s="72">
        <v>1011</v>
      </c>
      <c r="N794" s="71">
        <v>1037</v>
      </c>
      <c r="O794" s="71">
        <v>1058</v>
      </c>
      <c r="P794" s="71">
        <v>987</v>
      </c>
      <c r="Q794" s="71">
        <v>1032</v>
      </c>
      <c r="R794" s="71">
        <v>975</v>
      </c>
      <c r="S794" s="71">
        <v>932</v>
      </c>
      <c r="T794" s="71">
        <v>695</v>
      </c>
      <c r="U794" s="71">
        <v>727</v>
      </c>
      <c r="V794" s="71">
        <v>720</v>
      </c>
      <c r="W794" s="97">
        <v>843</v>
      </c>
      <c r="X794" s="13">
        <f t="shared" si="21"/>
        <v>-7.4375955170657204E-2</v>
      </c>
      <c r="Y794" s="13">
        <f t="shared" si="22"/>
        <v>-8.3929554210236623E-2</v>
      </c>
      <c r="Z794" s="13">
        <f t="shared" si="23"/>
        <v>-7.6599579453289324E-2</v>
      </c>
      <c r="AA794" s="13">
        <f t="shared" si="24"/>
        <v>-2.8952504879635632E-2</v>
      </c>
    </row>
    <row r="795" spans="1:27" ht="15" x14ac:dyDescent="0.25">
      <c r="A795" s="4" t="s">
        <v>634</v>
      </c>
      <c r="B795" s="23" t="s">
        <v>620</v>
      </c>
      <c r="C795" s="73" t="s">
        <v>635</v>
      </c>
      <c r="D795" s="71"/>
      <c r="E795" s="71"/>
      <c r="F795" s="73">
        <v>-2.9290429042904238</v>
      </c>
      <c r="G795" s="71">
        <v>1386</v>
      </c>
      <c r="H795" s="71">
        <v>1274</v>
      </c>
      <c r="I795" s="71">
        <v>1610</v>
      </c>
      <c r="J795" s="71">
        <v>1571</v>
      </c>
      <c r="K795" s="71">
        <v>1453</v>
      </c>
      <c r="L795" s="71">
        <v>1445</v>
      </c>
      <c r="M795" s="71">
        <v>1460</v>
      </c>
      <c r="N795" s="71">
        <v>1271</v>
      </c>
      <c r="O795" s="71">
        <v>1320</v>
      </c>
      <c r="P795" s="71">
        <v>1348</v>
      </c>
      <c r="Q795" s="71">
        <v>1460</v>
      </c>
      <c r="R795" s="71">
        <v>1364</v>
      </c>
      <c r="S795" s="71">
        <v>1252</v>
      </c>
      <c r="T795" s="71">
        <v>1048</v>
      </c>
      <c r="U795" s="71">
        <v>1290</v>
      </c>
      <c r="V795" s="71">
        <v>1258</v>
      </c>
      <c r="W795" s="97">
        <v>1110</v>
      </c>
      <c r="X795" s="13">
        <f t="shared" si="21"/>
        <v>-5.5309734513274367E-2</v>
      </c>
      <c r="Y795" s="13">
        <f t="shared" si="22"/>
        <v>-3.3177205308352886E-2</v>
      </c>
      <c r="Z795" s="13">
        <f t="shared" si="23"/>
        <v>-2.1396851029471087E-2</v>
      </c>
      <c r="AA795" s="13">
        <f t="shared" si="24"/>
        <v>-2.9290429042904242E-2</v>
      </c>
    </row>
    <row r="796" spans="1:27" ht="15" x14ac:dyDescent="0.25">
      <c r="A796" s="4" t="s">
        <v>634</v>
      </c>
      <c r="B796" s="23" t="s">
        <v>621</v>
      </c>
      <c r="C796" s="73" t="s">
        <v>635</v>
      </c>
      <c r="D796" s="71"/>
      <c r="E796" s="71"/>
      <c r="F796" s="73">
        <v>-2.936962750716321</v>
      </c>
      <c r="G796" s="71">
        <v>15.47</v>
      </c>
      <c r="H796" s="71">
        <v>22.07</v>
      </c>
      <c r="I796" s="71">
        <v>15.88</v>
      </c>
      <c r="J796" s="71">
        <v>21.25</v>
      </c>
      <c r="K796" s="71">
        <v>18.59</v>
      </c>
      <c r="L796" s="71">
        <v>15.88</v>
      </c>
      <c r="M796" s="71">
        <v>18.2</v>
      </c>
      <c r="N796" s="71">
        <v>21.65</v>
      </c>
      <c r="O796" s="71">
        <v>17.95</v>
      </c>
      <c r="P796" s="71">
        <v>19.82</v>
      </c>
      <c r="Q796" s="71">
        <v>23.17</v>
      </c>
      <c r="R796" s="71">
        <v>17.29</v>
      </c>
      <c r="S796" s="71">
        <v>22.77</v>
      </c>
      <c r="T796" s="71">
        <v>19.13</v>
      </c>
      <c r="U796" s="71">
        <v>20.68</v>
      </c>
      <c r="V796" s="71">
        <v>21.18</v>
      </c>
      <c r="W796" s="97">
        <v>20.309999999999999</v>
      </c>
      <c r="X796" s="13">
        <f t="shared" si="21"/>
        <v>-8.3082480433473993E-3</v>
      </c>
      <c r="Y796" s="13">
        <f t="shared" si="22"/>
        <v>-3.0233122875182095E-2</v>
      </c>
      <c r="Z796" s="13">
        <f t="shared" si="23"/>
        <v>4.8704144234380742E-2</v>
      </c>
      <c r="AA796" s="13">
        <f t="shared" si="24"/>
        <v>-2.936962750716321E-2</v>
      </c>
    </row>
    <row r="797" spans="1:27" ht="15" x14ac:dyDescent="0.25">
      <c r="A797" s="4" t="s">
        <v>634</v>
      </c>
      <c r="B797" s="23" t="s">
        <v>622</v>
      </c>
      <c r="C797" s="73" t="s">
        <v>635</v>
      </c>
      <c r="D797" s="71"/>
      <c r="E797" s="71"/>
      <c r="F797" s="73">
        <v>-3.1682052997034189</v>
      </c>
      <c r="G797" s="71">
        <v>182.56</v>
      </c>
      <c r="H797" s="71">
        <v>58.47</v>
      </c>
      <c r="I797" s="71">
        <v>207.2</v>
      </c>
      <c r="J797" s="71">
        <v>239.85</v>
      </c>
      <c r="K797" s="71">
        <v>201.74</v>
      </c>
      <c r="L797" s="72">
        <v>138.79</v>
      </c>
      <c r="M797" s="71">
        <v>261.87</v>
      </c>
      <c r="N797" s="71">
        <v>266.99</v>
      </c>
      <c r="O797" s="71">
        <v>247.56</v>
      </c>
      <c r="P797" s="72">
        <v>259.58</v>
      </c>
      <c r="Q797" s="71">
        <v>255</v>
      </c>
      <c r="R797" s="72">
        <v>434</v>
      </c>
      <c r="S797" s="71">
        <v>291</v>
      </c>
      <c r="T797" s="71">
        <v>269.29000000000002</v>
      </c>
      <c r="U797" s="71">
        <v>293</v>
      </c>
      <c r="V797" s="71">
        <v>283</v>
      </c>
      <c r="W797" s="97">
        <v>255</v>
      </c>
      <c r="X797" s="13">
        <f t="shared" si="21"/>
        <v>7.833298375256259E-3</v>
      </c>
      <c r="Y797" s="13">
        <f t="shared" si="22"/>
        <v>3.0417277013343513E-2</v>
      </c>
      <c r="Z797" s="13">
        <f t="shared" si="23"/>
        <v>-0.11730068593712373</v>
      </c>
      <c r="AA797" s="13">
        <f t="shared" si="24"/>
        <v>-3.1682052997034194E-2</v>
      </c>
    </row>
    <row r="798" spans="1:27" ht="15" x14ac:dyDescent="0.25">
      <c r="A798" s="4" t="s">
        <v>634</v>
      </c>
      <c r="B798" s="23" t="s">
        <v>623</v>
      </c>
      <c r="C798" s="73" t="s">
        <v>635</v>
      </c>
      <c r="D798" s="71"/>
      <c r="E798" s="71"/>
      <c r="F798" s="73">
        <v>-4.1241013999243297</v>
      </c>
      <c r="G798" s="71">
        <v>-737</v>
      </c>
      <c r="H798" s="71">
        <v>-1360</v>
      </c>
      <c r="I798" s="71">
        <v>1013</v>
      </c>
      <c r="J798" s="71">
        <v>1499</v>
      </c>
      <c r="K798" s="72">
        <v>1415</v>
      </c>
      <c r="L798" s="72">
        <v>4</v>
      </c>
      <c r="M798" s="72">
        <v>2409</v>
      </c>
      <c r="N798" s="71">
        <v>1800</v>
      </c>
      <c r="O798" s="71">
        <v>1078</v>
      </c>
      <c r="P798" s="71">
        <v>139</v>
      </c>
      <c r="Q798" s="71">
        <v>1993</v>
      </c>
      <c r="R798" s="71">
        <v>1588</v>
      </c>
      <c r="S798" s="72">
        <v>1597</v>
      </c>
      <c r="T798" s="71">
        <v>534</v>
      </c>
      <c r="U798" s="71">
        <v>1803</v>
      </c>
      <c r="V798" s="71">
        <v>1352</v>
      </c>
      <c r="W798" s="97">
        <v>1379</v>
      </c>
      <c r="X798" s="13">
        <f t="shared" si="21"/>
        <v>7.4290013165318802E-2</v>
      </c>
      <c r="Y798" s="13">
        <f t="shared" si="22"/>
        <v>-3.3263305322128844E-2</v>
      </c>
      <c r="Z798" s="13">
        <f t="shared" si="23"/>
        <v>-4.2738138355668198E-2</v>
      </c>
      <c r="AA798" s="13">
        <f t="shared" si="24"/>
        <v>-4.1241013999243292E-2</v>
      </c>
    </row>
    <row r="799" spans="1:27" ht="15" x14ac:dyDescent="0.25">
      <c r="A799" s="4" t="s">
        <v>634</v>
      </c>
      <c r="B799" s="23" t="s">
        <v>624</v>
      </c>
      <c r="C799" s="73" t="s">
        <v>635</v>
      </c>
      <c r="D799" s="71"/>
      <c r="E799" s="71"/>
      <c r="F799" s="73">
        <v>-4.8190842138968959</v>
      </c>
      <c r="G799" s="71">
        <v>80.510000000000005</v>
      </c>
      <c r="H799" s="71">
        <v>50.99</v>
      </c>
      <c r="I799" s="71">
        <v>60.99</v>
      </c>
      <c r="J799" s="71">
        <v>57.18</v>
      </c>
      <c r="K799" s="71">
        <v>46.77</v>
      </c>
      <c r="L799" s="71">
        <v>44.9</v>
      </c>
      <c r="M799" s="71">
        <v>40.840000000000003</v>
      </c>
      <c r="N799" s="71">
        <v>40.869999999999997</v>
      </c>
      <c r="O799" s="71">
        <v>37.869999999999997</v>
      </c>
      <c r="P799" s="71">
        <v>40.270000000000003</v>
      </c>
      <c r="Q799" s="71">
        <v>38.4</v>
      </c>
      <c r="R799" s="71">
        <v>44.87</v>
      </c>
      <c r="S799" s="71">
        <v>49.34</v>
      </c>
      <c r="T799" s="71">
        <v>45.81</v>
      </c>
      <c r="U799" s="71">
        <v>43.33</v>
      </c>
      <c r="V799" s="71">
        <v>48.9</v>
      </c>
      <c r="W799" s="97">
        <v>40.31</v>
      </c>
      <c r="X799" s="13">
        <f t="shared" si="21"/>
        <v>3.2045349375289245E-2</v>
      </c>
      <c r="Y799" s="13">
        <f t="shared" si="22"/>
        <v>2.7631431453872812E-2</v>
      </c>
      <c r="Z799" s="13">
        <f t="shared" si="23"/>
        <v>2.1979820016362117E-2</v>
      </c>
      <c r="AA799" s="13">
        <f t="shared" si="24"/>
        <v>-4.819084213896907E-2</v>
      </c>
    </row>
    <row r="800" spans="1:27" ht="15" x14ac:dyDescent="0.25">
      <c r="A800" s="4" t="s">
        <v>634</v>
      </c>
      <c r="B800" s="23" t="s">
        <v>625</v>
      </c>
      <c r="C800" s="73" t="s">
        <v>635</v>
      </c>
      <c r="D800" s="71"/>
      <c r="E800" s="71"/>
      <c r="F800" s="73">
        <v>-5.3503693351966479</v>
      </c>
      <c r="G800" s="71">
        <v>1691</v>
      </c>
      <c r="H800" s="71">
        <v>1708</v>
      </c>
      <c r="I800" s="71">
        <v>177</v>
      </c>
      <c r="J800" s="71">
        <v>1503</v>
      </c>
      <c r="K800" s="72">
        <v>3055</v>
      </c>
      <c r="L800" s="71">
        <v>942</v>
      </c>
      <c r="M800" s="72">
        <v>1169</v>
      </c>
      <c r="N800" s="71">
        <v>1152</v>
      </c>
      <c r="O800" s="71">
        <v>0</v>
      </c>
      <c r="P800" s="71">
        <v>1263</v>
      </c>
      <c r="Q800" s="71">
        <v>511</v>
      </c>
      <c r="R800" s="71">
        <v>1349</v>
      </c>
      <c r="S800" s="72">
        <v>1062</v>
      </c>
      <c r="T800" s="71">
        <v>1231</v>
      </c>
      <c r="U800" s="72">
        <v>1128</v>
      </c>
      <c r="V800" s="71">
        <v>1588</v>
      </c>
      <c r="W800" s="97">
        <v>794</v>
      </c>
      <c r="X800" s="13">
        <f t="shared" si="21"/>
        <v>-7.6463560334527614E-3</v>
      </c>
      <c r="Y800" s="13">
        <f t="shared" si="22"/>
        <v>0.14856730074644831</v>
      </c>
      <c r="Z800" s="13">
        <f t="shared" si="23"/>
        <v>5.0104821802934962E-2</v>
      </c>
      <c r="AA800" s="13">
        <f t="shared" si="24"/>
        <v>-5.3503693351966475E-2</v>
      </c>
    </row>
    <row r="801" spans="1:27" ht="15" x14ac:dyDescent="0.25">
      <c r="A801" s="4" t="s">
        <v>634</v>
      </c>
      <c r="B801" s="23" t="s">
        <v>626</v>
      </c>
      <c r="C801" s="73" t="s">
        <v>635</v>
      </c>
      <c r="D801" s="71"/>
      <c r="E801" s="71"/>
      <c r="F801" s="73">
        <v>-5.9317129629629646</v>
      </c>
      <c r="G801" s="71">
        <v>2313</v>
      </c>
      <c r="H801" s="71">
        <v>2809</v>
      </c>
      <c r="I801" s="71">
        <v>1734</v>
      </c>
      <c r="J801" s="71">
        <v>962</v>
      </c>
      <c r="K801" s="71">
        <v>1550</v>
      </c>
      <c r="L801" s="71">
        <v>1601</v>
      </c>
      <c r="M801" s="71">
        <v>1410</v>
      </c>
      <c r="N801" s="71">
        <v>1492</v>
      </c>
      <c r="O801" s="71">
        <v>1746</v>
      </c>
      <c r="P801" s="71">
        <v>1634</v>
      </c>
      <c r="Q801" s="72">
        <v>2114</v>
      </c>
      <c r="R801" s="71">
        <v>1972</v>
      </c>
      <c r="S801" s="71">
        <v>1221</v>
      </c>
      <c r="T801" s="71">
        <v>1303</v>
      </c>
      <c r="U801" s="71">
        <v>2432</v>
      </c>
      <c r="V801" s="71">
        <v>1956</v>
      </c>
      <c r="W801" s="97">
        <v>811</v>
      </c>
      <c r="X801" s="13">
        <f t="shared" si="21"/>
        <v>-4.7687653075925707E-2</v>
      </c>
      <c r="Y801" s="13">
        <f t="shared" si="22"/>
        <v>4.8108925869894126E-2</v>
      </c>
      <c r="Z801" s="13">
        <f t="shared" si="23"/>
        <v>-2.3094688221708681E-3</v>
      </c>
      <c r="AA801" s="13">
        <f t="shared" si="24"/>
        <v>-5.931712962962965E-2</v>
      </c>
    </row>
    <row r="802" spans="1:27" ht="15" x14ac:dyDescent="0.25">
      <c r="A802" s="4" t="s">
        <v>634</v>
      </c>
      <c r="B802" s="23" t="s">
        <v>627</v>
      </c>
      <c r="C802" s="73" t="s">
        <v>635</v>
      </c>
      <c r="D802" s="71"/>
      <c r="E802" s="71"/>
      <c r="F802" s="73">
        <v>-6.6309931506849384</v>
      </c>
      <c r="G802" s="71">
        <v>1495</v>
      </c>
      <c r="H802" s="71">
        <v>1898</v>
      </c>
      <c r="I802" s="71">
        <v>2190</v>
      </c>
      <c r="J802" s="71">
        <v>2101</v>
      </c>
      <c r="K802" s="71">
        <v>1268</v>
      </c>
      <c r="L802" s="71">
        <v>1243</v>
      </c>
      <c r="M802" s="71">
        <v>1763</v>
      </c>
      <c r="N802" s="71">
        <v>1980</v>
      </c>
      <c r="O802" s="71">
        <v>1202</v>
      </c>
      <c r="P802" s="71">
        <v>1490</v>
      </c>
      <c r="Q802" s="71">
        <v>1760</v>
      </c>
      <c r="R802" s="71">
        <v>1664</v>
      </c>
      <c r="S802" s="71">
        <v>1069</v>
      </c>
      <c r="T802" s="71">
        <v>1052</v>
      </c>
      <c r="U802" s="71">
        <v>1344</v>
      </c>
      <c r="V802" s="71">
        <v>1207</v>
      </c>
      <c r="W802" s="97">
        <v>759.2</v>
      </c>
      <c r="X802" s="13">
        <f t="shared" si="21"/>
        <v>-7.3207421026241004E-2</v>
      </c>
      <c r="Y802" s="13">
        <f t="shared" si="22"/>
        <v>-7.5022542831379657E-2</v>
      </c>
      <c r="Z802" s="13">
        <f t="shared" si="23"/>
        <v>-8.9101189315656026E-2</v>
      </c>
      <c r="AA802" s="13">
        <f t="shared" si="24"/>
        <v>-6.6309931506849384E-2</v>
      </c>
    </row>
    <row r="803" spans="1:27" ht="15" x14ac:dyDescent="0.25">
      <c r="A803" s="4" t="s">
        <v>634</v>
      </c>
      <c r="B803" s="23" t="s">
        <v>628</v>
      </c>
      <c r="C803" s="73" t="s">
        <v>635</v>
      </c>
      <c r="D803" s="71"/>
      <c r="E803" s="71"/>
      <c r="F803" s="73">
        <v>-7.043320472843229</v>
      </c>
      <c r="G803" s="71">
        <v>59.39</v>
      </c>
      <c r="H803" s="71">
        <v>79.319999999999993</v>
      </c>
      <c r="I803" s="71">
        <v>34.61</v>
      </c>
      <c r="J803" s="71">
        <v>97.56</v>
      </c>
      <c r="K803" s="72">
        <v>95.07</v>
      </c>
      <c r="L803" s="71">
        <v>56.23</v>
      </c>
      <c r="M803" s="72">
        <v>68.45</v>
      </c>
      <c r="N803" s="71">
        <v>56.49</v>
      </c>
      <c r="O803" s="71">
        <v>19.43</v>
      </c>
      <c r="P803" s="71">
        <v>45.01</v>
      </c>
      <c r="Q803" s="71">
        <v>46.75</v>
      </c>
      <c r="R803" s="71">
        <v>25.5</v>
      </c>
      <c r="S803" s="72">
        <v>54.05</v>
      </c>
      <c r="T803" s="71">
        <v>38.200000000000003</v>
      </c>
      <c r="U803" s="72">
        <v>63.64</v>
      </c>
      <c r="V803" s="71">
        <v>-723.52</v>
      </c>
      <c r="W803" s="97">
        <v>94.03</v>
      </c>
      <c r="X803" s="13">
        <f t="shared" si="21"/>
        <v>-3.9752495476037653E-2</v>
      </c>
      <c r="Y803" s="13">
        <f t="shared" si="22"/>
        <v>0.10267477203647402</v>
      </c>
      <c r="Z803" s="13">
        <f t="shared" si="23"/>
        <v>-4.1293345829428301</v>
      </c>
      <c r="AA803" s="13">
        <f t="shared" si="24"/>
        <v>-7.0433204728432286E-2</v>
      </c>
    </row>
    <row r="804" spans="1:27" ht="15" x14ac:dyDescent="0.25">
      <c r="A804" s="4" t="s">
        <v>634</v>
      </c>
      <c r="B804" s="23" t="s">
        <v>629</v>
      </c>
      <c r="C804" s="73" t="s">
        <v>635</v>
      </c>
      <c r="D804" s="71"/>
      <c r="E804" s="71"/>
      <c r="F804" s="73">
        <v>-7.3949579831932732</v>
      </c>
      <c r="G804" s="71">
        <v>64</v>
      </c>
      <c r="H804" s="71">
        <v>-220</v>
      </c>
      <c r="I804" s="71">
        <v>387</v>
      </c>
      <c r="J804" s="71">
        <v>480</v>
      </c>
      <c r="K804" s="71">
        <v>135</v>
      </c>
      <c r="L804" s="72">
        <v>-107</v>
      </c>
      <c r="M804" s="72">
        <v>520</v>
      </c>
      <c r="N804" s="71">
        <v>328</v>
      </c>
      <c r="O804" s="71">
        <v>77</v>
      </c>
      <c r="P804" s="71">
        <v>-145</v>
      </c>
      <c r="Q804" s="71">
        <v>464</v>
      </c>
      <c r="R804" s="72">
        <v>412</v>
      </c>
      <c r="S804" s="72">
        <v>158</v>
      </c>
      <c r="T804" s="71">
        <v>-110</v>
      </c>
      <c r="U804" s="71">
        <v>334</v>
      </c>
      <c r="V804" s="71">
        <v>213</v>
      </c>
      <c r="W804" s="97">
        <v>114</v>
      </c>
      <c r="X804" s="13">
        <f t="shared" si="21"/>
        <v>3.937007874015741E-2</v>
      </c>
      <c r="Y804" s="13">
        <f t="shared" si="22"/>
        <v>-0.14069264069264065</v>
      </c>
      <c r="Z804" s="13">
        <f t="shared" si="23"/>
        <v>-0.25062972292191432</v>
      </c>
      <c r="AA804" s="13">
        <f t="shared" si="24"/>
        <v>-7.3949579831932732E-2</v>
      </c>
    </row>
    <row r="805" spans="1:27" ht="15" x14ac:dyDescent="0.25">
      <c r="A805" s="4" t="s">
        <v>634</v>
      </c>
      <c r="B805" s="23" t="s">
        <v>630</v>
      </c>
      <c r="C805" s="73" t="s">
        <v>635</v>
      </c>
      <c r="D805" s="71"/>
      <c r="E805" s="71"/>
      <c r="F805" s="73">
        <v>-13.80597014925373</v>
      </c>
      <c r="G805" s="71">
        <v>-0.62</v>
      </c>
      <c r="H805" s="71">
        <v>-0.48</v>
      </c>
      <c r="I805" s="71">
        <v>-0.66</v>
      </c>
      <c r="J805" s="71">
        <v>-0.59</v>
      </c>
      <c r="K805" s="71">
        <v>-0.74</v>
      </c>
      <c r="L805" s="72">
        <v>-1.06</v>
      </c>
      <c r="M805" s="71">
        <v>-0.91</v>
      </c>
      <c r="N805" s="71">
        <v>-0.65</v>
      </c>
      <c r="O805" s="71">
        <v>-0.91</v>
      </c>
      <c r="P805" s="71">
        <v>-0.66</v>
      </c>
      <c r="Q805" s="71">
        <v>-0.83</v>
      </c>
      <c r="R805" s="72">
        <v>-1.24</v>
      </c>
      <c r="S805" s="71">
        <v>-0.55000000000000004</v>
      </c>
      <c r="T805" s="71">
        <v>-0.52</v>
      </c>
      <c r="U805" s="71">
        <v>-0.69</v>
      </c>
      <c r="V805" s="71">
        <v>-0.92</v>
      </c>
      <c r="W805" s="97">
        <v>-0.18</v>
      </c>
      <c r="X805" s="13">
        <f t="shared" si="21"/>
        <v>-4.2682926829268331E-2</v>
      </c>
      <c r="Y805" s="13">
        <f t="shared" si="22"/>
        <v>-4.4585987261146487E-2</v>
      </c>
      <c r="Z805" s="13">
        <f t="shared" si="23"/>
        <v>-0.10666666666666658</v>
      </c>
      <c r="AA805" s="13">
        <f t="shared" si="24"/>
        <v>-0.13805970149253732</v>
      </c>
    </row>
    <row r="806" spans="1:27" ht="15" x14ac:dyDescent="0.25">
      <c r="A806" s="4" t="s">
        <v>634</v>
      </c>
      <c r="B806" s="23" t="s">
        <v>631</v>
      </c>
      <c r="C806" s="73" t="s">
        <v>635</v>
      </c>
      <c r="D806" s="71"/>
      <c r="E806" s="71"/>
      <c r="F806" s="73">
        <v>-13.96407185628742</v>
      </c>
      <c r="G806" s="71">
        <v>7.4</v>
      </c>
      <c r="H806" s="71">
        <v>6.71</v>
      </c>
      <c r="I806" s="71">
        <v>7</v>
      </c>
      <c r="J806" s="71">
        <v>7.52</v>
      </c>
      <c r="K806" s="71">
        <v>5.85</v>
      </c>
      <c r="L806" s="71">
        <v>7.69</v>
      </c>
      <c r="M806" s="71">
        <v>5.53</v>
      </c>
      <c r="N806" s="71">
        <v>5.07</v>
      </c>
      <c r="O806" s="71">
        <v>3.51</v>
      </c>
      <c r="P806" s="71">
        <v>6.04</v>
      </c>
      <c r="Q806" s="72">
        <v>8.18</v>
      </c>
      <c r="R806" s="72">
        <v>9.16</v>
      </c>
      <c r="S806" s="72">
        <v>9.1</v>
      </c>
      <c r="T806" s="72">
        <v>10.1</v>
      </c>
      <c r="U806" s="71">
        <v>10.74</v>
      </c>
      <c r="V806" s="71">
        <v>11.81</v>
      </c>
      <c r="W806" s="97">
        <v>3.27</v>
      </c>
      <c r="X806" s="13">
        <f t="shared" si="21"/>
        <v>0.125</v>
      </c>
      <c r="Y806" s="13">
        <f t="shared" si="22"/>
        <v>7.0060207991242462E-2</v>
      </c>
      <c r="Z806" s="13">
        <f t="shared" si="23"/>
        <v>6.7774936061381075E-2</v>
      </c>
      <c r="AA806" s="13">
        <f t="shared" si="24"/>
        <v>-0.13964071856287419</v>
      </c>
    </row>
    <row r="807" spans="1:27" ht="15" x14ac:dyDescent="0.25">
      <c r="A807" s="4" t="s">
        <v>634</v>
      </c>
      <c r="B807" s="23" t="s">
        <v>632</v>
      </c>
      <c r="C807" s="73" t="s">
        <v>635</v>
      </c>
      <c r="D807" s="71"/>
      <c r="E807" s="71"/>
      <c r="F807" s="73">
        <v>-14.210178453403829</v>
      </c>
      <c r="G807" s="71">
        <v>734</v>
      </c>
      <c r="H807" s="71">
        <v>898</v>
      </c>
      <c r="I807" s="71">
        <v>736</v>
      </c>
      <c r="J807" s="71">
        <v>-24</v>
      </c>
      <c r="K807" s="71">
        <v>-104</v>
      </c>
      <c r="L807" s="71">
        <v>6</v>
      </c>
      <c r="M807" s="71">
        <v>-52</v>
      </c>
      <c r="N807" s="72">
        <v>-99</v>
      </c>
      <c r="O807" s="71">
        <v>54</v>
      </c>
      <c r="P807" s="72">
        <v>-32</v>
      </c>
      <c r="Q807" s="71">
        <v>140</v>
      </c>
      <c r="R807" s="72">
        <v>266</v>
      </c>
      <c r="S807" s="72">
        <v>591</v>
      </c>
      <c r="T807" s="72">
        <v>706</v>
      </c>
      <c r="U807" s="71">
        <v>133</v>
      </c>
      <c r="V807" s="71">
        <v>83</v>
      </c>
      <c r="W807" s="97">
        <v>376</v>
      </c>
      <c r="X807" s="13">
        <f t="shared" si="21"/>
        <v>0.76476683937823831</v>
      </c>
      <c r="Y807" s="13">
        <f t="shared" si="22"/>
        <v>-4.1103934233704953E-3</v>
      </c>
      <c r="Z807" s="13">
        <f t="shared" si="23"/>
        <v>-0.10790094339622647</v>
      </c>
      <c r="AA807" s="13">
        <f t="shared" si="24"/>
        <v>-0.14210178453403832</v>
      </c>
    </row>
    <row r="808" spans="1:27" ht="15" x14ac:dyDescent="0.25">
      <c r="A808" s="4" t="s">
        <v>634</v>
      </c>
      <c r="B808" s="23" t="s">
        <v>633</v>
      </c>
      <c r="C808" s="73" t="s">
        <v>635</v>
      </c>
      <c r="D808" s="71"/>
      <c r="E808" s="71"/>
      <c r="F808" s="73">
        <v>-19.584245076586431</v>
      </c>
      <c r="G808" s="71">
        <v>84.48</v>
      </c>
      <c r="H808" s="71">
        <v>18.13</v>
      </c>
      <c r="I808" s="71">
        <v>10.59</v>
      </c>
      <c r="J808" s="71">
        <v>22.43</v>
      </c>
      <c r="K808" s="71">
        <v>27.45</v>
      </c>
      <c r="L808" s="71">
        <v>25.24</v>
      </c>
      <c r="M808" s="71">
        <v>8.92</v>
      </c>
      <c r="N808" s="71">
        <v>28.08</v>
      </c>
      <c r="O808" s="71">
        <v>-20.91</v>
      </c>
      <c r="P808" s="71">
        <v>13.46</v>
      </c>
      <c r="Q808" s="71">
        <v>6.32</v>
      </c>
      <c r="R808" s="71">
        <v>-61.89</v>
      </c>
      <c r="S808" s="71">
        <v>18.02</v>
      </c>
      <c r="T808" s="71">
        <v>15.43</v>
      </c>
      <c r="U808" s="71">
        <v>29.8</v>
      </c>
      <c r="V808" s="72">
        <v>19.010000000000002</v>
      </c>
      <c r="W808" s="97">
        <v>1.91</v>
      </c>
      <c r="X808" s="13">
        <f t="shared" si="21"/>
        <v>-8.177667081776685E-2</v>
      </c>
      <c r="Y808" s="13">
        <f t="shared" si="22"/>
        <v>-1.0614828209764917</v>
      </c>
      <c r="Z808" s="13">
        <f t="shared" si="23"/>
        <v>59.485294117647243</v>
      </c>
      <c r="AA808" s="13">
        <f t="shared" si="24"/>
        <v>-0.19584245076586426</v>
      </c>
    </row>
  </sheetData>
  <autoFilter ref="B2:W597" xr:uid="{00000000-0001-0000-01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596">
      <sortCondition descending="1" ref="C2:C597"/>
    </sortState>
  </autoFilter>
  <phoneticPr fontId="5" type="noConversion"/>
  <conditionalFormatting sqref="B598:D656 F598:W656">
    <cfRule type="expression" dxfId="6" priority="3">
      <formula>"ISODD(ROW(B4))"</formula>
    </cfRule>
  </conditionalFormatting>
  <conditionalFormatting sqref="X353:AA484">
    <cfRule type="cellIs" dxfId="5" priority="1" operator="greaterThan">
      <formula>0.1</formula>
    </cfRule>
  </conditionalFormatting>
  <conditionalFormatting sqref="X485:AA808">
    <cfRule type="cellIs" dxfId="4" priority="4" operator="greaterThan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FC14-9024-465B-B131-F2208AAB7AD8}">
  <dimension ref="B2:Y16"/>
  <sheetViews>
    <sheetView workbookViewId="0">
      <selection activeCell="B5" sqref="B5"/>
    </sheetView>
  </sheetViews>
  <sheetFormatPr defaultRowHeight="16.5" x14ac:dyDescent="0.3"/>
  <cols>
    <col min="2" max="2" width="19.75" customWidth="1"/>
    <col min="3" max="3" width="10.125" hidden="1" customWidth="1"/>
    <col min="4" max="7" width="9.125" hidden="1" customWidth="1"/>
    <col min="8" max="10" width="9.125" bestFit="1" customWidth="1"/>
    <col min="11" max="11" width="9.375" bestFit="1" customWidth="1"/>
    <col min="12" max="12" width="9.25" bestFit="1" customWidth="1"/>
    <col min="13" max="13" width="9.375" bestFit="1" customWidth="1"/>
    <col min="14" max="16" width="9.125" bestFit="1" customWidth="1"/>
    <col min="17" max="17" width="9.375" bestFit="1" customWidth="1"/>
    <col min="18" max="18" width="9.25" bestFit="1" customWidth="1"/>
    <col min="19" max="19" width="9.375" bestFit="1" customWidth="1"/>
  </cols>
  <sheetData>
    <row r="2" spans="2:25" x14ac:dyDescent="0.3">
      <c r="B2" s="23" t="s">
        <v>416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25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25" x14ac:dyDescent="0.3">
      <c r="B4" s="43" t="s">
        <v>977</v>
      </c>
      <c r="C4" s="22">
        <v>6</v>
      </c>
      <c r="D4" s="22">
        <v>7</v>
      </c>
      <c r="E4" s="22">
        <v>8</v>
      </c>
      <c r="F4" s="22">
        <v>9</v>
      </c>
      <c r="G4" s="22">
        <v>10</v>
      </c>
      <c r="H4" s="22">
        <v>11</v>
      </c>
      <c r="I4" s="22">
        <v>12</v>
      </c>
      <c r="J4" s="22">
        <v>13</v>
      </c>
      <c r="K4" s="22">
        <v>14</v>
      </c>
      <c r="L4" s="22">
        <v>15</v>
      </c>
      <c r="M4" s="22">
        <v>16</v>
      </c>
      <c r="N4" s="22">
        <v>17</v>
      </c>
      <c r="O4" s="22">
        <v>18</v>
      </c>
      <c r="P4" s="22">
        <v>19</v>
      </c>
      <c r="Q4" s="22">
        <v>20</v>
      </c>
      <c r="R4" s="22">
        <v>21</v>
      </c>
      <c r="S4" s="22">
        <v>22</v>
      </c>
      <c r="Y4" s="20"/>
    </row>
    <row r="5" spans="2:25" x14ac:dyDescent="0.3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Y5" s="20"/>
    </row>
    <row r="6" spans="2:25" x14ac:dyDescent="0.3">
      <c r="B6" s="42"/>
      <c r="C6" s="24" t="s">
        <v>391</v>
      </c>
      <c r="D6" s="24" t="s">
        <v>392</v>
      </c>
      <c r="E6" s="24" t="s">
        <v>393</v>
      </c>
      <c r="F6" s="24" t="s">
        <v>394</v>
      </c>
      <c r="G6" s="24" t="s">
        <v>395</v>
      </c>
      <c r="H6" s="24" t="s">
        <v>10</v>
      </c>
      <c r="I6" s="24" t="s">
        <v>396</v>
      </c>
      <c r="J6" s="24" t="s">
        <v>397</v>
      </c>
      <c r="K6" s="24" t="s">
        <v>398</v>
      </c>
      <c r="L6" s="24" t="s">
        <v>14</v>
      </c>
      <c r="M6" s="24" t="s">
        <v>15</v>
      </c>
      <c r="N6" s="24" t="s">
        <v>16</v>
      </c>
      <c r="O6" s="24" t="s">
        <v>17</v>
      </c>
      <c r="P6" s="24" t="s">
        <v>18</v>
      </c>
      <c r="Q6" s="24" t="s">
        <v>19</v>
      </c>
      <c r="R6" s="24" t="s">
        <v>20</v>
      </c>
      <c r="S6" s="25" t="s">
        <v>21</v>
      </c>
      <c r="T6" s="24" t="s">
        <v>407</v>
      </c>
      <c r="U6" s="24" t="s">
        <v>408</v>
      </c>
      <c r="V6" s="24" t="s">
        <v>409</v>
      </c>
      <c r="W6" s="24" t="s">
        <v>410</v>
      </c>
      <c r="Y6" s="20"/>
    </row>
    <row r="7" spans="2:25" x14ac:dyDescent="0.3">
      <c r="B7" s="41" t="s">
        <v>399</v>
      </c>
      <c r="C7" s="26">
        <f>VLOOKUP($B$4,Revenue!$B:$W,C4,FALSE)</f>
        <v>82885</v>
      </c>
      <c r="D7" s="26">
        <f>VLOOKUP($B$4,Revenue!$B:$W,D4,FALSE)</f>
        <v>87962</v>
      </c>
      <c r="E7" s="26">
        <f>VLOOKUP($B$4,Revenue!$B:$W,E4,FALSE)</f>
        <v>111993</v>
      </c>
      <c r="F7" s="26">
        <f>VLOOKUP($B$4,Revenue!$B:$W,F4,FALSE)</f>
        <v>107438</v>
      </c>
      <c r="G7" s="26">
        <f>VLOOKUP($B$4,Revenue!$B:$W,G4,FALSE)</f>
        <v>93790</v>
      </c>
      <c r="H7" s="26">
        <f>VLOOKUP($B$4,Revenue!$B:$W,H4,FALSE)</f>
        <v>84183</v>
      </c>
      <c r="I7" s="26">
        <f>VLOOKUP($B$4,Revenue!$B:$W,I4,FALSE)</f>
        <v>80256</v>
      </c>
      <c r="J7" s="26">
        <f>VLOOKUP($B$4,Revenue!$B:$W,J4,FALSE)</f>
        <v>88570</v>
      </c>
      <c r="K7" s="26">
        <f>VLOOKUP($B$4,Revenue!$B:$W,K4,FALSE)</f>
        <v>81688</v>
      </c>
      <c r="L7" s="26">
        <f>VLOOKUP($B$4,Revenue!$B:$W,L4,FALSE)</f>
        <v>80411</v>
      </c>
      <c r="M7" s="26">
        <f>VLOOKUP($B$4,Revenue!$B:$W,M4,FALSE)</f>
        <v>89986</v>
      </c>
      <c r="N7" s="26">
        <f>VLOOKUP($B$4,Revenue!$B:$W,N4,FALSE)</f>
        <v>87792</v>
      </c>
      <c r="O7" s="26">
        <f>VLOOKUP($B$4,Revenue!$B:$W,O4,FALSE)</f>
        <v>81058</v>
      </c>
      <c r="P7" s="26">
        <f>VLOOKUP($B$4,Revenue!$B:$W,P4,FALSE)</f>
        <v>81058</v>
      </c>
      <c r="Q7" s="26">
        <f>VLOOKUP($B$4,Revenue!$B:$W,Q4,FALSE)</f>
        <v>79477</v>
      </c>
      <c r="R7" s="26">
        <f>VLOOKUP($B$4,Revenue!$B:$W,R4,FALSE)</f>
        <v>83331</v>
      </c>
      <c r="S7" s="36">
        <f>VLOOKUP($B$4,Revenue!$B:$W,S4,FALSE)</f>
        <v>80039</v>
      </c>
      <c r="T7" s="26"/>
      <c r="U7" s="26"/>
      <c r="V7" s="26"/>
      <c r="W7" s="26"/>
      <c r="Y7" s="20"/>
    </row>
    <row r="8" spans="2:25" x14ac:dyDescent="0.3">
      <c r="B8" s="41" t="s">
        <v>400</v>
      </c>
      <c r="C8" s="26">
        <f>VLOOKUP($B$4,'Operating Income'!$B:$W,C4,FALSE)</f>
        <v>11128</v>
      </c>
      <c r="D8" s="26">
        <f>VLOOKUP($B$4,'Operating Income'!$B:$W,D4,FALSE)</f>
        <v>9181</v>
      </c>
      <c r="E8" s="26">
        <f>VLOOKUP($B$4,'Operating Income'!$B:$W,E4,FALSE)</f>
        <v>21439</v>
      </c>
      <c r="F8" s="26">
        <f>VLOOKUP($B$4,'Operating Income'!$B:$W,F4,FALSE)</f>
        <v>21696</v>
      </c>
      <c r="G8" s="26">
        <f>VLOOKUP($B$4,'Operating Income'!$B:$W,G4,FALSE)</f>
        <v>13738</v>
      </c>
      <c r="H8" s="26">
        <f>VLOOKUP($B$4,'Operating Income'!$B:$W,H4,FALSE)</f>
        <v>14581</v>
      </c>
      <c r="I8" s="26">
        <f>VLOOKUP($B$4,'Operating Income'!$B:$W,I4,FALSE)</f>
        <v>9247</v>
      </c>
      <c r="J8" s="26">
        <f>VLOOKUP($B$4,'Operating Income'!$B:$W,J4,FALSE)</f>
        <v>11678</v>
      </c>
      <c r="K8" s="26">
        <f>VLOOKUP($B$4,'Operating Income'!$B:$W,K4,FALSE)</f>
        <v>11541</v>
      </c>
      <c r="L8" s="26">
        <f>VLOOKUP($B$4,'Operating Income'!$B:$W,L4,FALSE)</f>
        <v>9918</v>
      </c>
      <c r="M8" s="26">
        <f>VLOOKUP($B$4,'Operating Income'!$B:$W,M4,FALSE)</f>
        <v>10862</v>
      </c>
      <c r="N8" s="26">
        <f>VLOOKUP($B$4,'Operating Income'!$B:$W,N4,FALSE)</f>
        <v>11009</v>
      </c>
      <c r="O8" s="26">
        <f>VLOOKUP($B$4,'Operating Income'!$B:$W,O4,FALSE)</f>
        <v>8350</v>
      </c>
      <c r="P8" s="26">
        <f>VLOOKUP($B$4,'Operating Income'!$B:$W,P4,FALSE)</f>
        <v>9733</v>
      </c>
      <c r="Q8" s="26">
        <f>VLOOKUP($B$4,'Operating Income'!$B:$W,Q4,FALSE)</f>
        <v>8821</v>
      </c>
      <c r="R8" s="26">
        <f>VLOOKUP($B$4,'Operating Income'!$B:$W,R4,FALSE)</f>
        <v>9214</v>
      </c>
      <c r="S8" s="36">
        <f>VLOOKUP($B$4,'Operating Income'!$B:$W,S4,FALSE)</f>
        <v>7780</v>
      </c>
      <c r="T8" s="26"/>
      <c r="U8" s="26"/>
      <c r="V8" s="26"/>
      <c r="W8" s="26"/>
      <c r="Y8" s="20"/>
    </row>
    <row r="9" spans="2:25" x14ac:dyDescent="0.3">
      <c r="B9" s="41" t="s">
        <v>401</v>
      </c>
      <c r="C9" s="26">
        <f>AVERAGE(C8:C8)</f>
        <v>11128</v>
      </c>
      <c r="D9" s="26">
        <f>AVERAGE(C8:D8)</f>
        <v>10154.5</v>
      </c>
      <c r="E9" s="26">
        <f>AVERAGE(C8:E8)</f>
        <v>13916</v>
      </c>
      <c r="F9" s="26">
        <f t="shared" ref="F9:R9" si="0">AVERAGE(C8:F8)</f>
        <v>15861</v>
      </c>
      <c r="G9" s="26">
        <f t="shared" si="0"/>
        <v>16513.5</v>
      </c>
      <c r="H9" s="26">
        <f t="shared" si="0"/>
        <v>17863.5</v>
      </c>
      <c r="I9" s="26">
        <f t="shared" si="0"/>
        <v>14815.5</v>
      </c>
      <c r="J9" s="26">
        <f>AVERAGE(G8:J8)</f>
        <v>12311</v>
      </c>
      <c r="K9" s="26">
        <f t="shared" si="0"/>
        <v>11761.75</v>
      </c>
      <c r="L9" s="26">
        <f t="shared" si="0"/>
        <v>10596</v>
      </c>
      <c r="M9" s="26">
        <f t="shared" si="0"/>
        <v>10999.75</v>
      </c>
      <c r="N9" s="26">
        <f t="shared" si="0"/>
        <v>10832.5</v>
      </c>
      <c r="O9" s="26">
        <f t="shared" si="0"/>
        <v>10034.75</v>
      </c>
      <c r="P9" s="26">
        <f t="shared" si="0"/>
        <v>9988.5</v>
      </c>
      <c r="Q9" s="26">
        <f t="shared" si="0"/>
        <v>9478.25</v>
      </c>
      <c r="R9" s="26">
        <f t="shared" si="0"/>
        <v>9029.5</v>
      </c>
      <c r="S9" s="36">
        <f>AVERAGE(P8:S8)</f>
        <v>8887</v>
      </c>
      <c r="T9" s="26"/>
      <c r="U9" s="26"/>
      <c r="V9" s="26"/>
      <c r="W9" s="26"/>
      <c r="Y9" s="20"/>
    </row>
    <row r="10" spans="2:25" x14ac:dyDescent="0.3">
      <c r="B10" s="41" t="s">
        <v>402</v>
      </c>
      <c r="C10" s="26">
        <f>SUM(C8:C8)</f>
        <v>11128</v>
      </c>
      <c r="D10" s="26">
        <f>SUM(C8:D8)</f>
        <v>20309</v>
      </c>
      <c r="E10" s="26">
        <f>SUM(C8:E8)</f>
        <v>41748</v>
      </c>
      <c r="F10" s="26">
        <f t="shared" ref="F10:S10" si="1">SUM(C8:F8)</f>
        <v>63444</v>
      </c>
      <c r="G10" s="26">
        <f t="shared" si="1"/>
        <v>66054</v>
      </c>
      <c r="H10" s="26">
        <f t="shared" si="1"/>
        <v>71454</v>
      </c>
      <c r="I10" s="26">
        <f t="shared" si="1"/>
        <v>59262</v>
      </c>
      <c r="J10" s="26">
        <f t="shared" si="1"/>
        <v>49244</v>
      </c>
      <c r="K10" s="26">
        <f t="shared" si="1"/>
        <v>47047</v>
      </c>
      <c r="L10" s="26">
        <f t="shared" si="1"/>
        <v>42384</v>
      </c>
      <c r="M10" s="26">
        <f t="shared" si="1"/>
        <v>43999</v>
      </c>
      <c r="N10" s="26">
        <f t="shared" si="1"/>
        <v>43330</v>
      </c>
      <c r="O10" s="26">
        <f t="shared" si="1"/>
        <v>40139</v>
      </c>
      <c r="P10" s="26">
        <f t="shared" si="1"/>
        <v>39954</v>
      </c>
      <c r="Q10" s="26">
        <f t="shared" si="1"/>
        <v>37913</v>
      </c>
      <c r="R10" s="26">
        <f t="shared" si="1"/>
        <v>36118</v>
      </c>
      <c r="S10" s="36">
        <f t="shared" si="1"/>
        <v>35548</v>
      </c>
      <c r="T10" s="26"/>
      <c r="U10" s="26"/>
      <c r="V10" s="26"/>
      <c r="W10" s="26"/>
      <c r="Y10" s="20"/>
    </row>
    <row r="11" spans="2:25" x14ac:dyDescent="0.3">
      <c r="B11" s="41" t="s">
        <v>403</v>
      </c>
      <c r="C11" s="27"/>
      <c r="D11" s="27">
        <f t="shared" ref="D11:S11" si="2">D9/C9-1</f>
        <v>-8.7482027318475875E-2</v>
      </c>
      <c r="E11" s="27">
        <f t="shared" si="2"/>
        <v>0.3704269043281303</v>
      </c>
      <c r="F11" s="27">
        <f t="shared" si="2"/>
        <v>0.13976717447542408</v>
      </c>
      <c r="G11" s="27">
        <f t="shared" si="2"/>
        <v>4.1138641951957711E-2</v>
      </c>
      <c r="H11" s="27">
        <f t="shared" si="2"/>
        <v>8.1751294395494556E-2</v>
      </c>
      <c r="I11" s="27">
        <f t="shared" si="2"/>
        <v>-0.17062725669661605</v>
      </c>
      <c r="J11" s="27">
        <f t="shared" si="2"/>
        <v>-0.16904593162566228</v>
      </c>
      <c r="K11" s="27">
        <f t="shared" si="2"/>
        <v>-4.4614572333685376E-2</v>
      </c>
      <c r="L11" s="27">
        <f t="shared" si="2"/>
        <v>-9.9113652305141686E-2</v>
      </c>
      <c r="M11" s="27">
        <f t="shared" si="2"/>
        <v>3.8104001510003815E-2</v>
      </c>
      <c r="N11" s="27">
        <f t="shared" si="2"/>
        <v>-1.5204891020250466E-2</v>
      </c>
      <c r="O11" s="27">
        <f t="shared" si="2"/>
        <v>-7.3644126471267057E-2</v>
      </c>
      <c r="P11" s="28">
        <f t="shared" si="2"/>
        <v>-4.6089837813597656E-3</v>
      </c>
      <c r="Q11" s="28">
        <f t="shared" si="2"/>
        <v>-5.1083746308254518E-2</v>
      </c>
      <c r="R11" s="28">
        <f t="shared" si="2"/>
        <v>-4.7345237781236005E-2</v>
      </c>
      <c r="S11" s="29">
        <f t="shared" si="2"/>
        <v>-1.5781604740018773E-2</v>
      </c>
      <c r="T11" s="35"/>
      <c r="U11" s="35"/>
      <c r="V11" s="35"/>
      <c r="W11" s="35"/>
      <c r="Y11" s="10"/>
    </row>
    <row r="12" spans="2:25" x14ac:dyDescent="0.3">
      <c r="B12" s="41" t="s">
        <v>404</v>
      </c>
      <c r="C12" s="30">
        <f t="shared" ref="C12:F12" si="3">IFERROR(C8/C7,"-")</f>
        <v>0.13425830970621946</v>
      </c>
      <c r="D12" s="30">
        <f t="shared" si="3"/>
        <v>0.10437461631158909</v>
      </c>
      <c r="E12" s="30">
        <f t="shared" si="3"/>
        <v>0.19143160733260114</v>
      </c>
      <c r="F12" s="30">
        <f t="shared" si="3"/>
        <v>0.20193972337534205</v>
      </c>
      <c r="G12" s="30">
        <f>IFERROR(G8/G7,"-")</f>
        <v>0.14647617016739525</v>
      </c>
      <c r="H12" s="30">
        <f t="shared" ref="H12:S12" si="4">IFERROR(H8/H7,"-")</f>
        <v>0.17320599170853973</v>
      </c>
      <c r="I12" s="30">
        <f t="shared" si="4"/>
        <v>0.11521879984051037</v>
      </c>
      <c r="J12" s="30">
        <f t="shared" si="4"/>
        <v>0.13185051371796319</v>
      </c>
      <c r="K12" s="30">
        <f t="shared" si="4"/>
        <v>0.14128146116932719</v>
      </c>
      <c r="L12" s="30">
        <f t="shared" si="4"/>
        <v>0.12334133389710362</v>
      </c>
      <c r="M12" s="30">
        <f t="shared" si="4"/>
        <v>0.12070766563687685</v>
      </c>
      <c r="N12" s="30">
        <f t="shared" si="4"/>
        <v>0.12539866958264989</v>
      </c>
      <c r="O12" s="30">
        <f t="shared" si="4"/>
        <v>0.10301265760319771</v>
      </c>
      <c r="P12" s="30">
        <f t="shared" si="4"/>
        <v>0.12007451454514052</v>
      </c>
      <c r="Q12" s="30">
        <f t="shared" si="4"/>
        <v>0.11098808460309272</v>
      </c>
      <c r="R12" s="30">
        <f t="shared" si="4"/>
        <v>0.11057109599068773</v>
      </c>
      <c r="S12" s="31">
        <f t="shared" si="4"/>
        <v>9.720261372580867E-2</v>
      </c>
      <c r="T12" s="32"/>
      <c r="U12" s="32"/>
      <c r="V12" s="32"/>
      <c r="W12" s="32"/>
      <c r="Y12" s="20"/>
    </row>
    <row r="13" spans="2:25" x14ac:dyDescent="0.3">
      <c r="B13" s="41" t="s">
        <v>405</v>
      </c>
      <c r="C13" s="32" t="e">
        <f>C8/#REF!-1</f>
        <v>#REF!</v>
      </c>
      <c r="D13" s="32" t="e">
        <f>D8/#REF!-1</f>
        <v>#REF!</v>
      </c>
      <c r="E13" s="32" t="e">
        <f>E8/#REF!-1</f>
        <v>#REF!</v>
      </c>
      <c r="F13" s="32" t="e">
        <f>F8/#REF!-1</f>
        <v>#REF!</v>
      </c>
      <c r="G13" s="32">
        <f t="shared" ref="G13:S14" si="5">G8/C8-1</f>
        <v>0.2345434938892883</v>
      </c>
      <c r="H13" s="32">
        <f t="shared" si="5"/>
        <v>0.58817122317830295</v>
      </c>
      <c r="I13" s="32">
        <f t="shared" si="5"/>
        <v>-0.56868324082279953</v>
      </c>
      <c r="J13" s="32">
        <f t="shared" si="5"/>
        <v>-0.46174410029498525</v>
      </c>
      <c r="K13" s="32">
        <f t="shared" si="5"/>
        <v>-0.15992138593681759</v>
      </c>
      <c r="L13" s="32">
        <f t="shared" si="5"/>
        <v>-0.31979973938687334</v>
      </c>
      <c r="M13" s="32">
        <f t="shared" si="5"/>
        <v>0.17465123823942896</v>
      </c>
      <c r="N13" s="32">
        <f t="shared" si="5"/>
        <v>-5.7287206713478311E-2</v>
      </c>
      <c r="O13" s="32">
        <f t="shared" si="5"/>
        <v>-0.27649250498223721</v>
      </c>
      <c r="P13" s="33">
        <f t="shared" si="5"/>
        <v>-1.8652954224642082E-2</v>
      </c>
      <c r="Q13" s="33">
        <f t="shared" si="5"/>
        <v>-0.18790278033511321</v>
      </c>
      <c r="R13" s="33">
        <f t="shared" si="5"/>
        <v>-0.16304841493323641</v>
      </c>
      <c r="S13" s="34">
        <f t="shared" si="5"/>
        <v>-6.8263473053892243E-2</v>
      </c>
      <c r="T13" s="32"/>
      <c r="U13" s="32"/>
      <c r="V13" s="32"/>
      <c r="W13" s="32"/>
      <c r="Y13" s="20"/>
    </row>
    <row r="14" spans="2:25" x14ac:dyDescent="0.3">
      <c r="B14" s="41" t="s">
        <v>406</v>
      </c>
      <c r="G14" s="32">
        <f>G7/C7-1</f>
        <v>0.13156783495204194</v>
      </c>
      <c r="H14" s="32">
        <f t="shared" si="5"/>
        <v>0.75917081097050576</v>
      </c>
      <c r="I14" s="32">
        <f t="shared" si="5"/>
        <v>6.4637826961770672E-2</v>
      </c>
      <c r="J14" s="32">
        <f t="shared" si="5"/>
        <v>-0.22381943130950133</v>
      </c>
      <c r="K14" s="32">
        <f t="shared" si="5"/>
        <v>-0.28774941714354918</v>
      </c>
      <c r="L14" s="32">
        <f t="shared" si="5"/>
        <v>-0.40683516668066166</v>
      </c>
      <c r="M14" s="32">
        <f t="shared" si="5"/>
        <v>-0.25755121325638686</v>
      </c>
      <c r="N14" s="32">
        <f t="shared" si="5"/>
        <v>-0.12009584924051664</v>
      </c>
      <c r="O14" s="32">
        <f t="shared" si="5"/>
        <v>-0.14683189151274256</v>
      </c>
      <c r="P14" s="33">
        <f t="shared" si="5"/>
        <v>-5.733295583238962E-2</v>
      </c>
      <c r="Q14" s="33">
        <f t="shared" si="5"/>
        <v>-0.13832132548467013</v>
      </c>
      <c r="R14" s="33">
        <f t="shared" si="5"/>
        <v>-0.16644357258250631</v>
      </c>
      <c r="S14" s="34">
        <f t="shared" si="5"/>
        <v>-0.11437753805525797</v>
      </c>
      <c r="Y14" s="20"/>
    </row>
    <row r="15" spans="2:25" x14ac:dyDescent="0.3">
      <c r="Y15" s="20"/>
    </row>
    <row r="16" spans="2:25" x14ac:dyDescent="0.3">
      <c r="Y16" s="20"/>
    </row>
  </sheetData>
  <phoneticPr fontId="5" type="noConversion"/>
  <conditionalFormatting sqref="B10:P10">
    <cfRule type="top10" dxfId="3" priority="19" percent="1" rank="5"/>
  </conditionalFormatting>
  <conditionalFormatting sqref="B8:S8">
    <cfRule type="top10" dxfId="2" priority="20" percent="1" rank="10"/>
  </conditionalFormatting>
  <conditionalFormatting sqref="B10:S10">
    <cfRule type="top10" priority="21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G14:O14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G14:P14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P13:P14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:Q14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:R14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:S14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실적 기업 정보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2026-01-29T07:17:41Z</dcterms:created>
  <dcterms:modified xsi:type="dcterms:W3CDTF">2026-02-04T09:45:13Z</dcterms:modified>
</cp:coreProperties>
</file>